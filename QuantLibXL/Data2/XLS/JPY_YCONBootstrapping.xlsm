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RateHelpers!$H$2:$H$46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RateHelpers!$B$2:$B$46</definedName>
    <definedName name="RateHelpersIncluded">RateHelpers!$F$2:$F$46</definedName>
    <definedName name="RateHelpersPriority">RateHelpers!$G$2:$G$46</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23" i="6" l="1"/>
  <c r="U11" i="26" l="1" a="1"/>
  <c r="E30" i="25" l="1"/>
  <c r="J30" i="25" s="1"/>
  <c r="E29" i="25"/>
  <c r="J29" i="25" s="1"/>
  <c r="E28" i="25"/>
  <c r="J28" i="25" s="1"/>
  <c r="E27" i="25"/>
  <c r="J27" i="25" s="1"/>
  <c r="E26" i="25"/>
  <c r="J26" i="25" s="1"/>
  <c r="E25" i="25"/>
  <c r="J25" i="25" s="1"/>
  <c r="E24" i="25"/>
  <c r="J24" i="25" s="1"/>
  <c r="E23" i="25"/>
  <c r="J23" i="25" s="1"/>
  <c r="E22" i="25"/>
  <c r="J22" i="25" s="1"/>
  <c r="E21" i="25"/>
  <c r="J21" i="25" s="1"/>
  <c r="E20" i="25"/>
  <c r="J20" i="25" s="1"/>
  <c r="C3" i="9"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9" i="26"/>
  <c r="B5" i="26"/>
  <c r="B7" i="26"/>
  <c r="B8" i="26"/>
  <c r="B4" i="26"/>
  <c r="B3" i="26"/>
  <c r="C5" i="9"/>
  <c r="K3" i="25"/>
  <c r="K30" i="25" s="1"/>
  <c r="K21" i="25"/>
  <c r="K23" i="25"/>
  <c r="K28" i="25"/>
  <c r="E3" i="9"/>
  <c r="C4" i="9"/>
  <c r="K22" i="25"/>
  <c r="K27" i="25"/>
  <c r="K20" i="25"/>
  <c r="K24" i="25"/>
  <c r="K25" i="25"/>
  <c r="K26" i="25"/>
  <c r="K29" i="25"/>
  <c r="B30" i="5" l="1"/>
  <c r="B29" i="5"/>
  <c r="B28" i="5"/>
  <c r="B27" i="5"/>
  <c r="B26" i="5"/>
  <c r="B25" i="5"/>
  <c r="B24" i="5"/>
  <c r="B23" i="5"/>
  <c r="B22" i="5"/>
  <c r="B21" i="5"/>
  <c r="B20" i="5"/>
  <c r="C30" i="6"/>
  <c r="E4" i="9"/>
  <c r="E5" i="9"/>
  <c r="C3" i="26"/>
  <c r="C4" i="26"/>
  <c r="C6" i="26"/>
  <c r="C5" i="26"/>
  <c r="X11" i="26"/>
  <c r="B4" i="5" l="1"/>
  <c r="B3" i="5"/>
  <c r="D4" i="9"/>
  <c r="D5" i="9"/>
  <c r="C4" i="5"/>
  <c r="F4" i="9"/>
  <c r="C7" i="26"/>
  <c r="C3" i="5"/>
  <c r="Y11" i="26"/>
  <c r="X12" i="26"/>
  <c r="F5" i="9"/>
  <c r="C8" i="26" l="1"/>
  <c r="C9" i="26" s="1"/>
  <c r="E3" i="26"/>
  <c r="E8" i="26"/>
  <c r="E4" i="26"/>
  <c r="E9" i="26"/>
  <c r="E7" i="26"/>
  <c r="E6" i="26"/>
  <c r="E5" i="26"/>
  <c r="E46" i="25"/>
  <c r="J46" i="25" s="1"/>
  <c r="E45" i="25"/>
  <c r="J45" i="25" s="1"/>
  <c r="E44" i="25"/>
  <c r="K45" i="25"/>
  <c r="Y12" i="26"/>
  <c r="K46" i="25"/>
  <c r="B46" i="5" l="1"/>
  <c r="B45" i="5"/>
  <c r="J44" i="25"/>
  <c r="C45" i="5"/>
  <c r="D45" i="5"/>
  <c r="E45" i="5"/>
  <c r="C46" i="5"/>
  <c r="D46" i="5"/>
  <c r="E46" i="5"/>
  <c r="I46" i="5"/>
  <c r="J46" i="5"/>
  <c r="I45" i="5"/>
  <c r="J45" i="5"/>
  <c r="F45" i="5" l="1"/>
  <c r="F46" i="5"/>
  <c r="J15" i="6"/>
  <c r="J1" i="25" l="1"/>
  <c r="K1" i="25" l="1"/>
  <c r="J5" i="25"/>
  <c r="E6" i="25"/>
  <c r="J6" i="25" s="1"/>
  <c r="E7" i="25" l="1"/>
  <c r="J7" i="25" s="1"/>
  <c r="E8" i="25"/>
  <c r="E9" i="25"/>
  <c r="E10" i="25"/>
  <c r="J10" i="25" s="1"/>
  <c r="E11" i="25"/>
  <c r="E12" i="25"/>
  <c r="J12" i="25" s="1"/>
  <c r="E13" i="25"/>
  <c r="E14" i="25"/>
  <c r="E15" i="25"/>
  <c r="E16" i="25"/>
  <c r="J16" i="25" s="1"/>
  <c r="E17" i="25"/>
  <c r="E18" i="25"/>
  <c r="J18" i="25" s="1"/>
  <c r="E19" i="25"/>
  <c r="J14" i="25" l="1"/>
  <c r="J17" i="25"/>
  <c r="J13" i="25"/>
  <c r="J19" i="25"/>
  <c r="J8" i="25"/>
  <c r="J15" i="25"/>
  <c r="J9" i="25"/>
  <c r="J11" i="25"/>
  <c r="E31" i="25"/>
  <c r="E32" i="25"/>
  <c r="J32" i="25" s="1"/>
  <c r="E33" i="25"/>
  <c r="E34" i="25"/>
  <c r="J34" i="25" s="1"/>
  <c r="E35" i="25"/>
  <c r="E36" i="25"/>
  <c r="J36" i="25" s="1"/>
  <c r="E37" i="25"/>
  <c r="E38" i="25"/>
  <c r="J38" i="25" s="1"/>
  <c r="E39" i="25"/>
  <c r="E40" i="25"/>
  <c r="E41" i="25"/>
  <c r="J41" i="25" s="1"/>
  <c r="E42" i="25"/>
  <c r="E43" i="25"/>
  <c r="J43" i="25" s="1"/>
  <c r="J42" i="25" l="1"/>
  <c r="J40" i="25"/>
  <c r="J31" i="25"/>
  <c r="J33" i="25"/>
  <c r="J35" i="25"/>
  <c r="J37" i="25"/>
  <c r="J39" i="25"/>
  <c r="K2" i="25"/>
  <c r="D1" i="9" l="1"/>
  <c r="E1" i="9" s="1"/>
  <c r="D3" i="9"/>
  <c r="K12" i="25"/>
  <c r="L25" i="25"/>
  <c r="K40" i="25"/>
  <c r="K32" i="25"/>
  <c r="K19" i="25"/>
  <c r="L32" i="25"/>
  <c r="K36" i="25"/>
  <c r="K7" i="25"/>
  <c r="L36" i="25"/>
  <c r="K33" i="25"/>
  <c r="K10" i="25"/>
  <c r="K44" i="25"/>
  <c r="K39" i="25"/>
  <c r="K18" i="25"/>
  <c r="X13" i="26"/>
  <c r="L7" i="25"/>
  <c r="L28" i="25"/>
  <c r="K17" i="25"/>
  <c r="Y13" i="26"/>
  <c r="L44" i="25"/>
  <c r="K41" i="25"/>
  <c r="X14" i="26"/>
  <c r="L12" i="25"/>
  <c r="L19" i="25"/>
  <c r="K37" i="25"/>
  <c r="L46" i="25"/>
  <c r="K14" i="25"/>
  <c r="L22" i="25"/>
  <c r="K5" i="25"/>
  <c r="L17" i="25"/>
  <c r="K6" i="25"/>
  <c r="K35" i="25"/>
  <c r="K34" i="25"/>
  <c r="L10" i="25"/>
  <c r="L3" i="25"/>
  <c r="K38" i="25"/>
  <c r="K8" i="25"/>
  <c r="K9" i="25"/>
  <c r="K16" i="25"/>
  <c r="K13" i="25"/>
  <c r="L45" i="25"/>
  <c r="K43" i="25"/>
  <c r="K11" i="25"/>
  <c r="L14" i="25"/>
  <c r="K15" i="25"/>
  <c r="L38" i="25"/>
  <c r="L41" i="25"/>
  <c r="L15" i="25"/>
  <c r="K42" i="25"/>
  <c r="K31" i="25"/>
  <c r="L13" i="25"/>
  <c r="L2" i="25"/>
  <c r="C25" i="5"/>
  <c r="C23" i="5"/>
  <c r="C26" i="5"/>
  <c r="C28" i="5"/>
  <c r="C27" i="5"/>
  <c r="C20" i="5"/>
  <c r="L31" i="25"/>
  <c r="L37" i="25"/>
  <c r="L33" i="25"/>
  <c r="C29" i="5"/>
  <c r="L40" i="25"/>
  <c r="C22" i="5"/>
  <c r="L39" i="25"/>
  <c r="C30" i="5"/>
  <c r="C24" i="5"/>
  <c r="C21" i="5"/>
  <c r="L42" i="25"/>
  <c r="L35" i="25"/>
  <c r="L18" i="25"/>
  <c r="Y14" i="26"/>
  <c r="X15" i="26"/>
  <c r="L5" i="25"/>
  <c r="L6" i="25"/>
  <c r="L34" i="25"/>
  <c r="L8" i="25"/>
  <c r="L9" i="25"/>
  <c r="L16" i="25"/>
  <c r="L43" i="25"/>
  <c r="L11" i="25"/>
  <c r="Y15" i="26"/>
  <c r="X16" i="26"/>
  <c r="Y16" i="26"/>
  <c r="X17" i="26"/>
  <c r="Y17" i="26"/>
  <c r="X18" i="26"/>
  <c r="Y18" i="26"/>
  <c r="X19" i="26"/>
  <c r="X20" i="26"/>
  <c r="Y19" i="26"/>
  <c r="Y20" i="26"/>
  <c r="X21" i="26"/>
  <c r="Y21" i="26"/>
  <c r="X22" i="26"/>
  <c r="Y22" i="26"/>
  <c r="X23" i="26"/>
  <c r="Y23" i="26"/>
  <c r="X24" i="26"/>
  <c r="Y24" i="26"/>
  <c r="X25" i="26"/>
  <c r="Y25" i="26"/>
  <c r="X26" i="26"/>
  <c r="Y26" i="26"/>
  <c r="X27" i="26"/>
  <c r="X28" i="26"/>
  <c r="Y27" i="26"/>
  <c r="Y28" i="26"/>
  <c r="X29" i="26"/>
  <c r="Y29" i="26"/>
  <c r="X30" i="26"/>
  <c r="X31" i="26"/>
  <c r="Y30" i="26"/>
  <c r="X32" i="26"/>
  <c r="Y31" i="26"/>
  <c r="X33" i="26"/>
  <c r="Y32" i="26"/>
  <c r="Y33" i="26"/>
  <c r="X34" i="26"/>
  <c r="Y34" i="26"/>
  <c r="X35" i="26"/>
  <c r="X36" i="26"/>
  <c r="Y35" i="26"/>
  <c r="X37" i="26"/>
  <c r="Y36" i="26"/>
  <c r="Y37" i="26"/>
  <c r="X38" i="26"/>
  <c r="X39" i="26"/>
  <c r="Y38" i="26"/>
  <c r="Y39" i="26"/>
  <c r="X40" i="26"/>
  <c r="X41" i="26"/>
  <c r="Y40" i="26"/>
  <c r="X42" i="26"/>
  <c r="Y41" i="26"/>
  <c r="Y42" i="26"/>
  <c r="X43" i="26"/>
  <c r="X44" i="26"/>
  <c r="Y43" i="26"/>
  <c r="Y44" i="26"/>
  <c r="X45" i="26"/>
  <c r="Y45" i="26"/>
  <c r="X46" i="26"/>
  <c r="Y46" i="26"/>
  <c r="X47" i="26"/>
  <c r="Y47" i="26"/>
  <c r="X48" i="26"/>
  <c r="Y48" i="26"/>
  <c r="X49" i="26"/>
  <c r="X50" i="26"/>
  <c r="Y49" i="26"/>
  <c r="Y50" i="26"/>
  <c r="X51" i="26"/>
  <c r="Y51" i="26"/>
  <c r="X52" i="26"/>
  <c r="Y52" i="26"/>
  <c r="X53" i="26"/>
  <c r="X54" i="26"/>
  <c r="Y53" i="26"/>
  <c r="X55" i="26"/>
  <c r="Y54" i="26"/>
  <c r="Y55" i="26"/>
  <c r="X56" i="26"/>
  <c r="Y56" i="26"/>
  <c r="X57" i="26"/>
  <c r="X58" i="26"/>
  <c r="Y57" i="26"/>
  <c r="Y58" i="26"/>
  <c r="X59" i="26"/>
  <c r="X60" i="26"/>
  <c r="Y59" i="26"/>
  <c r="Y60" i="26"/>
  <c r="X61" i="26"/>
  <c r="Y61" i="26"/>
  <c r="X62" i="26"/>
  <c r="X63" i="26"/>
  <c r="Y62" i="26"/>
  <c r="X64" i="26"/>
  <c r="Y63" i="26"/>
  <c r="Y64" i="26"/>
  <c r="X65" i="26"/>
  <c r="X66" i="26"/>
  <c r="Y65" i="26"/>
  <c r="X67" i="26"/>
  <c r="Y66" i="26"/>
  <c r="Y67" i="26"/>
  <c r="X68" i="26"/>
  <c r="Y68" i="26"/>
  <c r="X69" i="26"/>
  <c r="X70" i="26"/>
  <c r="Y69" i="26"/>
  <c r="Y70" i="26"/>
  <c r="X71" i="26"/>
  <c r="Y71" i="26"/>
  <c r="X72" i="26"/>
  <c r="Y72" i="26"/>
  <c r="X73" i="26"/>
  <c r="Y73" i="26"/>
  <c r="X74" i="26"/>
  <c r="X75" i="26"/>
  <c r="Y74" i="26"/>
  <c r="Y75" i="26"/>
  <c r="X76" i="26"/>
  <c r="X77" i="26"/>
  <c r="Y76" i="26"/>
  <c r="Y77" i="26"/>
  <c r="X78" i="26"/>
  <c r="Y78" i="26"/>
  <c r="X79" i="26"/>
  <c r="X80" i="26"/>
  <c r="Y79" i="26"/>
  <c r="Y80" i="26"/>
  <c r="X81" i="26"/>
  <c r="Y81" i="26"/>
  <c r="X82" i="26"/>
  <c r="X83" i="26"/>
  <c r="Y82" i="26"/>
  <c r="Y83" i="26"/>
  <c r="X84" i="26"/>
  <c r="X85" i="26"/>
  <c r="Y84" i="26"/>
  <c r="Y85" i="26"/>
  <c r="X86" i="26"/>
  <c r="X87" i="26"/>
  <c r="Y86" i="26"/>
  <c r="Y87" i="26"/>
  <c r="X88" i="26"/>
  <c r="X89" i="26"/>
  <c r="Y88" i="26"/>
  <c r="Y89" i="26"/>
  <c r="X90" i="26"/>
  <c r="Y90" i="26"/>
  <c r="X91" i="26"/>
  <c r="Y91" i="26"/>
  <c r="X92" i="26"/>
  <c r="Y92" i="26"/>
  <c r="X93" i="26"/>
  <c r="X94" i="26"/>
  <c r="Y93" i="26"/>
  <c r="X95" i="26"/>
  <c r="Y94" i="26"/>
  <c r="X96" i="26"/>
  <c r="Y95" i="26"/>
  <c r="X97" i="26"/>
  <c r="Y96" i="26"/>
  <c r="X98" i="26"/>
  <c r="Y97" i="26"/>
  <c r="Y98" i="26"/>
  <c r="X99" i="26"/>
  <c r="Y99" i="26"/>
  <c r="X100" i="26"/>
  <c r="X101" i="26"/>
  <c r="Y100" i="26"/>
  <c r="X102" i="26"/>
  <c r="Y101" i="26"/>
  <c r="X103" i="26"/>
  <c r="Y102" i="26"/>
  <c r="Y103" i="26"/>
  <c r="X104" i="26"/>
  <c r="X105" i="26"/>
  <c r="Y104" i="26"/>
  <c r="X106" i="26"/>
  <c r="Y105" i="26"/>
  <c r="Y106" i="26"/>
  <c r="X107" i="26"/>
  <c r="Y107" i="26"/>
  <c r="X108" i="26"/>
  <c r="Y108" i="26"/>
  <c r="X109" i="26"/>
  <c r="Y109" i="26"/>
  <c r="X110" i="26"/>
  <c r="Y110" i="26"/>
  <c r="X111" i="26"/>
  <c r="Y111" i="26"/>
  <c r="X112" i="26"/>
  <c r="X113" i="26"/>
  <c r="Y112" i="26"/>
  <c r="Y113" i="26"/>
  <c r="X114" i="26"/>
  <c r="X115" i="26"/>
  <c r="Y114" i="26"/>
  <c r="Y115" i="26"/>
  <c r="X116" i="26"/>
  <c r="X117" i="26"/>
  <c r="Y116" i="26"/>
  <c r="X118" i="26"/>
  <c r="Y117" i="26"/>
  <c r="X119" i="26"/>
  <c r="Y118" i="26"/>
  <c r="X120" i="26"/>
  <c r="Y119" i="26"/>
  <c r="X121" i="26"/>
  <c r="Y120" i="26"/>
  <c r="Y121" i="26"/>
  <c r="X122" i="26"/>
  <c r="X123" i="26"/>
  <c r="Y122" i="26"/>
  <c r="Y123" i="26"/>
  <c r="X124" i="26"/>
  <c r="Y124" i="26"/>
  <c r="X125" i="26"/>
  <c r="Y125" i="26"/>
  <c r="X126" i="26"/>
  <c r="X127" i="26"/>
  <c r="Y126" i="26"/>
  <c r="Y127" i="26"/>
  <c r="X128" i="26"/>
  <c r="X129" i="26"/>
  <c r="Y128" i="26"/>
  <c r="X130" i="26"/>
  <c r="Y129" i="26"/>
  <c r="X131" i="26"/>
  <c r="Y130" i="26"/>
  <c r="X132" i="26"/>
  <c r="Y131" i="26"/>
  <c r="X133" i="26"/>
  <c r="Y132" i="26"/>
  <c r="Y133" i="26"/>
  <c r="X134" i="26"/>
  <c r="X135" i="26"/>
  <c r="Y134" i="26"/>
  <c r="X136" i="26"/>
  <c r="Y135" i="26"/>
  <c r="X137" i="26"/>
  <c r="Y136" i="26"/>
  <c r="Y137" i="26"/>
  <c r="X138" i="26"/>
  <c r="Y138" i="26"/>
  <c r="X139" i="26"/>
  <c r="X140" i="26"/>
  <c r="Y139" i="26"/>
  <c r="X141" i="26"/>
  <c r="Y140" i="26"/>
  <c r="Y141" i="26"/>
  <c r="X142" i="26"/>
  <c r="Y142" i="26"/>
  <c r="X143" i="26"/>
  <c r="X144" i="26"/>
  <c r="Y143" i="26"/>
  <c r="Y144" i="26"/>
  <c r="X145" i="26"/>
  <c r="Y145" i="26"/>
  <c r="X146" i="26"/>
  <c r="Y146" i="26"/>
  <c r="X147" i="26"/>
  <c r="X148" i="26"/>
  <c r="Y147" i="26"/>
  <c r="X149" i="26"/>
  <c r="Y148" i="26"/>
  <c r="X150" i="26"/>
  <c r="Y149" i="26"/>
  <c r="Y150" i="26"/>
  <c r="X151" i="26"/>
  <c r="Y151" i="26"/>
  <c r="X152" i="26"/>
  <c r="X153" i="26"/>
  <c r="Y152" i="26"/>
  <c r="Y153" i="26"/>
  <c r="X154" i="26"/>
  <c r="Y154" i="26"/>
  <c r="X155" i="26"/>
  <c r="X156" i="26"/>
  <c r="Y155" i="26"/>
  <c r="Y156" i="26"/>
  <c r="X157" i="26"/>
  <c r="Y157" i="26"/>
  <c r="X158" i="26"/>
  <c r="X159" i="26"/>
  <c r="Y158" i="26"/>
  <c r="Y159" i="26"/>
  <c r="X160" i="26"/>
  <c r="Y160" i="26"/>
  <c r="X161" i="26"/>
  <c r="Y161" i="26"/>
  <c r="X162" i="26"/>
  <c r="Y162" i="26"/>
  <c r="X163" i="26"/>
  <c r="X164" i="26"/>
  <c r="Y163" i="26"/>
  <c r="X165" i="26"/>
  <c r="Y164" i="26"/>
  <c r="X166" i="26"/>
  <c r="Y165" i="26"/>
  <c r="X167" i="26"/>
  <c r="Y166" i="26"/>
  <c r="X168" i="26"/>
  <c r="Y167" i="26"/>
  <c r="Y168" i="26"/>
  <c r="X169" i="26"/>
  <c r="X170" i="26"/>
  <c r="Y169" i="26"/>
  <c r="X171" i="26"/>
  <c r="Y170" i="26"/>
  <c r="Y171" i="26"/>
  <c r="X172" i="26"/>
  <c r="X173" i="26"/>
  <c r="Y172" i="26"/>
  <c r="X174" i="26"/>
  <c r="Y173" i="26"/>
  <c r="Y174" i="26"/>
  <c r="X175" i="26"/>
  <c r="X176" i="26"/>
  <c r="Y175" i="26"/>
  <c r="X177" i="26"/>
  <c r="Y176" i="26"/>
  <c r="Y177" i="26"/>
  <c r="X178" i="26"/>
  <c r="X179" i="26"/>
  <c r="Y178" i="26"/>
  <c r="X180" i="26"/>
  <c r="Y179" i="26"/>
  <c r="X181" i="26"/>
  <c r="Y180" i="26"/>
  <c r="X182" i="26"/>
  <c r="Y181" i="26"/>
  <c r="X183" i="26"/>
  <c r="Y182" i="26"/>
  <c r="X184" i="26"/>
  <c r="Y183" i="26"/>
  <c r="Y184" i="26"/>
  <c r="X185" i="26"/>
  <c r="Y185" i="26"/>
  <c r="X186" i="26"/>
  <c r="Y186" i="26"/>
  <c r="X187" i="26"/>
  <c r="X188" i="26"/>
  <c r="Y187" i="26"/>
  <c r="X189" i="26"/>
  <c r="Y188" i="26"/>
  <c r="Y189" i="26"/>
  <c r="X190" i="26"/>
  <c r="Y190" i="26"/>
  <c r="X191" i="26"/>
  <c r="Y191" i="26"/>
  <c r="X192" i="26"/>
  <c r="Y192" i="26"/>
  <c r="X193" i="26"/>
  <c r="X194" i="26"/>
  <c r="Y193" i="26"/>
  <c r="X195" i="26"/>
  <c r="Y194" i="26"/>
  <c r="X196" i="26"/>
  <c r="Y195" i="26"/>
  <c r="X197" i="26"/>
  <c r="Y196" i="26"/>
  <c r="Y197" i="26"/>
  <c r="X198" i="26"/>
  <c r="Y198" i="26"/>
  <c r="X199" i="26"/>
  <c r="Y199" i="26"/>
  <c r="X200" i="26"/>
  <c r="X201" i="26"/>
  <c r="Y200" i="26"/>
  <c r="X202" i="26"/>
  <c r="Y201" i="26"/>
  <c r="Y202" i="26"/>
  <c r="X203" i="26"/>
  <c r="Y203" i="26"/>
  <c r="X204" i="26"/>
  <c r="X205" i="26"/>
  <c r="Y204" i="26"/>
  <c r="X206" i="26"/>
  <c r="Y205" i="26"/>
  <c r="X207" i="26"/>
  <c r="Y206" i="26"/>
  <c r="X208" i="26"/>
  <c r="Y207" i="26"/>
  <c r="Y208" i="26"/>
  <c r="X209" i="26"/>
  <c r="Y209" i="26"/>
  <c r="X210" i="26"/>
  <c r="X211" i="26"/>
  <c r="Y210" i="26"/>
  <c r="X212" i="26"/>
  <c r="Y211" i="26"/>
  <c r="X213" i="26"/>
  <c r="Y212" i="26"/>
  <c r="X214" i="26"/>
  <c r="Y213" i="26"/>
  <c r="X215" i="26"/>
  <c r="Y214" i="26"/>
  <c r="Y215" i="26"/>
  <c r="X216" i="26"/>
  <c r="Y216" i="26"/>
  <c r="X217" i="26"/>
  <c r="X218" i="26"/>
  <c r="Y217" i="26"/>
  <c r="Y218" i="26"/>
  <c r="X219" i="26"/>
  <c r="X220" i="26"/>
  <c r="Y219" i="26"/>
  <c r="X221" i="26"/>
  <c r="Y220" i="26"/>
  <c r="X222" i="26"/>
  <c r="Y221" i="26"/>
  <c r="Y222" i="26"/>
  <c r="X223" i="26"/>
  <c r="Y223" i="26"/>
  <c r="X224" i="26"/>
  <c r="Y224" i="26"/>
  <c r="X225" i="26"/>
  <c r="Y225" i="26"/>
  <c r="X226" i="26"/>
  <c r="X227" i="26"/>
  <c r="Y226" i="26"/>
  <c r="Y227" i="26"/>
  <c r="X228" i="26"/>
  <c r="Y228" i="26"/>
  <c r="X229" i="26"/>
  <c r="X230" i="26"/>
  <c r="Y229" i="26"/>
  <c r="Y230" i="26"/>
  <c r="X231" i="26"/>
  <c r="X232" i="26"/>
  <c r="Y231" i="26"/>
  <c r="Y232" i="26"/>
  <c r="X233" i="26"/>
  <c r="X234" i="26"/>
  <c r="Y233" i="26"/>
  <c r="X235" i="26"/>
  <c r="Y234" i="26"/>
  <c r="Y235" i="26"/>
  <c r="X236" i="26"/>
  <c r="X237" i="26"/>
  <c r="Y236" i="26"/>
  <c r="X238" i="26"/>
  <c r="Y237" i="26"/>
  <c r="X239" i="26"/>
  <c r="Y238" i="26"/>
  <c r="Y239" i="26"/>
  <c r="X240" i="26"/>
  <c r="Y240" i="26"/>
  <c r="X241" i="26"/>
  <c r="Y241" i="26"/>
  <c r="X242" i="26"/>
  <c r="Y242" i="26"/>
  <c r="X243" i="26"/>
  <c r="Y243" i="26"/>
  <c r="X244" i="26"/>
  <c r="Y244" i="26"/>
  <c r="X245" i="26"/>
  <c r="X246" i="26"/>
  <c r="Y245" i="26"/>
  <c r="Y246" i="26"/>
  <c r="X247" i="26"/>
  <c r="Y247" i="26"/>
  <c r="X248" i="26"/>
  <c r="X249" i="26"/>
  <c r="Y248" i="26"/>
  <c r="X250" i="26"/>
  <c r="Y249" i="26"/>
  <c r="X251" i="26"/>
  <c r="Y250" i="26"/>
  <c r="Y251" i="26"/>
  <c r="X252" i="26"/>
  <c r="X253" i="26"/>
  <c r="Y252" i="26"/>
  <c r="X254" i="26"/>
  <c r="Y253" i="26"/>
  <c r="X255" i="26"/>
  <c r="Y254" i="26"/>
  <c r="Y255" i="26"/>
  <c r="X256" i="26"/>
  <c r="X257" i="26"/>
  <c r="Y256" i="26"/>
  <c r="X258" i="26"/>
  <c r="Y257" i="26"/>
  <c r="X259" i="26"/>
  <c r="Y258" i="26"/>
  <c r="Y259" i="26"/>
  <c r="X260" i="26"/>
  <c r="Y260" i="26"/>
  <c r="X261" i="26"/>
  <c r="Y261" i="26"/>
  <c r="X262" i="26"/>
  <c r="X263" i="26"/>
  <c r="Y262" i="26"/>
  <c r="Y263" i="26"/>
  <c r="X264" i="26"/>
  <c r="X265" i="26"/>
  <c r="Y264" i="26"/>
  <c r="X266" i="26"/>
  <c r="Y265" i="26"/>
  <c r="Y266" i="26"/>
  <c r="X267" i="26"/>
  <c r="Y267" i="26"/>
  <c r="X268" i="26"/>
  <c r="X269" i="26"/>
  <c r="Y268" i="26"/>
  <c r="Y269" i="26"/>
  <c r="X270" i="26"/>
  <c r="Y270" i="26"/>
  <c r="X271" i="26"/>
  <c r="Y271" i="26"/>
  <c r="X272" i="26"/>
  <c r="Y272" i="26"/>
  <c r="X273" i="26"/>
  <c r="X274" i="26"/>
  <c r="Y273" i="26"/>
  <c r="X275" i="26"/>
  <c r="Y274" i="26"/>
  <c r="X276" i="26"/>
  <c r="Y275" i="26"/>
  <c r="X277" i="26"/>
  <c r="Y276" i="26"/>
  <c r="X278" i="26"/>
  <c r="Y277" i="26"/>
  <c r="Y278" i="26"/>
  <c r="X279" i="26"/>
  <c r="Y279" i="26"/>
  <c r="X280" i="26"/>
  <c r="Y280" i="26"/>
  <c r="X281" i="26"/>
  <c r="Y281" i="26"/>
  <c r="X282" i="26"/>
  <c r="Y282" i="26"/>
  <c r="X283" i="26"/>
  <c r="Y283" i="26"/>
  <c r="X284" i="26"/>
  <c r="Y284" i="26"/>
  <c r="X285" i="26"/>
  <c r="Y285" i="26"/>
  <c r="X286" i="26"/>
  <c r="X287" i="26"/>
  <c r="Y286" i="26"/>
  <c r="X288" i="26"/>
  <c r="Y287" i="26"/>
  <c r="X289" i="26"/>
  <c r="Y288" i="26"/>
  <c r="Y289" i="26"/>
  <c r="X290" i="26"/>
  <c r="Y290" i="26"/>
  <c r="X291" i="26"/>
  <c r="X292" i="26"/>
  <c r="Y291" i="26"/>
  <c r="Y292" i="26"/>
  <c r="X293" i="26"/>
  <c r="Y293" i="26"/>
  <c r="X294" i="26"/>
  <c r="Y294" i="26"/>
  <c r="X295" i="26"/>
  <c r="X296" i="26"/>
  <c r="Y295" i="26"/>
  <c r="Y296" i="26"/>
  <c r="X297" i="26"/>
  <c r="Y297" i="26"/>
  <c r="X298" i="26"/>
  <c r="Y298" i="26"/>
  <c r="X299" i="26"/>
  <c r="Y299" i="26"/>
  <c r="X300" i="26"/>
  <c r="Y300" i="26"/>
  <c r="X301" i="26"/>
  <c r="Y301" i="26"/>
  <c r="X302" i="26"/>
  <c r="X303" i="26"/>
  <c r="Y302" i="26"/>
  <c r="X304" i="26"/>
  <c r="Y303" i="26"/>
  <c r="X305" i="26"/>
  <c r="Y304" i="26"/>
  <c r="X306" i="26"/>
  <c r="Y305" i="26"/>
  <c r="Y306" i="26"/>
  <c r="X307" i="26"/>
  <c r="Y307" i="26"/>
  <c r="X308" i="26"/>
  <c r="Y308" i="26"/>
  <c r="X309" i="26"/>
  <c r="X310" i="26"/>
  <c r="Y309" i="26"/>
  <c r="X311" i="26"/>
  <c r="Y310" i="26"/>
  <c r="Y311" i="26"/>
  <c r="X312" i="26"/>
  <c r="Y312" i="26"/>
  <c r="X313" i="26"/>
  <c r="Y313" i="26"/>
  <c r="X314" i="26"/>
  <c r="Y314" i="26"/>
  <c r="X315" i="26"/>
  <c r="Y315" i="26"/>
  <c r="X316" i="26"/>
  <c r="X317" i="26"/>
  <c r="Y316" i="26"/>
  <c r="X318" i="26"/>
  <c r="Y317" i="26"/>
  <c r="Y318" i="26"/>
  <c r="X319" i="26"/>
  <c r="X320" i="26"/>
  <c r="Y319" i="26"/>
  <c r="Y320" i="26"/>
  <c r="X321" i="26"/>
  <c r="X322" i="26"/>
  <c r="Y321" i="26"/>
  <c r="X323" i="26"/>
  <c r="Y322" i="26"/>
  <c r="X324" i="26"/>
  <c r="Y323" i="26"/>
  <c r="X325" i="26"/>
  <c r="Y324" i="26"/>
  <c r="X326" i="26"/>
  <c r="Y325" i="26"/>
  <c r="Y326" i="26"/>
  <c r="X327" i="26"/>
  <c r="X328" i="26"/>
  <c r="Y327" i="26"/>
  <c r="Y328" i="26"/>
  <c r="X329" i="26"/>
  <c r="X330" i="26"/>
  <c r="Y329" i="26"/>
  <c r="Y330" i="26"/>
  <c r="X331" i="26"/>
  <c r="Y331" i="26"/>
  <c r="X332" i="26"/>
  <c r="X333" i="26"/>
  <c r="Y332" i="26"/>
  <c r="Y333" i="26"/>
  <c r="X334" i="26"/>
  <c r="X335" i="26"/>
  <c r="Y334" i="26"/>
  <c r="Y335" i="26"/>
  <c r="X336" i="26"/>
  <c r="X337" i="26"/>
  <c r="Y336" i="26"/>
  <c r="Y337" i="26"/>
  <c r="X338" i="26"/>
  <c r="Y338" i="26"/>
  <c r="X339" i="26"/>
  <c r="Y339" i="26"/>
  <c r="X340" i="26"/>
  <c r="Y340" i="26"/>
  <c r="X341" i="26"/>
  <c r="Y341" i="26"/>
  <c r="X342" i="26"/>
  <c r="Y342" i="26"/>
  <c r="X343" i="26"/>
  <c r="Y343" i="26"/>
  <c r="X344" i="26"/>
  <c r="Y344" i="26"/>
  <c r="X345" i="26"/>
  <c r="Y345" i="26"/>
  <c r="X346" i="26"/>
  <c r="Y346" i="26"/>
  <c r="X347" i="26"/>
  <c r="Y347" i="26"/>
  <c r="X348" i="26"/>
  <c r="X349" i="26"/>
  <c r="Y348" i="26"/>
  <c r="X350" i="26"/>
  <c r="Y349" i="26"/>
  <c r="X351" i="26"/>
  <c r="Y350" i="26"/>
  <c r="Y351" i="26"/>
  <c r="X352" i="26"/>
  <c r="X353" i="26"/>
  <c r="Y352" i="26"/>
  <c r="Y353" i="26"/>
  <c r="X354" i="26"/>
  <c r="Y354" i="26"/>
  <c r="X355" i="26"/>
  <c r="X356" i="26"/>
  <c r="Y355" i="26"/>
  <c r="Y356" i="26"/>
  <c r="X357" i="26"/>
  <c r="X358" i="26"/>
  <c r="Y357" i="26"/>
  <c r="Y358" i="26"/>
  <c r="X359" i="26"/>
  <c r="X360" i="26"/>
  <c r="Y359" i="26"/>
  <c r="X361" i="26"/>
  <c r="Y360" i="26"/>
  <c r="X362" i="26"/>
  <c r="Y361" i="26"/>
  <c r="Y362" i="26"/>
  <c r="X363" i="26"/>
  <c r="X364" i="26"/>
  <c r="Y363" i="26"/>
  <c r="Y364" i="26"/>
  <c r="X365" i="26"/>
  <c r="X366" i="26"/>
  <c r="Y365" i="26"/>
  <c r="X367" i="26"/>
  <c r="Y366" i="26"/>
  <c r="Y367" i="26"/>
  <c r="X368" i="26"/>
  <c r="X369" i="26"/>
  <c r="Y368" i="26"/>
  <c r="X370" i="26"/>
  <c r="Y369" i="26"/>
  <c r="Y370" i="26"/>
  <c r="X371" i="26"/>
  <c r="Y371" i="26"/>
  <c r="X372" i="26"/>
  <c r="Y372" i="26"/>
  <c r="X373" i="26"/>
  <c r="X374" i="26"/>
  <c r="Y373" i="26"/>
  <c r="X375" i="26"/>
  <c r="Y374" i="26"/>
  <c r="X376" i="26"/>
  <c r="Y375" i="26"/>
  <c r="Y376" i="26"/>
  <c r="X377" i="26"/>
  <c r="Y377" i="26"/>
  <c r="X378" i="26"/>
  <c r="X379" i="26"/>
  <c r="Y378" i="26"/>
  <c r="Y379" i="26"/>
  <c r="X380" i="26"/>
  <c r="Y380" i="26"/>
  <c r="X381" i="26"/>
  <c r="Y381" i="26"/>
  <c r="X382" i="26"/>
  <c r="X383" i="26"/>
  <c r="Y382" i="26"/>
  <c r="X384" i="26"/>
  <c r="Y383" i="26"/>
  <c r="X385" i="26"/>
  <c r="Y384" i="26"/>
  <c r="Y385" i="26"/>
  <c r="X386" i="26"/>
  <c r="X387" i="26"/>
  <c r="Y386" i="26"/>
  <c r="X388" i="26"/>
  <c r="Y387" i="26"/>
  <c r="Y388" i="26"/>
  <c r="X389" i="26"/>
  <c r="X390" i="26"/>
  <c r="Y389" i="26"/>
  <c r="X391" i="26"/>
  <c r="Y390" i="26"/>
  <c r="X392" i="26"/>
  <c r="Y391" i="26"/>
  <c r="X393" i="26"/>
  <c r="Y392" i="26"/>
  <c r="Y393" i="26"/>
  <c r="X394" i="26"/>
  <c r="X395" i="26"/>
  <c r="Y394" i="26"/>
  <c r="Y395" i="26"/>
  <c r="X396" i="26"/>
  <c r="Y396" i="26"/>
  <c r="X397" i="26"/>
  <c r="X398" i="26"/>
  <c r="Y397" i="26"/>
  <c r="X399" i="26"/>
  <c r="Y398" i="26"/>
  <c r="X400" i="26"/>
  <c r="Y399" i="26"/>
  <c r="X401" i="26"/>
  <c r="Y400" i="26"/>
  <c r="X402" i="26"/>
  <c r="Y401" i="26"/>
  <c r="Y402" i="26"/>
  <c r="X403" i="26"/>
  <c r="X404" i="26"/>
  <c r="Y403" i="26"/>
  <c r="Y404" i="26"/>
  <c r="X405" i="26"/>
  <c r="X406" i="26"/>
  <c r="Y405" i="26"/>
  <c r="X407" i="26"/>
  <c r="Y406" i="26"/>
  <c r="X408" i="26"/>
  <c r="Y407" i="26"/>
  <c r="Y408" i="26"/>
  <c r="X409" i="26"/>
  <c r="X410" i="26"/>
  <c r="Y409" i="26"/>
  <c r="Y410" i="26"/>
  <c r="X411" i="26"/>
  <c r="X412" i="26"/>
  <c r="Y411" i="26"/>
  <c r="Y412" i="26"/>
  <c r="X413" i="26"/>
  <c r="X414" i="26"/>
  <c r="Y413" i="26"/>
  <c r="X415" i="26"/>
  <c r="Y414" i="26"/>
  <c r="Y415" i="26"/>
  <c r="X416" i="26"/>
  <c r="X417" i="26"/>
  <c r="Y416" i="26"/>
  <c r="Y417" i="26"/>
  <c r="X418" i="26"/>
  <c r="X419" i="26"/>
  <c r="Y418" i="26"/>
  <c r="X420" i="26"/>
  <c r="Y419" i="26"/>
  <c r="X421" i="26"/>
  <c r="Y420" i="26"/>
  <c r="Y421" i="26"/>
  <c r="X422" i="26"/>
  <c r="X423" i="26"/>
  <c r="Y422" i="26"/>
  <c r="Y423" i="26"/>
  <c r="X424" i="26"/>
  <c r="X425" i="26"/>
  <c r="Y424" i="26"/>
  <c r="Y425" i="26"/>
  <c r="X426" i="26"/>
  <c r="Y426" i="26"/>
  <c r="X427" i="26"/>
  <c r="X428" i="26"/>
  <c r="Y427" i="26"/>
  <c r="Y428" i="26"/>
  <c r="X429" i="26"/>
  <c r="X430" i="26"/>
  <c r="Y429" i="26"/>
  <c r="Y430" i="26"/>
  <c r="X431" i="26"/>
  <c r="Y431" i="26"/>
  <c r="X432" i="26"/>
  <c r="X433" i="26"/>
  <c r="Y432" i="26"/>
  <c r="X434" i="26"/>
  <c r="Y433" i="26"/>
  <c r="X435" i="26"/>
  <c r="Y434" i="26"/>
  <c r="X436" i="26"/>
  <c r="Y435" i="26"/>
  <c r="Y436" i="26"/>
  <c r="X437" i="26"/>
  <c r="Y437" i="26"/>
  <c r="X438" i="26"/>
  <c r="Y438" i="26"/>
  <c r="X439" i="26"/>
  <c r="Y439" i="26"/>
  <c r="X440" i="26"/>
  <c r="X441" i="26"/>
  <c r="Y440" i="26"/>
  <c r="Y441" i="26"/>
  <c r="X442" i="26"/>
  <c r="X443" i="26"/>
  <c r="Y442" i="26"/>
  <c r="Y443" i="26"/>
  <c r="X444" i="26"/>
  <c r="X445" i="26"/>
  <c r="Y444" i="26"/>
  <c r="X446" i="26"/>
  <c r="Y445" i="26"/>
  <c r="X447" i="26"/>
  <c r="Y446" i="26"/>
  <c r="Y447" i="26"/>
  <c r="X448" i="26"/>
  <c r="X449" i="26"/>
  <c r="Y448" i="26"/>
  <c r="X450" i="26"/>
  <c r="Y449" i="26"/>
  <c r="Y450" i="26"/>
  <c r="X451" i="26"/>
  <c r="X452" i="26"/>
  <c r="Y451" i="26"/>
  <c r="X453" i="26"/>
  <c r="Y452" i="26"/>
  <c r="X454" i="26"/>
  <c r="Y453" i="26"/>
  <c r="X455" i="26"/>
  <c r="Y454" i="26"/>
  <c r="Y455" i="26"/>
  <c r="X456" i="26"/>
  <c r="Y456" i="26"/>
  <c r="X457" i="26"/>
  <c r="Y457" i="26"/>
  <c r="X458" i="26"/>
  <c r="X459" i="26"/>
  <c r="Y458" i="26"/>
  <c r="X460" i="26"/>
  <c r="Y459" i="26"/>
  <c r="X461" i="26"/>
  <c r="Y460" i="26"/>
  <c r="Y461" i="26"/>
  <c r="X462" i="26"/>
  <c r="X463" i="26"/>
  <c r="Y462" i="26"/>
  <c r="X464" i="26"/>
  <c r="Y463" i="26"/>
  <c r="X465" i="26"/>
  <c r="Y464" i="26"/>
  <c r="Y465" i="26"/>
  <c r="X466" i="26"/>
  <c r="X467" i="26"/>
  <c r="Y466" i="26"/>
  <c r="X468" i="26"/>
  <c r="Y467" i="26"/>
  <c r="X469" i="26"/>
  <c r="Y468" i="26"/>
  <c r="X470" i="26"/>
  <c r="Y469" i="26"/>
  <c r="Y470" i="26"/>
  <c r="X471" i="26"/>
  <c r="X472" i="26"/>
  <c r="Y471" i="26"/>
  <c r="Y472" i="26"/>
  <c r="X473" i="26"/>
  <c r="X474" i="26"/>
  <c r="Y473" i="26"/>
  <c r="X475" i="26"/>
  <c r="Y474" i="26"/>
  <c r="X476" i="26"/>
  <c r="Y475" i="26"/>
  <c r="Y476" i="26"/>
  <c r="X477" i="26"/>
  <c r="X478" i="26"/>
  <c r="Y477" i="26"/>
  <c r="Y478" i="26"/>
  <c r="X479" i="26"/>
  <c r="X480" i="26"/>
  <c r="Y479" i="26"/>
  <c r="X481" i="26"/>
  <c r="Y480" i="26"/>
  <c r="X482" i="26"/>
  <c r="Y481" i="26"/>
  <c r="Y482" i="26"/>
  <c r="X483" i="26"/>
  <c r="Y483" i="26"/>
  <c r="X484" i="26"/>
  <c r="Y484" i="26"/>
  <c r="X485" i="26"/>
  <c r="X486" i="26"/>
  <c r="Y485" i="26"/>
  <c r="Y486" i="26"/>
  <c r="X487" i="26"/>
  <c r="X488" i="26"/>
  <c r="Y487" i="26"/>
  <c r="X489" i="26"/>
  <c r="Y488" i="26"/>
  <c r="X490" i="26"/>
  <c r="Y489" i="26"/>
  <c r="Y490" i="26"/>
  <c r="X491" i="26"/>
  <c r="X492" i="26"/>
  <c r="Y491" i="26"/>
  <c r="Y492" i="26"/>
  <c r="X493" i="26"/>
  <c r="Y493" i="26"/>
  <c r="X494" i="26"/>
  <c r="X495" i="26"/>
  <c r="Y494" i="26"/>
  <c r="X496" i="26"/>
  <c r="Y495" i="26"/>
  <c r="X497" i="26"/>
  <c r="Y496" i="26"/>
  <c r="X498" i="26"/>
  <c r="Y497" i="26"/>
  <c r="X499" i="26"/>
  <c r="Y498" i="26"/>
  <c r="X500" i="26"/>
  <c r="Y499" i="26"/>
  <c r="X501" i="26"/>
  <c r="Y500" i="26"/>
  <c r="Y501" i="26"/>
  <c r="X502" i="26"/>
  <c r="Y502" i="26"/>
  <c r="X503" i="26"/>
  <c r="Y503" i="26"/>
  <c r="X504" i="26"/>
  <c r="X505" i="26"/>
  <c r="Y504" i="26"/>
  <c r="Y505" i="26"/>
  <c r="X506" i="26"/>
  <c r="Y506" i="26"/>
  <c r="X507" i="26"/>
  <c r="Y507" i="26"/>
  <c r="X508" i="26"/>
  <c r="X509" i="26"/>
  <c r="Y508" i="26"/>
  <c r="X510" i="26"/>
  <c r="Y509" i="26"/>
  <c r="X511" i="26"/>
  <c r="Y510" i="26"/>
  <c r="X512" i="26"/>
  <c r="Y511" i="26"/>
  <c r="Y512" i="26"/>
  <c r="X513" i="26"/>
  <c r="Y513" i="26"/>
  <c r="X514" i="26"/>
  <c r="X515" i="26"/>
  <c r="Y514" i="26"/>
  <c r="X516" i="26"/>
  <c r="Y515" i="26"/>
  <c r="Y516" i="26"/>
  <c r="X517" i="26"/>
  <c r="Y517" i="26"/>
  <c r="X518" i="26"/>
  <c r="Y518" i="26"/>
  <c r="X519" i="26"/>
  <c r="X520" i="26"/>
  <c r="Y519" i="26"/>
  <c r="Y520" i="26"/>
  <c r="X521" i="26"/>
  <c r="X522" i="26"/>
  <c r="Y521" i="26"/>
  <c r="X523" i="26"/>
  <c r="Y522" i="26"/>
  <c r="X524" i="26"/>
  <c r="Y523" i="26"/>
  <c r="Y524" i="26"/>
  <c r="X525" i="26"/>
  <c r="X526" i="26"/>
  <c r="Y525" i="26"/>
  <c r="X527" i="26"/>
  <c r="Y526" i="26"/>
  <c r="Y527" i="26"/>
  <c r="X528" i="26"/>
  <c r="Y528" i="26"/>
  <c r="X529" i="26"/>
  <c r="Y529" i="26"/>
  <c r="X530" i="26"/>
  <c r="X531" i="26"/>
  <c r="Y530" i="26"/>
  <c r="X532" i="26"/>
  <c r="Y531" i="26"/>
  <c r="Y532" i="26"/>
  <c r="X533" i="26"/>
  <c r="Y533" i="26"/>
  <c r="X534" i="26"/>
  <c r="X535" i="26"/>
  <c r="Y534" i="26"/>
  <c r="X536" i="26"/>
  <c r="Y535" i="26"/>
  <c r="Y536" i="26"/>
  <c r="X537" i="26"/>
  <c r="X538" i="26"/>
  <c r="Y537" i="26"/>
  <c r="Y538" i="26"/>
  <c r="X539" i="26"/>
  <c r="X540" i="26"/>
  <c r="Y539" i="26"/>
  <c r="X541" i="26"/>
  <c r="Y540" i="26"/>
  <c r="Y541" i="26"/>
  <c r="X542" i="26"/>
  <c r="X543" i="26"/>
  <c r="Y542" i="26"/>
  <c r="Y543" i="26"/>
  <c r="X544" i="26"/>
  <c r="Y544" i="26"/>
  <c r="X545" i="26"/>
  <c r="Y545" i="26"/>
  <c r="X546" i="26"/>
  <c r="Y546" i="26"/>
  <c r="X547" i="26"/>
  <c r="X548" i="26"/>
  <c r="Y547" i="26"/>
  <c r="X549" i="26"/>
  <c r="Y548" i="26"/>
  <c r="X550" i="26"/>
  <c r="Y549" i="26"/>
  <c r="Y550" i="26"/>
  <c r="X551" i="26"/>
  <c r="Y551" i="26"/>
  <c r="X552" i="26"/>
  <c r="X553" i="26"/>
  <c r="Y552" i="26"/>
  <c r="X554" i="26"/>
  <c r="Y553" i="26"/>
  <c r="X555" i="26"/>
  <c r="Y554" i="26"/>
  <c r="X556" i="26"/>
  <c r="Y555" i="26"/>
  <c r="X557" i="26"/>
  <c r="Y556" i="26"/>
  <c r="Y557" i="26"/>
  <c r="X558" i="26"/>
  <c r="Y558" i="26"/>
  <c r="X559" i="26"/>
  <c r="Y559" i="26"/>
  <c r="X560" i="26"/>
  <c r="Y560" i="26"/>
  <c r="X561" i="26"/>
  <c r="X562" i="26"/>
  <c r="Y561" i="26"/>
  <c r="X563" i="26"/>
  <c r="Y562" i="26"/>
  <c r="Y563" i="26"/>
  <c r="X564" i="26"/>
  <c r="X565" i="26"/>
  <c r="Y564" i="26"/>
  <c r="Y565" i="26"/>
  <c r="X566" i="26"/>
  <c r="X567" i="26"/>
  <c r="Y566" i="26"/>
  <c r="X568" i="26"/>
  <c r="Y567" i="26"/>
  <c r="Y568" i="26"/>
  <c r="X569" i="26"/>
  <c r="Y569" i="26"/>
  <c r="X570" i="26"/>
  <c r="X571" i="26"/>
  <c r="Y570" i="26"/>
  <c r="X572" i="26"/>
  <c r="Y571" i="26"/>
  <c r="Y572" i="26"/>
  <c r="X573" i="26"/>
  <c r="X574" i="26"/>
  <c r="Y573" i="26"/>
  <c r="X575" i="26"/>
  <c r="Y574" i="26"/>
  <c r="Y575" i="26"/>
  <c r="X576" i="26"/>
  <c r="Y576" i="26"/>
  <c r="X577" i="26"/>
  <c r="X578" i="26"/>
  <c r="Y577" i="26"/>
  <c r="X579" i="26"/>
  <c r="Y578" i="26"/>
  <c r="X580" i="26"/>
  <c r="Y579" i="26"/>
  <c r="Y580" i="26"/>
  <c r="X581" i="26"/>
  <c r="Y581" i="26"/>
  <c r="X582" i="26"/>
  <c r="Y582" i="26"/>
  <c r="X583" i="26"/>
  <c r="X584" i="26"/>
  <c r="Y583" i="26"/>
  <c r="X585" i="26"/>
  <c r="Y584" i="26"/>
  <c r="Y585" i="26"/>
  <c r="X586" i="26"/>
  <c r="Y586" i="26"/>
  <c r="X587" i="26"/>
  <c r="X588" i="26"/>
  <c r="Y587" i="26"/>
  <c r="Y588" i="26"/>
  <c r="X589" i="26"/>
  <c r="X590" i="26"/>
  <c r="Y589" i="26"/>
  <c r="X591" i="26"/>
  <c r="Y590" i="26"/>
  <c r="X592" i="26"/>
  <c r="Y591" i="26"/>
  <c r="X593" i="26"/>
  <c r="Y592" i="26"/>
  <c r="Y593" i="26"/>
  <c r="X594" i="26"/>
  <c r="X595" i="26"/>
  <c r="Y594" i="26"/>
  <c r="X596" i="26"/>
  <c r="Y595" i="26"/>
  <c r="Y596" i="26"/>
  <c r="X597" i="26"/>
  <c r="Y597" i="26"/>
  <c r="X598" i="26"/>
  <c r="Y598" i="26"/>
  <c r="X599" i="26"/>
  <c r="Y599" i="26"/>
  <c r="X600" i="26"/>
  <c r="X601" i="26"/>
  <c r="Y600" i="26"/>
  <c r="X602" i="26"/>
  <c r="Y601" i="26"/>
  <c r="X603" i="26"/>
  <c r="Y602" i="26"/>
  <c r="Y603" i="26"/>
  <c r="X604" i="26"/>
  <c r="X605" i="26"/>
  <c r="Y604" i="26"/>
  <c r="Y605" i="26"/>
  <c r="X606" i="26"/>
  <c r="Y606" i="26"/>
  <c r="X607" i="26"/>
  <c r="X608" i="26"/>
  <c r="Y607" i="26"/>
  <c r="Y608" i="26"/>
  <c r="X609" i="26"/>
  <c r="Y609" i="26"/>
  <c r="X610" i="26"/>
  <c r="Y610" i="26"/>
  <c r="X611" i="26"/>
  <c r="X612" i="26"/>
  <c r="Y611" i="26"/>
  <c r="X613" i="26"/>
  <c r="Y612" i="26"/>
  <c r="X614" i="26"/>
  <c r="Y613" i="26"/>
  <c r="Y614" i="26"/>
  <c r="X615" i="26"/>
  <c r="X616" i="26"/>
  <c r="Y615" i="26"/>
  <c r="Y616" i="26"/>
  <c r="X617" i="26"/>
  <c r="Y617" i="26"/>
  <c r="X618" i="26"/>
  <c r="X619" i="26"/>
  <c r="Y618" i="26"/>
  <c r="X620" i="26"/>
  <c r="Y619" i="26"/>
  <c r="Y620" i="26"/>
  <c r="X621" i="26"/>
  <c r="X622" i="26"/>
  <c r="Y621" i="26"/>
  <c r="Y622" i="26"/>
  <c r="X623" i="26"/>
  <c r="Y623" i="26"/>
  <c r="X624" i="26"/>
  <c r="Y624" i="26"/>
  <c r="X625" i="26"/>
  <c r="X626" i="26"/>
  <c r="Y625" i="26"/>
  <c r="Y626" i="26"/>
  <c r="X627" i="26"/>
  <c r="Y627" i="26"/>
  <c r="X628" i="26"/>
  <c r="Y628" i="26"/>
  <c r="X629" i="26"/>
  <c r="X630" i="26"/>
  <c r="Y629" i="26"/>
  <c r="X631" i="26"/>
  <c r="Y630" i="26"/>
  <c r="Y631" i="26"/>
  <c r="X632" i="26"/>
  <c r="Y632" i="26"/>
  <c r="X633" i="26"/>
  <c r="X634" i="26"/>
  <c r="Y633" i="26"/>
  <c r="X635" i="26"/>
  <c r="Y634" i="26"/>
  <c r="X636" i="26"/>
  <c r="Y635" i="26"/>
  <c r="Y636" i="26"/>
  <c r="X637" i="26"/>
  <c r="X638" i="26"/>
  <c r="Y637" i="26"/>
  <c r="Y638" i="26"/>
  <c r="X639" i="26"/>
  <c r="X640" i="26"/>
  <c r="Y639" i="26"/>
  <c r="Y640" i="26"/>
  <c r="X641" i="26"/>
  <c r="X642" i="26"/>
  <c r="Y641" i="26"/>
  <c r="X643" i="26"/>
  <c r="Y642" i="26"/>
  <c r="X644" i="26"/>
  <c r="Y643" i="26"/>
  <c r="X645" i="26"/>
  <c r="Y644" i="26"/>
  <c r="Y645" i="26"/>
  <c r="X646" i="26"/>
  <c r="X647" i="26"/>
  <c r="Y646" i="26"/>
  <c r="X648" i="26"/>
  <c r="Y647" i="26"/>
  <c r="Y648" i="26"/>
  <c r="X649" i="26"/>
  <c r="Y649" i="26"/>
  <c r="X650" i="26"/>
  <c r="Y650" i="26"/>
  <c r="X651" i="26"/>
  <c r="X652" i="26"/>
  <c r="Y651" i="26"/>
  <c r="X653" i="26"/>
  <c r="Y652" i="26"/>
  <c r="X654" i="26"/>
  <c r="Y653" i="26"/>
  <c r="Y654" i="26"/>
  <c r="X655" i="26"/>
  <c r="Y655" i="26"/>
  <c r="X656" i="26"/>
  <c r="Y656" i="26"/>
  <c r="X657" i="26"/>
  <c r="X658" i="26"/>
  <c r="Y657" i="26"/>
  <c r="Y658" i="26"/>
  <c r="X659" i="26"/>
  <c r="X660" i="26"/>
  <c r="Y659" i="26"/>
  <c r="X661" i="26"/>
  <c r="Y660" i="26"/>
  <c r="Y661" i="26"/>
  <c r="X662" i="26"/>
  <c r="X663" i="26"/>
  <c r="Y662" i="26"/>
  <c r="Y663" i="26"/>
  <c r="X664" i="26"/>
  <c r="X665" i="26"/>
  <c r="Y664" i="26"/>
  <c r="Y665" i="26"/>
  <c r="X666" i="26"/>
  <c r="X667" i="26"/>
  <c r="Y666" i="26"/>
  <c r="X668" i="26"/>
  <c r="Y667" i="26"/>
  <c r="Y668" i="26"/>
  <c r="X669" i="26"/>
  <c r="X670" i="26"/>
  <c r="Y669" i="26"/>
  <c r="Y670" i="26"/>
  <c r="X671" i="26"/>
  <c r="Y671" i="26"/>
  <c r="X672" i="26"/>
  <c r="Y672" i="26"/>
  <c r="X673" i="26"/>
  <c r="X674" i="26"/>
  <c r="Y673" i="26"/>
  <c r="X675" i="26"/>
  <c r="Y674" i="26"/>
  <c r="X676" i="26"/>
  <c r="Y675" i="26"/>
  <c r="X677" i="26"/>
  <c r="Y676" i="26"/>
  <c r="Y677" i="26"/>
  <c r="X678" i="26"/>
  <c r="Y678" i="26"/>
  <c r="X679" i="26"/>
  <c r="Y679" i="26"/>
  <c r="X680" i="26"/>
  <c r="X681" i="26"/>
  <c r="Y680" i="26"/>
  <c r="X682" i="26"/>
  <c r="Y681" i="26"/>
  <c r="X683" i="26"/>
  <c r="Y682" i="26"/>
  <c r="X684" i="26"/>
  <c r="Y683" i="26"/>
  <c r="Y684" i="26"/>
  <c r="X685" i="26"/>
  <c r="X686" i="26"/>
  <c r="Y685" i="26"/>
  <c r="X687" i="26"/>
  <c r="Y686" i="26"/>
  <c r="X688" i="26"/>
  <c r="Y687" i="26"/>
  <c r="X689" i="26"/>
  <c r="Y688" i="26"/>
  <c r="Y689" i="26"/>
  <c r="X690" i="26"/>
  <c r="Y690" i="26"/>
  <c r="X691" i="26"/>
  <c r="Y691" i="26"/>
  <c r="X692" i="26"/>
  <c r="X693" i="26"/>
  <c r="Y692" i="26"/>
  <c r="Y693" i="26"/>
  <c r="X694" i="26"/>
  <c r="X695" i="26"/>
  <c r="Y694" i="26"/>
  <c r="Y695" i="26"/>
  <c r="X696" i="26"/>
  <c r="Y696" i="26"/>
  <c r="X697" i="26"/>
  <c r="X698" i="26"/>
  <c r="Y697" i="26"/>
  <c r="Y698" i="26"/>
  <c r="X699" i="26"/>
  <c r="X700" i="26"/>
  <c r="Y699" i="26"/>
  <c r="Y700" i="26"/>
  <c r="X701" i="26"/>
  <c r="X702" i="26"/>
  <c r="Y701" i="26"/>
  <c r="Y702" i="26"/>
  <c r="X703" i="26"/>
  <c r="X704" i="26"/>
  <c r="Y703" i="26"/>
  <c r="X705" i="26"/>
  <c r="Y704" i="26"/>
  <c r="Y705" i="26"/>
  <c r="X706" i="26"/>
  <c r="Y706" i="26"/>
  <c r="X707" i="26"/>
  <c r="X708" i="26"/>
  <c r="Y707" i="26"/>
  <c r="Y708" i="26"/>
  <c r="X709" i="26"/>
  <c r="Y709" i="26"/>
  <c r="X710" i="26"/>
  <c r="Y710" i="26"/>
  <c r="X711" i="26"/>
  <c r="X712" i="26"/>
  <c r="Y711" i="26"/>
  <c r="Y712" i="26"/>
  <c r="X713" i="26"/>
  <c r="Y713" i="26"/>
  <c r="X714" i="26"/>
  <c r="X715" i="26"/>
  <c r="Y714" i="26"/>
  <c r="Y715" i="26"/>
  <c r="X716" i="26"/>
  <c r="Y716" i="26"/>
  <c r="X717" i="26"/>
  <c r="Y717" i="26"/>
  <c r="X718" i="26"/>
  <c r="Y718" i="26"/>
  <c r="X719" i="26"/>
  <c r="Y719" i="26"/>
  <c r="X720" i="26"/>
  <c r="Y720" i="26"/>
  <c r="X721" i="26"/>
  <c r="Y721" i="26"/>
  <c r="X722" i="26"/>
  <c r="Y722" i="26"/>
  <c r="X723" i="26"/>
  <c r="X724" i="26"/>
  <c r="Y723" i="26"/>
  <c r="X725" i="26"/>
  <c r="Y724" i="26"/>
  <c r="X726" i="26"/>
  <c r="Y725" i="26"/>
  <c r="Y726" i="26"/>
  <c r="X727" i="26"/>
  <c r="X728" i="26"/>
  <c r="Y727" i="26"/>
  <c r="Y728" i="26"/>
  <c r="X729" i="26"/>
  <c r="X730" i="26"/>
  <c r="Y729" i="26"/>
  <c r="Y730" i="26"/>
  <c r="X731" i="26"/>
  <c r="Y731" i="26"/>
  <c r="X732" i="26"/>
  <c r="Y732" i="26"/>
  <c r="X733" i="26"/>
  <c r="X734" i="26"/>
  <c r="Y733" i="26"/>
  <c r="Y734" i="26"/>
  <c r="X735" i="26"/>
  <c r="X736" i="26"/>
  <c r="Y735" i="26"/>
  <c r="Y736" i="26"/>
  <c r="X737" i="26"/>
  <c r="Y737" i="26"/>
  <c r="X738" i="26"/>
  <c r="Y738" i="26"/>
  <c r="X739" i="26"/>
  <c r="Y739" i="26"/>
  <c r="X740" i="26"/>
  <c r="X741" i="26"/>
  <c r="Y740" i="26"/>
  <c r="Y741" i="26"/>
  <c r="X742" i="26"/>
  <c r="X743" i="26"/>
  <c r="Y742" i="26"/>
  <c r="Y743" i="26"/>
  <c r="X744" i="26"/>
  <c r="Y744" i="26"/>
  <c r="X745" i="26"/>
  <c r="Y745" i="26"/>
  <c r="X746" i="26"/>
  <c r="X747" i="26"/>
  <c r="Y746" i="26"/>
  <c r="X748" i="26"/>
  <c r="Y747" i="26"/>
  <c r="Y748" i="26"/>
  <c r="X749" i="26"/>
  <c r="Y749" i="26"/>
  <c r="X750" i="26"/>
  <c r="Y750" i="26"/>
  <c r="X751" i="26"/>
  <c r="Y751" i="26"/>
  <c r="X752" i="26"/>
  <c r="X753" i="26"/>
  <c r="Y752" i="26"/>
  <c r="Y753" i="26"/>
  <c r="X754" i="26"/>
  <c r="X755" i="26"/>
  <c r="Y754" i="26"/>
  <c r="Y755" i="26"/>
  <c r="X756" i="26"/>
  <c r="X757" i="26"/>
  <c r="Y756" i="26"/>
  <c r="X758" i="26"/>
  <c r="Y757" i="26"/>
  <c r="X759" i="26"/>
  <c r="Y758" i="26"/>
  <c r="Y759" i="26"/>
  <c r="X760" i="26"/>
  <c r="X761" i="26"/>
  <c r="Y760" i="26"/>
  <c r="X762" i="26"/>
  <c r="Y761" i="26"/>
  <c r="X763" i="26"/>
  <c r="Y762" i="26"/>
  <c r="Y763" i="26"/>
  <c r="X764" i="26"/>
  <c r="X765" i="26"/>
  <c r="Y764" i="26"/>
  <c r="X766" i="26"/>
  <c r="Y765" i="26"/>
  <c r="Y766" i="26"/>
  <c r="X767" i="26"/>
  <c r="X768" i="26"/>
  <c r="Y767" i="26"/>
  <c r="Y768" i="26"/>
  <c r="X769" i="26"/>
  <c r="X770" i="26"/>
  <c r="Y769" i="26"/>
  <c r="X771" i="26"/>
  <c r="Y770" i="26"/>
  <c r="X772" i="26"/>
  <c r="Y771" i="26"/>
  <c r="X773" i="26"/>
  <c r="Y772" i="26"/>
  <c r="X774" i="26"/>
  <c r="Y773" i="26"/>
  <c r="Y774" i="26"/>
  <c r="X775" i="26"/>
  <c r="X776" i="26"/>
  <c r="Y775" i="26"/>
  <c r="X777" i="26"/>
  <c r="Y776" i="26"/>
  <c r="Y777" i="26"/>
  <c r="X778" i="26"/>
  <c r="Y778" i="26"/>
  <c r="X779" i="26"/>
  <c r="X780" i="26"/>
  <c r="Y779" i="26"/>
  <c r="Y780" i="26"/>
  <c r="X781" i="26"/>
  <c r="Y781" i="26"/>
  <c r="X782" i="26"/>
  <c r="X783" i="26"/>
  <c r="Y782" i="26"/>
  <c r="Y783" i="26"/>
  <c r="X784" i="26"/>
  <c r="Y784" i="26"/>
  <c r="X785" i="26"/>
  <c r="X786" i="26"/>
  <c r="Y785" i="26"/>
  <c r="Y786" i="26"/>
  <c r="X787" i="26"/>
  <c r="X788" i="26"/>
  <c r="Y787" i="26"/>
  <c r="Y788" i="26"/>
  <c r="X789" i="26"/>
  <c r="X790" i="26"/>
  <c r="Y789" i="26"/>
  <c r="X791" i="26"/>
  <c r="Y790" i="26"/>
  <c r="X792" i="26"/>
  <c r="Y791" i="26"/>
  <c r="Y792" i="26"/>
  <c r="X793" i="26"/>
  <c r="X794" i="26"/>
  <c r="Y793" i="26"/>
  <c r="X795" i="26"/>
  <c r="Y794" i="26"/>
  <c r="Y795" i="26"/>
  <c r="X796" i="26"/>
  <c r="X797" i="26"/>
  <c r="Y796" i="26"/>
  <c r="X798" i="26"/>
  <c r="Y797" i="26"/>
  <c r="X799" i="26"/>
  <c r="Y798" i="26"/>
  <c r="Y799" i="26"/>
  <c r="X800" i="26"/>
  <c r="X801" i="26"/>
  <c r="Y800" i="26"/>
  <c r="X802" i="26"/>
  <c r="Y801" i="26"/>
  <c r="X803" i="26"/>
  <c r="Y802" i="26"/>
  <c r="Y803" i="26"/>
  <c r="X804" i="26"/>
  <c r="Y804" i="26"/>
  <c r="X805" i="26"/>
  <c r="X806" i="26"/>
  <c r="Y805" i="26"/>
  <c r="X807" i="26"/>
  <c r="Y806" i="26"/>
  <c r="Y807" i="26"/>
  <c r="X808" i="26"/>
  <c r="Y808" i="26"/>
  <c r="X809" i="26"/>
  <c r="X810" i="26"/>
  <c r="Y809" i="26"/>
  <c r="Y810" i="26"/>
  <c r="X811" i="26"/>
  <c r="X812" i="26"/>
  <c r="Y811" i="26"/>
  <c r="Y812" i="26"/>
  <c r="X813" i="26"/>
  <c r="X814" i="26"/>
  <c r="Y813" i="26"/>
  <c r="X815" i="26"/>
  <c r="Y814" i="26"/>
  <c r="X816" i="26"/>
  <c r="Y815" i="26"/>
  <c r="Y816" i="26"/>
  <c r="X817" i="26"/>
  <c r="X818" i="26"/>
  <c r="Y817" i="26"/>
  <c r="Y818" i="26"/>
  <c r="X819" i="26"/>
  <c r="X820" i="26"/>
  <c r="Y819" i="26"/>
  <c r="X821" i="26"/>
  <c r="Y820" i="26"/>
  <c r="Y821" i="26"/>
  <c r="X822" i="26"/>
  <c r="Y822" i="26"/>
  <c r="X823" i="26"/>
  <c r="Y823" i="26"/>
  <c r="X824" i="26"/>
  <c r="Y824" i="26"/>
  <c r="X825" i="26"/>
  <c r="Y825" i="26"/>
  <c r="X826" i="26"/>
  <c r="X827" i="26"/>
  <c r="Y826" i="26"/>
  <c r="Y827" i="26"/>
  <c r="X828" i="26"/>
  <c r="Y828" i="26"/>
  <c r="X829" i="26"/>
  <c r="X830" i="26"/>
  <c r="Y829" i="26"/>
  <c r="X831" i="26"/>
  <c r="Y830" i="26"/>
  <c r="Y831" i="26"/>
  <c r="X832" i="26"/>
  <c r="Y832" i="26"/>
  <c r="X833" i="26"/>
  <c r="Y833" i="26"/>
  <c r="X834" i="26"/>
  <c r="Y834" i="26"/>
  <c r="X835" i="26"/>
  <c r="Y835" i="26"/>
  <c r="X836" i="26"/>
  <c r="Y836" i="26"/>
  <c r="X837" i="26"/>
  <c r="X838" i="26"/>
  <c r="Y837" i="26"/>
  <c r="X839" i="26"/>
  <c r="Y838" i="26"/>
  <c r="Y839" i="26"/>
  <c r="X840" i="26"/>
  <c r="Y840" i="26"/>
  <c r="X841" i="26"/>
  <c r="Y841" i="26"/>
  <c r="X842" i="26"/>
  <c r="Y842" i="26"/>
  <c r="X843" i="26"/>
  <c r="X844" i="26"/>
  <c r="Y843" i="26"/>
  <c r="Y844" i="26"/>
  <c r="X845" i="26"/>
  <c r="Y845" i="26"/>
  <c r="X846" i="26"/>
  <c r="Y846" i="26"/>
  <c r="X847" i="26"/>
  <c r="X848" i="26"/>
  <c r="Y847" i="26"/>
  <c r="X849" i="26"/>
  <c r="Y848" i="26"/>
  <c r="X850" i="26"/>
  <c r="Y849" i="26"/>
  <c r="Y850" i="26"/>
  <c r="X851" i="26"/>
  <c r="X852" i="26"/>
  <c r="Y851" i="26"/>
  <c r="Y852" i="26"/>
  <c r="X853" i="26"/>
  <c r="X854" i="26"/>
  <c r="Y853" i="26"/>
  <c r="X855" i="26"/>
  <c r="Y854" i="26"/>
  <c r="Y855" i="26"/>
  <c r="X856" i="26"/>
  <c r="Y856" i="26"/>
  <c r="X857" i="26"/>
  <c r="Y857" i="26"/>
  <c r="X858" i="26"/>
  <c r="X859" i="26"/>
  <c r="Y858" i="26"/>
  <c r="X860" i="26"/>
  <c r="Y859" i="26"/>
  <c r="X861" i="26"/>
  <c r="Y860" i="26"/>
  <c r="Y861" i="26"/>
  <c r="X862" i="26"/>
  <c r="Y862" i="26"/>
  <c r="X863" i="26"/>
  <c r="X864" i="26"/>
  <c r="Y863" i="26"/>
  <c r="Y864" i="26"/>
  <c r="X865" i="26"/>
  <c r="Y865" i="26"/>
  <c r="X866" i="26"/>
  <c r="X867" i="26"/>
  <c r="Y866" i="26"/>
  <c r="X868" i="26"/>
  <c r="Y867" i="26"/>
  <c r="Y868" i="26"/>
  <c r="X869" i="26"/>
  <c r="X870" i="26"/>
  <c r="Y869" i="26"/>
  <c r="X871" i="26"/>
  <c r="Y870" i="26"/>
  <c r="Y871" i="26"/>
  <c r="X872" i="26"/>
  <c r="X873" i="26"/>
  <c r="Y872" i="26"/>
  <c r="X874" i="26"/>
  <c r="Y873" i="26"/>
  <c r="Y874" i="26"/>
  <c r="X875" i="26"/>
  <c r="X876" i="26"/>
  <c r="Y875" i="26"/>
  <c r="X877" i="26"/>
  <c r="Y876" i="26"/>
  <c r="Y877" i="26"/>
  <c r="X878" i="26"/>
  <c r="Y878" i="26"/>
  <c r="X879" i="26"/>
  <c r="X880" i="26"/>
  <c r="Y879" i="26"/>
  <c r="X881" i="26"/>
  <c r="Y880" i="26"/>
  <c r="Y881" i="26"/>
  <c r="X882" i="26"/>
  <c r="X883" i="26"/>
  <c r="Y882" i="26"/>
  <c r="X884" i="26"/>
  <c r="Y883" i="26"/>
  <c r="Y884" i="26"/>
  <c r="X885" i="26"/>
  <c r="Y885" i="26"/>
  <c r="X886" i="26"/>
  <c r="X887" i="26"/>
  <c r="Y886" i="26"/>
  <c r="Y887" i="26"/>
  <c r="X888" i="26"/>
  <c r="Y888" i="26"/>
  <c r="X889" i="26"/>
  <c r="Y889" i="26"/>
  <c r="X890" i="26"/>
  <c r="Y890" i="26"/>
  <c r="X891" i="26"/>
  <c r="Y891" i="26"/>
  <c r="X892" i="26"/>
  <c r="Y892" i="26"/>
  <c r="X893" i="26"/>
  <c r="X894" i="26"/>
  <c r="Y893" i="26"/>
  <c r="X895" i="26"/>
  <c r="Y894" i="26"/>
  <c r="Y895" i="26"/>
  <c r="X896" i="26"/>
  <c r="X897" i="26"/>
  <c r="Y896" i="26"/>
  <c r="Y897" i="26"/>
  <c r="X898" i="26"/>
  <c r="Y898" i="26"/>
  <c r="X899" i="26"/>
  <c r="X900" i="26"/>
  <c r="Y899" i="26"/>
  <c r="Y900" i="26"/>
  <c r="X901" i="26"/>
  <c r="Y901" i="26"/>
  <c r="X902" i="26"/>
  <c r="Y902" i="26"/>
  <c r="X903" i="26"/>
  <c r="Y903" i="26"/>
  <c r="X904" i="26"/>
  <c r="Y904" i="26"/>
  <c r="X905" i="26"/>
  <c r="Y905" i="26"/>
  <c r="X906" i="26"/>
  <c r="X907" i="26"/>
  <c r="Y906" i="26"/>
  <c r="X908" i="26"/>
  <c r="Y907" i="26"/>
  <c r="X909" i="26"/>
  <c r="Y908" i="26"/>
  <c r="X910" i="26"/>
  <c r="Y909" i="26"/>
  <c r="X911" i="26"/>
  <c r="Y910" i="26"/>
  <c r="Y911" i="26"/>
  <c r="X912" i="26"/>
  <c r="X913" i="26"/>
  <c r="Y912" i="26"/>
  <c r="Y913" i="26"/>
  <c r="X914" i="26"/>
  <c r="X915" i="26"/>
  <c r="Y914" i="26"/>
  <c r="Y915" i="26"/>
  <c r="X916" i="26"/>
  <c r="Y916" i="26"/>
  <c r="X917" i="26"/>
  <c r="Y917" i="26"/>
  <c r="X918" i="26"/>
  <c r="X919" i="26"/>
  <c r="Y918" i="26"/>
  <c r="Y919" i="26"/>
  <c r="X920" i="26"/>
  <c r="Y920" i="26"/>
  <c r="X921" i="26"/>
  <c r="X922" i="26"/>
  <c r="Y921" i="26"/>
  <c r="X923" i="26"/>
  <c r="Y922" i="26"/>
  <c r="X924" i="26"/>
  <c r="Y923" i="26"/>
  <c r="Y924" i="26"/>
  <c r="X925" i="26"/>
  <c r="Y925" i="26"/>
  <c r="X926" i="26"/>
  <c r="Y926" i="26"/>
  <c r="X927" i="26"/>
  <c r="Y927" i="26"/>
  <c r="X928" i="26"/>
  <c r="Y928" i="26"/>
  <c r="X929" i="26"/>
  <c r="X930" i="26"/>
  <c r="Y929" i="26"/>
  <c r="X931" i="26"/>
  <c r="Y930" i="26"/>
  <c r="Y931" i="26"/>
  <c r="X932" i="26"/>
  <c r="Y932" i="26"/>
  <c r="X933" i="26"/>
  <c r="X934" i="26"/>
  <c r="Y933" i="26"/>
  <c r="Y934" i="26"/>
  <c r="X935" i="26"/>
  <c r="Y935" i="26"/>
  <c r="X936" i="26"/>
  <c r="Y936" i="26"/>
  <c r="X937" i="26"/>
  <c r="Y937" i="26"/>
  <c r="X938" i="26"/>
  <c r="Y938" i="26"/>
  <c r="X939" i="26"/>
  <c r="X940" i="26"/>
  <c r="Y939" i="26"/>
  <c r="Y940" i="26"/>
  <c r="X941" i="26"/>
  <c r="X942" i="26"/>
  <c r="Y941" i="26"/>
  <c r="X943" i="26"/>
  <c r="Y942" i="26"/>
  <c r="Y943" i="26"/>
  <c r="X944" i="26"/>
  <c r="X945" i="26"/>
  <c r="Y944" i="26"/>
  <c r="X946" i="26"/>
  <c r="Y945" i="26"/>
  <c r="Y946" i="26"/>
  <c r="X947" i="26"/>
  <c r="X948" i="26"/>
  <c r="Y947" i="26"/>
  <c r="X949" i="26"/>
  <c r="Y948" i="26"/>
  <c r="Y949" i="26"/>
  <c r="X950" i="26"/>
  <c r="Y950" i="26"/>
  <c r="X951" i="26"/>
  <c r="Y951" i="26"/>
  <c r="X952" i="26"/>
  <c r="Y952" i="26"/>
  <c r="X953" i="26"/>
  <c r="Y953" i="26"/>
  <c r="X954" i="26"/>
  <c r="X955" i="26"/>
  <c r="Y954" i="26"/>
  <c r="Y955" i="26"/>
  <c r="X956" i="26"/>
  <c r="X957" i="26"/>
  <c r="Y956" i="26"/>
  <c r="Y957" i="26"/>
  <c r="X958" i="26"/>
  <c r="X959" i="26"/>
  <c r="Y958" i="26"/>
  <c r="X960" i="26"/>
  <c r="Y959" i="26"/>
  <c r="X961" i="26"/>
  <c r="Y960" i="26"/>
  <c r="Y961" i="26"/>
  <c r="X962" i="26"/>
  <c r="X963" i="26"/>
  <c r="Y962" i="26"/>
  <c r="Y963" i="26"/>
  <c r="X964" i="26"/>
  <c r="Y964" i="26"/>
  <c r="X965" i="26"/>
  <c r="Y965" i="26"/>
  <c r="X966" i="26"/>
  <c r="X967" i="26"/>
  <c r="Y966" i="26"/>
  <c r="X968" i="26"/>
  <c r="Y967" i="26"/>
  <c r="Y968" i="26"/>
  <c r="X969" i="26"/>
  <c r="Y969" i="26"/>
  <c r="X970" i="26"/>
  <c r="Y970" i="26"/>
  <c r="X971" i="26"/>
  <c r="Y971" i="26"/>
  <c r="X972" i="26"/>
  <c r="X973" i="26"/>
  <c r="Y972" i="26"/>
  <c r="Y973" i="26"/>
  <c r="X974" i="26"/>
  <c r="Y974" i="26"/>
  <c r="X975" i="26"/>
  <c r="Y975" i="26"/>
  <c r="X976" i="26"/>
  <c r="Y976" i="26"/>
  <c r="X977" i="26"/>
  <c r="Y977" i="26"/>
  <c r="X978" i="26"/>
  <c r="X979" i="26"/>
  <c r="Y978" i="26"/>
  <c r="X980" i="26"/>
  <c r="Y979" i="26"/>
  <c r="Y980" i="26"/>
  <c r="X981" i="26"/>
  <c r="X982" i="26"/>
  <c r="Y981" i="26"/>
  <c r="X983" i="26"/>
  <c r="Y982" i="26"/>
  <c r="X984" i="26"/>
  <c r="Y983" i="26"/>
  <c r="Y984" i="26"/>
  <c r="X985" i="26"/>
  <c r="Y985" i="26"/>
  <c r="X986" i="26"/>
  <c r="X987" i="26"/>
  <c r="Y986" i="26"/>
  <c r="X988" i="26"/>
  <c r="Y987" i="26"/>
  <c r="Y988" i="26"/>
  <c r="X989" i="26"/>
  <c r="X990" i="26"/>
  <c r="Y989" i="26"/>
  <c r="Y990" i="26"/>
  <c r="X991" i="26"/>
  <c r="Y991" i="26"/>
  <c r="X992" i="26"/>
  <c r="Y992" i="26"/>
  <c r="X993" i="26"/>
  <c r="X994" i="26"/>
  <c r="Y993" i="26"/>
  <c r="X995" i="26"/>
  <c r="Y994" i="26"/>
  <c r="Y995" i="26"/>
  <c r="X996" i="26"/>
  <c r="Y996" i="26"/>
  <c r="X997" i="26"/>
  <c r="Y997" i="26"/>
  <c r="X998" i="26"/>
  <c r="Y998" i="26"/>
  <c r="X999" i="26"/>
  <c r="Y999" i="26"/>
  <c r="X1000" i="26"/>
  <c r="X1001" i="26"/>
  <c r="Y1000" i="26"/>
  <c r="Y1001" i="26"/>
  <c r="X1002" i="26"/>
  <c r="Y1002" i="26"/>
  <c r="X1003" i="26"/>
  <c r="Y1003" i="26"/>
  <c r="X1004" i="26"/>
  <c r="Y1004" i="26"/>
  <c r="X1005" i="26"/>
  <c r="X1006" i="26"/>
  <c r="Y1005" i="26"/>
  <c r="X1007" i="26"/>
  <c r="Y1006" i="26"/>
  <c r="Y1007" i="26"/>
  <c r="X1008" i="26"/>
  <c r="X1009" i="26"/>
  <c r="Y1008" i="26"/>
  <c r="Y1009" i="26"/>
  <c r="X1010" i="26"/>
  <c r="Y1010" i="26"/>
  <c r="X1011" i="26"/>
  <c r="X1012" i="26"/>
  <c r="Y1011" i="26"/>
  <c r="X1013" i="26"/>
  <c r="Y1012" i="26"/>
  <c r="Y1013" i="26"/>
  <c r="X1014" i="26"/>
  <c r="X1015" i="26"/>
  <c r="Y1014" i="26"/>
  <c r="Y1015" i="26"/>
  <c r="X1016" i="26"/>
  <c r="X1017" i="26"/>
  <c r="Y1016" i="26"/>
  <c r="X1018" i="26"/>
  <c r="Y1017" i="26"/>
  <c r="Y1018" i="26"/>
  <c r="X1019" i="26"/>
  <c r="Y1019" i="26"/>
  <c r="X1020" i="26"/>
  <c r="X1021" i="26"/>
  <c r="Y1020" i="26"/>
  <c r="Y1021" i="26"/>
  <c r="X1022" i="26"/>
  <c r="X1023" i="26"/>
  <c r="Y1022" i="26"/>
  <c r="Y1023" i="26"/>
  <c r="X1024" i="26"/>
  <c r="Y1024" i="26"/>
  <c r="X1025" i="26"/>
  <c r="Y1025" i="26"/>
  <c r="X1026" i="26"/>
  <c r="X1027" i="26"/>
  <c r="Y1026" i="26"/>
  <c r="X1028" i="26"/>
  <c r="Y1027" i="26"/>
  <c r="X1029" i="26"/>
  <c r="Y1028" i="26"/>
  <c r="Y1029" i="26"/>
  <c r="X1030" i="26"/>
  <c r="X1031" i="26"/>
  <c r="Y1030" i="26"/>
  <c r="Y1031" i="26"/>
  <c r="X1032" i="26"/>
  <c r="Y1032" i="26"/>
  <c r="X1033" i="26"/>
  <c r="Y1033" i="26"/>
  <c r="X1034" i="26"/>
  <c r="X1035" i="26"/>
  <c r="Y1034" i="26"/>
  <c r="Y1035" i="26"/>
  <c r="X1036" i="26"/>
  <c r="Y1036" i="26"/>
  <c r="X1037" i="26"/>
  <c r="X1038" i="26"/>
  <c r="Y1037" i="26"/>
  <c r="Y1038" i="26"/>
  <c r="X1039" i="26"/>
  <c r="Y1039" i="26"/>
  <c r="X1040" i="26"/>
  <c r="X1041" i="26"/>
  <c r="Y1040" i="26"/>
  <c r="X1042" i="26"/>
  <c r="Y1041" i="26"/>
  <c r="Y1042" i="26"/>
  <c r="X1043" i="26"/>
  <c r="Y1043" i="26"/>
  <c r="X1044" i="26"/>
  <c r="X1045" i="26"/>
  <c r="Y1044" i="26"/>
  <c r="X1046" i="26"/>
  <c r="Y1045" i="26"/>
  <c r="Y1046" i="26"/>
  <c r="X1047" i="26"/>
  <c r="X1048" i="26"/>
  <c r="Y1047" i="26"/>
  <c r="X1049" i="26"/>
  <c r="Y1048" i="26"/>
  <c r="X1050" i="26"/>
  <c r="Y1049" i="26"/>
  <c r="Y1050" i="26"/>
  <c r="X1051" i="26"/>
  <c r="Y1051" i="26"/>
  <c r="X1052" i="26"/>
  <c r="Y1052" i="26"/>
  <c r="X1053" i="26"/>
  <c r="X1054" i="26"/>
  <c r="Y1053" i="26"/>
  <c r="X1055" i="26"/>
  <c r="Y1054" i="26"/>
  <c r="X1056" i="26"/>
  <c r="Y1055" i="26"/>
  <c r="X1057" i="26"/>
  <c r="Y1056" i="26"/>
  <c r="X1058" i="26"/>
  <c r="Y1057" i="26"/>
  <c r="Y1058" i="26"/>
  <c r="X1059" i="26"/>
  <c r="X1060" i="26"/>
  <c r="Y1059" i="26"/>
  <c r="X1061" i="26"/>
  <c r="Y1060" i="26"/>
  <c r="X1062" i="26"/>
  <c r="Y1061" i="26"/>
  <c r="X1063" i="26"/>
  <c r="Y1062" i="26"/>
  <c r="X1064" i="26"/>
  <c r="Y1063" i="26"/>
  <c r="Y1064" i="26"/>
  <c r="X1065" i="26"/>
  <c r="Y1065" i="26"/>
  <c r="X1066" i="26"/>
  <c r="Y1066" i="26"/>
  <c r="X1067" i="26"/>
  <c r="Y1067" i="26"/>
  <c r="X1068" i="26"/>
  <c r="X1069" i="26"/>
  <c r="Y1068" i="26"/>
  <c r="Y1069" i="26"/>
  <c r="X1070" i="26"/>
  <c r="X1071" i="26"/>
  <c r="Y1070" i="26"/>
  <c r="Y1071" i="26"/>
  <c r="X1072" i="26"/>
  <c r="X1073" i="26"/>
  <c r="Y1072" i="26"/>
  <c r="Y1073" i="26"/>
  <c r="X1074" i="26"/>
  <c r="Y1074" i="26"/>
  <c r="X1075" i="26"/>
  <c r="X1076" i="26"/>
  <c r="Y1075" i="26"/>
  <c r="Y1076" i="26"/>
  <c r="X1077" i="26"/>
  <c r="Y1077" i="26"/>
  <c r="X1078" i="26"/>
  <c r="Y1078" i="26"/>
  <c r="X1079" i="26"/>
  <c r="X1080" i="26"/>
  <c r="Y1079" i="26"/>
  <c r="Y1080" i="26"/>
  <c r="X1081" i="26"/>
  <c r="X1082" i="26"/>
  <c r="Y1081" i="26"/>
  <c r="Y1082" i="26"/>
  <c r="X1083" i="26"/>
  <c r="Y1083" i="26"/>
  <c r="X1084" i="26"/>
  <c r="X1085" i="26"/>
  <c r="Y1084" i="26"/>
  <c r="X1086" i="26"/>
  <c r="Y1085" i="26"/>
  <c r="X1087" i="26"/>
  <c r="Y1086" i="26"/>
  <c r="Y1087" i="26"/>
  <c r="X1088" i="26"/>
  <c r="Y1088" i="26"/>
  <c r="X1089" i="26"/>
  <c r="X1090" i="26"/>
  <c r="Y1089" i="26"/>
  <c r="X1091" i="26"/>
  <c r="Y1090" i="26"/>
  <c r="Y1091" i="26"/>
  <c r="X1092" i="26"/>
  <c r="X1093" i="26"/>
  <c r="Y1092" i="26"/>
  <c r="X1094" i="26"/>
  <c r="Y1093" i="26"/>
  <c r="X1095" i="26"/>
  <c r="Y1094" i="26"/>
  <c r="X1096" i="26"/>
  <c r="Y1095" i="26"/>
  <c r="Y1096" i="26"/>
  <c r="X1097" i="26"/>
  <c r="X1098" i="26"/>
  <c r="Y1097" i="26"/>
  <c r="X1099" i="26"/>
  <c r="Y1098" i="26"/>
  <c r="Y1099" i="26"/>
  <c r="X1100" i="26"/>
  <c r="Y1100" i="26"/>
  <c r="X1101" i="26"/>
  <c r="Y1101" i="26"/>
  <c r="X1102" i="26"/>
  <c r="Y1102" i="26"/>
  <c r="X1103" i="26"/>
  <c r="X1104" i="26"/>
  <c r="Y1103" i="26"/>
  <c r="Y1104" i="26"/>
  <c r="X1105" i="26"/>
  <c r="Y1105" i="26"/>
  <c r="X1106" i="26"/>
  <c r="X1107" i="26"/>
  <c r="Y1106" i="26"/>
  <c r="Y1107" i="26"/>
  <c r="X1108" i="26"/>
  <c r="Y1108" i="26"/>
  <c r="X1109" i="26"/>
  <c r="X1110" i="26"/>
  <c r="Y1109" i="26"/>
  <c r="Y1110" i="26"/>
  <c r="X1111" i="26"/>
  <c r="Y1111" i="26"/>
  <c r="X1112" i="26"/>
  <c r="X1113" i="26"/>
  <c r="Y1112" i="26"/>
  <c r="Y1113" i="26"/>
  <c r="X1114" i="26"/>
  <c r="Y1114" i="26"/>
  <c r="X1115" i="26"/>
  <c r="X1116" i="26"/>
  <c r="Y1115" i="26"/>
  <c r="X1117" i="26"/>
  <c r="Y1116" i="26"/>
  <c r="Y1117" i="26"/>
  <c r="X1118" i="26"/>
  <c r="X1119" i="26"/>
  <c r="Y1118" i="26"/>
  <c r="Y1119" i="26"/>
  <c r="X1120" i="26"/>
  <c r="X1121" i="26"/>
  <c r="Y1120" i="26"/>
  <c r="Y1121" i="26"/>
  <c r="X1122" i="26"/>
  <c r="Y1122" i="26"/>
  <c r="X1123" i="26"/>
  <c r="Y1123" i="26"/>
  <c r="X1124" i="26"/>
  <c r="Y1124" i="26"/>
  <c r="X1125" i="26"/>
  <c r="Y1125" i="26"/>
  <c r="X1126" i="26"/>
  <c r="X1127" i="26"/>
  <c r="Y1126" i="26"/>
  <c r="X1128" i="26"/>
  <c r="Y1127" i="26"/>
  <c r="X1129" i="26"/>
  <c r="Y1128" i="26"/>
  <c r="X1130" i="26"/>
  <c r="Y1129" i="26"/>
  <c r="X1131" i="26"/>
  <c r="Y1130" i="26"/>
  <c r="X1132" i="26"/>
  <c r="Y1131" i="26"/>
  <c r="Y1132" i="26"/>
  <c r="X1133" i="26"/>
  <c r="Y1133" i="26"/>
  <c r="X1134" i="26"/>
  <c r="Y1134" i="26"/>
  <c r="X1135" i="26"/>
  <c r="X1136" i="26"/>
  <c r="Y1135" i="26"/>
  <c r="X1137" i="26"/>
  <c r="Y1136" i="26"/>
  <c r="X1138" i="26"/>
  <c r="Y1137" i="26"/>
  <c r="X1139" i="26"/>
  <c r="Y1138" i="26"/>
  <c r="X1140" i="26"/>
  <c r="Y1139" i="26"/>
  <c r="X1141" i="26"/>
  <c r="Y1140" i="26"/>
  <c r="X1142" i="26"/>
  <c r="Y1141" i="26"/>
  <c r="X1143" i="26"/>
  <c r="Y1142" i="26"/>
  <c r="Y1143" i="26"/>
  <c r="X1144" i="26"/>
  <c r="Y1144" i="26"/>
  <c r="X1145" i="26"/>
  <c r="Y1145" i="26"/>
  <c r="X1146" i="26"/>
  <c r="X1147" i="26"/>
  <c r="Y1146" i="26"/>
  <c r="Y1147" i="26"/>
  <c r="X1148" i="26"/>
  <c r="Y1148" i="26"/>
  <c r="X1149" i="26"/>
  <c r="X1150" i="26"/>
  <c r="Y1149" i="26"/>
  <c r="Y1150" i="26"/>
  <c r="X1151" i="26"/>
  <c r="X1152" i="26"/>
  <c r="Y1151" i="26"/>
  <c r="X1153" i="26"/>
  <c r="Y1152" i="26"/>
  <c r="X1154" i="26"/>
  <c r="Y1153" i="26"/>
  <c r="X1155" i="26"/>
  <c r="Y1154" i="26"/>
  <c r="X1156" i="26"/>
  <c r="Y1155" i="26"/>
  <c r="X1157" i="26"/>
  <c r="Y1156" i="26"/>
  <c r="X1158" i="26"/>
  <c r="Y1157" i="26"/>
  <c r="X1159" i="26"/>
  <c r="Y1158" i="26"/>
  <c r="X1160" i="26"/>
  <c r="Y1159" i="26"/>
  <c r="Y1160" i="26"/>
  <c r="X1161" i="26"/>
  <c r="Y1161" i="26"/>
  <c r="X1162" i="26"/>
  <c r="Y1162" i="26"/>
  <c r="X1163" i="26"/>
  <c r="X1164" i="26"/>
  <c r="Y1163" i="26"/>
  <c r="X1165" i="26"/>
  <c r="Y1164" i="26"/>
  <c r="X1166" i="26"/>
  <c r="Y1165" i="26"/>
  <c r="Y1166" i="26"/>
  <c r="X1167" i="26"/>
  <c r="Y1167" i="26"/>
  <c r="X1168" i="26"/>
  <c r="X1169" i="26"/>
  <c r="Y1168" i="26"/>
  <c r="X1170" i="26"/>
  <c r="Y1169" i="26"/>
  <c r="X1171" i="26"/>
  <c r="Y1170" i="26"/>
  <c r="X1172" i="26"/>
  <c r="Y1171" i="26"/>
  <c r="X1173" i="26"/>
  <c r="Y1172" i="26"/>
  <c r="Y1173" i="26"/>
  <c r="X1174" i="26"/>
  <c r="Y1174" i="26"/>
  <c r="X1175" i="26"/>
  <c r="Y1175" i="26"/>
  <c r="X1176" i="26"/>
  <c r="Y1176" i="26"/>
  <c r="X1177" i="26"/>
  <c r="X1178" i="26"/>
  <c r="Y1177" i="26"/>
  <c r="X1179" i="26"/>
  <c r="Y1178" i="26"/>
  <c r="X1180" i="26"/>
  <c r="Y1179" i="26"/>
  <c r="X1181" i="26"/>
  <c r="Y1180" i="26"/>
  <c r="Y1181" i="26"/>
  <c r="X1182" i="26"/>
  <c r="X1183" i="26"/>
  <c r="Y1182" i="26"/>
  <c r="Y1183" i="26"/>
  <c r="X1184" i="26"/>
  <c r="Y1184" i="26"/>
  <c r="X1185" i="26"/>
  <c r="X1186" i="26"/>
  <c r="Y1185" i="26"/>
  <c r="X1187" i="26"/>
  <c r="Y1186" i="26"/>
  <c r="Y1187" i="26"/>
  <c r="X1188" i="26"/>
  <c r="Y1188" i="26"/>
  <c r="X1189" i="26"/>
  <c r="Y1189" i="26"/>
  <c r="X1190" i="26"/>
  <c r="Y1190" i="26"/>
  <c r="X1191" i="26"/>
  <c r="Y1191" i="26"/>
  <c r="X1192" i="26"/>
  <c r="Y1192" i="26"/>
  <c r="X1193" i="26"/>
  <c r="X1194" i="26"/>
  <c r="Y1193" i="26"/>
  <c r="Y1194" i="26"/>
  <c r="X1195" i="26"/>
  <c r="Y1195" i="26"/>
  <c r="X1196" i="26"/>
  <c r="Y1196" i="26"/>
  <c r="X1197" i="26"/>
  <c r="Y1197" i="26"/>
  <c r="X1198" i="26"/>
  <c r="Y1198" i="26"/>
  <c r="X1199" i="26"/>
  <c r="X1200" i="26"/>
  <c r="Y1199" i="26"/>
  <c r="X1201" i="26"/>
  <c r="Y1200" i="26"/>
  <c r="X1202" i="26"/>
  <c r="Y1201" i="26"/>
  <c r="Y1202" i="26"/>
  <c r="X1203" i="26"/>
  <c r="X1204" i="26"/>
  <c r="Y1203" i="26"/>
  <c r="X1205" i="26"/>
  <c r="Y1204" i="26"/>
  <c r="X1206" i="26"/>
  <c r="Y1205" i="26"/>
  <c r="X1207" i="26"/>
  <c r="Y1206" i="26"/>
  <c r="X1208" i="26"/>
  <c r="Y1207" i="26"/>
  <c r="Y1208" i="26"/>
  <c r="X1209" i="26"/>
  <c r="X1210" i="26"/>
  <c r="Y1209" i="26"/>
  <c r="X1211" i="26"/>
  <c r="Y1210" i="26"/>
  <c r="Y1211" i="26"/>
  <c r="X1212" i="26"/>
  <c r="Y1212" i="26"/>
  <c r="X1213" i="26"/>
  <c r="Y1213" i="26"/>
  <c r="X1214" i="26"/>
  <c r="Y1214" i="26"/>
  <c r="X1215" i="26"/>
  <c r="X1216" i="26"/>
  <c r="Y1215" i="26"/>
  <c r="Y1216" i="26"/>
  <c r="X1217" i="26"/>
  <c r="Y1217" i="26"/>
  <c r="X1218" i="26"/>
  <c r="X1219" i="26"/>
  <c r="Y1218" i="26"/>
  <c r="Y1219" i="26"/>
  <c r="X1220" i="26"/>
  <c r="X1221" i="26"/>
  <c r="Y1220" i="26"/>
  <c r="Y1221" i="26"/>
  <c r="X1222" i="26"/>
  <c r="Y1222" i="26"/>
  <c r="X1223" i="26"/>
  <c r="X1224" i="26"/>
  <c r="Y1223" i="26"/>
  <c r="X1225" i="26"/>
  <c r="Y1224" i="26"/>
  <c r="X1226" i="26"/>
  <c r="Y1225" i="26"/>
  <c r="Y1226" i="26"/>
  <c r="X1227" i="26"/>
  <c r="Y1227" i="26"/>
  <c r="X1228" i="26"/>
  <c r="X1229" i="26"/>
  <c r="Y1228" i="26"/>
  <c r="Y1229" i="26"/>
  <c r="X1230" i="26"/>
  <c r="Y1230" i="26"/>
  <c r="X1231" i="26"/>
  <c r="Y1231" i="26"/>
  <c r="X1232" i="26"/>
  <c r="X1233" i="26"/>
  <c r="Y1232" i="26"/>
  <c r="X1234" i="26"/>
  <c r="Y1233" i="26"/>
  <c r="Y1234" i="26"/>
  <c r="X1235" i="26"/>
  <c r="X1236" i="26"/>
  <c r="Y1235" i="26"/>
  <c r="Y1236" i="26"/>
  <c r="X1237" i="26"/>
  <c r="X1238" i="26"/>
  <c r="Y1237" i="26"/>
  <c r="X1239" i="26"/>
  <c r="Y1238" i="26"/>
  <c r="Y1239" i="26"/>
  <c r="X1240" i="26"/>
  <c r="Y1240" i="26"/>
  <c r="X1241" i="26"/>
  <c r="Y1241" i="26"/>
  <c r="X1242" i="26"/>
  <c r="Y1242" i="26"/>
  <c r="X1243" i="26"/>
  <c r="Y1243" i="26"/>
  <c r="X1244" i="26"/>
  <c r="X1245" i="26"/>
  <c r="Y1244" i="26"/>
  <c r="Y1245" i="26"/>
  <c r="X1246" i="26"/>
  <c r="X1247" i="26"/>
  <c r="Y1246" i="26"/>
  <c r="X1248" i="26"/>
  <c r="Y1247" i="26"/>
  <c r="Y1248" i="26"/>
  <c r="X1249" i="26"/>
  <c r="Y1249" i="26"/>
  <c r="X1250" i="26"/>
  <c r="Y1250" i="26"/>
  <c r="X1251" i="26"/>
  <c r="X1252" i="26"/>
  <c r="Y1251" i="26"/>
  <c r="X1253" i="26"/>
  <c r="Y1252" i="26"/>
  <c r="Y1253" i="26"/>
  <c r="X1254" i="26"/>
  <c r="Y1254" i="26"/>
  <c r="X1255" i="26"/>
  <c r="Y1255" i="26"/>
  <c r="X1256" i="26"/>
  <c r="X1257" i="26"/>
  <c r="Y1256" i="26"/>
  <c r="X1258" i="26"/>
  <c r="Y1257" i="26"/>
  <c r="Y1258" i="26"/>
  <c r="X1259" i="26"/>
  <c r="Y1259" i="26"/>
  <c r="X1260" i="26"/>
  <c r="Y1260" i="26"/>
  <c r="X1261" i="26"/>
  <c r="X1262" i="26"/>
  <c r="Y1261" i="26"/>
  <c r="Y1262" i="26"/>
  <c r="X1263" i="26"/>
  <c r="Y1263" i="26"/>
  <c r="X1264" i="26"/>
  <c r="X1265" i="26"/>
  <c r="Y1264" i="26"/>
  <c r="X1266" i="26"/>
  <c r="Y1265" i="26"/>
  <c r="X1267" i="26"/>
  <c r="Y1266" i="26"/>
  <c r="Y1267" i="26"/>
  <c r="X1268" i="26"/>
  <c r="X1269" i="26"/>
  <c r="Y1268" i="26"/>
  <c r="X1270" i="26"/>
  <c r="Y1269" i="26"/>
  <c r="Y1270" i="26"/>
  <c r="X1271" i="26"/>
  <c r="X1272" i="26"/>
  <c r="Y1271" i="26"/>
  <c r="Y1272" i="26"/>
  <c r="X1273" i="26"/>
  <c r="X1274" i="26"/>
  <c r="Y1273" i="26"/>
  <c r="Y1274" i="26"/>
  <c r="X1275" i="26"/>
  <c r="X1276" i="26"/>
  <c r="Y1275" i="26"/>
  <c r="Y1276" i="26"/>
  <c r="X1277" i="26"/>
  <c r="Y1277" i="26"/>
  <c r="X1278" i="26"/>
  <c r="Y1278" i="26"/>
  <c r="X1279" i="26"/>
  <c r="X1280" i="26"/>
  <c r="Y1279" i="26"/>
  <c r="X1281" i="26"/>
  <c r="Y1280" i="26"/>
  <c r="Y1281" i="26"/>
  <c r="X1282" i="26"/>
  <c r="Y1282" i="26"/>
  <c r="X1283" i="26"/>
  <c r="Y1283" i="26"/>
  <c r="X1284" i="26"/>
  <c r="X1285" i="26"/>
  <c r="Y1284" i="26"/>
  <c r="X1286" i="26"/>
  <c r="Y1285" i="26"/>
  <c r="X1287" i="26"/>
  <c r="Y1286" i="26"/>
  <c r="X1288" i="26"/>
  <c r="Y1287" i="26"/>
  <c r="X1289" i="26"/>
  <c r="Y1288" i="26"/>
  <c r="X1290" i="26"/>
  <c r="Y1289" i="26"/>
  <c r="Y1290" i="26"/>
  <c r="X1291" i="26"/>
  <c r="Y1291" i="26"/>
  <c r="X1292" i="26"/>
  <c r="X1293" i="26"/>
  <c r="Y1292" i="26"/>
  <c r="X1294" i="26"/>
  <c r="Y1293" i="26"/>
  <c r="X1295" i="26"/>
  <c r="Y1294" i="26"/>
  <c r="X1296" i="26"/>
  <c r="Y1295" i="26"/>
  <c r="X1297" i="26"/>
  <c r="Y1296" i="26"/>
  <c r="X1298" i="26"/>
  <c r="Y1297" i="26"/>
  <c r="X1299" i="26"/>
  <c r="Y1298" i="26"/>
  <c r="X1300" i="26"/>
  <c r="Y1299" i="26"/>
  <c r="Y1300" i="26"/>
  <c r="X1301" i="26"/>
  <c r="Y1301" i="26"/>
  <c r="X1302" i="26"/>
  <c r="X1303" i="26"/>
  <c r="Y1302" i="26"/>
  <c r="Y1303" i="26"/>
  <c r="X1304" i="26"/>
  <c r="Y1304" i="26"/>
  <c r="X1305" i="26"/>
  <c r="Y1305" i="26"/>
  <c r="X1306" i="26"/>
  <c r="Y1306" i="26"/>
  <c r="X1307" i="26"/>
  <c r="Y1307" i="26"/>
  <c r="X1308" i="26"/>
  <c r="Y1308" i="26"/>
  <c r="X1309" i="26"/>
  <c r="Y1309" i="26"/>
  <c r="X1310" i="26"/>
  <c r="Y1310" i="26"/>
  <c r="X1311" i="26"/>
  <c r="Y1311" i="26"/>
  <c r="X1312" i="26"/>
  <c r="X1313" i="26"/>
  <c r="Y1312" i="26"/>
  <c r="Y1313" i="26"/>
  <c r="X1314" i="26"/>
  <c r="X1315" i="26"/>
  <c r="Y1314" i="26"/>
  <c r="Y1315" i="26"/>
  <c r="X1316" i="26"/>
  <c r="Y1316" i="26"/>
  <c r="X1317" i="26"/>
  <c r="X1318" i="26"/>
  <c r="Y1317" i="26"/>
  <c r="X1319" i="26"/>
  <c r="Y1318" i="26"/>
  <c r="Y1319" i="26"/>
  <c r="X1320" i="26"/>
  <c r="X1321" i="26"/>
  <c r="Y1320" i="26"/>
  <c r="Y1321" i="26"/>
  <c r="X1322" i="26"/>
  <c r="Y1322" i="26"/>
  <c r="X1323" i="26"/>
  <c r="X1324" i="26"/>
  <c r="Y1323" i="26"/>
  <c r="Y1324" i="26"/>
  <c r="X1325" i="26"/>
  <c r="X1326" i="26"/>
  <c r="Y1325" i="26"/>
  <c r="Y1326" i="26"/>
  <c r="X1327" i="26"/>
  <c r="Y1327" i="26"/>
  <c r="X1328" i="26"/>
  <c r="X1329" i="26"/>
  <c r="Y1328" i="26"/>
  <c r="Y1329" i="26"/>
  <c r="X1330" i="26"/>
  <c r="Y1330" i="26"/>
  <c r="X1331" i="26"/>
  <c r="X1332" i="26"/>
  <c r="Y1331" i="26"/>
  <c r="X1333" i="26"/>
  <c r="Y1332" i="26"/>
  <c r="Y1333" i="26"/>
  <c r="X1334" i="26"/>
  <c r="Y1334" i="26"/>
  <c r="X1335" i="26"/>
  <c r="Y1335" i="26"/>
  <c r="X1336" i="26"/>
  <c r="X1337" i="26"/>
  <c r="Y1336" i="26"/>
  <c r="X1338" i="26"/>
  <c r="Y1337" i="26"/>
  <c r="Y1338" i="26"/>
  <c r="X1339" i="26"/>
  <c r="Y1339" i="26"/>
  <c r="X1340" i="26"/>
  <c r="Y1340" i="26"/>
  <c r="X1341" i="26"/>
  <c r="Y1341" i="26"/>
  <c r="X1342" i="26"/>
  <c r="Y1342" i="26"/>
  <c r="X1343" i="26"/>
  <c r="Y1343" i="26"/>
  <c r="X1344" i="26"/>
  <c r="X1345" i="26"/>
  <c r="Y1344" i="26"/>
  <c r="Y1345" i="26"/>
  <c r="X1346" i="26"/>
  <c r="Y1346" i="26"/>
  <c r="X1347" i="26"/>
  <c r="Y1347" i="26"/>
  <c r="X1348" i="26"/>
  <c r="Y1348" i="26"/>
  <c r="X1349" i="26"/>
  <c r="Y1349" i="26"/>
  <c r="X1350" i="26"/>
  <c r="Y1350" i="26"/>
  <c r="X1351" i="26"/>
  <c r="X1352" i="26"/>
  <c r="Y1351" i="26"/>
  <c r="X1353" i="26"/>
  <c r="Y1352" i="26"/>
  <c r="X1354" i="26"/>
  <c r="Y1353" i="26"/>
  <c r="X1355" i="26"/>
  <c r="Y1354" i="26"/>
  <c r="Y1355" i="26"/>
  <c r="X1356" i="26"/>
  <c r="Y1356" i="26"/>
  <c r="X1357" i="26"/>
  <c r="X1358" i="26"/>
  <c r="Y1357" i="26"/>
  <c r="Y1358" i="26"/>
  <c r="X1359" i="26"/>
  <c r="Y1359" i="26"/>
  <c r="X1360" i="26"/>
  <c r="X1361" i="26"/>
  <c r="Y1360" i="26"/>
  <c r="Y1361" i="26"/>
  <c r="X1362" i="26"/>
  <c r="Y1362" i="26"/>
  <c r="X1363" i="26"/>
  <c r="Y1363" i="26"/>
  <c r="X1364" i="26"/>
  <c r="X1365" i="26"/>
  <c r="Y1364" i="26"/>
  <c r="X1366" i="26"/>
  <c r="Y1365" i="26"/>
  <c r="Y1366" i="26"/>
  <c r="X1367" i="26"/>
  <c r="X1368" i="26"/>
  <c r="Y1367" i="26"/>
  <c r="Y1368" i="26"/>
  <c r="X1369" i="26"/>
  <c r="Y1369" i="26"/>
  <c r="X1370" i="26"/>
  <c r="Y1370" i="26"/>
  <c r="X1371" i="26"/>
  <c r="Y1371" i="26"/>
  <c r="X1372" i="26"/>
  <c r="X1373" i="26"/>
  <c r="Y1372" i="26"/>
  <c r="X1374" i="26"/>
  <c r="Y1373" i="26"/>
  <c r="Y1374" i="26"/>
  <c r="X1375" i="26"/>
  <c r="Y1375" i="26"/>
  <c r="X1376" i="26"/>
  <c r="X1377" i="26"/>
  <c r="Y1376" i="26"/>
  <c r="Y1377" i="26"/>
  <c r="X1378" i="26"/>
  <c r="X1379" i="26"/>
  <c r="Y1378" i="26"/>
  <c r="X1380" i="26"/>
  <c r="Y1379" i="26"/>
  <c r="Y1380" i="26"/>
  <c r="X1381" i="26"/>
  <c r="Y1381" i="26"/>
  <c r="X1382" i="26"/>
  <c r="X1383" i="26"/>
  <c r="Y1382" i="26"/>
  <c r="X1384" i="26"/>
  <c r="Y1383" i="26"/>
  <c r="Y1384" i="26"/>
  <c r="X1385" i="26"/>
  <c r="X1386" i="26"/>
  <c r="Y1385" i="26"/>
  <c r="Y1386" i="26"/>
  <c r="X1387" i="26"/>
  <c r="X1388" i="26"/>
  <c r="Y1387" i="26"/>
  <c r="X1389" i="26"/>
  <c r="Y1388" i="26"/>
  <c r="X1390" i="26"/>
  <c r="Y1389" i="26"/>
  <c r="X1391" i="26"/>
  <c r="Y1390" i="26"/>
  <c r="X1392" i="26"/>
  <c r="Y1391" i="26"/>
  <c r="X1393" i="26"/>
  <c r="Y1392" i="26"/>
  <c r="X1394" i="26"/>
  <c r="Y1393" i="26"/>
  <c r="Y1394" i="26"/>
  <c r="X1395" i="26"/>
  <c r="X1396" i="26"/>
  <c r="Y1395" i="26"/>
  <c r="X1397" i="26"/>
  <c r="Y1396" i="26"/>
  <c r="X1398" i="26"/>
  <c r="Y1397" i="26"/>
  <c r="Y1398" i="26"/>
  <c r="X1399" i="26"/>
  <c r="X1400" i="26"/>
  <c r="Y1399" i="26"/>
  <c r="Y1400" i="26"/>
  <c r="X1401" i="26"/>
  <c r="Y1401" i="26"/>
  <c r="X1402" i="26"/>
  <c r="X1403" i="26"/>
  <c r="Y1402" i="26"/>
  <c r="Y1403" i="26"/>
  <c r="X1404" i="26"/>
  <c r="Y1404" i="26"/>
  <c r="X1405" i="26"/>
  <c r="X1406" i="26"/>
  <c r="Y1405" i="26"/>
  <c r="X1407" i="26"/>
  <c r="Y1406" i="26"/>
  <c r="X1408" i="26"/>
  <c r="Y1407" i="26"/>
  <c r="X1409" i="26"/>
  <c r="Y1408" i="26"/>
  <c r="X1410" i="26"/>
  <c r="Y1409" i="26"/>
  <c r="Y1410" i="26"/>
  <c r="X1411" i="26"/>
  <c r="Y1411" i="26"/>
  <c r="X1412" i="26"/>
  <c r="X1413" i="26"/>
  <c r="Y1412" i="26"/>
  <c r="Y1413" i="26"/>
  <c r="X1414" i="26"/>
  <c r="Y1414" i="26"/>
  <c r="X1415" i="26"/>
  <c r="Y1415" i="26"/>
  <c r="X1416" i="26"/>
  <c r="Y1416" i="26"/>
  <c r="X1417" i="26"/>
  <c r="Y1417" i="26"/>
  <c r="X1418" i="26"/>
  <c r="X1419" i="26"/>
  <c r="Y1418" i="26"/>
  <c r="X1420" i="26"/>
  <c r="Y1419" i="26"/>
  <c r="Y1420" i="26"/>
  <c r="X1421" i="26"/>
  <c r="Y1421" i="26"/>
  <c r="X1422" i="26"/>
  <c r="X1423" i="26"/>
  <c r="Y1422" i="26"/>
  <c r="X1424" i="26"/>
  <c r="Y1423" i="26"/>
  <c r="X1425" i="26"/>
  <c r="Y1424" i="26"/>
  <c r="Y1425" i="26"/>
  <c r="X1426" i="26"/>
  <c r="Y1426" i="26"/>
  <c r="X1427" i="26"/>
  <c r="X1428" i="26"/>
  <c r="Y1427" i="26"/>
  <c r="X1429" i="26"/>
  <c r="Y1428" i="26"/>
  <c r="Y1429" i="26"/>
  <c r="X1430" i="26"/>
  <c r="Y1430" i="26"/>
  <c r="X1431" i="26"/>
  <c r="X1432" i="26"/>
  <c r="Y1431" i="26"/>
  <c r="Y1432" i="26"/>
  <c r="X1433" i="26"/>
  <c r="X1434" i="26"/>
  <c r="Y1433" i="26"/>
  <c r="Y1434" i="26"/>
  <c r="X1435" i="26"/>
  <c r="X1436" i="26"/>
  <c r="Y1435" i="26"/>
  <c r="X1437" i="26"/>
  <c r="Y1436" i="26"/>
  <c r="Y1437" i="26"/>
  <c r="X1438" i="26"/>
  <c r="X1439" i="26"/>
  <c r="Y1438" i="26"/>
  <c r="X1440" i="26"/>
  <c r="Y1439" i="26"/>
  <c r="Y1440" i="26"/>
  <c r="X1441" i="26"/>
  <c r="X1442" i="26"/>
  <c r="Y1441" i="26"/>
  <c r="Y1442" i="26"/>
  <c r="X1443" i="26"/>
  <c r="Y1443" i="26"/>
  <c r="X1444" i="26"/>
  <c r="X1445" i="26"/>
  <c r="Y1444" i="26"/>
  <c r="X1446" i="26"/>
  <c r="Y1445" i="26"/>
  <c r="X1447" i="26"/>
  <c r="Y1446" i="26"/>
  <c r="Y1447" i="26"/>
  <c r="X1448" i="26"/>
  <c r="X1449" i="26"/>
  <c r="Y1448" i="26"/>
  <c r="Y1449" i="26"/>
  <c r="X1450" i="26"/>
  <c r="X1451" i="26"/>
  <c r="Y1450" i="26"/>
  <c r="X1452" i="26"/>
  <c r="Y1451" i="26"/>
  <c r="Y1452" i="26"/>
  <c r="X1453" i="26"/>
  <c r="Y1453" i="26"/>
  <c r="X1454" i="26"/>
  <c r="X1455" i="26"/>
  <c r="Y1454" i="26"/>
  <c r="Y1455" i="26"/>
  <c r="X1456" i="26"/>
  <c r="Y1456" i="26"/>
  <c r="X1457" i="26"/>
  <c r="X1458" i="26"/>
  <c r="Y1457" i="26"/>
  <c r="X1459" i="26"/>
  <c r="Y1458" i="26"/>
  <c r="X1460" i="26"/>
  <c r="Y1459" i="26"/>
  <c r="X1461" i="26"/>
  <c r="Y1460" i="26"/>
  <c r="X1462" i="26"/>
  <c r="Y1461" i="26"/>
  <c r="Y1462" i="26"/>
  <c r="X1463" i="26"/>
  <c r="X1464" i="26"/>
  <c r="Y1463" i="26"/>
  <c r="Y1464" i="26"/>
  <c r="X1465" i="26"/>
  <c r="Y1465" i="26"/>
  <c r="X1466" i="26"/>
  <c r="Y1466" i="26"/>
  <c r="X1467" i="26"/>
  <c r="X1468" i="26"/>
  <c r="Y1467" i="26"/>
  <c r="Y1468" i="26"/>
  <c r="X1469" i="26"/>
  <c r="X1470" i="26"/>
  <c r="Y1469" i="26"/>
  <c r="Y1470" i="26"/>
  <c r="X1471" i="26"/>
  <c r="Y1471" i="26"/>
  <c r="X1472" i="26"/>
  <c r="X1473" i="26"/>
  <c r="Y1472" i="26"/>
  <c r="Y1473" i="26"/>
  <c r="X1474" i="26"/>
  <c r="X1475" i="26"/>
  <c r="Y1474" i="26"/>
  <c r="X1476" i="26"/>
  <c r="Y1475" i="26"/>
  <c r="Y1476" i="26"/>
  <c r="X1477" i="26"/>
  <c r="X1478" i="26"/>
  <c r="Y1477" i="26"/>
  <c r="X1479" i="26"/>
  <c r="Y1478" i="26"/>
  <c r="Y1479" i="26"/>
  <c r="X1480" i="26"/>
  <c r="X1481" i="26"/>
  <c r="Y1480" i="26"/>
  <c r="Y1481" i="26"/>
  <c r="X1482" i="26"/>
  <c r="X1483" i="26"/>
  <c r="Y1482" i="26"/>
  <c r="X1484" i="26"/>
  <c r="Y1483" i="26"/>
  <c r="X1485" i="26"/>
  <c r="Y1484" i="26"/>
  <c r="Y1485" i="26"/>
  <c r="X1486" i="26"/>
  <c r="Y1486" i="26"/>
  <c r="X1487" i="26"/>
  <c r="Y1487" i="26"/>
  <c r="X1488" i="26"/>
  <c r="X1489" i="26"/>
  <c r="Y1488" i="26"/>
  <c r="Y1489" i="26"/>
  <c r="X1490" i="26"/>
  <c r="X1491" i="26"/>
  <c r="Y1490" i="26"/>
  <c r="Y1491" i="26"/>
  <c r="X1492" i="26"/>
  <c r="X1493" i="26"/>
  <c r="Y1492" i="26"/>
  <c r="X1494" i="26"/>
  <c r="Y1493" i="26"/>
  <c r="X1495" i="26"/>
  <c r="Y1494" i="26"/>
  <c r="X1496" i="26"/>
  <c r="Y1495" i="26"/>
  <c r="Y1496" i="26"/>
  <c r="X1497" i="26"/>
  <c r="X1498" i="26"/>
  <c r="Y1497" i="26"/>
  <c r="Y1498" i="26"/>
  <c r="X1499" i="26"/>
  <c r="X1500" i="26"/>
  <c r="Y1499" i="26"/>
  <c r="Y1500" i="26"/>
  <c r="X1501" i="26"/>
  <c r="Y1501" i="26"/>
  <c r="X1502" i="26"/>
  <c r="Y1502" i="26"/>
  <c r="X1503" i="26"/>
  <c r="Y1503" i="26"/>
  <c r="X1504" i="26"/>
  <c r="X1505" i="26"/>
  <c r="Y1504" i="26"/>
  <c r="X1506" i="26"/>
  <c r="Y1505" i="26"/>
  <c r="X1507" i="26"/>
  <c r="Y1506" i="26"/>
  <c r="X1508" i="26"/>
  <c r="Y1507" i="26"/>
  <c r="Y1508" i="26"/>
  <c r="X1509" i="26"/>
  <c r="X1510" i="26"/>
  <c r="Y1509" i="26"/>
  <c r="Y1510" i="26"/>
  <c r="X1511" i="26"/>
  <c r="X1512" i="26"/>
  <c r="Y1511" i="26"/>
  <c r="X1513" i="26"/>
  <c r="Y1512" i="26"/>
  <c r="X1514" i="26"/>
  <c r="Y1513" i="26"/>
  <c r="X1515" i="26"/>
  <c r="Y1514" i="26"/>
  <c r="X1516" i="26"/>
  <c r="Y1515" i="26"/>
  <c r="X1517" i="26"/>
  <c r="Y1516" i="26"/>
  <c r="X1518" i="26"/>
  <c r="Y1517" i="26"/>
  <c r="Y1518" i="26"/>
  <c r="X1519" i="26"/>
  <c r="X1520" i="26"/>
  <c r="Y1519" i="26"/>
  <c r="X1521" i="26"/>
  <c r="Y1520" i="26"/>
  <c r="Y1521" i="26"/>
  <c r="X1522" i="26"/>
  <c r="X1523" i="26"/>
  <c r="Y1522" i="26"/>
  <c r="X1524" i="26"/>
  <c r="Y1523" i="26"/>
  <c r="X1525" i="26"/>
  <c r="Y1524" i="26"/>
  <c r="X1526" i="26"/>
  <c r="Y1525" i="26"/>
  <c r="X1527" i="26"/>
  <c r="Y1526" i="26"/>
  <c r="Y1527" i="26"/>
  <c r="X1528" i="26"/>
  <c r="X1529" i="26"/>
  <c r="Y1528" i="26"/>
  <c r="X1530" i="26"/>
  <c r="Y1529" i="26"/>
  <c r="X1531" i="26"/>
  <c r="Y1530" i="26"/>
  <c r="Y1531" i="26"/>
  <c r="X1532" i="26"/>
  <c r="X1533" i="26"/>
  <c r="Y1532" i="26"/>
  <c r="X1534" i="26"/>
  <c r="Y1533" i="26"/>
  <c r="X1535" i="26"/>
  <c r="Y1534" i="26"/>
  <c r="X1536" i="26"/>
  <c r="Y1535" i="26"/>
  <c r="Y1536" i="26"/>
  <c r="X1537" i="26"/>
  <c r="Y1537" i="26"/>
  <c r="X1538" i="26"/>
  <c r="X1539" i="26"/>
  <c r="Y1538" i="26"/>
  <c r="Y1539" i="26"/>
  <c r="X1540" i="26"/>
  <c r="Y1540" i="26"/>
  <c r="X1541" i="26"/>
  <c r="Y1541" i="26"/>
  <c r="X1542" i="26"/>
  <c r="Y1542" i="26"/>
  <c r="X1543" i="26"/>
  <c r="X1544" i="26"/>
  <c r="Y1543" i="26"/>
  <c r="Y1544" i="26"/>
  <c r="X1545" i="26"/>
  <c r="X1546" i="26"/>
  <c r="Y1545" i="26"/>
  <c r="X1547" i="26"/>
  <c r="Y1546" i="26"/>
  <c r="Y1547" i="26"/>
  <c r="X1548" i="26"/>
  <c r="Y1548" i="26"/>
  <c r="X1549" i="26"/>
  <c r="Y1549" i="26"/>
  <c r="X1550" i="26"/>
  <c r="Y1550" i="26"/>
  <c r="X1551" i="26"/>
  <c r="Y1551" i="26"/>
  <c r="X1552" i="26"/>
  <c r="X1553" i="26"/>
  <c r="Y1552" i="26"/>
  <c r="X1554" i="26"/>
  <c r="Y1553" i="26"/>
  <c r="X1555" i="26"/>
  <c r="Y1554" i="26"/>
  <c r="X1556" i="26"/>
  <c r="Y1555" i="26"/>
  <c r="Y1556" i="26"/>
  <c r="X1557" i="26"/>
  <c r="Y1557" i="26"/>
  <c r="X1558" i="26"/>
  <c r="Y1558" i="26"/>
  <c r="X1559" i="26"/>
  <c r="Y1559" i="26"/>
  <c r="X1560" i="26"/>
  <c r="Y1560" i="26"/>
  <c r="X1561" i="26"/>
  <c r="X1562" i="26"/>
  <c r="Y1561" i="26"/>
  <c r="Y1562" i="26"/>
  <c r="X1563" i="26"/>
  <c r="Y1563" i="26"/>
  <c r="X1564" i="26"/>
  <c r="X1565" i="26"/>
  <c r="Y1564" i="26"/>
  <c r="Y1565" i="26"/>
  <c r="X1566" i="26"/>
  <c r="Y1566" i="26"/>
  <c r="X1567" i="26"/>
  <c r="X1568" i="26"/>
  <c r="Y1567" i="26"/>
  <c r="Y1568" i="26"/>
  <c r="X1569" i="26"/>
  <c r="X1570" i="26"/>
  <c r="Y1569" i="26"/>
  <c r="X1571" i="26"/>
  <c r="Y1570" i="26"/>
  <c r="X1572" i="26"/>
  <c r="Y1571" i="26"/>
  <c r="X1573" i="26"/>
  <c r="Y1572" i="26"/>
  <c r="X1574" i="26"/>
  <c r="Y1573" i="26"/>
  <c r="Y1574" i="26"/>
  <c r="X1575" i="26"/>
  <c r="Y1575" i="26"/>
  <c r="X1576" i="26"/>
  <c r="X1577" i="26"/>
  <c r="Y1576" i="26"/>
  <c r="Y1577" i="26"/>
  <c r="X1578" i="26"/>
  <c r="Y1578" i="26"/>
  <c r="X1579" i="26"/>
  <c r="X1580" i="26"/>
  <c r="Y1579" i="26"/>
  <c r="Y1580" i="26"/>
  <c r="X1581" i="26"/>
  <c r="Y1581" i="26"/>
  <c r="X1582" i="26"/>
  <c r="X1583" i="26"/>
  <c r="Y1582" i="26"/>
  <c r="Y1583" i="26"/>
  <c r="X1584" i="26"/>
  <c r="Y1584" i="26"/>
  <c r="X1585" i="26"/>
  <c r="X1586" i="26"/>
  <c r="Y1585" i="26"/>
  <c r="X1587" i="26"/>
  <c r="Y1586" i="26"/>
  <c r="X1588" i="26"/>
  <c r="Y1587" i="26"/>
  <c r="X1589" i="26"/>
  <c r="Y1588" i="26"/>
  <c r="Y1589" i="26"/>
  <c r="X1590" i="26"/>
  <c r="X1591" i="26"/>
  <c r="Y1590" i="26"/>
  <c r="X1592" i="26"/>
  <c r="Y1591" i="26"/>
  <c r="Y1592" i="26"/>
  <c r="X1593" i="26"/>
  <c r="X1594" i="26"/>
  <c r="Y1593" i="26"/>
  <c r="X1595" i="26"/>
  <c r="Y1594" i="26"/>
  <c r="X1596" i="26"/>
  <c r="Y1595" i="26"/>
  <c r="Y1596" i="26"/>
  <c r="X1597" i="26"/>
  <c r="X1598" i="26"/>
  <c r="Y1597" i="26"/>
  <c r="Y1598" i="26"/>
  <c r="X1599" i="26"/>
  <c r="Y1599" i="26"/>
  <c r="X1600" i="26"/>
  <c r="X1601" i="26"/>
  <c r="Y1600" i="26"/>
  <c r="Y1601" i="26"/>
  <c r="X1602" i="26"/>
  <c r="X1603" i="26"/>
  <c r="Y1602" i="26"/>
  <c r="Y1603" i="26"/>
  <c r="X1604" i="26"/>
  <c r="Y1604" i="26"/>
  <c r="X1605" i="26"/>
  <c r="X1606" i="26"/>
  <c r="Y1605" i="26"/>
  <c r="X1607" i="26"/>
  <c r="Y1606" i="26"/>
  <c r="Y1607" i="26"/>
  <c r="X1608" i="26"/>
  <c r="Y1608" i="26"/>
  <c r="X1609" i="26"/>
  <c r="X1610" i="26"/>
  <c r="Y1609" i="26"/>
  <c r="Y1610" i="26"/>
  <c r="X1611" i="26"/>
  <c r="Y1611" i="26"/>
  <c r="X1612" i="26"/>
  <c r="X1613" i="26"/>
  <c r="Y1612" i="26"/>
  <c r="Y1613" i="26"/>
  <c r="X1614" i="26"/>
  <c r="Y1614" i="26"/>
  <c r="X1615" i="26"/>
  <c r="X1616" i="26"/>
  <c r="Y1615" i="26"/>
  <c r="Y1616" i="26"/>
  <c r="X1617" i="26"/>
  <c r="X1618" i="26"/>
  <c r="Y1617" i="26"/>
  <c r="Y1618" i="26"/>
  <c r="X1619" i="26"/>
  <c r="X1620" i="26"/>
  <c r="Y1619" i="26"/>
  <c r="Y1620" i="26"/>
  <c r="X1621" i="26"/>
  <c r="Y1621" i="26"/>
  <c r="X1622" i="26"/>
  <c r="X1623" i="26"/>
  <c r="Y1622" i="26"/>
  <c r="X1624" i="26"/>
  <c r="Y1623" i="26"/>
  <c r="Y1624" i="26"/>
  <c r="X1625" i="26"/>
  <c r="Y1625" i="26"/>
  <c r="X1626" i="26"/>
  <c r="Y1626" i="26"/>
  <c r="X1627" i="26"/>
  <c r="X1628" i="26"/>
  <c r="Y1627" i="26"/>
  <c r="X1629" i="26"/>
  <c r="Y1628" i="26"/>
  <c r="Y1629" i="26"/>
  <c r="X1630" i="26"/>
  <c r="X1631" i="26"/>
  <c r="Y1630" i="26"/>
  <c r="X1632" i="26"/>
  <c r="Y1631" i="26"/>
  <c r="Y1632" i="26"/>
  <c r="X1633" i="26"/>
  <c r="X1634" i="26"/>
  <c r="Y1633" i="26"/>
  <c r="X1635" i="26"/>
  <c r="Y1634" i="26"/>
  <c r="Y1635" i="26"/>
  <c r="X1636" i="26"/>
  <c r="Y1636" i="26"/>
  <c r="X1637" i="26"/>
  <c r="X1638" i="26"/>
  <c r="Y1637" i="26"/>
  <c r="Y1638" i="26"/>
  <c r="X1639" i="26"/>
  <c r="Y1639" i="26"/>
  <c r="X1640" i="26"/>
  <c r="Y1640" i="26"/>
  <c r="X1641" i="26"/>
  <c r="Y1641" i="26"/>
  <c r="X1642" i="26"/>
  <c r="Y1642" i="26"/>
  <c r="X1643" i="26"/>
  <c r="Y1643" i="26"/>
  <c r="X1644" i="26"/>
  <c r="X1645" i="26"/>
  <c r="Y1644" i="26"/>
  <c r="Y1645" i="26"/>
  <c r="X1646" i="26"/>
  <c r="X1647" i="26"/>
  <c r="Y1646" i="26"/>
  <c r="X1648" i="26"/>
  <c r="Y1647" i="26"/>
  <c r="Y1648" i="26"/>
  <c r="X1649" i="26"/>
  <c r="X1650" i="26"/>
  <c r="Y1649" i="26"/>
  <c r="X1651" i="26"/>
  <c r="Y1650" i="26"/>
  <c r="X1652" i="26"/>
  <c r="Y1651" i="26"/>
  <c r="Y1652" i="26"/>
  <c r="X1653" i="26"/>
  <c r="Y1653" i="26"/>
  <c r="X1654" i="26"/>
  <c r="Y1654" i="26"/>
  <c r="X1655" i="26"/>
  <c r="Y1655" i="26"/>
  <c r="X1656" i="26"/>
  <c r="Y1656" i="26"/>
  <c r="X1657" i="26"/>
  <c r="Y1657" i="26"/>
  <c r="X1658" i="26"/>
  <c r="Y1658" i="26"/>
  <c r="X1659" i="26"/>
  <c r="Y1659" i="26"/>
  <c r="X1660" i="26"/>
  <c r="X1661" i="26"/>
  <c r="Y1660" i="26"/>
  <c r="Y1661" i="26"/>
  <c r="X1662" i="26"/>
  <c r="X1663" i="26"/>
  <c r="Y1662" i="26"/>
  <c r="Y1663" i="26"/>
  <c r="X1664" i="26"/>
  <c r="X1665" i="26"/>
  <c r="Y1664" i="26"/>
  <c r="Y1665" i="26"/>
  <c r="X1666" i="26"/>
  <c r="Y1666" i="26"/>
  <c r="X1667" i="26"/>
  <c r="X1668" i="26"/>
  <c r="Y1667" i="26"/>
  <c r="X1669" i="26"/>
  <c r="Y1668" i="26"/>
  <c r="Y1669" i="26"/>
  <c r="X1670" i="26"/>
  <c r="Y1670" i="26"/>
  <c r="X1671" i="26"/>
  <c r="Y1671" i="26"/>
  <c r="X1672" i="26"/>
  <c r="X1673" i="26"/>
  <c r="Y1672" i="26"/>
  <c r="X1674" i="26"/>
  <c r="Y1673" i="26"/>
  <c r="X1675" i="26"/>
  <c r="Y1674" i="26"/>
  <c r="Y1675" i="26"/>
  <c r="X1676" i="26"/>
  <c r="Y1676" i="26"/>
  <c r="X1677" i="26"/>
  <c r="Y1677" i="26"/>
  <c r="X1678" i="26"/>
  <c r="Y1678" i="26"/>
  <c r="X1679" i="26"/>
  <c r="X1680" i="26"/>
  <c r="Y1679" i="26"/>
  <c r="Y1680" i="26"/>
  <c r="X1681" i="26"/>
  <c r="Y1681" i="26"/>
  <c r="X1682" i="26"/>
  <c r="X1683" i="26"/>
  <c r="Y1682" i="26"/>
  <c r="Y1683" i="26"/>
  <c r="X1684" i="26"/>
  <c r="Y1684" i="26"/>
  <c r="X1685" i="26"/>
  <c r="Y1685" i="26"/>
  <c r="X1686" i="26"/>
  <c r="Y1686" i="26"/>
  <c r="X1687" i="26"/>
  <c r="Y1687" i="26"/>
  <c r="X1688" i="26"/>
  <c r="Y1688" i="26"/>
  <c r="X1689" i="26"/>
  <c r="X1690" i="26"/>
  <c r="Y1689" i="26"/>
  <c r="Y1690" i="26"/>
  <c r="X1691" i="26"/>
  <c r="Y1691" i="26"/>
  <c r="X1692" i="26"/>
  <c r="Y1692" i="26"/>
  <c r="X1693" i="26"/>
  <c r="Y1693" i="26"/>
  <c r="X1694" i="26"/>
  <c r="Y1694" i="26"/>
  <c r="X1695" i="26"/>
  <c r="Y1695" i="26"/>
  <c r="X1696" i="26"/>
  <c r="Y1696" i="26"/>
  <c r="X1697" i="26"/>
  <c r="X1698" i="26"/>
  <c r="Y1697" i="26"/>
  <c r="X1699" i="26"/>
  <c r="Y1698" i="26"/>
  <c r="Y1699" i="26"/>
  <c r="X1700" i="26"/>
  <c r="Y1700" i="26"/>
  <c r="X1701" i="26"/>
  <c r="X1702" i="26"/>
  <c r="Y1701" i="26"/>
  <c r="X1703" i="26"/>
  <c r="Y1702" i="26"/>
  <c r="X1704" i="26"/>
  <c r="Y1703" i="26"/>
  <c r="Y1704" i="26"/>
  <c r="X1705" i="26"/>
  <c r="X1706" i="26"/>
  <c r="Y1705" i="26"/>
  <c r="X1707" i="26"/>
  <c r="Y1706" i="26"/>
  <c r="X1708" i="26"/>
  <c r="Y1707" i="26"/>
  <c r="Y1708" i="26"/>
  <c r="X1709" i="26"/>
  <c r="Y1709" i="26"/>
  <c r="X1710" i="26"/>
  <c r="X1711" i="26"/>
  <c r="Y1710" i="26"/>
  <c r="X1712" i="26"/>
  <c r="Y1711" i="26"/>
  <c r="Y1712" i="26"/>
  <c r="X1713" i="26"/>
  <c r="X1714" i="26"/>
  <c r="Y1713" i="26"/>
  <c r="X1715" i="26"/>
  <c r="Y1714" i="26"/>
  <c r="X1716" i="26"/>
  <c r="Y1715" i="26"/>
  <c r="Y1716" i="26"/>
  <c r="X1717" i="26"/>
  <c r="X1718" i="26"/>
  <c r="Y1717" i="26"/>
  <c r="X1719" i="26"/>
  <c r="Y1718" i="26"/>
  <c r="X1720" i="26"/>
  <c r="Y1719" i="26"/>
  <c r="Y1720" i="26"/>
  <c r="X1721" i="26"/>
  <c r="X1722" i="26"/>
  <c r="Y1721" i="26"/>
  <c r="X1723" i="26"/>
  <c r="Y1722" i="26"/>
  <c r="X1724" i="26"/>
  <c r="Y1723" i="26"/>
  <c r="Y1724" i="26"/>
  <c r="X1725" i="26"/>
  <c r="X1726" i="26"/>
  <c r="Y1725" i="26"/>
  <c r="X1727" i="26"/>
  <c r="Y1726" i="26"/>
  <c r="X1728" i="26"/>
  <c r="Y1727" i="26"/>
  <c r="Y1728" i="26"/>
  <c r="X1729" i="26"/>
  <c r="Y1729" i="26"/>
  <c r="X1730" i="26"/>
  <c r="X1731" i="26"/>
  <c r="Y1730" i="26"/>
  <c r="X1732" i="26"/>
  <c r="Y1731" i="26"/>
  <c r="X1733" i="26"/>
  <c r="Y1732" i="26"/>
  <c r="Y1733" i="26"/>
  <c r="X1734" i="26"/>
  <c r="Y1734" i="26"/>
  <c r="X1735" i="26"/>
  <c r="X1736" i="26"/>
  <c r="Y1735" i="26"/>
  <c r="X1737" i="26"/>
  <c r="Y1736" i="26"/>
  <c r="X1738" i="26"/>
  <c r="Y1737" i="26"/>
  <c r="Y1738" i="26"/>
  <c r="X1739" i="26"/>
  <c r="Y1739" i="26"/>
  <c r="X1740" i="26"/>
  <c r="Y1740" i="26"/>
  <c r="X1741" i="26"/>
  <c r="Y1741" i="26"/>
  <c r="X1742" i="26"/>
  <c r="Y1742" i="26"/>
  <c r="X1743" i="26"/>
  <c r="X1744" i="26"/>
  <c r="Y1743" i="26"/>
  <c r="Y1744" i="26"/>
  <c r="X1745" i="26"/>
  <c r="Y1745" i="26"/>
  <c r="X1746" i="26"/>
  <c r="X1747" i="26"/>
  <c r="Y1746" i="26"/>
  <c r="X1748" i="26"/>
  <c r="Y1747" i="26"/>
  <c r="X1749" i="26"/>
  <c r="Y1748" i="26"/>
  <c r="Y1749" i="26"/>
  <c r="X1750" i="26"/>
  <c r="X1751" i="26"/>
  <c r="Y1750" i="26"/>
  <c r="X1752" i="26"/>
  <c r="Y1751" i="26"/>
  <c r="Y1752" i="26"/>
  <c r="X1753" i="26"/>
  <c r="Y1753" i="26"/>
  <c r="X1754" i="26"/>
  <c r="X1755" i="26"/>
  <c r="Y1754" i="26"/>
  <c r="Y1755" i="26"/>
  <c r="X1756" i="26"/>
  <c r="Y1756" i="26"/>
  <c r="X1757" i="26"/>
  <c r="Y1757" i="26"/>
  <c r="X1758" i="26"/>
  <c r="X1759" i="26"/>
  <c r="Y1758" i="26"/>
  <c r="Y1759" i="26"/>
  <c r="X1760" i="26"/>
  <c r="X1761" i="26"/>
  <c r="Y1760" i="26"/>
  <c r="X1762" i="26"/>
  <c r="Y1761" i="26"/>
  <c r="X1763" i="26"/>
  <c r="Y1762" i="26"/>
  <c r="Y1763" i="26"/>
  <c r="X1764" i="26"/>
  <c r="Y1764" i="26"/>
  <c r="X1765" i="26"/>
  <c r="X1766" i="26"/>
  <c r="Y1765" i="26"/>
  <c r="X1767" i="26"/>
  <c r="Y1766" i="26"/>
  <c r="Y1767" i="26"/>
  <c r="X1768" i="26"/>
  <c r="Y1768" i="26"/>
  <c r="X1769" i="26"/>
  <c r="X1770" i="26"/>
  <c r="Y1769" i="26"/>
  <c r="X1771" i="26"/>
  <c r="Y1770" i="26"/>
  <c r="X1772" i="26"/>
  <c r="Y1771" i="26"/>
  <c r="Y1772" i="26"/>
  <c r="X1773" i="26"/>
  <c r="Y1773" i="26"/>
  <c r="X1774" i="26"/>
  <c r="Y1774" i="26"/>
  <c r="X1775" i="26"/>
  <c r="X1776" i="26"/>
  <c r="Y1775" i="26"/>
  <c r="Y1776" i="26"/>
  <c r="X1777" i="26"/>
  <c r="X1778" i="26"/>
  <c r="Y1777" i="26"/>
  <c r="Y1778" i="26"/>
  <c r="X1779" i="26"/>
  <c r="X1780" i="26"/>
  <c r="Y1779" i="26"/>
  <c r="X1781" i="26"/>
  <c r="Y1780" i="26"/>
  <c r="Y1781" i="26"/>
  <c r="X1782" i="26"/>
  <c r="X1783" i="26"/>
  <c r="Y1782" i="26"/>
  <c r="Y1783" i="26"/>
  <c r="X1784" i="26"/>
  <c r="X1785" i="26"/>
  <c r="Y1784" i="26"/>
  <c r="X1786" i="26"/>
  <c r="Y1785" i="26"/>
  <c r="Y1786" i="26"/>
  <c r="X1787" i="26"/>
  <c r="X1788" i="26"/>
  <c r="Y1787" i="26"/>
  <c r="Y1788" i="26"/>
  <c r="X1789" i="26"/>
  <c r="X1790" i="26"/>
  <c r="Y1789" i="26"/>
  <c r="X1791" i="26"/>
  <c r="Y1790" i="26"/>
  <c r="X1792" i="26"/>
  <c r="Y1791" i="26"/>
  <c r="Y1792" i="26"/>
  <c r="X1793" i="26"/>
  <c r="Y1793" i="26"/>
  <c r="X1794" i="26"/>
  <c r="X1795" i="26"/>
  <c r="Y1794" i="26"/>
  <c r="X1796" i="26"/>
  <c r="Y1795" i="26"/>
  <c r="Y1796" i="26"/>
  <c r="X1797" i="26"/>
  <c r="X1798" i="26"/>
  <c r="Y1797" i="26"/>
  <c r="Y1798" i="26"/>
  <c r="X1799" i="26"/>
  <c r="X1800" i="26"/>
  <c r="Y1799" i="26"/>
  <c r="X1801" i="26"/>
  <c r="Y1800" i="26"/>
  <c r="X1802" i="26"/>
  <c r="Y1801" i="26"/>
  <c r="X1803" i="26"/>
  <c r="Y1802" i="26"/>
  <c r="X1804" i="26"/>
  <c r="Y1803" i="26"/>
  <c r="Y1804" i="26"/>
  <c r="X1805" i="26"/>
  <c r="X1806" i="26"/>
  <c r="Y1805" i="26"/>
  <c r="Y1806" i="26"/>
  <c r="X1807" i="26"/>
  <c r="X1808" i="26"/>
  <c r="Y1807" i="26"/>
  <c r="Y1808" i="26"/>
  <c r="X1809" i="26"/>
  <c r="X1810" i="26"/>
  <c r="Y1809" i="26"/>
  <c r="X1811" i="26"/>
  <c r="Y1810" i="26"/>
  <c r="Y1811" i="26"/>
  <c r="X1812" i="26"/>
  <c r="Y1812" i="26"/>
  <c r="X1813" i="26"/>
  <c r="X1814" i="26"/>
  <c r="Y1813" i="26"/>
  <c r="X1815" i="26"/>
  <c r="Y1814" i="26"/>
  <c r="X1816" i="26"/>
  <c r="Y1815" i="26"/>
  <c r="X1817" i="26"/>
  <c r="Y1816" i="26"/>
  <c r="Y1817" i="26"/>
  <c r="X1818" i="26"/>
  <c r="Y1818" i="26"/>
  <c r="X1819" i="26"/>
  <c r="X1820" i="26"/>
  <c r="Y1819" i="26"/>
  <c r="X1821" i="26"/>
  <c r="Y1820" i="26"/>
  <c r="Y1821" i="26"/>
  <c r="X1822" i="26"/>
  <c r="X1823" i="26"/>
  <c r="Y1822" i="26"/>
  <c r="Y1823" i="26"/>
  <c r="X1824" i="26"/>
  <c r="Y1824" i="26"/>
  <c r="X1825" i="26"/>
  <c r="X1826" i="26"/>
  <c r="Y1825" i="26"/>
  <c r="X1827" i="26"/>
  <c r="Y1826" i="26"/>
  <c r="Y1827" i="26"/>
  <c r="X1828" i="26"/>
  <c r="Y1828" i="26"/>
  <c r="X1829" i="26"/>
  <c r="Y1829" i="26"/>
  <c r="X1830" i="26"/>
  <c r="Y1830" i="26"/>
  <c r="X1831" i="26"/>
  <c r="X1832" i="26"/>
  <c r="Y1831" i="26"/>
  <c r="X1833" i="26"/>
  <c r="Y1832" i="26"/>
  <c r="X1834" i="26"/>
  <c r="Y1833" i="26"/>
  <c r="Y1834" i="26"/>
  <c r="X1835" i="26"/>
  <c r="Y1835" i="26"/>
  <c r="X1836" i="26"/>
  <c r="Y1836" i="26"/>
  <c r="X1837" i="26"/>
  <c r="X1838" i="26"/>
  <c r="Y1837" i="26"/>
  <c r="X1839" i="26"/>
  <c r="Y1838" i="26"/>
  <c r="X1840" i="26"/>
  <c r="Y1839" i="26"/>
  <c r="X1841" i="26"/>
  <c r="Y1840" i="26"/>
  <c r="X1842" i="26"/>
  <c r="Y1841" i="26"/>
  <c r="Y1842" i="26"/>
  <c r="X1843" i="26"/>
  <c r="Y1843" i="26"/>
  <c r="X1844" i="26"/>
  <c r="Y1844" i="26"/>
  <c r="X1845" i="26"/>
  <c r="Y1845" i="26"/>
  <c r="X1846" i="26"/>
  <c r="Y1846" i="26"/>
  <c r="X1847" i="26"/>
  <c r="Y1847" i="26"/>
  <c r="X1848" i="26"/>
  <c r="Y1848" i="26"/>
  <c r="X1849" i="26"/>
  <c r="X1850" i="26"/>
  <c r="Y1849" i="26"/>
  <c r="X1851" i="26"/>
  <c r="Y1850" i="26"/>
  <c r="X1852" i="26"/>
  <c r="Y1851" i="26"/>
  <c r="X1853" i="26"/>
  <c r="Y1852" i="26"/>
  <c r="X1854" i="26"/>
  <c r="Y1853" i="26"/>
  <c r="X1855" i="26"/>
  <c r="Y1854" i="26"/>
  <c r="Y1855" i="26"/>
  <c r="X1856" i="26"/>
  <c r="X1857" i="26"/>
  <c r="Y1856" i="26"/>
  <c r="X1858" i="26"/>
  <c r="Y1857" i="26"/>
  <c r="X1859" i="26"/>
  <c r="Y1858" i="26"/>
  <c r="Y1859" i="26"/>
  <c r="X1860" i="26"/>
  <c r="X1861" i="26"/>
  <c r="Y1860" i="26"/>
  <c r="Y1861" i="26"/>
  <c r="X1862" i="26"/>
  <c r="X1863" i="26"/>
  <c r="Y1862" i="26"/>
  <c r="X1864" i="26"/>
  <c r="Y1863" i="26"/>
  <c r="Y1864" i="26"/>
  <c r="X1865" i="26"/>
  <c r="X1866" i="26"/>
  <c r="Y1865" i="26"/>
  <c r="X1867" i="26"/>
  <c r="Y1866" i="26"/>
  <c r="X1868" i="26"/>
  <c r="Y1867" i="26"/>
  <c r="X1869" i="26"/>
  <c r="Y1868" i="26"/>
  <c r="Y1869" i="26"/>
  <c r="X1870" i="26"/>
  <c r="Y1870" i="26"/>
  <c r="X1871" i="26"/>
  <c r="Y1871" i="26"/>
  <c r="X1872" i="26"/>
  <c r="X1873" i="26"/>
  <c r="Y1872" i="26"/>
  <c r="X1874" i="26"/>
  <c r="Y1873" i="26"/>
  <c r="Y1874" i="26"/>
  <c r="X1875" i="26"/>
  <c r="Y1875" i="26"/>
  <c r="X1876" i="26"/>
  <c r="X1877" i="26"/>
  <c r="Y1876" i="26"/>
  <c r="Y1877" i="26"/>
  <c r="X1878" i="26"/>
  <c r="Y1878" i="26"/>
  <c r="X1879" i="26"/>
  <c r="X1880" i="26"/>
  <c r="Y1879" i="26"/>
  <c r="Y1880" i="26"/>
  <c r="X1881" i="26"/>
  <c r="Y1881" i="26"/>
  <c r="X1882" i="26"/>
  <c r="X1883" i="26"/>
  <c r="Y1882" i="26"/>
  <c r="X1884" i="26"/>
  <c r="Y1883" i="26"/>
  <c r="X1885" i="26"/>
  <c r="Y1884" i="26"/>
  <c r="Y1885" i="26"/>
  <c r="X1886" i="26"/>
  <c r="Y1886" i="26"/>
  <c r="X1887" i="26"/>
  <c r="X1888" i="26"/>
  <c r="Y1887" i="26"/>
  <c r="X1889" i="26"/>
  <c r="Y1888" i="26"/>
  <c r="X1890" i="26"/>
  <c r="Y1889" i="26"/>
  <c r="X1891" i="26"/>
  <c r="Y1890" i="26"/>
  <c r="X1892" i="26"/>
  <c r="Y1891" i="26"/>
  <c r="X1893" i="26"/>
  <c r="Y1892" i="26"/>
  <c r="X1894" i="26"/>
  <c r="Y1893" i="26"/>
  <c r="X1895" i="26"/>
  <c r="Y1894" i="26"/>
  <c r="Y1895" i="26"/>
  <c r="X1896" i="26"/>
  <c r="X1897" i="26"/>
  <c r="Y1896" i="26"/>
  <c r="Y1897" i="26"/>
  <c r="X1898" i="26"/>
  <c r="X1899" i="26"/>
  <c r="Y1898" i="26"/>
  <c r="Y1899" i="26"/>
  <c r="X1900" i="26"/>
  <c r="Y1900" i="26"/>
  <c r="X1901" i="26"/>
  <c r="Y1901" i="26"/>
  <c r="X1902" i="26"/>
  <c r="X1903" i="26"/>
  <c r="Y1902" i="26"/>
  <c r="X1904" i="26"/>
  <c r="Y1903" i="26"/>
  <c r="Y1904" i="26"/>
  <c r="X1905" i="26"/>
  <c r="Y1905" i="26"/>
  <c r="X1906" i="26"/>
  <c r="Y1906" i="26"/>
  <c r="X1907" i="26"/>
  <c r="X1908" i="26"/>
  <c r="Y1907" i="26"/>
  <c r="Y1908" i="26"/>
  <c r="X1909" i="26"/>
  <c r="Y1909" i="26"/>
  <c r="X1910" i="26"/>
  <c r="Y1910" i="26"/>
  <c r="X1911" i="26"/>
  <c r="Y1911" i="26"/>
  <c r="X1912" i="26"/>
  <c r="Y1912" i="26"/>
  <c r="X1913" i="26"/>
  <c r="Y1913" i="26"/>
  <c r="X1914" i="26"/>
  <c r="Y1914" i="26"/>
  <c r="X1915" i="26"/>
  <c r="X1916" i="26"/>
  <c r="Y1915" i="26"/>
  <c r="X1917" i="26"/>
  <c r="Y1916" i="26"/>
  <c r="Y1917" i="26"/>
  <c r="X1918" i="26"/>
  <c r="X1919" i="26"/>
  <c r="Y1918" i="26"/>
  <c r="Y1919" i="26"/>
  <c r="X1920" i="26"/>
  <c r="X1921" i="26"/>
  <c r="Y1920" i="26"/>
  <c r="Y1921" i="26"/>
  <c r="X1922" i="26"/>
  <c r="Y1922" i="26"/>
  <c r="X1923" i="26"/>
  <c r="Y1923" i="26"/>
  <c r="X1924" i="26"/>
  <c r="X1925" i="26"/>
  <c r="Y1924" i="26"/>
  <c r="X1926" i="26"/>
  <c r="Y1925" i="26"/>
  <c r="X1927" i="26"/>
  <c r="Y1926" i="26"/>
  <c r="Y1927" i="26"/>
  <c r="X1928" i="26"/>
  <c r="X1929" i="26"/>
  <c r="Y1928" i="26"/>
  <c r="X1930" i="26"/>
  <c r="Y1929" i="26"/>
  <c r="Y1930" i="26"/>
  <c r="X1931" i="26"/>
  <c r="Y1931" i="26"/>
  <c r="X1932" i="26"/>
  <c r="X1933" i="26"/>
  <c r="Y1932" i="26"/>
  <c r="X1934" i="26"/>
  <c r="Y1933" i="26"/>
  <c r="X1935" i="26"/>
  <c r="Y1934" i="26"/>
  <c r="X1936" i="26"/>
  <c r="Y1935" i="26"/>
  <c r="Y1936" i="26"/>
  <c r="X1937" i="26"/>
  <c r="X1938" i="26"/>
  <c r="Y1937" i="26"/>
  <c r="Y1938" i="26"/>
  <c r="X1939" i="26"/>
  <c r="Y1939" i="26"/>
  <c r="X1940" i="26"/>
  <c r="X1941" i="26"/>
  <c r="Y1940" i="26"/>
  <c r="Y1941" i="26"/>
  <c r="X1942" i="26"/>
  <c r="Y1942" i="26"/>
  <c r="X1943" i="26"/>
  <c r="Y1943" i="26"/>
  <c r="X1944" i="26"/>
  <c r="Y1944" i="26"/>
  <c r="X1945" i="26"/>
  <c r="Y1945" i="26"/>
  <c r="X1946" i="26"/>
  <c r="Y1946" i="26"/>
  <c r="X1947" i="26"/>
  <c r="X1948" i="26"/>
  <c r="Y1947" i="26"/>
  <c r="X1949" i="26"/>
  <c r="Y1948" i="26"/>
  <c r="X1950" i="26"/>
  <c r="Y1949" i="26"/>
  <c r="X1951" i="26"/>
  <c r="Y1950" i="26"/>
  <c r="X1952" i="26"/>
  <c r="Y1951" i="26"/>
  <c r="Y1952" i="26"/>
  <c r="X1953" i="26"/>
  <c r="X1954" i="26"/>
  <c r="Y1953" i="26"/>
  <c r="Y1954" i="26"/>
  <c r="X1955" i="26"/>
  <c r="Y1955" i="26"/>
  <c r="X1956" i="26"/>
  <c r="X1957" i="26"/>
  <c r="Y1956" i="26"/>
  <c r="X1958" i="26"/>
  <c r="Y1957" i="26"/>
  <c r="X1959" i="26"/>
  <c r="Y1958" i="26"/>
  <c r="Y1959" i="26"/>
  <c r="X1960" i="26"/>
  <c r="Y1960" i="26"/>
  <c r="X1961" i="26"/>
  <c r="X1962" i="26"/>
  <c r="Y1961" i="26"/>
  <c r="X1963" i="26"/>
  <c r="Y1962" i="26"/>
  <c r="X1964" i="26"/>
  <c r="Y1963" i="26"/>
  <c r="X1965" i="26"/>
  <c r="Y1964" i="26"/>
  <c r="Y1965" i="26"/>
  <c r="X1966" i="26"/>
  <c r="X1967" i="26"/>
  <c r="Y1966" i="26"/>
  <c r="X1968" i="26"/>
  <c r="Y1967" i="26"/>
  <c r="X1969" i="26"/>
  <c r="Y1968" i="26"/>
  <c r="Y1969" i="26"/>
  <c r="X1970" i="26"/>
  <c r="X1971" i="26"/>
  <c r="Y1970" i="26"/>
  <c r="X1972" i="26"/>
  <c r="Y1971" i="26"/>
  <c r="Y1972" i="26"/>
  <c r="X1973" i="26"/>
  <c r="Y1973" i="26"/>
  <c r="X1974" i="26"/>
  <c r="Y1974" i="26"/>
  <c r="X1975" i="26"/>
  <c r="Y1975" i="26"/>
  <c r="X1976" i="26"/>
  <c r="X1977" i="26"/>
  <c r="Y1976" i="26"/>
  <c r="X1978" i="26"/>
  <c r="Y1977" i="26"/>
  <c r="Y1978" i="26"/>
  <c r="X1979" i="26"/>
  <c r="X1980" i="26"/>
  <c r="Y1979" i="26"/>
  <c r="X1981" i="26"/>
  <c r="Y1980" i="26"/>
  <c r="Y1981" i="26"/>
  <c r="X1982" i="26"/>
  <c r="X1983" i="26"/>
  <c r="Y1982" i="26"/>
  <c r="X1984" i="26"/>
  <c r="Y1983" i="26"/>
  <c r="Y1984" i="26"/>
  <c r="X1985" i="26"/>
  <c r="X1986" i="26"/>
  <c r="Y1985" i="26"/>
  <c r="Y1986" i="26"/>
  <c r="X1987" i="26"/>
  <c r="X1988" i="26"/>
  <c r="Y1987" i="26"/>
  <c r="Y1988" i="26"/>
  <c r="X1989" i="26"/>
  <c r="X1990" i="26"/>
  <c r="Y1989" i="26"/>
  <c r="X1991" i="26"/>
  <c r="Y1990" i="26"/>
  <c r="X1992" i="26"/>
  <c r="Y1991" i="26"/>
  <c r="Y1992" i="26"/>
  <c r="X1993" i="26"/>
  <c r="X1994" i="26"/>
  <c r="Y1993" i="26"/>
  <c r="X1995" i="26"/>
  <c r="Y1994" i="26"/>
  <c r="X1996" i="26"/>
  <c r="Y1995" i="26"/>
  <c r="X1997" i="26"/>
  <c r="Y1996" i="26"/>
  <c r="X1998" i="26"/>
  <c r="Y1997" i="26"/>
  <c r="Y1998" i="26"/>
  <c r="X1999" i="26"/>
  <c r="Y1999" i="26"/>
  <c r="X2000" i="26"/>
  <c r="X2001" i="26"/>
  <c r="Y2000" i="26"/>
  <c r="X2002" i="26"/>
  <c r="Y2001" i="26"/>
  <c r="X2003" i="26"/>
  <c r="Y2002" i="26"/>
  <c r="Y2003" i="26"/>
  <c r="X2004" i="26"/>
  <c r="X2005" i="26"/>
  <c r="Y2004" i="26"/>
  <c r="X2006" i="26"/>
  <c r="Y2005" i="26"/>
  <c r="Y2006" i="26"/>
  <c r="X2007" i="26"/>
  <c r="X2008" i="26"/>
  <c r="Y2007" i="26"/>
  <c r="X2009" i="26"/>
  <c r="Y2008" i="26"/>
  <c r="Y2009" i="26"/>
  <c r="X2010" i="26"/>
  <c r="Y2010" i="26"/>
  <c r="X2011" i="26"/>
  <c r="X2012" i="26"/>
  <c r="Y2011" i="26"/>
  <c r="Y2012" i="26"/>
  <c r="X2013" i="26"/>
  <c r="X2014" i="26"/>
  <c r="Y2013" i="26"/>
  <c r="X2015" i="26"/>
  <c r="Y2014" i="26"/>
  <c r="X2016" i="26"/>
  <c r="Y2015" i="26"/>
  <c r="X2017" i="26"/>
  <c r="Y2016" i="26"/>
  <c r="Y2017" i="26"/>
  <c r="X2018" i="26"/>
  <c r="Y2018" i="26"/>
  <c r="X2019" i="26"/>
  <c r="X2020" i="26"/>
  <c r="Y2019" i="26"/>
  <c r="X2021" i="26"/>
  <c r="Y2020" i="26"/>
  <c r="Y2021" i="26"/>
  <c r="X2022" i="26"/>
  <c r="Y2022" i="26"/>
  <c r="X2023" i="26"/>
  <c r="Y2023" i="26"/>
  <c r="X2024" i="26"/>
  <c r="X2025" i="26"/>
  <c r="Y2024" i="26"/>
  <c r="X2026" i="26"/>
  <c r="Y2025" i="26"/>
  <c r="Y2026" i="26"/>
  <c r="X2027" i="26"/>
  <c r="Y2027" i="26"/>
  <c r="X2028" i="26"/>
  <c r="X2029" i="26"/>
  <c r="Y2028" i="26"/>
  <c r="X2030" i="26"/>
  <c r="Y2029" i="26"/>
  <c r="X2031" i="26"/>
  <c r="Y2030" i="26"/>
  <c r="X2032" i="26"/>
  <c r="Y2031" i="26"/>
  <c r="Y2032" i="26"/>
  <c r="X2033" i="26"/>
  <c r="Y2033" i="26"/>
  <c r="X2034" i="26"/>
  <c r="Y2034" i="26"/>
  <c r="X2035" i="26"/>
  <c r="Y2035" i="26"/>
  <c r="X2036" i="26"/>
  <c r="Y2036" i="26"/>
  <c r="X2037" i="26"/>
  <c r="X2038" i="26"/>
  <c r="Y2037" i="26"/>
  <c r="Y2038" i="26"/>
  <c r="X2039" i="26"/>
  <c r="X2040" i="26"/>
  <c r="Y2039" i="26"/>
  <c r="X2041" i="26"/>
  <c r="Y2040" i="26"/>
  <c r="Y2041" i="26"/>
  <c r="X2042" i="26"/>
  <c r="Y2042" i="26"/>
  <c r="X2043" i="26"/>
  <c r="X2044" i="26"/>
  <c r="Y2043" i="26"/>
  <c r="Y2044" i="26"/>
  <c r="X2045" i="26"/>
  <c r="Y2045" i="26"/>
  <c r="X2046" i="26"/>
  <c r="Y2046" i="26"/>
  <c r="X2047" i="26"/>
  <c r="X2048" i="26"/>
  <c r="Y2047" i="26"/>
  <c r="Y2048" i="26"/>
  <c r="X2049" i="26"/>
  <c r="Y2049" i="26"/>
  <c r="X2050" i="26"/>
  <c r="Y2050" i="26"/>
  <c r="X2051" i="26"/>
  <c r="X2052" i="26"/>
  <c r="Y2051" i="26"/>
  <c r="X2053" i="26"/>
  <c r="Y2052" i="26"/>
  <c r="X2054" i="26"/>
  <c r="Y2053" i="26"/>
  <c r="Y2054" i="26"/>
  <c r="X2055" i="26"/>
  <c r="Y2055" i="26"/>
  <c r="X2056" i="26"/>
  <c r="Y2056" i="26"/>
  <c r="X2057" i="26"/>
  <c r="X2058" i="26"/>
  <c r="Y2057" i="26"/>
  <c r="Y2058" i="26"/>
  <c r="X2059" i="26"/>
  <c r="X2060" i="26"/>
  <c r="Y2059" i="26"/>
  <c r="X2061" i="26"/>
  <c r="Y2060" i="26"/>
  <c r="X2062" i="26"/>
  <c r="Y2061" i="26"/>
  <c r="X2063" i="26"/>
  <c r="Y2062" i="26"/>
  <c r="Y2063" i="26"/>
  <c r="X2064" i="26"/>
  <c r="Y2064" i="26"/>
  <c r="X2065" i="26"/>
  <c r="X2066" i="26"/>
  <c r="Y2065" i="26"/>
  <c r="X2067" i="26"/>
  <c r="Y2066" i="26"/>
  <c r="X2068" i="26"/>
  <c r="Y2067" i="26"/>
  <c r="Y2068" i="26"/>
  <c r="X2069" i="26"/>
  <c r="Y2069" i="26"/>
  <c r="X2070" i="26"/>
  <c r="Y2070" i="26"/>
  <c r="X2071" i="26"/>
  <c r="Y2071" i="26"/>
  <c r="X2072" i="26"/>
  <c r="Y2072" i="26"/>
  <c r="X2073" i="26"/>
  <c r="Y2073" i="26"/>
  <c r="X2074" i="26"/>
  <c r="Y2074" i="26"/>
  <c r="X2075" i="26"/>
  <c r="X2076" i="26"/>
  <c r="Y2075" i="26"/>
  <c r="X2077" i="26"/>
  <c r="Y2076" i="26"/>
  <c r="Y2077" i="26"/>
  <c r="X2078" i="26"/>
  <c r="Y2078" i="26"/>
  <c r="X2079" i="26"/>
  <c r="Y2079" i="26"/>
  <c r="X2080" i="26"/>
  <c r="X2081" i="26"/>
  <c r="Y2080" i="26"/>
  <c r="Y2081" i="26"/>
  <c r="X2082" i="26"/>
  <c r="Y2082" i="26"/>
  <c r="X2083" i="26"/>
  <c r="Y2083" i="26"/>
  <c r="X2084" i="26"/>
  <c r="Y2084" i="26"/>
  <c r="X2085" i="26"/>
  <c r="Y2085" i="26"/>
  <c r="X2086" i="26"/>
  <c r="X2087" i="26"/>
  <c r="Y2086" i="26"/>
  <c r="X2088" i="26"/>
  <c r="Y2087" i="26"/>
  <c r="Y2088" i="26"/>
  <c r="X2089" i="26"/>
  <c r="X2090" i="26"/>
  <c r="Y2089" i="26"/>
  <c r="X2091" i="26"/>
  <c r="Y2090" i="26"/>
  <c r="Y2091" i="26"/>
  <c r="X2092" i="26"/>
  <c r="X2093" i="26"/>
  <c r="Y2092" i="26"/>
  <c r="Y2093" i="26"/>
  <c r="X2094" i="26"/>
  <c r="X2095" i="26"/>
  <c r="Y2094" i="26"/>
  <c r="Y2095" i="26"/>
  <c r="X2096" i="26"/>
  <c r="Y2096" i="26"/>
  <c r="X2097" i="26"/>
  <c r="Y2097" i="26"/>
  <c r="X2098" i="26"/>
  <c r="X2099" i="26"/>
  <c r="Y2098" i="26"/>
  <c r="Y2099" i="26"/>
  <c r="X2100" i="26"/>
  <c r="Y2100" i="26"/>
  <c r="X2101" i="26"/>
  <c r="X2102" i="26"/>
  <c r="Y2101" i="26"/>
  <c r="X2103" i="26"/>
  <c r="Y2102" i="26"/>
  <c r="X2104" i="26"/>
  <c r="Y2103" i="26"/>
  <c r="Y2104" i="26"/>
  <c r="X2105" i="26"/>
  <c r="X2106" i="26"/>
  <c r="Y2105" i="26"/>
  <c r="X2107" i="26"/>
  <c r="Y2106" i="26"/>
  <c r="X2108" i="26"/>
  <c r="Y2107" i="26"/>
  <c r="Y2108" i="26"/>
  <c r="X2109" i="26"/>
  <c r="Y2109" i="26"/>
  <c r="X2110" i="26"/>
  <c r="X2111" i="26"/>
  <c r="Y2110" i="26"/>
  <c r="Y2111" i="26"/>
  <c r="X2112" i="26"/>
  <c r="Y2112" i="26"/>
  <c r="X2113" i="26"/>
  <c r="Y2113" i="26"/>
  <c r="X2114" i="26"/>
  <c r="Y2114" i="26"/>
  <c r="X2115" i="26"/>
  <c r="X2116" i="26"/>
  <c r="Y2115" i="26"/>
  <c r="Y2116" i="26"/>
  <c r="X2117" i="26"/>
  <c r="Y2117" i="26"/>
  <c r="X2118" i="26"/>
  <c r="X2119" i="26"/>
  <c r="Y2118" i="26"/>
  <c r="X2120" i="26"/>
  <c r="Y2119" i="26"/>
  <c r="X2121" i="26"/>
  <c r="Y2120" i="26"/>
  <c r="Y2121" i="26"/>
  <c r="X2122" i="26"/>
  <c r="Y2122" i="26"/>
  <c r="X2123" i="26"/>
  <c r="Y2123" i="26"/>
  <c r="X2124" i="26"/>
  <c r="Y2124" i="26"/>
  <c r="X2125" i="26"/>
  <c r="Y2125" i="26"/>
  <c r="X2126" i="26"/>
  <c r="X2127" i="26"/>
  <c r="Y2126" i="26"/>
  <c r="X2128" i="26"/>
  <c r="Y2127" i="26"/>
  <c r="Y2128" i="26"/>
  <c r="X2129" i="26"/>
  <c r="Y2129" i="26"/>
  <c r="X2130" i="26"/>
  <c r="Y2130" i="26"/>
  <c r="X2131" i="26"/>
  <c r="X2132" i="26"/>
  <c r="Y2131" i="26"/>
  <c r="X2133" i="26"/>
  <c r="Y2132" i="26"/>
  <c r="X2134" i="26"/>
  <c r="Y2133" i="26"/>
  <c r="X2135" i="26"/>
  <c r="Y2134" i="26"/>
  <c r="X2136" i="26"/>
  <c r="Y2135" i="26"/>
  <c r="Y2136" i="26"/>
  <c r="X2137" i="26"/>
  <c r="Y2137" i="26"/>
  <c r="X2138" i="26"/>
  <c r="Y2138" i="26"/>
  <c r="X2139" i="26"/>
  <c r="Y2139" i="26"/>
  <c r="X2140" i="26"/>
  <c r="X2141" i="26"/>
  <c r="Y2140" i="26"/>
  <c r="X2142" i="26"/>
  <c r="Y2141" i="26"/>
  <c r="Y2142" i="26"/>
  <c r="X2143" i="26"/>
  <c r="Y2143" i="26"/>
  <c r="X2144" i="26"/>
  <c r="Y2144" i="26"/>
  <c r="X2145" i="26"/>
  <c r="X2146" i="26"/>
  <c r="Y2145" i="26"/>
  <c r="Y2146" i="26"/>
  <c r="X2147" i="26"/>
  <c r="Y2147" i="26"/>
  <c r="X2148" i="26"/>
  <c r="Y2148" i="26"/>
  <c r="X2149" i="26"/>
  <c r="Y2149" i="26"/>
  <c r="X2150" i="26"/>
  <c r="Y2150" i="26"/>
  <c r="X2151" i="26"/>
  <c r="Y2151" i="26"/>
  <c r="X2152" i="26"/>
  <c r="X2153" i="26"/>
  <c r="Y2152" i="26"/>
  <c r="Y2153" i="26"/>
  <c r="X2154" i="26"/>
  <c r="X2155" i="26"/>
  <c r="Y2154" i="26"/>
  <c r="Y2155" i="26"/>
  <c r="X2156" i="26"/>
  <c r="Y2156" i="26"/>
  <c r="X2157" i="26"/>
  <c r="X2158" i="26"/>
  <c r="Y2157" i="26"/>
  <c r="X2159" i="26"/>
  <c r="Y2158" i="26"/>
  <c r="X2160" i="26"/>
  <c r="Y2159" i="26"/>
  <c r="X2161" i="26"/>
  <c r="Y2160" i="26"/>
  <c r="Y2161" i="26"/>
  <c r="X2162" i="26"/>
  <c r="Y2162" i="26"/>
  <c r="X2163" i="26"/>
  <c r="Y2163" i="26"/>
  <c r="X2164" i="26"/>
  <c r="X2165" i="26"/>
  <c r="Y2164" i="26"/>
  <c r="X2166" i="26"/>
  <c r="Y2165" i="26"/>
  <c r="X2167" i="26"/>
  <c r="Y2166" i="26"/>
  <c r="X2168" i="26"/>
  <c r="Y2167" i="26"/>
  <c r="X2169" i="26"/>
  <c r="Y2168" i="26"/>
  <c r="X2170" i="26"/>
  <c r="Y2169" i="26"/>
  <c r="X2171" i="26"/>
  <c r="Y2170" i="26"/>
  <c r="X2172" i="26"/>
  <c r="Y2171" i="26"/>
  <c r="X2173" i="26"/>
  <c r="Y2172" i="26"/>
  <c r="Y2173" i="26"/>
  <c r="X2174" i="26"/>
  <c r="X2175" i="26"/>
  <c r="Y2174" i="26"/>
  <c r="X2176" i="26"/>
  <c r="Y2175" i="26"/>
  <c r="Y2176" i="26"/>
  <c r="X2177" i="26"/>
  <c r="X2178" i="26"/>
  <c r="Y2177" i="26"/>
  <c r="X2179" i="26"/>
  <c r="Y2178" i="26"/>
  <c r="X2180" i="26"/>
  <c r="Y2179" i="26"/>
  <c r="X2181" i="26"/>
  <c r="Y2180" i="26"/>
  <c r="X2182" i="26"/>
  <c r="Y2181" i="26"/>
  <c r="Y2182" i="26"/>
  <c r="X2183" i="26"/>
  <c r="X2184" i="26"/>
  <c r="Y2183" i="26"/>
  <c r="X2185" i="26"/>
  <c r="Y2184" i="26"/>
  <c r="X2186" i="26"/>
  <c r="Y2185" i="26"/>
  <c r="Y2186" i="26"/>
  <c r="X2187" i="26"/>
  <c r="X2188" i="26"/>
  <c r="Y2187" i="26"/>
  <c r="X2189" i="26"/>
  <c r="Y2188" i="26"/>
  <c r="X2190" i="26"/>
  <c r="Y2189" i="26"/>
  <c r="X2191" i="26"/>
  <c r="Y2190" i="26"/>
  <c r="Y2191" i="26"/>
  <c r="X2192" i="26"/>
  <c r="Y2192" i="26"/>
  <c r="X2193" i="26"/>
  <c r="X2194" i="26"/>
  <c r="Y2193" i="26"/>
  <c r="X2195" i="26"/>
  <c r="Y2194" i="26"/>
  <c r="X2196" i="26"/>
  <c r="Y2195" i="26"/>
  <c r="Y2196" i="26"/>
  <c r="X2197" i="26"/>
  <c r="Y2197" i="26"/>
  <c r="X2198" i="26"/>
  <c r="X2199" i="26"/>
  <c r="Y2198" i="26"/>
  <c r="X2200" i="26"/>
  <c r="Y2199" i="26"/>
  <c r="X2201" i="26"/>
  <c r="Y2200" i="26"/>
  <c r="Y2201" i="26"/>
  <c r="X2202" i="26"/>
  <c r="X2203" i="26"/>
  <c r="Y2202" i="26"/>
  <c r="X2204" i="26"/>
  <c r="Y2203" i="26"/>
  <c r="X2205" i="26"/>
  <c r="Y2204" i="26"/>
  <c r="Y2205" i="26"/>
  <c r="X2206" i="26"/>
  <c r="X2207" i="26"/>
  <c r="Y2206" i="26"/>
  <c r="Y2207" i="26"/>
  <c r="X2208" i="26"/>
  <c r="Y2208" i="26"/>
  <c r="X2209" i="26"/>
  <c r="Y2209" i="26"/>
  <c r="X2210" i="26"/>
  <c r="Y2210" i="26"/>
  <c r="X2211" i="26"/>
  <c r="X2212" i="26"/>
  <c r="Y2211" i="26"/>
  <c r="Y2212" i="26"/>
  <c r="X2213" i="26"/>
  <c r="X2214" i="26"/>
  <c r="Y2213" i="26"/>
  <c r="Y2214" i="26"/>
  <c r="X2215" i="26"/>
  <c r="X2216" i="26"/>
  <c r="Y2215" i="26"/>
  <c r="X2217" i="26"/>
  <c r="Y2216" i="26"/>
  <c r="X2218" i="26"/>
  <c r="Y2217" i="26"/>
  <c r="X2219" i="26"/>
  <c r="Y2218" i="26"/>
  <c r="Y2219" i="26"/>
  <c r="X2220" i="26"/>
  <c r="X2221" i="26"/>
  <c r="Y2220" i="26"/>
  <c r="X2222" i="26"/>
  <c r="Y2221" i="26"/>
  <c r="Y2222" i="26"/>
  <c r="X2223" i="26"/>
  <c r="Y2223" i="26"/>
  <c r="X2224" i="26"/>
  <c r="Y2224" i="26"/>
  <c r="X2225" i="26"/>
  <c r="Y2225" i="26"/>
  <c r="X2226" i="26"/>
  <c r="Y2226" i="26"/>
  <c r="X2227" i="26"/>
  <c r="X2228" i="26"/>
  <c r="Y2227" i="26"/>
  <c r="Y2228" i="26"/>
  <c r="X2229" i="26"/>
  <c r="X2230" i="26"/>
  <c r="Y2229" i="26"/>
  <c r="X2231" i="26"/>
  <c r="Y2230" i="26"/>
  <c r="X2232" i="26"/>
  <c r="Y2231" i="26"/>
  <c r="X2233" i="26"/>
  <c r="Y2232" i="26"/>
  <c r="X2234" i="26"/>
  <c r="Y2233" i="26"/>
  <c r="X2235" i="26"/>
  <c r="Y2234" i="26"/>
  <c r="X2236" i="26"/>
  <c r="Y2235" i="26"/>
  <c r="X2237" i="26"/>
  <c r="Y2236" i="26"/>
  <c r="X2238" i="26"/>
  <c r="Y2237" i="26"/>
  <c r="Y2238" i="26"/>
  <c r="X2239" i="26"/>
  <c r="Y2239" i="26"/>
  <c r="X2240" i="26"/>
  <c r="X2241" i="26"/>
  <c r="Y2240" i="26"/>
  <c r="X2242" i="26"/>
  <c r="Y2241" i="26"/>
  <c r="X2243" i="26"/>
  <c r="Y2242" i="26"/>
  <c r="Y2243" i="26"/>
  <c r="X2244" i="26"/>
  <c r="X2245" i="26"/>
  <c r="Y2244" i="26"/>
  <c r="X2246" i="26"/>
  <c r="Y2245" i="26"/>
  <c r="X2247" i="26"/>
  <c r="Y2246" i="26"/>
  <c r="X2248" i="26"/>
  <c r="Y2247" i="26"/>
  <c r="Y2248" i="26"/>
  <c r="X2249" i="26"/>
  <c r="Y2249" i="26"/>
  <c r="X2250" i="26"/>
  <c r="X2251" i="26"/>
  <c r="Y2250" i="26"/>
  <c r="X2252" i="26"/>
  <c r="Y2251" i="26"/>
  <c r="X2253" i="26"/>
  <c r="Y2252" i="26"/>
  <c r="X2254" i="26"/>
  <c r="Y2253" i="26"/>
  <c r="Y2254" i="26"/>
  <c r="X2255" i="26"/>
  <c r="Y2255" i="26"/>
  <c r="X2256" i="26"/>
  <c r="X2257" i="26"/>
  <c r="Y2256" i="26"/>
  <c r="X2258" i="26"/>
  <c r="Y2257" i="26"/>
  <c r="X2259" i="26"/>
  <c r="Y2258" i="26"/>
  <c r="X2260" i="26"/>
  <c r="Y2259" i="26"/>
  <c r="X2261" i="26"/>
  <c r="Y2260" i="26"/>
  <c r="X2262" i="26"/>
  <c r="Y2261" i="26"/>
  <c r="X2263" i="26"/>
  <c r="Y2262" i="26"/>
  <c r="Y2263" i="26"/>
  <c r="X2264" i="26"/>
  <c r="Y2264" i="26"/>
  <c r="X2265" i="26"/>
  <c r="X2266" i="26"/>
  <c r="Y2265" i="26"/>
  <c r="X2267" i="26"/>
  <c r="Y2266" i="26"/>
  <c r="X2268" i="26"/>
  <c r="Y2267" i="26"/>
  <c r="X2269" i="26"/>
  <c r="Y2268" i="26"/>
  <c r="X2270" i="26"/>
  <c r="Y2269" i="26"/>
  <c r="X2271" i="26"/>
  <c r="Y2270" i="26"/>
  <c r="X2272" i="26"/>
  <c r="Y2271" i="26"/>
  <c r="X2273" i="26"/>
  <c r="Y2272" i="26"/>
  <c r="X2274" i="26"/>
  <c r="Y2273" i="26"/>
  <c r="Y2274" i="26"/>
  <c r="X2275" i="26"/>
  <c r="X2276" i="26"/>
  <c r="Y2275" i="26"/>
  <c r="Y2276" i="26"/>
  <c r="X2277" i="26"/>
  <c r="Y2277" i="26"/>
  <c r="X2278" i="26"/>
  <c r="X2279" i="26"/>
  <c r="Y2278" i="26"/>
  <c r="Y2279" i="26"/>
  <c r="X2280" i="26"/>
  <c r="X2281" i="26"/>
  <c r="Y2280" i="26"/>
  <c r="Y2281" i="26"/>
  <c r="X2282" i="26"/>
  <c r="X2283" i="26"/>
  <c r="Y2282" i="26"/>
  <c r="X2284" i="26"/>
  <c r="Y2283" i="26"/>
  <c r="Y2284" i="26"/>
  <c r="X2285" i="26"/>
  <c r="X2286" i="26"/>
  <c r="Y2285" i="26"/>
  <c r="Y2286" i="26"/>
  <c r="X2287" i="26"/>
  <c r="X2288" i="26"/>
  <c r="Y2287" i="26"/>
  <c r="X2289" i="26"/>
  <c r="Y2288" i="26"/>
  <c r="X2290" i="26"/>
  <c r="Y2289" i="26"/>
  <c r="Y2290" i="26"/>
  <c r="X2291" i="26"/>
  <c r="X2292" i="26"/>
  <c r="Y2291" i="26"/>
  <c r="X2293" i="26"/>
  <c r="Y2292" i="26"/>
  <c r="Y2293" i="26"/>
  <c r="X2294" i="26"/>
  <c r="X2295" i="26"/>
  <c r="Y2294" i="26"/>
  <c r="X2296" i="26"/>
  <c r="Y2295" i="26"/>
  <c r="Y2296" i="26"/>
  <c r="X2297" i="26"/>
  <c r="X2298" i="26"/>
  <c r="Y2297" i="26"/>
  <c r="Y2298" i="26"/>
  <c r="X2299" i="26"/>
  <c r="X2300" i="26"/>
  <c r="Y2299" i="26"/>
  <c r="X2301" i="26"/>
  <c r="Y2300" i="26"/>
  <c r="X2302" i="26"/>
  <c r="Y2301" i="26"/>
  <c r="Y2302" i="26"/>
  <c r="X2303" i="26"/>
  <c r="Y2303" i="26"/>
  <c r="X2304" i="26"/>
  <c r="Y2304" i="26"/>
  <c r="X2305" i="26"/>
  <c r="X2306" i="26"/>
  <c r="Y2305" i="26"/>
  <c r="Y2306" i="26"/>
  <c r="X2307" i="26"/>
  <c r="Y2307" i="26"/>
  <c r="X2308" i="26"/>
  <c r="Y2308" i="26"/>
  <c r="X2309" i="26"/>
  <c r="X2310" i="26"/>
  <c r="Y2309" i="26"/>
  <c r="X2311" i="26"/>
  <c r="Y2310" i="26"/>
  <c r="Y2311" i="26"/>
  <c r="X2312" i="26"/>
  <c r="Y2312" i="26"/>
  <c r="X2313" i="26"/>
  <c r="X2314" i="26"/>
  <c r="Y2313" i="26"/>
  <c r="Y2314" i="26"/>
  <c r="X2315" i="26"/>
  <c r="X2316" i="26"/>
  <c r="Y2315" i="26"/>
  <c r="X2317" i="26"/>
  <c r="Y2316" i="26"/>
  <c r="Y2317" i="26"/>
  <c r="X2318" i="26"/>
  <c r="Y2318" i="26"/>
  <c r="X2319" i="26"/>
  <c r="Y2319" i="26"/>
  <c r="X2320" i="26"/>
  <c r="X2321" i="26"/>
  <c r="Y2320" i="26"/>
  <c r="Y2321" i="26"/>
  <c r="X2322" i="26"/>
  <c r="Y2322" i="26"/>
  <c r="X2323" i="26"/>
  <c r="Y2323" i="26"/>
  <c r="X2324" i="26"/>
  <c r="Y2324" i="26"/>
  <c r="X2325" i="26"/>
  <c r="Y2325" i="26"/>
  <c r="X2326" i="26"/>
  <c r="Y2326" i="26"/>
  <c r="X2327" i="26"/>
  <c r="X2328" i="26"/>
  <c r="Y2327" i="26"/>
  <c r="Y2328" i="26"/>
  <c r="X2329" i="26"/>
  <c r="X2330" i="26"/>
  <c r="Y2329" i="26"/>
  <c r="Y2330" i="26"/>
  <c r="X2331" i="26"/>
  <c r="Y2331" i="26"/>
  <c r="X2332" i="26"/>
  <c r="Y2332" i="26"/>
  <c r="X2333" i="26"/>
  <c r="X2334" i="26"/>
  <c r="Y2333" i="26"/>
  <c r="X2335" i="26"/>
  <c r="Y2334" i="26"/>
  <c r="Y2335" i="26"/>
  <c r="X2336" i="26"/>
  <c r="Y2336" i="26"/>
  <c r="X2337" i="26"/>
  <c r="Y2337" i="26"/>
  <c r="X2338" i="26"/>
  <c r="X2339" i="26"/>
  <c r="Y2338" i="26"/>
  <c r="X2340" i="26"/>
  <c r="Y2339" i="26"/>
  <c r="Y2340" i="26"/>
  <c r="X2341" i="26"/>
  <c r="Y2341" i="26"/>
  <c r="X2342" i="26"/>
  <c r="X2343" i="26"/>
  <c r="Y2342" i="26"/>
  <c r="X2344" i="26"/>
  <c r="Y2343" i="26"/>
  <c r="X2345" i="26"/>
  <c r="Y2344" i="26"/>
  <c r="X2346" i="26"/>
  <c r="Y2345" i="26"/>
  <c r="Y2346" i="26"/>
  <c r="X2347" i="26"/>
  <c r="X2348" i="26"/>
  <c r="Y2347" i="26"/>
  <c r="X2349" i="26"/>
  <c r="Y2348" i="26"/>
  <c r="Y2349" i="26"/>
  <c r="X2350" i="26"/>
  <c r="X2351" i="26"/>
  <c r="Y2350" i="26"/>
  <c r="Y2351" i="26"/>
  <c r="X2352" i="26"/>
  <c r="X2353" i="26"/>
  <c r="Y2352" i="26"/>
  <c r="X2354" i="26"/>
  <c r="Y2353" i="26"/>
  <c r="Y2354" i="26"/>
  <c r="X2355" i="26"/>
  <c r="Y2355" i="26"/>
  <c r="X2356" i="26"/>
  <c r="Y2356" i="26"/>
  <c r="X2357" i="26"/>
  <c r="Y2357" i="26"/>
  <c r="X2358" i="26"/>
  <c r="X2359" i="26"/>
  <c r="Y2358" i="26"/>
  <c r="X2360" i="26"/>
  <c r="Y2359" i="26"/>
  <c r="X2361" i="26"/>
  <c r="Y2360" i="26"/>
  <c r="Y2361" i="26"/>
  <c r="X2362" i="26"/>
  <c r="X2363" i="26"/>
  <c r="Y2362" i="26"/>
  <c r="Y2363" i="26"/>
  <c r="X2364" i="26"/>
  <c r="X2365" i="26"/>
  <c r="Y2364" i="26"/>
  <c r="Y2365" i="26"/>
  <c r="X2366" i="26"/>
  <c r="Y2366" i="26"/>
  <c r="X2367" i="26"/>
  <c r="Y2367" i="26"/>
  <c r="X2368" i="26"/>
  <c r="Y2368" i="26"/>
  <c r="X2369" i="26"/>
  <c r="X2370" i="26"/>
  <c r="Y2369" i="26"/>
  <c r="X2371" i="26"/>
  <c r="Y2370" i="26"/>
  <c r="Y2371" i="26"/>
  <c r="X2372" i="26"/>
  <c r="Y2372" i="26"/>
  <c r="X2373" i="26"/>
  <c r="X2374" i="26"/>
  <c r="Y2373" i="26"/>
  <c r="Y2374" i="26"/>
  <c r="X2375" i="26"/>
  <c r="Y2375" i="26"/>
  <c r="X2376" i="26"/>
  <c r="Y2376" i="26"/>
  <c r="X2377" i="26"/>
  <c r="X2378" i="26"/>
  <c r="Y2377" i="26"/>
  <c r="X2379" i="26"/>
  <c r="Y2378" i="26"/>
  <c r="X2380" i="26"/>
  <c r="Y2379" i="26"/>
  <c r="Y2380" i="26"/>
  <c r="X2381" i="26"/>
  <c r="Y2381" i="26"/>
  <c r="X2382" i="26"/>
  <c r="Y2382" i="26"/>
  <c r="X2383" i="26"/>
  <c r="X2384" i="26"/>
  <c r="Y2383" i="26"/>
  <c r="X2385" i="26"/>
  <c r="Y2384" i="26"/>
  <c r="X2386" i="26"/>
  <c r="Y2385" i="26"/>
  <c r="X2387" i="26"/>
  <c r="Y2386" i="26"/>
  <c r="X2388" i="26"/>
  <c r="Y2387" i="26"/>
  <c r="X2389" i="26"/>
  <c r="Y2388" i="26"/>
  <c r="Y2389" i="26"/>
  <c r="X2390" i="26"/>
  <c r="Y2390" i="26"/>
  <c r="X2391" i="26"/>
  <c r="X2392" i="26"/>
  <c r="Y2391" i="26"/>
  <c r="Y2392" i="26"/>
  <c r="X2393" i="26"/>
  <c r="X2394" i="26"/>
  <c r="Y2393" i="26"/>
  <c r="Y2394" i="26"/>
  <c r="X2395" i="26"/>
  <c r="X2396" i="26"/>
  <c r="Y2395" i="26"/>
  <c r="Y2396" i="26"/>
  <c r="X2397" i="26"/>
  <c r="Y2397" i="26"/>
  <c r="X2398" i="26"/>
  <c r="Y2398" i="26"/>
  <c r="X2399" i="26"/>
  <c r="X2400" i="26"/>
  <c r="Y2399" i="26"/>
  <c r="X2401" i="26"/>
  <c r="Y2400" i="26"/>
  <c r="Y2401" i="26"/>
  <c r="X2402" i="26"/>
  <c r="Y2402" i="26"/>
  <c r="X2403" i="26"/>
  <c r="X2404" i="26"/>
  <c r="Y2403" i="26"/>
  <c r="Y2404" i="26"/>
  <c r="X2405" i="26"/>
  <c r="X2406" i="26"/>
  <c r="Y2405" i="26"/>
  <c r="Y2406" i="26"/>
  <c r="X2407" i="26"/>
  <c r="Y2407" i="26"/>
  <c r="X2408" i="26"/>
  <c r="X2409" i="26"/>
  <c r="Y2408" i="26"/>
  <c r="X2410" i="26"/>
  <c r="Y2409" i="26"/>
  <c r="X2411" i="26"/>
  <c r="Y2410" i="26"/>
  <c r="X2412" i="26"/>
  <c r="Y2411" i="26"/>
  <c r="X2413" i="26"/>
  <c r="Y2412" i="26"/>
  <c r="X2414" i="26"/>
  <c r="Y2413" i="26"/>
  <c r="X2415" i="26"/>
  <c r="Y2414" i="26"/>
  <c r="Y2415" i="26"/>
  <c r="X2416" i="26"/>
  <c r="Y2416" i="26"/>
  <c r="X2417" i="26"/>
  <c r="Y2417" i="26"/>
  <c r="X2418" i="26"/>
  <c r="Y2418" i="26"/>
  <c r="X2419" i="26"/>
  <c r="Y2419" i="26"/>
  <c r="X2420" i="26"/>
  <c r="Y2420" i="26"/>
  <c r="X2421" i="26"/>
  <c r="Y2421" i="26"/>
  <c r="X2422" i="26"/>
  <c r="X2423" i="26"/>
  <c r="Y2422" i="26"/>
  <c r="Y2423" i="26"/>
  <c r="X2424" i="26"/>
  <c r="X2425" i="26"/>
  <c r="Y2424" i="26"/>
  <c r="Y2425" i="26"/>
  <c r="X2426" i="26"/>
  <c r="Y2426" i="26"/>
  <c r="X2427" i="26"/>
  <c r="Y2427" i="26"/>
  <c r="X2428" i="26"/>
  <c r="Y2428" i="26"/>
  <c r="X2429" i="26"/>
  <c r="Y2429" i="26"/>
  <c r="X2430" i="26"/>
  <c r="Y2430" i="26"/>
  <c r="X2431" i="26"/>
  <c r="X2432" i="26"/>
  <c r="Y2431" i="26"/>
  <c r="Y2432" i="26"/>
  <c r="X2433" i="26"/>
  <c r="Y2433" i="26"/>
  <c r="X2434" i="26"/>
  <c r="Y2434" i="26"/>
  <c r="X2435" i="26"/>
  <c r="Y2435" i="26"/>
  <c r="X2436" i="26"/>
  <c r="Y2436" i="26"/>
  <c r="X2437" i="26"/>
  <c r="Y2437" i="26"/>
  <c r="X2438" i="26"/>
  <c r="Y2438" i="26"/>
  <c r="X2439" i="26"/>
  <c r="X2440" i="26"/>
  <c r="Y2439" i="26"/>
  <c r="X2441" i="26"/>
  <c r="Y2440" i="26"/>
  <c r="Y2441" i="26"/>
  <c r="X2442" i="26"/>
  <c r="X2443" i="26"/>
  <c r="Y2442" i="26"/>
  <c r="X2444" i="26"/>
  <c r="Y2443" i="26"/>
  <c r="Y2444" i="26"/>
  <c r="X2445" i="26"/>
  <c r="X2446" i="26"/>
  <c r="Y2445" i="26"/>
  <c r="X2447" i="26"/>
  <c r="Y2446" i="26"/>
  <c r="Y2447" i="26"/>
  <c r="X2448" i="26"/>
  <c r="Y2448" i="26"/>
  <c r="X2449" i="26"/>
  <c r="Y2449" i="26"/>
  <c r="X2450" i="26"/>
  <c r="Y2450" i="26"/>
  <c r="X2451" i="26"/>
  <c r="X2452" i="26"/>
  <c r="Y2451" i="26"/>
  <c r="Y2452" i="26"/>
  <c r="X2453" i="26"/>
  <c r="X2454" i="26"/>
  <c r="Y2453" i="26"/>
  <c r="X2455" i="26"/>
  <c r="Y2454" i="26"/>
  <c r="X2456" i="26"/>
  <c r="Y2455" i="26"/>
  <c r="Y2456" i="26"/>
  <c r="X2457" i="26"/>
  <c r="X2458" i="26"/>
  <c r="Y2457" i="26"/>
  <c r="X2459" i="26"/>
  <c r="Y2458" i="26"/>
  <c r="Y2459" i="26"/>
  <c r="X2460" i="26"/>
  <c r="Y2460" i="26"/>
  <c r="X2461" i="26"/>
  <c r="Y2461" i="26"/>
  <c r="X2462" i="26"/>
  <c r="X2463" i="26"/>
  <c r="Y2462" i="26"/>
  <c r="Y2463" i="26"/>
  <c r="X2464" i="26"/>
  <c r="Y2464" i="26"/>
  <c r="X2465" i="26"/>
  <c r="X2466" i="26"/>
  <c r="Y2465" i="26"/>
  <c r="Y2466" i="26"/>
  <c r="X2467" i="26"/>
  <c r="X2468" i="26"/>
  <c r="Y2467" i="26"/>
  <c r="X2469" i="26"/>
  <c r="Y2468" i="26"/>
  <c r="Y2469" i="26"/>
  <c r="X2470" i="26"/>
  <c r="X2471" i="26"/>
  <c r="Y2470" i="26"/>
  <c r="X2472" i="26"/>
  <c r="Y2471" i="26"/>
  <c r="X2473" i="26"/>
  <c r="Y2472" i="26"/>
  <c r="X2474" i="26"/>
  <c r="Y2473" i="26"/>
  <c r="Y2474" i="26"/>
  <c r="X2475" i="26"/>
  <c r="X2476" i="26"/>
  <c r="Y2475" i="26"/>
  <c r="X2477" i="26"/>
  <c r="Y2476" i="26"/>
  <c r="Y2477" i="26"/>
  <c r="X2478" i="26"/>
  <c r="X2479" i="26"/>
  <c r="Y2478" i="26"/>
  <c r="X2480" i="26"/>
  <c r="Y2479" i="26"/>
  <c r="X2481" i="26"/>
  <c r="Y2480" i="26"/>
  <c r="X2482" i="26"/>
  <c r="Y2481" i="26"/>
  <c r="Y2482" i="26"/>
  <c r="X2483" i="26"/>
  <c r="X2484" i="26"/>
  <c r="Y2483" i="26"/>
  <c r="X2485" i="26"/>
  <c r="Y2484" i="26"/>
  <c r="X2486" i="26"/>
  <c r="Y2485" i="26"/>
  <c r="Y2486" i="26"/>
  <c r="X2487" i="26"/>
  <c r="X2488" i="26"/>
  <c r="Y2487" i="26"/>
  <c r="X2489" i="26"/>
  <c r="Y2488" i="26"/>
  <c r="X2490" i="26"/>
  <c r="Y2489" i="26"/>
  <c r="Y2490" i="26"/>
  <c r="X2491" i="26"/>
  <c r="Y2491" i="26"/>
  <c r="X2492" i="26"/>
  <c r="X2493" i="26"/>
  <c r="Y2492" i="26"/>
  <c r="X2494" i="26"/>
  <c r="Y2493" i="26"/>
  <c r="Y2494" i="26"/>
  <c r="X2495" i="26"/>
  <c r="Y2495" i="26"/>
  <c r="X2496" i="26"/>
  <c r="X2497" i="26"/>
  <c r="Y2496" i="26"/>
  <c r="Y2497" i="26"/>
  <c r="X2498" i="26"/>
  <c r="Y2498" i="26"/>
  <c r="X2499" i="26"/>
  <c r="X2500" i="26"/>
  <c r="Y2499" i="26"/>
  <c r="X2501" i="26"/>
  <c r="Y2500" i="26"/>
  <c r="X2502" i="26"/>
  <c r="Y2501" i="26"/>
  <c r="Y2502" i="26"/>
  <c r="X2503" i="26"/>
  <c r="X2504" i="26"/>
  <c r="Y2503" i="26"/>
  <c r="X2505" i="26"/>
  <c r="Y2504" i="26"/>
  <c r="Y2505" i="26"/>
  <c r="X2506" i="26"/>
  <c r="Y2506" i="26"/>
  <c r="X2507" i="26"/>
  <c r="Y2507" i="26"/>
  <c r="X2508" i="26"/>
  <c r="X2509" i="26"/>
  <c r="Y2508" i="26"/>
  <c r="X2510" i="26"/>
  <c r="Y2509" i="26"/>
  <c r="X2511" i="26"/>
  <c r="Y2510" i="26"/>
  <c r="Y2511" i="26"/>
  <c r="X2512" i="26"/>
  <c r="Y2512" i="26"/>
  <c r="X2513" i="26"/>
  <c r="X2514" i="26"/>
  <c r="Y2513" i="26"/>
  <c r="Y2514" i="26"/>
  <c r="X2515" i="26"/>
  <c r="X2516" i="26"/>
  <c r="Y2515" i="26"/>
  <c r="X2517" i="26"/>
  <c r="Y2516" i="26"/>
  <c r="X2518" i="26"/>
  <c r="Y2517" i="26"/>
  <c r="X2519" i="26"/>
  <c r="Y2518" i="26"/>
  <c r="Y2519" i="26"/>
  <c r="X2520" i="26"/>
  <c r="Y2520" i="26"/>
  <c r="X2521" i="26"/>
  <c r="X2522" i="26"/>
  <c r="Y2521" i="26"/>
  <c r="X2523" i="26"/>
  <c r="Y2522" i="26"/>
  <c r="X2524" i="26"/>
  <c r="Y2523" i="26"/>
  <c r="Y2524" i="26"/>
  <c r="X2525" i="26"/>
  <c r="Y2525" i="26"/>
  <c r="X2526" i="26"/>
  <c r="Y2526" i="26"/>
  <c r="X2527" i="26"/>
  <c r="X2528" i="26"/>
  <c r="Y2527" i="26"/>
  <c r="Y2528" i="26"/>
  <c r="X2529" i="26"/>
  <c r="X2530" i="26"/>
  <c r="Y2529" i="26"/>
  <c r="Y2530" i="26"/>
  <c r="X2531" i="26"/>
  <c r="Y2531" i="26"/>
  <c r="X2532" i="26"/>
  <c r="X2533" i="26"/>
  <c r="Y2532" i="26"/>
  <c r="X2534" i="26"/>
  <c r="Y2533" i="26"/>
  <c r="X2535" i="26"/>
  <c r="Y2534" i="26"/>
  <c r="X2536" i="26"/>
  <c r="Y2535" i="26"/>
  <c r="X2537" i="26"/>
  <c r="Y2536" i="26"/>
  <c r="X2538" i="26"/>
  <c r="Y2537" i="26"/>
  <c r="Y2538" i="26"/>
  <c r="X2539" i="26"/>
  <c r="X2540" i="26"/>
  <c r="Y2539" i="26"/>
  <c r="Y2540" i="26"/>
  <c r="X2541" i="26"/>
  <c r="X2542" i="26"/>
  <c r="Y2541" i="26"/>
  <c r="Y2542" i="26"/>
  <c r="X2543" i="26"/>
  <c r="X2544" i="26"/>
  <c r="Y2543" i="26"/>
  <c r="Y2544" i="26"/>
  <c r="X2545" i="26"/>
  <c r="X2546" i="26"/>
  <c r="Y2545" i="26"/>
  <c r="Y2546" i="26"/>
  <c r="X2547" i="26"/>
  <c r="Y2547" i="26"/>
  <c r="X2548" i="26"/>
  <c r="X2549" i="26"/>
  <c r="Y2548" i="26"/>
  <c r="X2550" i="26"/>
  <c r="Y2549" i="26"/>
  <c r="Y2550" i="26"/>
  <c r="X2551" i="26"/>
  <c r="Y2551" i="26"/>
  <c r="X2552" i="26"/>
  <c r="X2553" i="26"/>
  <c r="Y2552" i="26"/>
  <c r="X2554" i="26"/>
  <c r="Y2553" i="26"/>
  <c r="Y2554" i="26"/>
  <c r="X2555" i="26"/>
  <c r="X2556" i="26"/>
  <c r="Y2555" i="26"/>
  <c r="X2557" i="26"/>
  <c r="Y2556" i="26"/>
  <c r="Y2557" i="26"/>
  <c r="X2558" i="26"/>
  <c r="Y2558" i="26"/>
  <c r="X2559" i="26"/>
  <c r="Y2559" i="26"/>
  <c r="X2560" i="26"/>
  <c r="X2561" i="26"/>
  <c r="Y2560" i="26"/>
  <c r="X2562" i="26"/>
  <c r="Y2561" i="26"/>
  <c r="X2563" i="26"/>
  <c r="Y2562" i="26"/>
  <c r="Y2563" i="26"/>
  <c r="X2564" i="26"/>
  <c r="Y2564" i="26"/>
  <c r="X2565" i="26"/>
  <c r="X2566" i="26"/>
  <c r="Y2565" i="26"/>
  <c r="X2567" i="26"/>
  <c r="Y2566" i="26"/>
  <c r="Y2567" i="26"/>
  <c r="X2568" i="26"/>
  <c r="Y2568" i="26"/>
  <c r="X2569" i="26"/>
  <c r="X2570" i="26"/>
  <c r="Y2569" i="26"/>
  <c r="X2571" i="26"/>
  <c r="Y2570" i="26"/>
  <c r="X2572" i="26"/>
  <c r="Y2571" i="26"/>
  <c r="Y2572" i="26"/>
  <c r="X2573" i="26"/>
  <c r="X2574" i="26"/>
  <c r="Y2573" i="26"/>
  <c r="X2575" i="26"/>
  <c r="Y2574" i="26"/>
  <c r="X2576" i="26"/>
  <c r="Y2575" i="26"/>
  <c r="Y2576" i="26"/>
  <c r="X2577" i="26"/>
  <c r="Y2577" i="26"/>
  <c r="X2578" i="26"/>
  <c r="X2579" i="26"/>
  <c r="Y2578" i="26"/>
  <c r="X2580" i="26"/>
  <c r="Y2579" i="26"/>
  <c r="Y2580" i="26"/>
  <c r="X2581" i="26"/>
  <c r="Y2581" i="26"/>
  <c r="X2582" i="26"/>
  <c r="X2583" i="26"/>
  <c r="Y2582" i="26"/>
  <c r="X2584" i="26"/>
  <c r="Y2583" i="26"/>
  <c r="X2585" i="26"/>
  <c r="Y2584" i="26"/>
  <c r="X2586" i="26"/>
  <c r="Y2585" i="26"/>
  <c r="Y2586" i="26"/>
  <c r="X2587" i="26"/>
  <c r="X2588" i="26"/>
  <c r="Y2587" i="26"/>
  <c r="X2589" i="26"/>
  <c r="Y2588" i="26"/>
  <c r="Y2589" i="26"/>
  <c r="X2590" i="26"/>
  <c r="Y2590" i="26"/>
  <c r="X2591" i="26"/>
  <c r="X2592" i="26"/>
  <c r="Y2591" i="26"/>
  <c r="Y2592" i="26"/>
  <c r="X2593" i="26"/>
  <c r="X2594" i="26"/>
  <c r="Y2593" i="26"/>
  <c r="Y2594" i="26"/>
  <c r="X2595" i="26"/>
  <c r="X2596" i="26"/>
  <c r="Y2595" i="26"/>
  <c r="Y2596" i="26"/>
  <c r="X2597" i="26"/>
  <c r="Y2597" i="26"/>
  <c r="X2598" i="26"/>
  <c r="Y2598" i="26"/>
  <c r="X2599" i="26"/>
  <c r="Y2599" i="26"/>
  <c r="X2600" i="26"/>
  <c r="Y2600" i="26"/>
  <c r="X2601" i="26"/>
  <c r="X2602" i="26"/>
  <c r="Y2601" i="26"/>
  <c r="X2603" i="26"/>
  <c r="Y2602" i="26"/>
  <c r="X2604" i="26"/>
  <c r="Y2603" i="26"/>
  <c r="Y2604" i="26"/>
  <c r="X2605" i="26"/>
  <c r="X2606" i="26"/>
  <c r="Y2605" i="26"/>
  <c r="X2607" i="26"/>
  <c r="Y2606" i="26"/>
  <c r="X2608" i="26"/>
  <c r="Y2607" i="26"/>
  <c r="Y2608" i="26"/>
  <c r="X2609" i="26"/>
  <c r="X2610" i="26"/>
  <c r="Y2609" i="26"/>
  <c r="X2611" i="26"/>
  <c r="Y2610" i="26"/>
  <c r="Y2611" i="26"/>
  <c r="X2612" i="26"/>
  <c r="X2613" i="26"/>
  <c r="Y2612" i="26"/>
  <c r="Y2613" i="26"/>
  <c r="X2614" i="26"/>
  <c r="Y2614" i="26"/>
  <c r="X2615" i="26"/>
  <c r="Y2615" i="26"/>
  <c r="X2616" i="26"/>
  <c r="Y2616" i="26"/>
  <c r="X2617" i="26"/>
  <c r="X2618" i="26"/>
  <c r="Y2617" i="26"/>
  <c r="Y2618" i="26"/>
  <c r="X2619" i="26"/>
  <c r="X2620" i="26"/>
  <c r="Y2619" i="26"/>
  <c r="X2621" i="26"/>
  <c r="Y2620" i="26"/>
  <c r="Y2621" i="26"/>
  <c r="X2622" i="26"/>
  <c r="X2623" i="26"/>
  <c r="Y2622" i="26"/>
  <c r="Y2623" i="26"/>
  <c r="X2624" i="26"/>
  <c r="Y2624" i="26"/>
  <c r="X2625" i="26"/>
  <c r="X2626" i="26"/>
  <c r="Y2625" i="26"/>
  <c r="X2627" i="26"/>
  <c r="Y2626" i="26"/>
  <c r="Y2627" i="26"/>
  <c r="X2628" i="26"/>
  <c r="X2629" i="26"/>
  <c r="Y2628" i="26"/>
  <c r="Y2629" i="26"/>
  <c r="X2630" i="26"/>
  <c r="Y2630" i="26"/>
  <c r="X2631" i="26"/>
  <c r="Y2631" i="26"/>
  <c r="X2632" i="26"/>
  <c r="Y2632" i="26"/>
  <c r="X2633" i="26"/>
  <c r="X2634" i="26"/>
  <c r="Y2633" i="26"/>
  <c r="Y2634" i="26"/>
  <c r="X2635" i="26"/>
  <c r="Y2635" i="26"/>
  <c r="X2636" i="26"/>
  <c r="X2637" i="26"/>
  <c r="Y2636" i="26"/>
  <c r="X2638" i="26"/>
  <c r="Y2637" i="26"/>
  <c r="Y2638" i="26"/>
  <c r="X2639" i="26"/>
  <c r="Y2639" i="26"/>
  <c r="X2640" i="26"/>
  <c r="X2641" i="26"/>
  <c r="Y2640" i="26"/>
  <c r="X2642" i="26"/>
  <c r="Y2641" i="26"/>
  <c r="Y2642" i="26"/>
  <c r="X2643" i="26"/>
  <c r="X2644" i="26"/>
  <c r="Y2643" i="26"/>
  <c r="Y2644" i="26"/>
  <c r="X2645" i="26"/>
  <c r="Y2645" i="26"/>
  <c r="X2646" i="26"/>
  <c r="Y2646" i="26"/>
  <c r="X2647" i="26"/>
  <c r="X2648" i="26"/>
  <c r="Y2647" i="26"/>
  <c r="Y2648" i="26"/>
  <c r="X2649" i="26"/>
  <c r="Y2649" i="26"/>
  <c r="X2650" i="26"/>
  <c r="Y2650" i="26"/>
  <c r="X2651" i="26"/>
  <c r="X2652" i="26"/>
  <c r="Y2651" i="26"/>
  <c r="Y2652" i="26"/>
  <c r="X2653" i="26"/>
  <c r="Y2653" i="26"/>
  <c r="X2654" i="26"/>
  <c r="X2655" i="26"/>
  <c r="Y2654" i="26"/>
  <c r="Y2655" i="26"/>
  <c r="X2656" i="26"/>
  <c r="X2657" i="26"/>
  <c r="Y2656" i="26"/>
  <c r="Y2657" i="26"/>
  <c r="X2658" i="26"/>
  <c r="X2659" i="26"/>
  <c r="Y2658" i="26"/>
  <c r="X2660" i="26"/>
  <c r="Y2659" i="26"/>
  <c r="X2661" i="26"/>
  <c r="Y2660" i="26"/>
  <c r="Y2661" i="26"/>
  <c r="X2662" i="26"/>
  <c r="Y2662" i="26"/>
  <c r="X2663" i="26"/>
  <c r="Y2663" i="26"/>
  <c r="X2664" i="26"/>
  <c r="Y2664" i="26"/>
  <c r="X2665" i="26"/>
  <c r="Y2665" i="26"/>
  <c r="X2666" i="26"/>
  <c r="Y2666" i="26"/>
  <c r="X2667" i="26"/>
  <c r="X2668" i="26"/>
  <c r="Y2667" i="26"/>
  <c r="Y2668" i="26"/>
  <c r="X2669" i="26"/>
  <c r="X2670" i="26"/>
  <c r="Y2669" i="26"/>
  <c r="Y2670" i="26"/>
  <c r="X2671" i="26"/>
  <c r="X2672" i="26"/>
  <c r="Y2671" i="26"/>
  <c r="Y2672" i="26"/>
  <c r="X2673" i="26"/>
  <c r="X2674" i="26"/>
  <c r="Y2673" i="26"/>
  <c r="Y2674" i="26"/>
  <c r="X2675" i="26"/>
  <c r="X2676" i="26"/>
  <c r="Y2675" i="26"/>
  <c r="Y2676" i="26"/>
  <c r="X2677" i="26"/>
  <c r="Y2677" i="26"/>
  <c r="X2678" i="26"/>
  <c r="X2679" i="26"/>
  <c r="Y2678" i="26"/>
  <c r="X2680" i="26"/>
  <c r="Y2679" i="26"/>
  <c r="Y2680" i="26"/>
  <c r="X2681" i="26"/>
  <c r="Y2681" i="26"/>
  <c r="X2682" i="26"/>
  <c r="Y2682" i="26"/>
  <c r="X2683" i="26"/>
  <c r="Y2683" i="26"/>
  <c r="X2684" i="26"/>
  <c r="X2685" i="26"/>
  <c r="Y2684" i="26"/>
  <c r="X2686" i="26"/>
  <c r="Y2685" i="26"/>
  <c r="X2687" i="26"/>
  <c r="Y2686" i="26"/>
  <c r="Y2687" i="26"/>
  <c r="X2688" i="26"/>
  <c r="Y2688" i="26"/>
  <c r="X2689" i="26"/>
  <c r="Y2689" i="26"/>
  <c r="X2690" i="26"/>
  <c r="Y2690" i="26"/>
  <c r="X2691" i="26"/>
  <c r="X2692" i="26"/>
  <c r="Y2691" i="26"/>
  <c r="Y2692" i="26"/>
  <c r="X2693" i="26"/>
  <c r="X2694" i="26"/>
  <c r="Y2693" i="26"/>
  <c r="X2695" i="26"/>
  <c r="Y2694" i="26"/>
  <c r="Y2695" i="26"/>
  <c r="X2696" i="26"/>
  <c r="Y2696" i="26"/>
  <c r="X2697" i="26"/>
  <c r="X2698" i="26"/>
  <c r="Y2697" i="26"/>
  <c r="X2699" i="26"/>
  <c r="Y2698" i="26"/>
  <c r="Y2699" i="26"/>
  <c r="X2700" i="26"/>
  <c r="X2701" i="26"/>
  <c r="Y2700" i="26"/>
  <c r="Y2701" i="26"/>
  <c r="X2702" i="26"/>
  <c r="X2703" i="26"/>
  <c r="Y2702" i="26"/>
  <c r="X2704" i="26"/>
  <c r="Y2703" i="26"/>
  <c r="X2705" i="26"/>
  <c r="Y2704" i="26"/>
  <c r="X2706" i="26"/>
  <c r="Y2705" i="26"/>
  <c r="Y2706" i="26"/>
  <c r="X2707" i="26"/>
  <c r="X2708" i="26"/>
  <c r="Y2707" i="26"/>
  <c r="Y2708" i="26"/>
  <c r="X2709" i="26"/>
  <c r="X2710" i="26"/>
  <c r="Y2709" i="26"/>
  <c r="Y2710" i="26"/>
  <c r="X2711" i="26"/>
  <c r="X2712" i="26"/>
  <c r="Y2711" i="26"/>
  <c r="Y2712" i="26"/>
  <c r="X2713" i="26"/>
  <c r="X2714" i="26"/>
  <c r="Y2713" i="26"/>
  <c r="X2715" i="26"/>
  <c r="Y2714" i="26"/>
  <c r="X2716" i="26"/>
  <c r="Y2715" i="26"/>
  <c r="Y2716" i="26"/>
  <c r="X2717" i="26"/>
  <c r="X2718" i="26"/>
  <c r="Y2717" i="26"/>
  <c r="X2719" i="26"/>
  <c r="Y2718" i="26"/>
  <c r="X2720" i="26"/>
  <c r="Y2719" i="26"/>
  <c r="X2721" i="26"/>
  <c r="Y2720" i="26"/>
  <c r="X2722" i="26"/>
  <c r="Y2721" i="26"/>
  <c r="Y2722" i="26"/>
  <c r="X2723" i="26"/>
  <c r="X2724" i="26"/>
  <c r="Y2723" i="26"/>
  <c r="X2725" i="26"/>
  <c r="Y2724" i="26"/>
  <c r="X2726" i="26"/>
  <c r="Y2725" i="26"/>
  <c r="X2727" i="26"/>
  <c r="Y2726" i="26"/>
  <c r="Y2727" i="26"/>
  <c r="X2728" i="26"/>
  <c r="X2729" i="26"/>
  <c r="Y2728" i="26"/>
  <c r="Y2729" i="26"/>
  <c r="X2730" i="26"/>
  <c r="Y2730" i="26"/>
  <c r="X2731" i="26"/>
  <c r="X2732" i="26"/>
  <c r="Y2731" i="26"/>
  <c r="X2733" i="26"/>
  <c r="Y2732" i="26"/>
  <c r="X2734" i="26"/>
  <c r="Y2733" i="26"/>
  <c r="X2735" i="26"/>
  <c r="Y2734" i="26"/>
  <c r="X2736" i="26"/>
  <c r="Y2735" i="26"/>
  <c r="X2737" i="26"/>
  <c r="Y2736" i="26"/>
  <c r="Y2737" i="26"/>
  <c r="X2738" i="26"/>
  <c r="Y2738" i="26"/>
  <c r="X2739" i="26"/>
  <c r="Y2739" i="26"/>
  <c r="X2740" i="26"/>
  <c r="X2741" i="26"/>
  <c r="Y2740" i="26"/>
  <c r="X2742" i="26"/>
  <c r="Y2741" i="26"/>
  <c r="Y2742" i="26"/>
  <c r="X2743" i="26"/>
  <c r="Y2743" i="26"/>
  <c r="X2744" i="26"/>
  <c r="Y2744" i="26"/>
  <c r="X2745" i="26"/>
  <c r="Y2745" i="26"/>
  <c r="X2746" i="26"/>
  <c r="Y2746" i="26"/>
  <c r="X2747" i="26"/>
  <c r="Y2747" i="26"/>
  <c r="X2748" i="26"/>
  <c r="Y2748" i="26"/>
  <c r="X2749" i="26"/>
  <c r="Y2749" i="26"/>
  <c r="X2750" i="26"/>
  <c r="X2751" i="26"/>
  <c r="Y2750" i="26"/>
  <c r="Y2751" i="26"/>
  <c r="X2752" i="26"/>
  <c r="Y2752" i="26"/>
  <c r="X2753" i="26"/>
  <c r="X2754" i="26"/>
  <c r="Y2753" i="26"/>
  <c r="X2755" i="26"/>
  <c r="Y2754" i="26"/>
  <c r="X2756" i="26"/>
  <c r="Y2755" i="26"/>
  <c r="Y2756" i="26"/>
  <c r="X2757" i="26"/>
  <c r="X2758" i="26"/>
  <c r="Y2757" i="26"/>
  <c r="Y2758" i="26"/>
  <c r="X2759" i="26"/>
  <c r="Y2759" i="26"/>
  <c r="X2760" i="26"/>
  <c r="X2761" i="26"/>
  <c r="Y2760" i="26"/>
  <c r="Y2761" i="26"/>
  <c r="X2762" i="26"/>
  <c r="Y2762" i="26"/>
  <c r="X2763" i="26"/>
  <c r="Y2763" i="26"/>
  <c r="X2764" i="26"/>
  <c r="X2765" i="26"/>
  <c r="Y2764" i="26"/>
  <c r="X2766" i="26"/>
  <c r="Y2765" i="26"/>
  <c r="X2767" i="26"/>
  <c r="Y2766" i="26"/>
  <c r="Y2767" i="26"/>
  <c r="X2768" i="26"/>
  <c r="Y2768" i="26"/>
  <c r="X2769" i="26"/>
  <c r="X2770" i="26"/>
  <c r="Y2769" i="26"/>
  <c r="Y2770" i="26"/>
  <c r="X2771" i="26"/>
  <c r="X2772" i="26"/>
  <c r="Y2771" i="26"/>
  <c r="X2773" i="26"/>
  <c r="Y2772" i="26"/>
  <c r="Y2773" i="26"/>
  <c r="X2774" i="26"/>
  <c r="X2775" i="26"/>
  <c r="Y2774" i="26"/>
  <c r="Y2775" i="26"/>
  <c r="X2776" i="26"/>
  <c r="Y2776" i="26"/>
  <c r="X2777" i="26"/>
  <c r="Y2777" i="26"/>
  <c r="X2778" i="26"/>
  <c r="Y2778" i="26"/>
  <c r="X2779" i="26"/>
  <c r="Y2779" i="26"/>
  <c r="X2780" i="26"/>
  <c r="X2781" i="26"/>
  <c r="Y2780" i="26"/>
  <c r="X2782" i="26"/>
  <c r="Y2781" i="26"/>
  <c r="X2783" i="26"/>
  <c r="Y2782" i="26"/>
  <c r="X2784" i="26"/>
  <c r="Y2783" i="26"/>
  <c r="Y2784" i="26"/>
  <c r="X2785" i="26"/>
  <c r="X2786" i="26"/>
  <c r="Y2785" i="26"/>
  <c r="X2787" i="26"/>
  <c r="Y2786" i="26"/>
  <c r="X2788" i="26"/>
  <c r="Y2787" i="26"/>
  <c r="Y2788" i="26"/>
  <c r="X2789" i="26"/>
  <c r="X2790" i="26"/>
  <c r="Y2789" i="26"/>
  <c r="Y2790" i="26"/>
  <c r="X2791" i="26"/>
  <c r="X2792" i="26"/>
  <c r="Y2791" i="26"/>
  <c r="Y2792" i="26"/>
  <c r="X2793" i="26"/>
  <c r="Y2793" i="26"/>
  <c r="X2794" i="26"/>
  <c r="X2795" i="26"/>
  <c r="Y2794" i="26"/>
  <c r="Y2795" i="26"/>
  <c r="X2796" i="26"/>
  <c r="Y2796" i="26"/>
  <c r="X2797" i="26"/>
  <c r="X2798" i="26"/>
  <c r="Y2797" i="26"/>
  <c r="Y2798" i="26"/>
  <c r="X2799" i="26"/>
  <c r="X2800" i="26"/>
  <c r="Y2799" i="26"/>
  <c r="Y2800" i="26"/>
  <c r="X2801" i="26"/>
  <c r="Y2801" i="26"/>
  <c r="X2802" i="26"/>
  <c r="X2803" i="26"/>
  <c r="Y2802" i="26"/>
  <c r="Y2803" i="26"/>
  <c r="X2804" i="26"/>
  <c r="Y2804" i="26"/>
  <c r="X2805" i="26"/>
  <c r="X2806" i="26"/>
  <c r="Y2805" i="26"/>
  <c r="X2807" i="26"/>
  <c r="Y2806" i="26"/>
  <c r="Y2807" i="26"/>
  <c r="X2808" i="26"/>
  <c r="Y2808" i="26"/>
  <c r="X2809" i="26"/>
  <c r="X2810" i="26"/>
  <c r="Y2809" i="26"/>
  <c r="Y2810" i="26"/>
  <c r="X2811" i="26"/>
  <c r="X2812" i="26"/>
  <c r="Y2811" i="26"/>
  <c r="Y2812" i="26"/>
  <c r="X2813" i="26"/>
  <c r="Y2813" i="26"/>
  <c r="X2814" i="26"/>
  <c r="Y2814" i="26"/>
  <c r="X2815" i="26"/>
  <c r="X2816" i="26"/>
  <c r="Y2815" i="26"/>
  <c r="Y2816" i="26"/>
  <c r="X2817" i="26"/>
  <c r="X2818" i="26"/>
  <c r="Y2817" i="26"/>
  <c r="X2819" i="26"/>
  <c r="Y2818" i="26"/>
  <c r="Y2819" i="26"/>
  <c r="X2820" i="26"/>
  <c r="Y2820" i="26"/>
  <c r="X2821" i="26"/>
  <c r="X2822" i="26"/>
  <c r="Y2821" i="26"/>
  <c r="X2823" i="26"/>
  <c r="Y2822" i="26"/>
  <c r="Y2823" i="26"/>
  <c r="X2824" i="26"/>
  <c r="Y2824" i="26"/>
  <c r="X2825" i="26"/>
  <c r="Y2825" i="26"/>
  <c r="X2826" i="26"/>
  <c r="Y2826" i="26"/>
  <c r="X2827" i="26"/>
  <c r="Y2827" i="26"/>
  <c r="X2828" i="26"/>
  <c r="X2829" i="26"/>
  <c r="Y2828" i="26"/>
  <c r="X2830" i="26"/>
  <c r="Y2829" i="26"/>
  <c r="X2831" i="26"/>
  <c r="Y2830" i="26"/>
  <c r="Y2831" i="26"/>
  <c r="X2832" i="26"/>
  <c r="Y2832" i="26"/>
  <c r="X2833" i="26"/>
  <c r="X2834" i="26"/>
  <c r="Y2833" i="26"/>
  <c r="X2835" i="26"/>
  <c r="Y2834" i="26"/>
  <c r="Y2835" i="26"/>
  <c r="X2836" i="26"/>
  <c r="Y2836" i="26"/>
  <c r="X2837" i="26"/>
  <c r="Y2837" i="26"/>
  <c r="X2838" i="26"/>
  <c r="Y2838" i="26"/>
  <c r="X2839" i="26"/>
  <c r="Y2839" i="26"/>
  <c r="X2840" i="26"/>
  <c r="X2841" i="26"/>
  <c r="Y2840" i="26"/>
  <c r="Y2841" i="26"/>
  <c r="X2842" i="26"/>
  <c r="Y2842" i="26"/>
  <c r="X2843" i="26"/>
  <c r="Y2843" i="26"/>
  <c r="X2844" i="26"/>
  <c r="X2845" i="26"/>
  <c r="Y2844" i="26"/>
  <c r="X2846" i="26"/>
  <c r="Y2845" i="26"/>
  <c r="Y2846" i="26"/>
  <c r="X2847" i="26"/>
  <c r="Y2847" i="26"/>
  <c r="X2848" i="26"/>
  <c r="X2849" i="26"/>
  <c r="Y2848" i="26"/>
  <c r="X2850" i="26"/>
  <c r="Y2849" i="26"/>
  <c r="Y2850" i="26"/>
  <c r="X2851" i="26"/>
  <c r="X2852" i="26"/>
  <c r="Y2851" i="26"/>
  <c r="Y2852" i="26"/>
  <c r="X2853" i="26"/>
  <c r="X2854" i="26"/>
  <c r="Y2853" i="26"/>
  <c r="X2855" i="26"/>
  <c r="Y2854" i="26"/>
  <c r="Y2855" i="26"/>
  <c r="X2856" i="26"/>
  <c r="Y2856" i="26"/>
  <c r="X2857" i="26"/>
  <c r="X2858" i="26"/>
  <c r="Y2857" i="26"/>
  <c r="X2859" i="26"/>
  <c r="Y2858" i="26"/>
  <c r="X2860" i="26"/>
  <c r="Y2859" i="26"/>
  <c r="X2861" i="26"/>
  <c r="Y2860" i="26"/>
  <c r="X2862" i="26"/>
  <c r="Y2861" i="26"/>
  <c r="X2863" i="26"/>
  <c r="Y2862" i="26"/>
  <c r="X2864" i="26"/>
  <c r="Y2863" i="26"/>
  <c r="Y2864" i="26"/>
  <c r="X2865" i="26"/>
  <c r="X2866" i="26"/>
  <c r="Y2865" i="26"/>
  <c r="Y2866" i="26"/>
  <c r="X2867" i="26"/>
  <c r="Y2867" i="26"/>
  <c r="X2868" i="26"/>
  <c r="X2869" i="26"/>
  <c r="Y2868" i="26"/>
  <c r="X2870" i="26"/>
  <c r="Y2869" i="26"/>
  <c r="X2871" i="26"/>
  <c r="Y2870" i="26"/>
  <c r="X2872" i="26"/>
  <c r="Y2871" i="26"/>
  <c r="Y2872" i="26"/>
  <c r="X2873" i="26"/>
  <c r="X2874" i="26"/>
  <c r="Y2873" i="26"/>
  <c r="Y2874" i="26"/>
  <c r="X2875" i="26"/>
  <c r="X2876" i="26"/>
  <c r="Y2875" i="26"/>
  <c r="Y2876" i="26"/>
  <c r="X2877" i="26"/>
  <c r="X2878" i="26"/>
  <c r="Y2877" i="26"/>
  <c r="Y2878" i="26"/>
  <c r="X2879" i="26"/>
  <c r="X2880" i="26"/>
  <c r="Y2879" i="26"/>
  <c r="Y2880" i="26"/>
  <c r="X2881" i="26"/>
  <c r="Y2881" i="26"/>
  <c r="X2882" i="26"/>
  <c r="Y2882" i="26"/>
  <c r="X2883" i="26"/>
  <c r="Y2883" i="26"/>
  <c r="X2884" i="26"/>
  <c r="Y2884" i="26"/>
  <c r="X2885" i="26"/>
  <c r="X2886" i="26"/>
  <c r="Y2885" i="26"/>
  <c r="X2887" i="26"/>
  <c r="Y2886" i="26"/>
  <c r="X2888" i="26"/>
  <c r="Y2887" i="26"/>
  <c r="X2889" i="26"/>
  <c r="Y2888" i="26"/>
  <c r="Y2889" i="26"/>
  <c r="X2890" i="26"/>
  <c r="Y2890" i="26"/>
  <c r="X2891" i="26"/>
  <c r="X2892" i="26"/>
  <c r="Y2891" i="26"/>
  <c r="X2893" i="26"/>
  <c r="Y2892" i="26"/>
  <c r="Y2893" i="26"/>
  <c r="X2894" i="26"/>
  <c r="Y2894" i="26"/>
  <c r="X2895" i="26"/>
  <c r="X2896" i="26"/>
  <c r="Y2895" i="26"/>
  <c r="Y2896" i="26"/>
  <c r="X2897" i="26"/>
  <c r="X2898" i="26"/>
  <c r="Y2897" i="26"/>
  <c r="Y2898" i="26"/>
  <c r="X2899" i="26"/>
  <c r="X2900" i="26"/>
  <c r="Y2899" i="26"/>
  <c r="X2901" i="26"/>
  <c r="Y2900" i="26"/>
  <c r="Y2901" i="26"/>
  <c r="X2902" i="26"/>
  <c r="X2903" i="26"/>
  <c r="Y2902" i="26"/>
  <c r="X2904" i="26"/>
  <c r="Y2903" i="26"/>
  <c r="Y2904" i="26"/>
  <c r="X2905" i="26"/>
  <c r="Y2905" i="26"/>
  <c r="X2906" i="26"/>
  <c r="Y2906" i="26"/>
  <c r="X2907" i="26"/>
  <c r="Y2907" i="26"/>
  <c r="X2908" i="26"/>
  <c r="X2909" i="26"/>
  <c r="Y2908" i="26"/>
  <c r="X2910" i="26"/>
  <c r="Y2909" i="26"/>
  <c r="X2911" i="26"/>
  <c r="Y2910" i="26"/>
  <c r="Y2911" i="26"/>
  <c r="X2912" i="26"/>
  <c r="Y2912" i="26"/>
  <c r="X2913" i="26"/>
  <c r="X2914" i="26"/>
  <c r="Y2913" i="26"/>
  <c r="X2915" i="26"/>
  <c r="Y2914" i="26"/>
  <c r="Y2915" i="26"/>
  <c r="X2916" i="26"/>
  <c r="Y2916" i="26"/>
  <c r="X2917" i="26"/>
  <c r="X2918" i="26"/>
  <c r="Y2917" i="26"/>
  <c r="Y2918" i="26"/>
  <c r="X2919" i="26"/>
  <c r="X2920" i="26"/>
  <c r="Y2919" i="26"/>
  <c r="X2921" i="26"/>
  <c r="Y2920" i="26"/>
  <c r="Y2921" i="26"/>
  <c r="X2922" i="26"/>
  <c r="X2923" i="26"/>
  <c r="Y2922" i="26"/>
  <c r="X2924" i="26"/>
  <c r="Y2923" i="26"/>
  <c r="X2925" i="26"/>
  <c r="Y2924" i="26"/>
  <c r="X2926" i="26"/>
  <c r="Y2925" i="26"/>
  <c r="Y2926" i="26"/>
  <c r="X2927" i="26"/>
  <c r="X2928" i="26"/>
  <c r="Y2927" i="26"/>
  <c r="Y2928" i="26"/>
  <c r="X2929" i="26"/>
  <c r="Y2929" i="26"/>
  <c r="X2930" i="26"/>
  <c r="Y2930" i="26"/>
  <c r="X2931" i="26"/>
  <c r="Y2931" i="26"/>
  <c r="X2932" i="26"/>
  <c r="Y2932" i="26"/>
  <c r="X2933" i="26"/>
  <c r="Y2933" i="26"/>
  <c r="X2934" i="26"/>
  <c r="Y2934" i="26"/>
  <c r="X2935" i="26"/>
  <c r="Y2935" i="26"/>
  <c r="X2936" i="26"/>
  <c r="Y2936" i="26"/>
  <c r="X2937" i="26"/>
  <c r="X2938" i="26"/>
  <c r="Y2937" i="26"/>
  <c r="Y2938" i="26"/>
  <c r="X2939" i="26"/>
  <c r="X2940" i="26"/>
  <c r="Y2939" i="26"/>
  <c r="X2941" i="26"/>
  <c r="Y2940" i="26"/>
  <c r="X2942" i="26"/>
  <c r="Y2941" i="26"/>
  <c r="Y2942" i="26"/>
  <c r="X2943" i="26"/>
  <c r="Y2943" i="26"/>
  <c r="X2944" i="26"/>
  <c r="X2945" i="26"/>
  <c r="Y2944" i="26"/>
  <c r="X2946" i="26"/>
  <c r="Y2945" i="26"/>
  <c r="Y2946" i="26"/>
  <c r="X2947" i="26"/>
  <c r="Y2947" i="26"/>
  <c r="X2948" i="26"/>
  <c r="X2949" i="26"/>
  <c r="Y2948" i="26"/>
  <c r="Y2949" i="26"/>
  <c r="X2950" i="26"/>
  <c r="Y2950" i="26"/>
  <c r="X2951" i="26"/>
  <c r="X2952" i="26"/>
  <c r="Y2951" i="26"/>
  <c r="X2953" i="26"/>
  <c r="Y2952" i="26"/>
  <c r="X2954" i="26"/>
  <c r="Y2953" i="26"/>
  <c r="X2955" i="26"/>
  <c r="Y2954" i="26"/>
  <c r="Y2955" i="26"/>
  <c r="X2956" i="26"/>
  <c r="Y2956" i="26"/>
  <c r="X2957" i="26"/>
  <c r="X2958" i="26"/>
  <c r="Y2957" i="26"/>
  <c r="X2959" i="26"/>
  <c r="Y2958" i="26"/>
  <c r="X2960" i="26"/>
  <c r="Y2959" i="26"/>
  <c r="Y2960" i="26"/>
  <c r="X2961" i="26"/>
  <c r="X2962" i="26"/>
  <c r="Y2961" i="26"/>
  <c r="Y2962" i="26"/>
  <c r="X2963" i="26"/>
  <c r="X2964" i="26"/>
  <c r="Y2963" i="26"/>
  <c r="X2965" i="26"/>
  <c r="Y2964" i="26"/>
  <c r="X2966" i="26"/>
  <c r="Y2965" i="26"/>
  <c r="X2967" i="26"/>
  <c r="Y2966" i="26"/>
  <c r="Y2967" i="26"/>
  <c r="X2968" i="26"/>
  <c r="Y2968" i="26"/>
  <c r="X2969" i="26"/>
  <c r="X2970" i="26"/>
  <c r="Y2969" i="26"/>
  <c r="X2971" i="26"/>
  <c r="Y2970" i="26"/>
  <c r="X2972" i="26"/>
  <c r="Y2971" i="26"/>
  <c r="X2973" i="26"/>
  <c r="Y2972" i="26"/>
  <c r="X2974" i="26"/>
  <c r="Y2973" i="26"/>
  <c r="Y2974" i="26"/>
  <c r="X2975" i="26"/>
  <c r="X2976" i="26"/>
  <c r="Y2975" i="26"/>
  <c r="Y2976" i="26"/>
  <c r="X2977" i="26"/>
  <c r="Y2977" i="26"/>
  <c r="X2978" i="26"/>
  <c r="X2979" i="26"/>
  <c r="Y2978" i="26"/>
  <c r="Y2979" i="26"/>
  <c r="X2980" i="26"/>
  <c r="Y2980" i="26"/>
  <c r="X2981" i="26"/>
  <c r="X2982" i="26"/>
  <c r="Y2981" i="26"/>
  <c r="X2983" i="26"/>
  <c r="Y2982" i="26"/>
  <c r="X2984" i="26"/>
  <c r="Y2983" i="26"/>
  <c r="Y2984" i="26"/>
  <c r="X2985" i="26"/>
  <c r="Y2985" i="26"/>
  <c r="X2986" i="26"/>
  <c r="X2987" i="26"/>
  <c r="Y2986" i="26"/>
  <c r="X2988" i="26"/>
  <c r="Y2987" i="26"/>
  <c r="X2989" i="26"/>
  <c r="Y2988" i="26"/>
  <c r="X2990" i="26"/>
  <c r="Y2989" i="26"/>
  <c r="X2991" i="26"/>
  <c r="Y2990" i="26"/>
  <c r="X2992" i="26"/>
  <c r="Y2991" i="26"/>
  <c r="Y2992" i="26"/>
  <c r="X2993" i="26"/>
  <c r="X2994" i="26"/>
  <c r="Y2993" i="26"/>
  <c r="X2995" i="26"/>
  <c r="Y2994" i="26"/>
  <c r="Y2995" i="26"/>
  <c r="X2996" i="26"/>
  <c r="Y2996" i="26"/>
  <c r="X2997" i="26"/>
  <c r="X2998" i="26"/>
  <c r="Y2997" i="26"/>
  <c r="X2999" i="26"/>
  <c r="Y2998" i="26"/>
  <c r="Y2999" i="26"/>
  <c r="X3000" i="26"/>
  <c r="X3001" i="26"/>
  <c r="Y3000" i="26"/>
  <c r="Y3001" i="26"/>
  <c r="X3002" i="26"/>
  <c r="Y3002" i="26"/>
  <c r="X3003" i="26"/>
  <c r="Y3003" i="26"/>
  <c r="X3004" i="26"/>
  <c r="Y3004" i="26"/>
  <c r="X3005" i="26"/>
  <c r="X3006" i="26"/>
  <c r="Y3005" i="26"/>
  <c r="X3007" i="26"/>
  <c r="Y3006" i="26"/>
  <c r="Y3007" i="26"/>
  <c r="X3008" i="26"/>
  <c r="X3009" i="26"/>
  <c r="Y3008" i="26"/>
  <c r="X3010" i="26"/>
  <c r="Y3009" i="26"/>
  <c r="X3011" i="26"/>
  <c r="Y3010" i="26"/>
  <c r="Y3011" i="26"/>
  <c r="X3012" i="26"/>
  <c r="Y3012" i="26"/>
  <c r="X3013" i="26"/>
  <c r="Y3013" i="26"/>
  <c r="X3014" i="26"/>
  <c r="Y3014" i="26"/>
  <c r="X3015" i="26"/>
  <c r="Y3015" i="26"/>
  <c r="X3016" i="26"/>
  <c r="X3017" i="26"/>
  <c r="Y3016" i="26"/>
  <c r="Y3017" i="26"/>
  <c r="X3018" i="26"/>
  <c r="Y3018" i="26"/>
  <c r="X3019" i="26"/>
  <c r="X3020" i="26"/>
  <c r="Y3019" i="26"/>
  <c r="X3021" i="26"/>
  <c r="Y3020" i="26"/>
  <c r="Y3021" i="26"/>
  <c r="X3022" i="26"/>
  <c r="Y3022" i="26"/>
  <c r="X3023" i="26"/>
  <c r="Y3023" i="26"/>
  <c r="X3024" i="26"/>
  <c r="Y3024" i="26"/>
  <c r="X3025" i="26"/>
  <c r="Y3025" i="26"/>
  <c r="X3026" i="26"/>
  <c r="X3027" i="26"/>
  <c r="Y3026" i="26"/>
  <c r="X3028" i="26"/>
  <c r="Y3027" i="26"/>
  <c r="Y3028" i="26"/>
  <c r="X3029" i="26"/>
  <c r="X3030" i="26"/>
  <c r="Y3029" i="26"/>
  <c r="Y3030" i="26"/>
  <c r="X3031" i="26"/>
  <c r="Y3031" i="26"/>
  <c r="X3032" i="26"/>
  <c r="Y3032" i="26"/>
  <c r="X3033" i="26"/>
  <c r="X3034" i="26"/>
  <c r="Y3033" i="26"/>
  <c r="X3035" i="26"/>
  <c r="Y3034" i="26"/>
  <c r="X3036" i="26"/>
  <c r="Y3035" i="26"/>
  <c r="Y3036" i="26"/>
  <c r="X3037" i="26"/>
  <c r="Y3037" i="26"/>
  <c r="X3038" i="26"/>
  <c r="Y3038" i="26"/>
  <c r="X3039" i="26"/>
  <c r="Y3039" i="26"/>
  <c r="X3040" i="26"/>
  <c r="X3041" i="26"/>
  <c r="Y3040" i="26"/>
  <c r="Y3041" i="26"/>
  <c r="X3042" i="26"/>
  <c r="Y3042" i="26"/>
  <c r="X3043" i="26"/>
  <c r="X3044" i="26"/>
  <c r="Y3043" i="26"/>
  <c r="Y3044" i="26"/>
  <c r="X3045" i="26"/>
  <c r="X3046" i="26"/>
  <c r="Y3045" i="26"/>
  <c r="X3047" i="26"/>
  <c r="Y3046" i="26"/>
  <c r="X3048" i="26"/>
  <c r="Y3047" i="26"/>
  <c r="X3049" i="26"/>
  <c r="Y3048" i="26"/>
  <c r="Y3049" i="26"/>
  <c r="X3050" i="26"/>
  <c r="X3051" i="26"/>
  <c r="Y3050" i="26"/>
  <c r="X3052" i="26"/>
  <c r="Y3051" i="26"/>
  <c r="Y3052" i="26"/>
  <c r="X3053" i="26"/>
  <c r="Y3053" i="26"/>
  <c r="X3054" i="26"/>
  <c r="Y3054" i="26"/>
  <c r="X3055" i="26"/>
  <c r="Y3055" i="26"/>
  <c r="X3056" i="26"/>
  <c r="Y3056" i="26"/>
  <c r="X3057" i="26"/>
  <c r="X3058" i="26"/>
  <c r="Y3057" i="26"/>
  <c r="Y3058" i="26"/>
  <c r="X3059" i="26"/>
  <c r="Y3059" i="26"/>
  <c r="X3060" i="26"/>
  <c r="Y3060" i="26"/>
  <c r="X3061" i="26"/>
  <c r="X3062" i="26"/>
  <c r="Y3061" i="26"/>
  <c r="Y3062" i="26"/>
  <c r="X3063" i="26"/>
  <c r="X3064" i="26"/>
  <c r="Y3063" i="26"/>
  <c r="Y3064" i="26"/>
  <c r="X3065" i="26"/>
  <c r="X3066" i="26"/>
  <c r="Y3065" i="26"/>
  <c r="Y3066" i="26"/>
  <c r="X3067" i="26"/>
  <c r="Y3067" i="26"/>
  <c r="X3068" i="26"/>
  <c r="X3069" i="26"/>
  <c r="Y3068" i="26"/>
  <c r="Y3069" i="26"/>
  <c r="X3070" i="26"/>
  <c r="Y3070" i="26"/>
  <c r="X3071" i="26"/>
  <c r="X3072" i="26"/>
  <c r="Y3071" i="26"/>
  <c r="Y3072" i="26"/>
  <c r="X3073" i="26"/>
  <c r="Y3073" i="26"/>
  <c r="X3074" i="26"/>
  <c r="X3075" i="26"/>
  <c r="Y3074" i="26"/>
  <c r="X3076" i="26"/>
  <c r="Y3075" i="26"/>
  <c r="Y3076" i="26"/>
  <c r="X3077" i="26"/>
  <c r="X3078" i="26"/>
  <c r="Y3077" i="26"/>
  <c r="X3079" i="26"/>
  <c r="Y3078" i="26"/>
  <c r="X3080" i="26"/>
  <c r="Y3079" i="26"/>
  <c r="Y3080" i="26"/>
  <c r="X3081" i="26"/>
  <c r="X3082" i="26"/>
  <c r="Y3081" i="26"/>
  <c r="Y3082" i="26"/>
  <c r="X3083" i="26"/>
  <c r="Y3083" i="26"/>
  <c r="X3084" i="26"/>
  <c r="X3085" i="26"/>
  <c r="Y3084" i="26"/>
  <c r="Y3085" i="26"/>
  <c r="X3086" i="26"/>
  <c r="Y3086" i="26"/>
  <c r="X3087" i="26"/>
  <c r="Y3087" i="26"/>
  <c r="X3088" i="26"/>
  <c r="X3089" i="26"/>
  <c r="Y3088" i="26"/>
  <c r="Y3089" i="26"/>
  <c r="X3090" i="26"/>
  <c r="Y3090" i="26"/>
  <c r="X3091" i="26"/>
  <c r="Y3091" i="26"/>
  <c r="X3092" i="26"/>
  <c r="Y3092" i="26"/>
  <c r="X3093" i="26"/>
  <c r="X3094" i="26"/>
  <c r="Y3093" i="26"/>
  <c r="Y3094" i="26"/>
  <c r="X3095" i="26"/>
  <c r="X3096" i="26"/>
  <c r="Y3095" i="26"/>
  <c r="Y3096" i="26"/>
  <c r="X3097" i="26"/>
  <c r="X3098" i="26"/>
  <c r="Y3097" i="26"/>
  <c r="X3099" i="26"/>
  <c r="Y3098" i="26"/>
  <c r="X3100" i="26"/>
  <c r="Y3099" i="26"/>
  <c r="Y3100" i="26"/>
  <c r="X3101" i="26"/>
  <c r="Y3101" i="26"/>
  <c r="X3102" i="26"/>
  <c r="X3103" i="26"/>
  <c r="Y3102" i="26"/>
  <c r="Y3103" i="26"/>
  <c r="X3104" i="26"/>
  <c r="X3105" i="26"/>
  <c r="Y3104" i="26"/>
  <c r="X3106" i="26"/>
  <c r="Y3105" i="26"/>
  <c r="Y3106" i="26"/>
  <c r="X3107" i="26"/>
  <c r="Y3107" i="26"/>
  <c r="X3108" i="26"/>
  <c r="X3109" i="26"/>
  <c r="Y3108" i="26"/>
  <c r="X3110" i="26"/>
  <c r="Y3109" i="26"/>
  <c r="Y3110" i="26"/>
  <c r="X3111" i="26"/>
  <c r="X3112" i="26"/>
  <c r="Y3111" i="26"/>
  <c r="Y3112" i="26"/>
  <c r="X3113" i="26"/>
  <c r="X3114" i="26"/>
  <c r="Y3113" i="26"/>
  <c r="Y3114" i="26"/>
  <c r="X3115" i="26"/>
  <c r="Y3115" i="26"/>
  <c r="X3116" i="26"/>
  <c r="X3117" i="26"/>
  <c r="Y3116" i="26"/>
  <c r="X3118" i="26"/>
  <c r="Y3117" i="26"/>
  <c r="X3119" i="26"/>
  <c r="Y3118" i="26"/>
  <c r="Y3119" i="26"/>
  <c r="X3120" i="26"/>
  <c r="Y3120" i="26"/>
  <c r="X3121" i="26"/>
  <c r="Y3121" i="26"/>
  <c r="X3122" i="26"/>
  <c r="X3123" i="26"/>
  <c r="Y3122" i="26"/>
  <c r="X3124" i="26"/>
  <c r="Y3123" i="26"/>
  <c r="X3125" i="26"/>
  <c r="Y3124" i="26"/>
  <c r="Y3125" i="26"/>
  <c r="X3126" i="26"/>
  <c r="Y3126" i="26"/>
  <c r="X3127" i="26"/>
  <c r="X3128" i="26"/>
  <c r="Y3127" i="26"/>
  <c r="X3129" i="26"/>
  <c r="Y3128" i="26"/>
  <c r="X3130" i="26"/>
  <c r="Y3129" i="26"/>
  <c r="X3131" i="26"/>
  <c r="Y3130" i="26"/>
  <c r="Y3131" i="26"/>
  <c r="X3132" i="26"/>
  <c r="X3133" i="26"/>
  <c r="Y3132" i="26"/>
  <c r="Y3133" i="26"/>
  <c r="X3134" i="26"/>
  <c r="X3135" i="26"/>
  <c r="Y3134" i="26"/>
  <c r="Y3135" i="26"/>
  <c r="X3136" i="26"/>
  <c r="Y3136" i="26"/>
  <c r="X3137" i="26"/>
  <c r="Y3137" i="26"/>
  <c r="X3138" i="26"/>
  <c r="X3139" i="26"/>
  <c r="Y3138" i="26"/>
  <c r="Y3139" i="26"/>
  <c r="X3140" i="26"/>
  <c r="Y3140" i="26"/>
  <c r="X3141" i="26"/>
  <c r="X3142" i="26"/>
  <c r="Y3141" i="26"/>
  <c r="X3143" i="26"/>
  <c r="Y3142" i="26"/>
  <c r="Y3143" i="26"/>
  <c r="X3144" i="26"/>
  <c r="Y3144" i="26"/>
  <c r="X3145" i="26"/>
  <c r="X3146" i="26"/>
  <c r="Y3145" i="26"/>
  <c r="Y3146" i="26"/>
  <c r="X3147" i="26"/>
  <c r="X3148" i="26"/>
  <c r="Y3147" i="26"/>
  <c r="X3149" i="26"/>
  <c r="Y3148" i="26"/>
  <c r="X3150" i="26"/>
  <c r="Y3149" i="26"/>
  <c r="Y3150" i="26"/>
  <c r="X3151" i="26"/>
  <c r="Y3151" i="26"/>
  <c r="X3152" i="26"/>
  <c r="Y3152" i="26"/>
  <c r="X3153" i="26"/>
  <c r="X3154" i="26"/>
  <c r="Y3153" i="26"/>
  <c r="Y3154" i="26"/>
  <c r="X3155" i="26"/>
  <c r="X3156" i="26"/>
  <c r="Y3155" i="26"/>
  <c r="Y3156" i="26"/>
  <c r="X3157" i="26"/>
  <c r="X3158" i="26"/>
  <c r="Y3157" i="26"/>
  <c r="X3159" i="26"/>
  <c r="Y3158" i="26"/>
  <c r="X3160" i="26"/>
  <c r="Y3159" i="26"/>
  <c r="Y3160" i="26"/>
  <c r="X3161" i="26"/>
  <c r="Y3161" i="26"/>
  <c r="X3162" i="26"/>
  <c r="X3163" i="26"/>
  <c r="Y3162" i="26"/>
  <c r="X3164" i="26"/>
  <c r="Y3163" i="26"/>
  <c r="X3165" i="26"/>
  <c r="Y3164" i="26"/>
  <c r="X3166" i="26"/>
  <c r="Y3165" i="26"/>
  <c r="Y3166" i="26"/>
  <c r="X3167" i="26"/>
  <c r="X3168" i="26"/>
  <c r="Y3167" i="26"/>
  <c r="X3169" i="26"/>
  <c r="Y3168" i="26"/>
  <c r="X3170" i="26"/>
  <c r="Y3169" i="26"/>
  <c r="X3171" i="26"/>
  <c r="Y3170" i="26"/>
  <c r="Y3171" i="26"/>
  <c r="X3172" i="26"/>
  <c r="X3173" i="26"/>
  <c r="Y3172" i="26"/>
  <c r="Y3173" i="26"/>
  <c r="X3174" i="26"/>
  <c r="Y3174" i="26"/>
  <c r="X3175" i="26"/>
  <c r="X3176" i="26"/>
  <c r="Y3175" i="26"/>
  <c r="Y3176" i="26"/>
  <c r="X3177" i="26"/>
  <c r="Y3177" i="26"/>
  <c r="X3178" i="26"/>
  <c r="Y3178" i="26"/>
  <c r="X3179" i="26"/>
  <c r="X3180" i="26"/>
  <c r="Y3179" i="26"/>
  <c r="Y3180" i="26"/>
  <c r="X3181" i="26"/>
  <c r="Y3181" i="26"/>
  <c r="X3182" i="26"/>
  <c r="Y3182" i="26"/>
  <c r="X3183" i="26"/>
  <c r="Y3183" i="26"/>
  <c r="X3184" i="26"/>
  <c r="X3185" i="26"/>
  <c r="Y3184" i="26"/>
  <c r="X3186" i="26"/>
  <c r="Y3185" i="26"/>
  <c r="Y3186" i="26"/>
  <c r="X3187" i="26"/>
  <c r="X3188" i="26"/>
  <c r="Y3187" i="26"/>
  <c r="X3189" i="26"/>
  <c r="Y3188" i="26"/>
  <c r="X3190" i="26"/>
  <c r="Y3189" i="26"/>
  <c r="X3191" i="26"/>
  <c r="Y3190" i="26"/>
  <c r="Y3191" i="26"/>
  <c r="X3192" i="26"/>
  <c r="X3193" i="26"/>
  <c r="Y3192" i="26"/>
  <c r="Y3193" i="26"/>
  <c r="X3194" i="26"/>
  <c r="Y3194" i="26"/>
  <c r="X3195" i="26"/>
  <c r="X3196" i="26"/>
  <c r="Y3195" i="26"/>
  <c r="X3197" i="26"/>
  <c r="Y3196" i="26"/>
  <c r="X3198" i="26"/>
  <c r="Y3197" i="26"/>
  <c r="Y3198" i="26"/>
  <c r="X3199" i="26"/>
  <c r="Y3199" i="26"/>
  <c r="X3200" i="26"/>
  <c r="X3201" i="26"/>
  <c r="Y3200" i="26"/>
  <c r="Y3201" i="26"/>
  <c r="X3202" i="26"/>
  <c r="Y3202" i="26"/>
  <c r="X3203" i="26"/>
  <c r="X3204" i="26"/>
  <c r="Y3203" i="26"/>
  <c r="Y3204" i="26"/>
  <c r="X3205" i="26"/>
  <c r="Y3205" i="26"/>
  <c r="X3206" i="26"/>
  <c r="X3207" i="26"/>
  <c r="Y3206" i="26"/>
  <c r="X3208" i="26"/>
  <c r="Y3207" i="26"/>
  <c r="X3209" i="26"/>
  <c r="Y3208" i="26"/>
  <c r="Y3209" i="26"/>
  <c r="X3210" i="26"/>
  <c r="X3211" i="26"/>
  <c r="Y3210" i="26"/>
  <c r="Y3211" i="26"/>
  <c r="X3212" i="26"/>
  <c r="X3213" i="26"/>
  <c r="Y3212" i="26"/>
  <c r="Y3213" i="26"/>
  <c r="X3214" i="26"/>
  <c r="X3215" i="26"/>
  <c r="Y3214" i="26"/>
  <c r="X3216" i="26"/>
  <c r="Y3215" i="26"/>
  <c r="X3217" i="26"/>
  <c r="Y3216" i="26"/>
  <c r="X3218" i="26"/>
  <c r="Y3217" i="26"/>
  <c r="X3219" i="26"/>
  <c r="Y3218" i="26"/>
  <c r="X3220" i="26"/>
  <c r="Y3219" i="26"/>
  <c r="X3221" i="26"/>
  <c r="Y3220" i="26"/>
  <c r="Y3221" i="26"/>
  <c r="X3222" i="26"/>
  <c r="Y3222" i="26"/>
  <c r="X3223" i="26"/>
  <c r="X3224" i="26"/>
  <c r="Y3223" i="26"/>
  <c r="X3225" i="26"/>
  <c r="Y3224" i="26"/>
  <c r="Y3225" i="26"/>
  <c r="X3226" i="26"/>
  <c r="X3227" i="26"/>
  <c r="Y3226" i="26"/>
  <c r="Y3227" i="26"/>
  <c r="X3228" i="26"/>
  <c r="X3229" i="26"/>
  <c r="Y3228" i="26"/>
  <c r="X3230" i="26"/>
  <c r="Y3229" i="26"/>
  <c r="X3231" i="26"/>
  <c r="Y3230" i="26"/>
  <c r="X3232" i="26"/>
  <c r="Y3231" i="26"/>
  <c r="X3233" i="26"/>
  <c r="Y3232" i="26"/>
  <c r="X3234" i="26"/>
  <c r="Y3233" i="26"/>
  <c r="Y3234" i="26"/>
  <c r="X3235" i="26"/>
  <c r="Y3235" i="26"/>
  <c r="X3236" i="26"/>
  <c r="X3237" i="26"/>
  <c r="Y3236" i="26"/>
  <c r="Y3237" i="26"/>
  <c r="X3238" i="26"/>
  <c r="X3239" i="26"/>
  <c r="Y3238" i="26"/>
  <c r="Y3239" i="26"/>
  <c r="X3240" i="26"/>
  <c r="X3241" i="26"/>
  <c r="Y3240" i="26"/>
  <c r="X3242" i="26"/>
  <c r="Y3241" i="26"/>
  <c r="Y3242" i="26"/>
  <c r="X3243" i="26"/>
  <c r="Y3243" i="26"/>
  <c r="X3244" i="26"/>
  <c r="X3245" i="26"/>
  <c r="Y3244" i="26"/>
  <c r="X3246" i="26"/>
  <c r="Y3245" i="26"/>
  <c r="Y3246" i="26"/>
  <c r="X3247" i="26"/>
  <c r="Y3247" i="26"/>
  <c r="X3248" i="26"/>
  <c r="Y3248" i="26"/>
  <c r="X3249" i="26"/>
  <c r="X3250" i="26"/>
  <c r="Y3249" i="26"/>
  <c r="Y3250" i="26"/>
  <c r="X3251" i="26"/>
  <c r="X3252" i="26"/>
  <c r="Y3251" i="26"/>
  <c r="Y3252" i="26"/>
  <c r="X3253" i="26"/>
  <c r="X3254" i="26"/>
  <c r="Y3253" i="26"/>
  <c r="Y3254" i="26"/>
  <c r="X3255" i="26"/>
  <c r="X3256" i="26"/>
  <c r="Y3255" i="26"/>
  <c r="X3257" i="26"/>
  <c r="Y3256" i="26"/>
  <c r="Y3257" i="26"/>
  <c r="X3258" i="26"/>
  <c r="Y3258" i="26"/>
  <c r="X3259" i="26"/>
  <c r="Y3259" i="26"/>
  <c r="X3260" i="26"/>
  <c r="X3261" i="26"/>
  <c r="Y3260" i="26"/>
  <c r="Y3261" i="26"/>
  <c r="X3262" i="26"/>
  <c r="Y3262" i="26"/>
  <c r="X3263" i="26"/>
  <c r="X3264" i="26"/>
  <c r="Y3263" i="26"/>
  <c r="Y3264" i="26"/>
  <c r="X3265" i="26"/>
  <c r="X3266" i="26"/>
  <c r="Y3265" i="26"/>
  <c r="Y3266" i="26"/>
  <c r="X3267" i="26"/>
  <c r="X3268" i="26"/>
  <c r="Y3267" i="26"/>
  <c r="X3269" i="26"/>
  <c r="Y3268" i="26"/>
  <c r="X3270" i="26"/>
  <c r="Y3269" i="26"/>
  <c r="Y3270" i="26"/>
  <c r="X3271" i="26"/>
  <c r="X3272" i="26"/>
  <c r="Y3271" i="26"/>
  <c r="X3273" i="26"/>
  <c r="Y3272" i="26"/>
  <c r="X3274" i="26"/>
  <c r="Y3273" i="26"/>
  <c r="Y3274" i="26"/>
  <c r="X3275" i="26"/>
  <c r="Y3275" i="26"/>
  <c r="X3276" i="26"/>
  <c r="Y3276" i="26"/>
  <c r="X3277" i="26"/>
  <c r="Y3277" i="26"/>
  <c r="X3278" i="26"/>
  <c r="X3279" i="26"/>
  <c r="Y3278" i="26"/>
  <c r="Y3279" i="26"/>
  <c r="X3280" i="26"/>
  <c r="X3281" i="26"/>
  <c r="Y3280" i="26"/>
  <c r="X3282" i="26"/>
  <c r="Y3281" i="26"/>
  <c r="X3283" i="26"/>
  <c r="Y3282" i="26"/>
  <c r="Y3283" i="26"/>
  <c r="X3284" i="26"/>
  <c r="X3285" i="26"/>
  <c r="Y3284" i="26"/>
  <c r="Y3285" i="26"/>
  <c r="X3286" i="26"/>
  <c r="X3287" i="26"/>
  <c r="Y3286" i="26"/>
  <c r="Y3287" i="26"/>
  <c r="X3288" i="26"/>
  <c r="Y3288" i="26"/>
  <c r="X3289" i="26"/>
  <c r="X3290" i="26"/>
  <c r="Y3289" i="26"/>
  <c r="X3291" i="26"/>
  <c r="Y3290" i="26"/>
  <c r="Y3291" i="26"/>
  <c r="X3292" i="26"/>
  <c r="X3293" i="26"/>
  <c r="Y3292" i="26"/>
  <c r="Y3293" i="26"/>
  <c r="X3294" i="26"/>
  <c r="Y3294" i="26"/>
  <c r="X3295" i="26"/>
  <c r="Y3295" i="26"/>
  <c r="X3296" i="26"/>
  <c r="X3297" i="26"/>
  <c r="Y3296" i="26"/>
  <c r="Y3297" i="26"/>
  <c r="X3298" i="26"/>
  <c r="X3299" i="26"/>
  <c r="Y3298" i="26"/>
  <c r="Y3299" i="26"/>
  <c r="X3300" i="26"/>
  <c r="Y3300" i="26"/>
  <c r="X3301" i="26"/>
  <c r="Y3301" i="26"/>
  <c r="X3302" i="26"/>
  <c r="X3303" i="26"/>
  <c r="Y3302" i="26"/>
  <c r="Y3303" i="26"/>
  <c r="X3304" i="26"/>
  <c r="X3305" i="26"/>
  <c r="Y3304" i="26"/>
  <c r="X3306" i="26"/>
  <c r="Y3305" i="26"/>
  <c r="X3307" i="26"/>
  <c r="Y3306" i="26"/>
  <c r="Y3307" i="26"/>
  <c r="X3308" i="26"/>
  <c r="X3309" i="26"/>
  <c r="Y3308" i="26"/>
  <c r="Y3309" i="26"/>
  <c r="X3310" i="26"/>
  <c r="Y3310" i="26"/>
  <c r="X3311" i="26"/>
  <c r="Y3311" i="26"/>
  <c r="X3312" i="26"/>
  <c r="X3313" i="26"/>
  <c r="Y3312" i="26"/>
  <c r="X3314" i="26"/>
  <c r="Y3313" i="26"/>
  <c r="X3315" i="26"/>
  <c r="Y3314" i="26"/>
  <c r="X3316" i="26"/>
  <c r="Y3315" i="26"/>
  <c r="Y3316" i="26"/>
  <c r="X3317" i="26"/>
  <c r="Y3317" i="26"/>
  <c r="X3318" i="26"/>
  <c r="X3319" i="26"/>
  <c r="Y3318" i="26"/>
  <c r="Y3319" i="26"/>
  <c r="X3320" i="26"/>
  <c r="X3321" i="26"/>
  <c r="Y3320" i="26"/>
  <c r="X3322" i="26"/>
  <c r="Y3321" i="26"/>
  <c r="X3323" i="26"/>
  <c r="Y3322" i="26"/>
  <c r="X3324" i="26"/>
  <c r="Y3323" i="26"/>
  <c r="X3325" i="26"/>
  <c r="Y3324" i="26"/>
  <c r="X3326" i="26"/>
  <c r="Y3325" i="26"/>
  <c r="X3327" i="26"/>
  <c r="Y3326" i="26"/>
  <c r="Y3327" i="26"/>
  <c r="X3328" i="26"/>
  <c r="Y3328" i="26"/>
  <c r="X3329" i="26"/>
  <c r="X3330" i="26"/>
  <c r="Y3329" i="26"/>
  <c r="X3331" i="26"/>
  <c r="Y3330" i="26"/>
  <c r="Y3331" i="26"/>
  <c r="X3332" i="26"/>
  <c r="X3333" i="26"/>
  <c r="Y3332" i="26"/>
  <c r="X3334" i="26"/>
  <c r="Y3333" i="26"/>
  <c r="X3335" i="26"/>
  <c r="Y3334" i="26"/>
  <c r="Y3335" i="26"/>
  <c r="X3336" i="26"/>
  <c r="X3337" i="26"/>
  <c r="Y3336" i="26"/>
  <c r="Y3337" i="26"/>
  <c r="X3338" i="26"/>
  <c r="X3339" i="26"/>
  <c r="Y3338" i="26"/>
  <c r="X3340" i="26"/>
  <c r="Y3339" i="26"/>
  <c r="Y3340" i="26"/>
  <c r="X3341" i="26"/>
  <c r="X3342" i="26"/>
  <c r="Y3341" i="26"/>
  <c r="Y3342" i="26"/>
  <c r="X3343" i="26"/>
  <c r="Y3343" i="26"/>
  <c r="X3344" i="26"/>
  <c r="X3345" i="26"/>
  <c r="Y3344" i="26"/>
  <c r="Y3345" i="26"/>
  <c r="X3346" i="26"/>
  <c r="Y3346" i="26"/>
  <c r="X3347" i="26"/>
  <c r="Y3347" i="26"/>
  <c r="X3348" i="26"/>
  <c r="X3349" i="26"/>
  <c r="Y3348" i="26"/>
  <c r="X3350" i="26"/>
  <c r="Y3349" i="26"/>
  <c r="Y3350" i="26"/>
  <c r="X3351" i="26"/>
  <c r="X3352" i="26"/>
  <c r="Y3351" i="26"/>
  <c r="X3353" i="26"/>
  <c r="Y3352" i="26"/>
  <c r="Y3353" i="26"/>
  <c r="X3354" i="26"/>
  <c r="X3355" i="26"/>
  <c r="Y3354" i="26"/>
  <c r="Y3355" i="26"/>
  <c r="X3356" i="26"/>
  <c r="Y3356" i="26"/>
  <c r="X3357" i="26"/>
  <c r="X3358" i="26"/>
  <c r="Y3357" i="26"/>
  <c r="X3359" i="26"/>
  <c r="Y3358" i="26"/>
  <c r="Y3359" i="26"/>
  <c r="X3360" i="26"/>
  <c r="Y3360" i="26"/>
  <c r="X3361" i="26"/>
  <c r="X3362" i="26"/>
  <c r="Y3361" i="26"/>
  <c r="Y3362" i="26"/>
  <c r="X3363" i="26"/>
  <c r="Y3363" i="26"/>
  <c r="X3364" i="26"/>
  <c r="X3365" i="26"/>
  <c r="Y3364" i="26"/>
  <c r="Y3365" i="26"/>
  <c r="X3366" i="26"/>
  <c r="Y3366" i="26"/>
  <c r="X3367" i="26"/>
  <c r="X3368" i="26"/>
  <c r="Y3367" i="26"/>
  <c r="X3369" i="26"/>
  <c r="Y3368" i="26"/>
  <c r="X3370" i="26"/>
  <c r="Y3369" i="26"/>
  <c r="Y3370" i="26"/>
  <c r="X3371" i="26"/>
  <c r="X3372" i="26"/>
  <c r="Y3371" i="26"/>
  <c r="Y3372" i="26"/>
  <c r="X3373" i="26"/>
  <c r="Y3373" i="26"/>
  <c r="X3374" i="26"/>
  <c r="X3375" i="26"/>
  <c r="Y3374" i="26"/>
  <c r="Y3375" i="26"/>
  <c r="X3376" i="26"/>
  <c r="X3377" i="26"/>
  <c r="Y3376" i="26"/>
  <c r="Y3377" i="26"/>
  <c r="X3378" i="26"/>
  <c r="Y3378" i="26"/>
  <c r="X3379" i="26"/>
  <c r="X3380" i="26"/>
  <c r="Y3379" i="26"/>
  <c r="X3381" i="26"/>
  <c r="Y3380" i="26"/>
  <c r="Y3381" i="26"/>
  <c r="X3382" i="26"/>
  <c r="Y3382" i="26"/>
  <c r="X3383" i="26"/>
  <c r="Y3383" i="26"/>
  <c r="X3384" i="26"/>
  <c r="X3385" i="26"/>
  <c r="Y3384" i="26"/>
  <c r="X3386" i="26"/>
  <c r="Y3385" i="26"/>
  <c r="X3387" i="26"/>
  <c r="Y3386" i="26"/>
  <c r="Y3387" i="26"/>
  <c r="X3388" i="26"/>
  <c r="Y3388" i="26"/>
  <c r="X3389" i="26"/>
  <c r="X3390" i="26"/>
  <c r="Y3389" i="26"/>
  <c r="Y3390" i="26"/>
  <c r="X3391" i="26"/>
  <c r="X3392" i="26"/>
  <c r="Y3391" i="26"/>
  <c r="Y3392" i="26"/>
  <c r="X3393" i="26"/>
  <c r="X3394" i="26"/>
  <c r="Y3393" i="26"/>
  <c r="Y3394" i="26"/>
  <c r="X3395" i="26"/>
  <c r="Y3395" i="26"/>
  <c r="X3396" i="26"/>
  <c r="X3397" i="26"/>
  <c r="Y3396" i="26"/>
  <c r="Y3397" i="26"/>
  <c r="X3398" i="26"/>
  <c r="X3399" i="26"/>
  <c r="Y3398" i="26"/>
  <c r="X3400" i="26"/>
  <c r="Y3399" i="26"/>
  <c r="X3401" i="26"/>
  <c r="Y3400" i="26"/>
  <c r="Y3401" i="26"/>
  <c r="X3402" i="26"/>
  <c r="Y3402" i="26"/>
  <c r="X3403" i="26"/>
  <c r="Y3403" i="26"/>
  <c r="X3404" i="26"/>
  <c r="X3405" i="26"/>
  <c r="Y3404" i="26"/>
  <c r="Y3405" i="26"/>
  <c r="X3406" i="26"/>
  <c r="X3407" i="26"/>
  <c r="Y3406" i="26"/>
  <c r="X3408" i="26"/>
  <c r="Y3407" i="26"/>
  <c r="Y3408" i="26"/>
  <c r="X3409" i="26"/>
  <c r="X3410" i="26"/>
  <c r="Y3409" i="26"/>
  <c r="X3411" i="26"/>
  <c r="Y3410" i="26"/>
  <c r="Y3411" i="26"/>
  <c r="X3412" i="26"/>
  <c r="X3413" i="26"/>
  <c r="Y3412" i="26"/>
  <c r="X3414" i="26"/>
  <c r="Y3413" i="26"/>
  <c r="X3415" i="26"/>
  <c r="Y3414" i="26"/>
  <c r="Y3415" i="26"/>
  <c r="X3416" i="26"/>
  <c r="X3417" i="26"/>
  <c r="Y3416" i="26"/>
  <c r="X3418" i="26"/>
  <c r="Y3417" i="26"/>
  <c r="X3419" i="26"/>
  <c r="Y3418" i="26"/>
  <c r="Y3419" i="26"/>
  <c r="X3420" i="26"/>
  <c r="Y3420" i="26"/>
  <c r="X3421" i="26"/>
  <c r="Y3421" i="26"/>
  <c r="X3422" i="26"/>
  <c r="X3423" i="26"/>
  <c r="Y3422" i="26"/>
  <c r="X3424" i="26"/>
  <c r="Y3423" i="26"/>
  <c r="Y3424" i="26"/>
  <c r="X3425" i="26"/>
  <c r="Y3425" i="26"/>
  <c r="X3426" i="26"/>
  <c r="Y3426" i="26"/>
  <c r="X3427" i="26"/>
  <c r="X3428" i="26"/>
  <c r="Y3427" i="26"/>
  <c r="X3429" i="26"/>
  <c r="Y3428" i="26"/>
  <c r="X3430" i="26"/>
  <c r="Y3429" i="26"/>
  <c r="X3431" i="26"/>
  <c r="Y3430" i="26"/>
  <c r="X3432" i="26"/>
  <c r="Y3431" i="26"/>
  <c r="Y3432" i="26"/>
  <c r="X3433" i="26"/>
  <c r="Y3433" i="26"/>
  <c r="X3434" i="26"/>
  <c r="Y3434" i="26"/>
  <c r="X3435" i="26"/>
  <c r="X3436" i="26"/>
  <c r="Y3435" i="26"/>
  <c r="X3437" i="26"/>
  <c r="Y3436" i="26"/>
  <c r="Y3437" i="26"/>
  <c r="X3438" i="26"/>
  <c r="Y3438" i="26"/>
  <c r="X3439" i="26"/>
  <c r="X3440" i="26"/>
  <c r="Y3439" i="26"/>
  <c r="Y3440" i="26"/>
  <c r="X3441" i="26"/>
  <c r="X3442" i="26"/>
  <c r="Y3441" i="26"/>
  <c r="Y3442" i="26"/>
  <c r="X3443" i="26"/>
  <c r="X3444" i="26"/>
  <c r="Y3443" i="26"/>
  <c r="X3445" i="26"/>
  <c r="Y3444" i="26"/>
  <c r="Y3445" i="26"/>
  <c r="X3446" i="26"/>
  <c r="Y3446" i="26"/>
  <c r="X3447" i="26"/>
  <c r="Y3447" i="26"/>
  <c r="X3448" i="26"/>
  <c r="X3449" i="26"/>
  <c r="Y3448" i="26"/>
  <c r="Y3449" i="26"/>
  <c r="X3450" i="26"/>
  <c r="X3451" i="26"/>
  <c r="Y3450" i="26"/>
  <c r="Y3451" i="26"/>
  <c r="X3452" i="26"/>
  <c r="Y3452" i="26"/>
  <c r="X3453" i="26"/>
  <c r="Y3453" i="26"/>
  <c r="X3454" i="26"/>
  <c r="X3455" i="26"/>
  <c r="Y3454" i="26"/>
  <c r="Y3455" i="26"/>
  <c r="X3456" i="26"/>
  <c r="X3457" i="26"/>
  <c r="Y3456" i="26"/>
  <c r="Y3457" i="26"/>
  <c r="X3458" i="26"/>
  <c r="X3459" i="26"/>
  <c r="Y3458" i="26"/>
  <c r="X3460" i="26"/>
  <c r="Y3459" i="26"/>
  <c r="X3461" i="26"/>
  <c r="Y3460" i="26"/>
  <c r="Y3461" i="26"/>
  <c r="X3462" i="26"/>
  <c r="Y3462" i="26"/>
  <c r="X3463" i="26"/>
  <c r="Y3463" i="26"/>
  <c r="X3464" i="26"/>
  <c r="X3465" i="26"/>
  <c r="Y3464" i="26"/>
  <c r="Y3465" i="26"/>
  <c r="X3466" i="26"/>
  <c r="Y3466" i="26"/>
  <c r="X3467" i="26"/>
  <c r="X3468" i="26"/>
  <c r="Y3467" i="26"/>
  <c r="Y3468" i="26"/>
  <c r="X3469" i="26"/>
  <c r="Y3469" i="26"/>
  <c r="X3470" i="26"/>
  <c r="Y3470" i="26"/>
  <c r="X3471" i="26"/>
  <c r="X3472" i="26"/>
  <c r="Y3471" i="26"/>
  <c r="Y3472" i="26"/>
  <c r="X3473" i="26"/>
  <c r="Y3473" i="26"/>
  <c r="X3474" i="26"/>
  <c r="Y3474" i="26"/>
  <c r="X3475" i="26"/>
  <c r="Y3475" i="26"/>
  <c r="X3476" i="26"/>
  <c r="X3477" i="26"/>
  <c r="Y3476" i="26"/>
  <c r="Y3477" i="26"/>
  <c r="X3478" i="26"/>
  <c r="X3479" i="26"/>
  <c r="Y3478" i="26"/>
  <c r="X3480" i="26"/>
  <c r="Y3479" i="26"/>
  <c r="Y3480" i="26"/>
  <c r="X3481" i="26"/>
  <c r="Y3481" i="26"/>
  <c r="X3482" i="26"/>
  <c r="X3483" i="26"/>
  <c r="Y3482" i="26"/>
  <c r="Y3483" i="26"/>
  <c r="X3484" i="26"/>
  <c r="X3485" i="26"/>
  <c r="Y3484" i="26"/>
  <c r="X3486" i="26"/>
  <c r="Y3485" i="26"/>
  <c r="Y3486" i="26"/>
  <c r="X3487" i="26"/>
  <c r="Y3487" i="26"/>
  <c r="X3488" i="26"/>
  <c r="X3489" i="26"/>
  <c r="Y3488" i="26"/>
  <c r="Y3489" i="26"/>
  <c r="X3490" i="26"/>
  <c r="Y3490" i="26"/>
  <c r="X3491" i="26"/>
  <c r="X3492" i="26"/>
  <c r="Y3491" i="26"/>
  <c r="X3493" i="26"/>
  <c r="Y3492" i="26"/>
  <c r="X3494" i="26"/>
  <c r="Y3493" i="26"/>
  <c r="Y3494" i="26"/>
  <c r="X3495" i="26"/>
  <c r="X3496" i="26"/>
  <c r="Y3495" i="26"/>
  <c r="X3497" i="26"/>
  <c r="Y3496" i="26"/>
  <c r="Y3497" i="26"/>
  <c r="X3498" i="26"/>
  <c r="X3499" i="26"/>
  <c r="Y3498" i="26"/>
  <c r="X3500" i="26"/>
  <c r="Y3499" i="26"/>
  <c r="Y3500" i="26"/>
  <c r="X3501" i="26"/>
  <c r="Y3501" i="26"/>
  <c r="X3502" i="26"/>
  <c r="X3503" i="26"/>
  <c r="Y3502" i="26"/>
  <c r="X3504" i="26"/>
  <c r="Y3503" i="26"/>
  <c r="X3505" i="26"/>
  <c r="Y3504" i="26"/>
  <c r="X3506" i="26"/>
  <c r="Y3505" i="26"/>
  <c r="Y3506" i="26"/>
  <c r="X3507" i="26"/>
  <c r="X3508" i="26"/>
  <c r="Y3507" i="26"/>
  <c r="X3509" i="26"/>
  <c r="Y3508" i="26"/>
  <c r="X3510" i="26"/>
  <c r="Y3509" i="26"/>
  <c r="Y3510" i="26"/>
  <c r="X3511" i="26"/>
  <c r="Y3511" i="26"/>
  <c r="X3512" i="26"/>
  <c r="Y3512" i="26"/>
  <c r="X3513" i="26"/>
  <c r="X3514" i="26"/>
  <c r="Y3513" i="26"/>
  <c r="Y3514" i="26"/>
  <c r="X3515" i="26"/>
  <c r="Y3515" i="26"/>
  <c r="X3516" i="26"/>
  <c r="X3517" i="26"/>
  <c r="Y3516" i="26"/>
  <c r="Y3517" i="26"/>
  <c r="X3518" i="26"/>
  <c r="X3519" i="26"/>
  <c r="Y3518" i="26"/>
  <c r="Y3519" i="26"/>
  <c r="X3520" i="26"/>
  <c r="X3521" i="26"/>
  <c r="Y3520" i="26"/>
  <c r="X3522" i="26"/>
  <c r="Y3521" i="26"/>
  <c r="Y3522" i="26"/>
  <c r="X3523" i="26"/>
  <c r="X3524" i="26"/>
  <c r="Y3523" i="26"/>
  <c r="X3525" i="26"/>
  <c r="Y3524" i="26"/>
  <c r="Y3525" i="26"/>
  <c r="X3526" i="26"/>
  <c r="Y3526" i="26"/>
  <c r="X3527" i="26"/>
  <c r="X3528" i="26"/>
  <c r="Y3527" i="26"/>
  <c r="X3529" i="26"/>
  <c r="Y3528" i="26"/>
  <c r="X3530" i="26"/>
  <c r="Y3529" i="26"/>
  <c r="Y3530" i="26"/>
  <c r="X3531" i="26"/>
  <c r="Y3531" i="26"/>
  <c r="X3532" i="26"/>
  <c r="Y3532" i="26"/>
  <c r="X3533" i="26"/>
  <c r="X3534" i="26"/>
  <c r="Y3533" i="26"/>
  <c r="Y3534" i="26"/>
  <c r="X3535" i="26"/>
  <c r="Y3535" i="26"/>
  <c r="X3536" i="26"/>
  <c r="X3537" i="26"/>
  <c r="Y3536" i="26"/>
  <c r="Y3537" i="26"/>
  <c r="X3538" i="26"/>
  <c r="Y3538" i="26"/>
  <c r="X3539" i="26"/>
  <c r="X3540" i="26"/>
  <c r="Y3539" i="26"/>
  <c r="X3541" i="26"/>
  <c r="Y3540" i="26"/>
  <c r="Y3541" i="26"/>
  <c r="X3542" i="26"/>
  <c r="Y3542" i="26"/>
  <c r="X3543" i="26"/>
  <c r="Y3543" i="26"/>
  <c r="X3544" i="26"/>
  <c r="B31" i="5" l="1"/>
  <c r="B42" i="5"/>
  <c r="B15" i="5"/>
  <c r="B11" i="5"/>
  <c r="B43" i="5"/>
  <c r="B13" i="5"/>
  <c r="B16" i="5"/>
  <c r="B9" i="5"/>
  <c r="B8" i="5"/>
  <c r="B38" i="5"/>
  <c r="B34" i="5"/>
  <c r="B35" i="5"/>
  <c r="B6" i="5"/>
  <c r="B5" i="5"/>
  <c r="B14" i="5"/>
  <c r="B37" i="5"/>
  <c r="B41" i="5"/>
  <c r="B17" i="5"/>
  <c r="B18" i="5"/>
  <c r="B39" i="5"/>
  <c r="B44" i="5"/>
  <c r="B10" i="5"/>
  <c r="B33" i="5"/>
  <c r="B7" i="5"/>
  <c r="B36" i="5"/>
  <c r="B19" i="5"/>
  <c r="B32" i="5"/>
  <c r="B40" i="5"/>
  <c r="B12" i="5"/>
  <c r="B2" i="5"/>
  <c r="E2" i="9"/>
  <c r="C18" i="5"/>
  <c r="C44" i="5"/>
  <c r="E44" i="5"/>
  <c r="D44" i="5"/>
  <c r="J44" i="5"/>
  <c r="I44" i="5"/>
  <c r="C9" i="5"/>
  <c r="D36" i="5"/>
  <c r="C36" i="5"/>
  <c r="C38" i="5"/>
  <c r="D38" i="5"/>
  <c r="C11" i="5"/>
  <c r="C13" i="5"/>
  <c r="C16" i="5"/>
  <c r="C7" i="5"/>
  <c r="E42" i="5"/>
  <c r="C42" i="5"/>
  <c r="D42" i="5"/>
  <c r="I42" i="5"/>
  <c r="J42" i="5"/>
  <c r="I39" i="5"/>
  <c r="E39" i="5"/>
  <c r="C39" i="5"/>
  <c r="D39" i="5"/>
  <c r="J39" i="5"/>
  <c r="D43" i="5"/>
  <c r="E43" i="5"/>
  <c r="J43" i="5"/>
  <c r="I43" i="5"/>
  <c r="C43" i="5"/>
  <c r="C10" i="5"/>
  <c r="D33" i="5"/>
  <c r="C33" i="5"/>
  <c r="C8" i="5"/>
  <c r="C19" i="5"/>
  <c r="C34" i="5"/>
  <c r="D34" i="5"/>
  <c r="C32" i="5"/>
  <c r="D32" i="5"/>
  <c r="D35" i="5"/>
  <c r="C35" i="5"/>
  <c r="D40" i="5"/>
  <c r="C40" i="5"/>
  <c r="J40" i="5"/>
  <c r="I40" i="5"/>
  <c r="E40" i="5"/>
  <c r="D6" i="5"/>
  <c r="C6" i="5"/>
  <c r="C12" i="5"/>
  <c r="D5" i="5"/>
  <c r="C5" i="5"/>
  <c r="C14" i="5"/>
  <c r="Y3544" i="26"/>
  <c r="D37" i="5"/>
  <c r="C37" i="5"/>
  <c r="D31" i="5"/>
  <c r="C31" i="5"/>
  <c r="D41" i="5"/>
  <c r="E41" i="5"/>
  <c r="I41" i="5"/>
  <c r="C41" i="5"/>
  <c r="J41" i="5"/>
  <c r="B1" i="6"/>
  <c r="C17" i="5"/>
  <c r="C2" i="5"/>
  <c r="C15" i="5"/>
  <c r="F41" i="5" l="1"/>
  <c r="F31" i="5"/>
  <c r="F37" i="5"/>
  <c r="F5" i="5"/>
  <c r="F6" i="5"/>
  <c r="F40" i="5"/>
  <c r="F35" i="5"/>
  <c r="F32" i="5"/>
  <c r="F34" i="5"/>
  <c r="F33" i="5"/>
  <c r="F43" i="5"/>
  <c r="F39" i="5"/>
  <c r="F42" i="5"/>
  <c r="F38" i="5"/>
  <c r="F36" i="5"/>
  <c r="F44" i="5"/>
  <c r="D9" i="6"/>
  <c r="D16" i="6"/>
  <c r="D20" i="6"/>
  <c r="E20" i="6"/>
  <c r="D21" i="6"/>
  <c r="F2" i="9"/>
  <c r="I2" i="5"/>
  <c r="D2" i="5"/>
  <c r="J2" i="5"/>
  <c r="F3" i="9"/>
  <c r="E21" i="6" l="1"/>
  <c r="E24" i="5"/>
  <c r="J21" i="5"/>
  <c r="I16" i="5"/>
  <c r="J31" i="5"/>
  <c r="D20" i="5"/>
  <c r="I23" i="5"/>
  <c r="D17" i="5"/>
  <c r="I31" i="5"/>
  <c r="E25" i="5"/>
  <c r="J12" i="5"/>
  <c r="J29" i="5"/>
  <c r="I6" i="5"/>
  <c r="E6" i="5"/>
  <c r="I9" i="5"/>
  <c r="J16" i="5"/>
  <c r="I33" i="5"/>
  <c r="I17" i="5"/>
  <c r="E28" i="5"/>
  <c r="E37" i="5"/>
  <c r="J13" i="5"/>
  <c r="E27" i="5"/>
  <c r="E30" i="5"/>
  <c r="J25" i="5"/>
  <c r="E32" i="5"/>
  <c r="I7" i="5"/>
  <c r="I30" i="5"/>
  <c r="E33" i="5"/>
  <c r="E9" i="5"/>
  <c r="D21" i="5"/>
  <c r="E12" i="5"/>
  <c r="J37" i="5"/>
  <c r="I4" i="5"/>
  <c r="I8" i="5"/>
  <c r="I22" i="5"/>
  <c r="E35" i="5"/>
  <c r="E19" i="5"/>
  <c r="I37" i="5"/>
  <c r="E36" i="5"/>
  <c r="E31" i="5"/>
  <c r="I18" i="5"/>
  <c r="J18" i="5"/>
  <c r="E34" i="5"/>
  <c r="I12" i="5"/>
  <c r="I35" i="5"/>
  <c r="J35" i="5"/>
  <c r="J7" i="5"/>
  <c r="E13" i="5"/>
  <c r="I34" i="5"/>
  <c r="D29" i="5"/>
  <c r="J33" i="5"/>
  <c r="D11" i="5"/>
  <c r="E29" i="5"/>
  <c r="E38" i="5"/>
  <c r="I5" i="5"/>
  <c r="J38" i="5"/>
  <c r="D25" i="5"/>
  <c r="D18" i="5"/>
  <c r="I11" i="5"/>
  <c r="J23" i="5"/>
  <c r="E21" i="5"/>
  <c r="D14" i="5"/>
  <c r="D4" i="5"/>
  <c r="I25" i="5"/>
  <c r="I3" i="5"/>
  <c r="D12" i="5"/>
  <c r="D3" i="5"/>
  <c r="I21" i="5"/>
  <c r="J14" i="5"/>
  <c r="E8" i="5"/>
  <c r="D23" i="5"/>
  <c r="J27" i="5"/>
  <c r="I27" i="5"/>
  <c r="I14" i="5"/>
  <c r="I24" i="5"/>
  <c r="E17" i="5"/>
  <c r="D30" i="5"/>
  <c r="I13" i="5"/>
  <c r="J4" i="5"/>
  <c r="J34" i="5"/>
  <c r="J36" i="5"/>
  <c r="I20" i="5"/>
  <c r="D10" i="5"/>
  <c r="D26" i="5"/>
  <c r="J11" i="5"/>
  <c r="I32" i="5"/>
  <c r="J32" i="5"/>
  <c r="I15" i="5"/>
  <c r="J10" i="5"/>
  <c r="E16" i="5"/>
  <c r="E22" i="5"/>
  <c r="E11" i="5"/>
  <c r="I28" i="5"/>
  <c r="J6" i="5"/>
  <c r="E14" i="5"/>
  <c r="E10" i="5"/>
  <c r="J5" i="5"/>
  <c r="J22" i="5"/>
  <c r="I19" i="5"/>
  <c r="I26" i="5"/>
  <c r="J15" i="5"/>
  <c r="J30" i="5"/>
  <c r="I10" i="5"/>
  <c r="D24" i="5"/>
  <c r="J20" i="5"/>
  <c r="J3" i="5"/>
  <c r="J26" i="5"/>
  <c r="D16" i="5"/>
  <c r="D28" i="5"/>
  <c r="D9" i="5"/>
  <c r="D7" i="5"/>
  <c r="D13" i="5"/>
  <c r="D8" i="5"/>
  <c r="J28" i="5"/>
  <c r="E18" i="5"/>
  <c r="E15" i="5"/>
  <c r="J9" i="5"/>
  <c r="E5" i="5"/>
  <c r="D27" i="5"/>
  <c r="E7" i="5"/>
  <c r="D15" i="5"/>
  <c r="I38" i="5"/>
  <c r="D19" i="5"/>
  <c r="J19" i="5"/>
  <c r="J17" i="5"/>
  <c r="I29" i="5"/>
  <c r="E23" i="5"/>
  <c r="E20" i="5"/>
  <c r="J24" i="5"/>
  <c r="I36" i="5"/>
  <c r="E26" i="5"/>
  <c r="J8" i="5"/>
  <c r="D22" i="5"/>
  <c r="M11" i="26" s="1" a="1"/>
  <c r="M23" i="26" l="1"/>
  <c r="M40" i="26"/>
  <c r="M33" i="26"/>
  <c r="M25" i="26"/>
  <c r="M34" i="26"/>
  <c r="M14" i="26"/>
  <c r="M15" i="26"/>
  <c r="M39" i="26"/>
  <c r="M30" i="26"/>
  <c r="M46" i="26"/>
  <c r="M11" i="26"/>
  <c r="M27" i="26"/>
  <c r="M38" i="26"/>
  <c r="M31" i="26"/>
  <c r="M48" i="26"/>
  <c r="M26" i="26"/>
  <c r="M49" i="26"/>
  <c r="M42" i="26"/>
  <c r="M19" i="26"/>
  <c r="M47" i="26"/>
  <c r="M43" i="26"/>
  <c r="M51" i="26"/>
  <c r="M24" i="26"/>
  <c r="M12" i="26"/>
  <c r="M20" i="26"/>
  <c r="M17" i="26"/>
  <c r="M28" i="26"/>
  <c r="M44" i="26"/>
  <c r="M41" i="26"/>
  <c r="M52" i="26"/>
  <c r="M13" i="26"/>
  <c r="M32" i="26"/>
  <c r="M21" i="26"/>
  <c r="M37" i="26"/>
  <c r="M45" i="26"/>
  <c r="M22" i="26"/>
  <c r="M16" i="26"/>
  <c r="M18" i="26"/>
  <c r="M36" i="26"/>
  <c r="M29" i="26"/>
  <c r="M50" i="26"/>
  <c r="M35" i="26"/>
  <c r="F20" i="5"/>
  <c r="F8" i="5"/>
  <c r="F23" i="5"/>
  <c r="F13" i="5"/>
  <c r="F24" i="5"/>
  <c r="F27" i="5"/>
  <c r="F11" i="5"/>
  <c r="F7" i="5"/>
  <c r="F14" i="5"/>
  <c r="F18" i="5"/>
  <c r="F17" i="5"/>
  <c r="F9" i="5"/>
  <c r="F12" i="5"/>
  <c r="F15" i="5"/>
  <c r="F29" i="5"/>
  <c r="F28" i="5"/>
  <c r="F30" i="5"/>
  <c r="F25" i="5"/>
  <c r="F16" i="5"/>
  <c r="F26" i="5"/>
  <c r="F10" i="5"/>
  <c r="F21" i="5"/>
  <c r="F22" i="5"/>
  <c r="F19" i="5"/>
  <c r="O49" i="26"/>
  <c r="N49" i="26"/>
  <c r="O33" i="26"/>
  <c r="O37" i="26"/>
  <c r="O28" i="26"/>
  <c r="N24" i="26"/>
  <c r="O34" i="26"/>
  <c r="N14" i="26"/>
  <c r="O31" i="26"/>
  <c r="N23" i="26"/>
  <c r="N39" i="26"/>
  <c r="O27" i="26"/>
  <c r="O18" i="26"/>
  <c r="O12" i="26"/>
  <c r="O36" i="26"/>
  <c r="N16" i="26"/>
  <c r="O35" i="26"/>
  <c r="N36" i="26"/>
  <c r="N35" i="26"/>
  <c r="N47" i="26"/>
  <c r="O47" i="26"/>
  <c r="O11" i="26"/>
  <c r="N21" i="26"/>
  <c r="N40" i="26"/>
  <c r="O21" i="26"/>
  <c r="N26" i="26"/>
  <c r="N45" i="26"/>
  <c r="N15" i="26"/>
  <c r="O22" i="26"/>
  <c r="D2" i="4" a="1"/>
  <c r="O25" i="26"/>
  <c r="O38" i="26"/>
  <c r="N12" i="26"/>
  <c r="O16" i="26"/>
  <c r="O40" i="26"/>
  <c r="O14" i="26"/>
  <c r="N11" i="26"/>
  <c r="O51" i="26"/>
  <c r="N51" i="26"/>
  <c r="O15" i="26"/>
  <c r="N31" i="26"/>
  <c r="N13" i="26"/>
  <c r="O50" i="26"/>
  <c r="N50" i="26"/>
  <c r="N22" i="26"/>
  <c r="N38" i="26"/>
  <c r="N25" i="26"/>
  <c r="N27" i="26"/>
  <c r="O17" i="26"/>
  <c r="O43" i="26"/>
  <c r="N32" i="26"/>
  <c r="N20" i="26"/>
  <c r="O29" i="26"/>
  <c r="N17" i="26"/>
  <c r="N43" i="26"/>
  <c r="O32" i="26"/>
  <c r="O20" i="26"/>
  <c r="N29" i="26"/>
  <c r="N52" i="26"/>
  <c r="O52" i="26"/>
  <c r="N41" i="26"/>
  <c r="N46" i="26"/>
  <c r="O44" i="26"/>
  <c r="O30" i="26"/>
  <c r="N19" i="26"/>
  <c r="O48" i="26"/>
  <c r="N48" i="26"/>
  <c r="O41" i="26"/>
  <c r="O46" i="26"/>
  <c r="N44" i="26"/>
  <c r="N30" i="26"/>
  <c r="O19" i="26"/>
  <c r="N33" i="26"/>
  <c r="N37" i="26"/>
  <c r="N28" i="26"/>
  <c r="O24" i="26"/>
  <c r="N34" i="26"/>
  <c r="O26" i="26"/>
  <c r="O45" i="26"/>
  <c r="O39" i="26"/>
  <c r="O23" i="26"/>
  <c r="O13" i="26"/>
  <c r="N18" i="26"/>
  <c r="N42" i="26"/>
  <c r="O42" i="26"/>
  <c r="Q48" i="26" l="1"/>
  <c r="Q52" i="26"/>
  <c r="Q50" i="26"/>
  <c r="Q51" i="26"/>
  <c r="Q47" i="26"/>
  <c r="Q49" i="26"/>
  <c r="D49" i="4"/>
  <c r="D5" i="4"/>
  <c r="D119" i="4"/>
  <c r="D122" i="4"/>
  <c r="D125" i="4"/>
  <c r="D18" i="4"/>
  <c r="D84" i="4"/>
  <c r="D71" i="4"/>
  <c r="D58" i="4"/>
  <c r="D29" i="4"/>
  <c r="D64" i="4"/>
  <c r="D99" i="4"/>
  <c r="D86" i="4"/>
  <c r="D121" i="4"/>
  <c r="D13" i="4"/>
  <c r="D95" i="4"/>
  <c r="D65" i="4"/>
  <c r="D53" i="4"/>
  <c r="D8" i="4"/>
  <c r="D59" i="4"/>
  <c r="D30" i="4"/>
  <c r="D34" i="4"/>
  <c r="D116" i="4"/>
  <c r="D103" i="4"/>
  <c r="D106" i="4"/>
  <c r="D93" i="4"/>
  <c r="D112" i="4"/>
  <c r="D115" i="4"/>
  <c r="D7" i="4"/>
  <c r="D42" i="4"/>
  <c r="D45" i="4"/>
  <c r="D32" i="4"/>
  <c r="D81" i="4"/>
  <c r="D101" i="4"/>
  <c r="D56" i="4"/>
  <c r="D75" i="4"/>
  <c r="D78" i="4"/>
  <c r="D50" i="4"/>
  <c r="D37" i="4"/>
  <c r="D24" i="4"/>
  <c r="D27" i="4"/>
  <c r="D14" i="4"/>
  <c r="D3" i="4"/>
  <c r="D4" i="4"/>
  <c r="D39" i="4"/>
  <c r="D90" i="4"/>
  <c r="D77" i="4"/>
  <c r="D80" i="4"/>
  <c r="D97" i="4"/>
  <c r="D22" i="4"/>
  <c r="D25" i="4"/>
  <c r="D91" i="4"/>
  <c r="D47" i="4"/>
  <c r="D66" i="4"/>
  <c r="D85" i="4"/>
  <c r="D72" i="4"/>
  <c r="D107" i="4"/>
  <c r="D94" i="4"/>
  <c r="D19" i="4"/>
  <c r="D68" i="4"/>
  <c r="D40" i="4"/>
  <c r="D11" i="4"/>
  <c r="D46" i="4"/>
  <c r="D113" i="4"/>
  <c r="D70" i="4"/>
  <c r="D73" i="4"/>
  <c r="D123" i="4"/>
  <c r="D111" i="4"/>
  <c r="D82" i="4"/>
  <c r="D6" i="4"/>
  <c r="D104" i="4"/>
  <c r="D28" i="4"/>
  <c r="D15" i="4"/>
  <c r="D35" i="4"/>
  <c r="D21" i="4"/>
  <c r="D88" i="4"/>
  <c r="D43" i="4"/>
  <c r="D62" i="4"/>
  <c r="D36" i="4"/>
  <c r="D118" i="4"/>
  <c r="D52" i="4"/>
  <c r="D61" i="4"/>
  <c r="D54" i="4"/>
  <c r="D124" i="4"/>
  <c r="D117" i="4"/>
  <c r="D110" i="4"/>
  <c r="D100" i="4"/>
  <c r="D109" i="4"/>
  <c r="D102" i="4"/>
  <c r="D63" i="4"/>
  <c r="D38" i="4"/>
  <c r="D126" i="4"/>
  <c r="D55" i="4"/>
  <c r="D48" i="4"/>
  <c r="D23" i="4"/>
  <c r="D79" i="4"/>
  <c r="D120" i="4"/>
  <c r="D31" i="4"/>
  <c r="D87" i="4"/>
  <c r="D96" i="4"/>
  <c r="D41" i="4"/>
  <c r="D16" i="4"/>
  <c r="D9" i="4"/>
  <c r="D105" i="4"/>
  <c r="D2" i="4"/>
  <c r="D89" i="4"/>
  <c r="D51" i="4"/>
  <c r="D57" i="4"/>
  <c r="D26" i="4"/>
  <c r="D98" i="4"/>
  <c r="D10" i="4"/>
  <c r="D67" i="4"/>
  <c r="D44" i="4"/>
  <c r="D17" i="4"/>
  <c r="D74" i="4"/>
  <c r="D114" i="4"/>
  <c r="D60" i="4"/>
  <c r="D83" i="4"/>
  <c r="D76" i="4"/>
  <c r="D33" i="4"/>
  <c r="D12" i="4"/>
  <c r="D20" i="4"/>
  <c r="D92" i="4"/>
  <c r="D69" i="4"/>
  <c r="D108" i="4"/>
  <c r="Q34" i="26"/>
  <c r="Q19" i="26"/>
  <c r="Q29" i="26"/>
  <c r="Q27" i="26"/>
  <c r="Q13" i="26"/>
  <c r="Q45" i="26"/>
  <c r="Q14" i="26"/>
  <c r="Q35" i="26"/>
  <c r="Q24" i="26"/>
  <c r="Q30" i="26"/>
  <c r="Q20" i="26"/>
  <c r="Q42" i="26"/>
  <c r="Q39" i="26"/>
  <c r="Q15" i="26"/>
  <c r="Q21" i="26"/>
  <c r="Q16" i="26"/>
  <c r="Q28" i="26"/>
  <c r="Q44" i="26"/>
  <c r="Q32" i="26"/>
  <c r="Q38" i="26"/>
  <c r="Q22" i="26"/>
  <c r="Q26" i="26"/>
  <c r="Q11" i="26"/>
  <c r="Q36" i="26"/>
  <c r="Q37" i="26"/>
  <c r="Q46" i="26"/>
  <c r="Q43" i="26"/>
  <c r="Q25" i="26"/>
  <c r="Q23" i="26"/>
  <c r="Q31" i="26"/>
  <c r="Q40" i="26"/>
  <c r="Q12" i="26"/>
  <c r="Q33" i="26"/>
  <c r="Q41" i="26"/>
  <c r="Q17" i="26"/>
  <c r="Q18" i="26"/>
  <c r="H58" i="4"/>
  <c r="G27" i="4"/>
  <c r="I70" i="4"/>
  <c r="G102" i="4"/>
  <c r="H44" i="4"/>
  <c r="G29" i="4"/>
  <c r="G14" i="4"/>
  <c r="I73" i="4"/>
  <c r="H63" i="4"/>
  <c r="G17" i="4"/>
  <c r="H64" i="4"/>
  <c r="I3" i="4"/>
  <c r="H123" i="4"/>
  <c r="H38" i="4"/>
  <c r="F74" i="4"/>
  <c r="H99" i="4"/>
  <c r="I4" i="4"/>
  <c r="H111" i="4"/>
  <c r="G126" i="4"/>
  <c r="F114" i="4"/>
  <c r="I86" i="4"/>
  <c r="F39" i="4"/>
  <c r="E82" i="4"/>
  <c r="F55" i="4"/>
  <c r="F60" i="4"/>
  <c r="F121" i="4"/>
  <c r="G90" i="4"/>
  <c r="H6" i="4"/>
  <c r="I48" i="4"/>
  <c r="E83" i="4"/>
  <c r="G116" i="4"/>
  <c r="I85" i="4"/>
  <c r="F36" i="4"/>
  <c r="H9" i="4"/>
  <c r="E71" i="4"/>
  <c r="E103" i="4"/>
  <c r="E72" i="4"/>
  <c r="I118" i="4"/>
  <c r="G105" i="4"/>
  <c r="E123" i="4"/>
  <c r="I30" i="4"/>
  <c r="G41" i="4"/>
  <c r="G6" i="4"/>
  <c r="G45" i="4"/>
  <c r="F10" i="4"/>
  <c r="G72" i="4"/>
  <c r="H31" i="4"/>
  <c r="H3" i="4"/>
  <c r="E87" i="4"/>
  <c r="F4" i="4"/>
  <c r="E96" i="4"/>
  <c r="H39" i="4"/>
  <c r="E108" i="4"/>
  <c r="F62" i="4"/>
  <c r="E45" i="4"/>
  <c r="G67" i="4"/>
  <c r="I33" i="4"/>
  <c r="H20" i="4"/>
  <c r="F87" i="4"/>
  <c r="H59" i="4"/>
  <c r="G96" i="4"/>
  <c r="F30" i="4"/>
  <c r="E43" i="4"/>
  <c r="H34" i="4"/>
  <c r="F16" i="4"/>
  <c r="G100" i="4"/>
  <c r="H67" i="4"/>
  <c r="G109" i="4"/>
  <c r="I10" i="4"/>
  <c r="H33" i="4"/>
  <c r="H49" i="4"/>
  <c r="I106" i="4"/>
  <c r="I97" i="4"/>
  <c r="G15" i="4"/>
  <c r="F5" i="4"/>
  <c r="H22" i="4"/>
  <c r="I31" i="4"/>
  <c r="G25" i="4"/>
  <c r="E122" i="4"/>
  <c r="F65" i="4"/>
  <c r="F27" i="4"/>
  <c r="E70" i="4"/>
  <c r="E102" i="4"/>
  <c r="G44" i="4"/>
  <c r="H53" i="4"/>
  <c r="E14" i="4"/>
  <c r="F73" i="4"/>
  <c r="G63" i="4"/>
  <c r="F17" i="4"/>
  <c r="G8" i="4"/>
  <c r="F3" i="4"/>
  <c r="F123" i="4"/>
  <c r="I38" i="4"/>
  <c r="H74" i="4"/>
  <c r="G59" i="4"/>
  <c r="E4" i="4"/>
  <c r="E111" i="4"/>
  <c r="F126" i="4"/>
  <c r="E114" i="4"/>
  <c r="H30" i="4"/>
  <c r="I39" i="4"/>
  <c r="G82" i="4"/>
  <c r="H55" i="4"/>
  <c r="I60" i="4"/>
  <c r="F34" i="4"/>
  <c r="F90" i="4"/>
  <c r="I6" i="4"/>
  <c r="E48" i="4"/>
  <c r="I83" i="4"/>
  <c r="I45" i="4"/>
  <c r="H85" i="4"/>
  <c r="H36" i="4"/>
  <c r="I9" i="4"/>
  <c r="H71" i="4"/>
  <c r="E32" i="4"/>
  <c r="F72" i="4"/>
  <c r="H118" i="4"/>
  <c r="H105" i="4"/>
  <c r="I34" i="4"/>
  <c r="F9" i="4"/>
  <c r="H72" i="4"/>
  <c r="F105" i="4"/>
  <c r="I27" i="4"/>
  <c r="I120" i="4"/>
  <c r="I53" i="4"/>
  <c r="E20" i="4"/>
  <c r="E3" i="4"/>
  <c r="G92" i="4"/>
  <c r="F59" i="4"/>
  <c r="F111" i="4"/>
  <c r="E69" i="4"/>
  <c r="F82" i="4"/>
  <c r="I108" i="4"/>
  <c r="E90" i="4"/>
  <c r="I84" i="4"/>
  <c r="I36" i="4"/>
  <c r="G32" i="4"/>
  <c r="G118" i="4"/>
  <c r="I35" i="4"/>
  <c r="F21" i="4"/>
  <c r="E92" i="4"/>
  <c r="H88" i="4"/>
  <c r="F69" i="4"/>
  <c r="I43" i="4"/>
  <c r="F41" i="4"/>
  <c r="E34" i="4"/>
  <c r="H16" i="4"/>
  <c r="F100" i="4"/>
  <c r="F32" i="4"/>
  <c r="H109" i="4"/>
  <c r="F22" i="4"/>
  <c r="E91" i="4"/>
  <c r="E41" i="4"/>
  <c r="G66" i="4"/>
  <c r="H45" i="4"/>
  <c r="G10" i="4"/>
  <c r="I113" i="4"/>
  <c r="F113" i="4"/>
  <c r="G93" i="4"/>
  <c r="H119" i="4"/>
  <c r="I87" i="4"/>
  <c r="H65" i="4"/>
  <c r="H27" i="4"/>
  <c r="F70" i="4"/>
  <c r="I102" i="4"/>
  <c r="G12" i="4"/>
  <c r="F53" i="4"/>
  <c r="H14" i="4"/>
  <c r="E73" i="4"/>
  <c r="I63" i="4"/>
  <c r="G20" i="4"/>
  <c r="I8" i="4"/>
  <c r="G3" i="4"/>
  <c r="I123" i="4"/>
  <c r="G38" i="4"/>
  <c r="F92" i="4"/>
  <c r="E59" i="4"/>
  <c r="H4" i="4"/>
  <c r="I111" i="4"/>
  <c r="I126" i="4"/>
  <c r="H69" i="4"/>
  <c r="G30" i="4"/>
  <c r="E39" i="4"/>
  <c r="H82" i="4"/>
  <c r="E55" i="4"/>
  <c r="G108" i="4"/>
  <c r="H90" i="4"/>
  <c r="F6" i="4"/>
  <c r="G48" i="4"/>
  <c r="E84" i="4"/>
  <c r="F45" i="4"/>
  <c r="G85" i="4"/>
  <c r="E36" i="4"/>
  <c r="E67" i="4"/>
  <c r="I32" i="4"/>
  <c r="F118" i="4"/>
  <c r="I65" i="4"/>
  <c r="H70" i="4"/>
  <c r="E12" i="4"/>
  <c r="F14" i="4"/>
  <c r="G31" i="4"/>
  <c r="E8" i="4"/>
  <c r="H87" i="4"/>
  <c r="G4" i="4"/>
  <c r="F96" i="4"/>
  <c r="G39" i="4"/>
  <c r="G34" i="4"/>
  <c r="G16" i="4"/>
  <c r="F85" i="4"/>
  <c r="I67" i="4"/>
  <c r="G33" i="4"/>
  <c r="H8" i="4"/>
  <c r="E30" i="4"/>
  <c r="I90" i="4"/>
  <c r="G84" i="4"/>
  <c r="E85" i="4"/>
  <c r="H10" i="4"/>
  <c r="I72" i="4"/>
  <c r="E35" i="4"/>
  <c r="I92" i="4"/>
  <c r="G69" i="4"/>
  <c r="H47" i="4"/>
  <c r="H108" i="4"/>
  <c r="G62" i="4"/>
  <c r="I46" i="4"/>
  <c r="H32" i="4"/>
  <c r="E33" i="4"/>
  <c r="H100" i="4"/>
  <c r="F109" i="4"/>
  <c r="H120" i="4"/>
  <c r="F35" i="4"/>
  <c r="E112" i="4"/>
  <c r="G21" i="4"/>
  <c r="H73" i="4"/>
  <c r="E46" i="4"/>
  <c r="G65" i="4"/>
  <c r="E27" i="4"/>
  <c r="H15" i="4"/>
  <c r="G120" i="4"/>
  <c r="I12" i="4"/>
  <c r="G53" i="4"/>
  <c r="I14" i="4"/>
  <c r="F20" i="4"/>
  <c r="I59" i="4"/>
  <c r="F67" i="4"/>
  <c r="E65" i="4"/>
  <c r="H97" i="4"/>
  <c r="I15" i="4"/>
  <c r="E120" i="4"/>
  <c r="F12" i="4"/>
  <c r="E53" i="4"/>
  <c r="F31" i="4"/>
  <c r="F8" i="4"/>
  <c r="H25" i="4"/>
  <c r="I21" i="4"/>
  <c r="E88" i="4"/>
  <c r="F84" i="4"/>
  <c r="H106" i="4"/>
  <c r="G97" i="4"/>
  <c r="F15" i="4"/>
  <c r="F120" i="4"/>
  <c r="H12" i="4"/>
  <c r="I93" i="4"/>
  <c r="I22" i="4"/>
  <c r="H35" i="4"/>
  <c r="E31" i="4"/>
  <c r="I20" i="4"/>
  <c r="G112" i="4"/>
  <c r="I25" i="4"/>
  <c r="H21" i="4"/>
  <c r="G87" i="4"/>
  <c r="H92" i="4"/>
  <c r="E115" i="4"/>
  <c r="H91" i="4"/>
  <c r="G88" i="4"/>
  <c r="H96" i="4"/>
  <c r="I69" i="4"/>
  <c r="H7" i="4"/>
  <c r="F47" i="4"/>
  <c r="H43" i="4"/>
  <c r="H41" i="4"/>
  <c r="F108" i="4"/>
  <c r="H42" i="4"/>
  <c r="I66" i="4"/>
  <c r="E62" i="4"/>
  <c r="I16" i="4"/>
  <c r="H84" i="4"/>
  <c r="G37" i="4"/>
  <c r="G24" i="4"/>
  <c r="F49" i="4"/>
  <c r="E106" i="4"/>
  <c r="F97" i="4"/>
  <c r="E15" i="4"/>
  <c r="H2" i="4"/>
  <c r="E5" i="4"/>
  <c r="F93" i="4"/>
  <c r="E22" i="4"/>
  <c r="G35" i="4"/>
  <c r="E89" i="4"/>
  <c r="F119" i="4"/>
  <c r="F112" i="4"/>
  <c r="F25" i="4"/>
  <c r="E21" i="4"/>
  <c r="E51" i="4"/>
  <c r="G122" i="4"/>
  <c r="F115" i="4"/>
  <c r="I91" i="4"/>
  <c r="I88" i="4"/>
  <c r="H57" i="4"/>
  <c r="I125" i="4"/>
  <c r="I7" i="4"/>
  <c r="E47" i="4"/>
  <c r="G43" i="4"/>
  <c r="I26" i="4"/>
  <c r="F18" i="4"/>
  <c r="I42" i="4"/>
  <c r="E66" i="4"/>
  <c r="I62" i="4"/>
  <c r="I98" i="4"/>
  <c r="H13" i="4"/>
  <c r="H37" i="4"/>
  <c r="G46" i="4"/>
  <c r="I100" i="4"/>
  <c r="G76" i="4"/>
  <c r="H95" i="4"/>
  <c r="I24" i="4"/>
  <c r="E113" i="4"/>
  <c r="I109" i="4"/>
  <c r="D14" i="6"/>
  <c r="P33" i="26"/>
  <c r="P48" i="26"/>
  <c r="I49" i="4"/>
  <c r="G106" i="4"/>
  <c r="E97" i="4"/>
  <c r="H52" i="4"/>
  <c r="F2" i="4"/>
  <c r="H5" i="4"/>
  <c r="H93" i="4"/>
  <c r="G22" i="4"/>
  <c r="F61" i="4"/>
  <c r="G89" i="4"/>
  <c r="E119" i="4"/>
  <c r="H112" i="4"/>
  <c r="E25" i="4"/>
  <c r="H54" i="4"/>
  <c r="H51" i="4"/>
  <c r="I122" i="4"/>
  <c r="I115" i="4"/>
  <c r="G91" i="4"/>
  <c r="E124" i="4"/>
  <c r="F57" i="4"/>
  <c r="H125" i="4"/>
  <c r="F7" i="4"/>
  <c r="G47" i="4"/>
  <c r="G117" i="4"/>
  <c r="G26" i="4"/>
  <c r="E18" i="4"/>
  <c r="F42" i="4"/>
  <c r="H66" i="4"/>
  <c r="H110" i="4"/>
  <c r="G98" i="4"/>
  <c r="I13" i="4"/>
  <c r="F37" i="4"/>
  <c r="F46" i="4"/>
  <c r="H23" i="4"/>
  <c r="I76" i="4"/>
  <c r="F95" i="4"/>
  <c r="H24" i="4"/>
  <c r="G113" i="4"/>
  <c r="E79" i="4"/>
  <c r="P29" i="26"/>
  <c r="P14" i="26"/>
  <c r="D30" i="6"/>
  <c r="P23" i="26"/>
  <c r="D15" i="6"/>
  <c r="P47" i="26"/>
  <c r="G49" i="4"/>
  <c r="F106" i="4"/>
  <c r="H107" i="4"/>
  <c r="E52" i="4"/>
  <c r="G2" i="4"/>
  <c r="G5" i="4"/>
  <c r="E93" i="4"/>
  <c r="G94" i="4"/>
  <c r="H61" i="4"/>
  <c r="I89" i="4"/>
  <c r="I119" i="4"/>
  <c r="I112" i="4"/>
  <c r="I19" i="4"/>
  <c r="I54" i="4"/>
  <c r="G51" i="4"/>
  <c r="H122" i="4"/>
  <c r="H115" i="4"/>
  <c r="I68" i="4"/>
  <c r="G124" i="4"/>
  <c r="G57" i="4"/>
  <c r="F125" i="4"/>
  <c r="E7" i="4"/>
  <c r="H40" i="4"/>
  <c r="H117" i="4"/>
  <c r="F26" i="4"/>
  <c r="I18" i="4"/>
  <c r="G42" i="4"/>
  <c r="I11" i="4"/>
  <c r="F110" i="4"/>
  <c r="F98" i="4"/>
  <c r="G13" i="4"/>
  <c r="E37" i="4"/>
  <c r="I104" i="4"/>
  <c r="I81" i="4"/>
  <c r="I5" i="4"/>
  <c r="I61" i="4"/>
  <c r="G56" i="4"/>
  <c r="I74" i="4"/>
  <c r="F68" i="4"/>
  <c r="G125" i="4"/>
  <c r="I82" i="4"/>
  <c r="I121" i="4"/>
  <c r="G110" i="4"/>
  <c r="F116" i="4"/>
  <c r="F23" i="4"/>
  <c r="G103" i="4"/>
  <c r="E109" i="4"/>
  <c r="P22" i="26"/>
  <c r="R50" i="26"/>
  <c r="G19" i="4"/>
  <c r="E117" i="4"/>
  <c r="H48" i="4"/>
  <c r="E10" i="4"/>
  <c r="F79" i="4"/>
  <c r="G70" i="4"/>
  <c r="E19" i="4"/>
  <c r="G7" i="4"/>
  <c r="E16" i="4"/>
  <c r="E80" i="4"/>
  <c r="F77" i="4"/>
  <c r="P30" i="26"/>
  <c r="F78" i="4"/>
  <c r="F33" i="4"/>
  <c r="I2" i="4"/>
  <c r="F64" i="4"/>
  <c r="F75" i="4"/>
  <c r="I47" i="4"/>
  <c r="E104" i="4"/>
  <c r="F28" i="4"/>
  <c r="E2" i="4"/>
  <c r="I64" i="4"/>
  <c r="E75" i="4"/>
  <c r="E60" i="4"/>
  <c r="E13" i="4"/>
  <c r="H28" i="4"/>
  <c r="H68" i="4"/>
  <c r="G18" i="4"/>
  <c r="I23" i="4"/>
  <c r="G81" i="4"/>
  <c r="E68" i="4"/>
  <c r="H62" i="4"/>
  <c r="H103" i="4"/>
  <c r="F107" i="4"/>
  <c r="I29" i="4"/>
  <c r="E61" i="4"/>
  <c r="I56" i="4"/>
  <c r="E74" i="4"/>
  <c r="G68" i="4"/>
  <c r="E86" i="4"/>
  <c r="F43" i="4"/>
  <c r="H121" i="4"/>
  <c r="E110" i="4"/>
  <c r="I37" i="4"/>
  <c r="E23" i="4"/>
  <c r="I103" i="4"/>
  <c r="H79" i="4"/>
  <c r="P38" i="26"/>
  <c r="P49" i="26"/>
  <c r="I107" i="4"/>
  <c r="E29" i="4"/>
  <c r="F56" i="4"/>
  <c r="F122" i="4"/>
  <c r="G111" i="4"/>
  <c r="H86" i="4"/>
  <c r="I117" i="4"/>
  <c r="E121" i="4"/>
  <c r="I110" i="4"/>
  <c r="I77" i="4"/>
  <c r="E9" i="4"/>
  <c r="F24" i="4"/>
  <c r="G79" i="4"/>
  <c r="P52" i="26"/>
  <c r="F63" i="4"/>
  <c r="F88" i="4"/>
  <c r="F117" i="4"/>
  <c r="F48" i="4"/>
  <c r="G9" i="4"/>
  <c r="I79" i="4"/>
  <c r="P34" i="26"/>
  <c r="G99" i="4"/>
  <c r="G86" i="4"/>
  <c r="F50" i="4"/>
  <c r="H77" i="4"/>
  <c r="H80" i="4"/>
  <c r="H89" i="4"/>
  <c r="H124" i="4"/>
  <c r="E50" i="4"/>
  <c r="F76" i="4"/>
  <c r="F80" i="4"/>
  <c r="E105" i="4"/>
  <c r="E49" i="4"/>
  <c r="F52" i="4"/>
  <c r="E101" i="4"/>
  <c r="H17" i="4"/>
  <c r="G123" i="4"/>
  <c r="E126" i="4"/>
  <c r="I41" i="4"/>
  <c r="E98" i="4"/>
  <c r="H46" i="4"/>
  <c r="G80" i="4"/>
  <c r="R37" i="26"/>
  <c r="H11" i="4"/>
  <c r="P43" i="26"/>
  <c r="F81" i="4"/>
  <c r="I94" i="4"/>
  <c r="E64" i="4"/>
  <c r="F91" i="4"/>
  <c r="H18" i="4"/>
  <c r="E100" i="4"/>
  <c r="P11" i="26"/>
  <c r="F103" i="4"/>
  <c r="E40" i="4"/>
  <c r="G23" i="4"/>
  <c r="E63" i="4"/>
  <c r="P28" i="26"/>
  <c r="G107" i="4"/>
  <c r="H19" i="4"/>
  <c r="E99" i="4"/>
  <c r="F86" i="4"/>
  <c r="E42" i="4"/>
  <c r="E77" i="4"/>
  <c r="E24" i="4"/>
  <c r="I101" i="4"/>
  <c r="F99" i="4"/>
  <c r="G55" i="4"/>
  <c r="G77" i="4"/>
  <c r="I105" i="4"/>
  <c r="H98" i="4"/>
  <c r="P35" i="26"/>
  <c r="G115" i="4"/>
  <c r="H50" i="4"/>
  <c r="H76" i="4"/>
  <c r="R44" i="26"/>
  <c r="E58" i="4"/>
  <c r="E94" i="4"/>
  <c r="F38" i="4"/>
  <c r="G60" i="4"/>
  <c r="E95" i="4"/>
  <c r="H94" i="4"/>
  <c r="I40" i="4"/>
  <c r="G36" i="4"/>
  <c r="R43" i="26"/>
  <c r="G114" i="4"/>
  <c r="H116" i="4"/>
  <c r="I28" i="4"/>
  <c r="G73" i="4"/>
  <c r="I114" i="4"/>
  <c r="E6" i="4"/>
  <c r="F29" i="4"/>
  <c r="H56" i="4"/>
  <c r="E56" i="4"/>
  <c r="E107" i="4"/>
  <c r="H29" i="4"/>
  <c r="F89" i="4"/>
  <c r="I124" i="4"/>
  <c r="P46" i="26"/>
  <c r="H81" i="4"/>
  <c r="G61" i="4"/>
  <c r="I52" i="4"/>
  <c r="G101" i="4"/>
  <c r="I17" i="4"/>
  <c r="F19" i="4"/>
  <c r="I99" i="4"/>
  <c r="F124" i="4"/>
  <c r="H78" i="4"/>
  <c r="I55" i="4"/>
  <c r="G50" i="4"/>
  <c r="E76" i="4"/>
  <c r="F44" i="4"/>
  <c r="G28" i="4"/>
  <c r="E125" i="4"/>
  <c r="G58" i="4"/>
  <c r="G52" i="4"/>
  <c r="H101" i="4"/>
  <c r="E17" i="4"/>
  <c r="G54" i="4"/>
  <c r="H75" i="4"/>
  <c r="H126" i="4"/>
  <c r="I78" i="4"/>
  <c r="H26" i="4"/>
  <c r="I50" i="4"/>
  <c r="G83" i="4"/>
  <c r="G104" i="4"/>
  <c r="F71" i="4"/>
  <c r="I80" i="4"/>
  <c r="R40" i="26"/>
  <c r="S40" i="26" s="1"/>
  <c r="P12" i="26"/>
  <c r="I58" i="4"/>
  <c r="F102" i="4"/>
  <c r="F101" i="4"/>
  <c r="G119" i="4"/>
  <c r="F54" i="4"/>
  <c r="G75" i="4"/>
  <c r="I96" i="4"/>
  <c r="G78" i="4"/>
  <c r="E26" i="4"/>
  <c r="F66" i="4"/>
  <c r="F83" i="4"/>
  <c r="F104" i="4"/>
  <c r="G71" i="4"/>
  <c r="H113" i="4"/>
  <c r="C27" i="6"/>
  <c r="P37" i="26"/>
  <c r="R35" i="26"/>
  <c r="R36" i="26"/>
  <c r="S36" i="26" s="1"/>
  <c r="F58" i="4"/>
  <c r="H102" i="4"/>
  <c r="F94" i="4"/>
  <c r="G64" i="4"/>
  <c r="E54" i="4"/>
  <c r="I75" i="4"/>
  <c r="E57" i="4"/>
  <c r="E78" i="4"/>
  <c r="H60" i="4"/>
  <c r="F11" i="4"/>
  <c r="H83" i="4"/>
  <c r="H104" i="4"/>
  <c r="I71" i="4"/>
  <c r="E28" i="4"/>
  <c r="P17" i="26"/>
  <c r="I57" i="4"/>
  <c r="F13" i="4"/>
  <c r="R45" i="26"/>
  <c r="S45" i="26" s="1"/>
  <c r="E81" i="4"/>
  <c r="E38" i="4"/>
  <c r="H114" i="4"/>
  <c r="E11" i="4"/>
  <c r="G95" i="4"/>
  <c r="P20" i="26"/>
  <c r="E44" i="4"/>
  <c r="F51" i="4"/>
  <c r="G40" i="4"/>
  <c r="G11" i="4"/>
  <c r="I95" i="4"/>
  <c r="J1" i="4" a="1"/>
  <c r="I51" i="4"/>
  <c r="F40" i="4"/>
  <c r="I116" i="4"/>
  <c r="R41" i="26"/>
  <c r="I44" i="4"/>
  <c r="G74" i="4"/>
  <c r="G121" i="4"/>
  <c r="E116" i="4"/>
  <c r="E118" i="4"/>
  <c r="R46" i="26"/>
  <c r="R42" i="26"/>
  <c r="R39" i="26"/>
  <c r="P42" i="26"/>
  <c r="Z9" i="26"/>
  <c r="R29" i="26"/>
  <c r="R48" i="26"/>
  <c r="P27" i="26"/>
  <c r="R33" i="26"/>
  <c r="P32" i="26"/>
  <c r="P41" i="26"/>
  <c r="R19" i="26"/>
  <c r="S19" i="26" s="1"/>
  <c r="R31" i="26"/>
  <c r="P16" i="26"/>
  <c r="P40" i="26"/>
  <c r="R49" i="26"/>
  <c r="P24" i="26"/>
  <c r="P36" i="26"/>
  <c r="S39" i="26"/>
  <c r="R47" i="26"/>
  <c r="P18" i="26"/>
  <c r="P39" i="26"/>
  <c r="P19" i="26"/>
  <c r="P15" i="26"/>
  <c r="P50" i="26"/>
  <c r="P21" i="26"/>
  <c r="R38" i="26"/>
  <c r="P51" i="26"/>
  <c r="P25" i="26"/>
  <c r="P45" i="26"/>
  <c r="R12" i="26"/>
  <c r="R51" i="26"/>
  <c r="P13" i="26"/>
  <c r="R52" i="26"/>
  <c r="P31" i="26"/>
  <c r="R34" i="26"/>
  <c r="P26" i="26"/>
  <c r="P44" i="26"/>
  <c r="R16" i="26"/>
  <c r="R23" i="26"/>
  <c r="R20" i="26"/>
  <c r="R24" i="26"/>
  <c r="Z11" i="26" a="1"/>
  <c r="R26" i="26"/>
  <c r="R11" i="26"/>
  <c r="R17" i="26"/>
  <c r="R28" i="26"/>
  <c r="R18" i="26"/>
  <c r="R13" i="26"/>
  <c r="S13" i="26" s="1"/>
  <c r="R25" i="26"/>
  <c r="R30" i="26"/>
  <c r="S30" i="26" s="1"/>
  <c r="R27" i="26"/>
  <c r="S27" i="26" s="1"/>
  <c r="R32" i="26"/>
  <c r="R15" i="26"/>
  <c r="R21" i="26"/>
  <c r="R22" i="26"/>
  <c r="R14" i="26"/>
  <c r="Z3200" i="26" l="1"/>
  <c r="Z483" i="26"/>
  <c r="Z2071" i="26"/>
  <c r="Z974" i="26"/>
  <c r="Z1672" i="26"/>
  <c r="Z237" i="26"/>
  <c r="Z2557" i="26"/>
  <c r="Z224" i="26"/>
  <c r="Z3347" i="26"/>
  <c r="Z2672" i="26"/>
  <c r="Z3228" i="26"/>
  <c r="Z2953" i="26"/>
  <c r="Z710" i="26"/>
  <c r="Z1752" i="26"/>
  <c r="Z1091" i="26"/>
  <c r="Z271" i="26"/>
  <c r="Z3456" i="26"/>
  <c r="Z3072" i="26"/>
  <c r="Z2674" i="26"/>
  <c r="Z3078" i="26"/>
  <c r="Z1549" i="26"/>
  <c r="Z871" i="26"/>
  <c r="Z754" i="26"/>
  <c r="Z364" i="26"/>
  <c r="Z2588" i="26"/>
  <c r="Z2899" i="26"/>
  <c r="Z2546" i="26"/>
  <c r="Z499" i="26"/>
  <c r="Z3424" i="26"/>
  <c r="Z609" i="26"/>
  <c r="Z1849" i="26"/>
  <c r="Z1937" i="26"/>
  <c r="Z508" i="26"/>
  <c r="Z1188" i="26"/>
  <c r="Z3262" i="26"/>
  <c r="Z3319" i="26"/>
  <c r="Z3460" i="26"/>
  <c r="Z2805" i="26"/>
  <c r="Z2572" i="26"/>
  <c r="Z1274" i="26"/>
  <c r="Z2086" i="26"/>
  <c r="Z2009" i="26"/>
  <c r="Z3475" i="26"/>
  <c r="Z2462" i="26"/>
  <c r="Z2512" i="26"/>
  <c r="Z2793" i="26"/>
  <c r="Z1325" i="26"/>
  <c r="Z1227" i="26"/>
  <c r="Z3100" i="26"/>
  <c r="Z3461" i="26"/>
  <c r="Z1960" i="26"/>
  <c r="Z77" i="26"/>
  <c r="Z2262" i="26"/>
  <c r="Z547" i="26"/>
  <c r="Z409" i="26"/>
  <c r="Z3393" i="26"/>
  <c r="Z3431" i="26"/>
  <c r="Z2968" i="26"/>
  <c r="Z3023" i="26"/>
  <c r="Z3166" i="26"/>
  <c r="Z1832" i="26"/>
  <c r="Z482" i="26"/>
  <c r="Z2226" i="26"/>
  <c r="Z3244" i="26"/>
  <c r="Z2558" i="26"/>
  <c r="Z2079" i="26"/>
  <c r="Z231" i="26"/>
  <c r="Z2746" i="26"/>
  <c r="Z1751" i="26"/>
  <c r="Z1582" i="26"/>
  <c r="Z992" i="26"/>
  <c r="Z1257" i="26"/>
  <c r="Z3150" i="26"/>
  <c r="Z3183" i="26"/>
  <c r="Z33" i="26"/>
  <c r="Z2232" i="26"/>
  <c r="Z2528" i="26"/>
  <c r="Z2072" i="26"/>
  <c r="Z3018" i="26"/>
  <c r="Z3003" i="26"/>
  <c r="Z1008" i="26"/>
  <c r="Z2408" i="26"/>
  <c r="Z1575" i="26"/>
  <c r="Z1408" i="26"/>
  <c r="Z2700" i="26"/>
  <c r="Z2431" i="26"/>
  <c r="Z3473" i="26"/>
  <c r="Z3253" i="26"/>
  <c r="Z2295" i="26"/>
  <c r="Z532" i="26"/>
  <c r="Z2407" i="26"/>
  <c r="Z2479" i="26"/>
  <c r="Z3375" i="26"/>
  <c r="Z987" i="26"/>
  <c r="Z1756" i="26"/>
  <c r="Z1585" i="26"/>
  <c r="Z1516" i="26"/>
  <c r="Z341" i="26"/>
  <c r="Z3372" i="26"/>
  <c r="Z393" i="26"/>
  <c r="Z495" i="26"/>
  <c r="Z486" i="26"/>
  <c r="Z2581" i="26"/>
  <c r="Z1106" i="26"/>
  <c r="Z3225" i="26"/>
  <c r="Z2726" i="26"/>
  <c r="Z3441" i="26"/>
  <c r="Z3278" i="26"/>
  <c r="Z3038" i="26"/>
  <c r="Z1583" i="26"/>
  <c r="Z398" i="26"/>
  <c r="Z1622" i="26"/>
  <c r="Z2495" i="26"/>
  <c r="Z2932" i="26"/>
  <c r="Z1025" i="26"/>
  <c r="Z2506" i="26"/>
  <c r="Z1095" i="26"/>
  <c r="Z1570" i="26"/>
  <c r="Z2532" i="26"/>
  <c r="Z2397" i="26"/>
  <c r="Z2617" i="26"/>
  <c r="Z1933" i="26"/>
  <c r="Z1894" i="26"/>
  <c r="Z867" i="26"/>
  <c r="Z2396" i="26"/>
  <c r="Z506" i="26"/>
  <c r="Z2055" i="26"/>
  <c r="Z1441" i="26"/>
  <c r="Z3131" i="26"/>
  <c r="Z2795" i="26"/>
  <c r="Z1761" i="26"/>
  <c r="Z3031" i="26"/>
  <c r="Z3314" i="26"/>
  <c r="Z3014" i="26"/>
  <c r="Z1272" i="26"/>
  <c r="Z629" i="26"/>
  <c r="Z1945" i="26"/>
  <c r="Z1521" i="26"/>
  <c r="Z2182" i="26"/>
  <c r="Z3488" i="26"/>
  <c r="Z1592" i="26"/>
  <c r="Z1167" i="26"/>
  <c r="Z239" i="26"/>
  <c r="Z184" i="26"/>
  <c r="Z1464" i="26"/>
  <c r="Z1834" i="26"/>
  <c r="Z3143" i="26"/>
  <c r="Z662" i="26"/>
  <c r="Z3398" i="26"/>
  <c r="Z2251" i="26"/>
  <c r="Z2707" i="26"/>
  <c r="Z835" i="26"/>
  <c r="Z2848" i="26"/>
  <c r="Z1241" i="26"/>
  <c r="Z2369" i="26"/>
  <c r="Z106" i="26"/>
  <c r="Z2878" i="26"/>
  <c r="Z3218" i="26"/>
  <c r="Z1160" i="26"/>
  <c r="Z605" i="26"/>
  <c r="Z2977" i="26"/>
  <c r="Z3334" i="26"/>
  <c r="Z1782" i="26"/>
  <c r="Z1175" i="26"/>
  <c r="Z713" i="26"/>
  <c r="Z1301" i="26"/>
  <c r="Z833" i="26"/>
  <c r="Z2335" i="26"/>
  <c r="Z2524" i="26"/>
  <c r="Z2354" i="26"/>
  <c r="Z255" i="26"/>
  <c r="Z2063" i="26"/>
  <c r="Z285" i="26"/>
  <c r="Z2070" i="26"/>
  <c r="Z3111" i="26"/>
  <c r="Z360" i="26"/>
  <c r="Z449" i="26"/>
  <c r="Z2469" i="26"/>
  <c r="Z69" i="26"/>
  <c r="Z1088" i="26"/>
  <c r="Z1647" i="26"/>
  <c r="Z524" i="26"/>
  <c r="Z780" i="26"/>
  <c r="Z3000" i="26"/>
  <c r="Z1085" i="26"/>
  <c r="Z893" i="26"/>
  <c r="Z2450" i="26"/>
  <c r="Z403" i="26"/>
  <c r="Z1787" i="26"/>
  <c r="Z2942" i="26"/>
  <c r="Z185" i="26"/>
  <c r="Z619" i="26"/>
  <c r="Z1881" i="26"/>
  <c r="Z3388" i="26"/>
  <c r="Z1407" i="26"/>
  <c r="Z268" i="26"/>
  <c r="Z1420" i="26"/>
  <c r="Z1501" i="26"/>
  <c r="Z1837" i="26"/>
  <c r="Z2756" i="26"/>
  <c r="Z2022" i="26"/>
  <c r="Z1915" i="26"/>
  <c r="Z546" i="26"/>
  <c r="Z1603" i="26"/>
  <c r="Z1539" i="26"/>
  <c r="Z2999" i="26"/>
  <c r="Z3074" i="26"/>
  <c r="Z1310" i="26"/>
  <c r="Z821" i="26"/>
  <c r="Z2362" i="26"/>
  <c r="Z1395" i="26"/>
  <c r="Z804" i="26"/>
  <c r="Z1997" i="26"/>
  <c r="Z1862" i="26"/>
  <c r="Z1299" i="26"/>
  <c r="Z3059" i="26"/>
  <c r="Z2503" i="26"/>
  <c r="Z3046" i="26"/>
  <c r="Z1252" i="26"/>
  <c r="Z1246" i="26"/>
  <c r="Z2867" i="26"/>
  <c r="Z2033" i="26"/>
  <c r="Z2146" i="26"/>
  <c r="Z2049" i="26"/>
  <c r="Z2467" i="26"/>
  <c r="Z2673" i="26"/>
  <c r="Z1423" i="26"/>
  <c r="Z498" i="26"/>
  <c r="Z573" i="26"/>
  <c r="Z2448" i="26"/>
  <c r="Z1865" i="26"/>
  <c r="Z1334" i="26"/>
  <c r="Z1762" i="26"/>
  <c r="Z1103" i="26"/>
  <c r="Z1701" i="26"/>
  <c r="Z2311" i="26"/>
  <c r="Z1653" i="26"/>
  <c r="Z2433" i="26"/>
  <c r="Z3416" i="26"/>
  <c r="Z1602" i="26"/>
  <c r="Z1155" i="26"/>
  <c r="Z1836" i="26"/>
  <c r="Z2151" i="26"/>
  <c r="Z2152" i="26"/>
  <c r="Z2153" i="26"/>
  <c r="Z886" i="26"/>
  <c r="Z332" i="26"/>
  <c r="Z3213" i="26"/>
  <c r="Z3124" i="26"/>
  <c r="Z1484" i="26"/>
  <c r="Z22" i="26"/>
  <c r="Z3144" i="26"/>
  <c r="Z1432" i="26"/>
  <c r="Z2754" i="26"/>
  <c r="Z83" i="26"/>
  <c r="Z490" i="26"/>
  <c r="Z1451" i="26"/>
  <c r="Z2701" i="26"/>
  <c r="Z2744" i="26"/>
  <c r="Z1247" i="26"/>
  <c r="Z2841" i="26"/>
  <c r="Z3032" i="26"/>
  <c r="Z2023" i="26"/>
  <c r="Z2502" i="26"/>
  <c r="Z3096" i="26"/>
  <c r="Z2960" i="26"/>
  <c r="Z331" i="26"/>
  <c r="Z1635" i="26"/>
  <c r="Z2768" i="26"/>
  <c r="Z2895" i="26"/>
  <c r="Z3185" i="26"/>
  <c r="Z3293" i="26"/>
  <c r="Z2629" i="26"/>
  <c r="Z1614" i="26"/>
  <c r="Z2906" i="26"/>
  <c r="Z2728" i="26"/>
  <c r="Z1889" i="26"/>
  <c r="Z1116" i="26"/>
  <c r="Z2416" i="26"/>
  <c r="Z2156" i="26"/>
  <c r="Z741" i="26"/>
  <c r="Z244" i="26"/>
  <c r="Z3255" i="26"/>
  <c r="Z3190" i="26"/>
  <c r="Z748" i="26"/>
  <c r="Z1854" i="26"/>
  <c r="Z200" i="26"/>
  <c r="Z585" i="26"/>
  <c r="Z3122" i="26"/>
  <c r="Z2078" i="26"/>
  <c r="Z3205" i="26"/>
  <c r="Z197" i="26"/>
  <c r="Z2097" i="26"/>
  <c r="Z2282" i="26"/>
  <c r="Z772" i="26"/>
  <c r="Z3371" i="26"/>
  <c r="Z1512" i="26"/>
  <c r="Z3496" i="26"/>
  <c r="Z2837" i="26"/>
  <c r="Z2892" i="26"/>
  <c r="Z429" i="26"/>
  <c r="Z2574" i="26"/>
  <c r="Z2135" i="26"/>
  <c r="Z3198" i="26"/>
  <c r="Z3497" i="26"/>
  <c r="Z1363" i="26"/>
  <c r="Z226" i="26"/>
  <c r="Z375" i="26"/>
  <c r="Z2394" i="26"/>
  <c r="Z850" i="26"/>
  <c r="Z2120" i="26"/>
  <c r="Z2655" i="26"/>
  <c r="Z997" i="26"/>
  <c r="Z1993" i="26"/>
  <c r="Z2862" i="26"/>
  <c r="Z3307" i="26"/>
  <c r="Z1563" i="26"/>
  <c r="Z142" i="26"/>
  <c r="Z2721" i="26"/>
  <c r="Z1545" i="26"/>
  <c r="Z3432" i="26"/>
  <c r="Z3110" i="26"/>
  <c r="Z1390" i="26"/>
  <c r="Z2991" i="26"/>
  <c r="Z3345" i="26"/>
  <c r="Z712" i="26"/>
  <c r="Z3302" i="26"/>
  <c r="Z782" i="26"/>
  <c r="Z126" i="26"/>
  <c r="Z3385" i="26"/>
  <c r="Z1120" i="26"/>
  <c r="Z423" i="26"/>
  <c r="Z550" i="26"/>
  <c r="Z317" i="26"/>
  <c r="Z1324" i="26"/>
  <c r="Z798" i="26"/>
  <c r="Z2627" i="26"/>
  <c r="Z3466" i="26"/>
  <c r="Z1591" i="26"/>
  <c r="Z1058" i="26"/>
  <c r="Z1912" i="26"/>
  <c r="Z702" i="26"/>
  <c r="Z1214" i="26"/>
  <c r="Z507" i="26"/>
  <c r="Z1900" i="26"/>
  <c r="Z374" i="26"/>
  <c r="Z1682" i="26"/>
  <c r="Z933" i="26"/>
  <c r="Z2829" i="26"/>
  <c r="Z399" i="26"/>
  <c r="Z222" i="26"/>
  <c r="Z2210" i="26"/>
  <c r="Z1478" i="26"/>
  <c r="Z978" i="26"/>
  <c r="Z2390" i="26"/>
  <c r="Z3020" i="26"/>
  <c r="Z2990" i="26"/>
  <c r="Z1633" i="26"/>
  <c r="Z140" i="26"/>
  <c r="Z729" i="26"/>
  <c r="Z1183" i="26"/>
  <c r="Z2254" i="26"/>
  <c r="Z2253" i="26"/>
  <c r="Z2957" i="26"/>
  <c r="Z2633" i="26"/>
  <c r="Z2455" i="26"/>
  <c r="Z2879" i="26"/>
  <c r="Z2419" i="26"/>
  <c r="Z1930" i="26"/>
  <c r="Z2363" i="26"/>
  <c r="Z2497" i="26"/>
  <c r="Z368" i="26"/>
  <c r="Z3335" i="26"/>
  <c r="Z2824" i="26"/>
  <c r="Z635" i="26"/>
  <c r="Z442" i="26"/>
  <c r="Z1850" i="26"/>
  <c r="Z726" i="26"/>
  <c r="Z65" i="26"/>
  <c r="Z3394" i="26"/>
  <c r="Z618" i="26"/>
  <c r="Z2719" i="26"/>
  <c r="Z2884" i="26"/>
  <c r="Z2727" i="26"/>
  <c r="Z1012" i="26"/>
  <c r="Z2389" i="26"/>
  <c r="Z1319" i="26"/>
  <c r="Z1841" i="26"/>
  <c r="Z1693" i="26"/>
  <c r="Z103" i="26"/>
  <c r="Z3245" i="26"/>
  <c r="Z641" i="26"/>
  <c r="Z1056" i="26"/>
  <c r="Z2612" i="26"/>
  <c r="Z3133" i="26"/>
  <c r="Z896" i="26"/>
  <c r="Z2113" i="26"/>
  <c r="Z3060" i="26"/>
  <c r="Z1096" i="26"/>
  <c r="Z86" i="26"/>
  <c r="Z1857" i="26"/>
  <c r="Z937" i="26"/>
  <c r="Z3180" i="26"/>
  <c r="Z3156" i="26"/>
  <c r="Z686" i="26"/>
  <c r="Z2204" i="26"/>
  <c r="Z1380" i="26"/>
  <c r="Z2757" i="26"/>
  <c r="Z1454" i="26"/>
  <c r="Z1087" i="26"/>
  <c r="Z656" i="26"/>
  <c r="Z2857" i="26"/>
  <c r="Z3427" i="26"/>
  <c r="Z2540" i="26"/>
  <c r="Z1895" i="26"/>
  <c r="Z3016" i="26"/>
  <c r="Z604" i="26"/>
  <c r="Z1679" i="26"/>
  <c r="Z714" i="26"/>
  <c r="Z620" i="26"/>
  <c r="Z1758" i="26"/>
  <c r="Z292" i="26"/>
  <c r="Z1289" i="26"/>
  <c r="Z157" i="26"/>
  <c r="Z1060" i="26"/>
  <c r="Z2398" i="26"/>
  <c r="Z2770" i="26"/>
  <c r="Z293" i="26"/>
  <c r="Z2543" i="26"/>
  <c r="Z1940" i="26"/>
  <c r="Z2283" i="26"/>
  <c r="Z2195" i="26"/>
  <c r="Z2287" i="26"/>
  <c r="Z3252" i="26"/>
  <c r="Z1440" i="26"/>
  <c r="Z2327" i="26"/>
  <c r="Z3358" i="26"/>
  <c r="Z2102" i="26"/>
  <c r="Z2043" i="26"/>
  <c r="Z378" i="26"/>
  <c r="Z3519" i="26"/>
  <c r="Z1899" i="26"/>
  <c r="Z1643" i="26"/>
  <c r="Z730" i="26"/>
  <c r="Z2815" i="26"/>
  <c r="Z695" i="26"/>
  <c r="Z1651" i="26"/>
  <c r="Z1043" i="26"/>
  <c r="Z454" i="26"/>
  <c r="Z783" i="26"/>
  <c r="Z504" i="26"/>
  <c r="Z165" i="26"/>
  <c r="Z755" i="26"/>
  <c r="Z2887" i="26"/>
  <c r="Z3415" i="26"/>
  <c r="Z480" i="26"/>
  <c r="Z999" i="26"/>
  <c r="Z2529" i="26"/>
  <c r="Z347" i="26"/>
  <c r="Z1914" i="26"/>
  <c r="Z613" i="26"/>
  <c r="Z3171" i="26"/>
  <c r="Z1078" i="26"/>
  <c r="Z3283" i="26"/>
  <c r="Z3337" i="26"/>
  <c r="Z962" i="26"/>
  <c r="Z2851" i="26"/>
  <c r="Z3113" i="26"/>
  <c r="Z2594" i="26"/>
  <c r="Z2212" i="26"/>
  <c r="Z329" i="26"/>
  <c r="Z214" i="26"/>
  <c r="Z502" i="26"/>
  <c r="Z512" i="26"/>
  <c r="Z2144" i="26"/>
  <c r="Z1811" i="26"/>
  <c r="Z3045" i="26"/>
  <c r="Z666" i="26"/>
  <c r="Z842" i="26"/>
  <c r="Z2445" i="26"/>
  <c r="Z1171" i="26"/>
  <c r="Z2597" i="26"/>
  <c r="Z2955" i="26"/>
  <c r="Z2273" i="26"/>
  <c r="Z1458" i="26"/>
  <c r="Z1999" i="26"/>
  <c r="Z1536" i="26"/>
  <c r="Z1705" i="26"/>
  <c r="Z1664" i="26"/>
  <c r="Z2634" i="26"/>
  <c r="Z988" i="26"/>
  <c r="Z2388" i="26"/>
  <c r="Z189" i="26"/>
  <c r="Z213" i="26"/>
  <c r="Z3531" i="26"/>
  <c r="Z1827" i="26"/>
  <c r="Z2989" i="26"/>
  <c r="Z1802" i="26"/>
  <c r="Z1145" i="26"/>
  <c r="Z2237" i="26"/>
  <c r="Z2950" i="26"/>
  <c r="Z3021" i="26"/>
  <c r="Z1271" i="26"/>
  <c r="Z2619" i="26"/>
  <c r="Z2118" i="26"/>
  <c r="Z288" i="26"/>
  <c r="Z1804" i="26"/>
  <c r="Z2620" i="26"/>
  <c r="Z1332" i="26"/>
  <c r="Z2725" i="26"/>
  <c r="Z1792" i="26"/>
  <c r="Z362" i="26"/>
  <c r="Z2140" i="26"/>
  <c r="Z2114" i="26"/>
  <c r="Z3384" i="26"/>
  <c r="Z1427" i="26"/>
  <c r="Z2116" i="26"/>
  <c r="Z1985" i="26"/>
  <c r="Z51" i="26"/>
  <c r="Z1540" i="26"/>
  <c r="Z2404" i="26"/>
  <c r="Z2428" i="26"/>
  <c r="Z85" i="26"/>
  <c r="Z525" i="26"/>
  <c r="Z861" i="26"/>
  <c r="Z254" i="26"/>
  <c r="Z553" i="26"/>
  <c r="Z1830" i="26"/>
  <c r="Z2916" i="26"/>
  <c r="Z64" i="26"/>
  <c r="Z2792" i="26"/>
  <c r="Z1996" i="26"/>
  <c r="Z1212" i="26"/>
  <c r="Z3454" i="26"/>
  <c r="Z3389" i="26"/>
  <c r="Z1281" i="26"/>
  <c r="Z1062" i="26"/>
  <c r="Z2622" i="26"/>
  <c r="Z1038" i="26"/>
  <c r="Z2258" i="26"/>
  <c r="Z382" i="26"/>
  <c r="Z3237" i="26"/>
  <c r="Z521" i="26"/>
  <c r="Z225" i="26"/>
  <c r="Z1508" i="26"/>
  <c r="Z3135" i="26"/>
  <c r="Z2223" i="26"/>
  <c r="Z2900" i="26"/>
  <c r="Z2865" i="26"/>
  <c r="Z2939" i="26"/>
  <c r="Z3088" i="26"/>
  <c r="Z3435" i="26"/>
  <c r="Z926" i="26"/>
  <c r="Z634" i="26"/>
  <c r="Z2656" i="26"/>
  <c r="Z793" i="26"/>
  <c r="Z957" i="26"/>
  <c r="Z2830" i="26"/>
  <c r="Z1405" i="26"/>
  <c r="Z3333" i="26"/>
  <c r="Z1806" i="26"/>
  <c r="Z101" i="26"/>
  <c r="Z2473" i="26"/>
  <c r="Z1573" i="26"/>
  <c r="Z1391" i="26"/>
  <c r="Z1481" i="26"/>
  <c r="Z737" i="26"/>
  <c r="Z223" i="26"/>
  <c r="Z290" i="26"/>
  <c r="Z1069" i="26"/>
  <c r="Z705" i="26"/>
  <c r="Z2014" i="26"/>
  <c r="Z2772" i="26"/>
  <c r="Z1206" i="26"/>
  <c r="Z267" i="26"/>
  <c r="Z2985" i="26"/>
  <c r="Z1287" i="26"/>
  <c r="Z2067" i="26"/>
  <c r="Z227" i="26"/>
  <c r="Z844" i="26"/>
  <c r="Z1273" i="26"/>
  <c r="Z518" i="26"/>
  <c r="Z1624" i="26"/>
  <c r="Z2767" i="26"/>
  <c r="Z3329" i="26"/>
  <c r="Z3429" i="26"/>
  <c r="Z925" i="26"/>
  <c r="Z940" i="26"/>
  <c r="Z979" i="26"/>
  <c r="Z3215" i="26"/>
  <c r="Z46" i="26"/>
  <c r="Z1235" i="26"/>
  <c r="Z385" i="26"/>
  <c r="Z3486" i="26"/>
  <c r="Z879" i="26"/>
  <c r="Z1604" i="26"/>
  <c r="Z2663" i="26"/>
  <c r="Z3439" i="26"/>
  <c r="Z1839" i="26"/>
  <c r="Z312" i="26"/>
  <c r="Z3226" i="26"/>
  <c r="Z2032" i="26"/>
  <c r="Z789" i="26"/>
  <c r="Z428" i="26"/>
  <c r="Z2333" i="26"/>
  <c r="Z2463" i="26"/>
  <c r="Z615" i="26"/>
  <c r="Z2876" i="26"/>
  <c r="Z2843" i="26"/>
  <c r="Z941" i="26"/>
  <c r="Z2222" i="26"/>
  <c r="Z2066" i="26"/>
  <c r="Z1513" i="26"/>
  <c r="Z2476" i="26"/>
  <c r="Z2886" i="26"/>
  <c r="Z1472" i="26"/>
  <c r="Z246" i="26"/>
  <c r="Z3289" i="26"/>
  <c r="Z116" i="26"/>
  <c r="Z2004" i="26"/>
  <c r="Z1026" i="26"/>
  <c r="Z2267" i="26"/>
  <c r="Z781" i="26"/>
  <c r="Z3139" i="26"/>
  <c r="Z2954" i="26"/>
  <c r="Z124" i="26"/>
  <c r="Z3128" i="26"/>
  <c r="Z522" i="26"/>
  <c r="Z23" i="26"/>
  <c r="Z2980" i="26"/>
  <c r="Z2028" i="26"/>
  <c r="Z1657" i="26"/>
  <c r="Z387" i="26"/>
  <c r="Z1178" i="26"/>
  <c r="Z1487" i="26"/>
  <c r="Z2112" i="26"/>
  <c r="Z1000" i="26"/>
  <c r="Z1030" i="26"/>
  <c r="Z2343" i="26"/>
  <c r="Z363" i="26"/>
  <c r="Z2062" i="26"/>
  <c r="Z2100" i="26"/>
  <c r="Z2729" i="26"/>
  <c r="Z2961" i="26"/>
  <c r="Z1724" i="26"/>
  <c r="Z3004" i="26"/>
  <c r="Z2762" i="26"/>
  <c r="Z2301" i="26"/>
  <c r="Z1506" i="26"/>
  <c r="Z381" i="26"/>
  <c r="Z3165" i="26"/>
  <c r="Z1068" i="26"/>
  <c r="Z435" i="26"/>
  <c r="Z751" i="26"/>
  <c r="Z2165" i="26"/>
  <c r="Z2179" i="26"/>
  <c r="Z1593" i="26"/>
  <c r="Z451" i="26"/>
  <c r="Z2480" i="26"/>
  <c r="Z2569" i="26"/>
  <c r="Z250" i="26"/>
  <c r="Z2639" i="26"/>
  <c r="Z1245" i="26"/>
  <c r="Z2570" i="26"/>
  <c r="Z2930" i="26"/>
  <c r="Z995" i="26"/>
  <c r="Z3207" i="26"/>
  <c r="Z2835" i="26"/>
  <c r="Z3109" i="26"/>
  <c r="Z1172" i="26"/>
  <c r="Z1887" i="26"/>
  <c r="Z2807" i="26"/>
  <c r="Z2510" i="26"/>
  <c r="Z2798" i="26"/>
  <c r="Z248" i="26"/>
  <c r="Z1348" i="26"/>
  <c r="Z1749" i="26"/>
  <c r="Z1268" i="26"/>
  <c r="Z425" i="26"/>
  <c r="Z2600" i="26"/>
  <c r="Z2142" i="26"/>
  <c r="Z2905" i="26"/>
  <c r="Z1763" i="26"/>
  <c r="Z3336" i="26"/>
  <c r="Z127" i="26"/>
  <c r="Z1037" i="26"/>
  <c r="Z3006" i="26"/>
  <c r="Z1818" i="26"/>
  <c r="Z2940" i="26"/>
  <c r="Z2520" i="26"/>
  <c r="Z1364" i="26"/>
  <c r="Z1620" i="26"/>
  <c r="Z1608" i="26"/>
  <c r="Z1018" i="26"/>
  <c r="Z1210" i="26"/>
  <c r="Z1947" i="26"/>
  <c r="Z1266" i="26"/>
  <c r="Z3478" i="26"/>
  <c r="Z3033" i="26"/>
  <c r="Z975" i="26"/>
  <c r="Z3417" i="26"/>
  <c r="Z371" i="26"/>
  <c r="Z3387" i="26"/>
  <c r="Z565" i="26"/>
  <c r="Z2449" i="26"/>
  <c r="Z2126" i="26"/>
  <c r="Z3428" i="26"/>
  <c r="Z825" i="26"/>
  <c r="Z2359" i="26"/>
  <c r="Z2217" i="26"/>
  <c r="Z2580" i="26"/>
  <c r="Z644" i="26"/>
  <c r="Z2970" i="26"/>
  <c r="Z2031" i="26"/>
  <c r="Z2178" i="26"/>
  <c r="Z2330" i="26"/>
  <c r="Z2331" i="26"/>
  <c r="Z194" i="26"/>
  <c r="Z2336" i="26"/>
  <c r="Z1250" i="26"/>
  <c r="Z3172" i="26"/>
  <c r="Z307" i="26"/>
  <c r="Z2492" i="26"/>
  <c r="Z2035" i="26"/>
  <c r="Z2802" i="26"/>
  <c r="Z2975" i="26"/>
  <c r="Z1871" i="26"/>
  <c r="Z3299" i="26"/>
  <c r="Z2297" i="26"/>
  <c r="Z2538" i="26"/>
  <c r="Z1125" i="26"/>
  <c r="Z760" i="26"/>
  <c r="Z3265" i="26"/>
  <c r="Z2255" i="26"/>
  <c r="Z34" i="26"/>
  <c r="Z2358" i="26"/>
  <c r="Z1825" i="26"/>
  <c r="Z703" i="26"/>
  <c r="Z2002" i="26"/>
  <c r="Z818" i="26"/>
  <c r="Z2748" i="26"/>
  <c r="Z404" i="26"/>
  <c r="Z541" i="26"/>
  <c r="Z2034" i="26"/>
  <c r="Z2967" i="26"/>
  <c r="Z3365" i="26"/>
  <c r="Z806" i="26"/>
  <c r="Z667" i="26"/>
  <c r="Z908" i="26"/>
  <c r="Z1644" i="26"/>
  <c r="Z2522" i="26"/>
  <c r="Z2897" i="26"/>
  <c r="Z1905" i="26"/>
  <c r="Z3411" i="26"/>
  <c r="Z3284" i="26"/>
  <c r="Z983" i="26"/>
  <c r="Z1739" i="26"/>
  <c r="Z638" i="26"/>
  <c r="Z1788" i="26"/>
  <c r="Z438" i="26"/>
  <c r="Z297" i="26"/>
  <c r="Z2324" i="26"/>
  <c r="Z311" i="26"/>
  <c r="Z1497" i="26"/>
  <c r="Z3161" i="26"/>
  <c r="Z1669" i="26"/>
  <c r="Z264" i="26"/>
  <c r="Z1080" i="26"/>
  <c r="Z369" i="26"/>
  <c r="Z3155" i="26"/>
  <c r="Z1606" i="26"/>
  <c r="Z830" i="26"/>
  <c r="Z2027" i="26"/>
  <c r="Z2441" i="26"/>
  <c r="Z2556" i="26"/>
  <c r="Z3315" i="26"/>
  <c r="Z3425" i="26"/>
  <c r="Z3151" i="26"/>
  <c r="Z2964" i="26"/>
  <c r="Z796" i="26"/>
  <c r="Z3140" i="26"/>
  <c r="Z2378" i="26"/>
  <c r="Z457" i="26"/>
  <c r="Z2836" i="26"/>
  <c r="Z3362" i="26"/>
  <c r="Z2421" i="26"/>
  <c r="Z1681" i="26"/>
  <c r="Z2732" i="26"/>
  <c r="Z2437" i="26"/>
  <c r="Z1479" i="26"/>
  <c r="Z1706" i="26"/>
  <c r="Z1133" i="26"/>
  <c r="Z1251" i="26"/>
  <c r="Z3258" i="26"/>
  <c r="Z890" i="26"/>
  <c r="Z501" i="26"/>
  <c r="Z1226" i="26"/>
  <c r="Z982" i="26"/>
  <c r="Z2526" i="26"/>
  <c r="Z2306" i="26"/>
  <c r="Z1587" i="26"/>
  <c r="Z2765" i="26"/>
  <c r="Z411" i="26"/>
  <c r="Z2516" i="26"/>
  <c r="Z2234" i="26"/>
  <c r="Z733" i="26"/>
  <c r="Z2080" i="26"/>
  <c r="Z588" i="26"/>
  <c r="Z493" i="26"/>
  <c r="Z1630" i="26"/>
  <c r="Z416" i="26"/>
  <c r="Z1131" i="26"/>
  <c r="Z2944" i="26"/>
  <c r="Z2590" i="26"/>
  <c r="Z234" i="26"/>
  <c r="Z215" i="26"/>
  <c r="Z3047" i="26"/>
  <c r="Z1204" i="26"/>
  <c r="Z1229" i="26"/>
  <c r="Z696" i="26"/>
  <c r="Z2188" i="26"/>
  <c r="Z3462" i="26"/>
  <c r="Z366" i="26"/>
  <c r="Z2173" i="26"/>
  <c r="Z2956" i="26"/>
  <c r="Z611" i="26"/>
  <c r="Z1741" i="26"/>
  <c r="Z3436" i="26"/>
  <c r="Z2625" i="26"/>
  <c r="Z1805" i="26"/>
  <c r="Z3029" i="26"/>
  <c r="Z2684" i="26"/>
  <c r="Z552" i="26"/>
  <c r="Z3035" i="26"/>
  <c r="Z1258" i="26"/>
  <c r="Z3509" i="26"/>
  <c r="Z384" i="26"/>
  <c r="Z1345" i="26"/>
  <c r="Z444" i="26"/>
  <c r="Z1198" i="26"/>
  <c r="Z895" i="26"/>
  <c r="Z3295" i="26"/>
  <c r="Z625" i="26"/>
  <c r="Z2781" i="26"/>
  <c r="Z2582" i="26"/>
  <c r="Z2395" i="26"/>
  <c r="Z3328" i="26"/>
  <c r="Z685" i="26"/>
  <c r="Z853" i="26"/>
  <c r="Z422" i="26"/>
  <c r="Z2885" i="26"/>
  <c r="Z3049" i="26"/>
  <c r="Z1913" i="26"/>
  <c r="Z1234" i="26"/>
  <c r="Z2202" i="26"/>
  <c r="Z3506" i="26"/>
  <c r="Z3189" i="26"/>
  <c r="Z1627" i="26"/>
  <c r="Z156" i="26"/>
  <c r="Z3230" i="26"/>
  <c r="Z3348" i="26"/>
  <c r="Z1799" i="26"/>
  <c r="Z3512" i="26"/>
  <c r="Z3188" i="26"/>
  <c r="Z1810" i="26"/>
  <c r="Z1870" i="26"/>
  <c r="Z2484" i="26"/>
  <c r="Z2838" i="26"/>
  <c r="Z3322" i="26"/>
  <c r="Z1197" i="26"/>
  <c r="Z3249" i="26"/>
  <c r="Z3535" i="26"/>
  <c r="Z470" i="26"/>
  <c r="Z1953" i="26"/>
  <c r="Z590" i="26"/>
  <c r="Z2826" i="26"/>
  <c r="Z2074" i="26"/>
  <c r="Z3361" i="26"/>
  <c r="Z1460" i="26"/>
  <c r="Z3240" i="26"/>
  <c r="Z1276" i="26"/>
  <c r="Z164" i="26"/>
  <c r="Z1344" i="26"/>
  <c r="Z2635" i="26"/>
  <c r="Z1858" i="26"/>
  <c r="Z2198" i="26"/>
  <c r="Z1659" i="26"/>
  <c r="Z252" i="26"/>
  <c r="Z1492" i="26"/>
  <c r="Z2393" i="26"/>
  <c r="Z139" i="26"/>
  <c r="Z92" i="26"/>
  <c r="Z2683" i="26"/>
  <c r="Z690" i="26"/>
  <c r="Z1495" i="26"/>
  <c r="Z874" i="26"/>
  <c r="Z2483" i="26"/>
  <c r="Z208" i="26"/>
  <c r="Z2749" i="26"/>
  <c r="Z1067" i="26"/>
  <c r="Z59" i="26"/>
  <c r="Z1696" i="26"/>
  <c r="Z3313" i="26"/>
  <c r="Z1875" i="26"/>
  <c r="Z2577" i="26"/>
  <c r="Z607" i="26"/>
  <c r="Z1671" i="26"/>
  <c r="Z971" i="26"/>
  <c r="Z1236" i="26"/>
  <c r="Z2313" i="26"/>
  <c r="Z846" i="26"/>
  <c r="Z1926" i="26"/>
  <c r="Z768" i="26"/>
  <c r="Z13" i="26"/>
  <c r="Z1861" i="26"/>
  <c r="Z2122" i="26"/>
  <c r="Z3203" i="26"/>
  <c r="Z1467" i="26"/>
  <c r="Z1065" i="26"/>
  <c r="Z1528" i="26"/>
  <c r="Z2439" i="26"/>
  <c r="Z654" i="26"/>
  <c r="Z2926" i="26"/>
  <c r="Z88" i="26"/>
  <c r="Z2038" i="26"/>
  <c r="Z1783" i="26"/>
  <c r="Z1876" i="26"/>
  <c r="Z964" i="26"/>
  <c r="Z3007" i="26"/>
  <c r="Z2508" i="26"/>
  <c r="Z2786" i="26"/>
  <c r="Z2704" i="26"/>
  <c r="Z559" i="26"/>
  <c r="Z326" i="26"/>
  <c r="Z1715" i="26"/>
  <c r="Z2091" i="26"/>
  <c r="Z2874" i="26"/>
  <c r="Z2119" i="26"/>
  <c r="Z1462" i="26"/>
  <c r="Z1098" i="26"/>
  <c r="Z2056" i="26"/>
  <c r="Z1760" i="26"/>
  <c r="Z299" i="26"/>
  <c r="Z1139" i="26"/>
  <c r="Z731" i="26"/>
  <c r="Z2682" i="26"/>
  <c r="Z14" i="26"/>
  <c r="Z2000" i="26"/>
  <c r="Z2186" i="26"/>
  <c r="Z2794" i="26"/>
  <c r="Z2531" i="26"/>
  <c r="Z2803" i="26"/>
  <c r="Z831" i="26"/>
  <c r="Z376" i="26"/>
  <c r="Z953" i="26"/>
  <c r="Z630" i="26"/>
  <c r="Z182" i="26"/>
  <c r="Z3404" i="26"/>
  <c r="Z3514" i="26"/>
  <c r="Z2547" i="26"/>
  <c r="Z2418" i="26"/>
  <c r="Z1736" i="26"/>
  <c r="Z41" i="26"/>
  <c r="Z3067" i="26"/>
  <c r="Z2888" i="26"/>
  <c r="Z2697" i="26"/>
  <c r="Z980" i="26"/>
  <c r="Z2566" i="26"/>
  <c r="Z98" i="26"/>
  <c r="Z1800" i="26"/>
  <c r="Z1474" i="26"/>
  <c r="Z669" i="26"/>
  <c r="Z2064" i="26"/>
  <c r="Z1004" i="26"/>
  <c r="Z767" i="26"/>
  <c r="Z2544" i="26"/>
  <c r="Z3309" i="26"/>
  <c r="Z491" i="26"/>
  <c r="Z1838" i="26"/>
  <c r="Z2065" i="26"/>
  <c r="Z805" i="26"/>
  <c r="Z3272" i="26"/>
  <c r="Z1230" i="26"/>
  <c r="Z3108" i="26"/>
  <c r="Z1355" i="26"/>
  <c r="Z2201" i="26"/>
  <c r="Z2366" i="26"/>
  <c r="Z3219" i="26"/>
  <c r="Z2423" i="26"/>
  <c r="Z89" i="26"/>
  <c r="Z2016" i="26"/>
  <c r="Z1094" i="26"/>
  <c r="Z2225" i="26"/>
  <c r="Z1448" i="26"/>
  <c r="Z1656" i="26"/>
  <c r="Z679" i="26"/>
  <c r="Z2783" i="26"/>
  <c r="Z3524" i="26"/>
  <c r="Z300" i="26"/>
  <c r="Z3498" i="26"/>
  <c r="Z1072" i="26"/>
  <c r="Z1580" i="26"/>
  <c r="Z540" i="26"/>
  <c r="Z636" i="26"/>
  <c r="Z2941" i="26"/>
  <c r="Z2651" i="26"/>
  <c r="Z2637" i="26"/>
  <c r="Z1500" i="26"/>
  <c r="Z3517" i="26"/>
  <c r="Z2996" i="26"/>
  <c r="Z3102" i="26"/>
  <c r="Z1356" i="26"/>
  <c r="Z281" i="26"/>
  <c r="Z3281" i="26"/>
  <c r="Z492" i="26"/>
  <c r="Z1351" i="26"/>
  <c r="Z832" i="26"/>
  <c r="Z1498" i="26"/>
  <c r="Z180" i="26"/>
  <c r="Z1648" i="26"/>
  <c r="Z2436" i="26"/>
  <c r="Z3440" i="26"/>
  <c r="Z3057" i="26"/>
  <c r="Z2069" i="26"/>
  <c r="Z3119" i="26"/>
  <c r="Z173" i="26"/>
  <c r="Z2891" i="26"/>
  <c r="Z2559" i="26"/>
  <c r="Z3259" i="26"/>
  <c r="Z3063" i="26"/>
  <c r="Z1158" i="26"/>
  <c r="Z3052" i="26"/>
  <c r="Z1412" i="26"/>
  <c r="Z421" i="26"/>
  <c r="Z2434" i="26"/>
  <c r="Z3351" i="26"/>
  <c r="Z1298" i="26"/>
  <c r="Z2901" i="26"/>
  <c r="Z2638" i="26"/>
  <c r="Z232" i="26"/>
  <c r="Z1366" i="26"/>
  <c r="Z3463" i="26"/>
  <c r="Z3126" i="26"/>
  <c r="Z1411" i="26"/>
  <c r="Z370" i="26"/>
  <c r="Z275" i="26"/>
  <c r="Z1352" i="26"/>
  <c r="Z1796" i="26"/>
  <c r="Z419" i="26"/>
  <c r="Z110" i="26"/>
  <c r="Z3123" i="26"/>
  <c r="Z1248" i="26"/>
  <c r="Z274" i="26"/>
  <c r="Z948" i="26"/>
  <c r="Z3338" i="26"/>
  <c r="Z1330" i="26"/>
  <c r="Z463" i="26"/>
  <c r="Z2001" i="26"/>
  <c r="Z1220" i="26"/>
  <c r="Z479" i="26"/>
  <c r="Z576" i="26"/>
  <c r="Z566" i="26"/>
  <c r="Z2075" i="26"/>
  <c r="Z2640" i="26"/>
  <c r="Z1929" i="26"/>
  <c r="Z2820" i="26"/>
  <c r="Z3256" i="26"/>
  <c r="Z2145" i="26"/>
  <c r="Z3223" i="26"/>
  <c r="Z68" i="26"/>
  <c r="Z1372" i="26"/>
  <c r="Z170" i="26"/>
  <c r="Z3204" i="26"/>
  <c r="Z2288" i="26"/>
  <c r="Z1775" i="26"/>
  <c r="Z3071" i="26"/>
  <c r="Z392" i="26"/>
  <c r="Z2691" i="26"/>
  <c r="Z2302" i="26"/>
  <c r="Z1596" i="26"/>
  <c r="Z1969" i="26"/>
  <c r="Z1975" i="26"/>
  <c r="Z2403" i="26"/>
  <c r="Z2368" i="26"/>
  <c r="Z1951" i="26"/>
  <c r="Z406" i="26"/>
  <c r="Z2678" i="26"/>
  <c r="Z161" i="26"/>
  <c r="Z1444" i="26"/>
  <c r="Z2084" i="26"/>
  <c r="Z2240" i="26"/>
  <c r="Z2466" i="26"/>
  <c r="Z97" i="26"/>
  <c r="Z1482" i="26"/>
  <c r="Z2699" i="26"/>
  <c r="Z1855" i="26"/>
  <c r="Z1445" i="26"/>
  <c r="Z1165" i="26"/>
  <c r="Z1200" i="26"/>
  <c r="Z2194" i="26"/>
  <c r="Z775" i="26"/>
  <c r="Z1950" i="26"/>
  <c r="Z534" i="26"/>
  <c r="Z1410" i="26"/>
  <c r="Z1459" i="26"/>
  <c r="Z599" i="26"/>
  <c r="Z1436" i="26"/>
  <c r="Z2026" i="26"/>
  <c r="Z461" i="26"/>
  <c r="Z1111" i="26"/>
  <c r="Z3532" i="26"/>
  <c r="Z1426" i="26"/>
  <c r="Z3500" i="26"/>
  <c r="Z858" i="26"/>
  <c r="Z3516" i="26"/>
  <c r="Z3217" i="26"/>
  <c r="Z129" i="26"/>
  <c r="Z3501" i="26"/>
  <c r="Z1431" i="26"/>
  <c r="Z2130" i="26"/>
  <c r="Z932" i="26"/>
  <c r="Z3502" i="26"/>
  <c r="Z2411" i="26"/>
  <c r="Z1677" i="26"/>
  <c r="Z3325" i="26"/>
  <c r="Z2904" i="26"/>
  <c r="Z738" i="26"/>
  <c r="Z1942" i="26"/>
  <c r="Z1331" i="26"/>
  <c r="Z351" i="26"/>
  <c r="Z1219" i="26"/>
  <c r="Z972" i="26"/>
  <c r="Z390" i="26"/>
  <c r="Z134" i="26"/>
  <c r="Z3186" i="26"/>
  <c r="Z2591" i="26"/>
  <c r="Z3164" i="26"/>
  <c r="Z675" i="26"/>
  <c r="Z1297" i="26"/>
  <c r="Z1404" i="26"/>
  <c r="Z1019" i="26"/>
  <c r="Z1970" i="26"/>
  <c r="Z302" i="26"/>
  <c r="Z3529" i="26"/>
  <c r="Z2799" i="26"/>
  <c r="Z824" i="26"/>
  <c r="Z132" i="26"/>
  <c r="Z580" i="26"/>
  <c r="Z44" i="26"/>
  <c r="Z3352" i="26"/>
  <c r="Z794" i="26"/>
  <c r="Z3274" i="26"/>
  <c r="Z3539" i="26"/>
  <c r="Z3305" i="26"/>
  <c r="Z1126" i="26"/>
  <c r="Z2285" i="26"/>
  <c r="Z260" i="26"/>
  <c r="Z3275" i="26"/>
  <c r="Z2850" i="26"/>
  <c r="Z2817" i="26"/>
  <c r="Z951" i="26"/>
  <c r="Z1129" i="26"/>
  <c r="Z1885" i="26"/>
  <c r="Z2545" i="26"/>
  <c r="Z2281" i="26"/>
  <c r="Z757" i="26"/>
  <c r="Z2196" i="26"/>
  <c r="Z877" i="26"/>
  <c r="Z1326" i="26"/>
  <c r="Z784" i="26"/>
  <c r="Z2692" i="26"/>
  <c r="Z1730" i="26"/>
  <c r="Z72" i="26"/>
  <c r="Z1859" i="26"/>
  <c r="Z2910" i="26"/>
  <c r="Z2245" i="26"/>
  <c r="Z2988" i="26"/>
  <c r="Z2613" i="26"/>
  <c r="Z2346" i="26"/>
  <c r="Z716" i="26"/>
  <c r="Z2083" i="26"/>
  <c r="Z1367" i="26"/>
  <c r="Z3210" i="26"/>
  <c r="Z2241" i="26"/>
  <c r="Z2207" i="26"/>
  <c r="Z813" i="26"/>
  <c r="Z2849" i="26"/>
  <c r="Z3232" i="26"/>
  <c r="Z1358" i="26"/>
  <c r="Z3349" i="26"/>
  <c r="Z2864" i="26"/>
  <c r="Z946" i="26"/>
  <c r="Z323" i="26"/>
  <c r="Z1216" i="26"/>
  <c r="Z1692" i="26"/>
  <c r="Z1791" i="26"/>
  <c r="Z1961" i="26"/>
  <c r="Z1621" i="26"/>
  <c r="Z1579" i="26"/>
  <c r="Z1746" i="26"/>
  <c r="Z752" i="26"/>
  <c r="Z2917" i="26"/>
  <c r="Z928" i="26"/>
  <c r="Z328" i="26"/>
  <c r="Z564" i="26"/>
  <c r="Z2161" i="26"/>
  <c r="Z1655" i="26"/>
  <c r="Z1213" i="26"/>
  <c r="Z1797" i="26"/>
  <c r="Z826" i="26"/>
  <c r="Z1477" i="26"/>
  <c r="Z640" i="26"/>
  <c r="Z3330" i="26"/>
  <c r="Z1231" i="26"/>
  <c r="Z3464" i="26"/>
  <c r="Z1572" i="26"/>
  <c r="Z1261" i="26"/>
  <c r="Z114" i="26"/>
  <c r="Z1279" i="26"/>
  <c r="Z67" i="26"/>
  <c r="Z2345" i="26"/>
  <c r="Z3331" i="26"/>
  <c r="Z1995" i="26"/>
  <c r="Z394" i="26"/>
  <c r="Z1891" i="26"/>
  <c r="Z2387" i="26"/>
  <c r="Z24" i="26"/>
  <c r="Z1306" i="26"/>
  <c r="Z2299" i="26"/>
  <c r="Z2319" i="26"/>
  <c r="Z2958" i="26"/>
  <c r="Z1205" i="26"/>
  <c r="Z84" i="26"/>
  <c r="Z657" i="26"/>
  <c r="Z2089" i="26"/>
  <c r="Z113" i="26"/>
  <c r="Z2242" i="26"/>
  <c r="Z1765" i="26"/>
  <c r="Z94" i="26"/>
  <c r="Z878" i="26"/>
  <c r="Z2352" i="26"/>
  <c r="Z2005" i="26"/>
  <c r="Z2147" i="26"/>
  <c r="Z811" i="26"/>
  <c r="Z1560" i="26"/>
  <c r="Z1488" i="26"/>
  <c r="Z1173" i="26"/>
  <c r="Z2464" i="26"/>
  <c r="Z1754" i="26"/>
  <c r="Z1939" i="26"/>
  <c r="Z1789" i="26"/>
  <c r="Z691" i="26"/>
  <c r="Z3538" i="26"/>
  <c r="Z1911" i="26"/>
  <c r="Z1868" i="26"/>
  <c r="Z2774" i="26"/>
  <c r="Z2671" i="26"/>
  <c r="Z1948" i="26"/>
  <c r="Z2595" i="26"/>
  <c r="Z2740" i="26"/>
  <c r="Z2775" i="26"/>
  <c r="Z1639" i="26"/>
  <c r="Z955" i="26"/>
  <c r="Z2155" i="26"/>
  <c r="Z815" i="26"/>
  <c r="Z2822" i="26"/>
  <c r="Z270" i="26"/>
  <c r="Z2300" i="26"/>
  <c r="Z2041" i="26"/>
  <c r="Z535" i="26"/>
  <c r="Z1946" i="26"/>
  <c r="Z1750" i="26"/>
  <c r="Z3485" i="26"/>
  <c r="Z2675" i="26"/>
  <c r="Z35" i="26"/>
  <c r="Z608" i="26"/>
  <c r="Z1530" i="26"/>
  <c r="Z193" i="26"/>
  <c r="Z2294" i="26"/>
  <c r="Z905" i="26"/>
  <c r="Z536" i="26"/>
  <c r="Z3025" i="26"/>
  <c r="Z1090" i="26"/>
  <c r="Z2181" i="26"/>
  <c r="Z1318" i="26"/>
  <c r="Z3503" i="26"/>
  <c r="Z545" i="26"/>
  <c r="Z1373" i="26"/>
  <c r="Z2982" i="26"/>
  <c r="Z2706" i="26"/>
  <c r="Z2846" i="26"/>
  <c r="Z2372" i="26"/>
  <c r="Z1509" i="26"/>
  <c r="Z591" i="26"/>
  <c r="Z3277" i="26"/>
  <c r="Z3303" i="26"/>
  <c r="Z2132" i="26"/>
  <c r="Z984" i="26"/>
  <c r="Z1463" i="26"/>
  <c r="Z1710" i="26"/>
  <c r="Z917" i="26"/>
  <c r="Z791" i="26"/>
  <c r="Z1665" i="26"/>
  <c r="Z637" i="26"/>
  <c r="Z336" i="26"/>
  <c r="Z3401" i="26"/>
  <c r="Z966" i="26"/>
  <c r="Z2012" i="26"/>
  <c r="Z2391" i="26"/>
  <c r="Z3077" i="26"/>
  <c r="Z2259" i="26"/>
  <c r="Z2307" i="26"/>
  <c r="Z1903" i="26"/>
  <c r="Z517" i="26"/>
  <c r="Z204" i="26"/>
  <c r="Z2088" i="26"/>
  <c r="Z2983" i="26"/>
  <c r="Z287" i="26"/>
  <c r="Z2252" i="26"/>
  <c r="Z1483" i="26"/>
  <c r="Z920" i="26"/>
  <c r="Z3236" i="26"/>
  <c r="Z1049" i="26"/>
  <c r="Z1931" i="26"/>
  <c r="Z2646" i="26"/>
  <c r="Z1122" i="26"/>
  <c r="Z342" i="26"/>
  <c r="Z1600" i="26"/>
  <c r="Z1866" i="26"/>
  <c r="Z353" i="26"/>
  <c r="Z2694" i="26"/>
  <c r="Z2686" i="26"/>
  <c r="Z672" i="26"/>
  <c r="Z2758" i="26"/>
  <c r="Z2677" i="26"/>
  <c r="Z3069" i="26"/>
  <c r="Z1577" i="26"/>
  <c r="Z1028" i="26"/>
  <c r="Z436" i="26"/>
  <c r="Z2487" i="26"/>
  <c r="Z3089" i="26"/>
  <c r="Z216" i="26"/>
  <c r="Z253" i="26"/>
  <c r="Z1505" i="26"/>
  <c r="Z828" i="26"/>
  <c r="Z2175" i="26"/>
  <c r="Z2157" i="26"/>
  <c r="Z1772" i="26"/>
  <c r="Z118" i="26"/>
  <c r="Z439" i="26"/>
  <c r="Z1576" i="26"/>
  <c r="Z1726" i="26"/>
  <c r="Z1314" i="26"/>
  <c r="Z2948" i="26"/>
  <c r="Z2021" i="26"/>
  <c r="Z960" i="26"/>
  <c r="Z1711" i="26"/>
  <c r="Z1233" i="26"/>
  <c r="Z795" i="26"/>
  <c r="Z528" i="26"/>
  <c r="Z2235" i="26"/>
  <c r="Z677" i="26"/>
  <c r="Z2853" i="26"/>
  <c r="Z1815" i="26"/>
  <c r="Z1099" i="26"/>
  <c r="Z2881" i="26"/>
  <c r="Z446" i="26"/>
  <c r="Z801" i="26"/>
  <c r="Z361" i="26"/>
  <c r="Z2965" i="26"/>
  <c r="Z1156" i="26"/>
  <c r="Z1203" i="26"/>
  <c r="Z543" i="26"/>
  <c r="Z1856" i="26"/>
  <c r="Z2604" i="26"/>
  <c r="Z562" i="26"/>
  <c r="Z1428" i="26"/>
  <c r="Z3291" i="26"/>
  <c r="Z1311" i="26"/>
  <c r="Z1662" i="26"/>
  <c r="Z52" i="26"/>
  <c r="Z1704" i="26"/>
  <c r="Z1658" i="26"/>
  <c r="Z3364" i="26"/>
  <c r="Z2452" i="26"/>
  <c r="Z3359" i="26"/>
  <c r="Z1843" i="26"/>
  <c r="Z1386" i="26"/>
  <c r="Z571" i="26"/>
  <c r="Z245" i="26"/>
  <c r="Z2019" i="26"/>
  <c r="Z2998" i="26"/>
  <c r="Z472" i="26"/>
  <c r="Z179" i="26"/>
  <c r="Z1187" i="26"/>
  <c r="Z440" i="26"/>
  <c r="Z1315" i="26"/>
  <c r="Z2059" i="26"/>
  <c r="Z1533" i="26"/>
  <c r="Z1048" i="26"/>
  <c r="Z581" i="26"/>
  <c r="Z1192" i="26"/>
  <c r="Z2275" i="26"/>
  <c r="Z1742" i="26"/>
  <c r="Z3174" i="26"/>
  <c r="Z2090" i="26"/>
  <c r="Z1396" i="26"/>
  <c r="Z2096" i="26"/>
  <c r="Z2972" i="26"/>
  <c r="Z1757" i="26"/>
  <c r="Z313" i="26"/>
  <c r="Z2017" i="26"/>
  <c r="Z935" i="26"/>
  <c r="Z177" i="26"/>
  <c r="Z759" i="26"/>
  <c r="Z1027" i="26"/>
  <c r="Z621" i="26"/>
  <c r="Z2361" i="26"/>
  <c r="Z3344" i="26"/>
  <c r="Z2745" i="26"/>
  <c r="Z2374" i="26"/>
  <c r="Z388" i="26"/>
  <c r="Z857" i="26"/>
  <c r="Z1112" i="26"/>
  <c r="Z3363" i="26"/>
  <c r="Z3222" i="26"/>
  <c r="Z718" i="26"/>
  <c r="Z1076" i="26"/>
  <c r="Z2357" i="26"/>
  <c r="Z1979" i="26"/>
  <c r="Z1660" i="26"/>
  <c r="Z1176" i="26"/>
  <c r="Z763" i="26"/>
  <c r="Z2402" i="26"/>
  <c r="Z788" i="26"/>
  <c r="Z1678" i="26"/>
  <c r="Z706" i="26"/>
  <c r="Z153" i="26"/>
  <c r="Z2935" i="26"/>
  <c r="Z1601" i="26"/>
  <c r="Z2632" i="26"/>
  <c r="Z2446" i="26"/>
  <c r="Z3294" i="26"/>
  <c r="Z2171" i="26"/>
  <c r="Z2270" i="26"/>
  <c r="Z1491" i="26"/>
  <c r="Z779" i="26"/>
  <c r="Z2821" i="26"/>
  <c r="Z2703" i="26"/>
  <c r="Z1629" i="26"/>
  <c r="Z1909" i="26"/>
  <c r="Z1548" i="26"/>
  <c r="Z1353" i="26"/>
  <c r="Z2959" i="26"/>
  <c r="Z2139" i="26"/>
  <c r="Z2422" i="26"/>
  <c r="Z3346" i="26"/>
  <c r="Z339" i="26"/>
  <c r="Z3480" i="26"/>
  <c r="Z2329" i="26"/>
  <c r="Z2852" i="26"/>
  <c r="Z1385" i="26"/>
  <c r="Z1259" i="26"/>
  <c r="Z1190" i="26"/>
  <c r="Z1611" i="26"/>
  <c r="Z3227" i="26"/>
  <c r="Z158" i="26"/>
  <c r="Z2077" i="26"/>
  <c r="Z1808" i="26"/>
  <c r="Z2585" i="26"/>
  <c r="Z1820" i="26"/>
  <c r="Z3377" i="26"/>
  <c r="Z2553" i="26"/>
  <c r="Z2496" i="26"/>
  <c r="Z1554" i="26"/>
  <c r="Z3487" i="26"/>
  <c r="Z3195" i="26"/>
  <c r="Z2898" i="26"/>
  <c r="Z2230" i="26"/>
  <c r="Z71" i="26"/>
  <c r="Z1550" i="26"/>
  <c r="Z63" i="26"/>
  <c r="Z3451" i="26"/>
  <c r="Z683" i="26"/>
  <c r="Z3318" i="26"/>
  <c r="Z2610" i="26"/>
  <c r="Z1361" i="26"/>
  <c r="Z2971" i="26"/>
  <c r="Z2602" i="26"/>
  <c r="Z2470" i="26"/>
  <c r="Z1588" i="26"/>
  <c r="Z3092" i="26"/>
  <c r="Z2383" i="26"/>
  <c r="Z38" i="26"/>
  <c r="Z3214" i="26"/>
  <c r="Z2812" i="26"/>
  <c r="Z3107" i="26"/>
  <c r="Z1977" i="26"/>
  <c r="Z1616" i="26"/>
  <c r="Z740" i="26"/>
  <c r="Z799" i="26"/>
  <c r="Z3170" i="26"/>
  <c r="Z1378" i="26"/>
  <c r="Z1496" i="26"/>
  <c r="Z1860" i="26"/>
  <c r="Z2057" i="26"/>
  <c r="Z1421" i="26"/>
  <c r="Z3176" i="26"/>
  <c r="Z400" i="26"/>
  <c r="Z2168" i="26"/>
  <c r="Z1469" i="26"/>
  <c r="Z1557" i="26"/>
  <c r="Z1983" i="26"/>
  <c r="Z476" i="26"/>
  <c r="Z3390" i="26"/>
  <c r="Z433" i="26"/>
  <c r="Z1400" i="26"/>
  <c r="Z593" i="26"/>
  <c r="Z2518" i="26"/>
  <c r="Z1154" i="26"/>
  <c r="Z2073" i="26"/>
  <c r="Z1759" i="26"/>
  <c r="Z1978" i="26"/>
  <c r="Z296" i="26"/>
  <c r="Z2371" i="26"/>
  <c r="Z147" i="26"/>
  <c r="Z744" i="26"/>
  <c r="Z2277" i="26"/>
  <c r="Z1144" i="26"/>
  <c r="Z2050" i="26"/>
  <c r="Z314" i="26"/>
  <c r="Z2272" i="26"/>
  <c r="Z1447" i="26"/>
  <c r="Z3540" i="26"/>
  <c r="Z15" i="26"/>
  <c r="Z3073" i="26"/>
  <c r="Z2515" i="26"/>
  <c r="Z322" i="26"/>
  <c r="Z2536" i="26"/>
  <c r="Z1598" i="26"/>
  <c r="Z2603" i="26"/>
  <c r="Z2475" i="26"/>
  <c r="Z2592" i="26"/>
  <c r="Z1449" i="26"/>
  <c r="Z3505" i="26"/>
  <c r="Z2209" i="26"/>
  <c r="Z884" i="26"/>
  <c r="Z2742" i="26"/>
  <c r="Z1370" i="26"/>
  <c r="Z909" i="26"/>
  <c r="Z1793" i="26"/>
  <c r="Z2501" i="26"/>
  <c r="Z2596" i="26"/>
  <c r="Z2499" i="26"/>
  <c r="Z1517" i="26"/>
  <c r="Z1194" i="26"/>
  <c r="Z74" i="26"/>
  <c r="Z266" i="26"/>
  <c r="Z848" i="26"/>
  <c r="Z1984" i="26"/>
  <c r="Z1565" i="26"/>
  <c r="Z3266" i="26"/>
  <c r="Z471" i="26"/>
  <c r="Z2945" i="26"/>
  <c r="Z350" i="26"/>
  <c r="Z1066" i="26"/>
  <c r="Z1118" i="26"/>
  <c r="Z1442" i="26"/>
  <c r="Z2933" i="26"/>
  <c r="Z1919" i="26"/>
  <c r="Z742" i="26"/>
  <c r="Z1375" i="26"/>
  <c r="Z1515" i="26"/>
  <c r="Z1878" i="26"/>
  <c r="Z1667" i="26"/>
  <c r="Z37" i="26"/>
  <c r="Z2377" i="26"/>
  <c r="Z910" i="26"/>
  <c r="Z2420" i="26"/>
  <c r="Z3117" i="26"/>
  <c r="Z3491" i="26"/>
  <c r="Z2024" i="26"/>
  <c r="Z1209" i="26"/>
  <c r="Z3064" i="26"/>
  <c r="Z3413" i="26"/>
  <c r="Z241" i="26"/>
  <c r="Z3094" i="26"/>
  <c r="Z2735" i="26"/>
  <c r="Z1936" i="26"/>
  <c r="Z66" i="26"/>
  <c r="Z3360" i="26"/>
  <c r="Z2085" i="26"/>
  <c r="Z1713" i="26"/>
  <c r="Z797" i="26"/>
  <c r="Z2747" i="26"/>
  <c r="Z2185" i="26"/>
  <c r="Z601" i="26"/>
  <c r="Z1728" i="26"/>
  <c r="Z1542" i="26"/>
  <c r="Z1225" i="26"/>
  <c r="Z907" i="26"/>
  <c r="Z2856" i="26"/>
  <c r="Z247" i="26"/>
  <c r="Z515" i="26"/>
  <c r="Z651" i="26"/>
  <c r="Z2276" i="26"/>
  <c r="Z1104" i="26"/>
  <c r="Z1922" i="26"/>
  <c r="Z469" i="26"/>
  <c r="Z61" i="26"/>
  <c r="Z1917" i="26"/>
  <c r="Z1766" i="26"/>
  <c r="Z1388" i="26"/>
  <c r="Z3292" i="26"/>
  <c r="Z2773" i="26"/>
  <c r="Z3216" i="26"/>
  <c r="Z1595" i="26"/>
  <c r="Z976" i="26"/>
  <c r="Z1663" i="26"/>
  <c r="Z2011" i="26"/>
  <c r="Z2365" i="26"/>
  <c r="Z2788" i="26"/>
  <c r="Z104" i="26"/>
  <c r="Z747" i="26"/>
  <c r="Z1697" i="26"/>
  <c r="Z3125" i="26"/>
  <c r="Z155" i="26"/>
  <c r="Z3357" i="26"/>
  <c r="Z1061" i="26"/>
  <c r="Z3437" i="26"/>
  <c r="Z606" i="26"/>
  <c r="Z1994" i="26"/>
  <c r="Z3002" i="26"/>
  <c r="Z344" i="26"/>
  <c r="Z2630" i="26"/>
  <c r="Z3455" i="26"/>
  <c r="Z1208" i="26"/>
  <c r="Z195" i="26"/>
  <c r="Z2636" i="26"/>
  <c r="Z1962" i="26"/>
  <c r="Z2813" i="26"/>
  <c r="Z2344" i="26"/>
  <c r="Z2844" i="26"/>
  <c r="Z1893" i="26"/>
  <c r="Z1691" i="26"/>
  <c r="Z54" i="26"/>
  <c r="Z467" i="26"/>
  <c r="Z397" i="26"/>
  <c r="Z2061" i="26"/>
  <c r="Z2107" i="26"/>
  <c r="Z1316" i="26"/>
  <c r="Z2718" i="26"/>
  <c r="Z3332" i="26"/>
  <c r="Z3450" i="26"/>
  <c r="Z663" i="26"/>
  <c r="Z1934" i="26"/>
  <c r="Z2136" i="26"/>
  <c r="Z1473" i="26"/>
  <c r="Z3418" i="26"/>
  <c r="Z1725" i="26"/>
  <c r="Z2244" i="26"/>
  <c r="Z868" i="26"/>
  <c r="Z3260" i="26"/>
  <c r="Z389" i="26"/>
  <c r="Z2099" i="26"/>
  <c r="Z1886" i="26"/>
  <c r="Z701" i="26"/>
  <c r="Z3202" i="26"/>
  <c r="Z16" i="26"/>
  <c r="Z724" i="26"/>
  <c r="Z1374" i="26"/>
  <c r="Z548" i="26"/>
  <c r="Z261" i="26"/>
  <c r="Z2664" i="26"/>
  <c r="Z1610" i="26"/>
  <c r="Z968" i="26"/>
  <c r="Z2562" i="26"/>
  <c r="Z1574" i="26"/>
  <c r="Z2320" i="26"/>
  <c r="Z3191" i="26"/>
  <c r="Z2660" i="26"/>
  <c r="Z2525" i="26"/>
  <c r="Z1136" i="26"/>
  <c r="Z2601" i="26"/>
  <c r="Z183" i="26"/>
  <c r="Z2992" i="26"/>
  <c r="Z2855" i="26"/>
  <c r="Z838" i="26"/>
  <c r="Z2308" i="26"/>
  <c r="Z3039" i="26"/>
  <c r="Z3160" i="26"/>
  <c r="Z3212" i="26"/>
  <c r="Z785" i="26"/>
  <c r="Z199" i="26"/>
  <c r="Z3402" i="26"/>
  <c r="Z2191" i="26"/>
  <c r="Z2947" i="26"/>
  <c r="Z2873" i="26"/>
  <c r="Z1768" i="26"/>
  <c r="Z2806" i="26"/>
  <c r="Z1392" i="26"/>
  <c r="Z1503" i="26"/>
  <c r="Z3355" i="26"/>
  <c r="Z152" i="26"/>
  <c r="Z3290" i="26"/>
  <c r="Z684" i="26"/>
  <c r="Z17" i="26"/>
  <c r="Z3127" i="26"/>
  <c r="Z1286" i="26"/>
  <c r="Z880" i="26"/>
  <c r="Z631" i="26"/>
  <c r="Z2564" i="26"/>
  <c r="Z1748" i="26"/>
  <c r="Z2825" i="26"/>
  <c r="Z3409" i="26"/>
  <c r="Z3097" i="26"/>
  <c r="Z1294" i="26"/>
  <c r="Z732" i="26"/>
  <c r="Z2866" i="26"/>
  <c r="Z1652" i="26"/>
  <c r="Z2177" i="26"/>
  <c r="Z587" i="26"/>
  <c r="Z3287" i="26"/>
  <c r="Z137" i="26"/>
  <c r="Z2400" i="26"/>
  <c r="Z3054" i="26"/>
  <c r="Z810" i="26"/>
  <c r="Z1341" i="26"/>
  <c r="Z2340" i="26"/>
  <c r="Z130" i="26"/>
  <c r="Z1119" i="26"/>
  <c r="Z2303" i="26"/>
  <c r="Z2490" i="26"/>
  <c r="Z1890" i="26"/>
  <c r="Z2541" i="26"/>
  <c r="Z1152" i="26"/>
  <c r="Z2121" i="26"/>
  <c r="Z1456" i="26"/>
  <c r="Z800" i="26"/>
  <c r="Z808" i="26"/>
  <c r="Z1189" i="26"/>
  <c r="Z2889" i="26"/>
  <c r="Z3138" i="26"/>
  <c r="Z229" i="26"/>
  <c r="Z2430" i="26"/>
  <c r="Z1717" i="26"/>
  <c r="Z2353" i="26"/>
  <c r="Z2863" i="26"/>
  <c r="Z2921" i="26"/>
  <c r="Z2659" i="26"/>
  <c r="Z49" i="26"/>
  <c r="Z1747" i="26"/>
  <c r="Z218" i="26"/>
  <c r="Z986" i="26"/>
  <c r="Z365" i="26"/>
  <c r="Z771" i="26"/>
  <c r="Z1790" i="26"/>
  <c r="Z578" i="26"/>
  <c r="Z1867" i="26"/>
  <c r="Z1243" i="26"/>
  <c r="Z1716" i="26"/>
  <c r="Z1134" i="26"/>
  <c r="Z1925" i="26"/>
  <c r="Z1526" i="26"/>
  <c r="Z3242" i="26"/>
  <c r="Z2938" i="26"/>
  <c r="Z1888" i="26"/>
  <c r="Z2250" i="26"/>
  <c r="Z3350" i="26"/>
  <c r="Z1262" i="26"/>
  <c r="Z1295" i="26"/>
  <c r="Z2875" i="26"/>
  <c r="Z1729" i="26"/>
  <c r="Z1714" i="26"/>
  <c r="Z169" i="26"/>
  <c r="Z1986" i="26"/>
  <c r="Z1304" i="26"/>
  <c r="Z947" i="26"/>
  <c r="Z3410" i="26"/>
  <c r="Z2628" i="26"/>
  <c r="Z722" i="26"/>
  <c r="Z1546" i="26"/>
  <c r="Z1081" i="26"/>
  <c r="Z3495" i="26"/>
  <c r="Z488" i="26"/>
  <c r="Z2220" i="26"/>
  <c r="Z1809" i="26"/>
  <c r="Z1398" i="26"/>
  <c r="Z786" i="26"/>
  <c r="Z1323" i="26"/>
  <c r="Z3241" i="26"/>
  <c r="Z898" i="26"/>
  <c r="Z1127" i="26"/>
  <c r="Z2158" i="26"/>
  <c r="Z1904" i="26"/>
  <c r="Z3354" i="26"/>
  <c r="Z1023" i="26"/>
  <c r="Z1617" i="26"/>
  <c r="Z2231" i="26"/>
  <c r="Z2117" i="26"/>
  <c r="Z994" i="26"/>
  <c r="Z1237" i="26"/>
  <c r="Z2920" i="26"/>
  <c r="Z1974" i="26"/>
  <c r="Z674" i="26"/>
  <c r="Z2618" i="26"/>
  <c r="Z1735" i="26"/>
  <c r="Z1285" i="26"/>
  <c r="Z646" i="26"/>
  <c r="Z3479" i="26"/>
  <c r="Z2280" i="26"/>
  <c r="Z2607" i="26"/>
  <c r="Z1722" i="26"/>
  <c r="Z301" i="26"/>
  <c r="Z727" i="26"/>
  <c r="Z766" i="26"/>
  <c r="Z3104" i="26"/>
  <c r="Z1180" i="26"/>
  <c r="Z135" i="26"/>
  <c r="Z2481" i="26"/>
  <c r="Z2937" i="26"/>
  <c r="Z2457" i="26"/>
  <c r="Z993" i="26"/>
  <c r="Z1687" i="26"/>
  <c r="Z3324" i="26"/>
  <c r="Z1035" i="26"/>
  <c r="Z2054" i="26"/>
  <c r="Z3199" i="26"/>
  <c r="Z407" i="26"/>
  <c r="Z1102" i="26"/>
  <c r="Z2461" i="26"/>
  <c r="Z1284" i="26"/>
  <c r="Z3306" i="26"/>
  <c r="Z2993" i="26"/>
  <c r="Z539" i="26"/>
  <c r="Z230" i="26"/>
  <c r="Z1519" i="26"/>
  <c r="Z2401" i="26"/>
  <c r="Z776" i="26"/>
  <c r="Z2213" i="26"/>
  <c r="Z2931" i="26"/>
  <c r="Z430" i="26"/>
  <c r="Z2576" i="26"/>
  <c r="Z1571" i="26"/>
  <c r="Z3070" i="26"/>
  <c r="Z367" i="26"/>
  <c r="Z2257" i="26"/>
  <c r="Z1100" i="26"/>
  <c r="Z2047" i="26"/>
  <c r="Z3056" i="26"/>
  <c r="Z841" i="26"/>
  <c r="Z1619" i="26"/>
  <c r="Z954" i="26"/>
  <c r="Z2485" i="26"/>
  <c r="Z1778" i="26"/>
  <c r="Z2314" i="26"/>
  <c r="Z1097" i="26"/>
  <c r="Z1465" i="26"/>
  <c r="Z2738" i="26"/>
  <c r="Z2410" i="26"/>
  <c r="Z1632" i="26"/>
  <c r="Z240" i="26"/>
  <c r="Z1185" i="26"/>
  <c r="Z2925" i="26"/>
  <c r="Z1668" i="26"/>
  <c r="Z2565" i="26"/>
  <c r="Z2305" i="26"/>
  <c r="Z2332" i="26"/>
  <c r="Z2392" i="26"/>
  <c r="Z3482" i="26"/>
  <c r="Z2375" i="26"/>
  <c r="Z931" i="26"/>
  <c r="Z3442" i="26"/>
  <c r="Z3037" i="26"/>
  <c r="Z2912" i="26"/>
  <c r="Z1844" i="26"/>
  <c r="Z1615" i="26"/>
  <c r="Z2068" i="26"/>
  <c r="Z864" i="26"/>
  <c r="Z836" i="26"/>
  <c r="Z3367" i="26"/>
  <c r="Z1853" i="26"/>
  <c r="Z1901" i="26"/>
  <c r="Z1313" i="26"/>
  <c r="Z1486" i="26"/>
  <c r="Z1981" i="26"/>
  <c r="Z723" i="26"/>
  <c r="Z745" i="26"/>
  <c r="Z487" i="26"/>
  <c r="Z1011" i="26"/>
  <c r="Z3053" i="26"/>
  <c r="Z91" i="26"/>
  <c r="Z2149" i="26"/>
  <c r="Z1157" i="26"/>
  <c r="Z3467" i="26"/>
  <c r="Z3243" i="26"/>
  <c r="Z2710" i="26"/>
  <c r="Z2741" i="26"/>
  <c r="Z2505" i="26"/>
  <c r="Z2459" i="26"/>
  <c r="Z2801" i="26"/>
  <c r="Z2963" i="26"/>
  <c r="Z1218" i="26"/>
  <c r="Z3220" i="26"/>
  <c r="Z36" i="26"/>
  <c r="Z840" i="26"/>
  <c r="Z1700" i="26"/>
  <c r="Z2486" i="26"/>
  <c r="Z3030" i="26"/>
  <c r="Z2296" i="26"/>
  <c r="Z485" i="26"/>
  <c r="Z1393" i="26"/>
  <c r="Z136" i="26"/>
  <c r="Z1817" i="26"/>
  <c r="Z977" i="26"/>
  <c r="Z48" i="26"/>
  <c r="Z415" i="26"/>
  <c r="Z2261" i="26"/>
  <c r="Z1109" i="26"/>
  <c r="Z1121" i="26"/>
  <c r="Z1494" i="26"/>
  <c r="Z1723" i="26"/>
  <c r="Z3267" i="26"/>
  <c r="Z144" i="26"/>
  <c r="Z2414" i="26"/>
  <c r="Z918" i="26"/>
  <c r="Z3114" i="26"/>
  <c r="Z542" i="26"/>
  <c r="Z681" i="26"/>
  <c r="Z2890" i="26"/>
  <c r="Z3374" i="26"/>
  <c r="Z3380" i="26"/>
  <c r="Z2814" i="26"/>
  <c r="Z3474" i="26"/>
  <c r="Z3159" i="26"/>
  <c r="Z1006" i="26"/>
  <c r="Z2504" i="26"/>
  <c r="Z688" i="26"/>
  <c r="Z1532" i="26"/>
  <c r="Z3543" i="26"/>
  <c r="Z2018" i="26"/>
  <c r="Z372" i="26"/>
  <c r="Z942" i="26"/>
  <c r="Z2752" i="26"/>
  <c r="Z3022" i="26"/>
  <c r="Z1333" i="26"/>
  <c r="Z682" i="26"/>
  <c r="Z3158" i="26"/>
  <c r="Z1207" i="26"/>
  <c r="Z2150" i="26"/>
  <c r="Z2215" i="26"/>
  <c r="Z2797" i="26"/>
  <c r="Z1502" i="26"/>
  <c r="Z2994" i="26"/>
  <c r="Z1882" i="26"/>
  <c r="Z1181" i="26"/>
  <c r="Z3400" i="26"/>
  <c r="Z822" i="26"/>
  <c r="Z1599" i="26"/>
  <c r="Z1020" i="26"/>
  <c r="Z758" i="26"/>
  <c r="Z3193" i="26"/>
  <c r="Z1553" i="26"/>
  <c r="Z408" i="26"/>
  <c r="Z792" i="26"/>
  <c r="Z2914" i="26"/>
  <c r="Z1551" i="26"/>
  <c r="Z55" i="26"/>
  <c r="Z1007" i="26"/>
  <c r="Z2554" i="26"/>
  <c r="Z3017" i="26"/>
  <c r="Z73" i="26"/>
  <c r="Z2087" i="26"/>
  <c r="Z892" i="26"/>
  <c r="Z1317" i="26"/>
  <c r="Z2160" i="26"/>
  <c r="Z251" i="26"/>
  <c r="Z2494" i="26"/>
  <c r="Z2221" i="26"/>
  <c r="Z2030" i="26"/>
  <c r="Z3009" i="26"/>
  <c r="Z1835" i="26"/>
  <c r="Z949" i="26"/>
  <c r="Z3477" i="26"/>
  <c r="Z143" i="26"/>
  <c r="Z3499" i="26"/>
  <c r="Z556" i="26"/>
  <c r="Z2869" i="26"/>
  <c r="Z597" i="26"/>
  <c r="Z1514" i="26"/>
  <c r="Z3311" i="26"/>
  <c r="Z2667" i="26"/>
  <c r="Z3178" i="26"/>
  <c r="Z321" i="26"/>
  <c r="Z320" i="26"/>
  <c r="Z1543" i="26"/>
  <c r="Z1992" i="26"/>
  <c r="Z2560" i="26"/>
  <c r="Z3476" i="26"/>
  <c r="Z257" i="26"/>
  <c r="Z1734" i="26"/>
  <c r="Z160" i="26"/>
  <c r="Z3534" i="26"/>
  <c r="Z2969" i="26"/>
  <c r="Z1146" i="26"/>
  <c r="Z1626" i="26"/>
  <c r="Z1002" i="26"/>
  <c r="Z2521" i="26"/>
  <c r="Z3530" i="26"/>
  <c r="Z426" i="26"/>
  <c r="Z1130" i="26"/>
  <c r="Z2922" i="26"/>
  <c r="Z774" i="26"/>
  <c r="Z1368" i="26"/>
  <c r="Z834" i="26"/>
  <c r="Z3146" i="26"/>
  <c r="Z3282" i="26"/>
  <c r="Z2913" i="26"/>
  <c r="Z3051" i="26"/>
  <c r="Z20" i="26"/>
  <c r="Z3261" i="26"/>
  <c r="Z1740" i="26"/>
  <c r="Z3101" i="26"/>
  <c r="Z1307" i="26"/>
  <c r="Z2681" i="26"/>
  <c r="Z175" i="26"/>
  <c r="Z1371" i="26"/>
  <c r="Z151" i="26"/>
  <c r="Z3234" i="26"/>
  <c r="Z3015" i="26"/>
  <c r="Z2443" i="26"/>
  <c r="Z27" i="26"/>
  <c r="Z327" i="26"/>
  <c r="Z958" i="26"/>
  <c r="Z2847" i="26"/>
  <c r="Z1781" i="26"/>
  <c r="Z162" i="26"/>
  <c r="Z1842" i="26"/>
  <c r="Z860" i="26"/>
  <c r="Z1101" i="26"/>
  <c r="Z1429" i="26"/>
  <c r="Z2589" i="26"/>
  <c r="Z335" i="26"/>
  <c r="Z3525" i="26"/>
  <c r="Z2882" i="26"/>
  <c r="Z2381" i="26"/>
  <c r="Z2695" i="26"/>
  <c r="Z1114" i="26"/>
  <c r="Z572" i="26"/>
  <c r="Z827" i="26"/>
  <c r="Z298" i="26"/>
  <c r="Z2382" i="26"/>
  <c r="Z1785" i="26"/>
  <c r="Z2542" i="26"/>
  <c r="Z2810" i="26"/>
  <c r="Z3285" i="26"/>
  <c r="Z1110" i="26"/>
  <c r="Z3369" i="26"/>
  <c r="Z242" i="26"/>
  <c r="Z1415" i="26"/>
  <c r="Z991" i="26"/>
  <c r="Z2405" i="26"/>
  <c r="Z1972" i="26"/>
  <c r="Z1321" i="26"/>
  <c r="Z1303" i="26"/>
  <c r="Z665" i="26"/>
  <c r="Z1845" i="26"/>
  <c r="Z1578" i="26"/>
  <c r="Z1927" i="26"/>
  <c r="Z2513" i="26"/>
  <c r="Z3342" i="26"/>
  <c r="Z996" i="26"/>
  <c r="Z418" i="26"/>
  <c r="Z2804" i="26"/>
  <c r="Z1327" i="26"/>
  <c r="Z3403" i="26"/>
  <c r="Z1773" i="26"/>
  <c r="Z3301" i="26"/>
  <c r="Z1753" i="26"/>
  <c r="Z3082" i="26"/>
  <c r="Z2373" i="26"/>
  <c r="Z500" i="26"/>
  <c r="Z2712" i="26"/>
  <c r="Z123" i="26"/>
  <c r="Z2614" i="26"/>
  <c r="Z3446" i="26"/>
  <c r="Z807" i="26"/>
  <c r="Z1166" i="26"/>
  <c r="Z120" i="26"/>
  <c r="Z2567" i="26"/>
  <c r="Z192" i="26"/>
  <c r="Z305" i="26"/>
  <c r="Z875" i="26"/>
  <c r="Z2013" i="26"/>
  <c r="Z334" i="26"/>
  <c r="Z2687" i="26"/>
  <c r="Z1342" i="26"/>
  <c r="Z1082" i="26"/>
  <c r="Z1686" i="26"/>
  <c r="Z2385" i="26"/>
  <c r="Z900" i="26"/>
  <c r="Z1864" i="26"/>
  <c r="Z432" i="26"/>
  <c r="Z190" i="26"/>
  <c r="Z598" i="26"/>
  <c r="Z2355" i="26"/>
  <c r="Z2611" i="26"/>
  <c r="Z1631" i="26"/>
  <c r="Z420" i="26"/>
  <c r="Z1650" i="26"/>
  <c r="Z2341" i="26"/>
  <c r="Z2128" i="26"/>
  <c r="Z1147" i="26"/>
  <c r="Z2271" i="26"/>
  <c r="Z3068" i="26"/>
  <c r="Z2129" i="26"/>
  <c r="Z3507" i="26"/>
  <c r="Z58" i="26"/>
  <c r="Z1443" i="26"/>
  <c r="Z1379" i="26"/>
  <c r="Z872" i="26"/>
  <c r="Z1524" i="26"/>
  <c r="Z2269" i="26"/>
  <c r="Z294" i="26"/>
  <c r="Z1416" i="26"/>
  <c r="Z1569" i="26"/>
  <c r="Z379" i="26"/>
  <c r="Z3233" i="26"/>
  <c r="Z2789" i="26"/>
  <c r="Z1051" i="26"/>
  <c r="Z1186" i="26"/>
  <c r="Z1143" i="26"/>
  <c r="Z1597" i="26"/>
  <c r="Z3340" i="26"/>
  <c r="Z1336" i="26"/>
  <c r="Z2042" i="26"/>
  <c r="Z602" i="26"/>
  <c r="Z414" i="26"/>
  <c r="Z889" i="26"/>
  <c r="Z3079" i="26"/>
  <c r="Z2292" i="26"/>
  <c r="Z1586" i="26"/>
  <c r="Z2563" i="26"/>
  <c r="Z1944" i="26"/>
  <c r="Z3105" i="26"/>
  <c r="Z2323" i="26"/>
  <c r="Z676" i="26"/>
  <c r="Z76" i="26"/>
  <c r="Z2624" i="26"/>
  <c r="Z3136" i="26"/>
  <c r="Z3167" i="26"/>
  <c r="Z1070" i="26"/>
  <c r="Z1743" i="26"/>
  <c r="Z849" i="26"/>
  <c r="Z1955" i="26"/>
  <c r="Z1270" i="26"/>
  <c r="Z514" i="26"/>
  <c r="Z582" i="26"/>
  <c r="Z2777" i="26"/>
  <c r="Z459" i="26"/>
  <c r="Z3468" i="26"/>
  <c r="Z1328" i="26"/>
  <c r="Z1244" i="26"/>
  <c r="Z458" i="26"/>
  <c r="Z557" i="26"/>
  <c r="Z531" i="26"/>
  <c r="Z3419" i="26"/>
  <c r="Z2454" i="26"/>
  <c r="Z530" i="26"/>
  <c r="Z837" i="26"/>
  <c r="Z1733" i="26"/>
  <c r="Z3544" i="26"/>
  <c r="Z921" i="26"/>
  <c r="Z352" i="26"/>
  <c r="Z586" i="26"/>
  <c r="Z943" i="26"/>
  <c r="Z3453" i="26"/>
  <c r="Z2918" i="26"/>
  <c r="Z2616" i="26"/>
  <c r="Z166" i="26"/>
  <c r="Z643" i="26"/>
  <c r="Z2227" i="26"/>
  <c r="Z1884" i="26"/>
  <c r="Z291" i="26"/>
  <c r="Z527" i="26"/>
  <c r="Z3353" i="26"/>
  <c r="Z2039" i="26"/>
  <c r="Z2260" i="26"/>
  <c r="Z2924" i="26"/>
  <c r="Z1077" i="26"/>
  <c r="Z3396" i="26"/>
  <c r="Z1308" i="26"/>
  <c r="Z2351" i="26"/>
  <c r="Z870" i="26"/>
  <c r="Z814" i="26"/>
  <c r="Z944" i="26"/>
  <c r="Z2679" i="26"/>
  <c r="Z1217" i="26"/>
  <c r="Z883" i="26"/>
  <c r="Z2514" i="26"/>
  <c r="Z2974" i="26"/>
  <c r="Z1044" i="26"/>
  <c r="Z1935" i="26"/>
  <c r="Z3211" i="26"/>
  <c r="Z2858" i="26"/>
  <c r="Z699" i="26"/>
  <c r="Z149" i="26"/>
  <c r="Z1718" i="26"/>
  <c r="Z2871" i="26"/>
  <c r="Z2429" i="26"/>
  <c r="Z338" i="26"/>
  <c r="Z584" i="26"/>
  <c r="Z2903" i="26"/>
  <c r="Z2877" i="26"/>
  <c r="Z1676" i="26"/>
  <c r="Z1369" i="26"/>
  <c r="Z1346" i="26"/>
  <c r="Z3194" i="26"/>
  <c r="Z1052" i="26"/>
  <c r="Z3055" i="26"/>
  <c r="Z1638" i="26"/>
  <c r="Z2568" i="26"/>
  <c r="Z2571" i="26"/>
  <c r="Z1045" i="26"/>
  <c r="Z2148" i="26"/>
  <c r="Z765" i="26"/>
  <c r="Z1471" i="26"/>
  <c r="Z3061" i="26"/>
  <c r="Z1196" i="26"/>
  <c r="Z1874" i="26"/>
  <c r="Z2517" i="26"/>
  <c r="Z855" i="26"/>
  <c r="Z2676" i="26"/>
  <c r="Z1916" i="26"/>
  <c r="Z1169" i="26"/>
  <c r="Z32" i="26"/>
  <c r="Z1824" i="26"/>
  <c r="Z3465" i="26"/>
  <c r="Z2705" i="26"/>
  <c r="Z308" i="26"/>
  <c r="Z2709" i="26"/>
  <c r="Z728" i="26"/>
  <c r="Z310" i="26"/>
  <c r="Z2809" i="26"/>
  <c r="Z168" i="26"/>
  <c r="Z2125" i="26"/>
  <c r="Z2256" i="26"/>
  <c r="Z2076" i="26"/>
  <c r="Z410" i="26"/>
  <c r="Z2058" i="26"/>
  <c r="Z1195" i="26"/>
  <c r="Z1040" i="26"/>
  <c r="Z1780" i="26"/>
  <c r="Z2641" i="26"/>
  <c r="Z3083" i="26"/>
  <c r="Z3376" i="26"/>
  <c r="Z749" i="26"/>
  <c r="Z778" i="26"/>
  <c r="Z3399" i="26"/>
  <c r="Z574" i="26"/>
  <c r="Z405" i="26"/>
  <c r="Z111" i="26"/>
  <c r="Z1240" i="26"/>
  <c r="Z3145" i="26"/>
  <c r="Z466" i="26"/>
  <c r="Z956" i="26"/>
  <c r="Z3405" i="26"/>
  <c r="Z3518" i="26"/>
  <c r="Z1902" i="26"/>
  <c r="Z2534" i="26"/>
  <c r="Z2647" i="26"/>
  <c r="Z1435" i="26"/>
  <c r="Z447" i="26"/>
  <c r="Z1184" i="26"/>
  <c r="Z2626" i="26"/>
  <c r="Z474" i="26"/>
  <c r="Z11" i="26"/>
  <c r="Z2708" i="26"/>
  <c r="Z719" i="26"/>
  <c r="Z431" i="26"/>
  <c r="Z2349" i="26"/>
  <c r="Z2106" i="26"/>
  <c r="Z3481" i="26"/>
  <c r="Z2868" i="26"/>
  <c r="Z829" i="26"/>
  <c r="Z1770" i="26"/>
  <c r="Z1182" i="26"/>
  <c r="Z1967" i="26"/>
  <c r="Z1170" i="26"/>
  <c r="Z325" i="26"/>
  <c r="Z1612" i="26"/>
  <c r="Z1337" i="26"/>
  <c r="Z549" i="26"/>
  <c r="Z2246" i="26"/>
  <c r="Z2164" i="26"/>
  <c r="Z2951" i="26"/>
  <c r="Z3163" i="26"/>
  <c r="Z2761" i="26"/>
  <c r="Z1384" i="26"/>
  <c r="Z693" i="26"/>
  <c r="Z3246" i="26"/>
  <c r="Z2264" i="26"/>
  <c r="Z3430" i="26"/>
  <c r="Z2010" i="26"/>
  <c r="Z981" i="26"/>
  <c r="Z1649" i="26"/>
  <c r="Z847" i="26"/>
  <c r="Z19" i="26"/>
  <c r="Z1461" i="26"/>
  <c r="Z592" i="26"/>
  <c r="Z919" i="26"/>
  <c r="Z1005" i="26"/>
  <c r="Z790" i="26"/>
  <c r="Z3308" i="26"/>
  <c r="Z537" i="26"/>
  <c r="Z839" i="26"/>
  <c r="Z934" i="26"/>
  <c r="Z1883" i="26"/>
  <c r="Z596" i="26"/>
  <c r="Z1869" i="26"/>
  <c r="Z2736" i="26"/>
  <c r="Z3263" i="26"/>
  <c r="Z1151" i="26"/>
  <c r="Z1966" i="26"/>
  <c r="Z2840" i="26"/>
  <c r="Z2750" i="26"/>
  <c r="Z450" i="26"/>
  <c r="Z1014" i="26"/>
  <c r="Z1873" i="26"/>
  <c r="Z563" i="26"/>
  <c r="Z159" i="26"/>
  <c r="Z1801" i="26"/>
  <c r="Z1211" i="26"/>
  <c r="Z2753" i="26"/>
  <c r="Z3036" i="26"/>
  <c r="Z2537" i="26"/>
  <c r="Z3493" i="26"/>
  <c r="Z2731" i="26"/>
  <c r="Z2907" i="26"/>
  <c r="Z1634" i="26"/>
  <c r="Z2284" i="26"/>
  <c r="Z56" i="26"/>
  <c r="Z1232" i="26"/>
  <c r="Z3177" i="26"/>
  <c r="Z489" i="26"/>
  <c r="Z633" i="26"/>
  <c r="Z1296" i="26"/>
  <c r="Z2854" i="26"/>
  <c r="Z1807" i="26"/>
  <c r="Z577" i="26"/>
  <c r="Z2650" i="26"/>
  <c r="Z1455" i="26"/>
  <c r="Z2579" i="26"/>
  <c r="Z3130" i="26"/>
  <c r="Z154" i="26"/>
  <c r="Z1852" i="26"/>
  <c r="Z973" i="26"/>
  <c r="Z2928" i="26"/>
  <c r="Z2092" i="26"/>
  <c r="Z100" i="26"/>
  <c r="Z2174" i="26"/>
  <c r="Z513" i="26"/>
  <c r="Z1976" i="26"/>
  <c r="Z1073" i="26"/>
  <c r="Z1362" i="26"/>
  <c r="Z2427" i="26"/>
  <c r="Z1518" i="26"/>
  <c r="Z263" i="26"/>
  <c r="Z2370" i="26"/>
  <c r="Z207" i="26"/>
  <c r="Z452" i="26"/>
  <c r="Z762" i="26"/>
  <c r="Z3381" i="26"/>
  <c r="Z2317" i="26"/>
  <c r="Z148" i="26"/>
  <c r="Z2478" i="26"/>
  <c r="Z1798" i="26"/>
  <c r="Z1022" i="26"/>
  <c r="Z3027" i="26"/>
  <c r="Z1803" i="26"/>
  <c r="Z1162" i="26"/>
  <c r="Z441" i="26"/>
  <c r="Z2193" i="26"/>
  <c r="Z2124" i="26"/>
  <c r="Z1971" i="26"/>
  <c r="Z2110" i="26"/>
  <c r="Z359" i="26"/>
  <c r="Z386" i="26"/>
  <c r="Z876" i="26"/>
  <c r="Z1470" i="26"/>
  <c r="Z2176" i="26"/>
  <c r="Z437" i="26"/>
  <c r="Z2236" i="26"/>
  <c r="Z558" i="26"/>
  <c r="Z3090" i="26"/>
  <c r="Z2104" i="26"/>
  <c r="Z3011" i="26"/>
  <c r="Z2472" i="26"/>
  <c r="Z1015" i="26"/>
  <c r="Z2309" i="26"/>
  <c r="Z3050" i="26"/>
  <c r="Z3270" i="26"/>
  <c r="Z1531" i="26"/>
  <c r="Z1001" i="26"/>
  <c r="Z1179" i="26"/>
  <c r="Z1510" i="26"/>
  <c r="Z3533" i="26"/>
  <c r="Z2187" i="26"/>
  <c r="Z600" i="26"/>
  <c r="Z567" i="26"/>
  <c r="Z1089" i="26"/>
  <c r="Z1910" i="26"/>
  <c r="Z1163" i="26"/>
  <c r="Z3010" i="26"/>
  <c r="Z1083" i="26"/>
  <c r="Z125" i="26"/>
  <c r="Z3420" i="26"/>
  <c r="Z575" i="26"/>
  <c r="Z2197" i="26"/>
  <c r="Z221" i="26"/>
  <c r="Z2845" i="26"/>
  <c r="Z1959" i="26"/>
  <c r="Z2978" i="26"/>
  <c r="Z2583" i="26"/>
  <c r="Z658" i="26"/>
  <c r="Z380" i="26"/>
  <c r="Z1424" i="26"/>
  <c r="Z2915" i="26"/>
  <c r="Z2053" i="26"/>
  <c r="Z2816" i="26"/>
  <c r="Z2934" i="26"/>
  <c r="Z1991" i="26"/>
  <c r="Z3408" i="26"/>
  <c r="Z202" i="26"/>
  <c r="Z3115" i="26"/>
  <c r="Z2584" i="26"/>
  <c r="Z283" i="26"/>
  <c r="Z2780" i="26"/>
  <c r="Z694" i="26"/>
  <c r="Z1590" i="26"/>
  <c r="Z3043" i="26"/>
  <c r="Z777" i="26"/>
  <c r="Z1047" i="26"/>
  <c r="Z2621" i="26"/>
  <c r="Z3426" i="26"/>
  <c r="Z3257" i="26"/>
  <c r="Z2447" i="26"/>
  <c r="Z3536" i="26"/>
  <c r="Z277" i="26"/>
  <c r="Z2946" i="26"/>
  <c r="Z1794" i="26"/>
  <c r="Z717" i="26"/>
  <c r="Z902" i="26"/>
  <c r="Z3490" i="26"/>
  <c r="Z989" i="26"/>
  <c r="Z2880" i="26"/>
  <c r="Z2442" i="26"/>
  <c r="Z2689" i="26"/>
  <c r="Z1712" i="26"/>
  <c r="Z30" i="26"/>
  <c r="Z1141" i="26"/>
  <c r="Z1609" i="26"/>
  <c r="Z478" i="26"/>
  <c r="Z1312" i="26"/>
  <c r="Z1057" i="26"/>
  <c r="Z1821" i="26"/>
  <c r="Z475" i="26"/>
  <c r="Z3197" i="26"/>
  <c r="Z269" i="26"/>
  <c r="Z2020" i="26"/>
  <c r="Z1253" i="26"/>
  <c r="Z87" i="26"/>
  <c r="Z2249" i="26"/>
  <c r="Z3012" i="26"/>
  <c r="Z2453" i="26"/>
  <c r="Z2347" i="26"/>
  <c r="Z511" i="26"/>
  <c r="Z82" i="26"/>
  <c r="Z873" i="26"/>
  <c r="Z238" i="26"/>
  <c r="Z3005" i="26"/>
  <c r="Z122" i="26"/>
  <c r="Z3112" i="26"/>
  <c r="Z115" i="26"/>
  <c r="Z3459" i="26"/>
  <c r="Z2493" i="26"/>
  <c r="Z1949" i="26"/>
  <c r="Z1771" i="26"/>
  <c r="Z2451" i="26"/>
  <c r="Z468" i="26"/>
  <c r="Z1164" i="26"/>
  <c r="Z2044" i="26"/>
  <c r="Z62" i="26"/>
  <c r="Z2008" i="26"/>
  <c r="Z914" i="26"/>
  <c r="Z3391" i="26"/>
  <c r="Z228" i="26"/>
  <c r="Z18" i="26"/>
  <c r="Z2764" i="26"/>
  <c r="Z3373" i="26"/>
  <c r="Z1538" i="26"/>
  <c r="Z3444" i="26"/>
  <c r="Z2326" i="26"/>
  <c r="Z3513" i="26"/>
  <c r="Z2599" i="26"/>
  <c r="Z915" i="26"/>
  <c r="Z2143" i="26"/>
  <c r="Z845" i="26"/>
  <c r="Z2652" i="26"/>
  <c r="Z3192" i="26"/>
  <c r="Z2189" i="26"/>
  <c r="Z2870" i="26"/>
  <c r="Z769" i="26"/>
  <c r="Z610" i="26"/>
  <c r="Z2238" i="26"/>
  <c r="Z1719" i="26"/>
  <c r="Z2670" i="26"/>
  <c r="Z700" i="26"/>
  <c r="Z163" i="26"/>
  <c r="Z2763" i="26"/>
  <c r="Z894" i="26"/>
  <c r="Z2608" i="26"/>
  <c r="Z188" i="26"/>
  <c r="Z3312" i="26"/>
  <c r="Z1074" i="26"/>
  <c r="Z2923" i="26"/>
  <c r="Z70" i="26"/>
  <c r="Z1277" i="26"/>
  <c r="Z2474" i="26"/>
  <c r="Z212" i="26"/>
  <c r="Z1928" i="26"/>
  <c r="Z2927" i="26"/>
  <c r="Z2133" i="26"/>
  <c r="Z911" i="26"/>
  <c r="Z1242" i="26"/>
  <c r="Z3472" i="26"/>
  <c r="Z434" i="26"/>
  <c r="Z750" i="26"/>
  <c r="Z2909" i="26"/>
  <c r="Z1613" i="26"/>
  <c r="Z1017" i="26"/>
  <c r="Z642" i="26"/>
  <c r="Z2046" i="26"/>
  <c r="Z2274" i="26"/>
  <c r="Z3422" i="26"/>
  <c r="Z1923" i="26"/>
  <c r="Z2550" i="26"/>
  <c r="Z655" i="26"/>
  <c r="Z1202" i="26"/>
  <c r="Z1349" i="26"/>
  <c r="Z1135" i="26"/>
  <c r="Z1468" i="26"/>
  <c r="Z2981" i="26"/>
  <c r="Z2511" i="26"/>
  <c r="Z503" i="26"/>
  <c r="Z1215" i="26"/>
  <c r="Z191" i="26"/>
  <c r="Z2785" i="26"/>
  <c r="Z203" i="26"/>
  <c r="Z3508" i="26"/>
  <c r="Z316" i="26"/>
  <c r="Z809" i="26"/>
  <c r="Z649" i="26"/>
  <c r="Z3148" i="26"/>
  <c r="Z3118" i="26"/>
  <c r="Z865" i="26"/>
  <c r="Z1695" i="26"/>
  <c r="Z2233" i="26"/>
  <c r="Z3483" i="26"/>
  <c r="Z881" i="26"/>
  <c r="Z2417" i="26"/>
  <c r="Z2609" i="26"/>
  <c r="Z736" i="26"/>
  <c r="Z2337" i="26"/>
  <c r="Z1282" i="26"/>
  <c r="Z2211" i="26"/>
  <c r="Z2298" i="26"/>
  <c r="Z1290" i="26"/>
  <c r="Z373" i="26"/>
  <c r="Z1965" i="26"/>
  <c r="Z39" i="26"/>
  <c r="Z1075" i="26"/>
  <c r="Z3062" i="26"/>
  <c r="Z2883" i="26"/>
  <c r="Z1343" i="26"/>
  <c r="Z3238" i="26"/>
  <c r="Z2784" i="26"/>
  <c r="Z2790" i="26"/>
  <c r="Z1054" i="26"/>
  <c r="Z2279" i="26"/>
  <c r="Z1777" i="26"/>
  <c r="Z697" i="26"/>
  <c r="Z1690" i="26"/>
  <c r="Z464" i="26"/>
  <c r="Z3528" i="26"/>
  <c r="Z2162" i="26"/>
  <c r="Z3019" i="26"/>
  <c r="Z1898" i="26"/>
  <c r="Z1581" i="26"/>
  <c r="Z3541" i="26"/>
  <c r="Z172" i="26"/>
  <c r="Z720" i="26"/>
  <c r="Z2037" i="26"/>
  <c r="Z3116" i="26"/>
  <c r="Z205" i="26"/>
  <c r="Z2573" i="26"/>
  <c r="Z1201" i="26"/>
  <c r="Z2952" i="26"/>
  <c r="Z1140" i="26"/>
  <c r="Z1973" i="26"/>
  <c r="Z3173" i="26"/>
  <c r="Z2471" i="26"/>
  <c r="Z2322" i="26"/>
  <c r="Z3470" i="26"/>
  <c r="Z2778" i="26"/>
  <c r="Z3449" i="26"/>
  <c r="Z1812" i="26"/>
  <c r="Z2172" i="26"/>
  <c r="Z497" i="26"/>
  <c r="Z668" i="26"/>
  <c r="Z2477" i="26"/>
  <c r="Z1117" i="26"/>
  <c r="Z233" i="26"/>
  <c r="Z2460" i="26"/>
  <c r="Z739" i="26"/>
  <c r="Z3209" i="26"/>
  <c r="Z812" i="26"/>
  <c r="Z3269" i="26"/>
  <c r="Z632" i="26"/>
  <c r="Z1338" i="26"/>
  <c r="Z3280" i="26"/>
  <c r="Z1238" i="26"/>
  <c r="Z1707" i="26"/>
  <c r="Z2367" i="26"/>
  <c r="Z3438" i="26"/>
  <c r="Z2796" i="26"/>
  <c r="Z2894" i="26"/>
  <c r="Z773" i="26"/>
  <c r="Z1453" i="26"/>
  <c r="Z2081" i="26"/>
  <c r="Z1907" i="26"/>
  <c r="Z1605" i="26"/>
  <c r="Z1877" i="26"/>
  <c r="Z2911" i="26"/>
  <c r="Z1921" i="26"/>
  <c r="Z3521" i="26"/>
  <c r="Z2657" i="26"/>
  <c r="Z427" i="26"/>
  <c r="Z2426" i="26"/>
  <c r="Z725" i="26"/>
  <c r="Z1305" i="26"/>
  <c r="Z2103" i="26"/>
  <c r="Z3152" i="26"/>
  <c r="Z1339" i="26"/>
  <c r="Z1987" i="26"/>
  <c r="Z961" i="26"/>
  <c r="Z1063" i="26"/>
  <c r="Z2052" i="26"/>
  <c r="Z1568" i="26"/>
  <c r="Z3515" i="26"/>
  <c r="Z2669" i="26"/>
  <c r="Z1452" i="26"/>
  <c r="Z3392" i="26"/>
  <c r="Z1357" i="26"/>
  <c r="Z583" i="26"/>
  <c r="Z3224" i="26"/>
  <c r="Z1150" i="26"/>
  <c r="Z117" i="26"/>
  <c r="Z284" i="26"/>
  <c r="Z2593" i="26"/>
  <c r="Z2908" i="26"/>
  <c r="Z2779" i="26"/>
  <c r="Z561" i="26"/>
  <c r="Z96" i="26"/>
  <c r="Z3042" i="26"/>
  <c r="Z2500" i="26"/>
  <c r="Z2342" i="26"/>
  <c r="Z2348" i="26"/>
  <c r="Z1300" i="26"/>
  <c r="Z3142" i="26"/>
  <c r="Z2696" i="26"/>
  <c r="Z1702" i="26"/>
  <c r="Z913" i="26"/>
  <c r="Z462" i="26"/>
  <c r="Z1041" i="26"/>
  <c r="Z3206" i="26"/>
  <c r="Z2654" i="26"/>
  <c r="Z1764" i="26"/>
  <c r="Z959" i="26"/>
  <c r="Z1534" i="26"/>
  <c r="Z2263" i="26"/>
  <c r="Z2519" i="26"/>
  <c r="Z2834" i="26"/>
  <c r="Z1584" i="26"/>
  <c r="Z1920" i="26"/>
  <c r="Z209" i="26"/>
  <c r="Z3423" i="26"/>
  <c r="Z1034" i="26"/>
  <c r="Z2435" i="26"/>
  <c r="Z2759" i="26"/>
  <c r="Z355" i="26"/>
  <c r="Z1254" i="26"/>
  <c r="Z1880" i="26"/>
  <c r="Z3168" i="26"/>
  <c r="Z882" i="26"/>
  <c r="Z3434" i="26"/>
  <c r="Z2219" i="26"/>
  <c r="Z2036" i="26"/>
  <c r="Z174" i="26"/>
  <c r="Z3321" i="26"/>
  <c r="Z903" i="26"/>
  <c r="Z176" i="26"/>
  <c r="Z516" i="26"/>
  <c r="Z1547" i="26"/>
  <c r="Z2200" i="26"/>
  <c r="Z2973" i="26"/>
  <c r="Z1148" i="26"/>
  <c r="Z2623" i="26"/>
  <c r="Z603" i="26"/>
  <c r="Z2205" i="26"/>
  <c r="Z2228" i="26"/>
  <c r="Z383" i="26"/>
  <c r="Z1249" i="26"/>
  <c r="Z1555" i="26"/>
  <c r="Z2399" i="26"/>
  <c r="Z661" i="26"/>
  <c r="Z1309" i="26"/>
  <c r="Z2488" i="26"/>
  <c r="Z650" i="26"/>
  <c r="Z1840" i="26"/>
  <c r="Z1851" i="26"/>
  <c r="Z2631" i="26"/>
  <c r="Z1493" i="26"/>
  <c r="Z923" i="26"/>
  <c r="Z1520" i="26"/>
  <c r="Z1956" i="26"/>
  <c r="Z2578" i="26"/>
  <c r="Z1952" i="26"/>
  <c r="Z817" i="26"/>
  <c r="Z2548" i="26"/>
  <c r="Z3511" i="26"/>
  <c r="Z1050" i="26"/>
  <c r="Z1784" i="26"/>
  <c r="Z278" i="26"/>
  <c r="Z916" i="26"/>
  <c r="Z2094" i="26"/>
  <c r="Z2766" i="26"/>
  <c r="Z2406" i="26"/>
  <c r="Z2535" i="26"/>
  <c r="Z2029" i="26"/>
  <c r="Z2007" i="26"/>
  <c r="Z1744" i="26"/>
  <c r="Z659" i="26"/>
  <c r="Z3235" i="26"/>
  <c r="Z3086" i="26"/>
  <c r="Z2662" i="26"/>
  <c r="Z1529" i="26"/>
  <c r="Z854" i="26"/>
  <c r="Z2523" i="26"/>
  <c r="Z219" i="26"/>
  <c r="Z473" i="26"/>
  <c r="Z3316" i="26"/>
  <c r="Z2109" i="26"/>
  <c r="Z617" i="26"/>
  <c r="Z2318" i="26"/>
  <c r="Z897" i="26"/>
  <c r="Z1256" i="26"/>
  <c r="Z29" i="26"/>
  <c r="Z75" i="26"/>
  <c r="Z2265" i="26"/>
  <c r="Z704" i="26"/>
  <c r="Z2507" i="26"/>
  <c r="Z1645" i="26"/>
  <c r="Z1654" i="26"/>
  <c r="Z1193" i="26"/>
  <c r="Z356" i="26"/>
  <c r="Z2690" i="26"/>
  <c r="Z1779" i="26"/>
  <c r="Z930" i="26"/>
  <c r="Z484" i="26"/>
  <c r="Z2093" i="26"/>
  <c r="Z1406" i="26"/>
  <c r="Z2338" i="26"/>
  <c r="Z1291" i="26"/>
  <c r="Z1628" i="26"/>
  <c r="Z2415" i="26"/>
  <c r="Z3169" i="26"/>
  <c r="Z1113" i="26"/>
  <c r="Z3279" i="26"/>
  <c r="Z2737" i="26"/>
  <c r="Z1322" i="26"/>
  <c r="Z280" i="26"/>
  <c r="Z568" i="26"/>
  <c r="Z1138" i="26"/>
  <c r="Z178" i="26"/>
  <c r="Z40" i="26"/>
  <c r="Z1826" i="26"/>
  <c r="Z2943" i="26"/>
  <c r="Z594" i="26"/>
  <c r="Z42" i="26"/>
  <c r="Z3366" i="26"/>
  <c r="Z1541" i="26"/>
  <c r="Z967" i="26"/>
  <c r="Z1594" i="26"/>
  <c r="Z1199" i="26"/>
  <c r="Z2159" i="26"/>
  <c r="Z309" i="26"/>
  <c r="Z2051" i="26"/>
  <c r="Z2755" i="26"/>
  <c r="Z279" i="26"/>
  <c r="Z819" i="26"/>
  <c r="Z3327" i="26"/>
  <c r="Z1963" i="26"/>
  <c r="Z692" i="26"/>
  <c r="Z258" i="26"/>
  <c r="Z3412" i="26"/>
  <c r="Z2976" i="26"/>
  <c r="Z1275" i="26"/>
  <c r="Z1174" i="26"/>
  <c r="Z1694" i="26"/>
  <c r="Z2665" i="26"/>
  <c r="Z2380" i="26"/>
  <c r="Z131" i="26"/>
  <c r="Z711" i="26"/>
  <c r="Z2693" i="26"/>
  <c r="Z2575" i="26"/>
  <c r="Z2743" i="26"/>
  <c r="Z1397" i="26"/>
  <c r="Z424" i="26"/>
  <c r="Z1683" i="26"/>
  <c r="Z3300" i="26"/>
  <c r="Z1438" i="26"/>
  <c r="Z1670" i="26"/>
  <c r="Z2127" i="26"/>
  <c r="Z1347" i="26"/>
  <c r="Z1872" i="26"/>
  <c r="Z2214" i="26"/>
  <c r="Z3494" i="26"/>
  <c r="Z1863" i="26"/>
  <c r="Z402" i="26"/>
  <c r="Z2666" i="26"/>
  <c r="Z286" i="26"/>
  <c r="Z1413" i="26"/>
  <c r="Z1661" i="26"/>
  <c r="Z272" i="26"/>
  <c r="Z2872" i="26"/>
  <c r="Z181" i="26"/>
  <c r="Z570" i="26"/>
  <c r="Z1278" i="26"/>
  <c r="Z2716" i="26"/>
  <c r="Z1552" i="26"/>
  <c r="Z1708" i="26"/>
  <c r="Z2224" i="26"/>
  <c r="Z1055" i="26"/>
  <c r="Z217" i="26"/>
  <c r="Z2828" i="26"/>
  <c r="Z2208" i="26"/>
  <c r="Z950" i="26"/>
  <c r="Z1437" i="26"/>
  <c r="Z2661" i="26"/>
  <c r="Z2818" i="26"/>
  <c r="Z887" i="26"/>
  <c r="Z2644" i="26"/>
  <c r="Z1767" i="26"/>
  <c r="Z343" i="26"/>
  <c r="Z1132" i="26"/>
  <c r="Z612" i="26"/>
  <c r="Z2154" i="26"/>
  <c r="Z3469" i="26"/>
  <c r="Z1480" i="26"/>
  <c r="Z3251" i="26"/>
  <c r="Z1745" i="26"/>
  <c r="Z2465" i="26"/>
  <c r="Z554" i="26"/>
  <c r="Z1093" i="26"/>
  <c r="Z1360" i="26"/>
  <c r="Z1425" i="26"/>
  <c r="Z2169" i="26"/>
  <c r="Z2243" i="26"/>
  <c r="Z1124" i="26"/>
  <c r="Z743" i="26"/>
  <c r="Z3271" i="26"/>
  <c r="Z102" i="26"/>
  <c r="Z1833" i="26"/>
  <c r="Z2229" i="26"/>
  <c r="Z3187" i="26"/>
  <c r="Z345" i="26"/>
  <c r="Z2720" i="26"/>
  <c r="Z756" i="26"/>
  <c r="Z3520" i="26"/>
  <c r="Z1350" i="26"/>
  <c r="Z2966" i="26"/>
  <c r="Z357" i="26"/>
  <c r="Z2833" i="26"/>
  <c r="Z187" i="26"/>
  <c r="Z2339" i="26"/>
  <c r="Z3368" i="26"/>
  <c r="Z1522" i="26"/>
  <c r="Z1031" i="26"/>
  <c r="Z505" i="26"/>
  <c r="Z1340" i="26"/>
  <c r="Z2782" i="26"/>
  <c r="Z3058" i="26"/>
  <c r="Z477" i="26"/>
  <c r="Z2278" i="26"/>
  <c r="Z1221" i="26"/>
  <c r="Z2533" i="26"/>
  <c r="Z1732" i="26"/>
  <c r="Z753" i="26"/>
  <c r="Z1879" i="26"/>
  <c r="Z3147" i="26"/>
  <c r="Z3406" i="26"/>
  <c r="Z1418" i="26"/>
  <c r="Z927" i="26"/>
  <c r="Z891" i="26"/>
  <c r="Z243" i="26"/>
  <c r="Z1689" i="26"/>
  <c r="Z3489" i="26"/>
  <c r="Z2101" i="26"/>
  <c r="Z43" i="26"/>
  <c r="Z109" i="26"/>
  <c r="Z820" i="26"/>
  <c r="Z906" i="26"/>
  <c r="Z1450" i="26"/>
  <c r="Z348" i="26"/>
  <c r="Z589" i="26"/>
  <c r="Z2409" i="26"/>
  <c r="Z3288" i="26"/>
  <c r="Z802" i="26"/>
  <c r="Z1964" i="26"/>
  <c r="Z1376" i="26"/>
  <c r="Z1399" i="26"/>
  <c r="Z969" i="26"/>
  <c r="Z3081" i="26"/>
  <c r="Z2713" i="26"/>
  <c r="Z2717" i="26"/>
  <c r="Z2183" i="26"/>
  <c r="Z2163" i="26"/>
  <c r="Z639" i="26"/>
  <c r="Z2356" i="26"/>
  <c r="Z2711" i="26"/>
  <c r="Z349" i="26"/>
  <c r="Z2995" i="26"/>
  <c r="Z1816" i="26"/>
  <c r="Z1283" i="26"/>
  <c r="Z496" i="26"/>
  <c r="Z256" i="26"/>
  <c r="Z526" i="26"/>
  <c r="Z1968" i="26"/>
  <c r="Z2552" i="26"/>
  <c r="Z1033" i="26"/>
  <c r="Z60" i="26"/>
  <c r="Z2997" i="26"/>
  <c r="Z2893" i="26"/>
  <c r="Z2456" i="26"/>
  <c r="Z1433" i="26"/>
  <c r="Z2861" i="26"/>
  <c r="Z1674" i="26"/>
  <c r="Z3091" i="26"/>
  <c r="Z2551" i="26"/>
  <c r="Z1989" i="26"/>
  <c r="Z678" i="26"/>
  <c r="Z2831" i="26"/>
  <c r="Z210" i="26"/>
  <c r="Z1908" i="26"/>
  <c r="Z3458" i="26"/>
  <c r="Z1335" i="26"/>
  <c r="Z1228" i="26"/>
  <c r="Z2424" i="26"/>
  <c r="Z628" i="26"/>
  <c r="Z2482" i="26"/>
  <c r="Z2587" i="26"/>
  <c r="Z2098" i="26"/>
  <c r="Z1558" i="26"/>
  <c r="Z3028" i="26"/>
  <c r="Z1457" i="26"/>
  <c r="Z26" i="26"/>
  <c r="Z276" i="26"/>
  <c r="Z1153" i="26"/>
  <c r="Z1159" i="26"/>
  <c r="Z734" i="26"/>
  <c r="Z2190" i="26"/>
  <c r="Z81" i="26"/>
  <c r="Z803" i="26"/>
  <c r="Z1280" i="26"/>
  <c r="Z1142" i="26"/>
  <c r="Z670" i="26"/>
  <c r="Z1731" i="26"/>
  <c r="Z520" i="26"/>
  <c r="Z1032" i="26"/>
  <c r="Z3066" i="26"/>
  <c r="Z1562" i="26"/>
  <c r="Z1409" i="26"/>
  <c r="Z3247" i="26"/>
  <c r="Z121" i="26"/>
  <c r="Z1365" i="26"/>
  <c r="Z2350" i="26"/>
  <c r="Z1831" i="26"/>
  <c r="Z1703" i="26"/>
  <c r="Z2458" i="26"/>
  <c r="Z1640" i="26"/>
  <c r="Z2376" i="26"/>
  <c r="Z1013" i="26"/>
  <c r="Z2137" i="26"/>
  <c r="Z2180" i="26"/>
  <c r="Z2170" i="26"/>
  <c r="Z1224" i="26"/>
  <c r="Z764" i="26"/>
  <c r="Z3523" i="26"/>
  <c r="Z119" i="26"/>
  <c r="Z2206" i="26"/>
  <c r="Z1439" i="26"/>
  <c r="Z1954" i="26"/>
  <c r="Z2680" i="26"/>
  <c r="Z2860" i="26"/>
  <c r="Z3121" i="26"/>
  <c r="Z99" i="26"/>
  <c r="Z1527" i="26"/>
  <c r="Z990" i="26"/>
  <c r="Z2498" i="26"/>
  <c r="Z198" i="26"/>
  <c r="Z90" i="26"/>
  <c r="Z3407" i="26"/>
  <c r="Z899" i="26"/>
  <c r="Z2328" i="26"/>
  <c r="Z1932" i="26"/>
  <c r="Z1222" i="26"/>
  <c r="Z3153" i="26"/>
  <c r="Z1982" i="26"/>
  <c r="Z1107" i="26"/>
  <c r="Z2115" i="26"/>
  <c r="Z2902" i="26"/>
  <c r="Z3447" i="26"/>
  <c r="Z1561" i="26"/>
  <c r="Z2123" i="26"/>
  <c r="Z1892" i="26"/>
  <c r="Z2386" i="26"/>
  <c r="Z3296" i="26"/>
  <c r="Z2082" i="26"/>
  <c r="Z3254" i="26"/>
  <c r="Z1288" i="26"/>
  <c r="Z856" i="26"/>
  <c r="Z2751" i="26"/>
  <c r="Z1046" i="26"/>
  <c r="Z1123" i="26"/>
  <c r="Z2025" i="26"/>
  <c r="Z2166" i="26"/>
  <c r="Z673" i="26"/>
  <c r="Z28" i="26"/>
  <c r="Z3103" i="26"/>
  <c r="Z1774" i="26"/>
  <c r="Z2642" i="26"/>
  <c r="Z2167" i="26"/>
  <c r="Z1673" i="26"/>
  <c r="Z3378" i="26"/>
  <c r="Z645" i="26"/>
  <c r="Z211" i="26"/>
  <c r="Z3310" i="26"/>
  <c r="Z622" i="26"/>
  <c r="Z3492" i="26"/>
  <c r="Z1302" i="26"/>
  <c r="Z1566" i="26"/>
  <c r="Z1958" i="26"/>
  <c r="Z2138" i="26"/>
  <c r="Z707" i="26"/>
  <c r="Z3221" i="26"/>
  <c r="Z1941" i="26"/>
  <c r="Z708" i="26"/>
  <c r="Z2598" i="26"/>
  <c r="Z1637" i="26"/>
  <c r="Z1721" i="26"/>
  <c r="Z2266" i="26"/>
  <c r="Z259" i="26"/>
  <c r="Z3048" i="26"/>
  <c r="Z453" i="26"/>
  <c r="Z3154" i="26"/>
  <c r="Z863" i="26"/>
  <c r="Z1698" i="26"/>
  <c r="Z2015" i="26"/>
  <c r="Z3317" i="26"/>
  <c r="Z2095" i="26"/>
  <c r="Z653" i="26"/>
  <c r="Z396" i="26"/>
  <c r="Z1675" i="26"/>
  <c r="Z929" i="26"/>
  <c r="Z569" i="26"/>
  <c r="Z1680" i="26"/>
  <c r="Z107" i="26"/>
  <c r="Z2811" i="26"/>
  <c r="Z78" i="26"/>
  <c r="Z2045" i="26"/>
  <c r="Z3471" i="26"/>
  <c r="Z340" i="26"/>
  <c r="Z624" i="26"/>
  <c r="Z3414" i="26"/>
  <c r="Z220" i="26"/>
  <c r="Z1823" i="26"/>
  <c r="Z1625" i="26"/>
  <c r="Z1079" i="26"/>
  <c r="Z95" i="26"/>
  <c r="Z3201" i="26"/>
  <c r="Z391" i="26"/>
  <c r="Z721" i="26"/>
  <c r="Z904" i="26"/>
  <c r="Z2979" i="26"/>
  <c r="Z3157" i="26"/>
  <c r="Z538" i="26"/>
  <c r="Z315" i="26"/>
  <c r="Z3339" i="26"/>
  <c r="Z1559" i="26"/>
  <c r="Z3239" i="26"/>
  <c r="Z1320" i="26"/>
  <c r="Z2776" i="26"/>
  <c r="Z616" i="26"/>
  <c r="Z648" i="26"/>
  <c r="Z3229" i="26"/>
  <c r="Z998" i="26"/>
  <c r="Z171" i="26"/>
  <c r="Z1401" i="26"/>
  <c r="Z1269" i="26"/>
  <c r="Z1036" i="26"/>
  <c r="Z249" i="26"/>
  <c r="Z3106" i="26"/>
  <c r="Z1523" i="26"/>
  <c r="Z456" i="26"/>
  <c r="Z1589" i="26"/>
  <c r="Z2724" i="26"/>
  <c r="Z401" i="26"/>
  <c r="Z2658" i="26"/>
  <c r="Z3382" i="26"/>
  <c r="Z2685" i="26"/>
  <c r="Z2527" i="26"/>
  <c r="Z2489" i="26"/>
  <c r="Z2787" i="26"/>
  <c r="Z3264" i="26"/>
  <c r="Z1535" i="26"/>
  <c r="Z2698" i="26"/>
  <c r="Z303" i="26"/>
  <c r="Z3024" i="26"/>
  <c r="Z3542" i="26"/>
  <c r="Z3286" i="26"/>
  <c r="Z1108" i="26"/>
  <c r="Z3421" i="26"/>
  <c r="Z2413" i="26"/>
  <c r="Z319" i="26"/>
  <c r="Z481" i="26"/>
  <c r="Z146" i="26"/>
  <c r="Z25" i="26"/>
  <c r="Z3129" i="26"/>
  <c r="Z2384" i="26"/>
  <c r="Z2491" i="26"/>
  <c r="Z816" i="26"/>
  <c r="Z1564" i="26"/>
  <c r="Z1042" i="26"/>
  <c r="Z2291" i="26"/>
  <c r="Z445" i="26"/>
  <c r="Z2040" i="26"/>
  <c r="Z3276" i="26"/>
  <c r="Z3297" i="26"/>
  <c r="Z1769" i="26"/>
  <c r="Z1387" i="26"/>
  <c r="Z970" i="26"/>
  <c r="Z1990" i="26"/>
  <c r="Z1255" i="26"/>
  <c r="Z2199" i="26"/>
  <c r="Z965" i="26"/>
  <c r="Z201" i="26"/>
  <c r="Z1071" i="26"/>
  <c r="Z1943" i="26"/>
  <c r="Z1814" i="26"/>
  <c r="Z1544" i="26"/>
  <c r="Z2839" i="26"/>
  <c r="Z1786" i="26"/>
  <c r="Z47" i="26"/>
  <c r="Z150" i="26"/>
  <c r="Z2006" i="26"/>
  <c r="Z1504" i="26"/>
  <c r="Z2859" i="26"/>
  <c r="Z273" i="26"/>
  <c r="Z448" i="26"/>
  <c r="Z1896" i="26"/>
  <c r="Z1511" i="26"/>
  <c r="Z2203" i="26"/>
  <c r="Z698" i="26"/>
  <c r="Z3341" i="26"/>
  <c r="Z2360" i="26"/>
  <c r="Z1485" i="26"/>
  <c r="Z3065" i="26"/>
  <c r="Z533" i="26"/>
  <c r="Z1738" i="26"/>
  <c r="Z2586" i="26"/>
  <c r="Z79" i="26"/>
  <c r="Z3343" i="26"/>
  <c r="Z3080" i="26"/>
  <c r="Z671" i="26"/>
  <c r="Z57" i="26"/>
  <c r="Z595" i="26"/>
  <c r="Z2509" i="26"/>
  <c r="Z3075" i="26"/>
  <c r="Z3084" i="26"/>
  <c r="Z2184" i="26"/>
  <c r="Z2986" i="26"/>
  <c r="Z3526" i="26"/>
  <c r="Z2645" i="26"/>
  <c r="Z2290" i="26"/>
  <c r="Z626" i="26"/>
  <c r="Z3181" i="26"/>
  <c r="Z1489" i="26"/>
  <c r="Z282" i="26"/>
  <c r="Z3044" i="26"/>
  <c r="Z1010" i="26"/>
  <c r="Z770" i="26"/>
  <c r="Z1988" i="26"/>
  <c r="Z1642" i="26"/>
  <c r="Z952" i="26"/>
  <c r="Z647" i="26"/>
  <c r="Z1567" i="26"/>
  <c r="Z1354" i="26"/>
  <c r="Z924" i="26"/>
  <c r="Z1021" i="26"/>
  <c r="Z2561" i="26"/>
  <c r="Z555" i="26"/>
  <c r="Z93" i="26"/>
  <c r="Z2304" i="26"/>
  <c r="Z3134" i="26"/>
  <c r="Z1847" i="26"/>
  <c r="Z289" i="26"/>
  <c r="Z1434" i="26"/>
  <c r="Z1957" i="26"/>
  <c r="Z2643" i="26"/>
  <c r="Z417" i="26"/>
  <c r="Z1685" i="26"/>
  <c r="Z1980" i="26"/>
  <c r="Z265" i="26"/>
  <c r="Z1666" i="26"/>
  <c r="Z2105" i="26"/>
  <c r="Z963" i="26"/>
  <c r="Z2606" i="26"/>
  <c r="Z2444" i="26"/>
  <c r="Z196" i="26"/>
  <c r="Z936" i="26"/>
  <c r="Z3085" i="26"/>
  <c r="Z2060" i="26"/>
  <c r="Z21" i="26"/>
  <c r="Z2412" i="26"/>
  <c r="Z2549" i="26"/>
  <c r="Z843" i="26"/>
  <c r="Z2315" i="26"/>
  <c r="Z167" i="26"/>
  <c r="Z138" i="26"/>
  <c r="Z1292" i="26"/>
  <c r="Z1618" i="26"/>
  <c r="Z1177" i="26"/>
  <c r="Z1507" i="26"/>
  <c r="Z1024" i="26"/>
  <c r="Z709" i="26"/>
  <c r="Z1223" i="26"/>
  <c r="Z2605" i="26"/>
  <c r="Z1499" i="26"/>
  <c r="Z3196" i="26"/>
  <c r="Z1260" i="26"/>
  <c r="Z1998" i="26"/>
  <c r="Z2286" i="26"/>
  <c r="Z823" i="26"/>
  <c r="Z1092" i="26"/>
  <c r="Z3250" i="26"/>
  <c r="Z1293" i="26"/>
  <c r="Z1414" i="26"/>
  <c r="Z1329" i="26"/>
  <c r="Z235" i="26"/>
  <c r="Z3298" i="26"/>
  <c r="Z859" i="26"/>
  <c r="Z2919" i="26"/>
  <c r="Z3356" i="26"/>
  <c r="Z3120" i="26"/>
  <c r="Z494" i="26"/>
  <c r="Z333" i="26"/>
  <c r="Z869" i="26"/>
  <c r="Z3370" i="26"/>
  <c r="Z1265" i="26"/>
  <c r="Z2649" i="26"/>
  <c r="Z3304" i="26"/>
  <c r="Z45" i="26"/>
  <c r="Z2929" i="26"/>
  <c r="Z2141" i="26"/>
  <c r="Z1016" i="26"/>
  <c r="Z1924" i="26"/>
  <c r="Z3386" i="26"/>
  <c r="Z1684" i="26"/>
  <c r="Z304" i="26"/>
  <c r="Z945" i="26"/>
  <c r="Z133" i="26"/>
  <c r="Z3443" i="26"/>
  <c r="Z746" i="26"/>
  <c r="Z3184" i="26"/>
  <c r="Z3182" i="26"/>
  <c r="Z2800" i="26"/>
  <c r="Z1556" i="26"/>
  <c r="Z1115" i="26"/>
  <c r="Z1641" i="26"/>
  <c r="Z1755" i="26"/>
  <c r="Z3099" i="26"/>
  <c r="Z1727" i="26"/>
  <c r="Z2539" i="26"/>
  <c r="Z2334" i="26"/>
  <c r="Z2312" i="26"/>
  <c r="Z1264" i="26"/>
  <c r="Z2268" i="26"/>
  <c r="Z2379" i="26"/>
  <c r="Z105" i="26"/>
  <c r="Z1636" i="26"/>
  <c r="Z680" i="26"/>
  <c r="Z377" i="26"/>
  <c r="Z862" i="26"/>
  <c r="Z3395" i="26"/>
  <c r="Z2325" i="26"/>
  <c r="Z1003" i="26"/>
  <c r="Z660" i="26"/>
  <c r="Z1737" i="26"/>
  <c r="Z1475" i="26"/>
  <c r="Z3132" i="26"/>
  <c r="Z614" i="26"/>
  <c r="Z2111" i="26"/>
  <c r="Z3457" i="26"/>
  <c r="Z1149" i="26"/>
  <c r="Z2192" i="26"/>
  <c r="Z2987" i="26"/>
  <c r="Z1267" i="26"/>
  <c r="Z2949" i="26"/>
  <c r="Z1607" i="26"/>
  <c r="Z1709" i="26"/>
  <c r="Z1382" i="26"/>
  <c r="Z3445" i="26"/>
  <c r="Z1938" i="26"/>
  <c r="Z3098" i="26"/>
  <c r="Z1819" i="26"/>
  <c r="Z2733" i="26"/>
  <c r="Z715" i="26"/>
  <c r="Z2936" i="26"/>
  <c r="Z141" i="26"/>
  <c r="Z2769" i="26"/>
  <c r="Z1389" i="26"/>
  <c r="Z3522" i="26"/>
  <c r="Z1394" i="26"/>
  <c r="Z3527" i="26"/>
  <c r="Z3076" i="26"/>
  <c r="Z1776" i="26"/>
  <c r="Z2555" i="26"/>
  <c r="Z2739" i="26"/>
  <c r="Z53" i="26"/>
  <c r="Z1064" i="26"/>
  <c r="Z2003" i="26"/>
  <c r="Z510" i="26"/>
  <c r="Z2438" i="26"/>
  <c r="Z3231" i="26"/>
  <c r="Z2321" i="26"/>
  <c r="Z2293" i="26"/>
  <c r="Z1490" i="26"/>
  <c r="Z2218" i="26"/>
  <c r="Z1813" i="26"/>
  <c r="Z3397" i="26"/>
  <c r="Z128" i="26"/>
  <c r="Z735" i="26"/>
  <c r="Z2653" i="26"/>
  <c r="Z1377" i="26"/>
  <c r="Z1009" i="26"/>
  <c r="Z236" i="26"/>
  <c r="Z2896" i="26"/>
  <c r="Z627" i="26"/>
  <c r="Z1086" i="26"/>
  <c r="Z3175" i="26"/>
  <c r="Z1848" i="26"/>
  <c r="Z2760" i="26"/>
  <c r="Z2530" i="26"/>
  <c r="Z787" i="26"/>
  <c r="Z1084" i="26"/>
  <c r="Z1383" i="26"/>
  <c r="Z3034" i="26"/>
  <c r="Z3537" i="26"/>
  <c r="Z2316" i="26"/>
  <c r="Z330" i="26"/>
  <c r="Z1822" i="26"/>
  <c r="Z1476" i="26"/>
  <c r="Z3208" i="26"/>
  <c r="Z395" i="26"/>
  <c r="Z413" i="26"/>
  <c r="Z3326" i="26"/>
  <c r="Z2048" i="26"/>
  <c r="Z3162" i="26"/>
  <c r="Z1466" i="26"/>
  <c r="Z2734" i="26"/>
  <c r="Z2364" i="26"/>
  <c r="Z509" i="26"/>
  <c r="Z1053" i="26"/>
  <c r="Z2648" i="26"/>
  <c r="Z2722" i="26"/>
  <c r="Z108" i="26"/>
  <c r="Z2827" i="26"/>
  <c r="Z1403" i="26"/>
  <c r="Z652" i="26"/>
  <c r="Z3179" i="26"/>
  <c r="Z1381" i="26"/>
  <c r="Z3013" i="26"/>
  <c r="Z3026" i="26"/>
  <c r="Z186" i="26"/>
  <c r="Z664" i="26"/>
  <c r="Z1906" i="26"/>
  <c r="Z2615" i="26"/>
  <c r="Z922" i="26"/>
  <c r="Z3095" i="26"/>
  <c r="Z1191" i="26"/>
  <c r="Z3268" i="26"/>
  <c r="Z623" i="26"/>
  <c r="Z560" i="26"/>
  <c r="Z2248" i="26"/>
  <c r="Z1918" i="26"/>
  <c r="Z3504" i="26"/>
  <c r="Z3383" i="26"/>
  <c r="Z1897" i="26"/>
  <c r="Z2468" i="26"/>
  <c r="Z3273" i="26"/>
  <c r="Z2310" i="26"/>
  <c r="Z2247" i="26"/>
  <c r="Z145" i="26"/>
  <c r="Z1263" i="26"/>
  <c r="Z1417" i="26"/>
  <c r="Z31" i="26"/>
  <c r="Z888" i="26"/>
  <c r="Z1446" i="26"/>
  <c r="Z3433" i="26"/>
  <c r="Z262" i="26"/>
  <c r="Z2131" i="26"/>
  <c r="Z1828" i="26"/>
  <c r="Z324" i="26"/>
  <c r="Z1059" i="26"/>
  <c r="Z3008" i="26"/>
  <c r="Z985" i="26"/>
  <c r="Z1688" i="26"/>
  <c r="Z1795" i="26"/>
  <c r="Z1239" i="26"/>
  <c r="Z2984" i="26"/>
  <c r="Z465" i="26"/>
  <c r="Z2715" i="26"/>
  <c r="Z689" i="26"/>
  <c r="Z2714" i="26"/>
  <c r="Z885" i="26"/>
  <c r="Z544" i="26"/>
  <c r="Z1720" i="26"/>
  <c r="Z2688" i="26"/>
  <c r="Z1537" i="26"/>
  <c r="Z3323" i="26"/>
  <c r="Z2730" i="26"/>
  <c r="Z2668" i="26"/>
  <c r="Z1419" i="26"/>
  <c r="Z866" i="26"/>
  <c r="Z1623" i="26"/>
  <c r="Z295" i="26"/>
  <c r="Z1039" i="26"/>
  <c r="Z2842" i="26"/>
  <c r="Z358" i="26"/>
  <c r="Z1359" i="26"/>
  <c r="Z3379" i="26"/>
  <c r="Z112" i="26"/>
  <c r="Z318" i="26"/>
  <c r="Z852" i="26"/>
  <c r="Z443" i="26"/>
  <c r="Z3141" i="26"/>
  <c r="Z1646" i="26"/>
  <c r="Z2432" i="26"/>
  <c r="Z1128" i="26"/>
  <c r="Z938" i="26"/>
  <c r="Z1829" i="26"/>
  <c r="Z551" i="26"/>
  <c r="Z3452" i="26"/>
  <c r="Z1168" i="26"/>
  <c r="Z687" i="26"/>
  <c r="Z354" i="26"/>
  <c r="Z1422" i="26"/>
  <c r="Z1525" i="26"/>
  <c r="Z2425" i="26"/>
  <c r="Z2440" i="26"/>
  <c r="Z2289" i="26"/>
  <c r="Z2823" i="26"/>
  <c r="Z3040" i="26"/>
  <c r="Z2832" i="26"/>
  <c r="Z2771" i="26"/>
  <c r="Z2134" i="26"/>
  <c r="Z2239" i="26"/>
  <c r="Z3484" i="26"/>
  <c r="Z3041" i="26"/>
  <c r="Z337" i="26"/>
  <c r="Z12" i="26"/>
  <c r="Z3149" i="26"/>
  <c r="Z3248" i="26"/>
  <c r="Z2962" i="26"/>
  <c r="Z3001" i="26"/>
  <c r="Z2216" i="26"/>
  <c r="Z412" i="26"/>
  <c r="Z80" i="26"/>
  <c r="Z206" i="26"/>
  <c r="Z529" i="26"/>
  <c r="Z3510" i="26"/>
  <c r="Z2791" i="26"/>
  <c r="Z939" i="26"/>
  <c r="Z2723" i="26"/>
  <c r="Z519" i="26"/>
  <c r="Z2819" i="26"/>
  <c r="Z1846" i="26"/>
  <c r="Z1699" i="26"/>
  <c r="Z346" i="26"/>
  <c r="Z3320" i="26"/>
  <c r="Z1161" i="26"/>
  <c r="Z1137" i="26"/>
  <c r="Z306" i="26"/>
  <c r="Z1430" i="26"/>
  <c r="Z1029" i="26"/>
  <c r="Z3137" i="26"/>
  <c r="Z1105" i="26"/>
  <c r="Z2808" i="26"/>
  <c r="Z460" i="26"/>
  <c r="Z2702" i="26"/>
  <c r="Z523" i="26"/>
  <c r="Z3448" i="26"/>
  <c r="Z2108" i="26"/>
  <c r="Z901" i="26"/>
  <c r="Z455" i="26"/>
  <c r="Z761" i="26"/>
  <c r="Z3093" i="26"/>
  <c r="Z912" i="26"/>
  <c r="Z1402" i="26"/>
  <c r="Z50" i="26"/>
  <c r="Z3087" i="26"/>
  <c r="Z579" i="26"/>
  <c r="Z851" i="26"/>
  <c r="T19" i="26"/>
  <c r="T40" i="26"/>
  <c r="T30" i="26"/>
  <c r="J9" i="4"/>
  <c r="J96" i="4"/>
  <c r="J45" i="4"/>
  <c r="J114" i="4"/>
  <c r="J67" i="4"/>
  <c r="J92" i="4"/>
  <c r="J109" i="4"/>
  <c r="J107" i="4"/>
  <c r="J66" i="4"/>
  <c r="J119" i="4"/>
  <c r="J57" i="4"/>
  <c r="J60" i="4"/>
  <c r="J81" i="4"/>
  <c r="J18" i="4"/>
  <c r="J112" i="4"/>
  <c r="J24" i="4"/>
  <c r="J10" i="4"/>
  <c r="J104" i="4"/>
  <c r="J41" i="4"/>
  <c r="J16" i="4"/>
  <c r="J113" i="4"/>
  <c r="J90" i="4"/>
  <c r="J76" i="4"/>
  <c r="J70" i="4"/>
  <c r="J1" i="4"/>
  <c r="J23" i="4"/>
  <c r="J121" i="4"/>
  <c r="J123" i="4"/>
  <c r="J103" i="4"/>
  <c r="J20" i="4"/>
  <c r="J126" i="4"/>
  <c r="J43" i="4"/>
  <c r="J52" i="4"/>
  <c r="J83" i="4"/>
  <c r="J111" i="4"/>
  <c r="J44" i="4"/>
  <c r="J62" i="4"/>
  <c r="J49" i="4"/>
  <c r="J88" i="4"/>
  <c r="J120" i="4"/>
  <c r="J22" i="4"/>
  <c r="J47" i="4"/>
  <c r="J78" i="4"/>
  <c r="J71" i="4"/>
  <c r="J95" i="4"/>
  <c r="J28" i="4"/>
  <c r="J75" i="4"/>
  <c r="J14" i="4"/>
  <c r="J69" i="4"/>
  <c r="J86" i="4"/>
  <c r="J7" i="4"/>
  <c r="J51" i="4"/>
  <c r="J94" i="4"/>
  <c r="J53" i="4"/>
  <c r="J61" i="4"/>
  <c r="J29" i="4"/>
  <c r="J37" i="4"/>
  <c r="J58" i="4"/>
  <c r="J17" i="4"/>
  <c r="J84" i="4"/>
  <c r="J102" i="4"/>
  <c r="J3" i="4"/>
  <c r="J93" i="4"/>
  <c r="J26" i="4"/>
  <c r="J85" i="4"/>
  <c r="J74" i="4"/>
  <c r="J46" i="4"/>
  <c r="J13" i="4"/>
  <c r="J15" i="4"/>
  <c r="J5" i="4"/>
  <c r="J125" i="4"/>
  <c r="J73" i="4"/>
  <c r="J79" i="4"/>
  <c r="J42" i="4"/>
  <c r="J72" i="4"/>
  <c r="J48" i="4"/>
  <c r="J40" i="4"/>
  <c r="J19" i="4"/>
  <c r="J116" i="4"/>
  <c r="J39" i="4"/>
  <c r="J110" i="4"/>
  <c r="J91" i="4"/>
  <c r="J30" i="4"/>
  <c r="J32" i="4"/>
  <c r="J82" i="4"/>
  <c r="J89" i="4"/>
  <c r="J50" i="4"/>
  <c r="J108" i="4"/>
  <c r="J99" i="4"/>
  <c r="J98" i="4"/>
  <c r="J2" i="4"/>
  <c r="J34" i="4"/>
  <c r="J65" i="4"/>
  <c r="J80" i="4"/>
  <c r="J12" i="4"/>
  <c r="J38" i="4"/>
  <c r="J59" i="4"/>
  <c r="J118" i="4"/>
  <c r="J100" i="4"/>
  <c r="J6" i="4"/>
  <c r="J35" i="4"/>
  <c r="J8" i="4"/>
  <c r="J27" i="4"/>
  <c r="J54" i="4"/>
  <c r="J68" i="4"/>
  <c r="J31" i="4"/>
  <c r="J106" i="4"/>
  <c r="J122" i="4"/>
  <c r="J36" i="4"/>
  <c r="J33" i="4"/>
  <c r="J97" i="4"/>
  <c r="J64" i="4"/>
  <c r="J55" i="4"/>
  <c r="J117" i="4"/>
  <c r="J101" i="4"/>
  <c r="J21" i="4"/>
  <c r="J124" i="4"/>
  <c r="J25" i="4"/>
  <c r="J105" i="4"/>
  <c r="J11" i="4"/>
  <c r="J87" i="4"/>
  <c r="J56" i="4"/>
  <c r="J4" i="4"/>
  <c r="J63" i="4"/>
  <c r="J77" i="4"/>
  <c r="J115" i="4"/>
  <c r="T13" i="26"/>
  <c r="T36" i="26"/>
  <c r="T39" i="26"/>
  <c r="T27" i="26"/>
  <c r="T45" i="26"/>
  <c r="S14" i="26"/>
  <c r="S52" i="26"/>
  <c r="S37" i="26"/>
  <c r="S42" i="26"/>
  <c r="S22" i="26"/>
  <c r="S51" i="26"/>
  <c r="S50" i="26"/>
  <c r="S26" i="26"/>
  <c r="S21" i="26"/>
  <c r="S12" i="26"/>
  <c r="C28" i="6"/>
  <c r="S33" i="26"/>
  <c r="S48" i="26"/>
  <c r="S11" i="26"/>
  <c r="S15" i="26"/>
  <c r="S38" i="26"/>
  <c r="S32" i="26"/>
  <c r="S47" i="26"/>
  <c r="S25" i="26"/>
  <c r="S49" i="26"/>
  <c r="S18" i="26"/>
  <c r="S31" i="26"/>
  <c r="S24" i="26"/>
  <c r="S46" i="26"/>
  <c r="S20" i="26"/>
  <c r="S41" i="26"/>
  <c r="S23" i="26"/>
  <c r="S35" i="26"/>
  <c r="S16" i="26"/>
  <c r="S43" i="26"/>
  <c r="S34" i="26"/>
  <c r="S44" i="26"/>
  <c r="S28" i="26"/>
  <c r="S17" i="26"/>
  <c r="S29" i="26"/>
  <c r="D29" i="6"/>
  <c r="T29" i="26" l="1"/>
  <c r="T17" i="26"/>
  <c r="T28" i="26"/>
  <c r="T44" i="26"/>
  <c r="T34" i="26"/>
  <c r="T43" i="26"/>
  <c r="T16" i="26"/>
  <c r="T35" i="26"/>
  <c r="T23" i="26"/>
  <c r="T41" i="26"/>
  <c r="T20" i="26"/>
  <c r="T46" i="26"/>
  <c r="T24" i="26"/>
  <c r="T31" i="26"/>
  <c r="T18" i="26"/>
  <c r="T49" i="26"/>
  <c r="T25" i="26"/>
  <c r="T47" i="26"/>
  <c r="T32" i="26"/>
  <c r="T38" i="26"/>
  <c r="T15" i="26"/>
  <c r="T11" i="26"/>
  <c r="T48" i="26"/>
  <c r="T33" i="26"/>
  <c r="T12" i="26"/>
  <c r="T21" i="26"/>
  <c r="T26" i="26"/>
  <c r="T50" i="26"/>
  <c r="T51" i="26"/>
  <c r="T22" i="26"/>
  <c r="T42" i="26"/>
  <c r="T37" i="26"/>
  <c r="T52" i="26"/>
  <c r="T14" i="26"/>
  <c r="D28" i="6"/>
  <c r="D27" i="6"/>
  <c r="K4" i="26"/>
  <c r="J7" i="26"/>
  <c r="J9" i="26"/>
  <c r="J8" i="26"/>
  <c r="K8" i="26"/>
  <c r="K9" i="26"/>
  <c r="J5" i="26"/>
  <c r="K7" i="26"/>
  <c r="K3" i="26"/>
  <c r="J6" i="26"/>
  <c r="J3" i="26"/>
  <c r="K5" i="26"/>
  <c r="K6" i="26"/>
  <c r="J4" i="26"/>
  <c r="U11" i="26" l="1"/>
  <c r="H9" i="26"/>
  <c r="G9" i="26"/>
  <c r="H6" i="26"/>
  <c r="H8" i="26"/>
  <c r="H5" i="26"/>
  <c r="H7" i="26"/>
  <c r="G7" i="26"/>
  <c r="G6" i="26"/>
  <c r="H3" i="26"/>
  <c r="G3" i="26"/>
  <c r="G5" i="26"/>
  <c r="G4" i="26"/>
  <c r="G8" i="26"/>
  <c r="H4" i="26"/>
  <c r="I9" i="26" l="1"/>
  <c r="I7" i="26"/>
  <c r="I6" i="26"/>
  <c r="I4" i="26"/>
  <c r="I3" i="26"/>
  <c r="I8" i="26"/>
  <c r="I5"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<sst xmlns="http://schemas.openxmlformats.org/spreadsheetml/2006/main" count="318" uniqueCount="141">
  <si>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</si>
  <si>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</si>
  <si>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</si>
  <si>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</si>
  <si>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</si>
  <si>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</si>
  <si>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</si>
  <si>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</si>
  <si>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</si>
  <si>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</si>
  <si>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</si>
  <si>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</si>
  <si>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</si>
  <si>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</si>
  <si>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</si>
  <si>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</si>
  <si>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</si>
  <si>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</si>
  <si>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</si>
  <si>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</si>
  <si>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</si>
  <si>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</si>
  <si>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</si>
  <si>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</si>
  <si>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</si>
  <si>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</si>
  <si>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</si>
  <si>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</si>
  <si>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</si>
  <si>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</si>
  <si>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</si>
  <si>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</si>
  <si>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</si>
  <si>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</si>
  <si>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</si>
  <si>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</si>
  <si>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</si>
  <si>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</si>
  <si>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</si>
  <si>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</si>
  <si>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</si>
  <si>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</si>
  <si>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</si>
  <si>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</si>
  <si>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</si>
  <si>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</si>
  <si>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</si>
  <si>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</si>
  <si>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</si>
  <si>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</si>
  <si>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</si>
  <si>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</si>
  <si>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</si>
  <si>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</si>
  <si>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</si>
  <si>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</si>
  <si>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</si>
  <si>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</si>
  <si>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</si>
  <si>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</si>
  <si>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</si>
  <si>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</si>
  <si>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</si>
  <si>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</si>
  <si>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</si>
  <si>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</si>
  <si>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</si>
  <si>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</si>
  <si>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</si>
  <si>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</si>
  <si>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</si>
  <si>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</si>
  <si>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</si>
  <si>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</si>
  <si>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</si>
  <si>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</si>
  <si>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</si>
  <si>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</si>
  <si>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</si>
  <si>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</si>
  <si>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</si>
  <si>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</si>
  <si>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</si>
  <si>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</si>
  <si>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</si>
  <si>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</si>
  <si>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</si>
  <si>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</si>
  <si>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</si>
  <si>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</si>
  <si>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</si>
  <si>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</si>
  <si>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</si>
  <si>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</si>
  <si>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</si>
  <si>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</si>
  <si>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</si>
  <si>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</si>
  <si>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</si>
  <si>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</si>
  <si>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</si>
  <si>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</si>
  <si>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</si>
  <si>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</si>
  <si>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</si>
  <si>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</si>
  <si>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</si>
  <si>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</si>
  <si>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</si>
  <si>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</si>
  <si>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</si>
  <si>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</si>
  <si>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</si>
  <si>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</si>
  <si>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</si>
  <si>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</si>
  <si>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</si>
  <si>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</si>
  <si>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</si>
  <si>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</si>
  <si>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</si>
  <si>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</si>
  <si>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</si>
  <si>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</si>
  <si>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</si>
  <si>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</si>
  <si>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</si>
  <si>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</si>
  <si>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</si>
  <si>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</si>
  <si>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</si>
  <si>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</si>
  <si>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</si>
  <si>
    <t>13M</t>
  </si>
  <si>
    <t>14M</t>
  </si>
  <si>
    <t>16M</t>
  </si>
  <si>
    <t>17M</t>
  </si>
  <si>
    <t>19M</t>
  </si>
  <si>
    <t>20M</t>
  </si>
  <si>
    <t>22M</t>
  </si>
  <si>
    <t>23M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</si>
</sst>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7"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1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4"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4"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4" fillId="6" borderId="44" xfId="1" applyFont="1" applyFill="1" applyBorder="1" applyAlignment="1">
      <alignment horizontal="center" vertical="center" wrapText="1"/>
    </xf>
    <xf numFmtId="165" fontId="25" fillId="0" borderId="0" xfId="15" applyNumberFormat="1" applyFont="1" applyBorder="1"/>
    <xf numFmtId="0" fontId="2" fillId="2" borderId="4" xfId="4" applyFont="1" applyFill="1" applyBorder="1"/>
    <xf numFmtId="0" fontId="26" fillId="0" borderId="0" xfId="4" applyFont="1"/>
    <xf numFmtId="0" fontId="4" fillId="2" borderId="23" xfId="4" applyFont="1" applyFill="1" applyBorder="1" applyAlignment="1">
      <alignment horizontal="center"/>
    </xf>
    <xf numFmtId="172" fontId="2" fillId="8" borderId="23" xfId="4" applyNumberFormat="1" applyFont="1" applyFill="1" applyBorder="1" applyAlignment="1"/>
    <xf numFmtId="172" fontId="2" fillId="2" borderId="23" xfId="4" applyNumberFormat="1" applyFont="1" applyFill="1" applyBorder="1" applyAlignment="1">
      <alignment horizontal="left"/>
    </xf>
    <xf numFmtId="0" fontId="2" fillId="2" borderId="23" xfId="4" applyNumberFormat="1" applyFont="1" applyFill="1" applyBorder="1" applyAlignment="1">
      <alignment horizontal="left"/>
    </xf>
    <xf numFmtId="0" fontId="2" fillId="2" borderId="3" xfId="4" applyFont="1" applyFill="1" applyBorder="1" applyAlignment="1">
      <alignment horizontal="center"/>
    </xf>
    <xf numFmtId="0" fontId="2" fillId="2" borderId="1" xfId="4" applyFont="1" applyFill="1" applyBorder="1"/>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41830</c:v>
                </c:pt>
                <c:pt idx="1">
                  <c:v>41831</c:v>
                </c:pt>
                <c:pt idx="2">
                  <c:v>41834</c:v>
                </c:pt>
                <c:pt idx="3">
                  <c:v>41835</c:v>
                </c:pt>
                <c:pt idx="4">
                  <c:v>41836</c:v>
                </c:pt>
                <c:pt idx="5">
                  <c:v>41837</c:v>
                </c:pt>
                <c:pt idx="6">
                  <c:v>41838</c:v>
                </c:pt>
                <c:pt idx="7">
                  <c:v>41842</c:v>
                </c:pt>
                <c:pt idx="8">
                  <c:v>41843</c:v>
                </c:pt>
                <c:pt idx="9">
                  <c:v>41844</c:v>
                </c:pt>
                <c:pt idx="10">
                  <c:v>41845</c:v>
                </c:pt>
                <c:pt idx="11">
                  <c:v>41848</c:v>
                </c:pt>
                <c:pt idx="12">
                  <c:v>41849</c:v>
                </c:pt>
                <c:pt idx="13">
                  <c:v>41850</c:v>
                </c:pt>
                <c:pt idx="14">
                  <c:v>41851</c:v>
                </c:pt>
                <c:pt idx="15">
                  <c:v>41852</c:v>
                </c:pt>
                <c:pt idx="16">
                  <c:v>41855</c:v>
                </c:pt>
                <c:pt idx="17">
                  <c:v>41856</c:v>
                </c:pt>
                <c:pt idx="18">
                  <c:v>41857</c:v>
                </c:pt>
                <c:pt idx="19">
                  <c:v>41858</c:v>
                </c:pt>
                <c:pt idx="20">
                  <c:v>41859</c:v>
                </c:pt>
                <c:pt idx="21">
                  <c:v>41862</c:v>
                </c:pt>
                <c:pt idx="22">
                  <c:v>41863</c:v>
                </c:pt>
                <c:pt idx="23">
                  <c:v>41864</c:v>
                </c:pt>
                <c:pt idx="24">
                  <c:v>41865</c:v>
                </c:pt>
                <c:pt idx="25">
                  <c:v>41866</c:v>
                </c:pt>
                <c:pt idx="26">
                  <c:v>41869</c:v>
                </c:pt>
                <c:pt idx="27">
                  <c:v>41870</c:v>
                </c:pt>
                <c:pt idx="28">
                  <c:v>41871</c:v>
                </c:pt>
                <c:pt idx="29">
                  <c:v>41872</c:v>
                </c:pt>
                <c:pt idx="30">
                  <c:v>41873</c:v>
                </c:pt>
                <c:pt idx="31">
                  <c:v>41876</c:v>
                </c:pt>
                <c:pt idx="32">
                  <c:v>41877</c:v>
                </c:pt>
                <c:pt idx="33">
                  <c:v>41878</c:v>
                </c:pt>
                <c:pt idx="34">
                  <c:v>41879</c:v>
                </c:pt>
                <c:pt idx="35">
                  <c:v>41880</c:v>
                </c:pt>
                <c:pt idx="36">
                  <c:v>41883</c:v>
                </c:pt>
                <c:pt idx="37">
                  <c:v>41884</c:v>
                </c:pt>
                <c:pt idx="38">
                  <c:v>41885</c:v>
                </c:pt>
                <c:pt idx="39">
                  <c:v>41886</c:v>
                </c:pt>
                <c:pt idx="40">
                  <c:v>41887</c:v>
                </c:pt>
                <c:pt idx="41">
                  <c:v>41890</c:v>
                </c:pt>
                <c:pt idx="42">
                  <c:v>41891</c:v>
                </c:pt>
                <c:pt idx="43">
                  <c:v>41892</c:v>
                </c:pt>
                <c:pt idx="44">
                  <c:v>41893</c:v>
                </c:pt>
                <c:pt idx="45">
                  <c:v>41894</c:v>
                </c:pt>
                <c:pt idx="46">
                  <c:v>41898</c:v>
                </c:pt>
                <c:pt idx="47">
                  <c:v>41899</c:v>
                </c:pt>
                <c:pt idx="48">
                  <c:v>41900</c:v>
                </c:pt>
                <c:pt idx="49">
                  <c:v>41901</c:v>
                </c:pt>
                <c:pt idx="50">
                  <c:v>41904</c:v>
                </c:pt>
                <c:pt idx="51">
                  <c:v>41906</c:v>
                </c:pt>
                <c:pt idx="52">
                  <c:v>41907</c:v>
                </c:pt>
                <c:pt idx="53">
                  <c:v>41908</c:v>
                </c:pt>
                <c:pt idx="54">
                  <c:v>41911</c:v>
                </c:pt>
                <c:pt idx="55">
                  <c:v>41912</c:v>
                </c:pt>
                <c:pt idx="56">
                  <c:v>41913</c:v>
                </c:pt>
                <c:pt idx="57">
                  <c:v>41914</c:v>
                </c:pt>
                <c:pt idx="58">
                  <c:v>41915</c:v>
                </c:pt>
                <c:pt idx="59">
                  <c:v>41918</c:v>
                </c:pt>
                <c:pt idx="60">
                  <c:v>41919</c:v>
                </c:pt>
                <c:pt idx="61">
                  <c:v>41920</c:v>
                </c:pt>
                <c:pt idx="62">
                  <c:v>41921</c:v>
                </c:pt>
                <c:pt idx="63">
                  <c:v>41922</c:v>
                </c:pt>
                <c:pt idx="64">
                  <c:v>41926</c:v>
                </c:pt>
                <c:pt idx="65">
                  <c:v>41927</c:v>
                </c:pt>
                <c:pt idx="66">
                  <c:v>41928</c:v>
                </c:pt>
                <c:pt idx="67">
                  <c:v>41929</c:v>
                </c:pt>
                <c:pt idx="68">
                  <c:v>41932</c:v>
                </c:pt>
                <c:pt idx="69">
                  <c:v>41933</c:v>
                </c:pt>
                <c:pt idx="70">
                  <c:v>41934</c:v>
                </c:pt>
                <c:pt idx="71">
                  <c:v>41935</c:v>
                </c:pt>
                <c:pt idx="72">
                  <c:v>41936</c:v>
                </c:pt>
                <c:pt idx="73">
                  <c:v>41939</c:v>
                </c:pt>
                <c:pt idx="74">
                  <c:v>41940</c:v>
                </c:pt>
                <c:pt idx="75">
                  <c:v>41941</c:v>
                </c:pt>
                <c:pt idx="76">
                  <c:v>41942</c:v>
                </c:pt>
                <c:pt idx="77">
                  <c:v>41943</c:v>
                </c:pt>
                <c:pt idx="78">
                  <c:v>41947</c:v>
                </c:pt>
                <c:pt idx="79">
                  <c:v>41948</c:v>
                </c:pt>
                <c:pt idx="80">
                  <c:v>41949</c:v>
                </c:pt>
                <c:pt idx="81">
                  <c:v>41950</c:v>
                </c:pt>
                <c:pt idx="82">
                  <c:v>41953</c:v>
                </c:pt>
                <c:pt idx="83">
                  <c:v>41954</c:v>
                </c:pt>
                <c:pt idx="84">
                  <c:v>41955</c:v>
                </c:pt>
                <c:pt idx="85">
                  <c:v>41956</c:v>
                </c:pt>
                <c:pt idx="86">
                  <c:v>41957</c:v>
                </c:pt>
                <c:pt idx="87">
                  <c:v>41960</c:v>
                </c:pt>
                <c:pt idx="88">
                  <c:v>41961</c:v>
                </c:pt>
                <c:pt idx="89">
                  <c:v>41962</c:v>
                </c:pt>
                <c:pt idx="90">
                  <c:v>41963</c:v>
                </c:pt>
                <c:pt idx="91">
                  <c:v>41964</c:v>
                </c:pt>
                <c:pt idx="92">
                  <c:v>41968</c:v>
                </c:pt>
                <c:pt idx="93">
                  <c:v>41969</c:v>
                </c:pt>
                <c:pt idx="94">
                  <c:v>41970</c:v>
                </c:pt>
                <c:pt idx="95">
                  <c:v>41971</c:v>
                </c:pt>
                <c:pt idx="96">
                  <c:v>41974</c:v>
                </c:pt>
                <c:pt idx="97">
                  <c:v>41975</c:v>
                </c:pt>
                <c:pt idx="98">
                  <c:v>41976</c:v>
                </c:pt>
                <c:pt idx="99">
                  <c:v>41977</c:v>
                </c:pt>
                <c:pt idx="100">
                  <c:v>41978</c:v>
                </c:pt>
                <c:pt idx="101">
                  <c:v>41981</c:v>
                </c:pt>
                <c:pt idx="102">
                  <c:v>41982</c:v>
                </c:pt>
                <c:pt idx="103">
                  <c:v>41983</c:v>
                </c:pt>
                <c:pt idx="104">
                  <c:v>41984</c:v>
                </c:pt>
                <c:pt idx="105">
                  <c:v>41985</c:v>
                </c:pt>
                <c:pt idx="106">
                  <c:v>41988</c:v>
                </c:pt>
                <c:pt idx="107">
                  <c:v>41989</c:v>
                </c:pt>
                <c:pt idx="108">
                  <c:v>41990</c:v>
                </c:pt>
                <c:pt idx="109">
                  <c:v>41991</c:v>
                </c:pt>
                <c:pt idx="110">
                  <c:v>41992</c:v>
                </c:pt>
                <c:pt idx="111">
                  <c:v>41995</c:v>
                </c:pt>
                <c:pt idx="112">
                  <c:v>41997</c:v>
                </c:pt>
                <c:pt idx="113">
                  <c:v>41998</c:v>
                </c:pt>
                <c:pt idx="114">
                  <c:v>41999</c:v>
                </c:pt>
                <c:pt idx="115">
                  <c:v>42002</c:v>
                </c:pt>
                <c:pt idx="116">
                  <c:v>42003</c:v>
                </c:pt>
                <c:pt idx="117">
                  <c:v>42009</c:v>
                </c:pt>
                <c:pt idx="118">
                  <c:v>42010</c:v>
                </c:pt>
                <c:pt idx="119">
                  <c:v>42011</c:v>
                </c:pt>
                <c:pt idx="120">
                  <c:v>42012</c:v>
                </c:pt>
                <c:pt idx="121">
                  <c:v>42013</c:v>
                </c:pt>
                <c:pt idx="122">
                  <c:v>42017</c:v>
                </c:pt>
                <c:pt idx="123">
                  <c:v>42018</c:v>
                </c:pt>
                <c:pt idx="124">
                  <c:v>42019</c:v>
                </c:pt>
                <c:pt idx="125">
                  <c:v>42020</c:v>
                </c:pt>
                <c:pt idx="126">
                  <c:v>42023</c:v>
                </c:pt>
                <c:pt idx="127">
                  <c:v>42024</c:v>
                </c:pt>
                <c:pt idx="128">
                  <c:v>42025</c:v>
                </c:pt>
                <c:pt idx="129">
                  <c:v>42026</c:v>
                </c:pt>
                <c:pt idx="130">
                  <c:v>42027</c:v>
                </c:pt>
                <c:pt idx="131">
                  <c:v>42030</c:v>
                </c:pt>
                <c:pt idx="132">
                  <c:v>42031</c:v>
                </c:pt>
                <c:pt idx="133">
                  <c:v>42032</c:v>
                </c:pt>
                <c:pt idx="134">
                  <c:v>42033</c:v>
                </c:pt>
                <c:pt idx="135">
                  <c:v>42034</c:v>
                </c:pt>
                <c:pt idx="136">
                  <c:v>42037</c:v>
                </c:pt>
                <c:pt idx="137">
                  <c:v>42038</c:v>
                </c:pt>
                <c:pt idx="138">
                  <c:v>42039</c:v>
                </c:pt>
                <c:pt idx="139">
                  <c:v>42040</c:v>
                </c:pt>
                <c:pt idx="140">
                  <c:v>42041</c:v>
                </c:pt>
                <c:pt idx="141">
                  <c:v>42044</c:v>
                </c:pt>
                <c:pt idx="142">
                  <c:v>42045</c:v>
                </c:pt>
                <c:pt idx="143">
                  <c:v>42047</c:v>
                </c:pt>
                <c:pt idx="144">
                  <c:v>42048</c:v>
                </c:pt>
                <c:pt idx="145">
                  <c:v>42051</c:v>
                </c:pt>
                <c:pt idx="146">
                  <c:v>42052</c:v>
                </c:pt>
                <c:pt idx="147">
                  <c:v>42053</c:v>
                </c:pt>
                <c:pt idx="148">
                  <c:v>42054</c:v>
                </c:pt>
                <c:pt idx="149">
                  <c:v>42055</c:v>
                </c:pt>
                <c:pt idx="150">
                  <c:v>42058</c:v>
                </c:pt>
                <c:pt idx="151">
                  <c:v>42059</c:v>
                </c:pt>
                <c:pt idx="152">
                  <c:v>42060</c:v>
                </c:pt>
                <c:pt idx="153">
                  <c:v>42061</c:v>
                </c:pt>
                <c:pt idx="154">
                  <c:v>42062</c:v>
                </c:pt>
                <c:pt idx="155">
                  <c:v>42065</c:v>
                </c:pt>
                <c:pt idx="156">
                  <c:v>42066</c:v>
                </c:pt>
                <c:pt idx="157">
                  <c:v>42067</c:v>
                </c:pt>
                <c:pt idx="158">
                  <c:v>42068</c:v>
                </c:pt>
                <c:pt idx="159">
                  <c:v>42069</c:v>
                </c:pt>
                <c:pt idx="160">
                  <c:v>42072</c:v>
                </c:pt>
                <c:pt idx="161">
                  <c:v>42073</c:v>
                </c:pt>
                <c:pt idx="162">
                  <c:v>42074</c:v>
                </c:pt>
                <c:pt idx="163">
                  <c:v>42075</c:v>
                </c:pt>
                <c:pt idx="164">
                  <c:v>42076</c:v>
                </c:pt>
                <c:pt idx="165">
                  <c:v>42079</c:v>
                </c:pt>
                <c:pt idx="166">
                  <c:v>42080</c:v>
                </c:pt>
                <c:pt idx="167">
                  <c:v>42081</c:v>
                </c:pt>
                <c:pt idx="168">
                  <c:v>42082</c:v>
                </c:pt>
                <c:pt idx="169">
                  <c:v>42083</c:v>
                </c:pt>
                <c:pt idx="170">
                  <c:v>42086</c:v>
                </c:pt>
                <c:pt idx="171">
                  <c:v>42087</c:v>
                </c:pt>
                <c:pt idx="172">
                  <c:v>42088</c:v>
                </c:pt>
                <c:pt idx="173">
                  <c:v>42089</c:v>
                </c:pt>
                <c:pt idx="174">
                  <c:v>42090</c:v>
                </c:pt>
                <c:pt idx="175">
                  <c:v>42093</c:v>
                </c:pt>
                <c:pt idx="176">
                  <c:v>42094</c:v>
                </c:pt>
                <c:pt idx="177">
                  <c:v>42095</c:v>
                </c:pt>
                <c:pt idx="178">
                  <c:v>42096</c:v>
                </c:pt>
                <c:pt idx="179">
                  <c:v>42097</c:v>
                </c:pt>
                <c:pt idx="180">
                  <c:v>42100</c:v>
                </c:pt>
                <c:pt idx="181">
                  <c:v>42101</c:v>
                </c:pt>
                <c:pt idx="182">
                  <c:v>42102</c:v>
                </c:pt>
                <c:pt idx="183">
                  <c:v>42103</c:v>
                </c:pt>
                <c:pt idx="184">
                  <c:v>42104</c:v>
                </c:pt>
                <c:pt idx="185">
                  <c:v>42107</c:v>
                </c:pt>
                <c:pt idx="186">
                  <c:v>42108</c:v>
                </c:pt>
                <c:pt idx="187">
                  <c:v>42109</c:v>
                </c:pt>
                <c:pt idx="188">
                  <c:v>42110</c:v>
                </c:pt>
                <c:pt idx="189">
                  <c:v>42111</c:v>
                </c:pt>
                <c:pt idx="190">
                  <c:v>42114</c:v>
                </c:pt>
                <c:pt idx="191">
                  <c:v>42115</c:v>
                </c:pt>
                <c:pt idx="192">
                  <c:v>42116</c:v>
                </c:pt>
                <c:pt idx="193">
                  <c:v>42117</c:v>
                </c:pt>
                <c:pt idx="194">
                  <c:v>42118</c:v>
                </c:pt>
                <c:pt idx="195">
                  <c:v>42121</c:v>
                </c:pt>
                <c:pt idx="196">
                  <c:v>42122</c:v>
                </c:pt>
                <c:pt idx="197">
                  <c:v>42124</c:v>
                </c:pt>
                <c:pt idx="198">
                  <c:v>42125</c:v>
                </c:pt>
                <c:pt idx="199">
                  <c:v>42131</c:v>
                </c:pt>
                <c:pt idx="200">
                  <c:v>42132</c:v>
                </c:pt>
                <c:pt idx="201">
                  <c:v>42135</c:v>
                </c:pt>
                <c:pt idx="202">
                  <c:v>42136</c:v>
                </c:pt>
                <c:pt idx="203">
                  <c:v>42137</c:v>
                </c:pt>
                <c:pt idx="204">
                  <c:v>42138</c:v>
                </c:pt>
                <c:pt idx="205">
                  <c:v>42139</c:v>
                </c:pt>
                <c:pt idx="206">
                  <c:v>42142</c:v>
                </c:pt>
                <c:pt idx="207">
                  <c:v>42143</c:v>
                </c:pt>
                <c:pt idx="208">
                  <c:v>42144</c:v>
                </c:pt>
                <c:pt idx="209">
                  <c:v>42145</c:v>
                </c:pt>
                <c:pt idx="210">
                  <c:v>42146</c:v>
                </c:pt>
                <c:pt idx="211">
                  <c:v>42149</c:v>
                </c:pt>
                <c:pt idx="212">
                  <c:v>42150</c:v>
                </c:pt>
                <c:pt idx="213">
                  <c:v>42151</c:v>
                </c:pt>
                <c:pt idx="214">
                  <c:v>42152</c:v>
                </c:pt>
                <c:pt idx="215">
                  <c:v>42153</c:v>
                </c:pt>
                <c:pt idx="216">
                  <c:v>42156</c:v>
                </c:pt>
                <c:pt idx="217">
                  <c:v>42157</c:v>
                </c:pt>
                <c:pt idx="218">
                  <c:v>42158</c:v>
                </c:pt>
                <c:pt idx="219">
                  <c:v>42159</c:v>
                </c:pt>
                <c:pt idx="220">
                  <c:v>42160</c:v>
                </c:pt>
                <c:pt idx="221">
                  <c:v>42163</c:v>
                </c:pt>
                <c:pt idx="222">
                  <c:v>42164</c:v>
                </c:pt>
                <c:pt idx="223">
                  <c:v>42165</c:v>
                </c:pt>
                <c:pt idx="224">
                  <c:v>42166</c:v>
                </c:pt>
                <c:pt idx="225">
                  <c:v>42167</c:v>
                </c:pt>
                <c:pt idx="226">
                  <c:v>42170</c:v>
                </c:pt>
                <c:pt idx="227">
                  <c:v>42171</c:v>
                </c:pt>
                <c:pt idx="228">
                  <c:v>42172</c:v>
                </c:pt>
                <c:pt idx="229">
                  <c:v>42173</c:v>
                </c:pt>
                <c:pt idx="230">
                  <c:v>42174</c:v>
                </c:pt>
                <c:pt idx="231">
                  <c:v>42177</c:v>
                </c:pt>
                <c:pt idx="232">
                  <c:v>42178</c:v>
                </c:pt>
                <c:pt idx="233">
                  <c:v>42179</c:v>
                </c:pt>
                <c:pt idx="234">
                  <c:v>42180</c:v>
                </c:pt>
                <c:pt idx="235">
                  <c:v>42181</c:v>
                </c:pt>
                <c:pt idx="236">
                  <c:v>42184</c:v>
                </c:pt>
                <c:pt idx="237">
                  <c:v>42185</c:v>
                </c:pt>
                <c:pt idx="238">
                  <c:v>42186</c:v>
                </c:pt>
                <c:pt idx="239">
                  <c:v>42187</c:v>
                </c:pt>
                <c:pt idx="240">
                  <c:v>42188</c:v>
                </c:pt>
                <c:pt idx="241">
                  <c:v>42191</c:v>
                </c:pt>
                <c:pt idx="242">
                  <c:v>42192</c:v>
                </c:pt>
                <c:pt idx="243">
                  <c:v>42193</c:v>
                </c:pt>
                <c:pt idx="244">
                  <c:v>42194</c:v>
                </c:pt>
                <c:pt idx="245">
                  <c:v>42195</c:v>
                </c:pt>
                <c:pt idx="246">
                  <c:v>42198</c:v>
                </c:pt>
                <c:pt idx="247">
                  <c:v>42199</c:v>
                </c:pt>
                <c:pt idx="248">
                  <c:v>42200</c:v>
                </c:pt>
                <c:pt idx="249">
                  <c:v>42201</c:v>
                </c:pt>
                <c:pt idx="250">
                  <c:v>42202</c:v>
                </c:pt>
                <c:pt idx="251">
                  <c:v>42206</c:v>
                </c:pt>
                <c:pt idx="252">
                  <c:v>42207</c:v>
                </c:pt>
                <c:pt idx="253">
                  <c:v>42208</c:v>
                </c:pt>
                <c:pt idx="254">
                  <c:v>42209</c:v>
                </c:pt>
                <c:pt idx="255">
                  <c:v>42212</c:v>
                </c:pt>
                <c:pt idx="256">
                  <c:v>42213</c:v>
                </c:pt>
                <c:pt idx="257">
                  <c:v>42214</c:v>
                </c:pt>
                <c:pt idx="258">
                  <c:v>42215</c:v>
                </c:pt>
                <c:pt idx="259">
                  <c:v>42216</c:v>
                </c:pt>
                <c:pt idx="260">
                  <c:v>42219</c:v>
                </c:pt>
                <c:pt idx="261">
                  <c:v>42220</c:v>
                </c:pt>
                <c:pt idx="262">
                  <c:v>42221</c:v>
                </c:pt>
                <c:pt idx="263">
                  <c:v>42222</c:v>
                </c:pt>
                <c:pt idx="264">
                  <c:v>42223</c:v>
                </c:pt>
                <c:pt idx="265">
                  <c:v>42226</c:v>
                </c:pt>
                <c:pt idx="266">
                  <c:v>42227</c:v>
                </c:pt>
                <c:pt idx="267">
                  <c:v>42228</c:v>
                </c:pt>
                <c:pt idx="268">
                  <c:v>42229</c:v>
                </c:pt>
                <c:pt idx="269">
                  <c:v>42230</c:v>
                </c:pt>
                <c:pt idx="270">
                  <c:v>42233</c:v>
                </c:pt>
                <c:pt idx="271">
                  <c:v>42234</c:v>
                </c:pt>
                <c:pt idx="272">
                  <c:v>42235</c:v>
                </c:pt>
                <c:pt idx="273">
                  <c:v>42236</c:v>
                </c:pt>
                <c:pt idx="274">
                  <c:v>42237</c:v>
                </c:pt>
                <c:pt idx="275">
                  <c:v>42240</c:v>
                </c:pt>
                <c:pt idx="276">
                  <c:v>42241</c:v>
                </c:pt>
                <c:pt idx="277">
                  <c:v>42242</c:v>
                </c:pt>
                <c:pt idx="278">
                  <c:v>42243</c:v>
                </c:pt>
                <c:pt idx="279">
                  <c:v>42244</c:v>
                </c:pt>
                <c:pt idx="280">
                  <c:v>42247</c:v>
                </c:pt>
                <c:pt idx="281">
                  <c:v>42248</c:v>
                </c:pt>
                <c:pt idx="282">
                  <c:v>42249</c:v>
                </c:pt>
                <c:pt idx="283">
                  <c:v>42250</c:v>
                </c:pt>
                <c:pt idx="284">
                  <c:v>42251</c:v>
                </c:pt>
                <c:pt idx="285">
                  <c:v>42254</c:v>
                </c:pt>
                <c:pt idx="286">
                  <c:v>42255</c:v>
                </c:pt>
                <c:pt idx="287">
                  <c:v>42256</c:v>
                </c:pt>
                <c:pt idx="288">
                  <c:v>42257</c:v>
                </c:pt>
                <c:pt idx="289">
                  <c:v>42258</c:v>
                </c:pt>
                <c:pt idx="290">
                  <c:v>42261</c:v>
                </c:pt>
                <c:pt idx="291">
                  <c:v>42262</c:v>
                </c:pt>
                <c:pt idx="292">
                  <c:v>42263</c:v>
                </c:pt>
                <c:pt idx="293">
                  <c:v>42264</c:v>
                </c:pt>
                <c:pt idx="294">
                  <c:v>42265</c:v>
                </c:pt>
                <c:pt idx="295">
                  <c:v>42271</c:v>
                </c:pt>
                <c:pt idx="296">
                  <c:v>42272</c:v>
                </c:pt>
                <c:pt idx="297">
                  <c:v>42275</c:v>
                </c:pt>
                <c:pt idx="298">
                  <c:v>42276</c:v>
                </c:pt>
                <c:pt idx="299">
                  <c:v>42277</c:v>
                </c:pt>
                <c:pt idx="300">
                  <c:v>42278</c:v>
                </c:pt>
                <c:pt idx="301">
                  <c:v>42279</c:v>
                </c:pt>
                <c:pt idx="302">
                  <c:v>42282</c:v>
                </c:pt>
                <c:pt idx="303">
                  <c:v>42283</c:v>
                </c:pt>
                <c:pt idx="304">
                  <c:v>42284</c:v>
                </c:pt>
                <c:pt idx="305">
                  <c:v>42285</c:v>
                </c:pt>
                <c:pt idx="306">
                  <c:v>42286</c:v>
                </c:pt>
                <c:pt idx="307">
                  <c:v>42290</c:v>
                </c:pt>
                <c:pt idx="308">
                  <c:v>42291</c:v>
                </c:pt>
                <c:pt idx="309">
                  <c:v>42292</c:v>
                </c:pt>
                <c:pt idx="310">
                  <c:v>42293</c:v>
                </c:pt>
                <c:pt idx="311">
                  <c:v>42296</c:v>
                </c:pt>
                <c:pt idx="312">
                  <c:v>42297</c:v>
                </c:pt>
                <c:pt idx="313">
                  <c:v>42298</c:v>
                </c:pt>
                <c:pt idx="314">
                  <c:v>42299</c:v>
                </c:pt>
                <c:pt idx="315">
                  <c:v>42300</c:v>
                </c:pt>
                <c:pt idx="316">
                  <c:v>42303</c:v>
                </c:pt>
                <c:pt idx="317">
                  <c:v>42304</c:v>
                </c:pt>
                <c:pt idx="318">
                  <c:v>42305</c:v>
                </c:pt>
                <c:pt idx="319">
                  <c:v>42306</c:v>
                </c:pt>
                <c:pt idx="320">
                  <c:v>42307</c:v>
                </c:pt>
                <c:pt idx="321">
                  <c:v>42310</c:v>
                </c:pt>
                <c:pt idx="322">
                  <c:v>42312</c:v>
                </c:pt>
                <c:pt idx="323">
                  <c:v>42313</c:v>
                </c:pt>
                <c:pt idx="324">
                  <c:v>42314</c:v>
                </c:pt>
                <c:pt idx="325">
                  <c:v>42317</c:v>
                </c:pt>
                <c:pt idx="326">
                  <c:v>42318</c:v>
                </c:pt>
                <c:pt idx="327">
                  <c:v>42319</c:v>
                </c:pt>
                <c:pt idx="328">
                  <c:v>42320</c:v>
                </c:pt>
                <c:pt idx="329">
                  <c:v>42321</c:v>
                </c:pt>
                <c:pt idx="330">
                  <c:v>42324</c:v>
                </c:pt>
                <c:pt idx="331">
                  <c:v>42325</c:v>
                </c:pt>
                <c:pt idx="332">
                  <c:v>42326</c:v>
                </c:pt>
                <c:pt idx="333">
                  <c:v>42327</c:v>
                </c:pt>
                <c:pt idx="334">
                  <c:v>42328</c:v>
                </c:pt>
                <c:pt idx="335">
                  <c:v>42332</c:v>
                </c:pt>
                <c:pt idx="336">
                  <c:v>42333</c:v>
                </c:pt>
                <c:pt idx="337">
                  <c:v>42334</c:v>
                </c:pt>
                <c:pt idx="338">
                  <c:v>42335</c:v>
                </c:pt>
                <c:pt idx="339">
                  <c:v>42338</c:v>
                </c:pt>
                <c:pt idx="340">
                  <c:v>42339</c:v>
                </c:pt>
                <c:pt idx="341">
                  <c:v>42340</c:v>
                </c:pt>
                <c:pt idx="342">
                  <c:v>42341</c:v>
                </c:pt>
                <c:pt idx="343">
                  <c:v>42342</c:v>
                </c:pt>
                <c:pt idx="344">
                  <c:v>42345</c:v>
                </c:pt>
                <c:pt idx="345">
                  <c:v>42346</c:v>
                </c:pt>
                <c:pt idx="346">
                  <c:v>42347</c:v>
                </c:pt>
                <c:pt idx="347">
                  <c:v>42348</c:v>
                </c:pt>
                <c:pt idx="348">
                  <c:v>42349</c:v>
                </c:pt>
                <c:pt idx="349">
                  <c:v>42352</c:v>
                </c:pt>
                <c:pt idx="350">
                  <c:v>42353</c:v>
                </c:pt>
                <c:pt idx="351">
                  <c:v>42354</c:v>
                </c:pt>
                <c:pt idx="352">
                  <c:v>42355</c:v>
                </c:pt>
                <c:pt idx="353">
                  <c:v>42356</c:v>
                </c:pt>
                <c:pt idx="354">
                  <c:v>42359</c:v>
                </c:pt>
                <c:pt idx="355">
                  <c:v>42360</c:v>
                </c:pt>
                <c:pt idx="356">
                  <c:v>42362</c:v>
                </c:pt>
                <c:pt idx="357">
                  <c:v>42363</c:v>
                </c:pt>
                <c:pt idx="358">
                  <c:v>42366</c:v>
                </c:pt>
                <c:pt idx="359">
                  <c:v>42367</c:v>
                </c:pt>
                <c:pt idx="360">
                  <c:v>42368</c:v>
                </c:pt>
                <c:pt idx="361">
                  <c:v>42373</c:v>
                </c:pt>
                <c:pt idx="362">
                  <c:v>42374</c:v>
                </c:pt>
                <c:pt idx="363">
                  <c:v>42375</c:v>
                </c:pt>
                <c:pt idx="364">
                  <c:v>42376</c:v>
                </c:pt>
                <c:pt idx="365">
                  <c:v>42377</c:v>
                </c:pt>
                <c:pt idx="366">
                  <c:v>42381</c:v>
                </c:pt>
                <c:pt idx="367">
                  <c:v>42382</c:v>
                </c:pt>
                <c:pt idx="368">
                  <c:v>42383</c:v>
                </c:pt>
                <c:pt idx="369">
                  <c:v>42384</c:v>
                </c:pt>
                <c:pt idx="370">
                  <c:v>42387</c:v>
                </c:pt>
                <c:pt idx="371">
                  <c:v>42388</c:v>
                </c:pt>
                <c:pt idx="372">
                  <c:v>42389</c:v>
                </c:pt>
                <c:pt idx="373">
                  <c:v>42390</c:v>
                </c:pt>
                <c:pt idx="374">
                  <c:v>42391</c:v>
                </c:pt>
                <c:pt idx="375">
                  <c:v>42394</c:v>
                </c:pt>
                <c:pt idx="376">
                  <c:v>42395</c:v>
                </c:pt>
                <c:pt idx="377">
                  <c:v>42396</c:v>
                </c:pt>
                <c:pt idx="378">
                  <c:v>42397</c:v>
                </c:pt>
                <c:pt idx="379">
                  <c:v>42398</c:v>
                </c:pt>
                <c:pt idx="380">
                  <c:v>42401</c:v>
                </c:pt>
                <c:pt idx="381">
                  <c:v>42402</c:v>
                </c:pt>
                <c:pt idx="382">
                  <c:v>42403</c:v>
                </c:pt>
                <c:pt idx="383">
                  <c:v>42404</c:v>
                </c:pt>
                <c:pt idx="384">
                  <c:v>42405</c:v>
                </c:pt>
                <c:pt idx="385">
                  <c:v>42408</c:v>
                </c:pt>
                <c:pt idx="386">
                  <c:v>42409</c:v>
                </c:pt>
                <c:pt idx="387">
                  <c:v>42410</c:v>
                </c:pt>
                <c:pt idx="388">
                  <c:v>42412</c:v>
                </c:pt>
                <c:pt idx="389">
                  <c:v>42415</c:v>
                </c:pt>
                <c:pt idx="390">
                  <c:v>42416</c:v>
                </c:pt>
                <c:pt idx="391">
                  <c:v>42417</c:v>
                </c:pt>
                <c:pt idx="392">
                  <c:v>42418</c:v>
                </c:pt>
                <c:pt idx="393">
                  <c:v>42419</c:v>
                </c:pt>
                <c:pt idx="394">
                  <c:v>42422</c:v>
                </c:pt>
                <c:pt idx="395">
                  <c:v>42423</c:v>
                </c:pt>
                <c:pt idx="396">
                  <c:v>42424</c:v>
                </c:pt>
                <c:pt idx="397">
                  <c:v>42425</c:v>
                </c:pt>
                <c:pt idx="398">
                  <c:v>42426</c:v>
                </c:pt>
                <c:pt idx="399">
                  <c:v>42429</c:v>
                </c:pt>
                <c:pt idx="400">
                  <c:v>42430</c:v>
                </c:pt>
                <c:pt idx="401">
                  <c:v>42431</c:v>
                </c:pt>
                <c:pt idx="402">
                  <c:v>42432</c:v>
                </c:pt>
                <c:pt idx="403">
                  <c:v>42433</c:v>
                </c:pt>
                <c:pt idx="404">
                  <c:v>42436</c:v>
                </c:pt>
                <c:pt idx="405">
                  <c:v>42437</c:v>
                </c:pt>
                <c:pt idx="406">
                  <c:v>42438</c:v>
                </c:pt>
                <c:pt idx="407">
                  <c:v>42439</c:v>
                </c:pt>
                <c:pt idx="408">
                  <c:v>42440</c:v>
                </c:pt>
                <c:pt idx="409">
                  <c:v>42443</c:v>
                </c:pt>
                <c:pt idx="410">
                  <c:v>42444</c:v>
                </c:pt>
                <c:pt idx="411">
                  <c:v>42445</c:v>
                </c:pt>
                <c:pt idx="412">
                  <c:v>42446</c:v>
                </c:pt>
                <c:pt idx="413">
                  <c:v>42447</c:v>
                </c:pt>
                <c:pt idx="414">
                  <c:v>42451</c:v>
                </c:pt>
                <c:pt idx="415">
                  <c:v>42452</c:v>
                </c:pt>
                <c:pt idx="416">
                  <c:v>42453</c:v>
                </c:pt>
                <c:pt idx="417">
                  <c:v>42454</c:v>
                </c:pt>
                <c:pt idx="418">
                  <c:v>42457</c:v>
                </c:pt>
                <c:pt idx="419">
                  <c:v>42458</c:v>
                </c:pt>
                <c:pt idx="420">
                  <c:v>42459</c:v>
                </c:pt>
                <c:pt idx="421">
                  <c:v>42460</c:v>
                </c:pt>
                <c:pt idx="422">
                  <c:v>42461</c:v>
                </c:pt>
                <c:pt idx="423">
                  <c:v>42464</c:v>
                </c:pt>
                <c:pt idx="424">
                  <c:v>42465</c:v>
                </c:pt>
                <c:pt idx="425">
                  <c:v>42466</c:v>
                </c:pt>
                <c:pt idx="426">
                  <c:v>42467</c:v>
                </c:pt>
                <c:pt idx="427">
                  <c:v>42468</c:v>
                </c:pt>
                <c:pt idx="428">
                  <c:v>42471</c:v>
                </c:pt>
                <c:pt idx="429">
                  <c:v>42472</c:v>
                </c:pt>
                <c:pt idx="430">
                  <c:v>42473</c:v>
                </c:pt>
                <c:pt idx="431">
                  <c:v>42474</c:v>
                </c:pt>
                <c:pt idx="432">
                  <c:v>42475</c:v>
                </c:pt>
                <c:pt idx="433">
                  <c:v>42478</c:v>
                </c:pt>
                <c:pt idx="434">
                  <c:v>42479</c:v>
                </c:pt>
                <c:pt idx="435">
                  <c:v>42480</c:v>
                </c:pt>
                <c:pt idx="436">
                  <c:v>42481</c:v>
                </c:pt>
                <c:pt idx="437">
                  <c:v>42482</c:v>
                </c:pt>
                <c:pt idx="438">
                  <c:v>42485</c:v>
                </c:pt>
                <c:pt idx="439">
                  <c:v>42486</c:v>
                </c:pt>
                <c:pt idx="440">
                  <c:v>42487</c:v>
                </c:pt>
                <c:pt idx="441">
                  <c:v>42488</c:v>
                </c:pt>
                <c:pt idx="442">
                  <c:v>42492</c:v>
                </c:pt>
                <c:pt idx="443">
                  <c:v>42496</c:v>
                </c:pt>
                <c:pt idx="444">
                  <c:v>42499</c:v>
                </c:pt>
                <c:pt idx="445">
                  <c:v>42500</c:v>
                </c:pt>
                <c:pt idx="446">
                  <c:v>42501</c:v>
                </c:pt>
                <c:pt idx="447">
                  <c:v>42502</c:v>
                </c:pt>
                <c:pt idx="448">
                  <c:v>42503</c:v>
                </c:pt>
                <c:pt idx="449">
                  <c:v>42506</c:v>
                </c:pt>
                <c:pt idx="450">
                  <c:v>42507</c:v>
                </c:pt>
                <c:pt idx="451">
                  <c:v>42508</c:v>
                </c:pt>
                <c:pt idx="452">
                  <c:v>42509</c:v>
                </c:pt>
                <c:pt idx="453">
                  <c:v>42510</c:v>
                </c:pt>
                <c:pt idx="454">
                  <c:v>42513</c:v>
                </c:pt>
                <c:pt idx="455">
                  <c:v>42514</c:v>
                </c:pt>
                <c:pt idx="456">
                  <c:v>42515</c:v>
                </c:pt>
                <c:pt idx="457">
                  <c:v>42516</c:v>
                </c:pt>
                <c:pt idx="458">
                  <c:v>42517</c:v>
                </c:pt>
                <c:pt idx="459">
                  <c:v>42520</c:v>
                </c:pt>
                <c:pt idx="460">
                  <c:v>42521</c:v>
                </c:pt>
                <c:pt idx="461">
                  <c:v>42522</c:v>
                </c:pt>
                <c:pt idx="462">
                  <c:v>42523</c:v>
                </c:pt>
                <c:pt idx="463">
                  <c:v>42524</c:v>
                </c:pt>
                <c:pt idx="464">
                  <c:v>42527</c:v>
                </c:pt>
                <c:pt idx="465">
                  <c:v>42528</c:v>
                </c:pt>
                <c:pt idx="466">
                  <c:v>42529</c:v>
                </c:pt>
                <c:pt idx="467">
                  <c:v>42530</c:v>
                </c:pt>
                <c:pt idx="468">
                  <c:v>42531</c:v>
                </c:pt>
                <c:pt idx="469">
                  <c:v>42534</c:v>
                </c:pt>
                <c:pt idx="470">
                  <c:v>42535</c:v>
                </c:pt>
                <c:pt idx="471">
                  <c:v>42536</c:v>
                </c:pt>
                <c:pt idx="472">
                  <c:v>42537</c:v>
                </c:pt>
                <c:pt idx="473">
                  <c:v>42538</c:v>
                </c:pt>
                <c:pt idx="474">
                  <c:v>42541</c:v>
                </c:pt>
                <c:pt idx="475">
                  <c:v>42542</c:v>
                </c:pt>
                <c:pt idx="476">
                  <c:v>42543</c:v>
                </c:pt>
                <c:pt idx="477">
                  <c:v>42544</c:v>
                </c:pt>
                <c:pt idx="478">
                  <c:v>42545</c:v>
                </c:pt>
                <c:pt idx="479">
                  <c:v>42548</c:v>
                </c:pt>
                <c:pt idx="480">
                  <c:v>42549</c:v>
                </c:pt>
                <c:pt idx="481">
                  <c:v>42550</c:v>
                </c:pt>
                <c:pt idx="482">
                  <c:v>42551</c:v>
                </c:pt>
                <c:pt idx="483">
                  <c:v>42552</c:v>
                </c:pt>
                <c:pt idx="484">
                  <c:v>42555</c:v>
                </c:pt>
                <c:pt idx="485">
                  <c:v>42556</c:v>
                </c:pt>
                <c:pt idx="486">
                  <c:v>42557</c:v>
                </c:pt>
                <c:pt idx="487">
                  <c:v>42558</c:v>
                </c:pt>
                <c:pt idx="488">
                  <c:v>42559</c:v>
                </c:pt>
                <c:pt idx="489">
                  <c:v>42562</c:v>
                </c:pt>
                <c:pt idx="490">
                  <c:v>42563</c:v>
                </c:pt>
                <c:pt idx="491">
                  <c:v>42564</c:v>
                </c:pt>
                <c:pt idx="492">
                  <c:v>42565</c:v>
                </c:pt>
                <c:pt idx="493">
                  <c:v>42566</c:v>
                </c:pt>
                <c:pt idx="494">
                  <c:v>42570</c:v>
                </c:pt>
                <c:pt idx="495">
                  <c:v>42571</c:v>
                </c:pt>
                <c:pt idx="496">
                  <c:v>42572</c:v>
                </c:pt>
                <c:pt idx="497">
                  <c:v>42573</c:v>
                </c:pt>
                <c:pt idx="498">
                  <c:v>42576</c:v>
                </c:pt>
                <c:pt idx="499">
                  <c:v>42577</c:v>
                </c:pt>
                <c:pt idx="500">
                  <c:v>42578</c:v>
                </c:pt>
                <c:pt idx="501">
                  <c:v>42579</c:v>
                </c:pt>
                <c:pt idx="502">
                  <c:v>42580</c:v>
                </c:pt>
                <c:pt idx="503">
                  <c:v>42583</c:v>
                </c:pt>
                <c:pt idx="504">
                  <c:v>42584</c:v>
                </c:pt>
                <c:pt idx="505">
                  <c:v>42585</c:v>
                </c:pt>
                <c:pt idx="506">
                  <c:v>42586</c:v>
                </c:pt>
                <c:pt idx="507">
                  <c:v>42587</c:v>
                </c:pt>
                <c:pt idx="508">
                  <c:v>42590</c:v>
                </c:pt>
                <c:pt idx="509">
                  <c:v>42591</c:v>
                </c:pt>
                <c:pt idx="510">
                  <c:v>42592</c:v>
                </c:pt>
                <c:pt idx="511">
                  <c:v>42593</c:v>
                </c:pt>
                <c:pt idx="512">
                  <c:v>42594</c:v>
                </c:pt>
                <c:pt idx="513">
                  <c:v>42597</c:v>
                </c:pt>
                <c:pt idx="514">
                  <c:v>42598</c:v>
                </c:pt>
                <c:pt idx="515">
                  <c:v>42599</c:v>
                </c:pt>
                <c:pt idx="516">
                  <c:v>42600</c:v>
                </c:pt>
                <c:pt idx="517">
                  <c:v>42601</c:v>
                </c:pt>
                <c:pt idx="518">
                  <c:v>42608</c:v>
                </c:pt>
                <c:pt idx="519">
                  <c:v>42615</c:v>
                </c:pt>
                <c:pt idx="520">
                  <c:v>42622</c:v>
                </c:pt>
                <c:pt idx="521">
                  <c:v>42629</c:v>
                </c:pt>
                <c:pt idx="522">
                  <c:v>42636</c:v>
                </c:pt>
                <c:pt idx="523">
                  <c:v>42643</c:v>
                </c:pt>
                <c:pt idx="524">
                  <c:v>42650</c:v>
                </c:pt>
                <c:pt idx="525">
                  <c:v>42657</c:v>
                </c:pt>
                <c:pt idx="526">
                  <c:v>42664</c:v>
                </c:pt>
                <c:pt idx="527">
                  <c:v>42671</c:v>
                </c:pt>
                <c:pt idx="528">
                  <c:v>42678</c:v>
                </c:pt>
                <c:pt idx="529">
                  <c:v>42685</c:v>
                </c:pt>
                <c:pt idx="530">
                  <c:v>42692</c:v>
                </c:pt>
                <c:pt idx="531">
                  <c:v>42699</c:v>
                </c:pt>
                <c:pt idx="532">
                  <c:v>42706</c:v>
                </c:pt>
                <c:pt idx="533">
                  <c:v>42713</c:v>
                </c:pt>
                <c:pt idx="534">
                  <c:v>42720</c:v>
                </c:pt>
                <c:pt idx="535">
                  <c:v>42730</c:v>
                </c:pt>
                <c:pt idx="536">
                  <c:v>42739</c:v>
                </c:pt>
                <c:pt idx="537">
                  <c:v>42746</c:v>
                </c:pt>
                <c:pt idx="538">
                  <c:v>42753</c:v>
                </c:pt>
                <c:pt idx="539">
                  <c:v>42760</c:v>
                </c:pt>
                <c:pt idx="540">
                  <c:v>42767</c:v>
                </c:pt>
                <c:pt idx="541">
                  <c:v>42774</c:v>
                </c:pt>
                <c:pt idx="542">
                  <c:v>42781</c:v>
                </c:pt>
                <c:pt idx="543">
                  <c:v>42788</c:v>
                </c:pt>
                <c:pt idx="544">
                  <c:v>42795</c:v>
                </c:pt>
                <c:pt idx="545">
                  <c:v>42802</c:v>
                </c:pt>
                <c:pt idx="546">
                  <c:v>42809</c:v>
                </c:pt>
                <c:pt idx="547">
                  <c:v>42816</c:v>
                </c:pt>
                <c:pt idx="548">
                  <c:v>42823</c:v>
                </c:pt>
                <c:pt idx="549">
                  <c:v>42830</c:v>
                </c:pt>
                <c:pt idx="550">
                  <c:v>42837</c:v>
                </c:pt>
                <c:pt idx="551">
                  <c:v>42844</c:v>
                </c:pt>
                <c:pt idx="552">
                  <c:v>42851</c:v>
                </c:pt>
                <c:pt idx="553">
                  <c:v>42863</c:v>
                </c:pt>
                <c:pt idx="554">
                  <c:v>42870</c:v>
                </c:pt>
                <c:pt idx="555">
                  <c:v>42877</c:v>
                </c:pt>
                <c:pt idx="556">
                  <c:v>42884</c:v>
                </c:pt>
                <c:pt idx="557">
                  <c:v>42891</c:v>
                </c:pt>
                <c:pt idx="558">
                  <c:v>42898</c:v>
                </c:pt>
                <c:pt idx="559">
                  <c:v>42905</c:v>
                </c:pt>
                <c:pt idx="560">
                  <c:v>42912</c:v>
                </c:pt>
                <c:pt idx="561">
                  <c:v>42919</c:v>
                </c:pt>
                <c:pt idx="562">
                  <c:v>42926</c:v>
                </c:pt>
                <c:pt idx="563">
                  <c:v>42934</c:v>
                </c:pt>
                <c:pt idx="564">
                  <c:v>42941</c:v>
                </c:pt>
                <c:pt idx="565">
                  <c:v>42948</c:v>
                </c:pt>
                <c:pt idx="566">
                  <c:v>42955</c:v>
                </c:pt>
                <c:pt idx="567">
                  <c:v>42962</c:v>
                </c:pt>
                <c:pt idx="568">
                  <c:v>42969</c:v>
                </c:pt>
                <c:pt idx="569">
                  <c:v>42976</c:v>
                </c:pt>
                <c:pt idx="570">
                  <c:v>42983</c:v>
                </c:pt>
                <c:pt idx="571">
                  <c:v>42990</c:v>
                </c:pt>
                <c:pt idx="572">
                  <c:v>42997</c:v>
                </c:pt>
                <c:pt idx="573">
                  <c:v>43004</c:v>
                </c:pt>
                <c:pt idx="574">
                  <c:v>43011</c:v>
                </c:pt>
                <c:pt idx="575">
                  <c:v>43018</c:v>
                </c:pt>
                <c:pt idx="576">
                  <c:v>43025</c:v>
                </c:pt>
                <c:pt idx="577">
                  <c:v>43032</c:v>
                </c:pt>
                <c:pt idx="578">
                  <c:v>43039</c:v>
                </c:pt>
                <c:pt idx="579">
                  <c:v>43046</c:v>
                </c:pt>
                <c:pt idx="580">
                  <c:v>43053</c:v>
                </c:pt>
                <c:pt idx="581">
                  <c:v>43060</c:v>
                </c:pt>
                <c:pt idx="582">
                  <c:v>43067</c:v>
                </c:pt>
                <c:pt idx="583">
                  <c:v>43074</c:v>
                </c:pt>
                <c:pt idx="584">
                  <c:v>43081</c:v>
                </c:pt>
                <c:pt idx="585">
                  <c:v>43088</c:v>
                </c:pt>
                <c:pt idx="586">
                  <c:v>43095</c:v>
                </c:pt>
                <c:pt idx="587">
                  <c:v>43104</c:v>
                </c:pt>
                <c:pt idx="588">
                  <c:v>43111</c:v>
                </c:pt>
                <c:pt idx="589">
                  <c:v>43118</c:v>
                </c:pt>
                <c:pt idx="590">
                  <c:v>43125</c:v>
                </c:pt>
                <c:pt idx="591">
                  <c:v>43132</c:v>
                </c:pt>
                <c:pt idx="592">
                  <c:v>43139</c:v>
                </c:pt>
                <c:pt idx="593">
                  <c:v>43146</c:v>
                </c:pt>
                <c:pt idx="594">
                  <c:v>43153</c:v>
                </c:pt>
                <c:pt idx="595">
                  <c:v>43160</c:v>
                </c:pt>
                <c:pt idx="596">
                  <c:v>43167</c:v>
                </c:pt>
                <c:pt idx="597">
                  <c:v>43174</c:v>
                </c:pt>
                <c:pt idx="598">
                  <c:v>43181</c:v>
                </c:pt>
                <c:pt idx="599">
                  <c:v>43188</c:v>
                </c:pt>
                <c:pt idx="600">
                  <c:v>43195</c:v>
                </c:pt>
                <c:pt idx="601">
                  <c:v>43202</c:v>
                </c:pt>
                <c:pt idx="602">
                  <c:v>43209</c:v>
                </c:pt>
                <c:pt idx="603">
                  <c:v>43216</c:v>
                </c:pt>
                <c:pt idx="604">
                  <c:v>43227</c:v>
                </c:pt>
                <c:pt idx="605">
                  <c:v>43234</c:v>
                </c:pt>
                <c:pt idx="606">
                  <c:v>43241</c:v>
                </c:pt>
                <c:pt idx="607">
                  <c:v>43248</c:v>
                </c:pt>
                <c:pt idx="608">
                  <c:v>43255</c:v>
                </c:pt>
                <c:pt idx="609">
                  <c:v>43262</c:v>
                </c:pt>
                <c:pt idx="610">
                  <c:v>43269</c:v>
                </c:pt>
                <c:pt idx="611">
                  <c:v>43276</c:v>
                </c:pt>
                <c:pt idx="612">
                  <c:v>43283</c:v>
                </c:pt>
                <c:pt idx="613">
                  <c:v>43290</c:v>
                </c:pt>
                <c:pt idx="614">
                  <c:v>43298</c:v>
                </c:pt>
                <c:pt idx="615">
                  <c:v>43305</c:v>
                </c:pt>
                <c:pt idx="616">
                  <c:v>43312</c:v>
                </c:pt>
                <c:pt idx="617">
                  <c:v>43319</c:v>
                </c:pt>
                <c:pt idx="618">
                  <c:v>43326</c:v>
                </c:pt>
                <c:pt idx="619">
                  <c:v>43333</c:v>
                </c:pt>
                <c:pt idx="620">
                  <c:v>43340</c:v>
                </c:pt>
                <c:pt idx="621">
                  <c:v>43347</c:v>
                </c:pt>
                <c:pt idx="622">
                  <c:v>43354</c:v>
                </c:pt>
                <c:pt idx="623">
                  <c:v>43361</c:v>
                </c:pt>
                <c:pt idx="624">
                  <c:v>43368</c:v>
                </c:pt>
                <c:pt idx="625">
                  <c:v>43375</c:v>
                </c:pt>
                <c:pt idx="626">
                  <c:v>43382</c:v>
                </c:pt>
                <c:pt idx="627">
                  <c:v>43389</c:v>
                </c:pt>
                <c:pt idx="628">
                  <c:v>43396</c:v>
                </c:pt>
                <c:pt idx="629">
                  <c:v>43403</c:v>
                </c:pt>
                <c:pt idx="630">
                  <c:v>43410</c:v>
                </c:pt>
                <c:pt idx="631">
                  <c:v>43417</c:v>
                </c:pt>
                <c:pt idx="632">
                  <c:v>43424</c:v>
                </c:pt>
                <c:pt idx="633">
                  <c:v>43431</c:v>
                </c:pt>
                <c:pt idx="634">
                  <c:v>43438</c:v>
                </c:pt>
                <c:pt idx="635">
                  <c:v>43445</c:v>
                </c:pt>
                <c:pt idx="636">
                  <c:v>43452</c:v>
                </c:pt>
                <c:pt idx="637">
                  <c:v>43459</c:v>
                </c:pt>
                <c:pt idx="638">
                  <c:v>43469</c:v>
                </c:pt>
                <c:pt idx="639">
                  <c:v>43476</c:v>
                </c:pt>
                <c:pt idx="640">
                  <c:v>43483</c:v>
                </c:pt>
                <c:pt idx="641">
                  <c:v>43490</c:v>
                </c:pt>
                <c:pt idx="642">
                  <c:v>43497</c:v>
                </c:pt>
                <c:pt idx="643">
                  <c:v>43504</c:v>
                </c:pt>
                <c:pt idx="644">
                  <c:v>43511</c:v>
                </c:pt>
                <c:pt idx="645">
                  <c:v>43518</c:v>
                </c:pt>
                <c:pt idx="646">
                  <c:v>43525</c:v>
                </c:pt>
                <c:pt idx="647">
                  <c:v>43532</c:v>
                </c:pt>
                <c:pt idx="648">
                  <c:v>43539</c:v>
                </c:pt>
                <c:pt idx="649">
                  <c:v>43546</c:v>
                </c:pt>
                <c:pt idx="650">
                  <c:v>43553</c:v>
                </c:pt>
                <c:pt idx="651">
                  <c:v>43560</c:v>
                </c:pt>
                <c:pt idx="652">
                  <c:v>43567</c:v>
                </c:pt>
                <c:pt idx="653">
                  <c:v>43574</c:v>
                </c:pt>
                <c:pt idx="654">
                  <c:v>43581</c:v>
                </c:pt>
                <c:pt idx="655">
                  <c:v>43592</c:v>
                </c:pt>
                <c:pt idx="656">
                  <c:v>43599</c:v>
                </c:pt>
                <c:pt idx="657">
                  <c:v>43606</c:v>
                </c:pt>
                <c:pt idx="658">
                  <c:v>43613</c:v>
                </c:pt>
                <c:pt idx="659">
                  <c:v>43620</c:v>
                </c:pt>
                <c:pt idx="660">
                  <c:v>43627</c:v>
                </c:pt>
                <c:pt idx="661">
                  <c:v>43634</c:v>
                </c:pt>
                <c:pt idx="662">
                  <c:v>43641</c:v>
                </c:pt>
                <c:pt idx="663">
                  <c:v>43648</c:v>
                </c:pt>
                <c:pt idx="664">
                  <c:v>43655</c:v>
                </c:pt>
                <c:pt idx="665">
                  <c:v>43662</c:v>
                </c:pt>
                <c:pt idx="666">
                  <c:v>43669</c:v>
                </c:pt>
                <c:pt idx="667">
                  <c:v>43676</c:v>
                </c:pt>
                <c:pt idx="668">
                  <c:v>43683</c:v>
                </c:pt>
                <c:pt idx="669">
                  <c:v>43690</c:v>
                </c:pt>
                <c:pt idx="670">
                  <c:v>43697</c:v>
                </c:pt>
                <c:pt idx="671">
                  <c:v>43704</c:v>
                </c:pt>
                <c:pt idx="672">
                  <c:v>43711</c:v>
                </c:pt>
                <c:pt idx="673">
                  <c:v>43718</c:v>
                </c:pt>
                <c:pt idx="674">
                  <c:v>43725</c:v>
                </c:pt>
                <c:pt idx="675">
                  <c:v>43732</c:v>
                </c:pt>
                <c:pt idx="676">
                  <c:v>43739</c:v>
                </c:pt>
                <c:pt idx="677">
                  <c:v>43746</c:v>
                </c:pt>
                <c:pt idx="678">
                  <c:v>43753</c:v>
                </c:pt>
                <c:pt idx="679">
                  <c:v>43760</c:v>
                </c:pt>
                <c:pt idx="680">
                  <c:v>43767</c:v>
                </c:pt>
                <c:pt idx="681">
                  <c:v>43774</c:v>
                </c:pt>
                <c:pt idx="682">
                  <c:v>43781</c:v>
                </c:pt>
                <c:pt idx="683">
                  <c:v>43788</c:v>
                </c:pt>
                <c:pt idx="684">
                  <c:v>43795</c:v>
                </c:pt>
                <c:pt idx="685">
                  <c:v>43802</c:v>
                </c:pt>
                <c:pt idx="686">
                  <c:v>43809</c:v>
                </c:pt>
                <c:pt idx="687">
                  <c:v>43816</c:v>
                </c:pt>
                <c:pt idx="688">
                  <c:v>43823</c:v>
                </c:pt>
                <c:pt idx="689">
                  <c:v>43836</c:v>
                </c:pt>
                <c:pt idx="690">
                  <c:v>43844</c:v>
                </c:pt>
                <c:pt idx="691">
                  <c:v>43851</c:v>
                </c:pt>
                <c:pt idx="692">
                  <c:v>43858</c:v>
                </c:pt>
                <c:pt idx="693">
                  <c:v>43865</c:v>
                </c:pt>
                <c:pt idx="694">
                  <c:v>43873</c:v>
                </c:pt>
                <c:pt idx="695">
                  <c:v>43880</c:v>
                </c:pt>
                <c:pt idx="696">
                  <c:v>43887</c:v>
                </c:pt>
                <c:pt idx="697">
                  <c:v>43894</c:v>
                </c:pt>
                <c:pt idx="698">
                  <c:v>43901</c:v>
                </c:pt>
                <c:pt idx="699">
                  <c:v>43908</c:v>
                </c:pt>
                <c:pt idx="700">
                  <c:v>43915</c:v>
                </c:pt>
                <c:pt idx="701">
                  <c:v>43922</c:v>
                </c:pt>
                <c:pt idx="702">
                  <c:v>43929</c:v>
                </c:pt>
                <c:pt idx="703">
                  <c:v>43936</c:v>
                </c:pt>
                <c:pt idx="704">
                  <c:v>43943</c:v>
                </c:pt>
                <c:pt idx="705">
                  <c:v>43951</c:v>
                </c:pt>
                <c:pt idx="706">
                  <c:v>43958</c:v>
                </c:pt>
                <c:pt idx="707">
                  <c:v>43965</c:v>
                </c:pt>
                <c:pt idx="708">
                  <c:v>43972</c:v>
                </c:pt>
                <c:pt idx="709">
                  <c:v>43979</c:v>
                </c:pt>
                <c:pt idx="710">
                  <c:v>43986</c:v>
                </c:pt>
                <c:pt idx="711">
                  <c:v>43993</c:v>
                </c:pt>
                <c:pt idx="712">
                  <c:v>44000</c:v>
                </c:pt>
                <c:pt idx="713">
                  <c:v>44007</c:v>
                </c:pt>
                <c:pt idx="714">
                  <c:v>44014</c:v>
                </c:pt>
                <c:pt idx="715">
                  <c:v>44021</c:v>
                </c:pt>
                <c:pt idx="716">
                  <c:v>44028</c:v>
                </c:pt>
                <c:pt idx="717">
                  <c:v>44035</c:v>
                </c:pt>
                <c:pt idx="718">
                  <c:v>44042</c:v>
                </c:pt>
                <c:pt idx="719">
                  <c:v>44049</c:v>
                </c:pt>
                <c:pt idx="720">
                  <c:v>44056</c:v>
                </c:pt>
                <c:pt idx="721">
                  <c:v>44063</c:v>
                </c:pt>
                <c:pt idx="722">
                  <c:v>44070</c:v>
                </c:pt>
                <c:pt idx="723">
                  <c:v>44077</c:v>
                </c:pt>
                <c:pt idx="724">
                  <c:v>44084</c:v>
                </c:pt>
                <c:pt idx="725">
                  <c:v>44091</c:v>
                </c:pt>
                <c:pt idx="726">
                  <c:v>44098</c:v>
                </c:pt>
                <c:pt idx="727">
                  <c:v>44105</c:v>
                </c:pt>
                <c:pt idx="728">
                  <c:v>44112</c:v>
                </c:pt>
                <c:pt idx="729">
                  <c:v>44119</c:v>
                </c:pt>
                <c:pt idx="730">
                  <c:v>44126</c:v>
                </c:pt>
                <c:pt idx="731">
                  <c:v>44133</c:v>
                </c:pt>
                <c:pt idx="732">
                  <c:v>44140</c:v>
                </c:pt>
                <c:pt idx="733">
                  <c:v>44147</c:v>
                </c:pt>
                <c:pt idx="734">
                  <c:v>44154</c:v>
                </c:pt>
                <c:pt idx="735">
                  <c:v>44161</c:v>
                </c:pt>
                <c:pt idx="736">
                  <c:v>44168</c:v>
                </c:pt>
                <c:pt idx="737">
                  <c:v>44175</c:v>
                </c:pt>
                <c:pt idx="738">
                  <c:v>44182</c:v>
                </c:pt>
                <c:pt idx="739">
                  <c:v>44189</c:v>
                </c:pt>
                <c:pt idx="740">
                  <c:v>44200</c:v>
                </c:pt>
                <c:pt idx="741">
                  <c:v>44208</c:v>
                </c:pt>
                <c:pt idx="742">
                  <c:v>44215</c:v>
                </c:pt>
                <c:pt idx="743">
                  <c:v>44222</c:v>
                </c:pt>
                <c:pt idx="744">
                  <c:v>44229</c:v>
                </c:pt>
                <c:pt idx="745">
                  <c:v>44236</c:v>
                </c:pt>
                <c:pt idx="746">
                  <c:v>44243</c:v>
                </c:pt>
                <c:pt idx="747">
                  <c:v>44250</c:v>
                </c:pt>
                <c:pt idx="748">
                  <c:v>44257</c:v>
                </c:pt>
                <c:pt idx="749">
                  <c:v>44264</c:v>
                </c:pt>
                <c:pt idx="750">
                  <c:v>44271</c:v>
                </c:pt>
                <c:pt idx="751">
                  <c:v>44278</c:v>
                </c:pt>
                <c:pt idx="752">
                  <c:v>44285</c:v>
                </c:pt>
                <c:pt idx="753">
                  <c:v>44292</c:v>
                </c:pt>
                <c:pt idx="754">
                  <c:v>44299</c:v>
                </c:pt>
                <c:pt idx="755">
                  <c:v>44306</c:v>
                </c:pt>
                <c:pt idx="756">
                  <c:v>44313</c:v>
                </c:pt>
                <c:pt idx="757">
                  <c:v>44322</c:v>
                </c:pt>
                <c:pt idx="758">
                  <c:v>44329</c:v>
                </c:pt>
                <c:pt idx="759">
                  <c:v>44336</c:v>
                </c:pt>
                <c:pt idx="760">
                  <c:v>44343</c:v>
                </c:pt>
                <c:pt idx="761">
                  <c:v>44350</c:v>
                </c:pt>
                <c:pt idx="762">
                  <c:v>44357</c:v>
                </c:pt>
                <c:pt idx="763">
                  <c:v>44364</c:v>
                </c:pt>
                <c:pt idx="764">
                  <c:v>44371</c:v>
                </c:pt>
                <c:pt idx="765">
                  <c:v>44378</c:v>
                </c:pt>
                <c:pt idx="766">
                  <c:v>44385</c:v>
                </c:pt>
                <c:pt idx="767">
                  <c:v>44392</c:v>
                </c:pt>
                <c:pt idx="768">
                  <c:v>44399</c:v>
                </c:pt>
                <c:pt idx="769">
                  <c:v>44406</c:v>
                </c:pt>
                <c:pt idx="770">
                  <c:v>44413</c:v>
                </c:pt>
                <c:pt idx="771">
                  <c:v>44420</c:v>
                </c:pt>
                <c:pt idx="772">
                  <c:v>44427</c:v>
                </c:pt>
                <c:pt idx="773">
                  <c:v>44434</c:v>
                </c:pt>
                <c:pt idx="774">
                  <c:v>44441</c:v>
                </c:pt>
                <c:pt idx="775">
                  <c:v>44448</c:v>
                </c:pt>
                <c:pt idx="776">
                  <c:v>44455</c:v>
                </c:pt>
                <c:pt idx="777">
                  <c:v>44463</c:v>
                </c:pt>
                <c:pt idx="778">
                  <c:v>44470</c:v>
                </c:pt>
                <c:pt idx="779">
                  <c:v>44477</c:v>
                </c:pt>
                <c:pt idx="780">
                  <c:v>44484</c:v>
                </c:pt>
                <c:pt idx="781">
                  <c:v>44491</c:v>
                </c:pt>
                <c:pt idx="782">
                  <c:v>44498</c:v>
                </c:pt>
                <c:pt idx="783">
                  <c:v>44505</c:v>
                </c:pt>
                <c:pt idx="784">
                  <c:v>44512</c:v>
                </c:pt>
                <c:pt idx="785">
                  <c:v>44519</c:v>
                </c:pt>
                <c:pt idx="786">
                  <c:v>44526</c:v>
                </c:pt>
                <c:pt idx="787">
                  <c:v>44533</c:v>
                </c:pt>
                <c:pt idx="788">
                  <c:v>44540</c:v>
                </c:pt>
                <c:pt idx="789">
                  <c:v>44547</c:v>
                </c:pt>
                <c:pt idx="790">
                  <c:v>44554</c:v>
                </c:pt>
                <c:pt idx="791">
                  <c:v>44565</c:v>
                </c:pt>
                <c:pt idx="792">
                  <c:v>44572</c:v>
                </c:pt>
                <c:pt idx="793">
                  <c:v>44579</c:v>
                </c:pt>
                <c:pt idx="794">
                  <c:v>44586</c:v>
                </c:pt>
                <c:pt idx="795">
                  <c:v>44593</c:v>
                </c:pt>
                <c:pt idx="796">
                  <c:v>44600</c:v>
                </c:pt>
                <c:pt idx="797">
                  <c:v>44607</c:v>
                </c:pt>
                <c:pt idx="798">
                  <c:v>44614</c:v>
                </c:pt>
                <c:pt idx="799">
                  <c:v>44621</c:v>
                </c:pt>
                <c:pt idx="800">
                  <c:v>44628</c:v>
                </c:pt>
                <c:pt idx="801">
                  <c:v>44635</c:v>
                </c:pt>
                <c:pt idx="802">
                  <c:v>44642</c:v>
                </c:pt>
                <c:pt idx="803">
                  <c:v>44649</c:v>
                </c:pt>
                <c:pt idx="804">
                  <c:v>44656</c:v>
                </c:pt>
                <c:pt idx="805">
                  <c:v>44663</c:v>
                </c:pt>
                <c:pt idx="806">
                  <c:v>44670</c:v>
                </c:pt>
                <c:pt idx="807">
                  <c:v>44677</c:v>
                </c:pt>
                <c:pt idx="808">
                  <c:v>44687</c:v>
                </c:pt>
                <c:pt idx="809">
                  <c:v>44694</c:v>
                </c:pt>
                <c:pt idx="810">
                  <c:v>44701</c:v>
                </c:pt>
                <c:pt idx="811">
                  <c:v>44708</c:v>
                </c:pt>
                <c:pt idx="812">
                  <c:v>44715</c:v>
                </c:pt>
                <c:pt idx="813">
                  <c:v>44722</c:v>
                </c:pt>
                <c:pt idx="814">
                  <c:v>44729</c:v>
                </c:pt>
                <c:pt idx="815">
                  <c:v>44736</c:v>
                </c:pt>
                <c:pt idx="816">
                  <c:v>44743</c:v>
                </c:pt>
                <c:pt idx="817">
                  <c:v>44750</c:v>
                </c:pt>
                <c:pt idx="818">
                  <c:v>44757</c:v>
                </c:pt>
                <c:pt idx="819">
                  <c:v>44764</c:v>
                </c:pt>
                <c:pt idx="820">
                  <c:v>44771</c:v>
                </c:pt>
                <c:pt idx="821">
                  <c:v>44778</c:v>
                </c:pt>
                <c:pt idx="822">
                  <c:v>44785</c:v>
                </c:pt>
                <c:pt idx="823">
                  <c:v>44792</c:v>
                </c:pt>
                <c:pt idx="824">
                  <c:v>44799</c:v>
                </c:pt>
                <c:pt idx="825">
                  <c:v>44806</c:v>
                </c:pt>
                <c:pt idx="826">
                  <c:v>44813</c:v>
                </c:pt>
                <c:pt idx="827">
                  <c:v>44820</c:v>
                </c:pt>
                <c:pt idx="828">
                  <c:v>44830</c:v>
                </c:pt>
                <c:pt idx="829">
                  <c:v>44837</c:v>
                </c:pt>
                <c:pt idx="830">
                  <c:v>44845</c:v>
                </c:pt>
                <c:pt idx="831">
                  <c:v>44852</c:v>
                </c:pt>
                <c:pt idx="832">
                  <c:v>44859</c:v>
                </c:pt>
                <c:pt idx="833">
                  <c:v>44866</c:v>
                </c:pt>
                <c:pt idx="834">
                  <c:v>44873</c:v>
                </c:pt>
                <c:pt idx="835">
                  <c:v>44880</c:v>
                </c:pt>
                <c:pt idx="836">
                  <c:v>44887</c:v>
                </c:pt>
                <c:pt idx="837">
                  <c:v>44894</c:v>
                </c:pt>
                <c:pt idx="838">
                  <c:v>44901</c:v>
                </c:pt>
                <c:pt idx="839">
                  <c:v>44908</c:v>
                </c:pt>
                <c:pt idx="840">
                  <c:v>44915</c:v>
                </c:pt>
                <c:pt idx="841">
                  <c:v>44922</c:v>
                </c:pt>
                <c:pt idx="842">
                  <c:v>44930</c:v>
                </c:pt>
                <c:pt idx="843">
                  <c:v>44937</c:v>
                </c:pt>
                <c:pt idx="844">
                  <c:v>44944</c:v>
                </c:pt>
                <c:pt idx="845">
                  <c:v>44951</c:v>
                </c:pt>
                <c:pt idx="846">
                  <c:v>44958</c:v>
                </c:pt>
                <c:pt idx="847">
                  <c:v>44965</c:v>
                </c:pt>
                <c:pt idx="848">
                  <c:v>44972</c:v>
                </c:pt>
                <c:pt idx="849">
                  <c:v>44979</c:v>
                </c:pt>
                <c:pt idx="850">
                  <c:v>44986</c:v>
                </c:pt>
                <c:pt idx="851">
                  <c:v>44993</c:v>
                </c:pt>
                <c:pt idx="852">
                  <c:v>45000</c:v>
                </c:pt>
                <c:pt idx="853">
                  <c:v>45007</c:v>
                </c:pt>
                <c:pt idx="854">
                  <c:v>45014</c:v>
                </c:pt>
                <c:pt idx="855">
                  <c:v>45021</c:v>
                </c:pt>
                <c:pt idx="856">
                  <c:v>45028</c:v>
                </c:pt>
                <c:pt idx="857">
                  <c:v>45035</c:v>
                </c:pt>
                <c:pt idx="858">
                  <c:v>45042</c:v>
                </c:pt>
                <c:pt idx="859">
                  <c:v>45054</c:v>
                </c:pt>
                <c:pt idx="860">
                  <c:v>45061</c:v>
                </c:pt>
                <c:pt idx="861">
                  <c:v>45068</c:v>
                </c:pt>
                <c:pt idx="862">
                  <c:v>45075</c:v>
                </c:pt>
                <c:pt idx="863">
                  <c:v>45082</c:v>
                </c:pt>
                <c:pt idx="864">
                  <c:v>45089</c:v>
                </c:pt>
                <c:pt idx="865">
                  <c:v>45096</c:v>
                </c:pt>
                <c:pt idx="866">
                  <c:v>45103</c:v>
                </c:pt>
                <c:pt idx="867">
                  <c:v>45110</c:v>
                </c:pt>
                <c:pt idx="868">
                  <c:v>45117</c:v>
                </c:pt>
                <c:pt idx="869">
                  <c:v>45125</c:v>
                </c:pt>
                <c:pt idx="870">
                  <c:v>45132</c:v>
                </c:pt>
                <c:pt idx="871">
                  <c:v>45139</c:v>
                </c:pt>
                <c:pt idx="872">
                  <c:v>45146</c:v>
                </c:pt>
                <c:pt idx="873">
                  <c:v>45153</c:v>
                </c:pt>
                <c:pt idx="874">
                  <c:v>45160</c:v>
                </c:pt>
                <c:pt idx="875">
                  <c:v>45167</c:v>
                </c:pt>
                <c:pt idx="876">
                  <c:v>45174</c:v>
                </c:pt>
                <c:pt idx="877">
                  <c:v>45181</c:v>
                </c:pt>
                <c:pt idx="878">
                  <c:v>45188</c:v>
                </c:pt>
                <c:pt idx="879">
                  <c:v>45195</c:v>
                </c:pt>
                <c:pt idx="880">
                  <c:v>45202</c:v>
                </c:pt>
                <c:pt idx="881">
                  <c:v>45209</c:v>
                </c:pt>
                <c:pt idx="882">
                  <c:v>45216</c:v>
                </c:pt>
                <c:pt idx="883">
                  <c:v>45223</c:v>
                </c:pt>
                <c:pt idx="884">
                  <c:v>45230</c:v>
                </c:pt>
                <c:pt idx="885">
                  <c:v>45237</c:v>
                </c:pt>
                <c:pt idx="886">
                  <c:v>45244</c:v>
                </c:pt>
                <c:pt idx="887">
                  <c:v>45251</c:v>
                </c:pt>
                <c:pt idx="888">
                  <c:v>45258</c:v>
                </c:pt>
                <c:pt idx="889">
                  <c:v>45265</c:v>
                </c:pt>
                <c:pt idx="890">
                  <c:v>45272</c:v>
                </c:pt>
                <c:pt idx="891">
                  <c:v>45279</c:v>
                </c:pt>
                <c:pt idx="892">
                  <c:v>45286</c:v>
                </c:pt>
                <c:pt idx="893">
                  <c:v>45295</c:v>
                </c:pt>
                <c:pt idx="894">
                  <c:v>45302</c:v>
                </c:pt>
                <c:pt idx="895">
                  <c:v>45309</c:v>
                </c:pt>
                <c:pt idx="896">
                  <c:v>45316</c:v>
                </c:pt>
                <c:pt idx="897">
                  <c:v>45323</c:v>
                </c:pt>
                <c:pt idx="898">
                  <c:v>45330</c:v>
                </c:pt>
                <c:pt idx="899">
                  <c:v>45337</c:v>
                </c:pt>
                <c:pt idx="900">
                  <c:v>45344</c:v>
                </c:pt>
                <c:pt idx="901">
                  <c:v>45351</c:v>
                </c:pt>
                <c:pt idx="902">
                  <c:v>45358</c:v>
                </c:pt>
                <c:pt idx="903">
                  <c:v>45365</c:v>
                </c:pt>
                <c:pt idx="904">
                  <c:v>45372</c:v>
                </c:pt>
                <c:pt idx="905">
                  <c:v>45379</c:v>
                </c:pt>
                <c:pt idx="906">
                  <c:v>45386</c:v>
                </c:pt>
                <c:pt idx="907">
                  <c:v>45393</c:v>
                </c:pt>
                <c:pt idx="908">
                  <c:v>45400</c:v>
                </c:pt>
                <c:pt idx="909">
                  <c:v>45407</c:v>
                </c:pt>
                <c:pt idx="910">
                  <c:v>45414</c:v>
                </c:pt>
                <c:pt idx="911">
                  <c:v>45421</c:v>
                </c:pt>
                <c:pt idx="912">
                  <c:v>45428</c:v>
                </c:pt>
                <c:pt idx="913">
                  <c:v>45435</c:v>
                </c:pt>
                <c:pt idx="914">
                  <c:v>45442</c:v>
                </c:pt>
                <c:pt idx="915">
                  <c:v>45449</c:v>
                </c:pt>
                <c:pt idx="916">
                  <c:v>45456</c:v>
                </c:pt>
                <c:pt idx="917">
                  <c:v>45463</c:v>
                </c:pt>
                <c:pt idx="918">
                  <c:v>45470</c:v>
                </c:pt>
                <c:pt idx="919">
                  <c:v>45477</c:v>
                </c:pt>
                <c:pt idx="920">
                  <c:v>45484</c:v>
                </c:pt>
                <c:pt idx="921">
                  <c:v>45491</c:v>
                </c:pt>
                <c:pt idx="922">
                  <c:v>45498</c:v>
                </c:pt>
                <c:pt idx="923">
                  <c:v>45505</c:v>
                </c:pt>
                <c:pt idx="924">
                  <c:v>45512</c:v>
                </c:pt>
                <c:pt idx="925">
                  <c:v>45519</c:v>
                </c:pt>
                <c:pt idx="926">
                  <c:v>45526</c:v>
                </c:pt>
                <c:pt idx="927">
                  <c:v>45533</c:v>
                </c:pt>
                <c:pt idx="928">
                  <c:v>45540</c:v>
                </c:pt>
                <c:pt idx="929">
                  <c:v>45547</c:v>
                </c:pt>
                <c:pt idx="930">
                  <c:v>45554</c:v>
                </c:pt>
                <c:pt idx="931">
                  <c:v>45561</c:v>
                </c:pt>
                <c:pt idx="932">
                  <c:v>45568</c:v>
                </c:pt>
                <c:pt idx="933">
                  <c:v>45575</c:v>
                </c:pt>
                <c:pt idx="934">
                  <c:v>45582</c:v>
                </c:pt>
                <c:pt idx="935">
                  <c:v>45589</c:v>
                </c:pt>
                <c:pt idx="936">
                  <c:v>45596</c:v>
                </c:pt>
                <c:pt idx="937">
                  <c:v>45603</c:v>
                </c:pt>
                <c:pt idx="938">
                  <c:v>45610</c:v>
                </c:pt>
                <c:pt idx="939">
                  <c:v>45617</c:v>
                </c:pt>
                <c:pt idx="940">
                  <c:v>45624</c:v>
                </c:pt>
                <c:pt idx="941">
                  <c:v>45631</c:v>
                </c:pt>
                <c:pt idx="942">
                  <c:v>45638</c:v>
                </c:pt>
                <c:pt idx="943">
                  <c:v>45645</c:v>
                </c:pt>
                <c:pt idx="944">
                  <c:v>45652</c:v>
                </c:pt>
                <c:pt idx="945">
                  <c:v>45663</c:v>
                </c:pt>
                <c:pt idx="946">
                  <c:v>45671</c:v>
                </c:pt>
                <c:pt idx="947">
                  <c:v>45678</c:v>
                </c:pt>
                <c:pt idx="948">
                  <c:v>45685</c:v>
                </c:pt>
                <c:pt idx="949">
                  <c:v>45692</c:v>
                </c:pt>
                <c:pt idx="950">
                  <c:v>45700</c:v>
                </c:pt>
                <c:pt idx="951">
                  <c:v>45707</c:v>
                </c:pt>
                <c:pt idx="952">
                  <c:v>45714</c:v>
                </c:pt>
                <c:pt idx="953">
                  <c:v>45721</c:v>
                </c:pt>
                <c:pt idx="954">
                  <c:v>45728</c:v>
                </c:pt>
                <c:pt idx="955">
                  <c:v>45735</c:v>
                </c:pt>
                <c:pt idx="956">
                  <c:v>45742</c:v>
                </c:pt>
                <c:pt idx="957">
                  <c:v>45749</c:v>
                </c:pt>
                <c:pt idx="958">
                  <c:v>45756</c:v>
                </c:pt>
                <c:pt idx="959">
                  <c:v>45763</c:v>
                </c:pt>
                <c:pt idx="960">
                  <c:v>45770</c:v>
                </c:pt>
                <c:pt idx="961">
                  <c:v>45777</c:v>
                </c:pt>
                <c:pt idx="962">
                  <c:v>45784</c:v>
                </c:pt>
                <c:pt idx="963">
                  <c:v>45791</c:v>
                </c:pt>
                <c:pt idx="964">
                  <c:v>45798</c:v>
                </c:pt>
                <c:pt idx="965">
                  <c:v>45805</c:v>
                </c:pt>
                <c:pt idx="966">
                  <c:v>45812</c:v>
                </c:pt>
                <c:pt idx="967">
                  <c:v>45819</c:v>
                </c:pt>
                <c:pt idx="968">
                  <c:v>45826</c:v>
                </c:pt>
                <c:pt idx="969">
                  <c:v>45833</c:v>
                </c:pt>
                <c:pt idx="970">
                  <c:v>45840</c:v>
                </c:pt>
                <c:pt idx="971">
                  <c:v>45847</c:v>
                </c:pt>
                <c:pt idx="972">
                  <c:v>45854</c:v>
                </c:pt>
                <c:pt idx="973">
                  <c:v>45861</c:v>
                </c:pt>
                <c:pt idx="974">
                  <c:v>45868</c:v>
                </c:pt>
                <c:pt idx="975">
                  <c:v>45875</c:v>
                </c:pt>
                <c:pt idx="976">
                  <c:v>45882</c:v>
                </c:pt>
                <c:pt idx="977">
                  <c:v>45889</c:v>
                </c:pt>
                <c:pt idx="978">
                  <c:v>45896</c:v>
                </c:pt>
                <c:pt idx="979">
                  <c:v>45903</c:v>
                </c:pt>
                <c:pt idx="980">
                  <c:v>45910</c:v>
                </c:pt>
                <c:pt idx="981">
                  <c:v>45917</c:v>
                </c:pt>
                <c:pt idx="982">
                  <c:v>45924</c:v>
                </c:pt>
                <c:pt idx="983">
                  <c:v>45931</c:v>
                </c:pt>
                <c:pt idx="984">
                  <c:v>45938</c:v>
                </c:pt>
                <c:pt idx="985">
                  <c:v>45945</c:v>
                </c:pt>
                <c:pt idx="986">
                  <c:v>45952</c:v>
                </c:pt>
                <c:pt idx="987">
                  <c:v>45959</c:v>
                </c:pt>
                <c:pt idx="988">
                  <c:v>45966</c:v>
                </c:pt>
                <c:pt idx="989">
                  <c:v>45973</c:v>
                </c:pt>
                <c:pt idx="990">
                  <c:v>45980</c:v>
                </c:pt>
                <c:pt idx="991">
                  <c:v>45987</c:v>
                </c:pt>
                <c:pt idx="992">
                  <c:v>45994</c:v>
                </c:pt>
                <c:pt idx="993">
                  <c:v>46001</c:v>
                </c:pt>
                <c:pt idx="994">
                  <c:v>46008</c:v>
                </c:pt>
                <c:pt idx="995">
                  <c:v>46015</c:v>
                </c:pt>
                <c:pt idx="996">
                  <c:v>46027</c:v>
                </c:pt>
                <c:pt idx="997">
                  <c:v>46035</c:v>
                </c:pt>
                <c:pt idx="998">
                  <c:v>46042</c:v>
                </c:pt>
                <c:pt idx="999">
                  <c:v>46049</c:v>
                </c:pt>
                <c:pt idx="1000">
                  <c:v>46056</c:v>
                </c:pt>
                <c:pt idx="1001">
                  <c:v>46063</c:v>
                </c:pt>
                <c:pt idx="1002">
                  <c:v>46070</c:v>
                </c:pt>
                <c:pt idx="1003">
                  <c:v>46077</c:v>
                </c:pt>
                <c:pt idx="1004">
                  <c:v>46084</c:v>
                </c:pt>
                <c:pt idx="1005">
                  <c:v>46091</c:v>
                </c:pt>
                <c:pt idx="1006">
                  <c:v>46098</c:v>
                </c:pt>
                <c:pt idx="1007">
                  <c:v>46105</c:v>
                </c:pt>
                <c:pt idx="1008">
                  <c:v>46112</c:v>
                </c:pt>
                <c:pt idx="1009">
                  <c:v>46119</c:v>
                </c:pt>
                <c:pt idx="1010">
                  <c:v>46126</c:v>
                </c:pt>
                <c:pt idx="1011">
                  <c:v>46133</c:v>
                </c:pt>
                <c:pt idx="1012">
                  <c:v>46140</c:v>
                </c:pt>
                <c:pt idx="1013">
                  <c:v>46149</c:v>
                </c:pt>
                <c:pt idx="1014">
                  <c:v>46156</c:v>
                </c:pt>
                <c:pt idx="1015">
                  <c:v>46163</c:v>
                </c:pt>
                <c:pt idx="1016">
                  <c:v>46170</c:v>
                </c:pt>
                <c:pt idx="1017">
                  <c:v>46177</c:v>
                </c:pt>
                <c:pt idx="1018">
                  <c:v>46184</c:v>
                </c:pt>
                <c:pt idx="1019">
                  <c:v>46191</c:v>
                </c:pt>
                <c:pt idx="1020">
                  <c:v>46198</c:v>
                </c:pt>
                <c:pt idx="1021">
                  <c:v>46205</c:v>
                </c:pt>
                <c:pt idx="1022">
                  <c:v>46212</c:v>
                </c:pt>
                <c:pt idx="1023">
                  <c:v>46219</c:v>
                </c:pt>
                <c:pt idx="1024">
                  <c:v>46226</c:v>
                </c:pt>
                <c:pt idx="1025">
                  <c:v>46233</c:v>
                </c:pt>
                <c:pt idx="1026">
                  <c:v>46240</c:v>
                </c:pt>
                <c:pt idx="1027">
                  <c:v>46247</c:v>
                </c:pt>
                <c:pt idx="1028">
                  <c:v>46254</c:v>
                </c:pt>
                <c:pt idx="1029">
                  <c:v>46261</c:v>
                </c:pt>
                <c:pt idx="1030">
                  <c:v>46268</c:v>
                </c:pt>
                <c:pt idx="1031">
                  <c:v>46275</c:v>
                </c:pt>
                <c:pt idx="1032">
                  <c:v>46282</c:v>
                </c:pt>
                <c:pt idx="1033">
                  <c:v>46289</c:v>
                </c:pt>
                <c:pt idx="1034">
                  <c:v>46296</c:v>
                </c:pt>
                <c:pt idx="1035">
                  <c:v>46303</c:v>
                </c:pt>
                <c:pt idx="1036">
                  <c:v>46310</c:v>
                </c:pt>
                <c:pt idx="1037">
                  <c:v>46317</c:v>
                </c:pt>
                <c:pt idx="1038">
                  <c:v>46324</c:v>
                </c:pt>
                <c:pt idx="1039">
                  <c:v>46331</c:v>
                </c:pt>
                <c:pt idx="1040">
                  <c:v>46338</c:v>
                </c:pt>
                <c:pt idx="1041">
                  <c:v>46345</c:v>
                </c:pt>
                <c:pt idx="1042">
                  <c:v>46352</c:v>
                </c:pt>
                <c:pt idx="1043">
                  <c:v>46359</c:v>
                </c:pt>
                <c:pt idx="1044">
                  <c:v>46366</c:v>
                </c:pt>
                <c:pt idx="1045">
                  <c:v>46373</c:v>
                </c:pt>
                <c:pt idx="1046">
                  <c:v>46380</c:v>
                </c:pt>
                <c:pt idx="1047">
                  <c:v>46391</c:v>
                </c:pt>
                <c:pt idx="1048">
                  <c:v>46399</c:v>
                </c:pt>
                <c:pt idx="1049">
                  <c:v>46406</c:v>
                </c:pt>
                <c:pt idx="1050">
                  <c:v>46413</c:v>
                </c:pt>
                <c:pt idx="1051">
                  <c:v>46420</c:v>
                </c:pt>
                <c:pt idx="1052">
                  <c:v>46427</c:v>
                </c:pt>
                <c:pt idx="1053">
                  <c:v>46434</c:v>
                </c:pt>
                <c:pt idx="1054">
                  <c:v>46441</c:v>
                </c:pt>
                <c:pt idx="1055">
                  <c:v>46448</c:v>
                </c:pt>
                <c:pt idx="1056">
                  <c:v>46455</c:v>
                </c:pt>
                <c:pt idx="1057">
                  <c:v>46462</c:v>
                </c:pt>
                <c:pt idx="1058">
                  <c:v>46469</c:v>
                </c:pt>
                <c:pt idx="1059">
                  <c:v>46476</c:v>
                </c:pt>
                <c:pt idx="1060">
                  <c:v>46483</c:v>
                </c:pt>
                <c:pt idx="1061">
                  <c:v>46490</c:v>
                </c:pt>
                <c:pt idx="1062">
                  <c:v>46497</c:v>
                </c:pt>
                <c:pt idx="1063">
                  <c:v>46504</c:v>
                </c:pt>
                <c:pt idx="1064">
                  <c:v>46513</c:v>
                </c:pt>
                <c:pt idx="1065">
                  <c:v>46520</c:v>
                </c:pt>
                <c:pt idx="1066">
                  <c:v>46527</c:v>
                </c:pt>
                <c:pt idx="1067">
                  <c:v>46534</c:v>
                </c:pt>
                <c:pt idx="1068">
                  <c:v>46541</c:v>
                </c:pt>
                <c:pt idx="1069">
                  <c:v>46548</c:v>
                </c:pt>
                <c:pt idx="1070">
                  <c:v>46555</c:v>
                </c:pt>
                <c:pt idx="1071">
                  <c:v>46562</c:v>
                </c:pt>
                <c:pt idx="1072">
                  <c:v>46569</c:v>
                </c:pt>
                <c:pt idx="1073">
                  <c:v>46576</c:v>
                </c:pt>
                <c:pt idx="1074">
                  <c:v>46583</c:v>
                </c:pt>
                <c:pt idx="1075">
                  <c:v>46590</c:v>
                </c:pt>
                <c:pt idx="1076">
                  <c:v>46597</c:v>
                </c:pt>
                <c:pt idx="1077">
                  <c:v>46604</c:v>
                </c:pt>
                <c:pt idx="1078">
                  <c:v>46611</c:v>
                </c:pt>
                <c:pt idx="1079">
                  <c:v>46618</c:v>
                </c:pt>
                <c:pt idx="1080">
                  <c:v>46625</c:v>
                </c:pt>
                <c:pt idx="1081">
                  <c:v>46632</c:v>
                </c:pt>
                <c:pt idx="1082">
                  <c:v>46639</c:v>
                </c:pt>
                <c:pt idx="1083">
                  <c:v>46646</c:v>
                </c:pt>
                <c:pt idx="1084">
                  <c:v>46654</c:v>
                </c:pt>
                <c:pt idx="1085">
                  <c:v>46661</c:v>
                </c:pt>
                <c:pt idx="1086">
                  <c:v>46668</c:v>
                </c:pt>
                <c:pt idx="1087">
                  <c:v>46675</c:v>
                </c:pt>
                <c:pt idx="1088">
                  <c:v>46682</c:v>
                </c:pt>
                <c:pt idx="1089">
                  <c:v>46689</c:v>
                </c:pt>
                <c:pt idx="1090">
                  <c:v>46696</c:v>
                </c:pt>
                <c:pt idx="1091">
                  <c:v>46703</c:v>
                </c:pt>
                <c:pt idx="1092">
                  <c:v>46710</c:v>
                </c:pt>
                <c:pt idx="1093">
                  <c:v>46717</c:v>
                </c:pt>
                <c:pt idx="1094">
                  <c:v>46724</c:v>
                </c:pt>
                <c:pt idx="1095">
                  <c:v>46731</c:v>
                </c:pt>
                <c:pt idx="1096">
                  <c:v>46738</c:v>
                </c:pt>
                <c:pt idx="1097">
                  <c:v>46745</c:v>
                </c:pt>
                <c:pt idx="1098">
                  <c:v>46756</c:v>
                </c:pt>
                <c:pt idx="1099">
                  <c:v>46763</c:v>
                </c:pt>
                <c:pt idx="1100">
                  <c:v>46770</c:v>
                </c:pt>
                <c:pt idx="1101">
                  <c:v>46777</c:v>
                </c:pt>
                <c:pt idx="1102">
                  <c:v>46784</c:v>
                </c:pt>
                <c:pt idx="1103">
                  <c:v>46791</c:v>
                </c:pt>
                <c:pt idx="1104">
                  <c:v>46798</c:v>
                </c:pt>
                <c:pt idx="1105">
                  <c:v>46805</c:v>
                </c:pt>
                <c:pt idx="1106">
                  <c:v>46812</c:v>
                </c:pt>
                <c:pt idx="1107">
                  <c:v>46819</c:v>
                </c:pt>
                <c:pt idx="1108">
                  <c:v>46826</c:v>
                </c:pt>
                <c:pt idx="1109">
                  <c:v>46833</c:v>
                </c:pt>
                <c:pt idx="1110">
                  <c:v>46840</c:v>
                </c:pt>
                <c:pt idx="1111">
                  <c:v>46847</c:v>
                </c:pt>
                <c:pt idx="1112">
                  <c:v>46854</c:v>
                </c:pt>
                <c:pt idx="1113">
                  <c:v>46861</c:v>
                </c:pt>
                <c:pt idx="1114">
                  <c:v>46868</c:v>
                </c:pt>
                <c:pt idx="1115">
                  <c:v>46875</c:v>
                </c:pt>
                <c:pt idx="1116">
                  <c:v>46882</c:v>
                </c:pt>
                <c:pt idx="1117">
                  <c:v>46889</c:v>
                </c:pt>
                <c:pt idx="1118">
                  <c:v>46896</c:v>
                </c:pt>
                <c:pt idx="1119">
                  <c:v>46903</c:v>
                </c:pt>
                <c:pt idx="1120">
                  <c:v>46910</c:v>
                </c:pt>
                <c:pt idx="1121">
                  <c:v>46917</c:v>
                </c:pt>
                <c:pt idx="1122">
                  <c:v>46924</c:v>
                </c:pt>
                <c:pt idx="1123">
                  <c:v>46931</c:v>
                </c:pt>
                <c:pt idx="1124">
                  <c:v>46938</c:v>
                </c:pt>
                <c:pt idx="1125">
                  <c:v>46945</c:v>
                </c:pt>
                <c:pt idx="1126">
                  <c:v>46952</c:v>
                </c:pt>
                <c:pt idx="1127">
                  <c:v>46959</c:v>
                </c:pt>
                <c:pt idx="1128">
                  <c:v>46966</c:v>
                </c:pt>
                <c:pt idx="1129">
                  <c:v>46973</c:v>
                </c:pt>
                <c:pt idx="1130">
                  <c:v>46980</c:v>
                </c:pt>
                <c:pt idx="1131">
                  <c:v>46987</c:v>
                </c:pt>
                <c:pt idx="1132">
                  <c:v>46994</c:v>
                </c:pt>
                <c:pt idx="1133">
                  <c:v>47001</c:v>
                </c:pt>
                <c:pt idx="1134">
                  <c:v>47008</c:v>
                </c:pt>
                <c:pt idx="1135">
                  <c:v>47015</c:v>
                </c:pt>
                <c:pt idx="1136">
                  <c:v>47022</c:v>
                </c:pt>
                <c:pt idx="1137">
                  <c:v>47029</c:v>
                </c:pt>
                <c:pt idx="1138">
                  <c:v>47036</c:v>
                </c:pt>
                <c:pt idx="1139">
                  <c:v>47043</c:v>
                </c:pt>
                <c:pt idx="1140">
                  <c:v>47050</c:v>
                </c:pt>
                <c:pt idx="1141">
                  <c:v>47057</c:v>
                </c:pt>
                <c:pt idx="1142">
                  <c:v>47064</c:v>
                </c:pt>
                <c:pt idx="1143">
                  <c:v>47071</c:v>
                </c:pt>
                <c:pt idx="1144">
                  <c:v>47078</c:v>
                </c:pt>
                <c:pt idx="1145">
                  <c:v>47085</c:v>
                </c:pt>
                <c:pt idx="1146">
                  <c:v>47092</c:v>
                </c:pt>
                <c:pt idx="1147">
                  <c:v>47099</c:v>
                </c:pt>
                <c:pt idx="1148">
                  <c:v>47106</c:v>
                </c:pt>
                <c:pt idx="1149">
                  <c:v>47113</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47245</c:v>
                </c:pt>
                <c:pt idx="1168">
                  <c:v>47252</c:v>
                </c:pt>
                <c:pt idx="1169">
                  <c:v>47259</c:v>
                </c:pt>
                <c:pt idx="1170">
                  <c:v>47266</c:v>
                </c:pt>
                <c:pt idx="1171">
                  <c:v>47273</c:v>
                </c:pt>
                <c:pt idx="1172">
                  <c:v>47280</c:v>
                </c:pt>
                <c:pt idx="1173">
                  <c:v>47287</c:v>
                </c:pt>
                <c:pt idx="1174">
                  <c:v>47294</c:v>
                </c:pt>
                <c:pt idx="1175">
                  <c:v>47301</c:v>
                </c:pt>
                <c:pt idx="1176">
                  <c:v>47308</c:v>
                </c:pt>
                <c:pt idx="1177">
                  <c:v>47316</c:v>
                </c:pt>
                <c:pt idx="1178">
                  <c:v>47323</c:v>
                </c:pt>
                <c:pt idx="1179">
                  <c:v>47330</c:v>
                </c:pt>
                <c:pt idx="1180">
                  <c:v>47337</c:v>
                </c:pt>
                <c:pt idx="1181">
                  <c:v>47344</c:v>
                </c:pt>
                <c:pt idx="1182">
                  <c:v>47351</c:v>
                </c:pt>
                <c:pt idx="1183">
                  <c:v>47358</c:v>
                </c:pt>
                <c:pt idx="1184">
                  <c:v>47365</c:v>
                </c:pt>
                <c:pt idx="1185">
                  <c:v>47372</c:v>
                </c:pt>
                <c:pt idx="1186">
                  <c:v>47379</c:v>
                </c:pt>
                <c:pt idx="1187">
                  <c:v>47386</c:v>
                </c:pt>
                <c:pt idx="1188">
                  <c:v>47393</c:v>
                </c:pt>
                <c:pt idx="1189">
                  <c:v>47400</c:v>
                </c:pt>
                <c:pt idx="1190">
                  <c:v>47407</c:v>
                </c:pt>
                <c:pt idx="1191">
                  <c:v>47414</c:v>
                </c:pt>
                <c:pt idx="1192">
                  <c:v>47421</c:v>
                </c:pt>
                <c:pt idx="1193">
                  <c:v>47428</c:v>
                </c:pt>
                <c:pt idx="1194">
                  <c:v>47435</c:v>
                </c:pt>
                <c:pt idx="1195">
                  <c:v>47442</c:v>
                </c:pt>
                <c:pt idx="1196">
                  <c:v>47449</c:v>
                </c:pt>
                <c:pt idx="1197">
                  <c:v>47456</c:v>
                </c:pt>
                <c:pt idx="1198">
                  <c:v>47463</c:v>
                </c:pt>
                <c:pt idx="1199">
                  <c:v>47470</c:v>
                </c:pt>
                <c:pt idx="1200">
                  <c:v>47477</c:v>
                </c:pt>
                <c:pt idx="1201">
                  <c:v>47487</c:v>
                </c:pt>
                <c:pt idx="1202">
                  <c:v>47494</c:v>
                </c:pt>
                <c:pt idx="1203">
                  <c:v>47501</c:v>
                </c:pt>
                <c:pt idx="1204">
                  <c:v>47508</c:v>
                </c:pt>
                <c:pt idx="1205">
                  <c:v>47515</c:v>
                </c:pt>
                <c:pt idx="1206">
                  <c:v>47522</c:v>
                </c:pt>
                <c:pt idx="1207">
                  <c:v>47529</c:v>
                </c:pt>
                <c:pt idx="1208">
                  <c:v>47536</c:v>
                </c:pt>
                <c:pt idx="1209">
                  <c:v>47543</c:v>
                </c:pt>
                <c:pt idx="1210">
                  <c:v>47550</c:v>
                </c:pt>
                <c:pt idx="1211">
                  <c:v>47557</c:v>
                </c:pt>
                <c:pt idx="1212">
                  <c:v>47564</c:v>
                </c:pt>
                <c:pt idx="1213">
                  <c:v>47571</c:v>
                </c:pt>
                <c:pt idx="1214">
                  <c:v>47578</c:v>
                </c:pt>
                <c:pt idx="1215">
                  <c:v>47585</c:v>
                </c:pt>
                <c:pt idx="1216">
                  <c:v>47592</c:v>
                </c:pt>
                <c:pt idx="1217">
                  <c:v>47599</c:v>
                </c:pt>
                <c:pt idx="1218">
                  <c:v>47610</c:v>
                </c:pt>
                <c:pt idx="1219">
                  <c:v>47617</c:v>
                </c:pt>
                <c:pt idx="1220">
                  <c:v>47624</c:v>
                </c:pt>
                <c:pt idx="1221">
                  <c:v>47631</c:v>
                </c:pt>
                <c:pt idx="1222">
                  <c:v>47638</c:v>
                </c:pt>
                <c:pt idx="1223">
                  <c:v>47645</c:v>
                </c:pt>
                <c:pt idx="1224">
                  <c:v>47652</c:v>
                </c:pt>
                <c:pt idx="1225">
                  <c:v>47659</c:v>
                </c:pt>
                <c:pt idx="1226">
                  <c:v>47666</c:v>
                </c:pt>
                <c:pt idx="1227">
                  <c:v>47673</c:v>
                </c:pt>
                <c:pt idx="1228">
                  <c:v>47680</c:v>
                </c:pt>
                <c:pt idx="1229">
                  <c:v>47687</c:v>
                </c:pt>
                <c:pt idx="1230">
                  <c:v>47694</c:v>
                </c:pt>
                <c:pt idx="1231">
                  <c:v>47701</c:v>
                </c:pt>
                <c:pt idx="1232">
                  <c:v>47708</c:v>
                </c:pt>
                <c:pt idx="1233">
                  <c:v>47715</c:v>
                </c:pt>
                <c:pt idx="1234">
                  <c:v>47722</c:v>
                </c:pt>
                <c:pt idx="1235">
                  <c:v>47729</c:v>
                </c:pt>
                <c:pt idx="1236">
                  <c:v>47736</c:v>
                </c:pt>
                <c:pt idx="1237">
                  <c:v>47743</c:v>
                </c:pt>
                <c:pt idx="1238">
                  <c:v>47750</c:v>
                </c:pt>
                <c:pt idx="1239">
                  <c:v>47757</c:v>
                </c:pt>
                <c:pt idx="1240">
                  <c:v>47764</c:v>
                </c:pt>
                <c:pt idx="1241">
                  <c:v>47771</c:v>
                </c:pt>
                <c:pt idx="1242">
                  <c:v>47778</c:v>
                </c:pt>
                <c:pt idx="1243">
                  <c:v>47785</c:v>
                </c:pt>
                <c:pt idx="1244">
                  <c:v>47792</c:v>
                </c:pt>
                <c:pt idx="1245">
                  <c:v>47799</c:v>
                </c:pt>
                <c:pt idx="1246">
                  <c:v>47806</c:v>
                </c:pt>
                <c:pt idx="1247">
                  <c:v>47813</c:v>
                </c:pt>
                <c:pt idx="1248">
                  <c:v>47820</c:v>
                </c:pt>
                <c:pt idx="1249">
                  <c:v>47827</c:v>
                </c:pt>
                <c:pt idx="1250">
                  <c:v>47834</c:v>
                </c:pt>
                <c:pt idx="1251">
                  <c:v>47841</c:v>
                </c:pt>
                <c:pt idx="1252">
                  <c:v>47854</c:v>
                </c:pt>
                <c:pt idx="1253">
                  <c:v>47862</c:v>
                </c:pt>
                <c:pt idx="1254">
                  <c:v>47869</c:v>
                </c:pt>
                <c:pt idx="1255">
                  <c:v>47876</c:v>
                </c:pt>
                <c:pt idx="1256">
                  <c:v>47883</c:v>
                </c:pt>
                <c:pt idx="1257">
                  <c:v>47891</c:v>
                </c:pt>
                <c:pt idx="1258">
                  <c:v>47898</c:v>
                </c:pt>
                <c:pt idx="1259">
                  <c:v>47905</c:v>
                </c:pt>
                <c:pt idx="1260">
                  <c:v>47912</c:v>
                </c:pt>
                <c:pt idx="1261">
                  <c:v>47919</c:v>
                </c:pt>
                <c:pt idx="1262">
                  <c:v>47926</c:v>
                </c:pt>
                <c:pt idx="1263">
                  <c:v>47933</c:v>
                </c:pt>
                <c:pt idx="1264">
                  <c:v>47940</c:v>
                </c:pt>
                <c:pt idx="1265">
                  <c:v>47947</c:v>
                </c:pt>
                <c:pt idx="1266">
                  <c:v>47954</c:v>
                </c:pt>
                <c:pt idx="1267">
                  <c:v>47961</c:v>
                </c:pt>
                <c:pt idx="1268">
                  <c:v>47968</c:v>
                </c:pt>
                <c:pt idx="1269">
                  <c:v>47975</c:v>
                </c:pt>
                <c:pt idx="1270">
                  <c:v>47982</c:v>
                </c:pt>
                <c:pt idx="1271">
                  <c:v>47989</c:v>
                </c:pt>
                <c:pt idx="1272">
                  <c:v>47996</c:v>
                </c:pt>
                <c:pt idx="1273">
                  <c:v>48003</c:v>
                </c:pt>
                <c:pt idx="1274">
                  <c:v>48010</c:v>
                </c:pt>
                <c:pt idx="1275">
                  <c:v>48017</c:v>
                </c:pt>
                <c:pt idx="1276">
                  <c:v>48024</c:v>
                </c:pt>
                <c:pt idx="1277">
                  <c:v>48031</c:v>
                </c:pt>
                <c:pt idx="1278">
                  <c:v>48038</c:v>
                </c:pt>
                <c:pt idx="1279">
                  <c:v>48045</c:v>
                </c:pt>
                <c:pt idx="1280">
                  <c:v>48052</c:v>
                </c:pt>
                <c:pt idx="1281">
                  <c:v>48059</c:v>
                </c:pt>
                <c:pt idx="1282">
                  <c:v>48066</c:v>
                </c:pt>
                <c:pt idx="1283">
                  <c:v>48073</c:v>
                </c:pt>
                <c:pt idx="1284">
                  <c:v>48080</c:v>
                </c:pt>
                <c:pt idx="1285">
                  <c:v>48087</c:v>
                </c:pt>
                <c:pt idx="1286">
                  <c:v>48094</c:v>
                </c:pt>
                <c:pt idx="1287">
                  <c:v>48101</c:v>
                </c:pt>
                <c:pt idx="1288">
                  <c:v>48108</c:v>
                </c:pt>
                <c:pt idx="1289">
                  <c:v>48115</c:v>
                </c:pt>
                <c:pt idx="1290">
                  <c:v>48122</c:v>
                </c:pt>
                <c:pt idx="1291">
                  <c:v>48129</c:v>
                </c:pt>
                <c:pt idx="1292">
                  <c:v>48136</c:v>
                </c:pt>
                <c:pt idx="1293">
                  <c:v>48143</c:v>
                </c:pt>
                <c:pt idx="1294">
                  <c:v>48150</c:v>
                </c:pt>
                <c:pt idx="1295">
                  <c:v>48157</c:v>
                </c:pt>
                <c:pt idx="1296">
                  <c:v>48164</c:v>
                </c:pt>
                <c:pt idx="1297">
                  <c:v>48171</c:v>
                </c:pt>
                <c:pt idx="1298">
                  <c:v>48178</c:v>
                </c:pt>
                <c:pt idx="1299">
                  <c:v>48185</c:v>
                </c:pt>
                <c:pt idx="1300">
                  <c:v>48192</c:v>
                </c:pt>
                <c:pt idx="1301">
                  <c:v>48199</c:v>
                </c:pt>
                <c:pt idx="1302">
                  <c:v>48206</c:v>
                </c:pt>
                <c:pt idx="1303">
                  <c:v>48218</c:v>
                </c:pt>
                <c:pt idx="1304">
                  <c:v>48226</c:v>
                </c:pt>
                <c:pt idx="1305">
                  <c:v>48233</c:v>
                </c:pt>
                <c:pt idx="1306">
                  <c:v>48240</c:v>
                </c:pt>
                <c:pt idx="1307">
                  <c:v>48247</c:v>
                </c:pt>
                <c:pt idx="1308">
                  <c:v>48254</c:v>
                </c:pt>
                <c:pt idx="1309">
                  <c:v>48261</c:v>
                </c:pt>
                <c:pt idx="1310">
                  <c:v>48268</c:v>
                </c:pt>
                <c:pt idx="1311">
                  <c:v>48275</c:v>
                </c:pt>
                <c:pt idx="1312">
                  <c:v>48282</c:v>
                </c:pt>
                <c:pt idx="1313">
                  <c:v>48289</c:v>
                </c:pt>
                <c:pt idx="1314">
                  <c:v>48296</c:v>
                </c:pt>
                <c:pt idx="1315">
                  <c:v>48303</c:v>
                </c:pt>
                <c:pt idx="1316">
                  <c:v>48310</c:v>
                </c:pt>
                <c:pt idx="1317">
                  <c:v>48317</c:v>
                </c:pt>
                <c:pt idx="1318">
                  <c:v>48324</c:v>
                </c:pt>
                <c:pt idx="1319">
                  <c:v>48331</c:v>
                </c:pt>
                <c:pt idx="1320">
                  <c:v>48340</c:v>
                </c:pt>
                <c:pt idx="1321">
                  <c:v>48347</c:v>
                </c:pt>
                <c:pt idx="1322">
                  <c:v>48354</c:v>
                </c:pt>
                <c:pt idx="1323">
                  <c:v>48361</c:v>
                </c:pt>
                <c:pt idx="1324">
                  <c:v>48368</c:v>
                </c:pt>
                <c:pt idx="1325">
                  <c:v>48375</c:v>
                </c:pt>
                <c:pt idx="1326">
                  <c:v>48382</c:v>
                </c:pt>
                <c:pt idx="1327">
                  <c:v>48389</c:v>
                </c:pt>
                <c:pt idx="1328">
                  <c:v>48396</c:v>
                </c:pt>
                <c:pt idx="1329">
                  <c:v>48403</c:v>
                </c:pt>
                <c:pt idx="1330">
                  <c:v>48410</c:v>
                </c:pt>
                <c:pt idx="1331">
                  <c:v>48417</c:v>
                </c:pt>
                <c:pt idx="1332">
                  <c:v>48424</c:v>
                </c:pt>
                <c:pt idx="1333">
                  <c:v>48431</c:v>
                </c:pt>
                <c:pt idx="1334">
                  <c:v>48438</c:v>
                </c:pt>
                <c:pt idx="1335">
                  <c:v>48445</c:v>
                </c:pt>
                <c:pt idx="1336">
                  <c:v>48452</c:v>
                </c:pt>
                <c:pt idx="1337">
                  <c:v>48459</c:v>
                </c:pt>
                <c:pt idx="1338">
                  <c:v>48466</c:v>
                </c:pt>
                <c:pt idx="1339">
                  <c:v>48473</c:v>
                </c:pt>
                <c:pt idx="1340">
                  <c:v>48480</c:v>
                </c:pt>
                <c:pt idx="1341">
                  <c:v>48487</c:v>
                </c:pt>
                <c:pt idx="1342">
                  <c:v>48494</c:v>
                </c:pt>
                <c:pt idx="1343">
                  <c:v>48501</c:v>
                </c:pt>
                <c:pt idx="1344">
                  <c:v>48508</c:v>
                </c:pt>
                <c:pt idx="1345">
                  <c:v>48515</c:v>
                </c:pt>
                <c:pt idx="1346">
                  <c:v>48522</c:v>
                </c:pt>
                <c:pt idx="1347">
                  <c:v>48529</c:v>
                </c:pt>
                <c:pt idx="1348">
                  <c:v>48536</c:v>
                </c:pt>
                <c:pt idx="1349">
                  <c:v>48543</c:v>
                </c:pt>
                <c:pt idx="1350">
                  <c:v>48550</c:v>
                </c:pt>
                <c:pt idx="1351">
                  <c:v>48557</c:v>
                </c:pt>
                <c:pt idx="1352">
                  <c:v>48564</c:v>
                </c:pt>
                <c:pt idx="1353">
                  <c:v>48572</c:v>
                </c:pt>
                <c:pt idx="1354">
                  <c:v>48583</c:v>
                </c:pt>
                <c:pt idx="1355">
                  <c:v>48590</c:v>
                </c:pt>
                <c:pt idx="1356">
                  <c:v>48597</c:v>
                </c:pt>
                <c:pt idx="1357">
                  <c:v>48604</c:v>
                </c:pt>
                <c:pt idx="1358">
                  <c:v>48611</c:v>
                </c:pt>
                <c:pt idx="1359">
                  <c:v>48618</c:v>
                </c:pt>
                <c:pt idx="1360">
                  <c:v>48625</c:v>
                </c:pt>
                <c:pt idx="1361">
                  <c:v>48632</c:v>
                </c:pt>
                <c:pt idx="1362">
                  <c:v>48639</c:v>
                </c:pt>
                <c:pt idx="1363">
                  <c:v>48646</c:v>
                </c:pt>
                <c:pt idx="1364">
                  <c:v>48653</c:v>
                </c:pt>
                <c:pt idx="1365">
                  <c:v>48660</c:v>
                </c:pt>
                <c:pt idx="1366">
                  <c:v>48667</c:v>
                </c:pt>
                <c:pt idx="1367">
                  <c:v>48674</c:v>
                </c:pt>
                <c:pt idx="1368">
                  <c:v>48681</c:v>
                </c:pt>
                <c:pt idx="1369">
                  <c:v>48688</c:v>
                </c:pt>
                <c:pt idx="1370">
                  <c:v>48695</c:v>
                </c:pt>
                <c:pt idx="1371">
                  <c:v>48705</c:v>
                </c:pt>
                <c:pt idx="1372">
                  <c:v>48712</c:v>
                </c:pt>
                <c:pt idx="1373">
                  <c:v>48719</c:v>
                </c:pt>
                <c:pt idx="1374">
                  <c:v>48726</c:v>
                </c:pt>
                <c:pt idx="1375">
                  <c:v>48733</c:v>
                </c:pt>
                <c:pt idx="1376">
                  <c:v>48740</c:v>
                </c:pt>
                <c:pt idx="1377">
                  <c:v>48747</c:v>
                </c:pt>
                <c:pt idx="1378">
                  <c:v>48754</c:v>
                </c:pt>
                <c:pt idx="1379">
                  <c:v>48761</c:v>
                </c:pt>
                <c:pt idx="1380">
                  <c:v>48768</c:v>
                </c:pt>
                <c:pt idx="1381">
                  <c:v>48775</c:v>
                </c:pt>
                <c:pt idx="1382">
                  <c:v>48782</c:v>
                </c:pt>
                <c:pt idx="1383">
                  <c:v>48789</c:v>
                </c:pt>
                <c:pt idx="1384">
                  <c:v>48796</c:v>
                </c:pt>
                <c:pt idx="1385">
                  <c:v>48803</c:v>
                </c:pt>
                <c:pt idx="1386">
                  <c:v>48810</c:v>
                </c:pt>
                <c:pt idx="1387">
                  <c:v>48817</c:v>
                </c:pt>
                <c:pt idx="1388">
                  <c:v>48824</c:v>
                </c:pt>
                <c:pt idx="1389">
                  <c:v>48831</c:v>
                </c:pt>
                <c:pt idx="1390">
                  <c:v>48838</c:v>
                </c:pt>
                <c:pt idx="1391">
                  <c:v>48848</c:v>
                </c:pt>
                <c:pt idx="1392">
                  <c:v>48855</c:v>
                </c:pt>
                <c:pt idx="1393">
                  <c:v>48863</c:v>
                </c:pt>
                <c:pt idx="1394">
                  <c:v>48870</c:v>
                </c:pt>
                <c:pt idx="1395">
                  <c:v>48877</c:v>
                </c:pt>
                <c:pt idx="1396">
                  <c:v>48884</c:v>
                </c:pt>
                <c:pt idx="1397">
                  <c:v>48891</c:v>
                </c:pt>
                <c:pt idx="1398">
                  <c:v>48898</c:v>
                </c:pt>
                <c:pt idx="1399">
                  <c:v>48905</c:v>
                </c:pt>
                <c:pt idx="1400">
                  <c:v>48912</c:v>
                </c:pt>
                <c:pt idx="1401">
                  <c:v>48919</c:v>
                </c:pt>
                <c:pt idx="1402">
                  <c:v>48926</c:v>
                </c:pt>
                <c:pt idx="1403">
                  <c:v>48933</c:v>
                </c:pt>
                <c:pt idx="1404">
                  <c:v>48940</c:v>
                </c:pt>
                <c:pt idx="1405">
                  <c:v>48948</c:v>
                </c:pt>
                <c:pt idx="1406">
                  <c:v>48955</c:v>
                </c:pt>
                <c:pt idx="1407">
                  <c:v>48962</c:v>
                </c:pt>
                <c:pt idx="1408">
                  <c:v>48969</c:v>
                </c:pt>
                <c:pt idx="1409">
                  <c:v>48976</c:v>
                </c:pt>
                <c:pt idx="1410">
                  <c:v>48983</c:v>
                </c:pt>
                <c:pt idx="1411">
                  <c:v>48990</c:v>
                </c:pt>
                <c:pt idx="1412">
                  <c:v>48997</c:v>
                </c:pt>
                <c:pt idx="1413">
                  <c:v>49004</c:v>
                </c:pt>
                <c:pt idx="1414">
                  <c:v>49011</c:v>
                </c:pt>
                <c:pt idx="1415">
                  <c:v>49018</c:v>
                </c:pt>
                <c:pt idx="1416">
                  <c:v>49025</c:v>
                </c:pt>
                <c:pt idx="1417">
                  <c:v>49032</c:v>
                </c:pt>
                <c:pt idx="1418">
                  <c:v>49039</c:v>
                </c:pt>
                <c:pt idx="1419">
                  <c:v>49046</c:v>
                </c:pt>
                <c:pt idx="1420">
                  <c:v>49053</c:v>
                </c:pt>
                <c:pt idx="1421">
                  <c:v>49060</c:v>
                </c:pt>
                <c:pt idx="1422">
                  <c:v>49072</c:v>
                </c:pt>
                <c:pt idx="1423">
                  <c:v>49079</c:v>
                </c:pt>
                <c:pt idx="1424">
                  <c:v>49086</c:v>
                </c:pt>
                <c:pt idx="1425">
                  <c:v>49093</c:v>
                </c:pt>
                <c:pt idx="1426">
                  <c:v>49100</c:v>
                </c:pt>
                <c:pt idx="1427">
                  <c:v>49107</c:v>
                </c:pt>
                <c:pt idx="1428">
                  <c:v>49114</c:v>
                </c:pt>
                <c:pt idx="1429">
                  <c:v>49121</c:v>
                </c:pt>
                <c:pt idx="1430">
                  <c:v>49128</c:v>
                </c:pt>
                <c:pt idx="1431">
                  <c:v>49135</c:v>
                </c:pt>
                <c:pt idx="1432">
                  <c:v>49143</c:v>
                </c:pt>
                <c:pt idx="1433">
                  <c:v>49150</c:v>
                </c:pt>
                <c:pt idx="1434">
                  <c:v>49157</c:v>
                </c:pt>
                <c:pt idx="1435">
                  <c:v>49164</c:v>
                </c:pt>
                <c:pt idx="1436">
                  <c:v>49171</c:v>
                </c:pt>
                <c:pt idx="1437">
                  <c:v>49178</c:v>
                </c:pt>
                <c:pt idx="1438">
                  <c:v>49185</c:v>
                </c:pt>
                <c:pt idx="1439">
                  <c:v>49192</c:v>
                </c:pt>
                <c:pt idx="1440">
                  <c:v>49199</c:v>
                </c:pt>
                <c:pt idx="1441">
                  <c:v>49206</c:v>
                </c:pt>
                <c:pt idx="1442">
                  <c:v>49213</c:v>
                </c:pt>
                <c:pt idx="1443">
                  <c:v>49220</c:v>
                </c:pt>
                <c:pt idx="1444">
                  <c:v>49227</c:v>
                </c:pt>
                <c:pt idx="1445">
                  <c:v>49234</c:v>
                </c:pt>
                <c:pt idx="1446">
                  <c:v>49241</c:v>
                </c:pt>
                <c:pt idx="1447">
                  <c:v>49248</c:v>
                </c:pt>
                <c:pt idx="1448">
                  <c:v>49255</c:v>
                </c:pt>
                <c:pt idx="1449">
                  <c:v>49262</c:v>
                </c:pt>
                <c:pt idx="1450">
                  <c:v>49269</c:v>
                </c:pt>
                <c:pt idx="1451">
                  <c:v>49276</c:v>
                </c:pt>
                <c:pt idx="1452">
                  <c:v>49283</c:v>
                </c:pt>
                <c:pt idx="1453">
                  <c:v>49290</c:v>
                </c:pt>
                <c:pt idx="1454">
                  <c:v>49297</c:v>
                </c:pt>
                <c:pt idx="1455">
                  <c:v>49304</c:v>
                </c:pt>
                <c:pt idx="1456">
                  <c:v>49313</c:v>
                </c:pt>
                <c:pt idx="1457">
                  <c:v>49320</c:v>
                </c:pt>
                <c:pt idx="1458">
                  <c:v>49327</c:v>
                </c:pt>
                <c:pt idx="1459">
                  <c:v>49334</c:v>
                </c:pt>
                <c:pt idx="1460">
                  <c:v>49341</c:v>
                </c:pt>
                <c:pt idx="1461">
                  <c:v>49348</c:v>
                </c:pt>
                <c:pt idx="1462">
                  <c:v>49355</c:v>
                </c:pt>
                <c:pt idx="1463">
                  <c:v>49362</c:v>
                </c:pt>
                <c:pt idx="1464">
                  <c:v>49369</c:v>
                </c:pt>
                <c:pt idx="1465">
                  <c:v>49376</c:v>
                </c:pt>
                <c:pt idx="1466">
                  <c:v>49383</c:v>
                </c:pt>
                <c:pt idx="1467">
                  <c:v>49390</c:v>
                </c:pt>
                <c:pt idx="1468">
                  <c:v>49397</c:v>
                </c:pt>
                <c:pt idx="1469">
                  <c:v>49404</c:v>
                </c:pt>
                <c:pt idx="1470">
                  <c:v>49411</c:v>
                </c:pt>
                <c:pt idx="1471">
                  <c:v>49418</c:v>
                </c:pt>
                <c:pt idx="1472">
                  <c:v>49425</c:v>
                </c:pt>
                <c:pt idx="1473">
                  <c:v>49436</c:v>
                </c:pt>
                <c:pt idx="1474">
                  <c:v>49443</c:v>
                </c:pt>
                <c:pt idx="1475">
                  <c:v>49450</c:v>
                </c:pt>
                <c:pt idx="1476">
                  <c:v>49457</c:v>
                </c:pt>
                <c:pt idx="1477">
                  <c:v>49464</c:v>
                </c:pt>
                <c:pt idx="1478">
                  <c:v>49471</c:v>
                </c:pt>
                <c:pt idx="1479">
                  <c:v>49478</c:v>
                </c:pt>
                <c:pt idx="1480">
                  <c:v>49485</c:v>
                </c:pt>
                <c:pt idx="1481">
                  <c:v>49492</c:v>
                </c:pt>
                <c:pt idx="1482">
                  <c:v>49499</c:v>
                </c:pt>
                <c:pt idx="1483">
                  <c:v>49507</c:v>
                </c:pt>
                <c:pt idx="1484">
                  <c:v>49514</c:v>
                </c:pt>
                <c:pt idx="1485">
                  <c:v>49521</c:v>
                </c:pt>
                <c:pt idx="1486">
                  <c:v>49528</c:v>
                </c:pt>
                <c:pt idx="1487">
                  <c:v>49535</c:v>
                </c:pt>
                <c:pt idx="1488">
                  <c:v>49542</c:v>
                </c:pt>
                <c:pt idx="1489">
                  <c:v>49549</c:v>
                </c:pt>
                <c:pt idx="1490">
                  <c:v>49556</c:v>
                </c:pt>
                <c:pt idx="1491">
                  <c:v>49563</c:v>
                </c:pt>
                <c:pt idx="1492">
                  <c:v>49570</c:v>
                </c:pt>
                <c:pt idx="1493">
                  <c:v>49577</c:v>
                </c:pt>
                <c:pt idx="1494">
                  <c:v>49584</c:v>
                </c:pt>
                <c:pt idx="1495">
                  <c:v>49591</c:v>
                </c:pt>
                <c:pt idx="1496">
                  <c:v>49598</c:v>
                </c:pt>
                <c:pt idx="1497">
                  <c:v>49605</c:v>
                </c:pt>
                <c:pt idx="1498">
                  <c:v>49612</c:v>
                </c:pt>
                <c:pt idx="1499">
                  <c:v>49619</c:v>
                </c:pt>
                <c:pt idx="1500">
                  <c:v>49626</c:v>
                </c:pt>
                <c:pt idx="1501">
                  <c:v>49633</c:v>
                </c:pt>
                <c:pt idx="1502">
                  <c:v>49640</c:v>
                </c:pt>
                <c:pt idx="1503">
                  <c:v>49647</c:v>
                </c:pt>
                <c:pt idx="1504">
                  <c:v>49654</c:v>
                </c:pt>
                <c:pt idx="1505">
                  <c:v>49661</c:v>
                </c:pt>
                <c:pt idx="1506">
                  <c:v>49668</c:v>
                </c:pt>
                <c:pt idx="1507">
                  <c:v>49678</c:v>
                </c:pt>
                <c:pt idx="1508">
                  <c:v>49685</c:v>
                </c:pt>
                <c:pt idx="1509">
                  <c:v>49692</c:v>
                </c:pt>
                <c:pt idx="1510">
                  <c:v>49699</c:v>
                </c:pt>
                <c:pt idx="1511">
                  <c:v>49706</c:v>
                </c:pt>
                <c:pt idx="1512">
                  <c:v>49713</c:v>
                </c:pt>
                <c:pt idx="1513">
                  <c:v>49720</c:v>
                </c:pt>
                <c:pt idx="1514">
                  <c:v>49727</c:v>
                </c:pt>
                <c:pt idx="1515">
                  <c:v>49734</c:v>
                </c:pt>
                <c:pt idx="1516">
                  <c:v>49741</c:v>
                </c:pt>
                <c:pt idx="1517">
                  <c:v>49748</c:v>
                </c:pt>
                <c:pt idx="1518">
                  <c:v>49755</c:v>
                </c:pt>
                <c:pt idx="1519">
                  <c:v>49762</c:v>
                </c:pt>
                <c:pt idx="1520">
                  <c:v>49769</c:v>
                </c:pt>
                <c:pt idx="1521">
                  <c:v>49776</c:v>
                </c:pt>
                <c:pt idx="1522">
                  <c:v>49783</c:v>
                </c:pt>
                <c:pt idx="1523">
                  <c:v>49790</c:v>
                </c:pt>
                <c:pt idx="1524">
                  <c:v>49797</c:v>
                </c:pt>
                <c:pt idx="1525">
                  <c:v>49804</c:v>
                </c:pt>
                <c:pt idx="1526">
                  <c:v>49811</c:v>
                </c:pt>
                <c:pt idx="1527">
                  <c:v>49818</c:v>
                </c:pt>
                <c:pt idx="1528">
                  <c:v>49825</c:v>
                </c:pt>
                <c:pt idx="1529">
                  <c:v>49832</c:v>
                </c:pt>
                <c:pt idx="1530">
                  <c:v>49839</c:v>
                </c:pt>
                <c:pt idx="1531">
                  <c:v>49846</c:v>
                </c:pt>
                <c:pt idx="1532">
                  <c:v>49853</c:v>
                </c:pt>
                <c:pt idx="1533">
                  <c:v>49860</c:v>
                </c:pt>
                <c:pt idx="1534">
                  <c:v>49867</c:v>
                </c:pt>
                <c:pt idx="1535">
                  <c:v>49874</c:v>
                </c:pt>
                <c:pt idx="1536">
                  <c:v>49881</c:v>
                </c:pt>
                <c:pt idx="1537">
                  <c:v>49888</c:v>
                </c:pt>
                <c:pt idx="1538">
                  <c:v>49895</c:v>
                </c:pt>
                <c:pt idx="1539">
                  <c:v>49902</c:v>
                </c:pt>
                <c:pt idx="1540">
                  <c:v>49909</c:v>
                </c:pt>
                <c:pt idx="1541">
                  <c:v>49916</c:v>
                </c:pt>
                <c:pt idx="1542">
                  <c:v>49923</c:v>
                </c:pt>
                <c:pt idx="1543">
                  <c:v>49930</c:v>
                </c:pt>
                <c:pt idx="1544">
                  <c:v>49937</c:v>
                </c:pt>
                <c:pt idx="1545">
                  <c:v>49944</c:v>
                </c:pt>
                <c:pt idx="1546">
                  <c:v>49951</c:v>
                </c:pt>
                <c:pt idx="1547">
                  <c:v>49958</c:v>
                </c:pt>
                <c:pt idx="1548">
                  <c:v>49965</c:v>
                </c:pt>
                <c:pt idx="1549">
                  <c:v>49972</c:v>
                </c:pt>
                <c:pt idx="1550">
                  <c:v>49979</c:v>
                </c:pt>
                <c:pt idx="1551">
                  <c:v>49986</c:v>
                </c:pt>
                <c:pt idx="1552">
                  <c:v>49993</c:v>
                </c:pt>
                <c:pt idx="1553">
                  <c:v>50000</c:v>
                </c:pt>
                <c:pt idx="1554">
                  <c:v>50007</c:v>
                </c:pt>
                <c:pt idx="1555">
                  <c:v>50014</c:v>
                </c:pt>
                <c:pt idx="1556">
                  <c:v>50021</c:v>
                </c:pt>
                <c:pt idx="1557">
                  <c:v>50028</c:v>
                </c:pt>
                <c:pt idx="1558">
                  <c:v>50035</c:v>
                </c:pt>
                <c:pt idx="1559">
                  <c:v>50045</c:v>
                </c:pt>
                <c:pt idx="1560">
                  <c:v>50053</c:v>
                </c:pt>
                <c:pt idx="1561">
                  <c:v>50060</c:v>
                </c:pt>
                <c:pt idx="1562">
                  <c:v>50067</c:v>
                </c:pt>
                <c:pt idx="1563">
                  <c:v>50074</c:v>
                </c:pt>
                <c:pt idx="1564">
                  <c:v>50081</c:v>
                </c:pt>
                <c:pt idx="1565">
                  <c:v>50088</c:v>
                </c:pt>
                <c:pt idx="1566">
                  <c:v>50095</c:v>
                </c:pt>
                <c:pt idx="1567">
                  <c:v>50102</c:v>
                </c:pt>
                <c:pt idx="1568">
                  <c:v>50109</c:v>
                </c:pt>
                <c:pt idx="1569">
                  <c:v>50116</c:v>
                </c:pt>
                <c:pt idx="1570">
                  <c:v>50123</c:v>
                </c:pt>
                <c:pt idx="1571">
                  <c:v>50130</c:v>
                </c:pt>
                <c:pt idx="1572">
                  <c:v>50137</c:v>
                </c:pt>
                <c:pt idx="1573">
                  <c:v>50144</c:v>
                </c:pt>
                <c:pt idx="1574">
                  <c:v>50151</c:v>
                </c:pt>
                <c:pt idx="1575">
                  <c:v>50158</c:v>
                </c:pt>
                <c:pt idx="1576">
                  <c:v>50167</c:v>
                </c:pt>
                <c:pt idx="1577">
                  <c:v>50174</c:v>
                </c:pt>
                <c:pt idx="1578">
                  <c:v>50181</c:v>
                </c:pt>
                <c:pt idx="1579">
                  <c:v>50188</c:v>
                </c:pt>
                <c:pt idx="1580">
                  <c:v>50195</c:v>
                </c:pt>
                <c:pt idx="1581">
                  <c:v>50202</c:v>
                </c:pt>
                <c:pt idx="1582">
                  <c:v>50209</c:v>
                </c:pt>
                <c:pt idx="1583">
                  <c:v>50216</c:v>
                </c:pt>
                <c:pt idx="1584">
                  <c:v>50223</c:v>
                </c:pt>
                <c:pt idx="1585">
                  <c:v>50230</c:v>
                </c:pt>
                <c:pt idx="1586">
                  <c:v>50237</c:v>
                </c:pt>
                <c:pt idx="1587">
                  <c:v>50244</c:v>
                </c:pt>
                <c:pt idx="1588">
                  <c:v>50251</c:v>
                </c:pt>
                <c:pt idx="1589">
                  <c:v>50258</c:v>
                </c:pt>
                <c:pt idx="1590">
                  <c:v>50265</c:v>
                </c:pt>
                <c:pt idx="1591">
                  <c:v>50272</c:v>
                </c:pt>
                <c:pt idx="1592">
                  <c:v>50279</c:v>
                </c:pt>
                <c:pt idx="1593">
                  <c:v>50286</c:v>
                </c:pt>
                <c:pt idx="1594">
                  <c:v>50293</c:v>
                </c:pt>
                <c:pt idx="1595">
                  <c:v>50300</c:v>
                </c:pt>
                <c:pt idx="1596">
                  <c:v>50307</c:v>
                </c:pt>
                <c:pt idx="1597">
                  <c:v>50314</c:v>
                </c:pt>
                <c:pt idx="1598">
                  <c:v>50321</c:v>
                </c:pt>
                <c:pt idx="1599">
                  <c:v>50328</c:v>
                </c:pt>
                <c:pt idx="1600">
                  <c:v>50335</c:v>
                </c:pt>
                <c:pt idx="1601">
                  <c:v>50342</c:v>
                </c:pt>
                <c:pt idx="1602">
                  <c:v>50349</c:v>
                </c:pt>
                <c:pt idx="1603">
                  <c:v>50356</c:v>
                </c:pt>
                <c:pt idx="1604">
                  <c:v>50363</c:v>
                </c:pt>
                <c:pt idx="1605">
                  <c:v>50370</c:v>
                </c:pt>
                <c:pt idx="1606">
                  <c:v>50377</c:v>
                </c:pt>
                <c:pt idx="1607">
                  <c:v>50384</c:v>
                </c:pt>
                <c:pt idx="1608">
                  <c:v>50391</c:v>
                </c:pt>
                <c:pt idx="1609">
                  <c:v>50398</c:v>
                </c:pt>
                <c:pt idx="1610">
                  <c:v>50409</c:v>
                </c:pt>
                <c:pt idx="1611">
                  <c:v>50417</c:v>
                </c:pt>
                <c:pt idx="1612">
                  <c:v>50424</c:v>
                </c:pt>
                <c:pt idx="1613">
                  <c:v>50431</c:v>
                </c:pt>
                <c:pt idx="1614">
                  <c:v>50438</c:v>
                </c:pt>
                <c:pt idx="1615">
                  <c:v>50445</c:v>
                </c:pt>
                <c:pt idx="1616">
                  <c:v>50452</c:v>
                </c:pt>
                <c:pt idx="1617">
                  <c:v>50459</c:v>
                </c:pt>
                <c:pt idx="1618">
                  <c:v>50466</c:v>
                </c:pt>
                <c:pt idx="1619">
                  <c:v>50473</c:v>
                </c:pt>
                <c:pt idx="1620">
                  <c:v>50480</c:v>
                </c:pt>
                <c:pt idx="1621">
                  <c:v>50487</c:v>
                </c:pt>
                <c:pt idx="1622">
                  <c:v>50494</c:v>
                </c:pt>
                <c:pt idx="1623">
                  <c:v>50501</c:v>
                </c:pt>
                <c:pt idx="1624">
                  <c:v>50508</c:v>
                </c:pt>
                <c:pt idx="1625">
                  <c:v>50515</c:v>
                </c:pt>
                <c:pt idx="1626">
                  <c:v>50522</c:v>
                </c:pt>
                <c:pt idx="1627">
                  <c:v>50531</c:v>
                </c:pt>
                <c:pt idx="1628">
                  <c:v>50538</c:v>
                </c:pt>
                <c:pt idx="1629">
                  <c:v>50545</c:v>
                </c:pt>
                <c:pt idx="1630">
                  <c:v>50552</c:v>
                </c:pt>
                <c:pt idx="1631">
                  <c:v>50559</c:v>
                </c:pt>
                <c:pt idx="1632">
                  <c:v>50566</c:v>
                </c:pt>
                <c:pt idx="1633">
                  <c:v>50573</c:v>
                </c:pt>
                <c:pt idx="1634">
                  <c:v>50580</c:v>
                </c:pt>
                <c:pt idx="1635">
                  <c:v>50587</c:v>
                </c:pt>
                <c:pt idx="1636">
                  <c:v>50594</c:v>
                </c:pt>
                <c:pt idx="1637">
                  <c:v>50601</c:v>
                </c:pt>
                <c:pt idx="1638">
                  <c:v>50608</c:v>
                </c:pt>
                <c:pt idx="1639">
                  <c:v>50615</c:v>
                </c:pt>
                <c:pt idx="1640">
                  <c:v>50622</c:v>
                </c:pt>
                <c:pt idx="1641">
                  <c:v>50629</c:v>
                </c:pt>
                <c:pt idx="1642">
                  <c:v>50636</c:v>
                </c:pt>
                <c:pt idx="1643">
                  <c:v>50643</c:v>
                </c:pt>
                <c:pt idx="1644">
                  <c:v>50650</c:v>
                </c:pt>
                <c:pt idx="1645">
                  <c:v>50657</c:v>
                </c:pt>
                <c:pt idx="1646">
                  <c:v>50664</c:v>
                </c:pt>
                <c:pt idx="1647">
                  <c:v>50672</c:v>
                </c:pt>
                <c:pt idx="1648">
                  <c:v>50679</c:v>
                </c:pt>
                <c:pt idx="1649">
                  <c:v>50686</c:v>
                </c:pt>
                <c:pt idx="1650">
                  <c:v>50693</c:v>
                </c:pt>
                <c:pt idx="1651">
                  <c:v>50700</c:v>
                </c:pt>
                <c:pt idx="1652">
                  <c:v>50707</c:v>
                </c:pt>
                <c:pt idx="1653">
                  <c:v>50714</c:v>
                </c:pt>
                <c:pt idx="1654">
                  <c:v>50721</c:v>
                </c:pt>
                <c:pt idx="1655">
                  <c:v>50728</c:v>
                </c:pt>
                <c:pt idx="1656">
                  <c:v>50735</c:v>
                </c:pt>
                <c:pt idx="1657">
                  <c:v>50742</c:v>
                </c:pt>
                <c:pt idx="1658">
                  <c:v>50749</c:v>
                </c:pt>
                <c:pt idx="1659">
                  <c:v>50756</c:v>
                </c:pt>
                <c:pt idx="1660">
                  <c:v>50763</c:v>
                </c:pt>
                <c:pt idx="1661">
                  <c:v>50774</c:v>
                </c:pt>
                <c:pt idx="1662">
                  <c:v>50781</c:v>
                </c:pt>
                <c:pt idx="1663">
                  <c:v>50788</c:v>
                </c:pt>
                <c:pt idx="1664">
                  <c:v>50795</c:v>
                </c:pt>
                <c:pt idx="1665">
                  <c:v>50802</c:v>
                </c:pt>
                <c:pt idx="1666">
                  <c:v>50809</c:v>
                </c:pt>
                <c:pt idx="1667">
                  <c:v>50816</c:v>
                </c:pt>
                <c:pt idx="1668">
                  <c:v>50823</c:v>
                </c:pt>
                <c:pt idx="1669">
                  <c:v>50830</c:v>
                </c:pt>
                <c:pt idx="1670">
                  <c:v>50837</c:v>
                </c:pt>
                <c:pt idx="1671">
                  <c:v>50844</c:v>
                </c:pt>
                <c:pt idx="1672">
                  <c:v>50851</c:v>
                </c:pt>
                <c:pt idx="1673">
                  <c:v>50858</c:v>
                </c:pt>
                <c:pt idx="1674">
                  <c:v>50865</c:v>
                </c:pt>
                <c:pt idx="1675">
                  <c:v>50872</c:v>
                </c:pt>
                <c:pt idx="1676">
                  <c:v>50879</c:v>
                </c:pt>
                <c:pt idx="1677">
                  <c:v>50886</c:v>
                </c:pt>
                <c:pt idx="1678">
                  <c:v>50896</c:v>
                </c:pt>
                <c:pt idx="1679">
                  <c:v>50903</c:v>
                </c:pt>
                <c:pt idx="1680">
                  <c:v>50910</c:v>
                </c:pt>
                <c:pt idx="1681">
                  <c:v>50917</c:v>
                </c:pt>
                <c:pt idx="1682">
                  <c:v>50924</c:v>
                </c:pt>
                <c:pt idx="1683">
                  <c:v>50931</c:v>
                </c:pt>
                <c:pt idx="1684">
                  <c:v>50938</c:v>
                </c:pt>
                <c:pt idx="1685">
                  <c:v>50945</c:v>
                </c:pt>
                <c:pt idx="1686">
                  <c:v>50952</c:v>
                </c:pt>
                <c:pt idx="1687">
                  <c:v>50959</c:v>
                </c:pt>
                <c:pt idx="1688">
                  <c:v>50966</c:v>
                </c:pt>
                <c:pt idx="1689">
                  <c:v>50973</c:v>
                </c:pt>
                <c:pt idx="1690">
                  <c:v>50980</c:v>
                </c:pt>
                <c:pt idx="1691">
                  <c:v>50987</c:v>
                </c:pt>
                <c:pt idx="1692">
                  <c:v>50994</c:v>
                </c:pt>
                <c:pt idx="1693">
                  <c:v>51001</c:v>
                </c:pt>
                <c:pt idx="1694">
                  <c:v>51008</c:v>
                </c:pt>
                <c:pt idx="1695">
                  <c:v>51015</c:v>
                </c:pt>
                <c:pt idx="1696">
                  <c:v>51022</c:v>
                </c:pt>
                <c:pt idx="1697">
                  <c:v>51029</c:v>
                </c:pt>
                <c:pt idx="1698">
                  <c:v>51039</c:v>
                </c:pt>
                <c:pt idx="1699">
                  <c:v>51046</c:v>
                </c:pt>
                <c:pt idx="1700">
                  <c:v>51054</c:v>
                </c:pt>
                <c:pt idx="1701">
                  <c:v>51061</c:v>
                </c:pt>
                <c:pt idx="1702">
                  <c:v>51068</c:v>
                </c:pt>
                <c:pt idx="1703">
                  <c:v>51075</c:v>
                </c:pt>
                <c:pt idx="1704">
                  <c:v>51082</c:v>
                </c:pt>
                <c:pt idx="1705">
                  <c:v>51089</c:v>
                </c:pt>
                <c:pt idx="1706">
                  <c:v>51096</c:v>
                </c:pt>
                <c:pt idx="1707">
                  <c:v>51103</c:v>
                </c:pt>
                <c:pt idx="1708">
                  <c:v>51110</c:v>
                </c:pt>
                <c:pt idx="1709">
                  <c:v>51117</c:v>
                </c:pt>
                <c:pt idx="1710">
                  <c:v>51124</c:v>
                </c:pt>
                <c:pt idx="1711">
                  <c:v>51131</c:v>
                </c:pt>
                <c:pt idx="1712">
                  <c:v>51139</c:v>
                </c:pt>
                <c:pt idx="1713">
                  <c:v>51146</c:v>
                </c:pt>
                <c:pt idx="1714">
                  <c:v>51153</c:v>
                </c:pt>
                <c:pt idx="1715">
                  <c:v>51160</c:v>
                </c:pt>
                <c:pt idx="1716">
                  <c:v>51167</c:v>
                </c:pt>
                <c:pt idx="1717">
                  <c:v>51174</c:v>
                </c:pt>
                <c:pt idx="1718">
                  <c:v>51181</c:v>
                </c:pt>
                <c:pt idx="1719">
                  <c:v>51188</c:v>
                </c:pt>
                <c:pt idx="1720">
                  <c:v>51195</c:v>
                </c:pt>
                <c:pt idx="1721">
                  <c:v>51202</c:v>
                </c:pt>
                <c:pt idx="1722">
                  <c:v>51209</c:v>
                </c:pt>
                <c:pt idx="1723">
                  <c:v>51216</c:v>
                </c:pt>
                <c:pt idx="1724">
                  <c:v>51223</c:v>
                </c:pt>
                <c:pt idx="1725">
                  <c:v>51230</c:v>
                </c:pt>
                <c:pt idx="1726">
                  <c:v>51237</c:v>
                </c:pt>
                <c:pt idx="1727">
                  <c:v>51244</c:v>
                </c:pt>
                <c:pt idx="1728">
                  <c:v>51251</c:v>
                </c:pt>
                <c:pt idx="1729">
                  <c:v>51258</c:v>
                </c:pt>
                <c:pt idx="1730">
                  <c:v>51265</c:v>
                </c:pt>
                <c:pt idx="1731">
                  <c:v>51272</c:v>
                </c:pt>
                <c:pt idx="1732">
                  <c:v>51279</c:v>
                </c:pt>
                <c:pt idx="1733">
                  <c:v>51286</c:v>
                </c:pt>
                <c:pt idx="1734">
                  <c:v>51293</c:v>
                </c:pt>
                <c:pt idx="1735">
                  <c:v>51300</c:v>
                </c:pt>
                <c:pt idx="1736">
                  <c:v>51307</c:v>
                </c:pt>
                <c:pt idx="1737">
                  <c:v>51314</c:v>
                </c:pt>
                <c:pt idx="1738">
                  <c:v>51321</c:v>
                </c:pt>
                <c:pt idx="1739">
                  <c:v>51328</c:v>
                </c:pt>
                <c:pt idx="1740">
                  <c:v>51335</c:v>
                </c:pt>
                <c:pt idx="1741">
                  <c:v>51342</c:v>
                </c:pt>
                <c:pt idx="1742">
                  <c:v>51349</c:v>
                </c:pt>
                <c:pt idx="1743">
                  <c:v>51356</c:v>
                </c:pt>
                <c:pt idx="1744">
                  <c:v>51363</c:v>
                </c:pt>
                <c:pt idx="1745">
                  <c:v>51370</c:v>
                </c:pt>
                <c:pt idx="1746">
                  <c:v>51377</c:v>
                </c:pt>
                <c:pt idx="1747">
                  <c:v>51384</c:v>
                </c:pt>
                <c:pt idx="1748">
                  <c:v>51391</c:v>
                </c:pt>
                <c:pt idx="1749">
                  <c:v>51398</c:v>
                </c:pt>
                <c:pt idx="1750">
                  <c:v>51405</c:v>
                </c:pt>
                <c:pt idx="1751">
                  <c:v>51412</c:v>
                </c:pt>
                <c:pt idx="1752">
                  <c:v>51419</c:v>
                </c:pt>
                <c:pt idx="1753">
                  <c:v>51426</c:v>
                </c:pt>
                <c:pt idx="1754">
                  <c:v>51433</c:v>
                </c:pt>
                <c:pt idx="1755">
                  <c:v>51440</c:v>
                </c:pt>
                <c:pt idx="1756">
                  <c:v>51447</c:v>
                </c:pt>
                <c:pt idx="1757">
                  <c:v>51454</c:v>
                </c:pt>
                <c:pt idx="1758">
                  <c:v>51461</c:v>
                </c:pt>
                <c:pt idx="1759">
                  <c:v>51468</c:v>
                </c:pt>
                <c:pt idx="1760">
                  <c:v>51475</c:v>
                </c:pt>
                <c:pt idx="1761">
                  <c:v>51482</c:v>
                </c:pt>
                <c:pt idx="1762">
                  <c:v>51489</c:v>
                </c:pt>
                <c:pt idx="1763">
                  <c:v>51496</c:v>
                </c:pt>
                <c:pt idx="1764">
                  <c:v>51505</c:v>
                </c:pt>
                <c:pt idx="1765">
                  <c:v>51512</c:v>
                </c:pt>
                <c:pt idx="1766">
                  <c:v>51519</c:v>
                </c:pt>
                <c:pt idx="1767">
                  <c:v>51526</c:v>
                </c:pt>
                <c:pt idx="1768">
                  <c:v>51533</c:v>
                </c:pt>
                <c:pt idx="1769">
                  <c:v>51540</c:v>
                </c:pt>
                <c:pt idx="1770">
                  <c:v>51547</c:v>
                </c:pt>
                <c:pt idx="1771">
                  <c:v>51554</c:v>
                </c:pt>
                <c:pt idx="1772">
                  <c:v>51561</c:v>
                </c:pt>
                <c:pt idx="1773">
                  <c:v>51568</c:v>
                </c:pt>
                <c:pt idx="1774">
                  <c:v>51575</c:v>
                </c:pt>
                <c:pt idx="1775">
                  <c:v>51582</c:v>
                </c:pt>
                <c:pt idx="1776">
                  <c:v>51589</c:v>
                </c:pt>
                <c:pt idx="1777">
                  <c:v>51596</c:v>
                </c:pt>
                <c:pt idx="1778">
                  <c:v>51603</c:v>
                </c:pt>
                <c:pt idx="1779">
                  <c:v>51610</c:v>
                </c:pt>
                <c:pt idx="1780">
                  <c:v>51617</c:v>
                </c:pt>
                <c:pt idx="1781">
                  <c:v>51628</c:v>
                </c:pt>
                <c:pt idx="1782">
                  <c:v>51635</c:v>
                </c:pt>
                <c:pt idx="1783">
                  <c:v>51642</c:v>
                </c:pt>
                <c:pt idx="1784">
                  <c:v>51649</c:v>
                </c:pt>
                <c:pt idx="1785">
                  <c:v>51656</c:v>
                </c:pt>
                <c:pt idx="1786">
                  <c:v>51663</c:v>
                </c:pt>
                <c:pt idx="1787">
                  <c:v>51670</c:v>
                </c:pt>
                <c:pt idx="1788">
                  <c:v>51677</c:v>
                </c:pt>
                <c:pt idx="1789">
                  <c:v>51684</c:v>
                </c:pt>
                <c:pt idx="1790">
                  <c:v>51691</c:v>
                </c:pt>
                <c:pt idx="1791">
                  <c:v>51698</c:v>
                </c:pt>
                <c:pt idx="1792">
                  <c:v>51705</c:v>
                </c:pt>
                <c:pt idx="1793">
                  <c:v>51712</c:v>
                </c:pt>
                <c:pt idx="1794">
                  <c:v>51719</c:v>
                </c:pt>
                <c:pt idx="1795">
                  <c:v>51726</c:v>
                </c:pt>
                <c:pt idx="1796">
                  <c:v>51733</c:v>
                </c:pt>
                <c:pt idx="1797">
                  <c:v>51740</c:v>
                </c:pt>
                <c:pt idx="1798">
                  <c:v>51747</c:v>
                </c:pt>
                <c:pt idx="1799">
                  <c:v>51754</c:v>
                </c:pt>
                <c:pt idx="1800">
                  <c:v>51761</c:v>
                </c:pt>
                <c:pt idx="1801">
                  <c:v>51768</c:v>
                </c:pt>
                <c:pt idx="1802">
                  <c:v>51775</c:v>
                </c:pt>
                <c:pt idx="1803">
                  <c:v>51782</c:v>
                </c:pt>
                <c:pt idx="1804">
                  <c:v>51789</c:v>
                </c:pt>
                <c:pt idx="1805">
                  <c:v>51796</c:v>
                </c:pt>
                <c:pt idx="1806">
                  <c:v>51803</c:v>
                </c:pt>
                <c:pt idx="1807">
                  <c:v>51810</c:v>
                </c:pt>
                <c:pt idx="1808">
                  <c:v>51817</c:v>
                </c:pt>
                <c:pt idx="1809">
                  <c:v>51824</c:v>
                </c:pt>
                <c:pt idx="1810">
                  <c:v>51831</c:v>
                </c:pt>
                <c:pt idx="1811">
                  <c:v>51838</c:v>
                </c:pt>
                <c:pt idx="1812">
                  <c:v>51845</c:v>
                </c:pt>
                <c:pt idx="1813">
                  <c:v>51852</c:v>
                </c:pt>
                <c:pt idx="1814">
                  <c:v>51859</c:v>
                </c:pt>
                <c:pt idx="1815">
                  <c:v>51872</c:v>
                </c:pt>
                <c:pt idx="1816">
                  <c:v>51880</c:v>
                </c:pt>
                <c:pt idx="1817">
                  <c:v>51887</c:v>
                </c:pt>
                <c:pt idx="1818">
                  <c:v>51894</c:v>
                </c:pt>
                <c:pt idx="1819">
                  <c:v>51901</c:v>
                </c:pt>
                <c:pt idx="1820">
                  <c:v>51909</c:v>
                </c:pt>
                <c:pt idx="1821">
                  <c:v>51916</c:v>
                </c:pt>
                <c:pt idx="1822">
                  <c:v>51923</c:v>
                </c:pt>
                <c:pt idx="1823">
                  <c:v>51930</c:v>
                </c:pt>
                <c:pt idx="1824">
                  <c:v>51937</c:v>
                </c:pt>
                <c:pt idx="1825">
                  <c:v>51944</c:v>
                </c:pt>
                <c:pt idx="1826">
                  <c:v>51951</c:v>
                </c:pt>
                <c:pt idx="1827">
                  <c:v>51958</c:v>
                </c:pt>
                <c:pt idx="1828">
                  <c:v>51965</c:v>
                </c:pt>
                <c:pt idx="1829">
                  <c:v>51972</c:v>
                </c:pt>
                <c:pt idx="1830">
                  <c:v>51979</c:v>
                </c:pt>
                <c:pt idx="1831">
                  <c:v>51986</c:v>
                </c:pt>
                <c:pt idx="1832">
                  <c:v>51993</c:v>
                </c:pt>
                <c:pt idx="1833">
                  <c:v>52000</c:v>
                </c:pt>
                <c:pt idx="1834">
                  <c:v>52007</c:v>
                </c:pt>
                <c:pt idx="1835">
                  <c:v>52014</c:v>
                </c:pt>
                <c:pt idx="1836">
                  <c:v>52021</c:v>
                </c:pt>
                <c:pt idx="1837">
                  <c:v>52028</c:v>
                </c:pt>
                <c:pt idx="1838">
                  <c:v>52035</c:v>
                </c:pt>
                <c:pt idx="1839">
                  <c:v>52042</c:v>
                </c:pt>
                <c:pt idx="1840">
                  <c:v>52049</c:v>
                </c:pt>
                <c:pt idx="1841">
                  <c:v>52056</c:v>
                </c:pt>
                <c:pt idx="1842">
                  <c:v>52063</c:v>
                </c:pt>
                <c:pt idx="1843">
                  <c:v>52070</c:v>
                </c:pt>
                <c:pt idx="1844">
                  <c:v>52077</c:v>
                </c:pt>
                <c:pt idx="1845">
                  <c:v>52084</c:v>
                </c:pt>
                <c:pt idx="1846">
                  <c:v>52091</c:v>
                </c:pt>
                <c:pt idx="1847">
                  <c:v>52098</c:v>
                </c:pt>
                <c:pt idx="1848">
                  <c:v>52105</c:v>
                </c:pt>
                <c:pt idx="1849">
                  <c:v>52112</c:v>
                </c:pt>
                <c:pt idx="1850">
                  <c:v>52119</c:v>
                </c:pt>
                <c:pt idx="1851">
                  <c:v>52126</c:v>
                </c:pt>
                <c:pt idx="1852">
                  <c:v>52133</c:v>
                </c:pt>
                <c:pt idx="1853">
                  <c:v>52140</c:v>
                </c:pt>
                <c:pt idx="1854">
                  <c:v>52147</c:v>
                </c:pt>
                <c:pt idx="1855">
                  <c:v>52154</c:v>
                </c:pt>
                <c:pt idx="1856">
                  <c:v>52161</c:v>
                </c:pt>
                <c:pt idx="1857">
                  <c:v>52168</c:v>
                </c:pt>
                <c:pt idx="1858">
                  <c:v>52175</c:v>
                </c:pt>
                <c:pt idx="1859">
                  <c:v>52182</c:v>
                </c:pt>
                <c:pt idx="1860">
                  <c:v>52189</c:v>
                </c:pt>
                <c:pt idx="1861">
                  <c:v>52196</c:v>
                </c:pt>
                <c:pt idx="1862">
                  <c:v>52203</c:v>
                </c:pt>
                <c:pt idx="1863">
                  <c:v>52210</c:v>
                </c:pt>
                <c:pt idx="1864">
                  <c:v>52217</c:v>
                </c:pt>
                <c:pt idx="1865">
                  <c:v>52224</c:v>
                </c:pt>
                <c:pt idx="1866">
                  <c:v>52236</c:v>
                </c:pt>
                <c:pt idx="1867">
                  <c:v>52244</c:v>
                </c:pt>
                <c:pt idx="1868">
                  <c:v>52251</c:v>
                </c:pt>
                <c:pt idx="1869">
                  <c:v>52258</c:v>
                </c:pt>
                <c:pt idx="1870">
                  <c:v>52265</c:v>
                </c:pt>
                <c:pt idx="1871">
                  <c:v>52272</c:v>
                </c:pt>
                <c:pt idx="1872">
                  <c:v>52279</c:v>
                </c:pt>
                <c:pt idx="1873">
                  <c:v>52286</c:v>
                </c:pt>
                <c:pt idx="1874">
                  <c:v>52293</c:v>
                </c:pt>
                <c:pt idx="1875">
                  <c:v>52300</c:v>
                </c:pt>
                <c:pt idx="1876">
                  <c:v>52307</c:v>
                </c:pt>
                <c:pt idx="1877">
                  <c:v>52314</c:v>
                </c:pt>
                <c:pt idx="1878">
                  <c:v>52321</c:v>
                </c:pt>
                <c:pt idx="1879">
                  <c:v>52328</c:v>
                </c:pt>
                <c:pt idx="1880">
                  <c:v>52335</c:v>
                </c:pt>
                <c:pt idx="1881">
                  <c:v>52342</c:v>
                </c:pt>
                <c:pt idx="1882">
                  <c:v>52349</c:v>
                </c:pt>
                <c:pt idx="1883">
                  <c:v>52358</c:v>
                </c:pt>
                <c:pt idx="1884">
                  <c:v>52365</c:v>
                </c:pt>
                <c:pt idx="1885">
                  <c:v>52372</c:v>
                </c:pt>
                <c:pt idx="1886">
                  <c:v>52379</c:v>
                </c:pt>
                <c:pt idx="1887">
                  <c:v>52386</c:v>
                </c:pt>
                <c:pt idx="1888">
                  <c:v>52393</c:v>
                </c:pt>
                <c:pt idx="1889">
                  <c:v>52400</c:v>
                </c:pt>
                <c:pt idx="1890">
                  <c:v>52407</c:v>
                </c:pt>
                <c:pt idx="1891">
                  <c:v>52414</c:v>
                </c:pt>
                <c:pt idx="1892">
                  <c:v>52421</c:v>
                </c:pt>
                <c:pt idx="1893">
                  <c:v>52428</c:v>
                </c:pt>
                <c:pt idx="1894">
                  <c:v>52435</c:v>
                </c:pt>
                <c:pt idx="1895">
                  <c:v>52442</c:v>
                </c:pt>
                <c:pt idx="1896">
                  <c:v>52449</c:v>
                </c:pt>
                <c:pt idx="1897">
                  <c:v>52456</c:v>
                </c:pt>
                <c:pt idx="1898">
                  <c:v>52463</c:v>
                </c:pt>
                <c:pt idx="1899">
                  <c:v>52470</c:v>
                </c:pt>
                <c:pt idx="1900">
                  <c:v>52477</c:v>
                </c:pt>
                <c:pt idx="1901">
                  <c:v>52484</c:v>
                </c:pt>
                <c:pt idx="1902">
                  <c:v>52491</c:v>
                </c:pt>
                <c:pt idx="1903">
                  <c:v>52498</c:v>
                </c:pt>
                <c:pt idx="1904">
                  <c:v>52505</c:v>
                </c:pt>
                <c:pt idx="1905">
                  <c:v>52512</c:v>
                </c:pt>
                <c:pt idx="1906">
                  <c:v>52519</c:v>
                </c:pt>
                <c:pt idx="1907">
                  <c:v>52526</c:v>
                </c:pt>
                <c:pt idx="1908">
                  <c:v>52533</c:v>
                </c:pt>
                <c:pt idx="1909">
                  <c:v>52540</c:v>
                </c:pt>
                <c:pt idx="1910">
                  <c:v>52547</c:v>
                </c:pt>
                <c:pt idx="1911">
                  <c:v>52554</c:v>
                </c:pt>
                <c:pt idx="1912">
                  <c:v>52561</c:v>
                </c:pt>
                <c:pt idx="1913">
                  <c:v>52568</c:v>
                </c:pt>
                <c:pt idx="1914">
                  <c:v>52575</c:v>
                </c:pt>
                <c:pt idx="1915">
                  <c:v>52582</c:v>
                </c:pt>
                <c:pt idx="1916">
                  <c:v>52589</c:v>
                </c:pt>
                <c:pt idx="1917">
                  <c:v>52600</c:v>
                </c:pt>
                <c:pt idx="1918">
                  <c:v>52608</c:v>
                </c:pt>
                <c:pt idx="1919">
                  <c:v>52615</c:v>
                </c:pt>
                <c:pt idx="1920">
                  <c:v>52622</c:v>
                </c:pt>
                <c:pt idx="1921">
                  <c:v>52629</c:v>
                </c:pt>
                <c:pt idx="1922">
                  <c:v>52636</c:v>
                </c:pt>
                <c:pt idx="1923">
                  <c:v>52643</c:v>
                </c:pt>
                <c:pt idx="1924">
                  <c:v>52650</c:v>
                </c:pt>
                <c:pt idx="1925">
                  <c:v>52657</c:v>
                </c:pt>
                <c:pt idx="1926">
                  <c:v>52664</c:v>
                </c:pt>
                <c:pt idx="1927">
                  <c:v>52671</c:v>
                </c:pt>
                <c:pt idx="1928">
                  <c:v>52678</c:v>
                </c:pt>
                <c:pt idx="1929">
                  <c:v>52685</c:v>
                </c:pt>
                <c:pt idx="1930">
                  <c:v>52692</c:v>
                </c:pt>
                <c:pt idx="1931">
                  <c:v>52699</c:v>
                </c:pt>
                <c:pt idx="1932">
                  <c:v>52706</c:v>
                </c:pt>
                <c:pt idx="1933">
                  <c:v>52713</c:v>
                </c:pt>
                <c:pt idx="1934">
                  <c:v>52723</c:v>
                </c:pt>
                <c:pt idx="1935">
                  <c:v>52730</c:v>
                </c:pt>
                <c:pt idx="1936">
                  <c:v>52737</c:v>
                </c:pt>
                <c:pt idx="1937">
                  <c:v>52744</c:v>
                </c:pt>
                <c:pt idx="1938">
                  <c:v>52751</c:v>
                </c:pt>
                <c:pt idx="1939">
                  <c:v>52758</c:v>
                </c:pt>
                <c:pt idx="1940">
                  <c:v>52765</c:v>
                </c:pt>
                <c:pt idx="1941">
                  <c:v>52772</c:v>
                </c:pt>
                <c:pt idx="1942">
                  <c:v>52779</c:v>
                </c:pt>
                <c:pt idx="1943">
                  <c:v>52786</c:v>
                </c:pt>
                <c:pt idx="1944">
                  <c:v>52793</c:v>
                </c:pt>
                <c:pt idx="1945">
                  <c:v>52800</c:v>
                </c:pt>
                <c:pt idx="1946">
                  <c:v>52807</c:v>
                </c:pt>
                <c:pt idx="1947">
                  <c:v>52814</c:v>
                </c:pt>
                <c:pt idx="1948">
                  <c:v>52821</c:v>
                </c:pt>
                <c:pt idx="1949">
                  <c:v>52828</c:v>
                </c:pt>
                <c:pt idx="1950">
                  <c:v>52835</c:v>
                </c:pt>
                <c:pt idx="1951">
                  <c:v>52842</c:v>
                </c:pt>
                <c:pt idx="1952">
                  <c:v>52849</c:v>
                </c:pt>
                <c:pt idx="1953">
                  <c:v>52856</c:v>
                </c:pt>
                <c:pt idx="1954">
                  <c:v>52863</c:v>
                </c:pt>
                <c:pt idx="1955">
                  <c:v>52870</c:v>
                </c:pt>
                <c:pt idx="1956">
                  <c:v>52877</c:v>
                </c:pt>
                <c:pt idx="1957">
                  <c:v>52884</c:v>
                </c:pt>
                <c:pt idx="1958">
                  <c:v>52891</c:v>
                </c:pt>
                <c:pt idx="1959">
                  <c:v>52898</c:v>
                </c:pt>
                <c:pt idx="1960">
                  <c:v>52905</c:v>
                </c:pt>
                <c:pt idx="1961">
                  <c:v>52912</c:v>
                </c:pt>
                <c:pt idx="1962">
                  <c:v>52919</c:v>
                </c:pt>
                <c:pt idx="1963">
                  <c:v>52926</c:v>
                </c:pt>
                <c:pt idx="1964">
                  <c:v>52933</c:v>
                </c:pt>
                <c:pt idx="1965">
                  <c:v>52940</c:v>
                </c:pt>
                <c:pt idx="1966">
                  <c:v>52947</c:v>
                </c:pt>
                <c:pt idx="1967">
                  <c:v>52957</c:v>
                </c:pt>
                <c:pt idx="1968">
                  <c:v>52966</c:v>
                </c:pt>
                <c:pt idx="1969">
                  <c:v>52973</c:v>
                </c:pt>
                <c:pt idx="1970">
                  <c:v>52980</c:v>
                </c:pt>
                <c:pt idx="1971">
                  <c:v>52987</c:v>
                </c:pt>
                <c:pt idx="1972">
                  <c:v>52994</c:v>
                </c:pt>
                <c:pt idx="1973">
                  <c:v>53001</c:v>
                </c:pt>
                <c:pt idx="1974">
                  <c:v>53008</c:v>
                </c:pt>
                <c:pt idx="1975">
                  <c:v>53015</c:v>
                </c:pt>
                <c:pt idx="1976">
                  <c:v>53022</c:v>
                </c:pt>
                <c:pt idx="1977">
                  <c:v>53029</c:v>
                </c:pt>
                <c:pt idx="1978">
                  <c:v>53036</c:v>
                </c:pt>
                <c:pt idx="1979">
                  <c:v>53043</c:v>
                </c:pt>
                <c:pt idx="1980">
                  <c:v>53050</c:v>
                </c:pt>
                <c:pt idx="1981">
                  <c:v>53057</c:v>
                </c:pt>
                <c:pt idx="1982">
                  <c:v>53064</c:v>
                </c:pt>
                <c:pt idx="1983">
                  <c:v>53071</c:v>
                </c:pt>
                <c:pt idx="1984">
                  <c:v>53078</c:v>
                </c:pt>
                <c:pt idx="1985">
                  <c:v>53090</c:v>
                </c:pt>
                <c:pt idx="1986">
                  <c:v>53097</c:v>
                </c:pt>
                <c:pt idx="1987">
                  <c:v>53104</c:v>
                </c:pt>
                <c:pt idx="1988">
                  <c:v>53111</c:v>
                </c:pt>
                <c:pt idx="1989">
                  <c:v>53118</c:v>
                </c:pt>
                <c:pt idx="1990">
                  <c:v>53125</c:v>
                </c:pt>
                <c:pt idx="1991">
                  <c:v>53132</c:v>
                </c:pt>
                <c:pt idx="1992">
                  <c:v>53139</c:v>
                </c:pt>
                <c:pt idx="1993">
                  <c:v>53146</c:v>
                </c:pt>
                <c:pt idx="1994">
                  <c:v>53153</c:v>
                </c:pt>
                <c:pt idx="1995">
                  <c:v>53161</c:v>
                </c:pt>
                <c:pt idx="1996">
                  <c:v>53168</c:v>
                </c:pt>
                <c:pt idx="1997">
                  <c:v>53175</c:v>
                </c:pt>
                <c:pt idx="1998">
                  <c:v>53182</c:v>
                </c:pt>
                <c:pt idx="1999">
                  <c:v>53189</c:v>
                </c:pt>
                <c:pt idx="2000">
                  <c:v>53196</c:v>
                </c:pt>
                <c:pt idx="2001">
                  <c:v>53203</c:v>
                </c:pt>
                <c:pt idx="2002">
                  <c:v>53210</c:v>
                </c:pt>
                <c:pt idx="2003">
                  <c:v>53217</c:v>
                </c:pt>
                <c:pt idx="2004">
                  <c:v>53224</c:v>
                </c:pt>
                <c:pt idx="2005">
                  <c:v>53231</c:v>
                </c:pt>
                <c:pt idx="2006">
                  <c:v>53238</c:v>
                </c:pt>
                <c:pt idx="2007">
                  <c:v>53245</c:v>
                </c:pt>
                <c:pt idx="2008">
                  <c:v>53252</c:v>
                </c:pt>
                <c:pt idx="2009">
                  <c:v>53259</c:v>
                </c:pt>
                <c:pt idx="2010">
                  <c:v>53266</c:v>
                </c:pt>
                <c:pt idx="2011">
                  <c:v>53273</c:v>
                </c:pt>
                <c:pt idx="2012">
                  <c:v>53280</c:v>
                </c:pt>
                <c:pt idx="2013">
                  <c:v>53287</c:v>
                </c:pt>
                <c:pt idx="2014">
                  <c:v>53294</c:v>
                </c:pt>
                <c:pt idx="2015">
                  <c:v>53301</c:v>
                </c:pt>
                <c:pt idx="2016">
                  <c:v>53308</c:v>
                </c:pt>
                <c:pt idx="2017">
                  <c:v>53315</c:v>
                </c:pt>
                <c:pt idx="2018">
                  <c:v>53322</c:v>
                </c:pt>
                <c:pt idx="2019">
                  <c:v>53331</c:v>
                </c:pt>
                <c:pt idx="2020">
                  <c:v>53338</c:v>
                </c:pt>
                <c:pt idx="2021">
                  <c:v>53345</c:v>
                </c:pt>
                <c:pt idx="2022">
                  <c:v>53352</c:v>
                </c:pt>
                <c:pt idx="2023">
                  <c:v>53359</c:v>
                </c:pt>
                <c:pt idx="2024">
                  <c:v>53366</c:v>
                </c:pt>
                <c:pt idx="2025">
                  <c:v>53373</c:v>
                </c:pt>
                <c:pt idx="2026">
                  <c:v>53380</c:v>
                </c:pt>
                <c:pt idx="2027">
                  <c:v>53387</c:v>
                </c:pt>
                <c:pt idx="2028">
                  <c:v>53394</c:v>
                </c:pt>
                <c:pt idx="2029">
                  <c:v>53401</c:v>
                </c:pt>
                <c:pt idx="2030">
                  <c:v>53408</c:v>
                </c:pt>
                <c:pt idx="2031">
                  <c:v>53415</c:v>
                </c:pt>
                <c:pt idx="2032">
                  <c:v>53422</c:v>
                </c:pt>
                <c:pt idx="2033">
                  <c:v>53429</c:v>
                </c:pt>
                <c:pt idx="2034">
                  <c:v>53436</c:v>
                </c:pt>
                <c:pt idx="2035">
                  <c:v>53443</c:v>
                </c:pt>
                <c:pt idx="2036">
                  <c:v>53454</c:v>
                </c:pt>
                <c:pt idx="2037">
                  <c:v>53461</c:v>
                </c:pt>
                <c:pt idx="2038">
                  <c:v>53468</c:v>
                </c:pt>
                <c:pt idx="2039">
                  <c:v>53475</c:v>
                </c:pt>
                <c:pt idx="2040">
                  <c:v>53482</c:v>
                </c:pt>
                <c:pt idx="2041">
                  <c:v>53489</c:v>
                </c:pt>
                <c:pt idx="2042">
                  <c:v>53496</c:v>
                </c:pt>
                <c:pt idx="2043">
                  <c:v>53503</c:v>
                </c:pt>
                <c:pt idx="2044">
                  <c:v>53510</c:v>
                </c:pt>
                <c:pt idx="2045">
                  <c:v>53517</c:v>
                </c:pt>
                <c:pt idx="2046">
                  <c:v>53525</c:v>
                </c:pt>
                <c:pt idx="2047">
                  <c:v>53532</c:v>
                </c:pt>
                <c:pt idx="2048">
                  <c:v>53539</c:v>
                </c:pt>
                <c:pt idx="2049">
                  <c:v>53546</c:v>
                </c:pt>
                <c:pt idx="2050">
                  <c:v>53553</c:v>
                </c:pt>
                <c:pt idx="2051">
                  <c:v>53560</c:v>
                </c:pt>
                <c:pt idx="2052">
                  <c:v>53567</c:v>
                </c:pt>
                <c:pt idx="2053">
                  <c:v>53574</c:v>
                </c:pt>
                <c:pt idx="2054">
                  <c:v>53581</c:v>
                </c:pt>
                <c:pt idx="2055">
                  <c:v>53588</c:v>
                </c:pt>
                <c:pt idx="2056">
                  <c:v>53595</c:v>
                </c:pt>
                <c:pt idx="2057">
                  <c:v>53602</c:v>
                </c:pt>
                <c:pt idx="2058">
                  <c:v>53609</c:v>
                </c:pt>
                <c:pt idx="2059">
                  <c:v>53616</c:v>
                </c:pt>
                <c:pt idx="2060">
                  <c:v>53623</c:v>
                </c:pt>
                <c:pt idx="2061">
                  <c:v>53630</c:v>
                </c:pt>
                <c:pt idx="2062">
                  <c:v>53637</c:v>
                </c:pt>
                <c:pt idx="2063">
                  <c:v>53644</c:v>
                </c:pt>
                <c:pt idx="2064">
                  <c:v>53651</c:v>
                </c:pt>
                <c:pt idx="2065">
                  <c:v>53658</c:v>
                </c:pt>
                <c:pt idx="2066">
                  <c:v>53665</c:v>
                </c:pt>
                <c:pt idx="2067">
                  <c:v>53672</c:v>
                </c:pt>
                <c:pt idx="2068">
                  <c:v>53679</c:v>
                </c:pt>
                <c:pt idx="2069">
                  <c:v>53686</c:v>
                </c:pt>
                <c:pt idx="2070">
                  <c:v>53696</c:v>
                </c:pt>
                <c:pt idx="2071">
                  <c:v>53703</c:v>
                </c:pt>
                <c:pt idx="2072">
                  <c:v>53710</c:v>
                </c:pt>
                <c:pt idx="2073">
                  <c:v>53717</c:v>
                </c:pt>
                <c:pt idx="2074">
                  <c:v>53724</c:v>
                </c:pt>
                <c:pt idx="2075">
                  <c:v>53731</c:v>
                </c:pt>
                <c:pt idx="2076">
                  <c:v>53738</c:v>
                </c:pt>
                <c:pt idx="2077">
                  <c:v>53745</c:v>
                </c:pt>
                <c:pt idx="2078">
                  <c:v>53752</c:v>
                </c:pt>
                <c:pt idx="2079">
                  <c:v>53759</c:v>
                </c:pt>
                <c:pt idx="2080">
                  <c:v>53766</c:v>
                </c:pt>
                <c:pt idx="2081">
                  <c:v>53773</c:v>
                </c:pt>
                <c:pt idx="2082">
                  <c:v>53780</c:v>
                </c:pt>
                <c:pt idx="2083">
                  <c:v>53787</c:v>
                </c:pt>
                <c:pt idx="2084">
                  <c:v>53794</c:v>
                </c:pt>
                <c:pt idx="2085">
                  <c:v>53801</c:v>
                </c:pt>
                <c:pt idx="2086">
                  <c:v>53808</c:v>
                </c:pt>
                <c:pt idx="2087">
                  <c:v>53819</c:v>
                </c:pt>
                <c:pt idx="2088">
                  <c:v>53826</c:v>
                </c:pt>
                <c:pt idx="2089">
                  <c:v>53833</c:v>
                </c:pt>
                <c:pt idx="2090">
                  <c:v>53840</c:v>
                </c:pt>
                <c:pt idx="2091">
                  <c:v>53847</c:v>
                </c:pt>
                <c:pt idx="2092">
                  <c:v>53854</c:v>
                </c:pt>
                <c:pt idx="2093">
                  <c:v>53861</c:v>
                </c:pt>
                <c:pt idx="2094">
                  <c:v>53868</c:v>
                </c:pt>
                <c:pt idx="2095">
                  <c:v>53875</c:v>
                </c:pt>
                <c:pt idx="2096">
                  <c:v>53882</c:v>
                </c:pt>
                <c:pt idx="2097">
                  <c:v>53889</c:v>
                </c:pt>
                <c:pt idx="2098">
                  <c:v>53896</c:v>
                </c:pt>
                <c:pt idx="2099">
                  <c:v>53903</c:v>
                </c:pt>
                <c:pt idx="2100">
                  <c:v>53910</c:v>
                </c:pt>
                <c:pt idx="2101">
                  <c:v>53917</c:v>
                </c:pt>
                <c:pt idx="2102">
                  <c:v>53924</c:v>
                </c:pt>
                <c:pt idx="2103">
                  <c:v>53931</c:v>
                </c:pt>
                <c:pt idx="2104">
                  <c:v>53938</c:v>
                </c:pt>
                <c:pt idx="2105">
                  <c:v>53945</c:v>
                </c:pt>
                <c:pt idx="2106">
                  <c:v>53952</c:v>
                </c:pt>
                <c:pt idx="2107">
                  <c:v>53959</c:v>
                </c:pt>
                <c:pt idx="2108">
                  <c:v>53966</c:v>
                </c:pt>
                <c:pt idx="2109">
                  <c:v>53973</c:v>
                </c:pt>
                <c:pt idx="2110">
                  <c:v>53980</c:v>
                </c:pt>
                <c:pt idx="2111">
                  <c:v>53987</c:v>
                </c:pt>
                <c:pt idx="2112">
                  <c:v>53994</c:v>
                </c:pt>
                <c:pt idx="2113">
                  <c:v>54001</c:v>
                </c:pt>
                <c:pt idx="2114">
                  <c:v>54008</c:v>
                </c:pt>
                <c:pt idx="2115">
                  <c:v>54015</c:v>
                </c:pt>
                <c:pt idx="2116">
                  <c:v>54022</c:v>
                </c:pt>
                <c:pt idx="2117">
                  <c:v>54029</c:v>
                </c:pt>
                <c:pt idx="2118">
                  <c:v>54036</c:v>
                </c:pt>
                <c:pt idx="2119">
                  <c:v>54043</c:v>
                </c:pt>
                <c:pt idx="2120">
                  <c:v>54050</c:v>
                </c:pt>
                <c:pt idx="2121">
                  <c:v>54063</c:v>
                </c:pt>
                <c:pt idx="2122">
                  <c:v>54071</c:v>
                </c:pt>
                <c:pt idx="2123">
                  <c:v>54078</c:v>
                </c:pt>
                <c:pt idx="2124">
                  <c:v>54085</c:v>
                </c:pt>
                <c:pt idx="2125">
                  <c:v>54092</c:v>
                </c:pt>
                <c:pt idx="2126">
                  <c:v>54100</c:v>
                </c:pt>
                <c:pt idx="2127">
                  <c:v>54107</c:v>
                </c:pt>
                <c:pt idx="2128">
                  <c:v>54114</c:v>
                </c:pt>
                <c:pt idx="2129">
                  <c:v>54121</c:v>
                </c:pt>
                <c:pt idx="2130">
                  <c:v>54128</c:v>
                </c:pt>
                <c:pt idx="2131">
                  <c:v>54135</c:v>
                </c:pt>
                <c:pt idx="2132">
                  <c:v>54142</c:v>
                </c:pt>
                <c:pt idx="2133">
                  <c:v>54149</c:v>
                </c:pt>
                <c:pt idx="2134">
                  <c:v>54156</c:v>
                </c:pt>
                <c:pt idx="2135">
                  <c:v>54163</c:v>
                </c:pt>
                <c:pt idx="2136">
                  <c:v>54170</c:v>
                </c:pt>
                <c:pt idx="2137">
                  <c:v>54178</c:v>
                </c:pt>
                <c:pt idx="2138">
                  <c:v>54185</c:v>
                </c:pt>
                <c:pt idx="2139">
                  <c:v>54192</c:v>
                </c:pt>
                <c:pt idx="2140">
                  <c:v>54199</c:v>
                </c:pt>
                <c:pt idx="2141">
                  <c:v>54206</c:v>
                </c:pt>
                <c:pt idx="2142">
                  <c:v>54213</c:v>
                </c:pt>
                <c:pt idx="2143">
                  <c:v>54220</c:v>
                </c:pt>
                <c:pt idx="2144">
                  <c:v>54227</c:v>
                </c:pt>
                <c:pt idx="2145">
                  <c:v>54234</c:v>
                </c:pt>
                <c:pt idx="2146">
                  <c:v>54241</c:v>
                </c:pt>
                <c:pt idx="2147">
                  <c:v>54248</c:v>
                </c:pt>
                <c:pt idx="2148">
                  <c:v>54255</c:v>
                </c:pt>
                <c:pt idx="2149">
                  <c:v>54262</c:v>
                </c:pt>
                <c:pt idx="2150">
                  <c:v>54269</c:v>
                </c:pt>
                <c:pt idx="2151">
                  <c:v>54276</c:v>
                </c:pt>
                <c:pt idx="2152">
                  <c:v>54283</c:v>
                </c:pt>
                <c:pt idx="2153">
                  <c:v>54290</c:v>
                </c:pt>
                <c:pt idx="2154">
                  <c:v>54297</c:v>
                </c:pt>
                <c:pt idx="2155">
                  <c:v>54304</c:v>
                </c:pt>
                <c:pt idx="2156">
                  <c:v>54311</c:v>
                </c:pt>
                <c:pt idx="2157">
                  <c:v>54318</c:v>
                </c:pt>
                <c:pt idx="2158">
                  <c:v>54325</c:v>
                </c:pt>
                <c:pt idx="2159">
                  <c:v>54332</c:v>
                </c:pt>
                <c:pt idx="2160">
                  <c:v>54339</c:v>
                </c:pt>
                <c:pt idx="2161">
                  <c:v>54346</c:v>
                </c:pt>
                <c:pt idx="2162">
                  <c:v>54353</c:v>
                </c:pt>
                <c:pt idx="2163">
                  <c:v>54360</c:v>
                </c:pt>
                <c:pt idx="2164">
                  <c:v>54367</c:v>
                </c:pt>
                <c:pt idx="2165">
                  <c:v>54374</c:v>
                </c:pt>
                <c:pt idx="2166">
                  <c:v>54381</c:v>
                </c:pt>
                <c:pt idx="2167">
                  <c:v>54388</c:v>
                </c:pt>
                <c:pt idx="2168">
                  <c:v>54395</c:v>
                </c:pt>
                <c:pt idx="2169">
                  <c:v>54402</c:v>
                </c:pt>
                <c:pt idx="2170">
                  <c:v>54409</c:v>
                </c:pt>
                <c:pt idx="2171">
                  <c:v>54416</c:v>
                </c:pt>
                <c:pt idx="2172">
                  <c:v>54427</c:v>
                </c:pt>
                <c:pt idx="2173">
                  <c:v>54435</c:v>
                </c:pt>
                <c:pt idx="2174">
                  <c:v>54442</c:v>
                </c:pt>
                <c:pt idx="2175">
                  <c:v>54449</c:v>
                </c:pt>
                <c:pt idx="2176">
                  <c:v>54456</c:v>
                </c:pt>
                <c:pt idx="2177">
                  <c:v>54463</c:v>
                </c:pt>
                <c:pt idx="2178">
                  <c:v>54470</c:v>
                </c:pt>
                <c:pt idx="2179">
                  <c:v>54477</c:v>
                </c:pt>
                <c:pt idx="2180">
                  <c:v>54484</c:v>
                </c:pt>
                <c:pt idx="2181">
                  <c:v>54491</c:v>
                </c:pt>
                <c:pt idx="2182">
                  <c:v>54498</c:v>
                </c:pt>
                <c:pt idx="2183">
                  <c:v>54505</c:v>
                </c:pt>
                <c:pt idx="2184">
                  <c:v>54512</c:v>
                </c:pt>
                <c:pt idx="2185">
                  <c:v>54519</c:v>
                </c:pt>
                <c:pt idx="2186">
                  <c:v>54526</c:v>
                </c:pt>
                <c:pt idx="2187">
                  <c:v>54533</c:v>
                </c:pt>
                <c:pt idx="2188">
                  <c:v>54540</c:v>
                </c:pt>
                <c:pt idx="2189">
                  <c:v>54549</c:v>
                </c:pt>
                <c:pt idx="2190">
                  <c:v>54556</c:v>
                </c:pt>
                <c:pt idx="2191">
                  <c:v>54563</c:v>
                </c:pt>
                <c:pt idx="2192">
                  <c:v>54570</c:v>
                </c:pt>
                <c:pt idx="2193">
                  <c:v>54577</c:v>
                </c:pt>
                <c:pt idx="2194">
                  <c:v>54584</c:v>
                </c:pt>
                <c:pt idx="2195">
                  <c:v>54591</c:v>
                </c:pt>
                <c:pt idx="2196">
                  <c:v>54598</c:v>
                </c:pt>
                <c:pt idx="2197">
                  <c:v>54605</c:v>
                </c:pt>
                <c:pt idx="2198">
                  <c:v>54612</c:v>
                </c:pt>
                <c:pt idx="2199">
                  <c:v>54619</c:v>
                </c:pt>
                <c:pt idx="2200">
                  <c:v>54626</c:v>
                </c:pt>
                <c:pt idx="2201">
                  <c:v>54633</c:v>
                </c:pt>
                <c:pt idx="2202">
                  <c:v>54640</c:v>
                </c:pt>
                <c:pt idx="2203">
                  <c:v>54647</c:v>
                </c:pt>
                <c:pt idx="2204">
                  <c:v>54654</c:v>
                </c:pt>
                <c:pt idx="2205">
                  <c:v>54661</c:v>
                </c:pt>
                <c:pt idx="2206">
                  <c:v>54668</c:v>
                </c:pt>
                <c:pt idx="2207">
                  <c:v>54675</c:v>
                </c:pt>
                <c:pt idx="2208">
                  <c:v>54682</c:v>
                </c:pt>
                <c:pt idx="2209">
                  <c:v>54689</c:v>
                </c:pt>
                <c:pt idx="2210">
                  <c:v>54696</c:v>
                </c:pt>
                <c:pt idx="2211">
                  <c:v>54703</c:v>
                </c:pt>
                <c:pt idx="2212">
                  <c:v>54710</c:v>
                </c:pt>
                <c:pt idx="2213">
                  <c:v>54717</c:v>
                </c:pt>
                <c:pt idx="2214">
                  <c:v>54724</c:v>
                </c:pt>
                <c:pt idx="2215">
                  <c:v>54731</c:v>
                </c:pt>
                <c:pt idx="2216">
                  <c:v>54738</c:v>
                </c:pt>
                <c:pt idx="2217">
                  <c:v>54745</c:v>
                </c:pt>
                <c:pt idx="2218">
                  <c:v>54752</c:v>
                </c:pt>
                <c:pt idx="2219">
                  <c:v>54759</c:v>
                </c:pt>
                <c:pt idx="2220">
                  <c:v>54766</c:v>
                </c:pt>
                <c:pt idx="2221">
                  <c:v>54773</c:v>
                </c:pt>
                <c:pt idx="2222">
                  <c:v>54781</c:v>
                </c:pt>
                <c:pt idx="2223">
                  <c:v>54792</c:v>
                </c:pt>
                <c:pt idx="2224">
                  <c:v>54799</c:v>
                </c:pt>
                <c:pt idx="2225">
                  <c:v>54806</c:v>
                </c:pt>
                <c:pt idx="2226">
                  <c:v>54813</c:v>
                </c:pt>
                <c:pt idx="2227">
                  <c:v>54820</c:v>
                </c:pt>
                <c:pt idx="2228">
                  <c:v>54827</c:v>
                </c:pt>
                <c:pt idx="2229">
                  <c:v>54834</c:v>
                </c:pt>
                <c:pt idx="2230">
                  <c:v>54841</c:v>
                </c:pt>
                <c:pt idx="2231">
                  <c:v>54848</c:v>
                </c:pt>
                <c:pt idx="2232">
                  <c:v>54855</c:v>
                </c:pt>
                <c:pt idx="2233">
                  <c:v>54862</c:v>
                </c:pt>
                <c:pt idx="2234">
                  <c:v>54869</c:v>
                </c:pt>
                <c:pt idx="2235">
                  <c:v>54876</c:v>
                </c:pt>
                <c:pt idx="2236">
                  <c:v>54883</c:v>
                </c:pt>
                <c:pt idx="2237">
                  <c:v>54890</c:v>
                </c:pt>
                <c:pt idx="2238">
                  <c:v>54897</c:v>
                </c:pt>
                <c:pt idx="2239">
                  <c:v>54904</c:v>
                </c:pt>
                <c:pt idx="2240">
                  <c:v>54914</c:v>
                </c:pt>
                <c:pt idx="2241">
                  <c:v>54921</c:v>
                </c:pt>
                <c:pt idx="2242">
                  <c:v>54928</c:v>
                </c:pt>
                <c:pt idx="2243">
                  <c:v>54935</c:v>
                </c:pt>
                <c:pt idx="2244">
                  <c:v>54942</c:v>
                </c:pt>
                <c:pt idx="2245">
                  <c:v>54949</c:v>
                </c:pt>
                <c:pt idx="2246">
                  <c:v>54956</c:v>
                </c:pt>
                <c:pt idx="2247">
                  <c:v>54963</c:v>
                </c:pt>
                <c:pt idx="2248">
                  <c:v>54970</c:v>
                </c:pt>
                <c:pt idx="2249">
                  <c:v>54977</c:v>
                </c:pt>
                <c:pt idx="2250">
                  <c:v>54984</c:v>
                </c:pt>
                <c:pt idx="2251">
                  <c:v>54991</c:v>
                </c:pt>
                <c:pt idx="2252">
                  <c:v>54998</c:v>
                </c:pt>
                <c:pt idx="2253">
                  <c:v>55005</c:v>
                </c:pt>
                <c:pt idx="2254">
                  <c:v>55012</c:v>
                </c:pt>
                <c:pt idx="2255">
                  <c:v>55019</c:v>
                </c:pt>
                <c:pt idx="2256">
                  <c:v>55026</c:v>
                </c:pt>
                <c:pt idx="2257">
                  <c:v>55033</c:v>
                </c:pt>
                <c:pt idx="2258">
                  <c:v>55040</c:v>
                </c:pt>
                <c:pt idx="2259">
                  <c:v>55047</c:v>
                </c:pt>
                <c:pt idx="2260">
                  <c:v>55057</c:v>
                </c:pt>
                <c:pt idx="2261">
                  <c:v>55064</c:v>
                </c:pt>
                <c:pt idx="2262">
                  <c:v>55072</c:v>
                </c:pt>
                <c:pt idx="2263">
                  <c:v>55079</c:v>
                </c:pt>
                <c:pt idx="2264">
                  <c:v>55086</c:v>
                </c:pt>
                <c:pt idx="2265">
                  <c:v>55093</c:v>
                </c:pt>
                <c:pt idx="2266">
                  <c:v>55100</c:v>
                </c:pt>
                <c:pt idx="2267">
                  <c:v>55107</c:v>
                </c:pt>
                <c:pt idx="2268">
                  <c:v>55114</c:v>
                </c:pt>
                <c:pt idx="2269">
                  <c:v>55121</c:v>
                </c:pt>
                <c:pt idx="2270">
                  <c:v>55128</c:v>
                </c:pt>
                <c:pt idx="2271">
                  <c:v>55135</c:v>
                </c:pt>
                <c:pt idx="2272">
                  <c:v>55142</c:v>
                </c:pt>
                <c:pt idx="2273">
                  <c:v>55149</c:v>
                </c:pt>
                <c:pt idx="2274">
                  <c:v>55157</c:v>
                </c:pt>
                <c:pt idx="2275">
                  <c:v>55164</c:v>
                </c:pt>
                <c:pt idx="2276">
                  <c:v>55171</c:v>
                </c:pt>
                <c:pt idx="2277">
                  <c:v>55178</c:v>
                </c:pt>
                <c:pt idx="2278">
                  <c:v>55185</c:v>
                </c:pt>
                <c:pt idx="2279">
                  <c:v>55192</c:v>
                </c:pt>
                <c:pt idx="2280">
                  <c:v>55199</c:v>
                </c:pt>
                <c:pt idx="2281">
                  <c:v>55206</c:v>
                </c:pt>
                <c:pt idx="2282">
                  <c:v>55213</c:v>
                </c:pt>
                <c:pt idx="2283">
                  <c:v>55220</c:v>
                </c:pt>
                <c:pt idx="2284">
                  <c:v>55227</c:v>
                </c:pt>
                <c:pt idx="2285">
                  <c:v>55234</c:v>
                </c:pt>
                <c:pt idx="2286">
                  <c:v>55241</c:v>
                </c:pt>
                <c:pt idx="2287">
                  <c:v>55248</c:v>
                </c:pt>
                <c:pt idx="2288">
                  <c:v>55255</c:v>
                </c:pt>
                <c:pt idx="2289">
                  <c:v>55262</c:v>
                </c:pt>
                <c:pt idx="2290">
                  <c:v>55269</c:v>
                </c:pt>
                <c:pt idx="2291">
                  <c:v>55281</c:v>
                </c:pt>
                <c:pt idx="2292">
                  <c:v>55288</c:v>
                </c:pt>
                <c:pt idx="2293">
                  <c:v>55295</c:v>
                </c:pt>
                <c:pt idx="2294">
                  <c:v>55302</c:v>
                </c:pt>
                <c:pt idx="2295">
                  <c:v>55309</c:v>
                </c:pt>
                <c:pt idx="2296">
                  <c:v>55316</c:v>
                </c:pt>
                <c:pt idx="2297">
                  <c:v>55323</c:v>
                </c:pt>
                <c:pt idx="2298">
                  <c:v>55330</c:v>
                </c:pt>
                <c:pt idx="2299">
                  <c:v>55337</c:v>
                </c:pt>
                <c:pt idx="2300">
                  <c:v>55344</c:v>
                </c:pt>
                <c:pt idx="2301">
                  <c:v>55352</c:v>
                </c:pt>
                <c:pt idx="2302">
                  <c:v>55359</c:v>
                </c:pt>
                <c:pt idx="2303">
                  <c:v>55366</c:v>
                </c:pt>
                <c:pt idx="2304">
                  <c:v>55373</c:v>
                </c:pt>
                <c:pt idx="2305">
                  <c:v>55380</c:v>
                </c:pt>
                <c:pt idx="2306">
                  <c:v>55387</c:v>
                </c:pt>
                <c:pt idx="2307">
                  <c:v>55394</c:v>
                </c:pt>
                <c:pt idx="2308">
                  <c:v>55401</c:v>
                </c:pt>
                <c:pt idx="2309">
                  <c:v>55408</c:v>
                </c:pt>
                <c:pt idx="2310">
                  <c:v>55415</c:v>
                </c:pt>
                <c:pt idx="2311">
                  <c:v>55422</c:v>
                </c:pt>
                <c:pt idx="2312">
                  <c:v>55429</c:v>
                </c:pt>
                <c:pt idx="2313">
                  <c:v>55436</c:v>
                </c:pt>
                <c:pt idx="2314">
                  <c:v>55443</c:v>
                </c:pt>
                <c:pt idx="2315">
                  <c:v>55450</c:v>
                </c:pt>
                <c:pt idx="2316">
                  <c:v>55457</c:v>
                </c:pt>
                <c:pt idx="2317">
                  <c:v>55464</c:v>
                </c:pt>
                <c:pt idx="2318">
                  <c:v>55471</c:v>
                </c:pt>
                <c:pt idx="2319">
                  <c:v>55478</c:v>
                </c:pt>
                <c:pt idx="2320">
                  <c:v>55485</c:v>
                </c:pt>
                <c:pt idx="2321">
                  <c:v>55492</c:v>
                </c:pt>
                <c:pt idx="2322">
                  <c:v>55499</c:v>
                </c:pt>
                <c:pt idx="2323">
                  <c:v>55506</c:v>
                </c:pt>
                <c:pt idx="2324">
                  <c:v>55513</c:v>
                </c:pt>
                <c:pt idx="2325">
                  <c:v>55522</c:v>
                </c:pt>
                <c:pt idx="2326">
                  <c:v>55529</c:v>
                </c:pt>
                <c:pt idx="2327">
                  <c:v>55536</c:v>
                </c:pt>
                <c:pt idx="2328">
                  <c:v>55543</c:v>
                </c:pt>
                <c:pt idx="2329">
                  <c:v>55550</c:v>
                </c:pt>
                <c:pt idx="2330">
                  <c:v>55557</c:v>
                </c:pt>
                <c:pt idx="2331">
                  <c:v>55564</c:v>
                </c:pt>
                <c:pt idx="2332">
                  <c:v>55571</c:v>
                </c:pt>
                <c:pt idx="2333">
                  <c:v>55578</c:v>
                </c:pt>
                <c:pt idx="2334">
                  <c:v>55585</c:v>
                </c:pt>
                <c:pt idx="2335">
                  <c:v>55592</c:v>
                </c:pt>
                <c:pt idx="2336">
                  <c:v>55599</c:v>
                </c:pt>
                <c:pt idx="2337">
                  <c:v>55606</c:v>
                </c:pt>
                <c:pt idx="2338">
                  <c:v>55613</c:v>
                </c:pt>
                <c:pt idx="2339">
                  <c:v>55620</c:v>
                </c:pt>
                <c:pt idx="2340">
                  <c:v>55627</c:v>
                </c:pt>
                <c:pt idx="2341">
                  <c:v>55634</c:v>
                </c:pt>
                <c:pt idx="2342">
                  <c:v>55641</c:v>
                </c:pt>
                <c:pt idx="2343">
                  <c:v>55648</c:v>
                </c:pt>
                <c:pt idx="2344">
                  <c:v>55655</c:v>
                </c:pt>
                <c:pt idx="2345">
                  <c:v>55662</c:v>
                </c:pt>
                <c:pt idx="2346">
                  <c:v>55669</c:v>
                </c:pt>
                <c:pt idx="2347">
                  <c:v>55676</c:v>
                </c:pt>
                <c:pt idx="2348">
                  <c:v>55683</c:v>
                </c:pt>
                <c:pt idx="2349">
                  <c:v>55690</c:v>
                </c:pt>
                <c:pt idx="2350">
                  <c:v>55697</c:v>
                </c:pt>
                <c:pt idx="2351">
                  <c:v>55704</c:v>
                </c:pt>
                <c:pt idx="2352">
                  <c:v>55711</c:v>
                </c:pt>
                <c:pt idx="2353">
                  <c:v>55718</c:v>
                </c:pt>
                <c:pt idx="2354">
                  <c:v>55725</c:v>
                </c:pt>
                <c:pt idx="2355">
                  <c:v>55732</c:v>
                </c:pt>
                <c:pt idx="2356">
                  <c:v>55739</c:v>
                </c:pt>
                <c:pt idx="2357">
                  <c:v>55746</c:v>
                </c:pt>
                <c:pt idx="2358">
                  <c:v>55753</c:v>
                </c:pt>
                <c:pt idx="2359">
                  <c:v>55760</c:v>
                </c:pt>
                <c:pt idx="2360">
                  <c:v>55767</c:v>
                </c:pt>
                <c:pt idx="2361">
                  <c:v>55774</c:v>
                </c:pt>
                <c:pt idx="2362">
                  <c:v>55781</c:v>
                </c:pt>
                <c:pt idx="2363">
                  <c:v>55788</c:v>
                </c:pt>
                <c:pt idx="2364">
                  <c:v>55795</c:v>
                </c:pt>
                <c:pt idx="2365">
                  <c:v>55802</c:v>
                </c:pt>
                <c:pt idx="2366">
                  <c:v>55809</c:v>
                </c:pt>
                <c:pt idx="2367">
                  <c:v>55816</c:v>
                </c:pt>
                <c:pt idx="2368">
                  <c:v>55823</c:v>
                </c:pt>
                <c:pt idx="2369">
                  <c:v>55830</c:v>
                </c:pt>
                <c:pt idx="2370">
                  <c:v>55837</c:v>
                </c:pt>
                <c:pt idx="2371">
                  <c:v>55844</c:v>
                </c:pt>
                <c:pt idx="2372">
                  <c:v>55851</c:v>
                </c:pt>
                <c:pt idx="2373">
                  <c:v>55858</c:v>
                </c:pt>
                <c:pt idx="2374">
                  <c:v>55865</c:v>
                </c:pt>
                <c:pt idx="2375">
                  <c:v>55872</c:v>
                </c:pt>
                <c:pt idx="2376">
                  <c:v>55879</c:v>
                </c:pt>
                <c:pt idx="2377">
                  <c:v>55890</c:v>
                </c:pt>
                <c:pt idx="2378">
                  <c:v>55898</c:v>
                </c:pt>
                <c:pt idx="2379">
                  <c:v>55905</c:v>
                </c:pt>
                <c:pt idx="2380">
                  <c:v>55912</c:v>
                </c:pt>
                <c:pt idx="2381">
                  <c:v>55919</c:v>
                </c:pt>
                <c:pt idx="2382">
                  <c:v>55927</c:v>
                </c:pt>
                <c:pt idx="2383">
                  <c:v>55934</c:v>
                </c:pt>
                <c:pt idx="2384">
                  <c:v>55941</c:v>
                </c:pt>
                <c:pt idx="2385">
                  <c:v>55948</c:v>
                </c:pt>
                <c:pt idx="2386">
                  <c:v>55955</c:v>
                </c:pt>
                <c:pt idx="2387">
                  <c:v>55962</c:v>
                </c:pt>
                <c:pt idx="2388">
                  <c:v>55969</c:v>
                </c:pt>
                <c:pt idx="2389">
                  <c:v>55976</c:v>
                </c:pt>
                <c:pt idx="2390">
                  <c:v>55983</c:v>
                </c:pt>
                <c:pt idx="2391">
                  <c:v>55990</c:v>
                </c:pt>
                <c:pt idx="2392">
                  <c:v>55997</c:v>
                </c:pt>
                <c:pt idx="2393">
                  <c:v>56004</c:v>
                </c:pt>
                <c:pt idx="2394">
                  <c:v>56011</c:v>
                </c:pt>
                <c:pt idx="2395">
                  <c:v>56018</c:v>
                </c:pt>
                <c:pt idx="2396">
                  <c:v>56025</c:v>
                </c:pt>
                <c:pt idx="2397">
                  <c:v>56032</c:v>
                </c:pt>
                <c:pt idx="2398">
                  <c:v>56039</c:v>
                </c:pt>
                <c:pt idx="2399">
                  <c:v>56046</c:v>
                </c:pt>
                <c:pt idx="2400">
                  <c:v>56053</c:v>
                </c:pt>
                <c:pt idx="2401">
                  <c:v>56060</c:v>
                </c:pt>
                <c:pt idx="2402">
                  <c:v>56067</c:v>
                </c:pt>
                <c:pt idx="2403">
                  <c:v>56074</c:v>
                </c:pt>
                <c:pt idx="2404">
                  <c:v>56081</c:v>
                </c:pt>
                <c:pt idx="2405">
                  <c:v>56088</c:v>
                </c:pt>
                <c:pt idx="2406">
                  <c:v>56095</c:v>
                </c:pt>
                <c:pt idx="2407">
                  <c:v>56102</c:v>
                </c:pt>
                <c:pt idx="2408">
                  <c:v>56109</c:v>
                </c:pt>
                <c:pt idx="2409">
                  <c:v>56116</c:v>
                </c:pt>
                <c:pt idx="2410">
                  <c:v>56123</c:v>
                </c:pt>
                <c:pt idx="2411">
                  <c:v>56130</c:v>
                </c:pt>
                <c:pt idx="2412">
                  <c:v>56137</c:v>
                </c:pt>
                <c:pt idx="2413">
                  <c:v>56144</c:v>
                </c:pt>
                <c:pt idx="2414">
                  <c:v>56151</c:v>
                </c:pt>
                <c:pt idx="2415">
                  <c:v>56158</c:v>
                </c:pt>
                <c:pt idx="2416">
                  <c:v>56165</c:v>
                </c:pt>
                <c:pt idx="2417">
                  <c:v>56172</c:v>
                </c:pt>
                <c:pt idx="2418">
                  <c:v>56179</c:v>
                </c:pt>
                <c:pt idx="2419">
                  <c:v>56186</c:v>
                </c:pt>
                <c:pt idx="2420">
                  <c:v>56193</c:v>
                </c:pt>
                <c:pt idx="2421">
                  <c:v>56200</c:v>
                </c:pt>
                <c:pt idx="2422">
                  <c:v>56207</c:v>
                </c:pt>
                <c:pt idx="2423">
                  <c:v>56214</c:v>
                </c:pt>
                <c:pt idx="2424">
                  <c:v>56221</c:v>
                </c:pt>
                <c:pt idx="2425">
                  <c:v>56228</c:v>
                </c:pt>
                <c:pt idx="2426">
                  <c:v>56235</c:v>
                </c:pt>
                <c:pt idx="2427">
                  <c:v>56242</c:v>
                </c:pt>
                <c:pt idx="2428">
                  <c:v>56254</c:v>
                </c:pt>
                <c:pt idx="2429">
                  <c:v>56262</c:v>
                </c:pt>
                <c:pt idx="2430">
                  <c:v>56269</c:v>
                </c:pt>
                <c:pt idx="2431">
                  <c:v>56276</c:v>
                </c:pt>
                <c:pt idx="2432">
                  <c:v>56283</c:v>
                </c:pt>
                <c:pt idx="2433">
                  <c:v>56290</c:v>
                </c:pt>
                <c:pt idx="2434">
                  <c:v>56297</c:v>
                </c:pt>
                <c:pt idx="2435">
                  <c:v>56304</c:v>
                </c:pt>
                <c:pt idx="2436">
                  <c:v>56311</c:v>
                </c:pt>
                <c:pt idx="2437">
                  <c:v>56318</c:v>
                </c:pt>
                <c:pt idx="2438">
                  <c:v>56325</c:v>
                </c:pt>
                <c:pt idx="2439">
                  <c:v>56332</c:v>
                </c:pt>
                <c:pt idx="2440">
                  <c:v>56339</c:v>
                </c:pt>
                <c:pt idx="2441">
                  <c:v>56346</c:v>
                </c:pt>
                <c:pt idx="2442">
                  <c:v>56353</c:v>
                </c:pt>
                <c:pt idx="2443">
                  <c:v>56360</c:v>
                </c:pt>
                <c:pt idx="2444">
                  <c:v>56367</c:v>
                </c:pt>
                <c:pt idx="2445">
                  <c:v>56376</c:v>
                </c:pt>
                <c:pt idx="2446">
                  <c:v>56383</c:v>
                </c:pt>
                <c:pt idx="2447">
                  <c:v>56390</c:v>
                </c:pt>
                <c:pt idx="2448">
                  <c:v>56397</c:v>
                </c:pt>
                <c:pt idx="2449">
                  <c:v>56404</c:v>
                </c:pt>
                <c:pt idx="2450">
                  <c:v>56411</c:v>
                </c:pt>
                <c:pt idx="2451">
                  <c:v>56418</c:v>
                </c:pt>
                <c:pt idx="2452">
                  <c:v>56425</c:v>
                </c:pt>
                <c:pt idx="2453">
                  <c:v>56432</c:v>
                </c:pt>
                <c:pt idx="2454">
                  <c:v>56439</c:v>
                </c:pt>
                <c:pt idx="2455">
                  <c:v>56446</c:v>
                </c:pt>
                <c:pt idx="2456">
                  <c:v>56453</c:v>
                </c:pt>
                <c:pt idx="2457">
                  <c:v>56460</c:v>
                </c:pt>
                <c:pt idx="2458">
                  <c:v>56467</c:v>
                </c:pt>
                <c:pt idx="2459">
                  <c:v>56474</c:v>
                </c:pt>
                <c:pt idx="2460">
                  <c:v>56481</c:v>
                </c:pt>
                <c:pt idx="2461">
                  <c:v>56488</c:v>
                </c:pt>
                <c:pt idx="2462">
                  <c:v>56495</c:v>
                </c:pt>
                <c:pt idx="2463">
                  <c:v>56502</c:v>
                </c:pt>
                <c:pt idx="2464">
                  <c:v>56509</c:v>
                </c:pt>
                <c:pt idx="2465">
                  <c:v>56516</c:v>
                </c:pt>
                <c:pt idx="2466">
                  <c:v>56523</c:v>
                </c:pt>
                <c:pt idx="2467">
                  <c:v>56530</c:v>
                </c:pt>
                <c:pt idx="2468">
                  <c:v>56537</c:v>
                </c:pt>
                <c:pt idx="2469">
                  <c:v>56544</c:v>
                </c:pt>
                <c:pt idx="2470">
                  <c:v>56551</c:v>
                </c:pt>
                <c:pt idx="2471">
                  <c:v>56558</c:v>
                </c:pt>
                <c:pt idx="2472">
                  <c:v>56565</c:v>
                </c:pt>
                <c:pt idx="2473">
                  <c:v>56572</c:v>
                </c:pt>
                <c:pt idx="2474">
                  <c:v>56579</c:v>
                </c:pt>
                <c:pt idx="2475">
                  <c:v>56586</c:v>
                </c:pt>
                <c:pt idx="2476">
                  <c:v>56593</c:v>
                </c:pt>
                <c:pt idx="2477">
                  <c:v>56600</c:v>
                </c:pt>
                <c:pt idx="2478">
                  <c:v>56607</c:v>
                </c:pt>
                <c:pt idx="2479">
                  <c:v>56618</c:v>
                </c:pt>
                <c:pt idx="2480">
                  <c:v>56626</c:v>
                </c:pt>
                <c:pt idx="2481">
                  <c:v>56633</c:v>
                </c:pt>
                <c:pt idx="2482">
                  <c:v>56640</c:v>
                </c:pt>
                <c:pt idx="2483">
                  <c:v>56647</c:v>
                </c:pt>
                <c:pt idx="2484">
                  <c:v>56654</c:v>
                </c:pt>
                <c:pt idx="2485">
                  <c:v>56661</c:v>
                </c:pt>
                <c:pt idx="2486">
                  <c:v>56668</c:v>
                </c:pt>
                <c:pt idx="2487">
                  <c:v>56675</c:v>
                </c:pt>
                <c:pt idx="2488">
                  <c:v>56682</c:v>
                </c:pt>
                <c:pt idx="2489">
                  <c:v>56689</c:v>
                </c:pt>
                <c:pt idx="2490">
                  <c:v>56696</c:v>
                </c:pt>
                <c:pt idx="2491">
                  <c:v>56703</c:v>
                </c:pt>
                <c:pt idx="2492">
                  <c:v>56710</c:v>
                </c:pt>
                <c:pt idx="2493">
                  <c:v>56717</c:v>
                </c:pt>
                <c:pt idx="2494">
                  <c:v>56724</c:v>
                </c:pt>
                <c:pt idx="2495">
                  <c:v>56731</c:v>
                </c:pt>
                <c:pt idx="2496">
                  <c:v>56740</c:v>
                </c:pt>
                <c:pt idx="2497">
                  <c:v>56747</c:v>
                </c:pt>
                <c:pt idx="2498">
                  <c:v>56754</c:v>
                </c:pt>
                <c:pt idx="2499">
                  <c:v>56761</c:v>
                </c:pt>
                <c:pt idx="2500">
                  <c:v>56768</c:v>
                </c:pt>
                <c:pt idx="2501">
                  <c:v>56775</c:v>
                </c:pt>
                <c:pt idx="2502">
                  <c:v>56782</c:v>
                </c:pt>
                <c:pt idx="2503">
                  <c:v>56789</c:v>
                </c:pt>
                <c:pt idx="2504">
                  <c:v>56796</c:v>
                </c:pt>
                <c:pt idx="2505">
                  <c:v>56803</c:v>
                </c:pt>
                <c:pt idx="2506">
                  <c:v>56810</c:v>
                </c:pt>
                <c:pt idx="2507">
                  <c:v>56817</c:v>
                </c:pt>
                <c:pt idx="2508">
                  <c:v>56824</c:v>
                </c:pt>
                <c:pt idx="2509">
                  <c:v>56831</c:v>
                </c:pt>
                <c:pt idx="2510">
                  <c:v>56838</c:v>
                </c:pt>
                <c:pt idx="2511">
                  <c:v>56845</c:v>
                </c:pt>
                <c:pt idx="2512">
                  <c:v>56852</c:v>
                </c:pt>
                <c:pt idx="2513">
                  <c:v>56859</c:v>
                </c:pt>
                <c:pt idx="2514">
                  <c:v>56866</c:v>
                </c:pt>
                <c:pt idx="2515">
                  <c:v>56873</c:v>
                </c:pt>
                <c:pt idx="2516">
                  <c:v>56881</c:v>
                </c:pt>
                <c:pt idx="2517">
                  <c:v>56888</c:v>
                </c:pt>
                <c:pt idx="2518">
                  <c:v>56895</c:v>
                </c:pt>
                <c:pt idx="2519">
                  <c:v>56902</c:v>
                </c:pt>
                <c:pt idx="2520">
                  <c:v>56909</c:v>
                </c:pt>
                <c:pt idx="2521">
                  <c:v>56916</c:v>
                </c:pt>
                <c:pt idx="2522">
                  <c:v>56923</c:v>
                </c:pt>
                <c:pt idx="2523">
                  <c:v>56930</c:v>
                </c:pt>
                <c:pt idx="2524">
                  <c:v>56937</c:v>
                </c:pt>
                <c:pt idx="2525">
                  <c:v>56944</c:v>
                </c:pt>
                <c:pt idx="2526">
                  <c:v>56951</c:v>
                </c:pt>
                <c:pt idx="2527">
                  <c:v>56958</c:v>
                </c:pt>
                <c:pt idx="2528">
                  <c:v>56965</c:v>
                </c:pt>
                <c:pt idx="2529">
                  <c:v>56972</c:v>
                </c:pt>
                <c:pt idx="2530">
                  <c:v>56983</c:v>
                </c:pt>
                <c:pt idx="2531">
                  <c:v>56990</c:v>
                </c:pt>
                <c:pt idx="2532">
                  <c:v>56997</c:v>
                </c:pt>
                <c:pt idx="2533">
                  <c:v>57004</c:v>
                </c:pt>
                <c:pt idx="2534">
                  <c:v>57011</c:v>
                </c:pt>
                <c:pt idx="2535">
                  <c:v>57018</c:v>
                </c:pt>
                <c:pt idx="2536">
                  <c:v>57025</c:v>
                </c:pt>
                <c:pt idx="2537">
                  <c:v>57032</c:v>
                </c:pt>
                <c:pt idx="2538">
                  <c:v>57039</c:v>
                </c:pt>
                <c:pt idx="2539">
                  <c:v>57046</c:v>
                </c:pt>
                <c:pt idx="2540">
                  <c:v>57053</c:v>
                </c:pt>
                <c:pt idx="2541">
                  <c:v>57060</c:v>
                </c:pt>
                <c:pt idx="2542">
                  <c:v>57067</c:v>
                </c:pt>
                <c:pt idx="2543">
                  <c:v>57074</c:v>
                </c:pt>
                <c:pt idx="2544">
                  <c:v>57081</c:v>
                </c:pt>
                <c:pt idx="2545">
                  <c:v>57088</c:v>
                </c:pt>
                <c:pt idx="2546">
                  <c:v>57095</c:v>
                </c:pt>
                <c:pt idx="2547">
                  <c:v>57102</c:v>
                </c:pt>
                <c:pt idx="2548">
                  <c:v>57109</c:v>
                </c:pt>
                <c:pt idx="2549">
                  <c:v>57116</c:v>
                </c:pt>
                <c:pt idx="2550">
                  <c:v>57123</c:v>
                </c:pt>
                <c:pt idx="2551">
                  <c:v>57130</c:v>
                </c:pt>
                <c:pt idx="2552">
                  <c:v>57137</c:v>
                </c:pt>
                <c:pt idx="2553">
                  <c:v>57144</c:v>
                </c:pt>
                <c:pt idx="2554">
                  <c:v>57151</c:v>
                </c:pt>
                <c:pt idx="2555">
                  <c:v>57158</c:v>
                </c:pt>
                <c:pt idx="2556">
                  <c:v>57165</c:v>
                </c:pt>
                <c:pt idx="2557">
                  <c:v>57172</c:v>
                </c:pt>
                <c:pt idx="2558">
                  <c:v>57179</c:v>
                </c:pt>
                <c:pt idx="2559">
                  <c:v>57186</c:v>
                </c:pt>
                <c:pt idx="2560">
                  <c:v>57193</c:v>
                </c:pt>
                <c:pt idx="2561">
                  <c:v>57200</c:v>
                </c:pt>
                <c:pt idx="2562">
                  <c:v>57207</c:v>
                </c:pt>
                <c:pt idx="2563">
                  <c:v>57214</c:v>
                </c:pt>
                <c:pt idx="2564">
                  <c:v>57221</c:v>
                </c:pt>
                <c:pt idx="2565">
                  <c:v>57228</c:v>
                </c:pt>
                <c:pt idx="2566">
                  <c:v>57235</c:v>
                </c:pt>
                <c:pt idx="2567">
                  <c:v>57242</c:v>
                </c:pt>
                <c:pt idx="2568">
                  <c:v>57249</c:v>
                </c:pt>
                <c:pt idx="2569">
                  <c:v>57256</c:v>
                </c:pt>
                <c:pt idx="2570">
                  <c:v>57263</c:v>
                </c:pt>
                <c:pt idx="2571">
                  <c:v>57270</c:v>
                </c:pt>
                <c:pt idx="2572">
                  <c:v>57277</c:v>
                </c:pt>
                <c:pt idx="2573">
                  <c:v>57284</c:v>
                </c:pt>
                <c:pt idx="2574">
                  <c:v>57291</c:v>
                </c:pt>
                <c:pt idx="2575">
                  <c:v>57298</c:v>
                </c:pt>
                <c:pt idx="2576">
                  <c:v>57305</c:v>
                </c:pt>
                <c:pt idx="2577">
                  <c:v>57312</c:v>
                </c:pt>
                <c:pt idx="2578">
                  <c:v>57319</c:v>
                </c:pt>
                <c:pt idx="2579">
                  <c:v>57326</c:v>
                </c:pt>
                <c:pt idx="2580">
                  <c:v>57333</c:v>
                </c:pt>
                <c:pt idx="2581">
                  <c:v>57340</c:v>
                </c:pt>
                <c:pt idx="2582">
                  <c:v>57349</c:v>
                </c:pt>
                <c:pt idx="2583">
                  <c:v>57356</c:v>
                </c:pt>
                <c:pt idx="2584">
                  <c:v>57363</c:v>
                </c:pt>
                <c:pt idx="2585">
                  <c:v>57370</c:v>
                </c:pt>
                <c:pt idx="2586">
                  <c:v>57377</c:v>
                </c:pt>
                <c:pt idx="2587">
                  <c:v>57384</c:v>
                </c:pt>
                <c:pt idx="2588">
                  <c:v>57391</c:v>
                </c:pt>
                <c:pt idx="2589">
                  <c:v>57398</c:v>
                </c:pt>
                <c:pt idx="2590">
                  <c:v>57405</c:v>
                </c:pt>
                <c:pt idx="2591">
                  <c:v>57412</c:v>
                </c:pt>
                <c:pt idx="2592">
                  <c:v>57419</c:v>
                </c:pt>
                <c:pt idx="2593">
                  <c:v>57426</c:v>
                </c:pt>
                <c:pt idx="2594">
                  <c:v>57433</c:v>
                </c:pt>
                <c:pt idx="2595">
                  <c:v>57440</c:v>
                </c:pt>
                <c:pt idx="2596">
                  <c:v>57447</c:v>
                </c:pt>
                <c:pt idx="2597">
                  <c:v>57454</c:v>
                </c:pt>
                <c:pt idx="2598">
                  <c:v>57461</c:v>
                </c:pt>
                <c:pt idx="2599">
                  <c:v>57472</c:v>
                </c:pt>
                <c:pt idx="2600">
                  <c:v>57479</c:v>
                </c:pt>
                <c:pt idx="2601">
                  <c:v>57486</c:v>
                </c:pt>
                <c:pt idx="2602">
                  <c:v>57493</c:v>
                </c:pt>
                <c:pt idx="2603">
                  <c:v>57500</c:v>
                </c:pt>
                <c:pt idx="2604">
                  <c:v>57507</c:v>
                </c:pt>
                <c:pt idx="2605">
                  <c:v>57514</c:v>
                </c:pt>
                <c:pt idx="2606">
                  <c:v>57521</c:v>
                </c:pt>
                <c:pt idx="2607">
                  <c:v>57528</c:v>
                </c:pt>
                <c:pt idx="2608">
                  <c:v>57535</c:v>
                </c:pt>
                <c:pt idx="2609">
                  <c:v>57543</c:v>
                </c:pt>
                <c:pt idx="2610">
                  <c:v>57550</c:v>
                </c:pt>
                <c:pt idx="2611">
                  <c:v>57557</c:v>
                </c:pt>
                <c:pt idx="2612">
                  <c:v>57564</c:v>
                </c:pt>
                <c:pt idx="2613">
                  <c:v>57571</c:v>
                </c:pt>
                <c:pt idx="2614">
                  <c:v>57578</c:v>
                </c:pt>
                <c:pt idx="2615">
                  <c:v>57585</c:v>
                </c:pt>
                <c:pt idx="2616">
                  <c:v>57592</c:v>
                </c:pt>
                <c:pt idx="2617">
                  <c:v>57599</c:v>
                </c:pt>
                <c:pt idx="2618">
                  <c:v>57606</c:v>
                </c:pt>
                <c:pt idx="2619">
                  <c:v>57613</c:v>
                </c:pt>
                <c:pt idx="2620">
                  <c:v>57620</c:v>
                </c:pt>
                <c:pt idx="2621">
                  <c:v>57627</c:v>
                </c:pt>
                <c:pt idx="2622">
                  <c:v>57634</c:v>
                </c:pt>
                <c:pt idx="2623">
                  <c:v>57641</c:v>
                </c:pt>
                <c:pt idx="2624">
                  <c:v>57648</c:v>
                </c:pt>
                <c:pt idx="2625">
                  <c:v>57655</c:v>
                </c:pt>
                <c:pt idx="2626">
                  <c:v>57662</c:v>
                </c:pt>
                <c:pt idx="2627">
                  <c:v>57669</c:v>
                </c:pt>
                <c:pt idx="2628">
                  <c:v>57676</c:v>
                </c:pt>
                <c:pt idx="2629">
                  <c:v>57683</c:v>
                </c:pt>
                <c:pt idx="2630">
                  <c:v>57690</c:v>
                </c:pt>
                <c:pt idx="2631">
                  <c:v>57697</c:v>
                </c:pt>
                <c:pt idx="2632">
                  <c:v>57704</c:v>
                </c:pt>
                <c:pt idx="2633">
                  <c:v>57714</c:v>
                </c:pt>
                <c:pt idx="2634">
                  <c:v>57721</c:v>
                </c:pt>
                <c:pt idx="2635">
                  <c:v>57728</c:v>
                </c:pt>
                <c:pt idx="2636">
                  <c:v>57735</c:v>
                </c:pt>
                <c:pt idx="2637">
                  <c:v>57742</c:v>
                </c:pt>
                <c:pt idx="2638">
                  <c:v>57749</c:v>
                </c:pt>
                <c:pt idx="2639">
                  <c:v>57756</c:v>
                </c:pt>
                <c:pt idx="2640">
                  <c:v>57763</c:v>
                </c:pt>
                <c:pt idx="2641">
                  <c:v>57770</c:v>
                </c:pt>
                <c:pt idx="2642">
                  <c:v>57777</c:v>
                </c:pt>
                <c:pt idx="2643">
                  <c:v>57784</c:v>
                </c:pt>
                <c:pt idx="2644">
                  <c:v>57791</c:v>
                </c:pt>
                <c:pt idx="2645">
                  <c:v>57798</c:v>
                </c:pt>
                <c:pt idx="2646">
                  <c:v>57805</c:v>
                </c:pt>
                <c:pt idx="2647">
                  <c:v>57812</c:v>
                </c:pt>
                <c:pt idx="2648">
                  <c:v>57819</c:v>
                </c:pt>
                <c:pt idx="2649">
                  <c:v>57826</c:v>
                </c:pt>
                <c:pt idx="2650">
                  <c:v>57837</c:v>
                </c:pt>
                <c:pt idx="2651">
                  <c:v>57844</c:v>
                </c:pt>
                <c:pt idx="2652">
                  <c:v>57851</c:v>
                </c:pt>
                <c:pt idx="2653">
                  <c:v>57858</c:v>
                </c:pt>
                <c:pt idx="2654">
                  <c:v>57865</c:v>
                </c:pt>
                <c:pt idx="2655">
                  <c:v>57872</c:v>
                </c:pt>
                <c:pt idx="2656">
                  <c:v>57879</c:v>
                </c:pt>
                <c:pt idx="2657">
                  <c:v>57886</c:v>
                </c:pt>
                <c:pt idx="2658">
                  <c:v>57893</c:v>
                </c:pt>
                <c:pt idx="2659">
                  <c:v>57900</c:v>
                </c:pt>
                <c:pt idx="2660">
                  <c:v>57907</c:v>
                </c:pt>
                <c:pt idx="2661">
                  <c:v>57914</c:v>
                </c:pt>
                <c:pt idx="2662">
                  <c:v>57921</c:v>
                </c:pt>
                <c:pt idx="2663">
                  <c:v>57928</c:v>
                </c:pt>
                <c:pt idx="2664">
                  <c:v>57935</c:v>
                </c:pt>
                <c:pt idx="2665">
                  <c:v>57942</c:v>
                </c:pt>
                <c:pt idx="2666">
                  <c:v>57949</c:v>
                </c:pt>
                <c:pt idx="2667">
                  <c:v>57956</c:v>
                </c:pt>
                <c:pt idx="2668">
                  <c:v>57963</c:v>
                </c:pt>
                <c:pt idx="2669">
                  <c:v>57970</c:v>
                </c:pt>
                <c:pt idx="2670">
                  <c:v>57977</c:v>
                </c:pt>
                <c:pt idx="2671">
                  <c:v>57984</c:v>
                </c:pt>
                <c:pt idx="2672">
                  <c:v>57991</c:v>
                </c:pt>
                <c:pt idx="2673">
                  <c:v>57998</c:v>
                </c:pt>
                <c:pt idx="2674">
                  <c:v>58005</c:v>
                </c:pt>
                <c:pt idx="2675">
                  <c:v>58012</c:v>
                </c:pt>
                <c:pt idx="2676">
                  <c:v>58019</c:v>
                </c:pt>
                <c:pt idx="2677">
                  <c:v>58026</c:v>
                </c:pt>
                <c:pt idx="2678">
                  <c:v>58033</c:v>
                </c:pt>
                <c:pt idx="2679">
                  <c:v>58040</c:v>
                </c:pt>
                <c:pt idx="2680">
                  <c:v>58047</c:v>
                </c:pt>
                <c:pt idx="2681">
                  <c:v>58054</c:v>
                </c:pt>
                <c:pt idx="2682">
                  <c:v>58061</c:v>
                </c:pt>
                <c:pt idx="2683">
                  <c:v>58068</c:v>
                </c:pt>
                <c:pt idx="2684">
                  <c:v>58081</c:v>
                </c:pt>
                <c:pt idx="2685">
                  <c:v>58089</c:v>
                </c:pt>
                <c:pt idx="2686">
                  <c:v>58096</c:v>
                </c:pt>
                <c:pt idx="2687">
                  <c:v>58103</c:v>
                </c:pt>
                <c:pt idx="2688">
                  <c:v>58110</c:v>
                </c:pt>
                <c:pt idx="2689">
                  <c:v>58118</c:v>
                </c:pt>
                <c:pt idx="2690">
                  <c:v>58125</c:v>
                </c:pt>
                <c:pt idx="2691">
                  <c:v>58132</c:v>
                </c:pt>
                <c:pt idx="2692">
                  <c:v>58139</c:v>
                </c:pt>
                <c:pt idx="2693">
                  <c:v>58146</c:v>
                </c:pt>
                <c:pt idx="2694">
                  <c:v>58153</c:v>
                </c:pt>
                <c:pt idx="2695">
                  <c:v>58160</c:v>
                </c:pt>
                <c:pt idx="2696">
                  <c:v>58167</c:v>
                </c:pt>
                <c:pt idx="2697">
                  <c:v>58174</c:v>
                </c:pt>
                <c:pt idx="2698">
                  <c:v>58181</c:v>
                </c:pt>
                <c:pt idx="2699">
                  <c:v>58188</c:v>
                </c:pt>
                <c:pt idx="2700">
                  <c:v>58195</c:v>
                </c:pt>
                <c:pt idx="2701">
                  <c:v>58202</c:v>
                </c:pt>
                <c:pt idx="2702">
                  <c:v>58209</c:v>
                </c:pt>
                <c:pt idx="2703">
                  <c:v>58216</c:v>
                </c:pt>
                <c:pt idx="2704">
                  <c:v>58223</c:v>
                </c:pt>
                <c:pt idx="2705">
                  <c:v>58230</c:v>
                </c:pt>
                <c:pt idx="2706">
                  <c:v>58237</c:v>
                </c:pt>
                <c:pt idx="2707">
                  <c:v>58244</c:v>
                </c:pt>
                <c:pt idx="2708">
                  <c:v>58251</c:v>
                </c:pt>
                <c:pt idx="2709">
                  <c:v>58258</c:v>
                </c:pt>
                <c:pt idx="2710">
                  <c:v>58265</c:v>
                </c:pt>
                <c:pt idx="2711">
                  <c:v>58272</c:v>
                </c:pt>
                <c:pt idx="2712">
                  <c:v>58279</c:v>
                </c:pt>
                <c:pt idx="2713">
                  <c:v>58286</c:v>
                </c:pt>
                <c:pt idx="2714">
                  <c:v>58293</c:v>
                </c:pt>
                <c:pt idx="2715">
                  <c:v>58300</c:v>
                </c:pt>
                <c:pt idx="2716">
                  <c:v>58307</c:v>
                </c:pt>
                <c:pt idx="2717">
                  <c:v>58314</c:v>
                </c:pt>
                <c:pt idx="2718">
                  <c:v>58321</c:v>
                </c:pt>
                <c:pt idx="2719">
                  <c:v>58328</c:v>
                </c:pt>
                <c:pt idx="2720">
                  <c:v>58335</c:v>
                </c:pt>
                <c:pt idx="2721">
                  <c:v>58342</c:v>
                </c:pt>
                <c:pt idx="2722">
                  <c:v>58349</c:v>
                </c:pt>
                <c:pt idx="2723">
                  <c:v>58356</c:v>
                </c:pt>
                <c:pt idx="2724">
                  <c:v>58363</c:v>
                </c:pt>
                <c:pt idx="2725">
                  <c:v>58370</c:v>
                </c:pt>
                <c:pt idx="2726">
                  <c:v>58377</c:v>
                </c:pt>
                <c:pt idx="2727">
                  <c:v>58384</c:v>
                </c:pt>
                <c:pt idx="2728">
                  <c:v>58391</c:v>
                </c:pt>
                <c:pt idx="2729">
                  <c:v>58398</c:v>
                </c:pt>
                <c:pt idx="2730">
                  <c:v>58405</c:v>
                </c:pt>
                <c:pt idx="2731">
                  <c:v>58412</c:v>
                </c:pt>
                <c:pt idx="2732">
                  <c:v>58419</c:v>
                </c:pt>
                <c:pt idx="2733">
                  <c:v>58426</c:v>
                </c:pt>
                <c:pt idx="2734">
                  <c:v>58433</c:v>
                </c:pt>
                <c:pt idx="2735">
                  <c:v>58445</c:v>
                </c:pt>
                <c:pt idx="2736">
                  <c:v>58453</c:v>
                </c:pt>
                <c:pt idx="2737">
                  <c:v>58460</c:v>
                </c:pt>
                <c:pt idx="2738">
                  <c:v>58467</c:v>
                </c:pt>
                <c:pt idx="2739">
                  <c:v>58474</c:v>
                </c:pt>
                <c:pt idx="2740">
                  <c:v>58481</c:v>
                </c:pt>
                <c:pt idx="2741">
                  <c:v>58488</c:v>
                </c:pt>
                <c:pt idx="2742">
                  <c:v>58495</c:v>
                </c:pt>
                <c:pt idx="2743">
                  <c:v>58502</c:v>
                </c:pt>
                <c:pt idx="2744">
                  <c:v>58509</c:v>
                </c:pt>
                <c:pt idx="2745">
                  <c:v>58516</c:v>
                </c:pt>
                <c:pt idx="2746">
                  <c:v>58523</c:v>
                </c:pt>
                <c:pt idx="2747">
                  <c:v>58530</c:v>
                </c:pt>
                <c:pt idx="2748">
                  <c:v>58537</c:v>
                </c:pt>
                <c:pt idx="2749">
                  <c:v>58544</c:v>
                </c:pt>
                <c:pt idx="2750">
                  <c:v>58551</c:v>
                </c:pt>
                <c:pt idx="2751">
                  <c:v>58558</c:v>
                </c:pt>
                <c:pt idx="2752">
                  <c:v>58567</c:v>
                </c:pt>
                <c:pt idx="2753">
                  <c:v>58574</c:v>
                </c:pt>
                <c:pt idx="2754">
                  <c:v>58581</c:v>
                </c:pt>
                <c:pt idx="2755">
                  <c:v>58588</c:v>
                </c:pt>
                <c:pt idx="2756">
                  <c:v>58595</c:v>
                </c:pt>
                <c:pt idx="2757">
                  <c:v>58602</c:v>
                </c:pt>
                <c:pt idx="2758">
                  <c:v>58609</c:v>
                </c:pt>
                <c:pt idx="2759">
                  <c:v>58616</c:v>
                </c:pt>
                <c:pt idx="2760">
                  <c:v>58623</c:v>
                </c:pt>
                <c:pt idx="2761">
                  <c:v>58630</c:v>
                </c:pt>
                <c:pt idx="2762">
                  <c:v>58637</c:v>
                </c:pt>
                <c:pt idx="2763">
                  <c:v>58644</c:v>
                </c:pt>
                <c:pt idx="2764">
                  <c:v>58651</c:v>
                </c:pt>
                <c:pt idx="2765">
                  <c:v>58658</c:v>
                </c:pt>
                <c:pt idx="2766">
                  <c:v>58665</c:v>
                </c:pt>
                <c:pt idx="2767">
                  <c:v>58672</c:v>
                </c:pt>
                <c:pt idx="2768">
                  <c:v>58679</c:v>
                </c:pt>
                <c:pt idx="2769">
                  <c:v>58686</c:v>
                </c:pt>
                <c:pt idx="2770">
                  <c:v>58693</c:v>
                </c:pt>
                <c:pt idx="2771">
                  <c:v>58700</c:v>
                </c:pt>
                <c:pt idx="2772">
                  <c:v>58707</c:v>
                </c:pt>
                <c:pt idx="2773">
                  <c:v>58714</c:v>
                </c:pt>
                <c:pt idx="2774">
                  <c:v>58721</c:v>
                </c:pt>
                <c:pt idx="2775">
                  <c:v>58728</c:v>
                </c:pt>
                <c:pt idx="2776">
                  <c:v>58735</c:v>
                </c:pt>
                <c:pt idx="2777">
                  <c:v>58742</c:v>
                </c:pt>
                <c:pt idx="2778">
                  <c:v>58749</c:v>
                </c:pt>
                <c:pt idx="2779">
                  <c:v>58756</c:v>
                </c:pt>
                <c:pt idx="2780">
                  <c:v>58763</c:v>
                </c:pt>
                <c:pt idx="2781">
                  <c:v>58770</c:v>
                </c:pt>
                <c:pt idx="2782">
                  <c:v>58777</c:v>
                </c:pt>
                <c:pt idx="2783">
                  <c:v>58784</c:v>
                </c:pt>
                <c:pt idx="2784">
                  <c:v>58791</c:v>
                </c:pt>
                <c:pt idx="2785">
                  <c:v>58799</c:v>
                </c:pt>
                <c:pt idx="2786">
                  <c:v>58810</c:v>
                </c:pt>
                <c:pt idx="2787">
                  <c:v>58817</c:v>
                </c:pt>
                <c:pt idx="2788">
                  <c:v>58824</c:v>
                </c:pt>
                <c:pt idx="2789">
                  <c:v>58831</c:v>
                </c:pt>
                <c:pt idx="2790">
                  <c:v>58838</c:v>
                </c:pt>
                <c:pt idx="2791">
                  <c:v>58845</c:v>
                </c:pt>
                <c:pt idx="2792">
                  <c:v>58852</c:v>
                </c:pt>
                <c:pt idx="2793">
                  <c:v>58859</c:v>
                </c:pt>
                <c:pt idx="2794">
                  <c:v>58866</c:v>
                </c:pt>
                <c:pt idx="2795">
                  <c:v>58873</c:v>
                </c:pt>
                <c:pt idx="2796">
                  <c:v>58880</c:v>
                </c:pt>
                <c:pt idx="2797">
                  <c:v>58887</c:v>
                </c:pt>
                <c:pt idx="2798">
                  <c:v>58894</c:v>
                </c:pt>
                <c:pt idx="2799">
                  <c:v>58901</c:v>
                </c:pt>
                <c:pt idx="2800">
                  <c:v>58908</c:v>
                </c:pt>
                <c:pt idx="2801">
                  <c:v>58915</c:v>
                </c:pt>
                <c:pt idx="2802">
                  <c:v>58922</c:v>
                </c:pt>
                <c:pt idx="2803">
                  <c:v>58932</c:v>
                </c:pt>
                <c:pt idx="2804">
                  <c:v>58939</c:v>
                </c:pt>
                <c:pt idx="2805">
                  <c:v>58946</c:v>
                </c:pt>
                <c:pt idx="2806">
                  <c:v>58953</c:v>
                </c:pt>
                <c:pt idx="2807">
                  <c:v>58960</c:v>
                </c:pt>
                <c:pt idx="2808">
                  <c:v>58967</c:v>
                </c:pt>
                <c:pt idx="2809">
                  <c:v>58974</c:v>
                </c:pt>
                <c:pt idx="2810">
                  <c:v>58981</c:v>
                </c:pt>
                <c:pt idx="2811">
                  <c:v>58988</c:v>
                </c:pt>
                <c:pt idx="2812">
                  <c:v>58995</c:v>
                </c:pt>
                <c:pt idx="2813">
                  <c:v>59002</c:v>
                </c:pt>
                <c:pt idx="2814">
                  <c:v>59009</c:v>
                </c:pt>
                <c:pt idx="2815">
                  <c:v>59016</c:v>
                </c:pt>
                <c:pt idx="2816">
                  <c:v>59023</c:v>
                </c:pt>
                <c:pt idx="2817">
                  <c:v>59030</c:v>
                </c:pt>
                <c:pt idx="2818">
                  <c:v>59037</c:v>
                </c:pt>
                <c:pt idx="2819">
                  <c:v>59044</c:v>
                </c:pt>
                <c:pt idx="2820">
                  <c:v>59051</c:v>
                </c:pt>
                <c:pt idx="2821">
                  <c:v>59058</c:v>
                </c:pt>
                <c:pt idx="2822">
                  <c:v>59065</c:v>
                </c:pt>
                <c:pt idx="2823">
                  <c:v>59072</c:v>
                </c:pt>
                <c:pt idx="2824">
                  <c:v>59079</c:v>
                </c:pt>
                <c:pt idx="2825">
                  <c:v>59086</c:v>
                </c:pt>
                <c:pt idx="2826">
                  <c:v>59093</c:v>
                </c:pt>
                <c:pt idx="2827">
                  <c:v>59100</c:v>
                </c:pt>
                <c:pt idx="2828">
                  <c:v>59107</c:v>
                </c:pt>
                <c:pt idx="2829">
                  <c:v>59114</c:v>
                </c:pt>
                <c:pt idx="2830">
                  <c:v>59121</c:v>
                </c:pt>
                <c:pt idx="2831">
                  <c:v>59128</c:v>
                </c:pt>
                <c:pt idx="2832">
                  <c:v>59135</c:v>
                </c:pt>
                <c:pt idx="2833">
                  <c:v>59142</c:v>
                </c:pt>
                <c:pt idx="2834">
                  <c:v>59149</c:v>
                </c:pt>
                <c:pt idx="2835">
                  <c:v>59156</c:v>
                </c:pt>
                <c:pt idx="2836">
                  <c:v>59166</c:v>
                </c:pt>
                <c:pt idx="2837">
                  <c:v>59175</c:v>
                </c:pt>
                <c:pt idx="2838">
                  <c:v>59182</c:v>
                </c:pt>
                <c:pt idx="2839">
                  <c:v>59189</c:v>
                </c:pt>
                <c:pt idx="2840">
                  <c:v>59196</c:v>
                </c:pt>
                <c:pt idx="2841">
                  <c:v>59203</c:v>
                </c:pt>
                <c:pt idx="2842">
                  <c:v>59210</c:v>
                </c:pt>
                <c:pt idx="2843">
                  <c:v>59217</c:v>
                </c:pt>
                <c:pt idx="2844">
                  <c:v>59224</c:v>
                </c:pt>
                <c:pt idx="2845">
                  <c:v>59231</c:v>
                </c:pt>
                <c:pt idx="2846">
                  <c:v>59238</c:v>
                </c:pt>
                <c:pt idx="2847">
                  <c:v>59245</c:v>
                </c:pt>
                <c:pt idx="2848">
                  <c:v>59252</c:v>
                </c:pt>
                <c:pt idx="2849">
                  <c:v>59259</c:v>
                </c:pt>
                <c:pt idx="2850">
                  <c:v>59266</c:v>
                </c:pt>
                <c:pt idx="2851">
                  <c:v>59273</c:v>
                </c:pt>
                <c:pt idx="2852">
                  <c:v>59280</c:v>
                </c:pt>
                <c:pt idx="2853">
                  <c:v>59287</c:v>
                </c:pt>
                <c:pt idx="2854">
                  <c:v>59299</c:v>
                </c:pt>
                <c:pt idx="2855">
                  <c:v>59306</c:v>
                </c:pt>
                <c:pt idx="2856">
                  <c:v>59313</c:v>
                </c:pt>
                <c:pt idx="2857">
                  <c:v>59320</c:v>
                </c:pt>
                <c:pt idx="2858">
                  <c:v>59327</c:v>
                </c:pt>
                <c:pt idx="2859">
                  <c:v>59334</c:v>
                </c:pt>
                <c:pt idx="2860">
                  <c:v>59341</c:v>
                </c:pt>
                <c:pt idx="2861">
                  <c:v>59348</c:v>
                </c:pt>
                <c:pt idx="2862">
                  <c:v>59355</c:v>
                </c:pt>
                <c:pt idx="2863">
                  <c:v>59362</c:v>
                </c:pt>
                <c:pt idx="2864">
                  <c:v>59370</c:v>
                </c:pt>
                <c:pt idx="2865">
                  <c:v>59377</c:v>
                </c:pt>
                <c:pt idx="2866">
                  <c:v>59384</c:v>
                </c:pt>
                <c:pt idx="2867">
                  <c:v>59391</c:v>
                </c:pt>
                <c:pt idx="2868">
                  <c:v>59398</c:v>
                </c:pt>
                <c:pt idx="2869">
                  <c:v>59405</c:v>
                </c:pt>
                <c:pt idx="2870">
                  <c:v>59412</c:v>
                </c:pt>
                <c:pt idx="2871">
                  <c:v>59419</c:v>
                </c:pt>
                <c:pt idx="2872">
                  <c:v>59426</c:v>
                </c:pt>
                <c:pt idx="2873">
                  <c:v>59433</c:v>
                </c:pt>
                <c:pt idx="2874">
                  <c:v>59440</c:v>
                </c:pt>
                <c:pt idx="2875">
                  <c:v>59447</c:v>
                </c:pt>
                <c:pt idx="2876">
                  <c:v>59454</c:v>
                </c:pt>
                <c:pt idx="2877">
                  <c:v>59461</c:v>
                </c:pt>
                <c:pt idx="2878">
                  <c:v>59468</c:v>
                </c:pt>
                <c:pt idx="2879">
                  <c:v>59475</c:v>
                </c:pt>
                <c:pt idx="2880">
                  <c:v>59482</c:v>
                </c:pt>
                <c:pt idx="2881">
                  <c:v>59489</c:v>
                </c:pt>
                <c:pt idx="2882">
                  <c:v>59496</c:v>
                </c:pt>
                <c:pt idx="2883">
                  <c:v>59503</c:v>
                </c:pt>
                <c:pt idx="2884">
                  <c:v>59510</c:v>
                </c:pt>
                <c:pt idx="2885">
                  <c:v>59517</c:v>
                </c:pt>
                <c:pt idx="2886">
                  <c:v>59524</c:v>
                </c:pt>
                <c:pt idx="2887">
                  <c:v>59531</c:v>
                </c:pt>
                <c:pt idx="2888">
                  <c:v>59540</c:v>
                </c:pt>
                <c:pt idx="2889">
                  <c:v>59547</c:v>
                </c:pt>
                <c:pt idx="2890">
                  <c:v>59554</c:v>
                </c:pt>
                <c:pt idx="2891">
                  <c:v>59561</c:v>
                </c:pt>
                <c:pt idx="2892">
                  <c:v>59568</c:v>
                </c:pt>
                <c:pt idx="2893">
                  <c:v>59575</c:v>
                </c:pt>
                <c:pt idx="2894">
                  <c:v>59582</c:v>
                </c:pt>
                <c:pt idx="2895">
                  <c:v>59589</c:v>
                </c:pt>
                <c:pt idx="2896">
                  <c:v>59596</c:v>
                </c:pt>
                <c:pt idx="2897">
                  <c:v>59603</c:v>
                </c:pt>
                <c:pt idx="2898">
                  <c:v>59610</c:v>
                </c:pt>
                <c:pt idx="2899">
                  <c:v>59617</c:v>
                </c:pt>
                <c:pt idx="2900">
                  <c:v>59624</c:v>
                </c:pt>
                <c:pt idx="2901">
                  <c:v>59631</c:v>
                </c:pt>
                <c:pt idx="2902">
                  <c:v>59638</c:v>
                </c:pt>
                <c:pt idx="2903">
                  <c:v>59645</c:v>
                </c:pt>
                <c:pt idx="2904">
                  <c:v>59652</c:v>
                </c:pt>
                <c:pt idx="2905">
                  <c:v>59663</c:v>
                </c:pt>
                <c:pt idx="2906">
                  <c:v>59670</c:v>
                </c:pt>
                <c:pt idx="2907">
                  <c:v>59677</c:v>
                </c:pt>
                <c:pt idx="2908">
                  <c:v>59684</c:v>
                </c:pt>
                <c:pt idx="2909">
                  <c:v>59691</c:v>
                </c:pt>
                <c:pt idx="2910">
                  <c:v>59698</c:v>
                </c:pt>
                <c:pt idx="2911">
                  <c:v>59705</c:v>
                </c:pt>
                <c:pt idx="2912">
                  <c:v>59712</c:v>
                </c:pt>
                <c:pt idx="2913">
                  <c:v>59719</c:v>
                </c:pt>
                <c:pt idx="2914">
                  <c:v>59726</c:v>
                </c:pt>
                <c:pt idx="2915">
                  <c:v>59734</c:v>
                </c:pt>
                <c:pt idx="2916">
                  <c:v>59741</c:v>
                </c:pt>
                <c:pt idx="2917">
                  <c:v>59748</c:v>
                </c:pt>
                <c:pt idx="2918">
                  <c:v>59755</c:v>
                </c:pt>
                <c:pt idx="2919">
                  <c:v>59762</c:v>
                </c:pt>
                <c:pt idx="2920">
                  <c:v>59769</c:v>
                </c:pt>
                <c:pt idx="2921">
                  <c:v>59776</c:v>
                </c:pt>
                <c:pt idx="2922">
                  <c:v>59783</c:v>
                </c:pt>
                <c:pt idx="2923">
                  <c:v>59790</c:v>
                </c:pt>
                <c:pt idx="2924">
                  <c:v>59797</c:v>
                </c:pt>
                <c:pt idx="2925">
                  <c:v>59804</c:v>
                </c:pt>
                <c:pt idx="2926">
                  <c:v>59811</c:v>
                </c:pt>
                <c:pt idx="2927">
                  <c:v>59818</c:v>
                </c:pt>
                <c:pt idx="2928">
                  <c:v>59825</c:v>
                </c:pt>
                <c:pt idx="2929">
                  <c:v>59832</c:v>
                </c:pt>
                <c:pt idx="2930">
                  <c:v>59839</c:v>
                </c:pt>
                <c:pt idx="2931">
                  <c:v>59846</c:v>
                </c:pt>
                <c:pt idx="2932">
                  <c:v>59853</c:v>
                </c:pt>
                <c:pt idx="2933">
                  <c:v>59860</c:v>
                </c:pt>
                <c:pt idx="2934">
                  <c:v>59867</c:v>
                </c:pt>
                <c:pt idx="2935">
                  <c:v>59874</c:v>
                </c:pt>
                <c:pt idx="2936">
                  <c:v>59881</c:v>
                </c:pt>
                <c:pt idx="2937">
                  <c:v>59888</c:v>
                </c:pt>
                <c:pt idx="2938">
                  <c:v>59895</c:v>
                </c:pt>
                <c:pt idx="2939">
                  <c:v>59905</c:v>
                </c:pt>
                <c:pt idx="2940">
                  <c:v>59912</c:v>
                </c:pt>
                <c:pt idx="2941">
                  <c:v>59919</c:v>
                </c:pt>
                <c:pt idx="2942">
                  <c:v>59926</c:v>
                </c:pt>
                <c:pt idx="2943">
                  <c:v>59933</c:v>
                </c:pt>
                <c:pt idx="2944">
                  <c:v>59940</c:v>
                </c:pt>
                <c:pt idx="2945">
                  <c:v>59947</c:v>
                </c:pt>
                <c:pt idx="2946">
                  <c:v>59954</c:v>
                </c:pt>
                <c:pt idx="2947">
                  <c:v>59961</c:v>
                </c:pt>
                <c:pt idx="2948">
                  <c:v>59968</c:v>
                </c:pt>
                <c:pt idx="2949">
                  <c:v>59975</c:v>
                </c:pt>
                <c:pt idx="2950">
                  <c:v>59982</c:v>
                </c:pt>
                <c:pt idx="2951">
                  <c:v>59989</c:v>
                </c:pt>
                <c:pt idx="2952">
                  <c:v>59996</c:v>
                </c:pt>
                <c:pt idx="2953">
                  <c:v>60003</c:v>
                </c:pt>
                <c:pt idx="2954">
                  <c:v>60010</c:v>
                </c:pt>
                <c:pt idx="2955">
                  <c:v>60017</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60262</c:v>
                </c:pt>
                <c:pt idx="2991">
                  <c:v>60272</c:v>
                </c:pt>
                <c:pt idx="2992">
                  <c:v>60280</c:v>
                </c:pt>
                <c:pt idx="2993">
                  <c:v>60287</c:v>
                </c:pt>
                <c:pt idx="2994">
                  <c:v>60294</c:v>
                </c:pt>
                <c:pt idx="2995">
                  <c:v>60301</c:v>
                </c:pt>
                <c:pt idx="2996">
                  <c:v>60308</c:v>
                </c:pt>
                <c:pt idx="2997">
                  <c:v>60315</c:v>
                </c:pt>
                <c:pt idx="2998">
                  <c:v>60322</c:v>
                </c:pt>
                <c:pt idx="2999">
                  <c:v>60329</c:v>
                </c:pt>
                <c:pt idx="3000">
                  <c:v>60336</c:v>
                </c:pt>
                <c:pt idx="3001">
                  <c:v>60343</c:v>
                </c:pt>
                <c:pt idx="3002">
                  <c:v>60350</c:v>
                </c:pt>
                <c:pt idx="3003">
                  <c:v>60357</c:v>
                </c:pt>
                <c:pt idx="3004">
                  <c:v>60364</c:v>
                </c:pt>
                <c:pt idx="3005">
                  <c:v>60371</c:v>
                </c:pt>
                <c:pt idx="3006">
                  <c:v>60378</c:v>
                </c:pt>
                <c:pt idx="3007">
                  <c:v>60385</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60636</c:v>
                </c:pt>
                <c:pt idx="3043">
                  <c:v>60644</c:v>
                </c:pt>
                <c:pt idx="3044">
                  <c:v>60651</c:v>
                </c:pt>
                <c:pt idx="3045">
                  <c:v>60658</c:v>
                </c:pt>
                <c:pt idx="3046">
                  <c:v>60665</c:v>
                </c:pt>
                <c:pt idx="3047">
                  <c:v>60672</c:v>
                </c:pt>
                <c:pt idx="3048">
                  <c:v>60679</c:v>
                </c:pt>
                <c:pt idx="3049">
                  <c:v>60686</c:v>
                </c:pt>
                <c:pt idx="3050">
                  <c:v>60693</c:v>
                </c:pt>
                <c:pt idx="3051">
                  <c:v>60700</c:v>
                </c:pt>
                <c:pt idx="3052">
                  <c:v>60707</c:v>
                </c:pt>
                <c:pt idx="3053">
                  <c:v>60714</c:v>
                </c:pt>
                <c:pt idx="3054">
                  <c:v>60721</c:v>
                </c:pt>
                <c:pt idx="3055">
                  <c:v>60728</c:v>
                </c:pt>
                <c:pt idx="3056">
                  <c:v>60735</c:v>
                </c:pt>
                <c:pt idx="3057">
                  <c:v>60742</c:v>
                </c:pt>
                <c:pt idx="3058">
                  <c:v>60749</c:v>
                </c:pt>
                <c:pt idx="3059">
                  <c:v>60758</c:v>
                </c:pt>
                <c:pt idx="3060">
                  <c:v>60765</c:v>
                </c:pt>
                <c:pt idx="3061">
                  <c:v>60772</c:v>
                </c:pt>
                <c:pt idx="3062">
                  <c:v>60779</c:v>
                </c:pt>
                <c:pt idx="3063">
                  <c:v>60786</c:v>
                </c:pt>
                <c:pt idx="3064">
                  <c:v>60793</c:v>
                </c:pt>
                <c:pt idx="3065">
                  <c:v>60800</c:v>
                </c:pt>
                <c:pt idx="3066">
                  <c:v>60807</c:v>
                </c:pt>
                <c:pt idx="3067">
                  <c:v>60814</c:v>
                </c:pt>
                <c:pt idx="3068">
                  <c:v>60821</c:v>
                </c:pt>
                <c:pt idx="3069">
                  <c:v>60828</c:v>
                </c:pt>
                <c:pt idx="3070">
                  <c:v>60835</c:v>
                </c:pt>
                <c:pt idx="3071">
                  <c:v>60842</c:v>
                </c:pt>
                <c:pt idx="3072">
                  <c:v>60849</c:v>
                </c:pt>
                <c:pt idx="3073">
                  <c:v>60856</c:v>
                </c:pt>
                <c:pt idx="3074">
                  <c:v>60863</c:v>
                </c:pt>
                <c:pt idx="3075">
                  <c:v>60870</c:v>
                </c:pt>
                <c:pt idx="3076">
                  <c:v>60877</c:v>
                </c:pt>
                <c:pt idx="3077">
                  <c:v>60884</c:v>
                </c:pt>
                <c:pt idx="3078">
                  <c:v>60891</c:v>
                </c:pt>
                <c:pt idx="3079">
                  <c:v>60899</c:v>
                </c:pt>
                <c:pt idx="3080">
                  <c:v>60906</c:v>
                </c:pt>
                <c:pt idx="3081">
                  <c:v>60913</c:v>
                </c:pt>
                <c:pt idx="3082">
                  <c:v>60920</c:v>
                </c:pt>
                <c:pt idx="3083">
                  <c:v>60927</c:v>
                </c:pt>
                <c:pt idx="3084">
                  <c:v>60934</c:v>
                </c:pt>
                <c:pt idx="3085">
                  <c:v>60941</c:v>
                </c:pt>
                <c:pt idx="3086">
                  <c:v>60948</c:v>
                </c:pt>
                <c:pt idx="3087">
                  <c:v>60955</c:v>
                </c:pt>
                <c:pt idx="3088">
                  <c:v>60962</c:v>
                </c:pt>
                <c:pt idx="3089">
                  <c:v>60969</c:v>
                </c:pt>
                <c:pt idx="3090">
                  <c:v>60976</c:v>
                </c:pt>
                <c:pt idx="3091">
                  <c:v>60983</c:v>
                </c:pt>
                <c:pt idx="3092">
                  <c:v>60990</c:v>
                </c:pt>
                <c:pt idx="3093">
                  <c:v>61001</c:v>
                </c:pt>
                <c:pt idx="3094">
                  <c:v>61008</c:v>
                </c:pt>
                <c:pt idx="3095">
                  <c:v>61015</c:v>
                </c:pt>
                <c:pt idx="3096">
                  <c:v>61022</c:v>
                </c:pt>
                <c:pt idx="3097">
                  <c:v>61029</c:v>
                </c:pt>
                <c:pt idx="3098">
                  <c:v>61036</c:v>
                </c:pt>
                <c:pt idx="3099">
                  <c:v>61043</c:v>
                </c:pt>
                <c:pt idx="3100">
                  <c:v>61050</c:v>
                </c:pt>
                <c:pt idx="3101">
                  <c:v>61057</c:v>
                </c:pt>
                <c:pt idx="3102">
                  <c:v>61064</c:v>
                </c:pt>
                <c:pt idx="3103">
                  <c:v>61071</c:v>
                </c:pt>
                <c:pt idx="3104">
                  <c:v>61078</c:v>
                </c:pt>
                <c:pt idx="3105">
                  <c:v>61085</c:v>
                </c:pt>
                <c:pt idx="3106">
                  <c:v>61092</c:v>
                </c:pt>
                <c:pt idx="3107">
                  <c:v>61099</c:v>
                </c:pt>
                <c:pt idx="3108">
                  <c:v>61106</c:v>
                </c:pt>
                <c:pt idx="3109">
                  <c:v>61113</c:v>
                </c:pt>
                <c:pt idx="3110">
                  <c:v>61123</c:v>
                </c:pt>
                <c:pt idx="3111">
                  <c:v>61130</c:v>
                </c:pt>
                <c:pt idx="3112">
                  <c:v>61137</c:v>
                </c:pt>
                <c:pt idx="3113">
                  <c:v>61144</c:v>
                </c:pt>
                <c:pt idx="3114">
                  <c:v>61151</c:v>
                </c:pt>
                <c:pt idx="3115">
                  <c:v>61158</c:v>
                </c:pt>
                <c:pt idx="3116">
                  <c:v>61165</c:v>
                </c:pt>
                <c:pt idx="3117">
                  <c:v>61172</c:v>
                </c:pt>
                <c:pt idx="3118">
                  <c:v>61179</c:v>
                </c:pt>
                <c:pt idx="3119">
                  <c:v>61186</c:v>
                </c:pt>
                <c:pt idx="3120">
                  <c:v>61193</c:v>
                </c:pt>
                <c:pt idx="3121">
                  <c:v>61200</c:v>
                </c:pt>
                <c:pt idx="3122">
                  <c:v>61207</c:v>
                </c:pt>
                <c:pt idx="3123">
                  <c:v>61214</c:v>
                </c:pt>
                <c:pt idx="3124">
                  <c:v>61221</c:v>
                </c:pt>
                <c:pt idx="3125">
                  <c:v>61228</c:v>
                </c:pt>
                <c:pt idx="3126">
                  <c:v>61235</c:v>
                </c:pt>
                <c:pt idx="3127">
                  <c:v>61242</c:v>
                </c:pt>
                <c:pt idx="3128">
                  <c:v>61249</c:v>
                </c:pt>
                <c:pt idx="3129">
                  <c:v>61256</c:v>
                </c:pt>
                <c:pt idx="3130">
                  <c:v>61266</c:v>
                </c:pt>
                <c:pt idx="3131">
                  <c:v>61273</c:v>
                </c:pt>
                <c:pt idx="3132">
                  <c:v>61281</c:v>
                </c:pt>
                <c:pt idx="3133">
                  <c:v>61288</c:v>
                </c:pt>
                <c:pt idx="3134">
                  <c:v>61295</c:v>
                </c:pt>
                <c:pt idx="3135">
                  <c:v>61302</c:v>
                </c:pt>
                <c:pt idx="3136">
                  <c:v>61309</c:v>
                </c:pt>
                <c:pt idx="3137">
                  <c:v>61316</c:v>
                </c:pt>
                <c:pt idx="3138">
                  <c:v>61323</c:v>
                </c:pt>
                <c:pt idx="3139">
                  <c:v>61330</c:v>
                </c:pt>
                <c:pt idx="3140">
                  <c:v>61337</c:v>
                </c:pt>
                <c:pt idx="3141">
                  <c:v>61344</c:v>
                </c:pt>
                <c:pt idx="3142">
                  <c:v>61351</c:v>
                </c:pt>
                <c:pt idx="3143">
                  <c:v>61358</c:v>
                </c:pt>
                <c:pt idx="3144">
                  <c:v>61366</c:v>
                </c:pt>
                <c:pt idx="3145">
                  <c:v>61373</c:v>
                </c:pt>
                <c:pt idx="3146">
                  <c:v>61380</c:v>
                </c:pt>
                <c:pt idx="3147">
                  <c:v>61387</c:v>
                </c:pt>
                <c:pt idx="3148">
                  <c:v>61394</c:v>
                </c:pt>
                <c:pt idx="3149">
                  <c:v>61401</c:v>
                </c:pt>
                <c:pt idx="3150">
                  <c:v>61408</c:v>
                </c:pt>
                <c:pt idx="3151">
                  <c:v>61415</c:v>
                </c:pt>
                <c:pt idx="3152">
                  <c:v>61422</c:v>
                </c:pt>
                <c:pt idx="3153">
                  <c:v>61429</c:v>
                </c:pt>
                <c:pt idx="3154">
                  <c:v>61436</c:v>
                </c:pt>
                <c:pt idx="3155">
                  <c:v>61443</c:v>
                </c:pt>
                <c:pt idx="3156">
                  <c:v>61450</c:v>
                </c:pt>
                <c:pt idx="3157">
                  <c:v>61457</c:v>
                </c:pt>
                <c:pt idx="3158">
                  <c:v>61464</c:v>
                </c:pt>
                <c:pt idx="3159">
                  <c:v>61471</c:v>
                </c:pt>
                <c:pt idx="3160">
                  <c:v>61478</c:v>
                </c:pt>
                <c:pt idx="3161">
                  <c:v>61485</c:v>
                </c:pt>
                <c:pt idx="3162">
                  <c:v>61492</c:v>
                </c:pt>
                <c:pt idx="3163">
                  <c:v>61499</c:v>
                </c:pt>
                <c:pt idx="3164">
                  <c:v>61506</c:v>
                </c:pt>
                <c:pt idx="3165">
                  <c:v>61513</c:v>
                </c:pt>
                <c:pt idx="3166">
                  <c:v>61520</c:v>
                </c:pt>
                <c:pt idx="3167">
                  <c:v>61527</c:v>
                </c:pt>
                <c:pt idx="3168">
                  <c:v>61534</c:v>
                </c:pt>
                <c:pt idx="3169">
                  <c:v>61541</c:v>
                </c:pt>
                <c:pt idx="3170">
                  <c:v>61548</c:v>
                </c:pt>
                <c:pt idx="3171">
                  <c:v>61555</c:v>
                </c:pt>
                <c:pt idx="3172">
                  <c:v>61562</c:v>
                </c:pt>
                <c:pt idx="3173">
                  <c:v>61569</c:v>
                </c:pt>
                <c:pt idx="3174">
                  <c:v>61576</c:v>
                </c:pt>
                <c:pt idx="3175">
                  <c:v>61583</c:v>
                </c:pt>
                <c:pt idx="3176">
                  <c:v>61590</c:v>
                </c:pt>
                <c:pt idx="3177">
                  <c:v>61597</c:v>
                </c:pt>
                <c:pt idx="3178">
                  <c:v>61604</c:v>
                </c:pt>
                <c:pt idx="3179">
                  <c:v>61611</c:v>
                </c:pt>
                <c:pt idx="3180">
                  <c:v>61618</c:v>
                </c:pt>
                <c:pt idx="3181">
                  <c:v>61625</c:v>
                </c:pt>
                <c:pt idx="3182">
                  <c:v>61632</c:v>
                </c:pt>
                <c:pt idx="3183">
                  <c:v>61639</c:v>
                </c:pt>
                <c:pt idx="3184">
                  <c:v>61646</c:v>
                </c:pt>
                <c:pt idx="3185">
                  <c:v>61653</c:v>
                </c:pt>
                <c:pt idx="3186">
                  <c:v>61660</c:v>
                </c:pt>
                <c:pt idx="3187">
                  <c:v>61667</c:v>
                </c:pt>
                <c:pt idx="3188">
                  <c:v>61674</c:v>
                </c:pt>
                <c:pt idx="3189">
                  <c:v>61681</c:v>
                </c:pt>
                <c:pt idx="3190">
                  <c:v>61688</c:v>
                </c:pt>
                <c:pt idx="3191">
                  <c:v>61695</c:v>
                </c:pt>
                <c:pt idx="3192">
                  <c:v>61702</c:v>
                </c:pt>
                <c:pt idx="3193">
                  <c:v>61709</c:v>
                </c:pt>
                <c:pt idx="3194">
                  <c:v>61716</c:v>
                </c:pt>
                <c:pt idx="3195">
                  <c:v>61723</c:v>
                </c:pt>
                <c:pt idx="3196">
                  <c:v>61732</c:v>
                </c:pt>
                <c:pt idx="3197">
                  <c:v>61739</c:v>
                </c:pt>
                <c:pt idx="3198">
                  <c:v>61746</c:v>
                </c:pt>
                <c:pt idx="3199">
                  <c:v>61753</c:v>
                </c:pt>
                <c:pt idx="3200">
                  <c:v>61760</c:v>
                </c:pt>
                <c:pt idx="3201">
                  <c:v>61767</c:v>
                </c:pt>
                <c:pt idx="3202">
                  <c:v>61774</c:v>
                </c:pt>
                <c:pt idx="3203">
                  <c:v>61781</c:v>
                </c:pt>
                <c:pt idx="3204">
                  <c:v>61788</c:v>
                </c:pt>
                <c:pt idx="3205">
                  <c:v>61795</c:v>
                </c:pt>
                <c:pt idx="3206">
                  <c:v>61802</c:v>
                </c:pt>
                <c:pt idx="3207">
                  <c:v>61809</c:v>
                </c:pt>
                <c:pt idx="3208">
                  <c:v>61816</c:v>
                </c:pt>
                <c:pt idx="3209">
                  <c:v>61823</c:v>
                </c:pt>
                <c:pt idx="3210">
                  <c:v>61830</c:v>
                </c:pt>
                <c:pt idx="3211">
                  <c:v>61837</c:v>
                </c:pt>
                <c:pt idx="3212">
                  <c:v>61844</c:v>
                </c:pt>
                <c:pt idx="3213">
                  <c:v>61855</c:v>
                </c:pt>
                <c:pt idx="3214">
                  <c:v>61862</c:v>
                </c:pt>
                <c:pt idx="3215">
                  <c:v>61869</c:v>
                </c:pt>
                <c:pt idx="3216">
                  <c:v>61876</c:v>
                </c:pt>
                <c:pt idx="3217">
                  <c:v>61883</c:v>
                </c:pt>
                <c:pt idx="3218">
                  <c:v>61890</c:v>
                </c:pt>
                <c:pt idx="3219">
                  <c:v>61897</c:v>
                </c:pt>
                <c:pt idx="3220">
                  <c:v>61904</c:v>
                </c:pt>
                <c:pt idx="3221">
                  <c:v>61911</c:v>
                </c:pt>
                <c:pt idx="3222">
                  <c:v>61918</c:v>
                </c:pt>
                <c:pt idx="3223">
                  <c:v>61925</c:v>
                </c:pt>
                <c:pt idx="3224">
                  <c:v>61932</c:v>
                </c:pt>
                <c:pt idx="3225">
                  <c:v>61939</c:v>
                </c:pt>
                <c:pt idx="3226">
                  <c:v>61946</c:v>
                </c:pt>
                <c:pt idx="3227">
                  <c:v>61953</c:v>
                </c:pt>
                <c:pt idx="3228">
                  <c:v>61960</c:v>
                </c:pt>
                <c:pt idx="3229">
                  <c:v>61967</c:v>
                </c:pt>
                <c:pt idx="3230">
                  <c:v>61974</c:v>
                </c:pt>
                <c:pt idx="3231">
                  <c:v>61981</c:v>
                </c:pt>
                <c:pt idx="3232">
                  <c:v>61988</c:v>
                </c:pt>
                <c:pt idx="3233">
                  <c:v>61995</c:v>
                </c:pt>
                <c:pt idx="3234">
                  <c:v>62002</c:v>
                </c:pt>
                <c:pt idx="3235">
                  <c:v>62009</c:v>
                </c:pt>
                <c:pt idx="3236">
                  <c:v>62016</c:v>
                </c:pt>
                <c:pt idx="3237">
                  <c:v>62023</c:v>
                </c:pt>
                <c:pt idx="3238">
                  <c:v>62030</c:v>
                </c:pt>
                <c:pt idx="3239">
                  <c:v>62037</c:v>
                </c:pt>
                <c:pt idx="3240">
                  <c:v>62044</c:v>
                </c:pt>
                <c:pt idx="3241">
                  <c:v>62051</c:v>
                </c:pt>
                <c:pt idx="3242">
                  <c:v>62058</c:v>
                </c:pt>
                <c:pt idx="3243">
                  <c:v>62065</c:v>
                </c:pt>
                <c:pt idx="3244">
                  <c:v>62072</c:v>
                </c:pt>
                <c:pt idx="3245">
                  <c:v>62079</c:v>
                </c:pt>
                <c:pt idx="3246">
                  <c:v>62086</c:v>
                </c:pt>
                <c:pt idx="3247">
                  <c:v>62099</c:v>
                </c:pt>
                <c:pt idx="3248">
                  <c:v>62107</c:v>
                </c:pt>
                <c:pt idx="3249">
                  <c:v>62114</c:v>
                </c:pt>
                <c:pt idx="3250">
                  <c:v>62121</c:v>
                </c:pt>
                <c:pt idx="3251">
                  <c:v>62128</c:v>
                </c:pt>
                <c:pt idx="3252">
                  <c:v>62136</c:v>
                </c:pt>
                <c:pt idx="3253">
                  <c:v>62143</c:v>
                </c:pt>
                <c:pt idx="3254">
                  <c:v>62150</c:v>
                </c:pt>
                <c:pt idx="3255">
                  <c:v>62157</c:v>
                </c:pt>
                <c:pt idx="3256">
                  <c:v>62164</c:v>
                </c:pt>
                <c:pt idx="3257">
                  <c:v>62171</c:v>
                </c:pt>
                <c:pt idx="3258">
                  <c:v>62178</c:v>
                </c:pt>
                <c:pt idx="3259">
                  <c:v>62185</c:v>
                </c:pt>
                <c:pt idx="3260">
                  <c:v>62192</c:v>
                </c:pt>
                <c:pt idx="3261">
                  <c:v>62199</c:v>
                </c:pt>
                <c:pt idx="3262">
                  <c:v>62206</c:v>
                </c:pt>
                <c:pt idx="3263">
                  <c:v>62213</c:v>
                </c:pt>
                <c:pt idx="3264">
                  <c:v>62220</c:v>
                </c:pt>
                <c:pt idx="3265">
                  <c:v>62227</c:v>
                </c:pt>
                <c:pt idx="3266">
                  <c:v>62234</c:v>
                </c:pt>
                <c:pt idx="3267">
                  <c:v>62241</c:v>
                </c:pt>
                <c:pt idx="3268">
                  <c:v>62248</c:v>
                </c:pt>
                <c:pt idx="3269">
                  <c:v>62255</c:v>
                </c:pt>
                <c:pt idx="3270">
                  <c:v>62262</c:v>
                </c:pt>
                <c:pt idx="3271">
                  <c:v>62269</c:v>
                </c:pt>
                <c:pt idx="3272">
                  <c:v>62276</c:v>
                </c:pt>
                <c:pt idx="3273">
                  <c:v>62283</c:v>
                </c:pt>
                <c:pt idx="3274">
                  <c:v>62290</c:v>
                </c:pt>
                <c:pt idx="3275">
                  <c:v>62297</c:v>
                </c:pt>
                <c:pt idx="3276">
                  <c:v>62304</c:v>
                </c:pt>
                <c:pt idx="3277">
                  <c:v>62311</c:v>
                </c:pt>
                <c:pt idx="3278">
                  <c:v>62318</c:v>
                </c:pt>
                <c:pt idx="3279">
                  <c:v>62325</c:v>
                </c:pt>
                <c:pt idx="3280">
                  <c:v>62332</c:v>
                </c:pt>
                <c:pt idx="3281">
                  <c:v>62339</c:v>
                </c:pt>
                <c:pt idx="3282">
                  <c:v>62346</c:v>
                </c:pt>
                <c:pt idx="3283">
                  <c:v>62353</c:v>
                </c:pt>
                <c:pt idx="3284">
                  <c:v>62360</c:v>
                </c:pt>
                <c:pt idx="3285">
                  <c:v>62367</c:v>
                </c:pt>
                <c:pt idx="3286">
                  <c:v>62374</c:v>
                </c:pt>
                <c:pt idx="3287">
                  <c:v>62381</c:v>
                </c:pt>
                <c:pt idx="3288">
                  <c:v>62388</c:v>
                </c:pt>
                <c:pt idx="3289">
                  <c:v>62395</c:v>
                </c:pt>
                <c:pt idx="3290">
                  <c:v>62402</c:v>
                </c:pt>
                <c:pt idx="3291">
                  <c:v>62409</c:v>
                </c:pt>
                <c:pt idx="3292">
                  <c:v>62416</c:v>
                </c:pt>
                <c:pt idx="3293">
                  <c:v>62423</c:v>
                </c:pt>
                <c:pt idx="3294">
                  <c:v>62430</c:v>
                </c:pt>
                <c:pt idx="3295">
                  <c:v>62437</c:v>
                </c:pt>
                <c:pt idx="3296">
                  <c:v>62444</c:v>
                </c:pt>
                <c:pt idx="3297">
                  <c:v>62451</c:v>
                </c:pt>
                <c:pt idx="3298">
                  <c:v>62463</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62585</c:v>
                </c:pt>
                <c:pt idx="3316">
                  <c:v>62592</c:v>
                </c:pt>
                <c:pt idx="3317">
                  <c:v>62599</c:v>
                </c:pt>
                <c:pt idx="3318">
                  <c:v>62606</c:v>
                </c:pt>
                <c:pt idx="3319">
                  <c:v>62613</c:v>
                </c:pt>
                <c:pt idx="3320">
                  <c:v>62620</c:v>
                </c:pt>
                <c:pt idx="3321">
                  <c:v>62627</c:v>
                </c:pt>
                <c:pt idx="3322">
                  <c:v>62634</c:v>
                </c:pt>
                <c:pt idx="3323">
                  <c:v>62641</c:v>
                </c:pt>
                <c:pt idx="3324">
                  <c:v>62648</c:v>
                </c:pt>
                <c:pt idx="3325">
                  <c:v>62655</c:v>
                </c:pt>
                <c:pt idx="3326">
                  <c:v>62662</c:v>
                </c:pt>
                <c:pt idx="3327">
                  <c:v>62669</c:v>
                </c:pt>
                <c:pt idx="3328">
                  <c:v>62676</c:v>
                </c:pt>
                <c:pt idx="3329">
                  <c:v>62683</c:v>
                </c:pt>
                <c:pt idx="3330">
                  <c:v>62690</c:v>
                </c:pt>
                <c:pt idx="3331">
                  <c:v>62697</c:v>
                </c:pt>
                <c:pt idx="3332">
                  <c:v>62704</c:v>
                </c:pt>
                <c:pt idx="3333">
                  <c:v>62711</c:v>
                </c:pt>
                <c:pt idx="3334">
                  <c:v>62718</c:v>
                </c:pt>
                <c:pt idx="3335">
                  <c:v>62725</c:v>
                </c:pt>
                <c:pt idx="3336">
                  <c:v>62732</c:v>
                </c:pt>
                <c:pt idx="3337">
                  <c:v>62739</c:v>
                </c:pt>
                <c:pt idx="3338">
                  <c:v>62746</c:v>
                </c:pt>
                <c:pt idx="3339">
                  <c:v>62753</c:v>
                </c:pt>
                <c:pt idx="3340">
                  <c:v>62760</c:v>
                </c:pt>
                <c:pt idx="3341">
                  <c:v>62767</c:v>
                </c:pt>
                <c:pt idx="3342">
                  <c:v>62774</c:v>
                </c:pt>
                <c:pt idx="3343">
                  <c:v>62781</c:v>
                </c:pt>
                <c:pt idx="3344">
                  <c:v>62788</c:v>
                </c:pt>
                <c:pt idx="3345">
                  <c:v>62795</c:v>
                </c:pt>
                <c:pt idx="3346">
                  <c:v>62802</c:v>
                </c:pt>
                <c:pt idx="3347">
                  <c:v>62809</c:v>
                </c:pt>
                <c:pt idx="3348">
                  <c:v>62816</c:v>
                </c:pt>
                <c:pt idx="3349">
                  <c:v>62827</c:v>
                </c:pt>
                <c:pt idx="3350">
                  <c:v>62835</c:v>
                </c:pt>
                <c:pt idx="3351">
                  <c:v>62842</c:v>
                </c:pt>
                <c:pt idx="3352">
                  <c:v>62849</c:v>
                </c:pt>
                <c:pt idx="3353">
                  <c:v>62856</c:v>
                </c:pt>
                <c:pt idx="3354">
                  <c:v>62863</c:v>
                </c:pt>
                <c:pt idx="3355">
                  <c:v>62870</c:v>
                </c:pt>
                <c:pt idx="3356">
                  <c:v>62877</c:v>
                </c:pt>
                <c:pt idx="3357">
                  <c:v>62884</c:v>
                </c:pt>
                <c:pt idx="3358">
                  <c:v>62891</c:v>
                </c:pt>
                <c:pt idx="3359">
                  <c:v>62898</c:v>
                </c:pt>
                <c:pt idx="3360">
                  <c:v>62905</c:v>
                </c:pt>
                <c:pt idx="3361">
                  <c:v>62912</c:v>
                </c:pt>
                <c:pt idx="3362">
                  <c:v>62919</c:v>
                </c:pt>
                <c:pt idx="3363">
                  <c:v>62926</c:v>
                </c:pt>
                <c:pt idx="3364">
                  <c:v>62933</c:v>
                </c:pt>
                <c:pt idx="3365">
                  <c:v>62940</c:v>
                </c:pt>
                <c:pt idx="3366">
                  <c:v>62950</c:v>
                </c:pt>
                <c:pt idx="3367">
                  <c:v>62957</c:v>
                </c:pt>
                <c:pt idx="3368">
                  <c:v>62964</c:v>
                </c:pt>
                <c:pt idx="3369">
                  <c:v>62971</c:v>
                </c:pt>
                <c:pt idx="3370">
                  <c:v>62978</c:v>
                </c:pt>
                <c:pt idx="3371">
                  <c:v>62985</c:v>
                </c:pt>
                <c:pt idx="3372">
                  <c:v>62992</c:v>
                </c:pt>
                <c:pt idx="3373">
                  <c:v>62999</c:v>
                </c:pt>
                <c:pt idx="3374">
                  <c:v>63006</c:v>
                </c:pt>
                <c:pt idx="3375">
                  <c:v>63013</c:v>
                </c:pt>
                <c:pt idx="3376">
                  <c:v>63020</c:v>
                </c:pt>
                <c:pt idx="3377">
                  <c:v>63027</c:v>
                </c:pt>
                <c:pt idx="3378">
                  <c:v>63034</c:v>
                </c:pt>
                <c:pt idx="3379">
                  <c:v>63041</c:v>
                </c:pt>
                <c:pt idx="3380">
                  <c:v>63048</c:v>
                </c:pt>
                <c:pt idx="3381">
                  <c:v>63055</c:v>
                </c:pt>
                <c:pt idx="3382">
                  <c:v>63062</c:v>
                </c:pt>
                <c:pt idx="3383">
                  <c:v>63069</c:v>
                </c:pt>
                <c:pt idx="3384">
                  <c:v>63076</c:v>
                </c:pt>
                <c:pt idx="3385">
                  <c:v>63083</c:v>
                </c:pt>
                <c:pt idx="3386">
                  <c:v>63090</c:v>
                </c:pt>
                <c:pt idx="3387">
                  <c:v>63097</c:v>
                </c:pt>
                <c:pt idx="3388">
                  <c:v>63104</c:v>
                </c:pt>
                <c:pt idx="3389">
                  <c:v>63111</c:v>
                </c:pt>
                <c:pt idx="3390">
                  <c:v>63118</c:v>
                </c:pt>
                <c:pt idx="3391">
                  <c:v>63125</c:v>
                </c:pt>
                <c:pt idx="3392">
                  <c:v>63132</c:v>
                </c:pt>
                <c:pt idx="3393">
                  <c:v>63139</c:v>
                </c:pt>
                <c:pt idx="3394">
                  <c:v>63146</c:v>
                </c:pt>
                <c:pt idx="3395">
                  <c:v>63153</c:v>
                </c:pt>
                <c:pt idx="3396">
                  <c:v>63160</c:v>
                </c:pt>
                <c:pt idx="3397">
                  <c:v>63167</c:v>
                </c:pt>
                <c:pt idx="3398">
                  <c:v>63174</c:v>
                </c:pt>
                <c:pt idx="3399">
                  <c:v>63184</c:v>
                </c:pt>
                <c:pt idx="3400">
                  <c:v>63193</c:v>
                </c:pt>
                <c:pt idx="3401">
                  <c:v>63200</c:v>
                </c:pt>
                <c:pt idx="3402">
                  <c:v>63207</c:v>
                </c:pt>
                <c:pt idx="3403">
                  <c:v>63214</c:v>
                </c:pt>
                <c:pt idx="3404">
                  <c:v>63221</c:v>
                </c:pt>
                <c:pt idx="3405">
                  <c:v>63228</c:v>
                </c:pt>
                <c:pt idx="3406">
                  <c:v>63235</c:v>
                </c:pt>
                <c:pt idx="3407">
                  <c:v>63242</c:v>
                </c:pt>
                <c:pt idx="3408">
                  <c:v>63249</c:v>
                </c:pt>
                <c:pt idx="3409">
                  <c:v>63256</c:v>
                </c:pt>
                <c:pt idx="3410">
                  <c:v>63263</c:v>
                </c:pt>
                <c:pt idx="3411">
                  <c:v>63270</c:v>
                </c:pt>
                <c:pt idx="3412">
                  <c:v>63277</c:v>
                </c:pt>
                <c:pt idx="3413">
                  <c:v>63284</c:v>
                </c:pt>
                <c:pt idx="3414">
                  <c:v>63291</c:v>
                </c:pt>
                <c:pt idx="3415">
                  <c:v>63298</c:v>
                </c:pt>
                <c:pt idx="3416">
                  <c:v>63305</c:v>
                </c:pt>
                <c:pt idx="3417">
                  <c:v>63317</c:v>
                </c:pt>
                <c:pt idx="3418">
                  <c:v>63324</c:v>
                </c:pt>
                <c:pt idx="3419">
                  <c:v>63331</c:v>
                </c:pt>
                <c:pt idx="3420">
                  <c:v>63338</c:v>
                </c:pt>
                <c:pt idx="3421">
                  <c:v>63345</c:v>
                </c:pt>
                <c:pt idx="3422">
                  <c:v>63352</c:v>
                </c:pt>
                <c:pt idx="3423">
                  <c:v>63359</c:v>
                </c:pt>
                <c:pt idx="3424">
                  <c:v>63366</c:v>
                </c:pt>
                <c:pt idx="3425">
                  <c:v>63373</c:v>
                </c:pt>
                <c:pt idx="3426">
                  <c:v>63380</c:v>
                </c:pt>
                <c:pt idx="3427">
                  <c:v>63388</c:v>
                </c:pt>
                <c:pt idx="3428">
                  <c:v>63395</c:v>
                </c:pt>
                <c:pt idx="3429">
                  <c:v>63402</c:v>
                </c:pt>
                <c:pt idx="3430">
                  <c:v>63409</c:v>
                </c:pt>
                <c:pt idx="3431">
                  <c:v>63416</c:v>
                </c:pt>
                <c:pt idx="3432">
                  <c:v>63423</c:v>
                </c:pt>
                <c:pt idx="3433">
                  <c:v>63430</c:v>
                </c:pt>
                <c:pt idx="3434">
                  <c:v>63437</c:v>
                </c:pt>
                <c:pt idx="3435">
                  <c:v>63444</c:v>
                </c:pt>
                <c:pt idx="3436">
                  <c:v>63451</c:v>
                </c:pt>
                <c:pt idx="3437">
                  <c:v>63458</c:v>
                </c:pt>
                <c:pt idx="3438">
                  <c:v>63465</c:v>
                </c:pt>
                <c:pt idx="3439">
                  <c:v>63472</c:v>
                </c:pt>
                <c:pt idx="3440">
                  <c:v>63479</c:v>
                </c:pt>
                <c:pt idx="3441">
                  <c:v>63486</c:v>
                </c:pt>
                <c:pt idx="3442">
                  <c:v>63493</c:v>
                </c:pt>
                <c:pt idx="3443">
                  <c:v>63500</c:v>
                </c:pt>
                <c:pt idx="3444">
                  <c:v>63507</c:v>
                </c:pt>
                <c:pt idx="3445">
                  <c:v>63514</c:v>
                </c:pt>
                <c:pt idx="3446">
                  <c:v>63521</c:v>
                </c:pt>
                <c:pt idx="3447">
                  <c:v>63528</c:v>
                </c:pt>
                <c:pt idx="3448">
                  <c:v>63535</c:v>
                </c:pt>
                <c:pt idx="3449">
                  <c:v>63542</c:v>
                </c:pt>
                <c:pt idx="3450">
                  <c:v>63549</c:v>
                </c:pt>
                <c:pt idx="3451">
                  <c:v>63558</c:v>
                </c:pt>
                <c:pt idx="3452">
                  <c:v>63565</c:v>
                </c:pt>
                <c:pt idx="3453">
                  <c:v>63572</c:v>
                </c:pt>
                <c:pt idx="3454">
                  <c:v>63579</c:v>
                </c:pt>
                <c:pt idx="3455">
                  <c:v>63586</c:v>
                </c:pt>
                <c:pt idx="3456">
                  <c:v>63593</c:v>
                </c:pt>
                <c:pt idx="3457">
                  <c:v>63600</c:v>
                </c:pt>
                <c:pt idx="3458">
                  <c:v>63607</c:v>
                </c:pt>
                <c:pt idx="3459">
                  <c:v>63614</c:v>
                </c:pt>
                <c:pt idx="3460">
                  <c:v>63621</c:v>
                </c:pt>
                <c:pt idx="3461">
                  <c:v>63628</c:v>
                </c:pt>
                <c:pt idx="3462">
                  <c:v>63635</c:v>
                </c:pt>
                <c:pt idx="3463">
                  <c:v>63642</c:v>
                </c:pt>
                <c:pt idx="3464">
                  <c:v>63649</c:v>
                </c:pt>
                <c:pt idx="3465">
                  <c:v>63656</c:v>
                </c:pt>
                <c:pt idx="3466">
                  <c:v>63663</c:v>
                </c:pt>
                <c:pt idx="3467">
                  <c:v>63670</c:v>
                </c:pt>
                <c:pt idx="3468">
                  <c:v>63681</c:v>
                </c:pt>
                <c:pt idx="3469">
                  <c:v>63688</c:v>
                </c:pt>
                <c:pt idx="3470">
                  <c:v>63695</c:v>
                </c:pt>
                <c:pt idx="3471">
                  <c:v>63702</c:v>
                </c:pt>
                <c:pt idx="3472">
                  <c:v>63709</c:v>
                </c:pt>
                <c:pt idx="3473">
                  <c:v>63716</c:v>
                </c:pt>
                <c:pt idx="3474">
                  <c:v>63723</c:v>
                </c:pt>
                <c:pt idx="3475">
                  <c:v>63730</c:v>
                </c:pt>
                <c:pt idx="3476">
                  <c:v>63737</c:v>
                </c:pt>
                <c:pt idx="3477">
                  <c:v>63744</c:v>
                </c:pt>
                <c:pt idx="3478">
                  <c:v>63752</c:v>
                </c:pt>
                <c:pt idx="3479">
                  <c:v>63759</c:v>
                </c:pt>
                <c:pt idx="3480">
                  <c:v>63766</c:v>
                </c:pt>
                <c:pt idx="3481">
                  <c:v>63773</c:v>
                </c:pt>
                <c:pt idx="3482">
                  <c:v>63780</c:v>
                </c:pt>
                <c:pt idx="3483">
                  <c:v>63787</c:v>
                </c:pt>
                <c:pt idx="3484">
                  <c:v>63794</c:v>
                </c:pt>
                <c:pt idx="3485">
                  <c:v>63801</c:v>
                </c:pt>
                <c:pt idx="3486">
                  <c:v>63808</c:v>
                </c:pt>
                <c:pt idx="3487">
                  <c:v>63815</c:v>
                </c:pt>
                <c:pt idx="3488">
                  <c:v>63822</c:v>
                </c:pt>
                <c:pt idx="3489">
                  <c:v>63829</c:v>
                </c:pt>
                <c:pt idx="3490">
                  <c:v>63836</c:v>
                </c:pt>
                <c:pt idx="3491">
                  <c:v>63843</c:v>
                </c:pt>
                <c:pt idx="3492">
                  <c:v>63850</c:v>
                </c:pt>
                <c:pt idx="3493">
                  <c:v>63857</c:v>
                </c:pt>
                <c:pt idx="3494">
                  <c:v>63864</c:v>
                </c:pt>
                <c:pt idx="3495">
                  <c:v>63871</c:v>
                </c:pt>
                <c:pt idx="3496">
                  <c:v>63878</c:v>
                </c:pt>
                <c:pt idx="3497">
                  <c:v>63885</c:v>
                </c:pt>
                <c:pt idx="3498">
                  <c:v>63892</c:v>
                </c:pt>
                <c:pt idx="3499">
                  <c:v>63899</c:v>
                </c:pt>
                <c:pt idx="3500">
                  <c:v>63906</c:v>
                </c:pt>
                <c:pt idx="3501">
                  <c:v>63913</c:v>
                </c:pt>
                <c:pt idx="3502">
                  <c:v>63923</c:v>
                </c:pt>
                <c:pt idx="3503">
                  <c:v>63930</c:v>
                </c:pt>
                <c:pt idx="3504">
                  <c:v>63937</c:v>
                </c:pt>
                <c:pt idx="3505">
                  <c:v>63944</c:v>
                </c:pt>
                <c:pt idx="3506">
                  <c:v>63951</c:v>
                </c:pt>
                <c:pt idx="3507">
                  <c:v>63958</c:v>
                </c:pt>
                <c:pt idx="3508">
                  <c:v>63965</c:v>
                </c:pt>
                <c:pt idx="3509">
                  <c:v>63972</c:v>
                </c:pt>
                <c:pt idx="3510">
                  <c:v>63979</c:v>
                </c:pt>
                <c:pt idx="3511">
                  <c:v>63986</c:v>
                </c:pt>
                <c:pt idx="3512">
                  <c:v>63993</c:v>
                </c:pt>
                <c:pt idx="3513">
                  <c:v>64000</c:v>
                </c:pt>
                <c:pt idx="3514">
                  <c:v>64007</c:v>
                </c:pt>
                <c:pt idx="3515">
                  <c:v>64014</c:v>
                </c:pt>
                <c:pt idx="3516">
                  <c:v>64021</c:v>
                </c:pt>
                <c:pt idx="3517">
                  <c:v>64028</c:v>
                </c:pt>
                <c:pt idx="3518">
                  <c:v>64035</c:v>
                </c:pt>
                <c:pt idx="3519">
                  <c:v>64046</c:v>
                </c:pt>
                <c:pt idx="3520">
                  <c:v>64053</c:v>
                </c:pt>
                <c:pt idx="3521">
                  <c:v>64060</c:v>
                </c:pt>
                <c:pt idx="3522">
                  <c:v>64067</c:v>
                </c:pt>
                <c:pt idx="3523">
                  <c:v>64074</c:v>
                </c:pt>
                <c:pt idx="3524">
                  <c:v>64081</c:v>
                </c:pt>
                <c:pt idx="3525">
                  <c:v>64088</c:v>
                </c:pt>
                <c:pt idx="3526">
                  <c:v>64095</c:v>
                </c:pt>
                <c:pt idx="3527">
                  <c:v>64102</c:v>
                </c:pt>
                <c:pt idx="3528">
                  <c:v>64109</c:v>
                </c:pt>
                <c:pt idx="3529">
                  <c:v>64116</c:v>
                </c:pt>
                <c:pt idx="3530">
                  <c:v>64123</c:v>
                </c:pt>
                <c:pt idx="3531">
                  <c:v>64130</c:v>
                </c:pt>
                <c:pt idx="3532">
                  <c:v>64137</c:v>
                </c:pt>
                <c:pt idx="3533">
                  <c:v>64144</c:v>
                </c:pt>
              </c:numCache>
            </c:numRef>
          </c:cat>
          <c:val>
            <c:numRef>
              <c:f>Monitor!$Z$11:$Z$3544</c:f>
              <c:numCache>
                <c:formatCode>0.0000%</c:formatCode>
                <c:ptCount val="3534"/>
                <c:pt idx="0">
                  <c:v>6.4130110173143962E-4</c:v>
                </c:pt>
                <c:pt idx="1">
                  <c:v>6.4142804824918198E-4</c:v>
                </c:pt>
                <c:pt idx="2">
                  <c:v>6.4167855979069266E-4</c:v>
                </c:pt>
                <c:pt idx="3">
                  <c:v>6.4186728877979604E-4</c:v>
                </c:pt>
                <c:pt idx="4">
                  <c:v>6.4209376361534787E-4</c:v>
                </c:pt>
                <c:pt idx="5">
                  <c:v>6.4235798421630186E-4</c:v>
                </c:pt>
                <c:pt idx="6">
                  <c:v>6.4320896503849978E-4</c:v>
                </c:pt>
                <c:pt idx="7">
                  <c:v>6.442452744315208E-4</c:v>
                </c:pt>
                <c:pt idx="8">
                  <c:v>6.447359699490729E-4</c:v>
                </c:pt>
                <c:pt idx="9">
                  <c:v>6.4526441115098088E-4</c:v>
                </c:pt>
                <c:pt idx="10">
                  <c:v>6.4644825798376726E-4</c:v>
                </c:pt>
                <c:pt idx="11">
                  <c:v>6.4775563434205097E-4</c:v>
                </c:pt>
                <c:pt idx="12">
                  <c:v>6.4847280461410861E-4</c:v>
                </c:pt>
                <c:pt idx="13">
                  <c:v>6.492277207326147E-4</c:v>
                </c:pt>
                <c:pt idx="14">
                  <c:v>6.5002038261652295E-4</c:v>
                </c:pt>
                <c:pt idx="15">
                  <c:v>6.5173268948096985E-4</c:v>
                </c:pt>
                <c:pt idx="16">
                  <c:v>6.5356848829245529E-4</c:v>
                </c:pt>
                <c:pt idx="17">
                  <c:v>6.545498792465132E-4</c:v>
                </c:pt>
                <c:pt idx="18">
                  <c:v>6.5556901596597328E-4</c:v>
                </c:pt>
                <c:pt idx="19">
                  <c:v>6.566258985318818E-4</c:v>
                </c:pt>
                <c:pt idx="20">
                  <c:v>6.5886667237095397E-4</c:v>
                </c:pt>
                <c:pt idx="21">
                  <c:v>6.6123088693581522E-4</c:v>
                </c:pt>
                <c:pt idx="22">
                  <c:v>6.6247649849082713E-4</c:v>
                </c:pt>
                <c:pt idx="23">
                  <c:v>6.6375985589228748E-4</c:v>
                </c:pt>
                <c:pt idx="24">
                  <c:v>6.6504136543854564E-4</c:v>
                </c:pt>
                <c:pt idx="25">
                  <c:v>6.670187354610817E-4</c:v>
                </c:pt>
                <c:pt idx="26">
                  <c:v>6.6832761220214643E-4</c:v>
                </c:pt>
                <c:pt idx="27">
                  <c:v>6.6864963249813059E-4</c:v>
                </c:pt>
                <c:pt idx="28">
                  <c:v>6.68771836025428E-4</c:v>
                </c:pt>
                <c:pt idx="29">
                  <c:v>6.6869422294613123E-4</c:v>
                </c:pt>
                <c:pt idx="30">
                  <c:v>6.678741635561074E-4</c:v>
                </c:pt>
                <c:pt idx="31">
                  <c:v>6.6638560464404861E-4</c:v>
                </c:pt>
                <c:pt idx="32">
                  <c:v>6.6530890861282721E-4</c:v>
                </c:pt>
                <c:pt idx="33">
                  <c:v>6.6403239581291906E-4</c:v>
                </c:pt>
                <c:pt idx="34">
                  <c:v>6.6255606648746301E-4</c:v>
                </c:pt>
                <c:pt idx="35">
                  <c:v>6.5893854213257741E-4</c:v>
                </c:pt>
                <c:pt idx="36">
                  <c:v>6.5465258328178955E-4</c:v>
                </c:pt>
                <c:pt idx="37">
                  <c:v>6.5217717092336258E-4</c:v>
                </c:pt>
                <c:pt idx="38">
                  <c:v>6.4950194203938771E-4</c:v>
                </c:pt>
                <c:pt idx="39">
                  <c:v>6.4662689662986494E-4</c:v>
                </c:pt>
                <c:pt idx="40">
                  <c:v>6.4021187335172602E-4</c:v>
                </c:pt>
                <c:pt idx="41">
                  <c:v>6.3312854900687832E-4</c:v>
                </c:pt>
                <c:pt idx="42">
                  <c:v>6.2925442072647719E-4</c:v>
                </c:pt>
                <c:pt idx="43">
                  <c:v>6.2518047583948189E-4</c:v>
                </c:pt>
                <c:pt idx="44">
                  <c:v>6.2090671450798496E-4</c:v>
                </c:pt>
                <c:pt idx="45">
                  <c:v>6.0922475361963047E-4</c:v>
                </c:pt>
                <c:pt idx="46">
                  <c:v>5.9662803118087915E-4</c:v>
                </c:pt>
                <c:pt idx="47">
                  <c:v>5.9167960000383601E-4</c:v>
                </c:pt>
                <c:pt idx="48">
                  <c:v>5.8705558160898619E-4</c:v>
                </c:pt>
                <c:pt idx="49">
                  <c:v>5.7888983858204557E-4</c:v>
                </c:pt>
                <c:pt idx="50">
                  <c:v>5.7030310331052103E-4</c:v>
                </c:pt>
                <c:pt idx="51">
                  <c:v>5.6612413828815988E-4</c:v>
                </c:pt>
                <c:pt idx="52">
                  <c:v>5.637710089634318E-4</c:v>
                </c:pt>
                <c:pt idx="53">
                  <c:v>5.6014698534519647E-4</c:v>
                </c:pt>
                <c:pt idx="54">
                  <c:v>5.5760261818971202E-4</c:v>
                </c:pt>
                <c:pt idx="55">
                  <c:v>5.5687155212758022E-4</c:v>
                </c:pt>
                <c:pt idx="56">
                  <c:v>5.5646489884764172E-4</c:v>
                </c:pt>
                <c:pt idx="57">
                  <c:v>5.5638265818780397E-4</c:v>
                </c:pt>
                <c:pt idx="58">
                  <c:v>5.5730040336247444E-4</c:v>
                </c:pt>
                <c:pt idx="59">
                  <c:v>5.592978222357381E-4</c:v>
                </c:pt>
                <c:pt idx="60">
                  <c:v>5.6083764500058919E-4</c:v>
                </c:pt>
                <c:pt idx="61">
                  <c:v>5.6270188038554103E-4</c:v>
                </c:pt>
                <c:pt idx="62">
                  <c:v>5.648905284716399E-4</c:v>
                </c:pt>
                <c:pt idx="63">
                  <c:v>5.7198555666937434E-4</c:v>
                </c:pt>
                <c:pt idx="64">
                  <c:v>5.8063244519290791E-4</c:v>
                </c:pt>
                <c:pt idx="65">
                  <c:v>5.843624842893913E-4</c:v>
                </c:pt>
                <c:pt idx="66">
                  <c:v>5.8801185080947782E-4</c:v>
                </c:pt>
                <c:pt idx="67">
                  <c:v>5.9504264552071961E-4</c:v>
                </c:pt>
                <c:pt idx="68">
                  <c:v>6.0180259161213279E-4</c:v>
                </c:pt>
                <c:pt idx="69">
                  <c:v>6.0504859549337375E-4</c:v>
                </c:pt>
                <c:pt idx="70">
                  <c:v>6.0821392671717156E-4</c:v>
                </c:pt>
                <c:pt idx="71">
                  <c:v>6.1129858544561877E-4</c:v>
                </c:pt>
                <c:pt idx="72">
                  <c:v>6.1720003805554324E-4</c:v>
                </c:pt>
                <c:pt idx="73">
                  <c:v>6.2283049483857766E-4</c:v>
                </c:pt>
                <c:pt idx="74">
                  <c:v>6.2551179076608676E-4</c:v>
                </c:pt>
                <c:pt idx="75">
                  <c:v>6.2811241419824526E-4</c:v>
                </c:pt>
                <c:pt idx="76">
                  <c:v>6.306323649729606E-4</c:v>
                </c:pt>
                <c:pt idx="77">
                  <c:v>6.3653054426543454E-4</c:v>
                </c:pt>
                <c:pt idx="78">
                  <c:v>6.4202203052476925E-4</c:v>
                </c:pt>
                <c:pt idx="79">
                  <c:v>6.440579459221496E-4</c:v>
                </c:pt>
                <c:pt idx="80">
                  <c:v>6.4601318874313307E-4</c:v>
                </c:pt>
                <c:pt idx="81">
                  <c:v>6.496559220843986E-4</c:v>
                </c:pt>
                <c:pt idx="82">
                  <c:v>6.5302743426309817E-4</c:v>
                </c:pt>
                <c:pt idx="83">
                  <c:v>6.5457931412105097E-4</c:v>
                </c:pt>
                <c:pt idx="84">
                  <c:v>6.5605052148365317E-4</c:v>
                </c:pt>
                <c:pt idx="85">
                  <c:v>6.5744105626985849E-4</c:v>
                </c:pt>
                <c:pt idx="86">
                  <c:v>6.5957381589432107E-4</c:v>
                </c:pt>
                <c:pt idx="87">
                  <c:v>6.6063180871323013E-4</c:v>
                </c:pt>
                <c:pt idx="88">
                  <c:v>6.6060406535561889E-4</c:v>
                </c:pt>
                <c:pt idx="89">
                  <c:v>6.6024192066693743E-4</c:v>
                </c:pt>
                <c:pt idx="90">
                  <c:v>6.5954537472823205E-4</c:v>
                </c:pt>
                <c:pt idx="91">
                  <c:v>6.5613377195988809E-4</c:v>
                </c:pt>
                <c:pt idx="92">
                  <c:v>6.5104662409609659E-4</c:v>
                </c:pt>
                <c:pt idx="93">
                  <c:v>6.4834366984678482E-4</c:v>
                </c:pt>
                <c:pt idx="94">
                  <c:v>6.453063144284954E-4</c:v>
                </c:pt>
                <c:pt idx="95">
                  <c:v>6.3811804787428106E-4</c:v>
                </c:pt>
                <c:pt idx="96">
                  <c:v>6.2981287912045048E-4</c:v>
                </c:pt>
                <c:pt idx="97">
                  <c:v>6.2510351712785628E-4</c:v>
                </c:pt>
                <c:pt idx="98">
                  <c:v>6.2005975380419187E-4</c:v>
                </c:pt>
                <c:pt idx="99">
                  <c:v>6.1468158923050353E-4</c:v>
                </c:pt>
                <c:pt idx="100">
                  <c:v>6.0281158482222718E-4</c:v>
                </c:pt>
                <c:pt idx="101">
                  <c:v>5.8982491859760344E-4</c:v>
                </c:pt>
                <c:pt idx="102">
                  <c:v>5.827747480169343E-4</c:v>
                </c:pt>
                <c:pt idx="103">
                  <c:v>5.753901762672875E-4</c:v>
                </c:pt>
                <c:pt idx="104">
                  <c:v>5.6767120334866306E-4</c:v>
                </c:pt>
                <c:pt idx="105">
                  <c:v>5.5111941921241292E-4</c:v>
                </c:pt>
                <c:pt idx="106">
                  <c:v>5.3358408629189391E-4</c:v>
                </c:pt>
                <c:pt idx="107">
                  <c:v>5.2498982132109795E-4</c:v>
                </c:pt>
                <c:pt idx="108">
                  <c:v>5.1685786881194851E-4</c:v>
                </c:pt>
                <c:pt idx="109">
                  <c:v>5.0918822844026046E-4</c:v>
                </c:pt>
                <c:pt idx="110">
                  <c:v>4.9539066083921968E-4</c:v>
                </c:pt>
                <c:pt idx="111">
                  <c:v>4.8045406574159788E-4</c:v>
                </c:pt>
                <c:pt idx="112">
                  <c:v>4.7287894255565455E-4</c:v>
                </c:pt>
                <c:pt idx="113">
                  <c:v>4.6844548738933511E-4</c:v>
                </c:pt>
                <c:pt idx="114">
                  <c:v>4.6112019983242847E-4</c:v>
                </c:pt>
                <c:pt idx="115">
                  <c:v>4.5533478736925481E-4</c:v>
                </c:pt>
                <c:pt idx="116">
                  <c:v>4.5060636615505228E-4</c:v>
                </c:pt>
                <c:pt idx="117">
                  <c:v>4.501900756348487E-4</c:v>
                </c:pt>
                <c:pt idx="118">
                  <c:v>4.513043649023718E-4</c:v>
                </c:pt>
                <c:pt idx="119">
                  <c:v>4.5288096614526374E-4</c:v>
                </c:pt>
                <c:pt idx="120">
                  <c:v>4.5491987936352452E-4</c:v>
                </c:pt>
                <c:pt idx="121">
                  <c:v>4.6232960125319744E-4</c:v>
                </c:pt>
                <c:pt idx="122">
                  <c:v>4.7204912662524023E-4</c:v>
                </c:pt>
                <c:pt idx="123">
                  <c:v>4.7677360358711063E-4</c:v>
                </c:pt>
                <c:pt idx="124">
                  <c:v>4.815188491447131E-4</c:v>
                </c:pt>
                <c:pt idx="125">
                  <c:v>4.9078486691630141E-4</c:v>
                </c:pt>
                <c:pt idx="126">
                  <c:v>4.9982443138363308E-4</c:v>
                </c:pt>
                <c:pt idx="127">
                  <c:v>5.0423197678339804E-4</c:v>
                </c:pt>
                <c:pt idx="128">
                  <c:v>5.0857198226506029E-4</c:v>
                </c:pt>
                <c:pt idx="129">
                  <c:v>5.128444475044347E-4</c:v>
                </c:pt>
                <c:pt idx="130">
                  <c:v>5.2116498884665263E-4</c:v>
                </c:pt>
                <c:pt idx="131">
                  <c:v>5.2925890838939615E-4</c:v>
                </c:pt>
                <c:pt idx="132">
                  <c:v>5.3319367347093305E-4</c:v>
                </c:pt>
                <c:pt idx="133">
                  <c:v>5.3706089847227467E-4</c:v>
                </c:pt>
                <c:pt idx="134">
                  <c:v>5.4086058339342102E-4</c:v>
                </c:pt>
                <c:pt idx="135">
                  <c:v>5.48235643146322E-4</c:v>
                </c:pt>
                <c:pt idx="136">
                  <c:v>5.5538392243814627E-4</c:v>
                </c:pt>
                <c:pt idx="137">
                  <c:v>5.5884590703936254E-4</c:v>
                </c:pt>
                <c:pt idx="138">
                  <c:v>5.6224035156038354E-4</c:v>
                </c:pt>
                <c:pt idx="139">
                  <c:v>5.6556725592016299E-4</c:v>
                </c:pt>
                <c:pt idx="140">
                  <c:v>5.7199682760004466E-4</c:v>
                </c:pt>
                <c:pt idx="141">
                  <c:v>5.7819947280046691E-4</c:v>
                </c:pt>
                <c:pt idx="142">
                  <c:v>5.8264997386370254E-4</c:v>
                </c:pt>
                <c:pt idx="143">
                  <c:v>5.8696446459838292E-4</c:v>
                </c:pt>
                <c:pt idx="144">
                  <c:v>5.9244854020867887E-4</c:v>
                </c:pt>
                <c:pt idx="145">
                  <c:v>5.9770555899008038E-4</c:v>
                </c:pt>
                <c:pt idx="146">
                  <c:v>6.0022198230647028E-4</c:v>
                </c:pt>
                <c:pt idx="147">
                  <c:v>6.0267086554266491E-4</c:v>
                </c:pt>
                <c:pt idx="148">
                  <c:v>6.0505220869866427E-4</c:v>
                </c:pt>
                <c:pt idx="149">
                  <c:v>6.0959077937831441E-4</c:v>
                </c:pt>
                <c:pt idx="150">
                  <c:v>6.1390218027757015E-4</c:v>
                </c:pt>
                <c:pt idx="151">
                  <c:v>6.1594582287050059E-4</c:v>
                </c:pt>
                <c:pt idx="152">
                  <c:v>6.1792192538323576E-4</c:v>
                </c:pt>
                <c:pt idx="153">
                  <c:v>6.1983048773472937E-4</c:v>
                </c:pt>
                <c:pt idx="154">
                  <c:v>6.2342354370414921E-4</c:v>
                </c:pt>
                <c:pt idx="155">
                  <c:v>6.2678933625770483E-4</c:v>
                </c:pt>
                <c:pt idx="156">
                  <c:v>6.2836019812717581E-4</c:v>
                </c:pt>
                <c:pt idx="157">
                  <c:v>6.2986351983540523E-4</c:v>
                </c:pt>
                <c:pt idx="158">
                  <c:v>6.312993013823931E-4</c:v>
                </c:pt>
                <c:pt idx="159">
                  <c:v>6.3394683199750434E-4</c:v>
                </c:pt>
                <c:pt idx="160">
                  <c:v>6.3636702668734557E-4</c:v>
                </c:pt>
                <c:pt idx="161">
                  <c:v>6.3746510767126452E-4</c:v>
                </c:pt>
                <c:pt idx="162">
                  <c:v>6.3849564857498819E-4</c:v>
                </c:pt>
                <c:pt idx="163">
                  <c:v>6.394586493985166E-4</c:v>
                </c:pt>
                <c:pt idx="164">
                  <c:v>6.4116064344791712E-4</c:v>
                </c:pt>
                <c:pt idx="165">
                  <c:v>6.4263525124230725E-4</c:v>
                </c:pt>
                <c:pt idx="166">
                  <c:v>6.4326055142172045E-4</c:v>
                </c:pt>
                <c:pt idx="167">
                  <c:v>6.438183114398921E-4</c:v>
                </c:pt>
                <c:pt idx="168">
                  <c:v>6.4430853137786848E-4</c:v>
                </c:pt>
                <c:pt idx="169">
                  <c:v>6.4506497746104807E-4</c:v>
                </c:pt>
                <c:pt idx="170">
                  <c:v>6.455940097604973E-4</c:v>
                </c:pt>
                <c:pt idx="171">
                  <c:v>6.4574652905435848E-4</c:v>
                </c:pt>
                <c:pt idx="172">
                  <c:v>6.458315081869781E-4</c:v>
                </c:pt>
                <c:pt idx="173">
                  <c:v>6.4584894732044873E-4</c:v>
                </c:pt>
                <c:pt idx="174">
                  <c:v>6.4565983373972757E-4</c:v>
                </c:pt>
                <c:pt idx="175">
                  <c:v>6.4524330216086945E-4</c:v>
                </c:pt>
                <c:pt idx="176">
                  <c:v>6.449230405691786E-4</c:v>
                </c:pt>
                <c:pt idx="177">
                  <c:v>6.4453523889729247E-4</c:v>
                </c:pt>
                <c:pt idx="178">
                  <c:v>6.440798970641648E-4</c:v>
                </c:pt>
                <c:pt idx="179">
                  <c:v>6.4294521217589395E-4</c:v>
                </c:pt>
                <c:pt idx="180">
                  <c:v>6.4158312844342369E-4</c:v>
                </c:pt>
                <c:pt idx="181">
                  <c:v>6.4079008604722709E-4</c:v>
                </c:pt>
                <c:pt idx="182">
                  <c:v>6.3992950340874266E-4</c:v>
                </c:pt>
                <c:pt idx="183">
                  <c:v>6.3900138077110924E-4</c:v>
                </c:pt>
                <c:pt idx="184">
                  <c:v>6.3692111303970133E-4</c:v>
                </c:pt>
                <c:pt idx="185">
                  <c:v>6.3461348877025259E-4</c:v>
                </c:pt>
                <c:pt idx="186">
                  <c:v>6.3336173447448019E-4</c:v>
                </c:pt>
                <c:pt idx="187">
                  <c:v>6.3211278494734735E-4</c:v>
                </c:pt>
                <c:pt idx="188">
                  <c:v>6.3088070925587658E-4</c:v>
                </c:pt>
                <c:pt idx="189">
                  <c:v>6.2847388606771903E-4</c:v>
                </c:pt>
                <c:pt idx="190">
                  <c:v>6.2612114460347534E-4</c:v>
                </c:pt>
                <c:pt idx="191">
                  <c:v>6.2497343792822235E-4</c:v>
                </c:pt>
                <c:pt idx="192">
                  <c:v>6.2384260508863143E-4</c:v>
                </c:pt>
                <c:pt idx="193">
                  <c:v>6.2272864608470258E-4</c:v>
                </c:pt>
                <c:pt idx="194">
                  <c:v>6.205580290670939E-4</c:v>
                </c:pt>
                <c:pt idx="195">
                  <c:v>6.1844154793933015E-4</c:v>
                </c:pt>
                <c:pt idx="196">
                  <c:v>6.169061212057958E-4</c:v>
                </c:pt>
                <c:pt idx="197">
                  <c:v>6.1540339940213684E-4</c:v>
                </c:pt>
                <c:pt idx="198">
                  <c:v>6.120780058125701E-4</c:v>
                </c:pt>
                <c:pt idx="199">
                  <c:v>6.089049691271331E-4</c:v>
                </c:pt>
                <c:pt idx="200">
                  <c:v>6.0720677371691367E-4</c:v>
                </c:pt>
                <c:pt idx="201">
                  <c:v>6.0556280407686458E-4</c:v>
                </c:pt>
                <c:pt idx="202">
                  <c:v>6.0476944730214477E-4</c:v>
                </c:pt>
                <c:pt idx="203">
                  <c:v>6.0399296436308703E-4</c:v>
                </c:pt>
                <c:pt idx="204">
                  <c:v>6.0323335525969135E-4</c:v>
                </c:pt>
                <c:pt idx="205">
                  <c:v>6.0177137507018885E-4</c:v>
                </c:pt>
                <c:pt idx="206">
                  <c:v>6.0036365671645164E-4</c:v>
                </c:pt>
                <c:pt idx="207">
                  <c:v>5.9968841654822747E-4</c:v>
                </c:pt>
                <c:pt idx="208">
                  <c:v>5.9903005021566536E-4</c:v>
                </c:pt>
                <c:pt idx="209">
                  <c:v>5.9838855771876531E-4</c:v>
                </c:pt>
                <c:pt idx="210">
                  <c:v>5.9716279566764585E-4</c:v>
                </c:pt>
                <c:pt idx="211">
                  <c:v>5.9599132560150814E-4</c:v>
                </c:pt>
                <c:pt idx="212">
                  <c:v>5.9543420212082587E-4</c:v>
                </c:pt>
                <c:pt idx="213">
                  <c:v>5.948939523947594E-4</c:v>
                </c:pt>
                <c:pt idx="214">
                  <c:v>5.9437057658540127E-4</c:v>
                </c:pt>
                <c:pt idx="215">
                  <c:v>5.9338103537420761E-4</c:v>
                </c:pt>
                <c:pt idx="216">
                  <c:v>5.9244581089412662E-4</c:v>
                </c:pt>
                <c:pt idx="217">
                  <c:v>5.9200680401993999E-4</c:v>
                </c:pt>
                <c:pt idx="218">
                  <c:v>5.9158467090036915E-4</c:v>
                </c:pt>
                <c:pt idx="219">
                  <c:v>5.9117941161646037E-4</c:v>
                </c:pt>
                <c:pt idx="220">
                  <c:v>5.9042609413584312E-4</c:v>
                </c:pt>
                <c:pt idx="221">
                  <c:v>5.8972711243221454E-4</c:v>
                </c:pt>
                <c:pt idx="222">
                  <c:v>5.8940622224556982E-4</c:v>
                </c:pt>
                <c:pt idx="223">
                  <c:v>5.8910220565144833E-4</c:v>
                </c:pt>
                <c:pt idx="224">
                  <c:v>5.8881506297403519E-4</c:v>
                </c:pt>
                <c:pt idx="225">
                  <c:v>5.8829797184449073E-4</c:v>
                </c:pt>
                <c:pt idx="226">
                  <c:v>5.8783523029681817E-4</c:v>
                </c:pt>
                <c:pt idx="227">
                  <c:v>5.876324566356228E-4</c:v>
                </c:pt>
                <c:pt idx="228">
                  <c:v>5.8744655672904322E-4</c:v>
                </c:pt>
                <c:pt idx="229">
                  <c:v>5.8727753065812571E-4</c:v>
                </c:pt>
                <c:pt idx="230">
                  <c:v>5.8699666850015053E-4</c:v>
                </c:pt>
                <c:pt idx="231">
                  <c:v>5.8677016432584495E-4</c:v>
                </c:pt>
                <c:pt idx="232">
                  <c:v>5.8668550727114521E-4</c:v>
                </c:pt>
                <c:pt idx="233">
                  <c:v>5.8661772405210755E-4</c:v>
                </c:pt>
                <c:pt idx="234">
                  <c:v>5.8656681450663939E-4</c:v>
                </c:pt>
                <c:pt idx="235">
                  <c:v>5.8652218407580692E-4</c:v>
                </c:pt>
                <c:pt idx="236">
                  <c:v>5.8653191460034115E-4</c:v>
                </c:pt>
                <c:pt idx="237">
                  <c:v>5.8656537415213705E-4</c:v>
                </c:pt>
                <c:pt idx="238">
                  <c:v>5.8661570753959502E-4</c:v>
                </c:pt>
                <c:pt idx="239">
                  <c:v>5.8668291468166878E-4</c:v>
                </c:pt>
                <c:pt idx="240">
                  <c:v>5.8687451854444472E-4</c:v>
                </c:pt>
                <c:pt idx="241">
                  <c:v>5.8712048120135307E-4</c:v>
                </c:pt>
                <c:pt idx="242">
                  <c:v>5.8727205735964461E-4</c:v>
                </c:pt>
                <c:pt idx="243">
                  <c:v>5.8744050727255193E-4</c:v>
                </c:pt>
                <c:pt idx="244">
                  <c:v>5.8762583102112131E-4</c:v>
                </c:pt>
                <c:pt idx="245">
                  <c:v>5.8805367193307911E-4</c:v>
                </c:pt>
                <c:pt idx="246">
                  <c:v>5.8853586404783442E-4</c:v>
                </c:pt>
                <c:pt idx="247">
                  <c:v>5.8880234365177309E-4</c:v>
                </c:pt>
                <c:pt idx="248">
                  <c:v>5.8906963153027014E-4</c:v>
                </c:pt>
                <c:pt idx="249">
                  <c:v>5.8933451452247709E-4</c:v>
                </c:pt>
                <c:pt idx="250">
                  <c:v>5.8998612822075414E-4</c:v>
                </c:pt>
                <c:pt idx="251">
                  <c:v>5.9062285659439162E-4</c:v>
                </c:pt>
                <c:pt idx="252">
                  <c:v>5.9087331043095048E-4</c:v>
                </c:pt>
                <c:pt idx="253">
                  <c:v>5.9112135938121924E-4</c:v>
                </c:pt>
                <c:pt idx="254">
                  <c:v>5.9161039996073294E-4</c:v>
                </c:pt>
                <c:pt idx="255">
                  <c:v>5.9208950656253201E-4</c:v>
                </c:pt>
                <c:pt idx="256">
                  <c:v>5.923255311623965E-4</c:v>
                </c:pt>
                <c:pt idx="257">
                  <c:v>5.9255915087597089E-4</c:v>
                </c:pt>
                <c:pt idx="258">
                  <c:v>5.9279036578430144E-4</c:v>
                </c:pt>
                <c:pt idx="259">
                  <c:v>5.9324574354794701E-4</c:v>
                </c:pt>
                <c:pt idx="260">
                  <c:v>5.9369117671681515E-4</c:v>
                </c:pt>
                <c:pt idx="261">
                  <c:v>5.9391036727474145E-4</c:v>
                </c:pt>
                <c:pt idx="262">
                  <c:v>5.9412715286533135E-4</c:v>
                </c:pt>
                <c:pt idx="263">
                  <c:v>5.9434153373172371E-4</c:v>
                </c:pt>
                <c:pt idx="264">
                  <c:v>5.9476324832830063E-4</c:v>
                </c:pt>
                <c:pt idx="265">
                  <c:v>5.9517500841543836E-4</c:v>
                </c:pt>
                <c:pt idx="266">
                  <c:v>5.9537736493142646E-4</c:v>
                </c:pt>
                <c:pt idx="267">
                  <c:v>5.9557731648007817E-4</c:v>
                </c:pt>
                <c:pt idx="268">
                  <c:v>5.9577486330453233E-4</c:v>
                </c:pt>
                <c:pt idx="269">
                  <c:v>5.961629142747783E-4</c:v>
                </c:pt>
                <c:pt idx="270">
                  <c:v>5.9654100165840163E-4</c:v>
                </c:pt>
                <c:pt idx="271">
                  <c:v>5.9672652405140525E-4</c:v>
                </c:pt>
                <c:pt idx="272">
                  <c:v>5.9690964163916505E-4</c:v>
                </c:pt>
                <c:pt idx="273">
                  <c:v>5.9709035434063473E-4</c:v>
                </c:pt>
                <c:pt idx="274">
                  <c:v>5.9744474138738002E-4</c:v>
                </c:pt>
                <c:pt idx="275">
                  <c:v>5.9778915644570496E-4</c:v>
                </c:pt>
                <c:pt idx="276">
                  <c:v>5.9795784479677039E-4</c:v>
                </c:pt>
                <c:pt idx="277">
                  <c:v>5.9812412834259199E-4</c:v>
                </c:pt>
                <c:pt idx="278">
                  <c:v>5.982880069210772E-4</c:v>
                </c:pt>
                <c:pt idx="279">
                  <c:v>5.986087296661059E-4</c:v>
                </c:pt>
                <c:pt idx="280">
                  <c:v>5.9891947277734836E-4</c:v>
                </c:pt>
                <c:pt idx="281">
                  <c:v>5.9907132708647559E-4</c:v>
                </c:pt>
                <c:pt idx="282">
                  <c:v>5.9922077650931271E-4</c:v>
                </c:pt>
                <c:pt idx="283">
                  <c:v>5.9936782104585973E-4</c:v>
                </c:pt>
                <c:pt idx="284">
                  <c:v>5.9965487913797122E-4</c:v>
                </c:pt>
                <c:pt idx="285">
                  <c:v>5.9993195065333182E-4</c:v>
                </c:pt>
                <c:pt idx="286">
                  <c:v>6.0006697092052086E-4</c:v>
                </c:pt>
                <c:pt idx="287">
                  <c:v>6.001995862203735E-4</c:v>
                </c:pt>
                <c:pt idx="288">
                  <c:v>6.003297967960286E-4</c:v>
                </c:pt>
                <c:pt idx="289">
                  <c:v>6.005831897489452E-4</c:v>
                </c:pt>
                <c:pt idx="290">
                  <c:v>6.0082659015470163E-4</c:v>
                </c:pt>
                <c:pt idx="291">
                  <c:v>6.0094477621785991E-4</c:v>
                </c:pt>
                <c:pt idx="292">
                  <c:v>6.0106055755682064E-4</c:v>
                </c:pt>
                <c:pt idx="293">
                  <c:v>6.0117393400949126E-4</c:v>
                </c:pt>
                <c:pt idx="294">
                  <c:v>6.0155078461336209E-4</c:v>
                </c:pt>
                <c:pt idx="295">
                  <c:v>6.0190023276729399E-4</c:v>
                </c:pt>
                <c:pt idx="296">
                  <c:v>6.0208629449628093E-4</c:v>
                </c:pt>
                <c:pt idx="297">
                  <c:v>6.0226235362836888E-4</c:v>
                </c:pt>
                <c:pt idx="298">
                  <c:v>6.0234687160765077E-4</c:v>
                </c:pt>
                <c:pt idx="299">
                  <c:v>6.0242898486273511E-4</c:v>
                </c:pt>
                <c:pt idx="300">
                  <c:v>6.0250869315048305E-4</c:v>
                </c:pt>
                <c:pt idx="301">
                  <c:v>6.0266108857861178E-4</c:v>
                </c:pt>
                <c:pt idx="302">
                  <c:v>6.0280347768171261E-4</c:v>
                </c:pt>
                <c:pt idx="303">
                  <c:v>6.0287116170010258E-4</c:v>
                </c:pt>
                <c:pt idx="304">
                  <c:v>6.0293644075115616E-4</c:v>
                </c:pt>
                <c:pt idx="305">
                  <c:v>6.0299931499696591E-4</c:v>
                </c:pt>
                <c:pt idx="306">
                  <c:v>6.0314597128130476E-4</c:v>
                </c:pt>
                <c:pt idx="307">
                  <c:v>6.0327761317480189E-4</c:v>
                </c:pt>
                <c:pt idx="308">
                  <c:v>6.0332605826496355E-4</c:v>
                </c:pt>
                <c:pt idx="309">
                  <c:v>6.0337209846883511E-4</c:v>
                </c:pt>
                <c:pt idx="310">
                  <c:v>6.0345716024164575E-4</c:v>
                </c:pt>
                <c:pt idx="311">
                  <c:v>6.0353221042142025E-4</c:v>
                </c:pt>
                <c:pt idx="312">
                  <c:v>6.0356622627488754E-4</c:v>
                </c:pt>
                <c:pt idx="313">
                  <c:v>6.0359783732311101E-4</c:v>
                </c:pt>
                <c:pt idx="314">
                  <c:v>6.0362704340399809E-4</c:v>
                </c:pt>
                <c:pt idx="315">
                  <c:v>6.0367843782234887E-4</c:v>
                </c:pt>
                <c:pt idx="316">
                  <c:v>6.0371981918883044E-4</c:v>
                </c:pt>
                <c:pt idx="317">
                  <c:v>6.0373700091931326E-4</c:v>
                </c:pt>
                <c:pt idx="318">
                  <c:v>6.0375177784455225E-4</c:v>
                </c:pt>
                <c:pt idx="319">
                  <c:v>6.0376414988350113E-4</c:v>
                </c:pt>
                <c:pt idx="320">
                  <c:v>6.0378187654216064E-4</c:v>
                </c:pt>
                <c:pt idx="321">
                  <c:v>6.0379026263046587E-4</c:v>
                </c:pt>
                <c:pt idx="322">
                  <c:v>6.0378787999137984E-4</c:v>
                </c:pt>
                <c:pt idx="323">
                  <c:v>6.0378341790734424E-4</c:v>
                </c:pt>
                <c:pt idx="324">
                  <c:v>6.0376747640108108E-4</c:v>
                </c:pt>
                <c:pt idx="325">
                  <c:v>6.0374152119457847E-4</c:v>
                </c:pt>
                <c:pt idx="326">
                  <c:v>6.0372503484118489E-4</c:v>
                </c:pt>
                <c:pt idx="327">
                  <c:v>6.0370614360150121E-4</c:v>
                </c:pt>
                <c:pt idx="328">
                  <c:v>6.036848475565737E-4</c:v>
                </c:pt>
                <c:pt idx="329">
                  <c:v>6.0363523739911018E-4</c:v>
                </c:pt>
                <c:pt idx="330">
                  <c:v>6.0357561451396258E-4</c:v>
                </c:pt>
                <c:pt idx="331">
                  <c:v>6.0354229403758453E-4</c:v>
                </c:pt>
                <c:pt idx="332">
                  <c:v>6.0350656883700893E-4</c:v>
                </c:pt>
                <c:pt idx="333">
                  <c:v>6.0346843866909694E-4</c:v>
                </c:pt>
                <c:pt idx="334">
                  <c:v>6.0336258501325624E-4</c:v>
                </c:pt>
                <c:pt idx="335">
                  <c:v>6.032417148593705E-4</c:v>
                </c:pt>
                <c:pt idx="336">
                  <c:v>6.0318915553581043E-4</c:v>
                </c:pt>
                <c:pt idx="337">
                  <c:v>6.0313419132596024E-4</c:v>
                </c:pt>
                <c:pt idx="338">
                  <c:v>6.0301724292055614E-4</c:v>
                </c:pt>
                <c:pt idx="339">
                  <c:v>6.0289028578575099E-4</c:v>
                </c:pt>
                <c:pt idx="340">
                  <c:v>6.0282329722549655E-4</c:v>
                </c:pt>
                <c:pt idx="341">
                  <c:v>6.0275390385999827E-4</c:v>
                </c:pt>
                <c:pt idx="342">
                  <c:v>6.0268210552716361E-4</c:v>
                </c:pt>
                <c:pt idx="343">
                  <c:v>6.02531487389942E-4</c:v>
                </c:pt>
                <c:pt idx="344">
                  <c:v>6.0237086373815529E-4</c:v>
                </c:pt>
                <c:pt idx="345">
                  <c:v>6.0228704113596265E-4</c:v>
                </c:pt>
                <c:pt idx="346">
                  <c:v>6.022008136474799E-4</c:v>
                </c:pt>
                <c:pt idx="347">
                  <c:v>6.0211218135375333E-4</c:v>
                </c:pt>
                <c:pt idx="348">
                  <c:v>6.0192789302545202E-4</c:v>
                </c:pt>
                <c:pt idx="349">
                  <c:v>6.0173360323489966E-4</c:v>
                </c:pt>
                <c:pt idx="350">
                  <c:v>6.0163294659076882E-4</c:v>
                </c:pt>
                <c:pt idx="351">
                  <c:v>6.015298849793016E-4</c:v>
                </c:pt>
                <c:pt idx="352">
                  <c:v>6.0142441856259055E-4</c:v>
                </c:pt>
                <c:pt idx="353">
                  <c:v>6.012064598270862E-4</c:v>
                </c:pt>
                <c:pt idx="354">
                  <c:v>6.0097850427598409E-4</c:v>
                </c:pt>
                <c:pt idx="355">
                  <c:v>6.0080156018604836E-4</c:v>
                </c:pt>
                <c:pt idx="356">
                  <c:v>6.0061881747786039E-4</c:v>
                </c:pt>
                <c:pt idx="357">
                  <c:v>6.0036718776782893E-4</c:v>
                </c:pt>
                <c:pt idx="358">
                  <c:v>6.0010556694245487E-4</c:v>
                </c:pt>
                <c:pt idx="359">
                  <c:v>5.9997124205235508E-4</c:v>
                </c:pt>
                <c:pt idx="360">
                  <c:v>5.9955340323480932E-4</c:v>
                </c:pt>
                <c:pt idx="361">
                  <c:v>5.9911479099117315E-4</c:v>
                </c:pt>
                <c:pt idx="362">
                  <c:v>5.9896363214018145E-4</c:v>
                </c:pt>
                <c:pt idx="363">
                  <c:v>5.9881006840289963E-4</c:v>
                </c:pt>
                <c:pt idx="364">
                  <c:v>5.9865409977932771E-4</c:v>
                </c:pt>
                <c:pt idx="365">
                  <c:v>5.9825362477894384E-4</c:v>
                </c:pt>
                <c:pt idx="366">
                  <c:v>5.9783818377234788E-4</c:v>
                </c:pt>
                <c:pt idx="367">
                  <c:v>5.9766778591208158E-4</c:v>
                </c:pt>
                <c:pt idx="368">
                  <c:v>5.9749592362656756E-4</c:v>
                </c:pt>
                <c:pt idx="369">
                  <c:v>5.9716208664776604E-4</c:v>
                </c:pt>
                <c:pt idx="370">
                  <c:v>5.9683708698243798E-4</c:v>
                </c:pt>
                <c:pt idx="371">
                  <c:v>5.9668047144745273E-4</c:v>
                </c:pt>
                <c:pt idx="372">
                  <c:v>5.9652709314406138E-4</c:v>
                </c:pt>
                <c:pt idx="373">
                  <c:v>5.9637695231540278E-4</c:v>
                </c:pt>
                <c:pt idx="374">
                  <c:v>5.9608843552531421E-4</c:v>
                </c:pt>
                <c:pt idx="375">
                  <c:v>5.9580876309972552E-4</c:v>
                </c:pt>
                <c:pt idx="376">
                  <c:v>5.9567480932054551E-4</c:v>
                </c:pt>
                <c:pt idx="377">
                  <c:v>5.9554409293505195E-4</c:v>
                </c:pt>
                <c:pt idx="378">
                  <c:v>5.9541661402429114E-4</c:v>
                </c:pt>
                <c:pt idx="379">
                  <c:v>5.9517341785516231E-4</c:v>
                </c:pt>
                <c:pt idx="380">
                  <c:v>5.9493907215601993E-4</c:v>
                </c:pt>
                <c:pt idx="381">
                  <c:v>5.9482778021369143E-4</c:v>
                </c:pt>
                <c:pt idx="382">
                  <c:v>5.9471972566504938E-4</c:v>
                </c:pt>
                <c:pt idx="383">
                  <c:v>5.946149085100938E-4</c:v>
                </c:pt>
                <c:pt idx="384">
                  <c:v>5.9441703366432585E-4</c:v>
                </c:pt>
                <c:pt idx="385">
                  <c:v>5.942280141513212E-4</c:v>
                </c:pt>
                <c:pt idx="386">
                  <c:v>5.9413938404584421E-4</c:v>
                </c:pt>
                <c:pt idx="387">
                  <c:v>5.9401339703502032E-4</c:v>
                </c:pt>
                <c:pt idx="388">
                  <c:v>5.9381928292578945E-4</c:v>
                </c:pt>
                <c:pt idx="389">
                  <c:v>5.9367558900458306E-4</c:v>
                </c:pt>
                <c:pt idx="390">
                  <c:v>5.9360962073595758E-4</c:v>
                </c:pt>
                <c:pt idx="391">
                  <c:v>5.9354688994206484E-4</c:v>
                </c:pt>
                <c:pt idx="392">
                  <c:v>5.9348739654185856E-4</c:v>
                </c:pt>
                <c:pt idx="393">
                  <c:v>5.9338016566656837E-4</c:v>
                </c:pt>
                <c:pt idx="394">
                  <c:v>5.9328179687789806E-4</c:v>
                </c:pt>
                <c:pt idx="395">
                  <c:v>5.9323849044612409E-4</c:v>
                </c:pt>
                <c:pt idx="396">
                  <c:v>5.9319842148908286E-4</c:v>
                </c:pt>
                <c:pt idx="397">
                  <c:v>5.9316158992572809E-4</c:v>
                </c:pt>
                <c:pt idx="398">
                  <c:v>5.9309968183263184E-4</c:v>
                </c:pt>
                <c:pt idx="399">
                  <c:v>5.9304663760917364E-4</c:v>
                </c:pt>
                <c:pt idx="400">
                  <c:v>5.9302599309529747E-4</c:v>
                </c:pt>
                <c:pt idx="401">
                  <c:v>5.9300858597510775E-4</c:v>
                </c:pt>
                <c:pt idx="402">
                  <c:v>5.9299441624860449E-4</c:v>
                </c:pt>
                <c:pt idx="403">
                  <c:v>5.9297783147801064E-4</c:v>
                </c:pt>
                <c:pt idx="404">
                  <c:v>5.9297011136050237E-4</c:v>
                </c:pt>
                <c:pt idx="405">
                  <c:v>5.9297212868347771E-4</c:v>
                </c:pt>
                <c:pt idx="406">
                  <c:v>5.929773834001395E-4</c:v>
                </c:pt>
                <c:pt idx="407">
                  <c:v>5.9298587551048776E-4</c:v>
                </c:pt>
                <c:pt idx="408">
                  <c:v>5.930146145486741E-4</c:v>
                </c:pt>
                <c:pt idx="409">
                  <c:v>5.9305221805083796E-4</c:v>
                </c:pt>
                <c:pt idx="410">
                  <c:v>5.9307689712961853E-4</c:v>
                </c:pt>
                <c:pt idx="411">
                  <c:v>5.9310481376417812E-4</c:v>
                </c:pt>
                <c:pt idx="412">
                  <c:v>5.9313596771137789E-4</c:v>
                </c:pt>
                <c:pt idx="413">
                  <c:v>5.932314859199983E-4</c:v>
                </c:pt>
                <c:pt idx="414">
                  <c:v>5.933402985958125E-4</c:v>
                </c:pt>
                <c:pt idx="415">
                  <c:v>5.933908770672236E-4</c:v>
                </c:pt>
                <c:pt idx="416">
                  <c:v>5.9344469285127488E-4</c:v>
                </c:pt>
                <c:pt idx="417">
                  <c:v>5.9356408110093173E-4</c:v>
                </c:pt>
                <c:pt idx="418">
                  <c:v>5.9369233016748346E-4</c:v>
                </c:pt>
                <c:pt idx="419">
                  <c:v>5.9376233300101333E-4</c:v>
                </c:pt>
                <c:pt idx="420">
                  <c:v>5.9383557330927594E-4</c:v>
                </c:pt>
                <c:pt idx="421">
                  <c:v>5.9391205093017874E-4</c:v>
                </c:pt>
                <c:pt idx="422">
                  <c:v>5.940767645555105E-4</c:v>
                </c:pt>
                <c:pt idx="423">
                  <c:v>5.9425033567483965E-4</c:v>
                </c:pt>
                <c:pt idx="424">
                  <c:v>5.9434300034522103E-4</c:v>
                </c:pt>
                <c:pt idx="425">
                  <c:v>5.9443890249033515E-4</c:v>
                </c:pt>
                <c:pt idx="426">
                  <c:v>5.9453804194808946E-4</c:v>
                </c:pt>
                <c:pt idx="427">
                  <c:v>5.9474808146238922E-4</c:v>
                </c:pt>
                <c:pt idx="428">
                  <c:v>5.949669741212027E-4</c:v>
                </c:pt>
                <c:pt idx="429">
                  <c:v>5.9508230062843559E-4</c:v>
                </c:pt>
                <c:pt idx="430">
                  <c:v>5.9520086452935494E-4</c:v>
                </c:pt>
                <c:pt idx="431">
                  <c:v>5.9532266598605332E-4</c:v>
                </c:pt>
                <c:pt idx="432">
                  <c:v>5.9557803182156799E-4</c:v>
                </c:pt>
                <c:pt idx="433">
                  <c:v>5.9584224542552633E-4</c:v>
                </c:pt>
                <c:pt idx="434">
                  <c:v>5.9598023385065702E-4</c:v>
                </c:pt>
                <c:pt idx="435">
                  <c:v>5.9612145966947416E-4</c:v>
                </c:pt>
                <c:pt idx="436">
                  <c:v>5.9626592280093149E-4</c:v>
                </c:pt>
                <c:pt idx="437">
                  <c:v>5.9656661566006208E-4</c:v>
                </c:pt>
                <c:pt idx="438">
                  <c:v>5.9687614974990311E-4</c:v>
                </c:pt>
                <c:pt idx="439">
                  <c:v>5.970368000118853E-4</c:v>
                </c:pt>
                <c:pt idx="440">
                  <c:v>5.9720068766755396E-4</c:v>
                </c:pt>
                <c:pt idx="441">
                  <c:v>5.9762806158408788E-4</c:v>
                </c:pt>
                <c:pt idx="442">
                  <c:v>5.9834836384914381E-4</c:v>
                </c:pt>
                <c:pt idx="443">
                  <c:v>5.990196837479812E-4</c:v>
                </c:pt>
                <c:pt idx="444">
                  <c:v>5.9941985721567725E-4</c:v>
                </c:pt>
                <c:pt idx="445">
                  <c:v>5.996258310703162E-4</c:v>
                </c:pt>
                <c:pt idx="446">
                  <c:v>5.9983504248073416E-4</c:v>
                </c:pt>
                <c:pt idx="447">
                  <c:v>6.0004749128483859E-4</c:v>
                </c:pt>
                <c:pt idx="448">
                  <c:v>6.0048416799740611E-4</c:v>
                </c:pt>
                <c:pt idx="449">
                  <c:v>6.0092966035707462E-4</c:v>
                </c:pt>
                <c:pt idx="450">
                  <c:v>6.0115829612961136E-4</c:v>
                </c:pt>
                <c:pt idx="451">
                  <c:v>6.0139016929583455E-4</c:v>
                </c:pt>
                <c:pt idx="452">
                  <c:v>6.0162527993679049E-4</c:v>
                </c:pt>
                <c:pt idx="453">
                  <c:v>6.0210728572614636E-4</c:v>
                </c:pt>
                <c:pt idx="454">
                  <c:v>6.0259809643747886E-4</c:v>
                </c:pt>
                <c:pt idx="455">
                  <c:v>6.028493940468671E-4</c:v>
                </c:pt>
                <c:pt idx="456">
                  <c:v>6.0310392913098809E-4</c:v>
                </c:pt>
                <c:pt idx="457">
                  <c:v>6.0336170152774926E-4</c:v>
                </c:pt>
                <c:pt idx="458">
                  <c:v>6.0388903698823293E-4</c:v>
                </c:pt>
                <c:pt idx="459">
                  <c:v>6.0442516545688996E-4</c:v>
                </c:pt>
                <c:pt idx="460">
                  <c:v>6.04699124984176E-4</c:v>
                </c:pt>
                <c:pt idx="461">
                  <c:v>6.0497632182410221E-4</c:v>
                </c:pt>
                <c:pt idx="462">
                  <c:v>6.0525675621980746E-4</c:v>
                </c:pt>
                <c:pt idx="463">
                  <c:v>6.0582942170261955E-4</c:v>
                </c:pt>
                <c:pt idx="464">
                  <c:v>6.064108674963542E-4</c:v>
                </c:pt>
                <c:pt idx="465">
                  <c:v>6.0670748877944547E-4</c:v>
                </c:pt>
                <c:pt idx="466">
                  <c:v>6.0700734753726948E-4</c:v>
                </c:pt>
                <c:pt idx="467">
                  <c:v>6.0731044376982624E-4</c:v>
                </c:pt>
                <c:pt idx="468">
                  <c:v>6.0792843992333689E-4</c:v>
                </c:pt>
                <c:pt idx="469">
                  <c:v>6.0855520239377903E-4</c:v>
                </c:pt>
                <c:pt idx="470">
                  <c:v>6.0887448559476809E-4</c:v>
                </c:pt>
                <c:pt idx="471">
                  <c:v>6.0919700618944361E-4</c:v>
                </c:pt>
                <c:pt idx="472">
                  <c:v>6.095227641778056E-4</c:v>
                </c:pt>
                <c:pt idx="473">
                  <c:v>6.1018609167740056E-4</c:v>
                </c:pt>
                <c:pt idx="474">
                  <c:v>6.10858170311257E-4</c:v>
                </c:pt>
                <c:pt idx="475">
                  <c:v>6.1120011534909757E-4</c:v>
                </c:pt>
                <c:pt idx="476">
                  <c:v>6.1154529786167089E-4</c:v>
                </c:pt>
                <c:pt idx="477">
                  <c:v>6.1189371768688439E-4</c:v>
                </c:pt>
                <c:pt idx="478">
                  <c:v>6.1260237693779496E-4</c:v>
                </c:pt>
                <c:pt idx="479">
                  <c:v>6.1331977124878811E-4</c:v>
                </c:pt>
                <c:pt idx="480">
                  <c:v>6.136843781234802E-4</c:v>
                </c:pt>
                <c:pt idx="481">
                  <c:v>6.1405222239185875E-4</c:v>
                </c:pt>
                <c:pt idx="482">
                  <c:v>6.1442330413497004E-4</c:v>
                </c:pt>
                <c:pt idx="483">
                  <c:v>6.1517729573153568E-4</c:v>
                </c:pt>
                <c:pt idx="484">
                  <c:v>6.1594000504427981E-4</c:v>
                </c:pt>
                <c:pt idx="485">
                  <c:v>6.1632727375582341E-4</c:v>
                </c:pt>
                <c:pt idx="486">
                  <c:v>6.1671777994209975E-4</c:v>
                </c:pt>
                <c:pt idx="487">
                  <c:v>6.1711152352206256E-4</c:v>
                </c:pt>
                <c:pt idx="488">
                  <c:v>6.1791084805862273E-4</c:v>
                </c:pt>
                <c:pt idx="489">
                  <c:v>6.1871887185982466E-4</c:v>
                </c:pt>
                <c:pt idx="490">
                  <c:v>6.1912880240821977E-4</c:v>
                </c:pt>
                <c:pt idx="491">
                  <c:v>6.1954197043134762E-4</c:v>
                </c:pt>
                <c:pt idx="492">
                  <c:v>6.1995767974165616E-4</c:v>
                </c:pt>
                <c:pt idx="493">
                  <c:v>6.2099558228168039E-4</c:v>
                </c:pt>
                <c:pt idx="494">
                  <c:v>6.2202561936119949E-4</c:v>
                </c:pt>
                <c:pt idx="495">
                  <c:v>6.224363897922025E-4</c:v>
                </c:pt>
                <c:pt idx="496">
                  <c:v>6.2284622105890364E-4</c:v>
                </c:pt>
                <c:pt idx="497">
                  <c:v>6.2366381856008668E-4</c:v>
                </c:pt>
                <c:pt idx="498">
                  <c:v>6.2447615432059678E-4</c:v>
                </c:pt>
                <c:pt idx="499">
                  <c:v>6.2488128976578849E-4</c:v>
                </c:pt>
                <c:pt idx="500">
                  <c:v>6.2528548596563205E-4</c:v>
                </c:pt>
                <c:pt idx="501">
                  <c:v>6.2568874300117372E-4</c:v>
                </c:pt>
                <c:pt idx="502">
                  <c:v>6.2649320192768409E-4</c:v>
                </c:pt>
                <c:pt idx="503">
                  <c:v>6.2729237958136785E-4</c:v>
                </c:pt>
                <c:pt idx="504">
                  <c:v>6.2769094087644639E-4</c:v>
                </c:pt>
                <c:pt idx="505">
                  <c:v>6.2808856292617676E-4</c:v>
                </c:pt>
                <c:pt idx="506">
                  <c:v>6.2848524581160525E-4</c:v>
                </c:pt>
                <c:pt idx="507">
                  <c:v>6.2927656597433501E-4</c:v>
                </c:pt>
                <c:pt idx="508">
                  <c:v>6.3006258571030038E-4</c:v>
                </c:pt>
                <c:pt idx="509">
                  <c:v>6.3045457277421946E-4</c:v>
                </c:pt>
                <c:pt idx="510">
                  <c:v>6.3084562067383665E-4</c:v>
                </c:pt>
                <c:pt idx="511">
                  <c:v>6.3123572940915196E-4</c:v>
                </c:pt>
                <c:pt idx="512">
                  <c:v>6.3201391064600842E-4</c:v>
                </c:pt>
                <c:pt idx="513">
                  <c:v>6.3278677262634808E-4</c:v>
                </c:pt>
                <c:pt idx="514">
                  <c:v>6.3317218545910769E-4</c:v>
                </c:pt>
                <c:pt idx="515">
                  <c:v>6.3355665920861171E-4</c:v>
                </c:pt>
                <c:pt idx="516">
                  <c:v>6.3394019379381383E-4</c:v>
                </c:pt>
                <c:pt idx="517">
                  <c:v>6.3470523599673545E-4</c:v>
                </c:pt>
                <c:pt idx="518">
                  <c:v>6.3735054202651586E-4</c:v>
                </c:pt>
                <c:pt idx="519">
                  <c:v>6.3994982868131889E-4</c:v>
                </c:pt>
                <c:pt idx="520">
                  <c:v>6.425030960151753E-4</c:v>
                </c:pt>
                <c:pt idx="521">
                  <c:v>6.4518796848128668E-4</c:v>
                </c:pt>
                <c:pt idx="522">
                  <c:v>6.4747157261198696E-4</c:v>
                </c:pt>
                <c:pt idx="523">
                  <c:v>6.498867818749422E-4</c:v>
                </c:pt>
                <c:pt idx="524">
                  <c:v>6.5242374785029478E-4</c:v>
                </c:pt>
                <c:pt idx="525">
                  <c:v>6.5457914232995118E-4</c:v>
                </c:pt>
                <c:pt idx="526">
                  <c:v>6.5685629352200503E-4</c:v>
                </c:pt>
                <c:pt idx="527">
                  <c:v>6.5908742533908149E-4</c:v>
                </c:pt>
                <c:pt idx="528">
                  <c:v>6.6127253778118056E-4</c:v>
                </c:pt>
                <c:pt idx="529">
                  <c:v>6.6341163084830223E-4</c:v>
                </c:pt>
                <c:pt idx="530">
                  <c:v>6.6550470456746191E-4</c:v>
                </c:pt>
                <c:pt idx="531">
                  <c:v>6.6755175888462881E-4</c:v>
                </c:pt>
                <c:pt idx="532">
                  <c:v>6.6955279382681831E-4</c:v>
                </c:pt>
                <c:pt idx="533">
                  <c:v>6.7150780939403043E-4</c:v>
                </c:pt>
                <c:pt idx="534">
                  <c:v>6.7341680558626515E-4</c:v>
                </c:pt>
                <c:pt idx="535">
                  <c:v>6.7580267074651701E-4</c:v>
                </c:pt>
                <c:pt idx="536">
                  <c:v>6.7811339268586401E-4</c:v>
                </c:pt>
                <c:pt idx="537">
                  <c:v>6.7985802742587254E-4</c:v>
                </c:pt>
                <c:pt idx="538">
                  <c:v>6.8155664295299623E-4</c:v>
                </c:pt>
                <c:pt idx="539">
                  <c:v>6.8320923918618881E-4</c:v>
                </c:pt>
                <c:pt idx="540">
                  <c:v>6.8481581620649656E-4</c:v>
                </c:pt>
                <c:pt idx="541">
                  <c:v>6.8637637401391949E-4</c:v>
                </c:pt>
                <c:pt idx="542">
                  <c:v>6.8789091260845758E-4</c:v>
                </c:pt>
                <c:pt idx="543">
                  <c:v>6.8935943182801829E-4</c:v>
                </c:pt>
                <c:pt idx="544">
                  <c:v>6.9078193191574044E-4</c:v>
                </c:pt>
                <c:pt idx="545">
                  <c:v>6.9215841270953149E-4</c:v>
                </c:pt>
                <c:pt idx="546">
                  <c:v>6.9348887429043771E-4</c:v>
                </c:pt>
                <c:pt idx="547">
                  <c:v>6.9477331665845909E-4</c:v>
                </c:pt>
                <c:pt idx="548">
                  <c:v>6.9601173981359565E-4</c:v>
                </c:pt>
                <c:pt idx="549">
                  <c:v>6.9720414359375482E-4</c:v>
                </c:pt>
                <c:pt idx="550">
                  <c:v>6.9835052824207544E-4</c:v>
                </c:pt>
                <c:pt idx="551">
                  <c:v>6.9945089367751123E-4</c:v>
                </c:pt>
                <c:pt idx="552">
                  <c:v>7.0050523973796963E-4</c:v>
                </c:pt>
                <c:pt idx="553">
                  <c:v>7.022056250727271E-4</c:v>
                </c:pt>
                <c:pt idx="554">
                  <c:v>7.0313506187580366E-4</c:v>
                </c:pt>
                <c:pt idx="555">
                  <c:v>7.0401847930390282E-4</c:v>
                </c:pt>
                <c:pt idx="556">
                  <c:v>7.0485587760016344E-4</c:v>
                </c:pt>
                <c:pt idx="557">
                  <c:v>7.0564725660249294E-4</c:v>
                </c:pt>
                <c:pt idx="558">
                  <c:v>7.0639261639193762E-4</c:v>
                </c:pt>
                <c:pt idx="559">
                  <c:v>7.0709195688745119E-4</c:v>
                </c:pt>
                <c:pt idx="560">
                  <c:v>7.0774527817007993E-4</c:v>
                </c:pt>
                <c:pt idx="561">
                  <c:v>7.0835258015877756E-4</c:v>
                </c:pt>
                <c:pt idx="562">
                  <c:v>7.0891386293459036E-4</c:v>
                </c:pt>
                <c:pt idx="563">
                  <c:v>7.0959887258359444E-4</c:v>
                </c:pt>
                <c:pt idx="564">
                  <c:v>7.1061177700615374E-4</c:v>
                </c:pt>
                <c:pt idx="565">
                  <c:v>7.1206011724167517E-4</c:v>
                </c:pt>
                <c:pt idx="566">
                  <c:v>7.1394389312806616E-4</c:v>
                </c:pt>
                <c:pt idx="567">
                  <c:v>7.1626310490846556E-4</c:v>
                </c:pt>
                <c:pt idx="568">
                  <c:v>7.1901775250182709E-4</c:v>
                </c:pt>
                <c:pt idx="569">
                  <c:v>7.2220783582710446E-4</c:v>
                </c:pt>
                <c:pt idx="570">
                  <c:v>7.2583335496534396E-4</c:v>
                </c:pt>
                <c:pt idx="571">
                  <c:v>7.2989430999759186E-4</c:v>
                </c:pt>
                <c:pt idx="572">
                  <c:v>7.3439070084280189E-4</c:v>
                </c:pt>
                <c:pt idx="573">
                  <c:v>7.3932252750097405E-4</c:v>
                </c:pt>
                <c:pt idx="574">
                  <c:v>7.4468979005315461E-4</c:v>
                </c:pt>
                <c:pt idx="575">
                  <c:v>7.5049248858038986E-4</c:v>
                </c:pt>
                <c:pt idx="576">
                  <c:v>7.5673062292058724E-4</c:v>
                </c:pt>
                <c:pt idx="577">
                  <c:v>7.6340419331688558E-4</c:v>
                </c:pt>
                <c:pt idx="578">
                  <c:v>7.7051319960719233E-4</c:v>
                </c:pt>
                <c:pt idx="579">
                  <c:v>7.7805764187255377E-4</c:v>
                </c:pt>
                <c:pt idx="580">
                  <c:v>7.8603752019401618E-4</c:v>
                </c:pt>
                <c:pt idx="581">
                  <c:v>7.9445283449053328E-4</c:v>
                </c:pt>
                <c:pt idx="582">
                  <c:v>8.0330358492419762E-4</c:v>
                </c:pt>
                <c:pt idx="583">
                  <c:v>8.1258977149500922E-4</c:v>
                </c:pt>
                <c:pt idx="584">
                  <c:v>8.2231139412192178E-4</c:v>
                </c:pt>
                <c:pt idx="585">
                  <c:v>8.3246845296702787E-4</c:v>
                </c:pt>
                <c:pt idx="586">
                  <c:v>8.4306094803032749E-4</c:v>
                </c:pt>
                <c:pt idx="587">
                  <c:v>8.5731969495794758E-4</c:v>
                </c:pt>
                <c:pt idx="588">
                  <c:v>8.6890747287515779E-4</c:v>
                </c:pt>
                <c:pt idx="589">
                  <c:v>8.809306871726541E-4</c:v>
                </c:pt>
                <c:pt idx="590">
                  <c:v>8.9338933793148279E-4</c:v>
                </c:pt>
                <c:pt idx="591">
                  <c:v>9.0628342498955128E-4</c:v>
                </c:pt>
                <c:pt idx="592">
                  <c:v>9.1961294858999842E-4</c:v>
                </c:pt>
                <c:pt idx="593">
                  <c:v>9.3337790873282422E-4</c:v>
                </c:pt>
                <c:pt idx="594">
                  <c:v>9.4757830541802868E-4</c:v>
                </c:pt>
                <c:pt idx="595">
                  <c:v>9.6221413872665806E-4</c:v>
                </c:pt>
                <c:pt idx="596">
                  <c:v>9.7728540873975867E-4</c:v>
                </c:pt>
                <c:pt idx="597">
                  <c:v>9.9279211545733048E-4</c:v>
                </c:pt>
                <c:pt idx="598">
                  <c:v>1.0087342589604198E-3</c:v>
                </c:pt>
                <c:pt idx="599">
                  <c:v>1.0251118393300729E-3</c:v>
                </c:pt>
                <c:pt idx="600">
                  <c:v>1.0419248565662897E-3</c:v>
                </c:pt>
                <c:pt idx="601">
                  <c:v>1.0591733107501167E-3</c:v>
                </c:pt>
                <c:pt idx="602">
                  <c:v>1.0768572019625999E-3</c:v>
                </c:pt>
                <c:pt idx="603">
                  <c:v>1.0949765302847858E-3</c:v>
                </c:pt>
                <c:pt idx="604">
                  <c:v>1.1243295213336779E-3</c:v>
                </c:pt>
                <c:pt idx="605">
                  <c:v>1.1435685452776401E-3</c:v>
                </c:pt>
                <c:pt idx="606">
                  <c:v>1.1632430065744437E-3</c:v>
                </c:pt>
                <c:pt idx="607">
                  <c:v>1.183352905305135E-3</c:v>
                </c:pt>
                <c:pt idx="608">
                  <c:v>1.2038982414697141E-3</c:v>
                </c:pt>
                <c:pt idx="609">
                  <c:v>1.2248790152302735E-3</c:v>
                </c:pt>
                <c:pt idx="610">
                  <c:v>1.246295226505767E-3</c:v>
                </c:pt>
                <c:pt idx="611">
                  <c:v>1.2681468755393333E-3</c:v>
                </c:pt>
                <c:pt idx="612">
                  <c:v>1.2904339623309724E-3</c:v>
                </c:pt>
                <c:pt idx="613">
                  <c:v>1.3131564868806844E-3</c:v>
                </c:pt>
                <c:pt idx="614">
                  <c:v>1.3396568716417256E-3</c:v>
                </c:pt>
                <c:pt idx="615">
                  <c:v>1.3630765712924209E-3</c:v>
                </c:pt>
                <c:pt idx="616">
                  <c:v>1.3865188728867661E-3</c:v>
                </c:pt>
                <c:pt idx="617">
                  <c:v>1.4099837764247614E-3</c:v>
                </c:pt>
                <c:pt idx="618">
                  <c:v>1.4334712819064066E-3</c:v>
                </c:pt>
                <c:pt idx="619">
                  <c:v>1.4569813893317018E-3</c:v>
                </c:pt>
                <c:pt idx="620">
                  <c:v>1.4805140986196008E-3</c:v>
                </c:pt>
                <c:pt idx="621">
                  <c:v>1.5040694099321961E-3</c:v>
                </c:pt>
                <c:pt idx="622">
                  <c:v>1.5276473232694876E-3</c:v>
                </c:pt>
                <c:pt idx="623">
                  <c:v>1.5512478384693829E-3</c:v>
                </c:pt>
                <c:pt idx="624">
                  <c:v>1.5748709556939744E-3</c:v>
                </c:pt>
                <c:pt idx="625">
                  <c:v>1.5985166748622159E-3</c:v>
                </c:pt>
                <c:pt idx="626">
                  <c:v>1.6221849960551538E-3</c:v>
                </c:pt>
                <c:pt idx="627">
                  <c:v>1.6458759191917416E-3</c:v>
                </c:pt>
                <c:pt idx="628">
                  <c:v>1.6695894442719794E-3</c:v>
                </c:pt>
                <c:pt idx="629">
                  <c:v>1.6933255713769135E-3</c:v>
                </c:pt>
                <c:pt idx="630">
                  <c:v>1.7170843005065439E-3</c:v>
                </c:pt>
                <c:pt idx="631">
                  <c:v>1.7408656316608706E-3</c:v>
                </c:pt>
                <c:pt idx="632">
                  <c:v>1.764669564677801E-3</c:v>
                </c:pt>
                <c:pt idx="633">
                  <c:v>1.7884960998815203E-3</c:v>
                </c:pt>
                <c:pt idx="634">
                  <c:v>1.8123452370288895E-3</c:v>
                </c:pt>
                <c:pt idx="635">
                  <c:v>1.8362169761199088E-3</c:v>
                </c:pt>
                <c:pt idx="636">
                  <c:v>1.8601113172356243E-3</c:v>
                </c:pt>
                <c:pt idx="637">
                  <c:v>1.8840282604570824E-3</c:v>
                </c:pt>
                <c:pt idx="638">
                  <c:v>1.9216679645628345E-3</c:v>
                </c:pt>
                <c:pt idx="639">
                  <c:v>1.9473619982166013E-3</c:v>
                </c:pt>
                <c:pt idx="640">
                  <c:v>1.969641203439787E-3</c:v>
                </c:pt>
                <c:pt idx="641">
                  <c:v>1.9936617310482392E-3</c:v>
                </c:pt>
                <c:pt idx="642">
                  <c:v>2.0177048641123463E-3</c:v>
                </c:pt>
                <c:pt idx="643">
                  <c:v>2.0434963038262755E-3</c:v>
                </c:pt>
                <c:pt idx="644">
                  <c:v>2.0658589466615584E-3</c:v>
                </c:pt>
                <c:pt idx="645">
                  <c:v>2.0899698962006941E-3</c:v>
                </c:pt>
                <c:pt idx="646">
                  <c:v>2.1141034512225008E-3</c:v>
                </c:pt>
                <c:pt idx="647">
                  <c:v>2.1382596118080244E-3</c:v>
                </c:pt>
                <c:pt idx="648">
                  <c:v>2.1624383779032348E-3</c:v>
                </c:pt>
                <c:pt idx="649">
                  <c:v>2.1866397495621621E-3</c:v>
                </c:pt>
                <c:pt idx="650">
                  <c:v>2.2108637267848064E-3</c:v>
                </c:pt>
                <c:pt idx="651">
                  <c:v>2.2351103096251994E-3</c:v>
                </c:pt>
                <c:pt idx="652">
                  <c:v>2.2593794980293089E-3</c:v>
                </c:pt>
                <c:pt idx="653">
                  <c:v>2.2836712920241515E-3</c:v>
                </c:pt>
                <c:pt idx="654">
                  <c:v>2.3097307419955859E-3</c:v>
                </c:pt>
                <c:pt idx="655">
                  <c:v>2.342744571544042E-3</c:v>
                </c:pt>
                <c:pt idx="656">
                  <c:v>2.3671135561509349E-3</c:v>
                </c:pt>
                <c:pt idx="657">
                  <c:v>2.3915051428635703E-3</c:v>
                </c:pt>
                <c:pt idx="658">
                  <c:v>2.4159193317629946E-3</c:v>
                </c:pt>
                <c:pt idx="659">
                  <c:v>2.4403561226871151E-3</c:v>
                </c:pt>
                <c:pt idx="660">
                  <c:v>2.4648155158790708E-3</c:v>
                </c:pt>
                <c:pt idx="661">
                  <c:v>2.4892975110957227E-3</c:v>
                </c:pt>
                <c:pt idx="662">
                  <c:v>2.5138021084181172E-3</c:v>
                </c:pt>
                <c:pt idx="663">
                  <c:v>2.5383293080083469E-3</c:v>
                </c:pt>
                <c:pt idx="664">
                  <c:v>2.5628791097043191E-3</c:v>
                </c:pt>
                <c:pt idx="665">
                  <c:v>2.5874536348113875E-3</c:v>
                </c:pt>
                <c:pt idx="666">
                  <c:v>2.6124050063214277E-3</c:v>
                </c:pt>
                <c:pt idx="667">
                  <c:v>2.6380026198835616E-3</c:v>
                </c:pt>
                <c:pt idx="668">
                  <c:v>2.664246475497789E-3</c:v>
                </c:pt>
                <c:pt idx="669">
                  <c:v>2.691136573407249E-3</c:v>
                </c:pt>
                <c:pt idx="670">
                  <c:v>2.7186729136929877E-3</c:v>
                </c:pt>
                <c:pt idx="671">
                  <c:v>2.7468554965170977E-3</c:v>
                </c:pt>
                <c:pt idx="672">
                  <c:v>2.7756843221227179E-3</c:v>
                </c:pt>
                <c:pt idx="673">
                  <c:v>2.8051593904288019E-3</c:v>
                </c:pt>
                <c:pt idx="674">
                  <c:v>2.8352807018405812E-3</c:v>
                </c:pt>
                <c:pt idx="675">
                  <c:v>2.8660482563580558E-3</c:v>
                </c:pt>
                <c:pt idx="676">
                  <c:v>2.8974620542243645E-3</c:v>
                </c:pt>
                <c:pt idx="677">
                  <c:v>2.9295220956015999E-3</c:v>
                </c:pt>
                <c:pt idx="678">
                  <c:v>2.9622283805708083E-3</c:v>
                </c:pt>
                <c:pt idx="679">
                  <c:v>2.9955809094561747E-3</c:v>
                </c:pt>
                <c:pt idx="680">
                  <c:v>3.0295796823387455E-3</c:v>
                </c:pt>
                <c:pt idx="681">
                  <c:v>3.0642246993806133E-3</c:v>
                </c:pt>
                <c:pt idx="682">
                  <c:v>3.0995159607438705E-3</c:v>
                </c:pt>
                <c:pt idx="683">
                  <c:v>3.1354534667527023E-3</c:v>
                </c:pt>
                <c:pt idx="684">
                  <c:v>3.172037217488155E-3</c:v>
                </c:pt>
                <c:pt idx="685">
                  <c:v>3.2092672131933675E-3</c:v>
                </c:pt>
                <c:pt idx="686">
                  <c:v>3.2471434540304323E-3</c:v>
                </c:pt>
                <c:pt idx="687">
                  <c:v>3.2856659402424881E-3</c:v>
                </c:pt>
                <c:pt idx="688">
                  <c:v>3.3248346719916277E-3</c:v>
                </c:pt>
                <c:pt idx="689">
                  <c:v>3.399291132134552E-3</c:v>
                </c:pt>
                <c:pt idx="690">
                  <c:v>3.4462183426497983E-3</c:v>
                </c:pt>
                <c:pt idx="691">
                  <c:v>3.4879720587355223E-3</c:v>
                </c:pt>
                <c:pt idx="692">
                  <c:v>3.5303720214119316E-3</c:v>
                </c:pt>
                <c:pt idx="693">
                  <c:v>3.5734182310032114E-3</c:v>
                </c:pt>
                <c:pt idx="694">
                  <c:v>3.6234052220374124E-3</c:v>
                </c:pt>
                <c:pt idx="695">
                  <c:v>3.6678362469788617E-3</c:v>
                </c:pt>
                <c:pt idx="696">
                  <c:v>3.7129135196456442E-3</c:v>
                </c:pt>
                <c:pt idx="697">
                  <c:v>3.75863704003776E-3</c:v>
                </c:pt>
                <c:pt idx="698">
                  <c:v>3.8050068085604405E-3</c:v>
                </c:pt>
                <c:pt idx="699">
                  <c:v>3.8520228252947319E-3</c:v>
                </c:pt>
                <c:pt idx="700">
                  <c:v>3.8996850906458658E-3</c:v>
                </c:pt>
                <c:pt idx="701">
                  <c:v>3.9479936048569808E-3</c:v>
                </c:pt>
                <c:pt idx="702">
                  <c:v>3.9969483680901696E-3</c:v>
                </c:pt>
                <c:pt idx="703">
                  <c:v>4.0465493806696173E-3</c:v>
                </c:pt>
                <c:pt idx="704">
                  <c:v>4.0967966427574165E-3</c:v>
                </c:pt>
                <c:pt idx="705">
                  <c:v>4.1550134116741244E-3</c:v>
                </c:pt>
                <c:pt idx="706">
                  <c:v>4.2066454953526566E-3</c:v>
                </c:pt>
                <c:pt idx="707">
                  <c:v>4.2589238294310494E-3</c:v>
                </c:pt>
                <c:pt idx="708">
                  <c:v>4.3118484141524416E-3</c:v>
                </c:pt>
                <c:pt idx="709">
                  <c:v>4.3654192500031108E-3</c:v>
                </c:pt>
                <c:pt idx="710">
                  <c:v>4.4196363370641034E-3</c:v>
                </c:pt>
                <c:pt idx="711">
                  <c:v>4.4744996757406508E-3</c:v>
                </c:pt>
                <c:pt idx="712">
                  <c:v>4.5300092662758917E-3</c:v>
                </c:pt>
                <c:pt idx="713">
                  <c:v>4.5861651089940114E-3</c:v>
                </c:pt>
                <c:pt idx="714">
                  <c:v>4.6429672041381487E-3</c:v>
                </c:pt>
                <c:pt idx="715">
                  <c:v>4.7004155520324886E-3</c:v>
                </c:pt>
                <c:pt idx="716">
                  <c:v>4.7584254935151282E-3</c:v>
                </c:pt>
                <c:pt idx="717">
                  <c:v>4.8160434954269693E-3</c:v>
                </c:pt>
                <c:pt idx="718">
                  <c:v>4.8729977558548132E-3</c:v>
                </c:pt>
                <c:pt idx="719">
                  <c:v>4.9292882745555211E-3</c:v>
                </c:pt>
                <c:pt idx="720">
                  <c:v>4.9849150512049079E-3</c:v>
                </c:pt>
                <c:pt idx="721">
                  <c:v>5.0398780855598346E-3</c:v>
                </c:pt>
                <c:pt idx="722">
                  <c:v>5.09417737721507E-3</c:v>
                </c:pt>
                <c:pt idx="723">
                  <c:v>5.1478129259274752E-3</c:v>
                </c:pt>
                <c:pt idx="724">
                  <c:v>5.200784731372865E-3</c:v>
                </c:pt>
                <c:pt idx="725">
                  <c:v>5.2530927933891469E-3</c:v>
                </c:pt>
                <c:pt idx="726">
                  <c:v>5.3047371114900432E-3</c:v>
                </c:pt>
                <c:pt idx="727">
                  <c:v>5.3557176855945077E-3</c:v>
                </c:pt>
                <c:pt idx="728">
                  <c:v>5.4060345152973088E-3</c:v>
                </c:pt>
                <c:pt idx="729">
                  <c:v>5.4556876002742616E-3</c:v>
                </c:pt>
                <c:pt idx="730">
                  <c:v>5.5046769404443197E-3</c:v>
                </c:pt>
                <c:pt idx="731">
                  <c:v>5.5530025353212054E-3</c:v>
                </c:pt>
                <c:pt idx="732">
                  <c:v>5.6006643848238724E-3</c:v>
                </c:pt>
                <c:pt idx="733">
                  <c:v>5.6476624885470894E-3</c:v>
                </c:pt>
                <c:pt idx="734">
                  <c:v>5.6939968464098101E-3</c:v>
                </c:pt>
                <c:pt idx="735">
                  <c:v>5.739667458006803E-3</c:v>
                </c:pt>
                <c:pt idx="736">
                  <c:v>5.7846743230949293E-3</c:v>
                </c:pt>
                <c:pt idx="737">
                  <c:v>5.8290174415120966E-3</c:v>
                </c:pt>
                <c:pt idx="738">
                  <c:v>5.8726968130151658E-3</c:v>
                </c:pt>
                <c:pt idx="739">
                  <c:v>5.9157124372799519E-3</c:v>
                </c:pt>
                <c:pt idx="740">
                  <c:v>5.9819673774608173E-3</c:v>
                </c:pt>
                <c:pt idx="741">
                  <c:v>6.0291233022014001E-3</c:v>
                </c:pt>
                <c:pt idx="742">
                  <c:v>6.0696735777054922E-3</c:v>
                </c:pt>
                <c:pt idx="743">
                  <c:v>6.1095601049987458E-3</c:v>
                </c:pt>
                <c:pt idx="744">
                  <c:v>6.1487828837569758E-3</c:v>
                </c:pt>
                <c:pt idx="745">
                  <c:v>6.1873419138180896E-3</c:v>
                </c:pt>
                <c:pt idx="746">
                  <c:v>6.2252371949389484E-3</c:v>
                </c:pt>
                <c:pt idx="747">
                  <c:v>6.2624687269574597E-3</c:v>
                </c:pt>
                <c:pt idx="748">
                  <c:v>6.2990365097925771E-3</c:v>
                </c:pt>
                <c:pt idx="749">
                  <c:v>6.334940542958023E-3</c:v>
                </c:pt>
                <c:pt idx="750">
                  <c:v>6.3701808264537974E-3</c:v>
                </c:pt>
                <c:pt idx="751">
                  <c:v>6.4047573601178076E-3</c:v>
                </c:pt>
                <c:pt idx="752">
                  <c:v>6.4386701436258686E-3</c:v>
                </c:pt>
                <c:pt idx="753">
                  <c:v>6.4719191768158879E-3</c:v>
                </c:pt>
                <c:pt idx="754">
                  <c:v>6.5045044595257728E-3</c:v>
                </c:pt>
                <c:pt idx="755">
                  <c:v>6.5364259916744771E-3</c:v>
                </c:pt>
                <c:pt idx="756">
                  <c:v>6.567683773018862E-3</c:v>
                </c:pt>
                <c:pt idx="757">
                  <c:v>6.6068970413202255E-3</c:v>
                </c:pt>
                <c:pt idx="758">
                  <c:v>6.6366376772974967E-3</c:v>
                </c:pt>
                <c:pt idx="759">
                  <c:v>6.6657145619031244E-3</c:v>
                </c:pt>
                <c:pt idx="760">
                  <c:v>6.6941276949750161E-3</c:v>
                </c:pt>
                <c:pt idx="761">
                  <c:v>6.7218770764321256E-3</c:v>
                </c:pt>
                <c:pt idx="762">
                  <c:v>6.7489627059502677E-3</c:v>
                </c:pt>
                <c:pt idx="763">
                  <c:v>6.7753845835294424E-3</c:v>
                </c:pt>
                <c:pt idx="764">
                  <c:v>6.8011427090886034E-3</c:v>
                </c:pt>
                <c:pt idx="765">
                  <c:v>6.8262370823035656E-3</c:v>
                </c:pt>
                <c:pt idx="766">
                  <c:v>6.850667703174329E-3</c:v>
                </c:pt>
                <c:pt idx="767">
                  <c:v>6.8744608734072621E-3</c:v>
                </c:pt>
                <c:pt idx="768">
                  <c:v>6.8983530483179845E-3</c:v>
                </c:pt>
                <c:pt idx="769">
                  <c:v>6.9226861534932294E-3</c:v>
                </c:pt>
                <c:pt idx="770">
                  <c:v>6.9474601891761356E-3</c:v>
                </c:pt>
                <c:pt idx="771">
                  <c:v>6.9726751553667032E-3</c:v>
                </c:pt>
                <c:pt idx="772">
                  <c:v>6.9983310521459785E-3</c:v>
                </c:pt>
                <c:pt idx="773">
                  <c:v>7.0244278795139614E-3</c:v>
                </c:pt>
                <c:pt idx="774">
                  <c:v>7.0509656377948371E-3</c:v>
                </c:pt>
                <c:pt idx="775">
                  <c:v>7.0779443269075593E-3</c:v>
                </c:pt>
                <c:pt idx="776">
                  <c:v>7.1053639469331742E-3</c:v>
                </c:pt>
                <c:pt idx="777">
                  <c:v>7.1414083631982104E-3</c:v>
                </c:pt>
                <c:pt idx="778">
                  <c:v>7.1698369405034015E-3</c:v>
                </c:pt>
                <c:pt idx="779">
                  <c:v>7.2008591064573468E-3</c:v>
                </c:pt>
                <c:pt idx="780">
                  <c:v>7.2280169548507214E-3</c:v>
                </c:pt>
                <c:pt idx="781">
                  <c:v>7.257768392487189E-3</c:v>
                </c:pt>
                <c:pt idx="782">
                  <c:v>7.2879607842157865E-3</c:v>
                </c:pt>
                <c:pt idx="783">
                  <c:v>7.3185941303877131E-3</c:v>
                </c:pt>
                <c:pt idx="784">
                  <c:v>7.3496684312731233E-3</c:v>
                </c:pt>
                <c:pt idx="785">
                  <c:v>7.3811836872772494E-3</c:v>
                </c:pt>
                <c:pt idx="786">
                  <c:v>7.4131398987242756E-3</c:v>
                </c:pt>
                <c:pt idx="787">
                  <c:v>7.4455370659113722E-3</c:v>
                </c:pt>
                <c:pt idx="788">
                  <c:v>7.4783751892707855E-3</c:v>
                </c:pt>
                <c:pt idx="789">
                  <c:v>7.5116542690726699E-3</c:v>
                </c:pt>
                <c:pt idx="790">
                  <c:v>7.5453743057492719E-3</c:v>
                </c:pt>
                <c:pt idx="791">
                  <c:v>7.5941497088083398E-3</c:v>
                </c:pt>
                <c:pt idx="792">
                  <c:v>7.6289391912509608E-3</c:v>
                </c:pt>
                <c:pt idx="793">
                  <c:v>7.6641696066326315E-3</c:v>
                </c:pt>
                <c:pt idx="794">
                  <c:v>7.6998409551154445E-3</c:v>
                </c:pt>
                <c:pt idx="795">
                  <c:v>7.7359532369425388E-3</c:v>
                </c:pt>
                <c:pt idx="796">
                  <c:v>7.7725064520328679E-3</c:v>
                </c:pt>
                <c:pt idx="797">
                  <c:v>7.8095006006295709E-3</c:v>
                </c:pt>
                <c:pt idx="798">
                  <c:v>7.8469356828947401E-3</c:v>
                </c:pt>
                <c:pt idx="799">
                  <c:v>7.8848116988283756E-3</c:v>
                </c:pt>
                <c:pt idx="800">
                  <c:v>7.9231286487546626E-3</c:v>
                </c:pt>
                <c:pt idx="801">
                  <c:v>7.961886532673601E-3</c:v>
                </c:pt>
                <c:pt idx="802">
                  <c:v>8.0010853508283297E-3</c:v>
                </c:pt>
                <c:pt idx="803">
                  <c:v>8.040725103299895E-3</c:v>
                </c:pt>
                <c:pt idx="804">
                  <c:v>8.0808057902503894E-3</c:v>
                </c:pt>
                <c:pt idx="805">
                  <c:v>8.1213274117608591E-3</c:v>
                </c:pt>
                <c:pt idx="806">
                  <c:v>8.1622899680744432E-3</c:v>
                </c:pt>
                <c:pt idx="807">
                  <c:v>8.2036934592721877E-3</c:v>
                </c:pt>
                <c:pt idx="808">
                  <c:v>8.2698373200951192E-3</c:v>
                </c:pt>
                <c:pt idx="809">
                  <c:v>8.3123765771223983E-3</c:v>
                </c:pt>
                <c:pt idx="810">
                  <c:v>8.3553567996963451E-3</c:v>
                </c:pt>
                <c:pt idx="811">
                  <c:v>8.398777988303241E-3</c:v>
                </c:pt>
                <c:pt idx="812">
                  <c:v>8.442640143375332E-3</c:v>
                </c:pt>
                <c:pt idx="813">
                  <c:v>8.4869432654259107E-3</c:v>
                </c:pt>
                <c:pt idx="814">
                  <c:v>8.5316873549412531E-3</c:v>
                </c:pt>
                <c:pt idx="815">
                  <c:v>8.5768724124076403E-3</c:v>
                </c:pt>
                <c:pt idx="816">
                  <c:v>8.6224984382843317E-3</c:v>
                </c:pt>
                <c:pt idx="817">
                  <c:v>8.6685654330846233E-3</c:v>
                </c:pt>
                <c:pt idx="818">
                  <c:v>8.7183957643663379E-3</c:v>
                </c:pt>
                <c:pt idx="819">
                  <c:v>8.7609369476678491E-3</c:v>
                </c:pt>
                <c:pt idx="820">
                  <c:v>8.8061560833933399E-3</c:v>
                </c:pt>
                <c:pt idx="821">
                  <c:v>8.8506473126729705E-3</c:v>
                </c:pt>
                <c:pt idx="822">
                  <c:v>8.8944106346692635E-3</c:v>
                </c:pt>
                <c:pt idx="823">
                  <c:v>8.9374460486528022E-3</c:v>
                </c:pt>
                <c:pt idx="824">
                  <c:v>8.9797535538131239E-3</c:v>
                </c:pt>
                <c:pt idx="825">
                  <c:v>9.0213331493667805E-3</c:v>
                </c:pt>
                <c:pt idx="826">
                  <c:v>9.0621848346383888E-3</c:v>
                </c:pt>
                <c:pt idx="827">
                  <c:v>9.1052559707832659E-3</c:v>
                </c:pt>
                <c:pt idx="828">
                  <c:v>9.1526021765087062E-3</c:v>
                </c:pt>
                <c:pt idx="829">
                  <c:v>9.191060218527447E-3</c:v>
                </c:pt>
                <c:pt idx="830">
                  <c:v>9.2341209792490275E-3</c:v>
                </c:pt>
                <c:pt idx="831">
                  <c:v>9.2710192681688675E-3</c:v>
                </c:pt>
                <c:pt idx="832">
                  <c:v>9.3071896719310043E-3</c:v>
                </c:pt>
                <c:pt idx="833">
                  <c:v>9.3426321903733456E-3</c:v>
                </c:pt>
                <c:pt idx="834">
                  <c:v>9.3773468230906598E-3</c:v>
                </c:pt>
                <c:pt idx="835">
                  <c:v>9.4113335701639933E-3</c:v>
                </c:pt>
                <c:pt idx="836">
                  <c:v>9.44706060745093E-3</c:v>
                </c:pt>
                <c:pt idx="837">
                  <c:v>9.4771234061630238E-3</c:v>
                </c:pt>
                <c:pt idx="838">
                  <c:v>9.5089264946834895E-3</c:v>
                </c:pt>
                <c:pt idx="839">
                  <c:v>9.540001696587419E-3</c:v>
                </c:pt>
                <c:pt idx="840">
                  <c:v>9.5703490117937662E-3</c:v>
                </c:pt>
                <c:pt idx="841">
                  <c:v>9.5999684399783458E-3</c:v>
                </c:pt>
                <c:pt idx="842">
                  <c:v>9.632927924794199E-3</c:v>
                </c:pt>
                <c:pt idx="843">
                  <c:v>9.6609875947739621E-3</c:v>
                </c:pt>
                <c:pt idx="844">
                  <c:v>9.6883193772456799E-3</c:v>
                </c:pt>
                <c:pt idx="845">
                  <c:v>9.71492327204726E-3</c:v>
                </c:pt>
                <c:pt idx="846">
                  <c:v>9.7407992790976561E-3</c:v>
                </c:pt>
                <c:pt idx="847">
                  <c:v>9.7659473981537293E-3</c:v>
                </c:pt>
                <c:pt idx="848">
                  <c:v>9.7903676291344333E-3</c:v>
                </c:pt>
                <c:pt idx="849">
                  <c:v>9.8140599717966293E-3</c:v>
                </c:pt>
                <c:pt idx="850">
                  <c:v>9.8370244261403172E-3</c:v>
                </c:pt>
                <c:pt idx="851">
                  <c:v>9.8592609920034047E-3</c:v>
                </c:pt>
                <c:pt idx="852">
                  <c:v>9.8807696691427527E-3</c:v>
                </c:pt>
                <c:pt idx="853">
                  <c:v>9.9015504573962687E-3</c:v>
                </c:pt>
                <c:pt idx="854">
                  <c:v>9.9216033568449991E-3</c:v>
                </c:pt>
                <c:pt idx="855">
                  <c:v>9.9409283672458049E-3</c:v>
                </c:pt>
                <c:pt idx="856">
                  <c:v>9.9595254885176399E-3</c:v>
                </c:pt>
                <c:pt idx="857">
                  <c:v>9.9773947204173652E-3</c:v>
                </c:pt>
                <c:pt idx="858">
                  <c:v>9.9945360630260272E-3</c:v>
                </c:pt>
                <c:pt idx="859">
                  <c:v>1.0022227764655556E-2</c:v>
                </c:pt>
                <c:pt idx="860">
                  <c:v>1.0037393406984174E-2</c:v>
                </c:pt>
                <c:pt idx="861">
                  <c:v>1.0051831159697544E-2</c:v>
                </c:pt>
                <c:pt idx="862">
                  <c:v>1.006554102247148E-2</c:v>
                </c:pt>
                <c:pt idx="863">
                  <c:v>1.0078522995468076E-2</c:v>
                </c:pt>
                <c:pt idx="864">
                  <c:v>1.0090777078444191E-2</c:v>
                </c:pt>
                <c:pt idx="865">
                  <c:v>1.010230327131878E-2</c:v>
                </c:pt>
                <c:pt idx="866">
                  <c:v>1.0113101574091843E-2</c:v>
                </c:pt>
                <c:pt idx="867">
                  <c:v>1.012317198676338E-2</c:v>
                </c:pt>
                <c:pt idx="868">
                  <c:v>1.0132514509171298E-2</c:v>
                </c:pt>
                <c:pt idx="869">
                  <c:v>1.0142662669864189E-2</c:v>
                </c:pt>
                <c:pt idx="870">
                  <c:v>1.015244097301804E-2</c:v>
                </c:pt>
                <c:pt idx="871">
                  <c:v>1.0163237488477472E-2</c:v>
                </c:pt>
                <c:pt idx="872">
                  <c:v>1.0175052216242486E-2</c:v>
                </c:pt>
                <c:pt idx="873">
                  <c:v>1.0187885156475174E-2</c:v>
                </c:pt>
                <c:pt idx="874">
                  <c:v>1.0201736309256582E-2</c:v>
                </c:pt>
                <c:pt idx="875">
                  <c:v>1.0216605674667756E-2</c:v>
                </c:pt>
                <c:pt idx="876">
                  <c:v>1.0232493252951835E-2</c:v>
                </c:pt>
                <c:pt idx="877">
                  <c:v>1.024939904410882E-2</c:v>
                </c:pt>
                <c:pt idx="878">
                  <c:v>1.0267323048381849E-2</c:v>
                </c:pt>
                <c:pt idx="879">
                  <c:v>1.0286265265851968E-2</c:v>
                </c:pt>
                <c:pt idx="880">
                  <c:v>1.0306225696762317E-2</c:v>
                </c:pt>
                <c:pt idx="881">
                  <c:v>1.0327204341112894E-2</c:v>
                </c:pt>
                <c:pt idx="882">
                  <c:v>1.0349201199308933E-2</c:v>
                </c:pt>
                <c:pt idx="883">
                  <c:v>1.0372216271350432E-2</c:v>
                </c:pt>
                <c:pt idx="884">
                  <c:v>1.0396249557561577E-2</c:v>
                </c:pt>
                <c:pt idx="885">
                  <c:v>1.0421301058023413E-2</c:v>
                </c:pt>
                <c:pt idx="886">
                  <c:v>1.0447370772979081E-2</c:v>
                </c:pt>
                <c:pt idx="887">
                  <c:v>1.0474458702671718E-2</c:v>
                </c:pt>
                <c:pt idx="888">
                  <c:v>1.0502564847344464E-2</c:v>
                </c:pt>
                <c:pt idx="889">
                  <c:v>1.0531689207159411E-2</c:v>
                </c:pt>
                <c:pt idx="890">
                  <c:v>1.0561831782521791E-2</c:v>
                </c:pt>
                <c:pt idx="891">
                  <c:v>1.059299257351265E-2</c:v>
                </c:pt>
                <c:pt idx="892">
                  <c:v>1.0625171580456172E-2</c:v>
                </c:pt>
                <c:pt idx="893">
                  <c:v>1.0668040743879725E-2</c:v>
                </c:pt>
                <c:pt idx="894">
                  <c:v>1.0702547102567905E-2</c:v>
                </c:pt>
                <c:pt idx="895">
                  <c:v>1.0738071678100258E-2</c:v>
                </c:pt>
                <c:pt idx="896">
                  <c:v>1.0774614470882016E-2</c:v>
                </c:pt>
                <c:pt idx="897">
                  <c:v>1.081217548107527E-2</c:v>
                </c:pt>
                <c:pt idx="898">
                  <c:v>1.0850754709085253E-2</c:v>
                </c:pt>
                <c:pt idx="899">
                  <c:v>1.0890352155236149E-2</c:v>
                </c:pt>
                <c:pt idx="900">
                  <c:v>1.0930967819771098E-2</c:v>
                </c:pt>
                <c:pt idx="901">
                  <c:v>1.0972601703014284E-2</c:v>
                </c:pt>
                <c:pt idx="902">
                  <c:v>1.1015253805451986E-2</c:v>
                </c:pt>
                <c:pt idx="903">
                  <c:v>1.1058924127408387E-2</c:v>
                </c:pt>
                <c:pt idx="904">
                  <c:v>1.110361266928872E-2</c:v>
                </c:pt>
                <c:pt idx="905">
                  <c:v>1.1149319431255078E-2</c:v>
                </c:pt>
                <c:pt idx="906">
                  <c:v>1.1196044413874784E-2</c:v>
                </c:pt>
                <c:pt idx="907">
                  <c:v>1.1243787617472023E-2</c:v>
                </c:pt>
                <c:pt idx="908">
                  <c:v>1.1292549042452027E-2</c:v>
                </c:pt>
                <c:pt idx="909">
                  <c:v>1.1342328689220027E-2</c:v>
                </c:pt>
                <c:pt idx="910">
                  <c:v>1.140856114823241E-2</c:v>
                </c:pt>
                <c:pt idx="911">
                  <c:v>1.144494264998408E-2</c:v>
                </c:pt>
                <c:pt idx="912">
                  <c:v>1.1497776964790596E-2</c:v>
                </c:pt>
                <c:pt idx="913">
                  <c:v>1.1551629503006033E-2</c:v>
                </c:pt>
                <c:pt idx="914">
                  <c:v>1.1606500265278763E-2</c:v>
                </c:pt>
                <c:pt idx="915">
                  <c:v>1.1662389252014016E-2</c:v>
                </c:pt>
                <c:pt idx="916">
                  <c:v>1.1719296463535978E-2</c:v>
                </c:pt>
                <c:pt idx="917">
                  <c:v>1.1777221900493018E-2</c:v>
                </c:pt>
                <c:pt idx="918">
                  <c:v>1.1836165563371415E-2</c:v>
                </c:pt>
                <c:pt idx="919">
                  <c:v>1.1896127452495353E-2</c:v>
                </c:pt>
                <c:pt idx="920">
                  <c:v>1.195710756859425E-2</c:v>
                </c:pt>
                <c:pt idx="921">
                  <c:v>1.2019024098851583E-2</c:v>
                </c:pt>
                <c:pt idx="922">
                  <c:v>1.2080955569180318E-2</c:v>
                </c:pt>
                <c:pt idx="923">
                  <c:v>1.2142639316202741E-2</c:v>
                </c:pt>
                <c:pt idx="924">
                  <c:v>1.2204075339918852E-2</c:v>
                </c:pt>
                <c:pt idx="925">
                  <c:v>1.2265263640004465E-2</c:v>
                </c:pt>
                <c:pt idx="926">
                  <c:v>1.232620421645958E-2</c:v>
                </c:pt>
                <c:pt idx="927">
                  <c:v>1.2386897069122105E-2</c:v>
                </c:pt>
                <c:pt idx="928">
                  <c:v>1.244734219799204E-2</c:v>
                </c:pt>
                <c:pt idx="929">
                  <c:v>1.2507539602745199E-2</c:v>
                </c:pt>
                <c:pt idx="930">
                  <c:v>1.2567489283381583E-2</c:v>
                </c:pt>
                <c:pt idx="931">
                  <c:v>1.26271912397391E-2</c:v>
                </c:pt>
                <c:pt idx="932">
                  <c:v>1.2686645471736702E-2</c:v>
                </c:pt>
                <c:pt idx="933">
                  <c:v>1.2745851979131251E-2</c:v>
                </c:pt>
                <c:pt idx="934">
                  <c:v>1.2804810762003793E-2</c:v>
                </c:pt>
                <c:pt idx="935">
                  <c:v>1.2863521820030144E-2</c:v>
                </c:pt>
                <c:pt idx="936">
                  <c:v>1.2921985153291349E-2</c:v>
                </c:pt>
                <c:pt idx="937">
                  <c:v>1.2980200761544269E-2</c:v>
                </c:pt>
                <c:pt idx="938">
                  <c:v>1.3038168644626813E-2</c:v>
                </c:pt>
                <c:pt idx="939">
                  <c:v>1.309588880253898E-2</c:v>
                </c:pt>
                <c:pt idx="940">
                  <c:v>1.3153361235037631E-2</c:v>
                </c:pt>
                <c:pt idx="941">
                  <c:v>1.3210585942203812E-2</c:v>
                </c:pt>
                <c:pt idx="942">
                  <c:v>1.3267562923713339E-2</c:v>
                </c:pt>
                <c:pt idx="943">
                  <c:v>1.3324292179485164E-2</c:v>
                </c:pt>
                <c:pt idx="944">
                  <c:v>1.3380773709519289E-2</c:v>
                </c:pt>
                <c:pt idx="945">
                  <c:v>1.3469029892013706E-2</c:v>
                </c:pt>
                <c:pt idx="946">
                  <c:v>1.3532831978338988E-2</c:v>
                </c:pt>
                <c:pt idx="947">
                  <c:v>1.3588393382896191E-2</c:v>
                </c:pt>
                <c:pt idx="948">
                  <c:v>1.3643707061148369E-2</c:v>
                </c:pt>
                <c:pt idx="949">
                  <c:v>1.369877301293343E-2</c:v>
                </c:pt>
                <c:pt idx="950">
                  <c:v>1.3761402190594074E-2</c:v>
                </c:pt>
                <c:pt idx="951">
                  <c:v>1.3815937299532788E-2</c:v>
                </c:pt>
                <c:pt idx="952">
                  <c:v>1.3870224681761245E-2</c:v>
                </c:pt>
                <c:pt idx="953">
                  <c:v>1.3924264336955261E-2</c:v>
                </c:pt>
                <c:pt idx="954">
                  <c:v>1.3978056265195882E-2</c:v>
                </c:pt>
                <c:pt idx="955">
                  <c:v>1.403568479400652E-2</c:v>
                </c:pt>
                <c:pt idx="956">
                  <c:v>1.4084896940168568E-2</c:v>
                </c:pt>
                <c:pt idx="957">
                  <c:v>1.4137945686657494E-2</c:v>
                </c:pt>
                <c:pt idx="958">
                  <c:v>1.4190746705625701E-2</c:v>
                </c:pt>
                <c:pt idx="959">
                  <c:v>1.4243299997073189E-2</c:v>
                </c:pt>
                <c:pt idx="960">
                  <c:v>1.4295605560837865E-2</c:v>
                </c:pt>
                <c:pt idx="961">
                  <c:v>1.4347663396838684E-2</c:v>
                </c:pt>
                <c:pt idx="962">
                  <c:v>1.4399473504913551E-2</c:v>
                </c:pt>
                <c:pt idx="963">
                  <c:v>1.4451035885062469E-2</c:v>
                </c:pt>
                <c:pt idx="964">
                  <c:v>1.450235053696125E-2</c:v>
                </c:pt>
                <c:pt idx="965">
                  <c:v>1.4553417460771989E-2</c:v>
                </c:pt>
                <c:pt idx="966">
                  <c:v>1.4604236656332592E-2</c:v>
                </c:pt>
                <c:pt idx="967">
                  <c:v>1.4654808123318874E-2</c:v>
                </c:pt>
                <c:pt idx="968">
                  <c:v>1.4705131861892928E-2</c:v>
                </c:pt>
                <c:pt idx="969">
                  <c:v>1.4755207871730569E-2</c:v>
                </c:pt>
                <c:pt idx="970">
                  <c:v>1.4805036152993889E-2</c:v>
                </c:pt>
                <c:pt idx="971">
                  <c:v>1.4854616705358703E-2</c:v>
                </c:pt>
                <c:pt idx="972">
                  <c:v>1.4903949528825011E-2</c:v>
                </c:pt>
                <c:pt idx="973">
                  <c:v>1.4953034623230721E-2</c:v>
                </c:pt>
                <c:pt idx="974">
                  <c:v>1.5001871988494786E-2</c:v>
                </c:pt>
                <c:pt idx="975">
                  <c:v>1.5050461624617206E-2</c:v>
                </c:pt>
                <c:pt idx="976">
                  <c:v>1.5098803531354843E-2</c:v>
                </c:pt>
                <c:pt idx="977">
                  <c:v>1.5146897708707696E-2</c:v>
                </c:pt>
                <c:pt idx="978">
                  <c:v>1.5194744156513673E-2</c:v>
                </c:pt>
                <c:pt idx="979">
                  <c:v>1.5242342874691728E-2</c:v>
                </c:pt>
                <c:pt idx="980">
                  <c:v>1.5289693863160814E-2</c:v>
                </c:pt>
                <c:pt idx="981">
                  <c:v>1.5336797121839885E-2</c:v>
                </c:pt>
                <c:pt idx="982">
                  <c:v>1.5383652650728941E-2</c:v>
                </c:pt>
                <c:pt idx="983">
                  <c:v>1.543026044942275E-2</c:v>
                </c:pt>
                <c:pt idx="984">
                  <c:v>1.5476620518083406E-2</c:v>
                </c:pt>
                <c:pt idx="985">
                  <c:v>1.5522732856629862E-2</c:v>
                </c:pt>
                <c:pt idx="986">
                  <c:v>1.5568597464737932E-2</c:v>
                </c:pt>
                <c:pt idx="987">
                  <c:v>1.561421434256971E-2</c:v>
                </c:pt>
                <c:pt idx="988">
                  <c:v>1.5659583489963103E-2</c:v>
                </c:pt>
                <c:pt idx="989">
                  <c:v>1.5704704906756017E-2</c:v>
                </c:pt>
                <c:pt idx="990">
                  <c:v>1.5749578592867408E-2</c:v>
                </c:pt>
                <c:pt idx="991">
                  <c:v>1.5794204548297275E-2</c:v>
                </c:pt>
                <c:pt idx="992">
                  <c:v>1.5838582772802479E-2</c:v>
                </c:pt>
                <c:pt idx="993">
                  <c:v>1.5882713266464066E-2</c:v>
                </c:pt>
                <c:pt idx="994">
                  <c:v>1.5926596029038897E-2</c:v>
                </c:pt>
                <c:pt idx="995">
                  <c:v>1.5970231060526974E-2</c:v>
                </c:pt>
                <c:pt idx="996">
                  <c:v>1.6044457617414576E-2</c:v>
                </c:pt>
                <c:pt idx="997">
                  <c:v>1.6093537529396906E-2</c:v>
                </c:pt>
                <c:pt idx="998">
                  <c:v>1.6136217025801702E-2</c:v>
                </c:pt>
                <c:pt idx="999">
                  <c:v>1.6178648790633465E-2</c:v>
                </c:pt>
                <c:pt idx="1000">
                  <c:v>1.6220832823811149E-2</c:v>
                </c:pt>
                <c:pt idx="1001">
                  <c:v>1.6266116895181093E-2</c:v>
                </c:pt>
                <c:pt idx="1002">
                  <c:v>1.6304457695204277E-2</c:v>
                </c:pt>
                <c:pt idx="1003">
                  <c:v>1.6345898533014491E-2</c:v>
                </c:pt>
                <c:pt idx="1004">
                  <c:v>1.6387091638927487E-2</c:v>
                </c:pt>
                <c:pt idx="1005">
                  <c:v>1.6428037012862218E-2</c:v>
                </c:pt>
                <c:pt idx="1006">
                  <c:v>1.6468734654575545E-2</c:v>
                </c:pt>
                <c:pt idx="1007">
                  <c:v>1.6509184564067469E-2</c:v>
                </c:pt>
                <c:pt idx="1008">
                  <c:v>1.654938674133799E-2</c:v>
                </c:pt>
                <c:pt idx="1009">
                  <c:v>1.6589341186225015E-2</c:v>
                </c:pt>
                <c:pt idx="1010">
                  <c:v>1.6629047898647498E-2</c:v>
                </c:pt>
                <c:pt idx="1011">
                  <c:v>1.6668506878443345E-2</c:v>
                </c:pt>
                <c:pt idx="1012">
                  <c:v>1.6710891339600242E-2</c:v>
                </c:pt>
                <c:pt idx="1013">
                  <c:v>1.6757768571102893E-2</c:v>
                </c:pt>
                <c:pt idx="1014">
                  <c:v>1.6796413572059965E-2</c:v>
                </c:pt>
                <c:pt idx="1015">
                  <c:v>1.6834810840147263E-2</c:v>
                </c:pt>
                <c:pt idx="1016">
                  <c:v>1.6872960375283741E-2</c:v>
                </c:pt>
                <c:pt idx="1017">
                  <c:v>1.6910862177388353E-2</c:v>
                </c:pt>
                <c:pt idx="1018">
                  <c:v>1.6948516246461098E-2</c:v>
                </c:pt>
                <c:pt idx="1019">
                  <c:v>1.6985922582177793E-2</c:v>
                </c:pt>
                <c:pt idx="1020">
                  <c:v>1.7023081184781574E-2</c:v>
                </c:pt>
                <c:pt idx="1021">
                  <c:v>1.7059992053948259E-2</c:v>
                </c:pt>
                <c:pt idx="1022">
                  <c:v>1.7096655189758891E-2</c:v>
                </c:pt>
                <c:pt idx="1023">
                  <c:v>1.7133079517921423E-2</c:v>
                </c:pt>
                <c:pt idx="1024">
                  <c:v>1.71693655716465E-2</c:v>
                </c:pt>
                <c:pt idx="1025">
                  <c:v>1.7205542007683317E-2</c:v>
                </c:pt>
                <c:pt idx="1026">
                  <c:v>1.7241608825950827E-2</c:v>
                </c:pt>
                <c:pt idx="1027">
                  <c:v>1.7277566026530078E-2</c:v>
                </c:pt>
                <c:pt idx="1028">
                  <c:v>1.7313413609096884E-2</c:v>
                </c:pt>
                <c:pt idx="1029">
                  <c:v>1.734915157397543E-2</c:v>
                </c:pt>
                <c:pt idx="1030">
                  <c:v>1.7384779920922577E-2</c:v>
                </c:pt>
                <c:pt idx="1031">
                  <c:v>1.7420298649938326E-2</c:v>
                </c:pt>
                <c:pt idx="1032">
                  <c:v>1.745570776094163E-2</c:v>
                </c:pt>
                <c:pt idx="1033">
                  <c:v>1.7491007254094582E-2</c:v>
                </c:pt>
                <c:pt idx="1034">
                  <c:v>1.7526197129154042E-2</c:v>
                </c:pt>
                <c:pt idx="1035">
                  <c:v>1.7561277386120011E-2</c:v>
                </c:pt>
                <c:pt idx="1036">
                  <c:v>1.7596248024992489E-2</c:v>
                </c:pt>
                <c:pt idx="1037">
                  <c:v>1.7631109045852522E-2</c:v>
                </c:pt>
                <c:pt idx="1038">
                  <c:v>1.7665860448456971E-2</c:v>
                </c:pt>
                <c:pt idx="1039">
                  <c:v>1.770050223296793E-2</c:v>
                </c:pt>
                <c:pt idx="1040">
                  <c:v>1.7735034399223304E-2</c:v>
                </c:pt>
                <c:pt idx="1041">
                  <c:v>1.7769456947304141E-2</c:v>
                </c:pt>
                <c:pt idx="1042">
                  <c:v>1.7803769877129394E-2</c:v>
                </c:pt>
                <c:pt idx="1043">
                  <c:v>1.7837973188618017E-2</c:v>
                </c:pt>
                <c:pt idx="1044">
                  <c:v>1.787206688177001E-2</c:v>
                </c:pt>
                <c:pt idx="1045">
                  <c:v>1.7906050956585373E-2</c:v>
                </c:pt>
                <c:pt idx="1046">
                  <c:v>1.7939925412902014E-2</c:v>
                </c:pt>
                <c:pt idx="1047">
                  <c:v>1.7992935227594264E-2</c:v>
                </c:pt>
                <c:pt idx="1048">
                  <c:v>1.8031317799559465E-2</c:v>
                </c:pt>
                <c:pt idx="1049">
                  <c:v>1.8064785101730152E-2</c:v>
                </c:pt>
                <c:pt idx="1050">
                  <c:v>1.809814278532107E-2</c:v>
                </c:pt>
                <c:pt idx="1051">
                  <c:v>1.8131390850332219E-2</c:v>
                </c:pt>
                <c:pt idx="1052">
                  <c:v>1.8164529296763599E-2</c:v>
                </c:pt>
                <c:pt idx="1053">
                  <c:v>1.8197558124534163E-2</c:v>
                </c:pt>
                <c:pt idx="1054">
                  <c:v>1.8230477333724959E-2</c:v>
                </c:pt>
                <c:pt idx="1055">
                  <c:v>1.8263286924173894E-2</c:v>
                </c:pt>
                <c:pt idx="1056">
                  <c:v>1.8295986895880967E-2</c:v>
                </c:pt>
                <c:pt idx="1057">
                  <c:v>1.8328577248927225E-2</c:v>
                </c:pt>
                <c:pt idx="1058">
                  <c:v>1.8361057983150575E-2</c:v>
                </c:pt>
                <c:pt idx="1059">
                  <c:v>1.8393429098632064E-2</c:v>
                </c:pt>
                <c:pt idx="1060">
                  <c:v>1.8425690595209598E-2</c:v>
                </c:pt>
                <c:pt idx="1061">
                  <c:v>1.8457842472964225E-2</c:v>
                </c:pt>
                <c:pt idx="1062">
                  <c:v>1.8489884731814898E-2</c:v>
                </c:pt>
                <c:pt idx="1063">
                  <c:v>1.8521817371761617E-2</c:v>
                </c:pt>
                <c:pt idx="1064">
                  <c:v>1.8562712550411753E-2</c:v>
                </c:pt>
                <c:pt idx="1065">
                  <c:v>1.8594394632701627E-2</c:v>
                </c:pt>
                <c:pt idx="1066">
                  <c:v>1.8625967096006502E-2</c:v>
                </c:pt>
                <c:pt idx="1067">
                  <c:v>1.8657429940245329E-2</c:v>
                </c:pt>
                <c:pt idx="1068">
                  <c:v>1.868878316541811E-2</c:v>
                </c:pt>
                <c:pt idx="1069">
                  <c:v>1.8720026771524845E-2</c:v>
                </c:pt>
                <c:pt idx="1070">
                  <c:v>1.8751160758484486E-2</c:v>
                </c:pt>
                <c:pt idx="1071">
                  <c:v>1.8782185126378081E-2</c:v>
                </c:pt>
                <c:pt idx="1072">
                  <c:v>1.8813099874962491E-2</c:v>
                </c:pt>
                <c:pt idx="1073">
                  <c:v>1.8843905004399808E-2</c:v>
                </c:pt>
                <c:pt idx="1074">
                  <c:v>1.8874600514608986E-2</c:v>
                </c:pt>
                <c:pt idx="1075">
                  <c:v>1.8905186405508978E-2</c:v>
                </c:pt>
                <c:pt idx="1076">
                  <c:v>1.8935662677180831E-2</c:v>
                </c:pt>
                <c:pt idx="1077">
                  <c:v>1.8966029329462453E-2</c:v>
                </c:pt>
                <c:pt idx="1078">
                  <c:v>1.8996286362434889E-2</c:v>
                </c:pt>
                <c:pt idx="1079">
                  <c:v>1.9026433776179186E-2</c:v>
                </c:pt>
                <c:pt idx="1080">
                  <c:v>1.9056471570290112E-2</c:v>
                </c:pt>
                <c:pt idx="1081">
                  <c:v>1.9086399745091853E-2</c:v>
                </c:pt>
                <c:pt idx="1082">
                  <c:v>1.9116218300422316E-2</c:v>
                </c:pt>
                <c:pt idx="1083">
                  <c:v>1.9145927236281501E-2</c:v>
                </c:pt>
                <c:pt idx="1084">
                  <c:v>1.9184970923939264E-2</c:v>
                </c:pt>
                <c:pt idx="1085">
                  <c:v>1.9214432399919566E-2</c:v>
                </c:pt>
                <c:pt idx="1086">
                  <c:v>1.9246383347295837E-2</c:v>
                </c:pt>
                <c:pt idx="1087">
                  <c:v>1.9273026472718485E-2</c:v>
                </c:pt>
                <c:pt idx="1088">
                  <c:v>1.9302159069320982E-2</c:v>
                </c:pt>
                <c:pt idx="1089">
                  <c:v>1.9331182039347142E-2</c:v>
                </c:pt>
                <c:pt idx="1090">
                  <c:v>1.9360095382688906E-2</c:v>
                </c:pt>
                <c:pt idx="1091">
                  <c:v>1.9388899099265226E-2</c:v>
                </c:pt>
                <c:pt idx="1092">
                  <c:v>1.9417593188968039E-2</c:v>
                </c:pt>
                <c:pt idx="1093">
                  <c:v>1.9446177651770334E-2</c:v>
                </c:pt>
                <c:pt idx="1094">
                  <c:v>1.9474652487564047E-2</c:v>
                </c:pt>
                <c:pt idx="1095">
                  <c:v>1.9503017696322161E-2</c:v>
                </c:pt>
                <c:pt idx="1096">
                  <c:v>1.9531273277909603E-2</c:v>
                </c:pt>
                <c:pt idx="1097">
                  <c:v>1.9559419232272338E-2</c:v>
                </c:pt>
                <c:pt idx="1098">
                  <c:v>1.9598385975779786E-2</c:v>
                </c:pt>
                <c:pt idx="1099">
                  <c:v>1.9626262696423868E-2</c:v>
                </c:pt>
                <c:pt idx="1100">
                  <c:v>1.9654029797110395E-2</c:v>
                </c:pt>
                <c:pt idx="1101">
                  <c:v>1.9681687277839366E-2</c:v>
                </c:pt>
                <c:pt idx="1102">
                  <c:v>1.9709235138610781E-2</c:v>
                </c:pt>
                <c:pt idx="1103">
                  <c:v>1.9736673379262548E-2</c:v>
                </c:pt>
                <c:pt idx="1104">
                  <c:v>1.976400199995676E-2</c:v>
                </c:pt>
                <c:pt idx="1105">
                  <c:v>1.9791221000612369E-2</c:v>
                </c:pt>
                <c:pt idx="1106">
                  <c:v>1.9818330381067284E-2</c:v>
                </c:pt>
                <c:pt idx="1107">
                  <c:v>1.9845330141564643E-2</c:v>
                </c:pt>
                <c:pt idx="1108">
                  <c:v>1.9872220281780262E-2</c:v>
                </c:pt>
                <c:pt idx="1109">
                  <c:v>1.9899000801957278E-2</c:v>
                </c:pt>
                <c:pt idx="1110">
                  <c:v>1.9925671701852554E-2</c:v>
                </c:pt>
                <c:pt idx="1111">
                  <c:v>1.9952232981547136E-2</c:v>
                </c:pt>
                <c:pt idx="1112">
                  <c:v>1.9978684641041022E-2</c:v>
                </c:pt>
                <c:pt idx="1113">
                  <c:v>2.0005026680253168E-2</c:v>
                </c:pt>
                <c:pt idx="1114">
                  <c:v>2.0031259099183574E-2</c:v>
                </c:pt>
                <c:pt idx="1115">
                  <c:v>2.0069439867706117E-2</c:v>
                </c:pt>
                <c:pt idx="1116">
                  <c:v>2.0083395076199162E-2</c:v>
                </c:pt>
                <c:pt idx="1117">
                  <c:v>2.0109298634122252E-2</c:v>
                </c:pt>
                <c:pt idx="1118">
                  <c:v>2.0135092571763602E-2</c:v>
                </c:pt>
                <c:pt idx="1119">
                  <c:v>2.0160776888880072E-2</c:v>
                </c:pt>
                <c:pt idx="1120">
                  <c:v>2.0186351585714801E-2</c:v>
                </c:pt>
                <c:pt idx="1121">
                  <c:v>2.0211816661943605E-2</c:v>
                </c:pt>
                <c:pt idx="1122">
                  <c:v>2.0237172117809621E-2</c:v>
                </c:pt>
                <c:pt idx="1123">
                  <c:v>2.0262417953150758E-2</c:v>
                </c:pt>
                <c:pt idx="1124">
                  <c:v>2.0287554167967015E-2</c:v>
                </c:pt>
                <c:pt idx="1125">
                  <c:v>2.0312580762339438E-2</c:v>
                </c:pt>
                <c:pt idx="1126">
                  <c:v>2.0337497736105936E-2</c:v>
                </c:pt>
                <c:pt idx="1127">
                  <c:v>2.0362305089266508E-2</c:v>
                </c:pt>
                <c:pt idx="1128">
                  <c:v>2.0387002821821154E-2</c:v>
                </c:pt>
                <c:pt idx="1129">
                  <c:v>2.0411590933769874E-2</c:v>
                </c:pt>
                <c:pt idx="1130">
                  <c:v>2.0436069425031622E-2</c:v>
                </c:pt>
                <c:pt idx="1131">
                  <c:v>2.0460438295687444E-2</c:v>
                </c:pt>
                <c:pt idx="1132">
                  <c:v>2.0484697545575248E-2</c:v>
                </c:pt>
                <c:pt idx="1133">
                  <c:v>2.0508847174776079E-2</c:v>
                </c:pt>
                <c:pt idx="1134">
                  <c:v>2.0532887183208892E-2</c:v>
                </c:pt>
                <c:pt idx="1135">
                  <c:v>2.0556817571035779E-2</c:v>
                </c:pt>
                <c:pt idx="1136">
                  <c:v>2.0580638337932555E-2</c:v>
                </c:pt>
                <c:pt idx="1137">
                  <c:v>2.0604349484061313E-2</c:v>
                </c:pt>
                <c:pt idx="1138">
                  <c:v>2.0627951009422052E-2</c:v>
                </c:pt>
                <c:pt idx="1139">
                  <c:v>2.065144291385268E-2</c:v>
                </c:pt>
                <c:pt idx="1140">
                  <c:v>2.0674825197434243E-2</c:v>
                </c:pt>
                <c:pt idx="1141">
                  <c:v>2.0698097860247788E-2</c:v>
                </c:pt>
                <c:pt idx="1142">
                  <c:v>2.0721260902050176E-2</c:v>
                </c:pt>
                <c:pt idx="1143">
                  <c:v>2.0744314322922452E-2</c:v>
                </c:pt>
                <c:pt idx="1144">
                  <c:v>2.0767258122864618E-2</c:v>
                </c:pt>
                <c:pt idx="1145">
                  <c:v>2.0790092301876673E-2</c:v>
                </c:pt>
                <c:pt idx="1146">
                  <c:v>2.0812816859796524E-2</c:v>
                </c:pt>
                <c:pt idx="1147">
                  <c:v>2.0835431796786263E-2</c:v>
                </c:pt>
                <c:pt idx="1148">
                  <c:v>2.0857937112764846E-2</c:v>
                </c:pt>
                <c:pt idx="1149">
                  <c:v>2.0880332807651225E-2</c:v>
                </c:pt>
                <c:pt idx="1150">
                  <c:v>2.0908966196634404E-2</c:v>
                </c:pt>
                <c:pt idx="1151">
                  <c:v>2.0931111329082208E-2</c:v>
                </c:pt>
                <c:pt idx="1152">
                  <c:v>2.0953146840356762E-2</c:v>
                </c:pt>
                <c:pt idx="1153">
                  <c:v>2.0975072730539113E-2</c:v>
                </c:pt>
                <c:pt idx="1154">
                  <c:v>2.0996888999548213E-2</c:v>
                </c:pt>
                <c:pt idx="1155">
                  <c:v>2.101859564746511E-2</c:v>
                </c:pt>
                <c:pt idx="1156">
                  <c:v>2.1040192674046665E-2</c:v>
                </c:pt>
                <c:pt idx="1157">
                  <c:v>2.1061680079536016E-2</c:v>
                </c:pt>
                <c:pt idx="1158">
                  <c:v>2.1083057863690025E-2</c:v>
                </c:pt>
                <c:pt idx="1159">
                  <c:v>2.1104326026589737E-2</c:v>
                </c:pt>
                <c:pt idx="1160">
                  <c:v>2.1125484568235153E-2</c:v>
                </c:pt>
                <c:pt idx="1161">
                  <c:v>2.1146533488626273E-2</c:v>
                </c:pt>
                <c:pt idx="1162">
                  <c:v>2.1167472787763097E-2</c:v>
                </c:pt>
                <c:pt idx="1163">
                  <c:v>2.1188302465564579E-2</c:v>
                </c:pt>
                <c:pt idx="1164">
                  <c:v>2.1209022521868626E-2</c:v>
                </c:pt>
                <c:pt idx="1165">
                  <c:v>2.1229632956918376E-2</c:v>
                </c:pt>
                <c:pt idx="1166">
                  <c:v>2.1250133770551738E-2</c:v>
                </c:pt>
                <c:pt idx="1167">
                  <c:v>2.1282127854844735E-2</c:v>
                </c:pt>
                <c:pt idx="1168">
                  <c:v>2.1302346784812798E-2</c:v>
                </c:pt>
                <c:pt idx="1169">
                  <c:v>2.1322456093364472E-2</c:v>
                </c:pt>
                <c:pt idx="1170">
                  <c:v>2.1342455780418712E-2</c:v>
                </c:pt>
                <c:pt idx="1171">
                  <c:v>2.1362345846056563E-2</c:v>
                </c:pt>
                <c:pt idx="1172">
                  <c:v>2.1382126290115933E-2</c:v>
                </c:pt>
                <c:pt idx="1173">
                  <c:v>2.1401797112677867E-2</c:v>
                </c:pt>
                <c:pt idx="1174">
                  <c:v>2.1421358313742367E-2</c:v>
                </c:pt>
                <c:pt idx="1175">
                  <c:v>2.1440809893228385E-2</c:v>
                </c:pt>
                <c:pt idx="1176">
                  <c:v>2.1460151851054876E-2</c:v>
                </c:pt>
                <c:pt idx="1177">
                  <c:v>2.1482122707821016E-2</c:v>
                </c:pt>
                <c:pt idx="1178">
                  <c:v>2.1501228507726511E-2</c:v>
                </c:pt>
                <c:pt idx="1179">
                  <c:v>2.1520222490590823E-2</c:v>
                </c:pt>
                <c:pt idx="1180">
                  <c:v>2.1539104656413954E-2</c:v>
                </c:pt>
                <c:pt idx="1181">
                  <c:v>2.1557875005114857E-2</c:v>
                </c:pt>
                <c:pt idx="1182">
                  <c:v>2.1576533536774578E-2</c:v>
                </c:pt>
                <c:pt idx="1183">
                  <c:v>2.1595080251231025E-2</c:v>
                </c:pt>
                <c:pt idx="1184">
                  <c:v>2.1613515148565243E-2</c:v>
                </c:pt>
                <c:pt idx="1185">
                  <c:v>2.1631838228777234E-2</c:v>
                </c:pt>
                <c:pt idx="1186">
                  <c:v>2.1650049491704904E-2</c:v>
                </c:pt>
                <c:pt idx="1187">
                  <c:v>2.1668148937591392E-2</c:v>
                </c:pt>
                <c:pt idx="1188">
                  <c:v>2.1686136566193559E-2</c:v>
                </c:pt>
                <c:pt idx="1189">
                  <c:v>2.1704012377592452E-2</c:v>
                </c:pt>
                <c:pt idx="1190">
                  <c:v>2.1721776371707024E-2</c:v>
                </c:pt>
                <c:pt idx="1191">
                  <c:v>2.1739428548618323E-2</c:v>
                </c:pt>
                <c:pt idx="1192">
                  <c:v>2.17569689082453E-2</c:v>
                </c:pt>
                <c:pt idx="1193">
                  <c:v>2.1774397450587957E-2</c:v>
                </c:pt>
                <c:pt idx="1194">
                  <c:v>2.1791714175646293E-2</c:v>
                </c:pt>
                <c:pt idx="1195">
                  <c:v>2.1808919083258216E-2</c:v>
                </c:pt>
                <c:pt idx="1196">
                  <c:v>2.1826012173666864E-2</c:v>
                </c:pt>
                <c:pt idx="1197">
                  <c:v>2.18429934466291E-2</c:v>
                </c:pt>
                <c:pt idx="1198">
                  <c:v>2.1859862902307015E-2</c:v>
                </c:pt>
                <c:pt idx="1199">
                  <c:v>2.1876620540619562E-2</c:v>
                </c:pt>
                <c:pt idx="1200">
                  <c:v>2.1893266361485697E-2</c:v>
                </c:pt>
                <c:pt idx="1201">
                  <c:v>2.1920513733499535E-2</c:v>
                </c:pt>
                <c:pt idx="1202">
                  <c:v>2.1938696892035425E-2</c:v>
                </c:pt>
                <c:pt idx="1203">
                  <c:v>2.1953122415756535E-2</c:v>
                </c:pt>
                <c:pt idx="1204">
                  <c:v>2.1969259012682617E-2</c:v>
                </c:pt>
                <c:pt idx="1205">
                  <c:v>2.1985283780113406E-2</c:v>
                </c:pt>
                <c:pt idx="1206">
                  <c:v>2.2002991538895011E-2</c:v>
                </c:pt>
                <c:pt idx="1207">
                  <c:v>2.2016997826137901E-2</c:v>
                </c:pt>
                <c:pt idx="1208">
                  <c:v>2.2032687104677578E-2</c:v>
                </c:pt>
                <c:pt idx="1209">
                  <c:v>2.204826455355987E-2</c:v>
                </c:pt>
                <c:pt idx="1210">
                  <c:v>2.2063730172676713E-2</c:v>
                </c:pt>
                <c:pt idx="1211">
                  <c:v>2.2079083962001093E-2</c:v>
                </c:pt>
                <c:pt idx="1212">
                  <c:v>2.2094325921505991E-2</c:v>
                </c:pt>
                <c:pt idx="1213">
                  <c:v>2.2109456051137382E-2</c:v>
                </c:pt>
                <c:pt idx="1214">
                  <c:v>2.2124474350841233E-2</c:v>
                </c:pt>
                <c:pt idx="1215">
                  <c:v>2.2139380820617543E-2</c:v>
                </c:pt>
                <c:pt idx="1216">
                  <c:v>2.2154175460358253E-2</c:v>
                </c:pt>
                <c:pt idx="1217">
                  <c:v>2.2170575363993916E-2</c:v>
                </c:pt>
                <c:pt idx="1218">
                  <c:v>2.2188291632344592E-2</c:v>
                </c:pt>
                <c:pt idx="1219">
                  <c:v>2.2202701102094213E-2</c:v>
                </c:pt>
                <c:pt idx="1220">
                  <c:v>2.2216998754235329E-2</c:v>
                </c:pt>
                <c:pt idx="1221">
                  <c:v>2.2231184588605846E-2</c:v>
                </c:pt>
                <c:pt idx="1222">
                  <c:v>2.2245258605286811E-2</c:v>
                </c:pt>
                <c:pt idx="1223">
                  <c:v>2.2259220804197177E-2</c:v>
                </c:pt>
                <c:pt idx="1224">
                  <c:v>2.2273071185417992E-2</c:v>
                </c:pt>
                <c:pt idx="1225">
                  <c:v>2.2286809748949254E-2</c:v>
                </c:pt>
                <c:pt idx="1226">
                  <c:v>2.230043649446678E-2</c:v>
                </c:pt>
                <c:pt idx="1227">
                  <c:v>2.23139514223758E-2</c:v>
                </c:pt>
                <c:pt idx="1228">
                  <c:v>2.2327354532433175E-2</c:v>
                </c:pt>
                <c:pt idx="1229">
                  <c:v>2.2340645824638905E-2</c:v>
                </c:pt>
                <c:pt idx="1230">
                  <c:v>2.2353825299074037E-2</c:v>
                </c:pt>
                <c:pt idx="1231">
                  <c:v>2.2366892955657525E-2</c:v>
                </c:pt>
                <c:pt idx="1232">
                  <c:v>2.2379848794389368E-2</c:v>
                </c:pt>
                <c:pt idx="1233">
                  <c:v>2.2392692815269566E-2</c:v>
                </c:pt>
                <c:pt idx="1234">
                  <c:v>2.2405425018217073E-2</c:v>
                </c:pt>
                <c:pt idx="1235">
                  <c:v>2.2418045403393982E-2</c:v>
                </c:pt>
                <c:pt idx="1236">
                  <c:v>2.2430553970557154E-2</c:v>
                </c:pt>
                <c:pt idx="1237">
                  <c:v>2.2442950719868682E-2</c:v>
                </c:pt>
                <c:pt idx="1238">
                  <c:v>2.2455235651247518E-2</c:v>
                </c:pt>
                <c:pt idx="1239">
                  <c:v>2.246740876477471E-2</c:v>
                </c:pt>
                <c:pt idx="1240">
                  <c:v>2.2479470060288165E-2</c:v>
                </c:pt>
                <c:pt idx="1241">
                  <c:v>2.2491419537868929E-2</c:v>
                </c:pt>
                <c:pt idx="1242">
                  <c:v>2.2503257197435955E-2</c:v>
                </c:pt>
                <c:pt idx="1243">
                  <c:v>2.2514983039070291E-2</c:v>
                </c:pt>
                <c:pt idx="1244">
                  <c:v>2.252659706269089E-2</c:v>
                </c:pt>
                <c:pt idx="1245">
                  <c:v>2.2538099268297751E-2</c:v>
                </c:pt>
                <c:pt idx="1246">
                  <c:v>2.2549489655890875E-2</c:v>
                </c:pt>
                <c:pt idx="1247">
                  <c:v>2.2560768225551309E-2</c:v>
                </c:pt>
                <c:pt idx="1248">
                  <c:v>2.2571934977198005E-2</c:v>
                </c:pt>
                <c:pt idx="1249">
                  <c:v>2.2582989910668871E-2</c:v>
                </c:pt>
                <c:pt idx="1250">
                  <c:v>2.2593933026207047E-2</c:v>
                </c:pt>
                <c:pt idx="1251">
                  <c:v>2.2604764323650439E-2</c:v>
                </c:pt>
                <c:pt idx="1252">
                  <c:v>2.2624582930134141E-2</c:v>
                </c:pt>
                <c:pt idx="1253">
                  <c:v>2.2636587307574008E-2</c:v>
                </c:pt>
                <c:pt idx="1254">
                  <c:v>2.2646971332638266E-2</c:v>
                </c:pt>
                <c:pt idx="1255">
                  <c:v>2.2657243539688787E-2</c:v>
                </c:pt>
                <c:pt idx="1256">
                  <c:v>2.2667403928563479E-2</c:v>
                </c:pt>
                <c:pt idx="1257">
                  <c:v>2.2678878881385867E-2</c:v>
                </c:pt>
                <c:pt idx="1258">
                  <c:v>2.2688799660011139E-2</c:v>
                </c:pt>
                <c:pt idx="1259">
                  <c:v>2.2698608620460581E-2</c:v>
                </c:pt>
                <c:pt idx="1260">
                  <c:v>2.270830576281524E-2</c:v>
                </c:pt>
                <c:pt idx="1261">
                  <c:v>2.2717891086913022E-2</c:v>
                </c:pt>
                <c:pt idx="1262">
                  <c:v>2.2727364592916022E-2</c:v>
                </c:pt>
                <c:pt idx="1263">
                  <c:v>2.2736726280743191E-2</c:v>
                </c:pt>
                <c:pt idx="1264">
                  <c:v>2.2745976150313485E-2</c:v>
                </c:pt>
                <c:pt idx="1265">
                  <c:v>2.2755114201788995E-2</c:v>
                </c:pt>
                <c:pt idx="1266">
                  <c:v>2.2764140435007629E-2</c:v>
                </c:pt>
                <c:pt idx="1267">
                  <c:v>2.2773054849888341E-2</c:v>
                </c:pt>
                <c:pt idx="1268">
                  <c:v>2.278185744667427E-2</c:v>
                </c:pt>
                <c:pt idx="1269">
                  <c:v>2.2790548225203322E-2</c:v>
                </c:pt>
                <c:pt idx="1270">
                  <c:v>2.2799127185475498E-2</c:v>
                </c:pt>
                <c:pt idx="1271">
                  <c:v>2.2807594327571845E-2</c:v>
                </c:pt>
                <c:pt idx="1272">
                  <c:v>2.281594965133027E-2</c:v>
                </c:pt>
                <c:pt idx="1273">
                  <c:v>2.2824193156912864E-2</c:v>
                </c:pt>
                <c:pt idx="1274">
                  <c:v>2.2832324844157537E-2</c:v>
                </c:pt>
                <c:pt idx="1275">
                  <c:v>2.2840344713145333E-2</c:v>
                </c:pt>
                <c:pt idx="1276">
                  <c:v>2.2848252763795207E-2</c:v>
                </c:pt>
                <c:pt idx="1277">
                  <c:v>2.2856048996269251E-2</c:v>
                </c:pt>
                <c:pt idx="1278">
                  <c:v>2.2863733410324327E-2</c:v>
                </c:pt>
                <c:pt idx="1279">
                  <c:v>2.2871306006122527E-2</c:v>
                </c:pt>
                <c:pt idx="1280">
                  <c:v>2.2878766783663851E-2</c:v>
                </c:pt>
                <c:pt idx="1281">
                  <c:v>2.2886115742786206E-2</c:v>
                </c:pt>
                <c:pt idx="1282">
                  <c:v>2.2893352883570639E-2</c:v>
                </c:pt>
                <c:pt idx="1283">
                  <c:v>2.2900478206179242E-2</c:v>
                </c:pt>
                <c:pt idx="1284">
                  <c:v>2.2907491710287831E-2</c:v>
                </c:pt>
                <c:pt idx="1285">
                  <c:v>2.2914393396058497E-2</c:v>
                </c:pt>
                <c:pt idx="1286">
                  <c:v>2.2921183263572287E-2</c:v>
                </c:pt>
                <c:pt idx="1287">
                  <c:v>2.2927861312667108E-2</c:v>
                </c:pt>
                <c:pt idx="1288">
                  <c:v>2.2934427543424007E-2</c:v>
                </c:pt>
                <c:pt idx="1289">
                  <c:v>2.2940881955842984E-2</c:v>
                </c:pt>
                <c:pt idx="1290">
                  <c:v>2.2947224549842993E-2</c:v>
                </c:pt>
                <c:pt idx="1291">
                  <c:v>2.2953455325424033E-2</c:v>
                </c:pt>
                <c:pt idx="1292">
                  <c:v>2.295957428266715E-2</c:v>
                </c:pt>
                <c:pt idx="1293">
                  <c:v>2.2965581421491299E-2</c:v>
                </c:pt>
                <c:pt idx="1294">
                  <c:v>2.2971476741896479E-2</c:v>
                </c:pt>
                <c:pt idx="1295">
                  <c:v>2.2977260243963737E-2</c:v>
                </c:pt>
                <c:pt idx="1296">
                  <c:v>2.2982931927530981E-2</c:v>
                </c:pt>
                <c:pt idx="1297">
                  <c:v>2.2988491792760302E-2</c:v>
                </c:pt>
                <c:pt idx="1298">
                  <c:v>2.2993939839489608E-2</c:v>
                </c:pt>
                <c:pt idx="1299">
                  <c:v>2.2999276067880992E-2</c:v>
                </c:pt>
                <c:pt idx="1300">
                  <c:v>2.3004500477772361E-2</c:v>
                </c:pt>
                <c:pt idx="1301">
                  <c:v>2.3009613069325807E-2</c:v>
                </c:pt>
                <c:pt idx="1302">
                  <c:v>2.3014613842298193E-2</c:v>
                </c:pt>
                <c:pt idx="1303">
                  <c:v>2.3022926447129333E-2</c:v>
                </c:pt>
                <c:pt idx="1304">
                  <c:v>2.3028285622883615E-2</c:v>
                </c:pt>
                <c:pt idx="1305">
                  <c:v>2.3032855096158933E-2</c:v>
                </c:pt>
                <c:pt idx="1306">
                  <c:v>2.3037312751015282E-2</c:v>
                </c:pt>
                <c:pt idx="1307">
                  <c:v>2.3041658587371616E-2</c:v>
                </c:pt>
                <c:pt idx="1308">
                  <c:v>2.3046918042242126E-2</c:v>
                </c:pt>
                <c:pt idx="1309">
                  <c:v>2.3050014804746333E-2</c:v>
                </c:pt>
                <c:pt idx="1310">
                  <c:v>2.3054025185683669E-2</c:v>
                </c:pt>
                <c:pt idx="1311">
                  <c:v>2.3057923748202036E-2</c:v>
                </c:pt>
                <c:pt idx="1312">
                  <c:v>2.3061710492220389E-2</c:v>
                </c:pt>
                <c:pt idx="1313">
                  <c:v>2.306538541765768E-2</c:v>
                </c:pt>
                <c:pt idx="1314">
                  <c:v>2.3068948524757049E-2</c:v>
                </c:pt>
                <c:pt idx="1315">
                  <c:v>2.3072399813275357E-2</c:v>
                </c:pt>
                <c:pt idx="1316">
                  <c:v>2.3075739283212604E-2</c:v>
                </c:pt>
                <c:pt idx="1317">
                  <c:v>2.3078966934730882E-2</c:v>
                </c:pt>
                <c:pt idx="1318">
                  <c:v>2.3082082767830192E-2</c:v>
                </c:pt>
                <c:pt idx="1319">
                  <c:v>2.3085086782267394E-2</c:v>
                </c:pt>
                <c:pt idx="1320">
                  <c:v>2.3088784781905014E-2</c:v>
                </c:pt>
                <c:pt idx="1321">
                  <c:v>2.3091533211303528E-2</c:v>
                </c:pt>
                <c:pt idx="1322">
                  <c:v>2.3094169822039934E-2</c:v>
                </c:pt>
                <c:pt idx="1323">
                  <c:v>2.3096694614357371E-2</c:v>
                </c:pt>
                <c:pt idx="1324">
                  <c:v>2.3099107588174794E-2</c:v>
                </c:pt>
                <c:pt idx="1325">
                  <c:v>2.3101408743411156E-2</c:v>
                </c:pt>
                <c:pt idx="1326">
                  <c:v>2.3103598080228549E-2</c:v>
                </c:pt>
                <c:pt idx="1327">
                  <c:v>2.3105675598383835E-2</c:v>
                </c:pt>
                <c:pt idx="1328">
                  <c:v>2.3107641298039105E-2</c:v>
                </c:pt>
                <c:pt idx="1329">
                  <c:v>2.3109495179275408E-2</c:v>
                </c:pt>
                <c:pt idx="1330">
                  <c:v>2.3111237241849603E-2</c:v>
                </c:pt>
                <c:pt idx="1331">
                  <c:v>2.3112867485923783E-2</c:v>
                </c:pt>
                <c:pt idx="1332">
                  <c:v>2.3114385911497948E-2</c:v>
                </c:pt>
                <c:pt idx="1333">
                  <c:v>2.3115792518491052E-2</c:v>
                </c:pt>
                <c:pt idx="1334">
                  <c:v>2.3117087306984141E-2</c:v>
                </c:pt>
                <c:pt idx="1335">
                  <c:v>2.3118270276977215E-2</c:v>
                </c:pt>
                <c:pt idx="1336">
                  <c:v>2.3119341428308182E-2</c:v>
                </c:pt>
                <c:pt idx="1337">
                  <c:v>2.3120300761220181E-2</c:v>
                </c:pt>
                <c:pt idx="1338">
                  <c:v>2.3121148275551118E-2</c:v>
                </c:pt>
                <c:pt idx="1339">
                  <c:v>2.3121883971300994E-2</c:v>
                </c:pt>
                <c:pt idx="1340">
                  <c:v>2.3122507848469809E-2</c:v>
                </c:pt>
                <c:pt idx="1341">
                  <c:v>2.3123019907219655E-2</c:v>
                </c:pt>
                <c:pt idx="1342">
                  <c:v>2.3123420147307394E-2</c:v>
                </c:pt>
                <c:pt idx="1343">
                  <c:v>2.3123708568976165E-2</c:v>
                </c:pt>
                <c:pt idx="1344">
                  <c:v>2.3123885171982828E-2</c:v>
                </c:pt>
                <c:pt idx="1345">
                  <c:v>2.3123949956489476E-2</c:v>
                </c:pt>
                <c:pt idx="1346">
                  <c:v>2.3123902922496109E-2</c:v>
                </c:pt>
                <c:pt idx="1347">
                  <c:v>2.3123744069921681E-2</c:v>
                </c:pt>
                <c:pt idx="1348">
                  <c:v>2.3123473398766192E-2</c:v>
                </c:pt>
                <c:pt idx="1349">
                  <c:v>2.3123090909110688E-2</c:v>
                </c:pt>
                <c:pt idx="1350">
                  <c:v>2.3122596600874123E-2</c:v>
                </c:pt>
                <c:pt idx="1351">
                  <c:v>2.3121990474137544E-2</c:v>
                </c:pt>
                <c:pt idx="1352">
                  <c:v>2.3121272528819903E-2</c:v>
                </c:pt>
                <c:pt idx="1353">
                  <c:v>2.3121648922930598E-2</c:v>
                </c:pt>
                <c:pt idx="1354">
                  <c:v>2.3118760163409746E-2</c:v>
                </c:pt>
                <c:pt idx="1355">
                  <c:v>2.3117626892130705E-2</c:v>
                </c:pt>
                <c:pt idx="1356">
                  <c:v>2.3116381802270602E-2</c:v>
                </c:pt>
                <c:pt idx="1357">
                  <c:v>2.3115024893829439E-2</c:v>
                </c:pt>
                <c:pt idx="1358">
                  <c:v>2.3113556166969307E-2</c:v>
                </c:pt>
                <c:pt idx="1359">
                  <c:v>2.3111975621447067E-2</c:v>
                </c:pt>
                <c:pt idx="1360">
                  <c:v>2.3110283257424813E-2</c:v>
                </c:pt>
                <c:pt idx="1361">
                  <c:v>2.3108479074902544E-2</c:v>
                </c:pt>
                <c:pt idx="1362">
                  <c:v>2.310656307388026E-2</c:v>
                </c:pt>
                <c:pt idx="1363">
                  <c:v>2.3104535254276914E-2</c:v>
                </c:pt>
                <c:pt idx="1364">
                  <c:v>2.3102395616173554E-2</c:v>
                </c:pt>
                <c:pt idx="1365">
                  <c:v>2.3100144159489133E-2</c:v>
                </c:pt>
                <c:pt idx="1366">
                  <c:v>2.3097780884304697E-2</c:v>
                </c:pt>
                <c:pt idx="1367">
                  <c:v>2.3095305790701293E-2</c:v>
                </c:pt>
                <c:pt idx="1368">
                  <c:v>2.3092718878435781E-2</c:v>
                </c:pt>
                <c:pt idx="1369">
                  <c:v>2.3090020147670254E-2</c:v>
                </c:pt>
                <c:pt idx="1370">
                  <c:v>2.3087209598485758E-2</c:v>
                </c:pt>
                <c:pt idx="1371">
                  <c:v>2.3084026111544292E-2</c:v>
                </c:pt>
                <c:pt idx="1372">
                  <c:v>2.3080927637153529E-2</c:v>
                </c:pt>
                <c:pt idx="1373">
                  <c:v>2.3077717330187712E-2</c:v>
                </c:pt>
                <c:pt idx="1374">
                  <c:v>2.3074395190619826E-2</c:v>
                </c:pt>
                <c:pt idx="1375">
                  <c:v>2.3070961218503903E-2</c:v>
                </c:pt>
                <c:pt idx="1376">
                  <c:v>2.3067415413812929E-2</c:v>
                </c:pt>
                <c:pt idx="1377">
                  <c:v>2.3063757776573917E-2</c:v>
                </c:pt>
                <c:pt idx="1378">
                  <c:v>2.3059988306759854E-2</c:v>
                </c:pt>
                <c:pt idx="1379">
                  <c:v>2.3056107004451785E-2</c:v>
                </c:pt>
                <c:pt idx="1380">
                  <c:v>2.3052113869595679E-2</c:v>
                </c:pt>
                <c:pt idx="1381">
                  <c:v>2.3048438381764735E-2</c:v>
                </c:pt>
                <c:pt idx="1382">
                  <c:v>2.3043792102374432E-2</c:v>
                </c:pt>
                <c:pt idx="1383">
                  <c:v>2.3039463470036308E-2</c:v>
                </c:pt>
                <c:pt idx="1384">
                  <c:v>2.3035023005231196E-2</c:v>
                </c:pt>
                <c:pt idx="1385">
                  <c:v>2.3030470707932075E-2</c:v>
                </c:pt>
                <c:pt idx="1386">
                  <c:v>2.3025806578192979E-2</c:v>
                </c:pt>
                <c:pt idx="1387">
                  <c:v>2.3021030615986891E-2</c:v>
                </c:pt>
                <c:pt idx="1388">
                  <c:v>2.3016142821421875E-2</c:v>
                </c:pt>
                <c:pt idx="1389">
                  <c:v>2.301114319438987E-2</c:v>
                </c:pt>
                <c:pt idx="1390">
                  <c:v>2.3006386669648382E-2</c:v>
                </c:pt>
                <c:pt idx="1391">
                  <c:v>2.2997847220005418E-2</c:v>
                </c:pt>
                <c:pt idx="1392">
                  <c:v>2.2992480819947758E-2</c:v>
                </c:pt>
                <c:pt idx="1393">
                  <c:v>2.2986210870808987E-2</c:v>
                </c:pt>
                <c:pt idx="1394">
                  <c:v>2.2980604859772491E-2</c:v>
                </c:pt>
                <c:pt idx="1395">
                  <c:v>2.2974887030317026E-2</c:v>
                </c:pt>
                <c:pt idx="1396">
                  <c:v>2.2969057382523639E-2</c:v>
                </c:pt>
                <c:pt idx="1397">
                  <c:v>2.2963115916392329E-2</c:v>
                </c:pt>
                <c:pt idx="1398">
                  <c:v>2.2957062631761005E-2</c:v>
                </c:pt>
                <c:pt idx="1399">
                  <c:v>2.2951174138937658E-2</c:v>
                </c:pt>
                <c:pt idx="1400">
                  <c:v>2.2944620607322497E-2</c:v>
                </c:pt>
                <c:pt idx="1401">
                  <c:v>2.2938231867596359E-2</c:v>
                </c:pt>
                <c:pt idx="1402">
                  <c:v>2.2931731309451253E-2</c:v>
                </c:pt>
                <c:pt idx="1403">
                  <c:v>2.2925118932968225E-2</c:v>
                </c:pt>
                <c:pt idx="1404">
                  <c:v>2.2918394738066228E-2</c:v>
                </c:pt>
                <c:pt idx="1405">
                  <c:v>2.2910573023425806E-2</c:v>
                </c:pt>
                <c:pt idx="1406">
                  <c:v>2.2903609217788112E-2</c:v>
                </c:pt>
                <c:pt idx="1407">
                  <c:v>2.2896533593812496E-2</c:v>
                </c:pt>
                <c:pt idx="1408">
                  <c:v>2.2889346151498957E-2</c:v>
                </c:pt>
                <c:pt idx="1409">
                  <c:v>2.2882046890928542E-2</c:v>
                </c:pt>
                <c:pt idx="1410">
                  <c:v>2.2874635812020205E-2</c:v>
                </c:pt>
                <c:pt idx="1411">
                  <c:v>2.28671129146929E-2</c:v>
                </c:pt>
                <c:pt idx="1412">
                  <c:v>2.2859478199189764E-2</c:v>
                </c:pt>
                <c:pt idx="1413">
                  <c:v>2.2851731665186614E-2</c:v>
                </c:pt>
                <c:pt idx="1414">
                  <c:v>2.2843873313007634E-2</c:v>
                </c:pt>
                <c:pt idx="1415">
                  <c:v>2.2835903142571778E-2</c:v>
                </c:pt>
                <c:pt idx="1416">
                  <c:v>2.2827821153798E-2</c:v>
                </c:pt>
                <c:pt idx="1417">
                  <c:v>2.2819627346767346E-2</c:v>
                </c:pt>
                <c:pt idx="1418">
                  <c:v>2.2811321721479816E-2</c:v>
                </c:pt>
                <c:pt idx="1419">
                  <c:v>2.280290427793541E-2</c:v>
                </c:pt>
                <c:pt idx="1420">
                  <c:v>2.2794375016134127E-2</c:v>
                </c:pt>
                <c:pt idx="1421">
                  <c:v>2.2785733936157015E-2</c:v>
                </c:pt>
                <c:pt idx="1422">
                  <c:v>2.2770660507557272E-2</c:v>
                </c:pt>
                <c:pt idx="1423">
                  <c:v>2.2761715920848191E-2</c:v>
                </c:pt>
                <c:pt idx="1424">
                  <c:v>2.2752659515963281E-2</c:v>
                </c:pt>
                <c:pt idx="1425">
                  <c:v>2.274349129290254E-2</c:v>
                </c:pt>
                <c:pt idx="1426">
                  <c:v>2.273421125166597E-2</c:v>
                </c:pt>
                <c:pt idx="1427">
                  <c:v>2.272481939225357E-2</c:v>
                </c:pt>
                <c:pt idx="1428">
                  <c:v>2.2715315714584294E-2</c:v>
                </c:pt>
                <c:pt idx="1429">
                  <c:v>2.2705700218739189E-2</c:v>
                </c:pt>
                <c:pt idx="1430">
                  <c:v>2.2695972904718253E-2</c:v>
                </c:pt>
                <c:pt idx="1431">
                  <c:v>2.2686133772683581E-2</c:v>
                </c:pt>
                <c:pt idx="1432">
                  <c:v>2.2674781396282429E-2</c:v>
                </c:pt>
                <c:pt idx="1433">
                  <c:v>2.2664863857806417E-2</c:v>
                </c:pt>
                <c:pt idx="1434">
                  <c:v>2.2654975554668999E-2</c:v>
                </c:pt>
                <c:pt idx="1435">
                  <c:v>2.264511648678913E-2</c:v>
                </c:pt>
                <c:pt idx="1436">
                  <c:v>2.2635286654166809E-2</c:v>
                </c:pt>
                <c:pt idx="1437">
                  <c:v>2.2625486056964128E-2</c:v>
                </c:pt>
                <c:pt idx="1438">
                  <c:v>2.261571469493795E-2</c:v>
                </c:pt>
                <c:pt idx="1439">
                  <c:v>2.2605972568250365E-2</c:v>
                </c:pt>
                <c:pt idx="1440">
                  <c:v>2.2596259676982422E-2</c:v>
                </c:pt>
                <c:pt idx="1441">
                  <c:v>2.2586576020809934E-2</c:v>
                </c:pt>
                <c:pt idx="1442">
                  <c:v>2.2576921600057087E-2</c:v>
                </c:pt>
                <c:pt idx="1443">
                  <c:v>2.2567296414561788E-2</c:v>
                </c:pt>
                <c:pt idx="1444">
                  <c:v>2.2557700464242991E-2</c:v>
                </c:pt>
                <c:pt idx="1445">
                  <c:v>2.2548133749343835E-2</c:v>
                </c:pt>
                <c:pt idx="1446">
                  <c:v>2.2538596269702227E-2</c:v>
                </c:pt>
                <c:pt idx="1447">
                  <c:v>2.2529088025318167E-2</c:v>
                </c:pt>
                <c:pt idx="1448">
                  <c:v>2.2519609016191655E-2</c:v>
                </c:pt>
                <c:pt idx="1449">
                  <c:v>2.2510159242403738E-2</c:v>
                </c:pt>
                <c:pt idx="1450">
                  <c:v>2.2500738703792322E-2</c:v>
                </c:pt>
                <c:pt idx="1451">
                  <c:v>2.2491347400519501E-2</c:v>
                </c:pt>
                <c:pt idx="1452">
                  <c:v>2.2481985332504228E-2</c:v>
                </c:pt>
                <c:pt idx="1453">
                  <c:v>2.2472652499665458E-2</c:v>
                </c:pt>
                <c:pt idx="1454">
                  <c:v>2.2463348902165281E-2</c:v>
                </c:pt>
                <c:pt idx="1455">
                  <c:v>2.2454074539922653E-2</c:v>
                </c:pt>
                <c:pt idx="1456">
                  <c:v>2.2442193317817605E-2</c:v>
                </c:pt>
                <c:pt idx="1457">
                  <c:v>2.2432985778962911E-2</c:v>
                </c:pt>
                <c:pt idx="1458">
                  <c:v>2.2423807475446811E-2</c:v>
                </c:pt>
                <c:pt idx="1459">
                  <c:v>2.2414658407107213E-2</c:v>
                </c:pt>
                <c:pt idx="1460">
                  <c:v>2.240553857410621E-2</c:v>
                </c:pt>
                <c:pt idx="1461">
                  <c:v>2.2396447976281708E-2</c:v>
                </c:pt>
                <c:pt idx="1462">
                  <c:v>2.2387386613714755E-2</c:v>
                </c:pt>
                <c:pt idx="1463">
                  <c:v>2.237835448640535E-2</c:v>
                </c:pt>
                <c:pt idx="1464">
                  <c:v>2.2369351594272446E-2</c:v>
                </c:pt>
                <c:pt idx="1465">
                  <c:v>2.2360377937397091E-2</c:v>
                </c:pt>
                <c:pt idx="1466">
                  <c:v>2.2351433515779284E-2</c:v>
                </c:pt>
                <c:pt idx="1467">
                  <c:v>2.2342518329419025E-2</c:v>
                </c:pt>
                <c:pt idx="1468">
                  <c:v>2.2333632378154222E-2</c:v>
                </c:pt>
                <c:pt idx="1469">
                  <c:v>2.232477566230906E-2</c:v>
                </c:pt>
                <c:pt idx="1470">
                  <c:v>2.2315948181640399E-2</c:v>
                </c:pt>
                <c:pt idx="1471">
                  <c:v>2.2307149936067194E-2</c:v>
                </c:pt>
                <c:pt idx="1472">
                  <c:v>2.229838092591363E-2</c:v>
                </c:pt>
                <c:pt idx="1473">
                  <c:v>2.228466011962249E-2</c:v>
                </c:pt>
                <c:pt idx="1474">
                  <c:v>2.2275966285729698E-2</c:v>
                </c:pt>
                <c:pt idx="1475">
                  <c:v>2.2267301686851315E-2</c:v>
                </c:pt>
                <c:pt idx="1476">
                  <c:v>2.2258666323311527E-2</c:v>
                </c:pt>
                <c:pt idx="1477">
                  <c:v>2.2250060195029286E-2</c:v>
                </c:pt>
                <c:pt idx="1478">
                  <c:v>2.2241483301842502E-2</c:v>
                </c:pt>
                <c:pt idx="1479">
                  <c:v>2.2232935643913265E-2</c:v>
                </c:pt>
                <c:pt idx="1480">
                  <c:v>2.2224417221160531E-2</c:v>
                </c:pt>
                <c:pt idx="1481">
                  <c:v>2.2215928033665344E-2</c:v>
                </c:pt>
                <c:pt idx="1482">
                  <c:v>2.2207468081265613E-2</c:v>
                </c:pt>
                <c:pt idx="1483">
                  <c:v>2.2197835362599561E-2</c:v>
                </c:pt>
                <c:pt idx="1484">
                  <c:v>2.2189438057110822E-2</c:v>
                </c:pt>
                <c:pt idx="1485">
                  <c:v>2.2181069986717539E-2</c:v>
                </c:pt>
                <c:pt idx="1486">
                  <c:v>2.2172731151743896E-2</c:v>
                </c:pt>
                <c:pt idx="1487">
                  <c:v>2.2164421551784663E-2</c:v>
                </c:pt>
                <c:pt idx="1488">
                  <c:v>2.2156141187082978E-2</c:v>
                </c:pt>
                <c:pt idx="1489">
                  <c:v>2.2147890057557795E-2</c:v>
                </c:pt>
                <c:pt idx="1490">
                  <c:v>2.2139668163128068E-2</c:v>
                </c:pt>
                <c:pt idx="1491">
                  <c:v>2.2131475504036935E-2</c:v>
                </c:pt>
                <c:pt idx="1492">
                  <c:v>2.2123312079960211E-2</c:v>
                </c:pt>
                <c:pt idx="1493">
                  <c:v>2.2115177891222082E-2</c:v>
                </c:pt>
                <c:pt idx="1494">
                  <c:v>2.2107072937579408E-2</c:v>
                </c:pt>
                <c:pt idx="1495">
                  <c:v>2.2098997219194283E-2</c:v>
                </c:pt>
                <c:pt idx="1496">
                  <c:v>2.2090950735742521E-2</c:v>
                </c:pt>
                <c:pt idx="1497">
                  <c:v>2.2082933487710399E-2</c:v>
                </c:pt>
                <c:pt idx="1498">
                  <c:v>2.2074945474773733E-2</c:v>
                </c:pt>
                <c:pt idx="1499">
                  <c:v>2.2066986696932522E-2</c:v>
                </c:pt>
                <c:pt idx="1500">
                  <c:v>2.2059057154267814E-2</c:v>
                </c:pt>
                <c:pt idx="1501">
                  <c:v>2.2051156846860653E-2</c:v>
                </c:pt>
                <c:pt idx="1502">
                  <c:v>2.2043285774548949E-2</c:v>
                </c:pt>
                <c:pt idx="1503">
                  <c:v>2.2035443937413746E-2</c:v>
                </c:pt>
                <c:pt idx="1504">
                  <c:v>2.2027631335455045E-2</c:v>
                </c:pt>
                <c:pt idx="1505">
                  <c:v>2.2019847968591799E-2</c:v>
                </c:pt>
                <c:pt idx="1506">
                  <c:v>2.2012093836905056E-2</c:v>
                </c:pt>
                <c:pt idx="1507">
                  <c:v>2.2001294088806654E-2</c:v>
                </c:pt>
                <c:pt idx="1508">
                  <c:v>2.1993729506891713E-2</c:v>
                </c:pt>
                <c:pt idx="1509">
                  <c:v>2.1985963565546166E-2</c:v>
                </c:pt>
                <c:pt idx="1510">
                  <c:v>2.197834216238093E-2</c:v>
                </c:pt>
                <c:pt idx="1511">
                  <c:v>2.197074999820137E-2</c:v>
                </c:pt>
                <c:pt idx="1512">
                  <c:v>2.1963308894705491E-2</c:v>
                </c:pt>
                <c:pt idx="1513">
                  <c:v>2.1955653386772266E-2</c:v>
                </c:pt>
                <c:pt idx="1514">
                  <c:v>2.1948148939522721E-2</c:v>
                </c:pt>
                <c:pt idx="1515">
                  <c:v>2.1940673731204823E-2</c:v>
                </c:pt>
                <c:pt idx="1516">
                  <c:v>2.193322776184559E-2</c:v>
                </c:pt>
                <c:pt idx="1517">
                  <c:v>2.1925811031418E-2</c:v>
                </c:pt>
                <c:pt idx="1518">
                  <c:v>2.1918423539976088E-2</c:v>
                </c:pt>
                <c:pt idx="1519">
                  <c:v>2.1911065287438806E-2</c:v>
                </c:pt>
                <c:pt idx="1520">
                  <c:v>2.1903736273806155E-2</c:v>
                </c:pt>
                <c:pt idx="1521">
                  <c:v>2.1896436499159181E-2</c:v>
                </c:pt>
                <c:pt idx="1522">
                  <c:v>2.1889165963389821E-2</c:v>
                </c:pt>
                <c:pt idx="1523">
                  <c:v>2.1881924666579126E-2</c:v>
                </c:pt>
                <c:pt idx="1524">
                  <c:v>2.1874995917218421E-2</c:v>
                </c:pt>
                <c:pt idx="1525">
                  <c:v>2.1867529789617594E-2</c:v>
                </c:pt>
                <c:pt idx="1526">
                  <c:v>2.1860376209493774E-2</c:v>
                </c:pt>
                <c:pt idx="1527">
                  <c:v>2.1853251868274585E-2</c:v>
                </c:pt>
                <c:pt idx="1528">
                  <c:v>2.184615676593301E-2</c:v>
                </c:pt>
                <c:pt idx="1529">
                  <c:v>2.1839090902469053E-2</c:v>
                </c:pt>
                <c:pt idx="1530">
                  <c:v>2.183205427788271E-2</c:v>
                </c:pt>
                <c:pt idx="1531">
                  <c:v>2.1825046892200998E-2</c:v>
                </c:pt>
                <c:pt idx="1532">
                  <c:v>2.1818068745369883E-2</c:v>
                </c:pt>
                <c:pt idx="1533">
                  <c:v>2.1811119837416387E-2</c:v>
                </c:pt>
                <c:pt idx="1534">
                  <c:v>2.1804200168313491E-2</c:v>
                </c:pt>
                <c:pt idx="1535">
                  <c:v>2.1797469655151502E-2</c:v>
                </c:pt>
                <c:pt idx="1536">
                  <c:v>2.1790448546632483E-2</c:v>
                </c:pt>
                <c:pt idx="1537">
                  <c:v>2.17836165941084E-2</c:v>
                </c:pt>
                <c:pt idx="1538">
                  <c:v>2.1776813880353872E-2</c:v>
                </c:pt>
                <c:pt idx="1539">
                  <c:v>2.1770040405503975E-2</c:v>
                </c:pt>
                <c:pt idx="1540">
                  <c:v>2.1763296169423633E-2</c:v>
                </c:pt>
                <c:pt idx="1541">
                  <c:v>2.1756581172220905E-2</c:v>
                </c:pt>
                <c:pt idx="1542">
                  <c:v>2.1749895413814745E-2</c:v>
                </c:pt>
                <c:pt idx="1543">
                  <c:v>2.1743412295437969E-2</c:v>
                </c:pt>
                <c:pt idx="1544">
                  <c:v>2.1736786708573264E-2</c:v>
                </c:pt>
                <c:pt idx="1545">
                  <c:v>2.1730013571456729E-2</c:v>
                </c:pt>
                <c:pt idx="1546">
                  <c:v>2.1723444768290877E-2</c:v>
                </c:pt>
                <c:pt idx="1547">
                  <c:v>2.1717085391942947E-2</c:v>
                </c:pt>
                <c:pt idx="1548">
                  <c:v>2.1710394878294851E-2</c:v>
                </c:pt>
                <c:pt idx="1549">
                  <c:v>2.1703913791518707E-2</c:v>
                </c:pt>
                <c:pt idx="1550">
                  <c:v>2.1697647241116502E-2</c:v>
                </c:pt>
                <c:pt idx="1551">
                  <c:v>2.1691039334248062E-2</c:v>
                </c:pt>
                <c:pt idx="1552">
                  <c:v>2.1684645963753562E-2</c:v>
                </c:pt>
                <c:pt idx="1553">
                  <c:v>2.1678472255952097E-2</c:v>
                </c:pt>
                <c:pt idx="1554">
                  <c:v>2.1671946939127256E-2</c:v>
                </c:pt>
                <c:pt idx="1555">
                  <c:v>2.1665641284968434E-2</c:v>
                </c:pt>
                <c:pt idx="1556">
                  <c:v>2.1659364869525136E-2</c:v>
                </c:pt>
                <c:pt idx="1557">
                  <c:v>2.1653117692878403E-2</c:v>
                </c:pt>
                <c:pt idx="1558">
                  <c:v>2.1646899754947196E-2</c:v>
                </c:pt>
                <c:pt idx="1559">
                  <c:v>2.1637665293787745E-2</c:v>
                </c:pt>
                <c:pt idx="1560">
                  <c:v>2.1630638677525571E-2</c:v>
                </c:pt>
                <c:pt idx="1561">
                  <c:v>2.1624521711589573E-2</c:v>
                </c:pt>
                <c:pt idx="1562">
                  <c:v>2.161843398074903E-2</c:v>
                </c:pt>
                <c:pt idx="1563">
                  <c:v>2.1612375485003943E-2</c:v>
                </c:pt>
                <c:pt idx="1564">
                  <c:v>2.160655622949148E-2</c:v>
                </c:pt>
                <c:pt idx="1565">
                  <c:v>2.160034619847595E-2</c:v>
                </c:pt>
                <c:pt idx="1566">
                  <c:v>2.1594375407855138E-2</c:v>
                </c:pt>
                <c:pt idx="1567">
                  <c:v>2.158843385232978E-2</c:v>
                </c:pt>
                <c:pt idx="1568">
                  <c:v>2.1582521531818832E-2</c:v>
                </c:pt>
                <c:pt idx="1569">
                  <c:v>2.1576638446322294E-2</c:v>
                </c:pt>
                <c:pt idx="1570">
                  <c:v>2.1570784595921211E-2</c:v>
                </c:pt>
                <c:pt idx="1571">
                  <c:v>2.1564959980453491E-2</c:v>
                </c:pt>
                <c:pt idx="1572">
                  <c:v>2.1559164600162273E-2</c:v>
                </c:pt>
                <c:pt idx="1573">
                  <c:v>2.1553398454804418E-2</c:v>
                </c:pt>
                <c:pt idx="1574">
                  <c:v>2.1547661544542018E-2</c:v>
                </c:pt>
                <c:pt idx="1575">
                  <c:v>2.1542183040336726E-2</c:v>
                </c:pt>
                <c:pt idx="1576">
                  <c:v>2.1534658387263317E-2</c:v>
                </c:pt>
                <c:pt idx="1577">
                  <c:v>2.152901753499803E-2</c:v>
                </c:pt>
                <c:pt idx="1578">
                  <c:v>2.1523405917747152E-2</c:v>
                </c:pt>
                <c:pt idx="1579">
                  <c:v>2.1517823535510683E-2</c:v>
                </c:pt>
                <c:pt idx="1580">
                  <c:v>2.151227038836967E-2</c:v>
                </c:pt>
                <c:pt idx="1581">
                  <c:v>2.150674647616202E-2</c:v>
                </c:pt>
                <c:pt idx="1582">
                  <c:v>2.1501251799049825E-2</c:v>
                </c:pt>
                <c:pt idx="1583">
                  <c:v>2.149578635695204E-2</c:v>
                </c:pt>
                <c:pt idx="1584">
                  <c:v>2.1490350149868664E-2</c:v>
                </c:pt>
                <c:pt idx="1585">
                  <c:v>2.1484943177799698E-2</c:v>
                </c:pt>
                <c:pt idx="1586">
                  <c:v>2.1479565440745141E-2</c:v>
                </c:pt>
                <c:pt idx="1587">
                  <c:v>2.1474216938786039E-2</c:v>
                </c:pt>
                <c:pt idx="1588">
                  <c:v>2.1468897671841347E-2</c:v>
                </c:pt>
                <c:pt idx="1589">
                  <c:v>2.1463607639911064E-2</c:v>
                </c:pt>
                <c:pt idx="1590">
                  <c:v>2.1458346842914144E-2</c:v>
                </c:pt>
                <c:pt idx="1591">
                  <c:v>2.1453115280931634E-2</c:v>
                </c:pt>
                <c:pt idx="1592">
                  <c:v>2.1447912954044579E-2</c:v>
                </c:pt>
                <c:pt idx="1593">
                  <c:v>2.1442739862171933E-2</c:v>
                </c:pt>
                <c:pt idx="1594">
                  <c:v>2.1437596005313697E-2</c:v>
                </c:pt>
                <c:pt idx="1595">
                  <c:v>2.143248138346987E-2</c:v>
                </c:pt>
                <c:pt idx="1596">
                  <c:v>2.1427395996559406E-2</c:v>
                </c:pt>
                <c:pt idx="1597">
                  <c:v>2.1422339844744398E-2</c:v>
                </c:pt>
                <c:pt idx="1598">
                  <c:v>2.1417312927862753E-2</c:v>
                </c:pt>
                <c:pt idx="1599">
                  <c:v>2.1412315246076563E-2</c:v>
                </c:pt>
                <c:pt idx="1600">
                  <c:v>2.1407346799223737E-2</c:v>
                </c:pt>
                <c:pt idx="1601">
                  <c:v>2.1402407587466366E-2</c:v>
                </c:pt>
                <c:pt idx="1602">
                  <c:v>2.1397497610561311E-2</c:v>
                </c:pt>
                <c:pt idx="1603">
                  <c:v>2.1392616868751713E-2</c:v>
                </c:pt>
                <c:pt idx="1604">
                  <c:v>2.1387765361956523E-2</c:v>
                </c:pt>
                <c:pt idx="1605">
                  <c:v>2.1382943090175743E-2</c:v>
                </c:pt>
                <c:pt idx="1606">
                  <c:v>2.1378150053328326E-2</c:v>
                </c:pt>
                <c:pt idx="1607">
                  <c:v>2.1373386251576365E-2</c:v>
                </c:pt>
                <c:pt idx="1608">
                  <c:v>2.1368651684757767E-2</c:v>
                </c:pt>
                <c:pt idx="1609">
                  <c:v>2.1363946352872532E-2</c:v>
                </c:pt>
                <c:pt idx="1610">
                  <c:v>2.1356611326659447E-2</c:v>
                </c:pt>
                <c:pt idx="1611">
                  <c:v>2.1351322106245574E-2</c:v>
                </c:pt>
                <c:pt idx="1612">
                  <c:v>2.1346725361545138E-2</c:v>
                </c:pt>
                <c:pt idx="1613">
                  <c:v>2.1342157851778065E-2</c:v>
                </c:pt>
                <c:pt idx="1614">
                  <c:v>2.1337619577106448E-2</c:v>
                </c:pt>
                <c:pt idx="1615">
                  <c:v>2.1333110537368194E-2</c:v>
                </c:pt>
                <c:pt idx="1616">
                  <c:v>2.1328630732644349E-2</c:v>
                </c:pt>
                <c:pt idx="1617">
                  <c:v>2.1324180162853867E-2</c:v>
                </c:pt>
                <c:pt idx="1618">
                  <c:v>2.1319758828158841E-2</c:v>
                </c:pt>
                <c:pt idx="1619">
                  <c:v>2.1315366728316132E-2</c:v>
                </c:pt>
                <c:pt idx="1620">
                  <c:v>2.1311003863487832E-2</c:v>
                </c:pt>
                <c:pt idx="1621">
                  <c:v>2.1306670233673941E-2</c:v>
                </c:pt>
                <c:pt idx="1622">
                  <c:v>2.130236583887446E-2</c:v>
                </c:pt>
                <c:pt idx="1623">
                  <c:v>2.1298090679008341E-2</c:v>
                </c:pt>
                <c:pt idx="1624">
                  <c:v>2.1293844754075586E-2</c:v>
                </c:pt>
                <c:pt idx="1625">
                  <c:v>2.1289628064238286E-2</c:v>
                </c:pt>
                <c:pt idx="1626">
                  <c:v>2.1285440609253303E-2</c:v>
                </c:pt>
                <c:pt idx="1627">
                  <c:v>2.1280099696143751E-2</c:v>
                </c:pt>
                <c:pt idx="1628">
                  <c:v>2.1275979064060424E-2</c:v>
                </c:pt>
                <c:pt idx="1629">
                  <c:v>2.1271887666910461E-2</c:v>
                </c:pt>
                <c:pt idx="1630">
                  <c:v>2.126782550469386E-2</c:v>
                </c:pt>
                <c:pt idx="1631">
                  <c:v>2.1263792577491669E-2</c:v>
                </c:pt>
                <c:pt idx="1632">
                  <c:v>2.1259788885303887E-2</c:v>
                </c:pt>
                <c:pt idx="1633">
                  <c:v>2.1255814428049469E-2</c:v>
                </c:pt>
                <c:pt idx="1634">
                  <c:v>2.1251869205728413E-2</c:v>
                </c:pt>
                <c:pt idx="1635">
                  <c:v>2.1247953218421767E-2</c:v>
                </c:pt>
                <c:pt idx="1636">
                  <c:v>2.1244066466048483E-2</c:v>
                </c:pt>
                <c:pt idx="1637">
                  <c:v>2.124020894868961E-2</c:v>
                </c:pt>
                <c:pt idx="1638">
                  <c:v>2.1236380666183052E-2</c:v>
                </c:pt>
                <c:pt idx="1639">
                  <c:v>2.1232581618690904E-2</c:v>
                </c:pt>
                <c:pt idx="1640">
                  <c:v>2.1228811806294212E-2</c:v>
                </c:pt>
                <c:pt idx="1641">
                  <c:v>2.122507122866879E-2</c:v>
                </c:pt>
                <c:pt idx="1642">
                  <c:v>2.1221359886057778E-2</c:v>
                </c:pt>
                <c:pt idx="1643">
                  <c:v>2.1217677778542221E-2</c:v>
                </c:pt>
                <c:pt idx="1644">
                  <c:v>2.1214024905878981E-2</c:v>
                </c:pt>
                <c:pt idx="1645">
                  <c:v>2.1210401268149104E-2</c:v>
                </c:pt>
                <c:pt idx="1646">
                  <c:v>2.1206806865433636E-2</c:v>
                </c:pt>
                <c:pt idx="1647">
                  <c:v>2.1203460272041601E-2</c:v>
                </c:pt>
                <c:pt idx="1648">
                  <c:v>2.1199932282241672E-2</c:v>
                </c:pt>
                <c:pt idx="1649">
                  <c:v>2.1196800338789679E-2</c:v>
                </c:pt>
                <c:pt idx="1650">
                  <c:v>2.1192964017977916E-2</c:v>
                </c:pt>
                <c:pt idx="1651">
                  <c:v>2.1189523743433046E-2</c:v>
                </c:pt>
                <c:pt idx="1652">
                  <c:v>2.1186112707306529E-2</c:v>
                </c:pt>
                <c:pt idx="1653">
                  <c:v>2.1182730909571349E-2</c:v>
                </c:pt>
                <c:pt idx="1654">
                  <c:v>2.1179378350281535E-2</c:v>
                </c:pt>
                <c:pt idx="1655">
                  <c:v>2.1176055029383061E-2</c:v>
                </c:pt>
                <c:pt idx="1656">
                  <c:v>2.1172760946875927E-2</c:v>
                </c:pt>
                <c:pt idx="1657">
                  <c:v>2.1169496102787143E-2</c:v>
                </c:pt>
                <c:pt idx="1658">
                  <c:v>2.1166260497089699E-2</c:v>
                </c:pt>
                <c:pt idx="1659">
                  <c:v>2.1163054129756574E-2</c:v>
                </c:pt>
                <c:pt idx="1660">
                  <c:v>2.1159877000841803E-2</c:v>
                </c:pt>
                <c:pt idx="1661">
                  <c:v>2.1154162718755032E-2</c:v>
                </c:pt>
                <c:pt idx="1662">
                  <c:v>2.1151056957358083E-2</c:v>
                </c:pt>
                <c:pt idx="1663">
                  <c:v>2.1147980430813451E-2</c:v>
                </c:pt>
                <c:pt idx="1664">
                  <c:v>2.1144933139364275E-2</c:v>
                </c:pt>
                <c:pt idx="1665">
                  <c:v>2.1141915082767415E-2</c:v>
                </c:pt>
                <c:pt idx="1666">
                  <c:v>2.1138926261103919E-2</c:v>
                </c:pt>
                <c:pt idx="1667">
                  <c:v>2.1135966674373785E-2</c:v>
                </c:pt>
                <c:pt idx="1668">
                  <c:v>2.1133036322577015E-2</c:v>
                </c:pt>
                <c:pt idx="1669">
                  <c:v>2.1130135205794653E-2</c:v>
                </c:pt>
                <c:pt idx="1670">
                  <c:v>2.1127263323864609E-2</c:v>
                </c:pt>
                <c:pt idx="1671">
                  <c:v>2.1124420676948974E-2</c:v>
                </c:pt>
                <c:pt idx="1672">
                  <c:v>2.1121607264966702E-2</c:v>
                </c:pt>
                <c:pt idx="1673">
                  <c:v>2.1118823087917793E-2</c:v>
                </c:pt>
                <c:pt idx="1674">
                  <c:v>2.1116068145721201E-2</c:v>
                </c:pt>
                <c:pt idx="1675">
                  <c:v>2.1113342438457972E-2</c:v>
                </c:pt>
                <c:pt idx="1676">
                  <c:v>2.1110645966209152E-2</c:v>
                </c:pt>
                <c:pt idx="1677">
                  <c:v>2.1107978728893695E-2</c:v>
                </c:pt>
                <c:pt idx="1678">
                  <c:v>2.1105066843032743E-2</c:v>
                </c:pt>
                <c:pt idx="1679">
                  <c:v>2.1102474481512482E-2</c:v>
                </c:pt>
                <c:pt idx="1680">
                  <c:v>2.1099911358329525E-2</c:v>
                </c:pt>
                <c:pt idx="1681">
                  <c:v>2.1097377473483874E-2</c:v>
                </c:pt>
                <c:pt idx="1682">
                  <c:v>2.1094872827029564E-2</c:v>
                </c:pt>
                <c:pt idx="1683">
                  <c:v>2.1092397418858527E-2</c:v>
                </c:pt>
                <c:pt idx="1684">
                  <c:v>2.1089951249051813E-2</c:v>
                </c:pt>
                <c:pt idx="1685">
                  <c:v>2.1087534317582406E-2</c:v>
                </c:pt>
                <c:pt idx="1686">
                  <c:v>2.1085146624477323E-2</c:v>
                </c:pt>
                <c:pt idx="1687">
                  <c:v>2.1082788169709547E-2</c:v>
                </c:pt>
                <c:pt idx="1688">
                  <c:v>2.1080900444356843E-2</c:v>
                </c:pt>
                <c:pt idx="1689">
                  <c:v>2.1078140097156771E-2</c:v>
                </c:pt>
                <c:pt idx="1690">
                  <c:v>2.1075831601504728E-2</c:v>
                </c:pt>
                <c:pt idx="1691">
                  <c:v>2.1073532014081651E-2</c:v>
                </c:pt>
                <c:pt idx="1692">
                  <c:v>2.1071241334887546E-2</c:v>
                </c:pt>
                <c:pt idx="1693">
                  <c:v>2.1068959563949424E-2</c:v>
                </c:pt>
                <c:pt idx="1694">
                  <c:v>2.1066686701213259E-2</c:v>
                </c:pt>
                <c:pt idx="1695">
                  <c:v>2.1064422746760091E-2</c:v>
                </c:pt>
                <c:pt idx="1696">
                  <c:v>2.1062167700508876E-2</c:v>
                </c:pt>
                <c:pt idx="1697">
                  <c:v>2.1060369047443406E-2</c:v>
                </c:pt>
                <c:pt idx="1698">
                  <c:v>2.1055832024268195E-2</c:v>
                </c:pt>
                <c:pt idx="1699">
                  <c:v>2.1053606504743971E-2</c:v>
                </c:pt>
                <c:pt idx="1700">
                  <c:v>2.1051073960511868E-2</c:v>
                </c:pt>
                <c:pt idx="1701">
                  <c:v>2.1048867527792003E-2</c:v>
                </c:pt>
                <c:pt idx="1702">
                  <c:v>2.1046670002301537E-2</c:v>
                </c:pt>
                <c:pt idx="1703">
                  <c:v>2.1044481383878377E-2</c:v>
                </c:pt>
                <c:pt idx="1704">
                  <c:v>2.1042301672765662E-2</c:v>
                </c:pt>
                <c:pt idx="1705">
                  <c:v>2.1040130868720253E-2</c:v>
                </c:pt>
                <c:pt idx="1706">
                  <c:v>2.1038421201438617E-2</c:v>
                </c:pt>
                <c:pt idx="1707">
                  <c:v>2.1035815982236583E-2</c:v>
                </c:pt>
                <c:pt idx="1708">
                  <c:v>2.1033671899798323E-2</c:v>
                </c:pt>
                <c:pt idx="1709">
                  <c:v>2.1031536724508415E-2</c:v>
                </c:pt>
                <c:pt idx="1710">
                  <c:v>2.1029410456366859E-2</c:v>
                </c:pt>
                <c:pt idx="1711">
                  <c:v>2.1027293095454702E-2</c:v>
                </c:pt>
                <c:pt idx="1712">
                  <c:v>2.1024884161146007E-2</c:v>
                </c:pt>
                <c:pt idx="1713">
                  <c:v>2.1022785887038209E-2</c:v>
                </c:pt>
                <c:pt idx="1714">
                  <c:v>2.1020696519997717E-2</c:v>
                </c:pt>
                <c:pt idx="1715">
                  <c:v>2.1018616060348716E-2</c:v>
                </c:pt>
                <c:pt idx="1716">
                  <c:v>2.1016544507767021E-2</c:v>
                </c:pt>
                <c:pt idx="1717">
                  <c:v>2.1014481862333678E-2</c:v>
                </c:pt>
                <c:pt idx="1718">
                  <c:v>2.1012428124129734E-2</c:v>
                </c:pt>
                <c:pt idx="1719">
                  <c:v>2.1010383293074142E-2</c:v>
                </c:pt>
                <c:pt idx="1720">
                  <c:v>2.1008347369166902E-2</c:v>
                </c:pt>
                <c:pt idx="1721">
                  <c:v>2.1006320352489061E-2</c:v>
                </c:pt>
                <c:pt idx="1722">
                  <c:v>2.1004302243040618E-2</c:v>
                </c:pt>
                <c:pt idx="1723">
                  <c:v>2.1002293040740527E-2</c:v>
                </c:pt>
                <c:pt idx="1724">
                  <c:v>2.1000292745507743E-2</c:v>
                </c:pt>
                <c:pt idx="1725">
                  <c:v>2.0998301357585403E-2</c:v>
                </c:pt>
                <c:pt idx="1726">
                  <c:v>2.0996318876730369E-2</c:v>
                </c:pt>
                <c:pt idx="1727">
                  <c:v>2.0994345303104733E-2</c:v>
                </c:pt>
                <c:pt idx="1728">
                  <c:v>2.0992380636708496E-2</c:v>
                </c:pt>
                <c:pt idx="1729">
                  <c:v>2.0992282152850317E-2</c:v>
                </c:pt>
                <c:pt idx="1730">
                  <c:v>2.0988478025361079E-2</c:v>
                </c:pt>
                <c:pt idx="1731">
                  <c:v>2.0986540080490945E-2</c:v>
                </c:pt>
                <c:pt idx="1732">
                  <c:v>2.0984611042688117E-2</c:v>
                </c:pt>
                <c:pt idx="1733">
                  <c:v>2.0982690912195734E-2</c:v>
                </c:pt>
                <c:pt idx="1734">
                  <c:v>2.0980779688770657E-2</c:v>
                </c:pt>
                <c:pt idx="1735">
                  <c:v>2.0978877372493931E-2</c:v>
                </c:pt>
                <c:pt idx="1736">
                  <c:v>2.0976983963527651E-2</c:v>
                </c:pt>
                <c:pt idx="1737">
                  <c:v>2.0975099461709723E-2</c:v>
                </c:pt>
                <c:pt idx="1738">
                  <c:v>2.0973223866959101E-2</c:v>
                </c:pt>
                <c:pt idx="1739">
                  <c:v>2.0971357179518924E-2</c:v>
                </c:pt>
                <c:pt idx="1740">
                  <c:v>2.0969499399146052E-2</c:v>
                </c:pt>
                <c:pt idx="1741">
                  <c:v>2.0967650526002579E-2</c:v>
                </c:pt>
                <c:pt idx="1742">
                  <c:v>2.0965810560007458E-2</c:v>
                </c:pt>
                <c:pt idx="1743">
                  <c:v>2.0963979501241736E-2</c:v>
                </c:pt>
                <c:pt idx="1744">
                  <c:v>2.096215734954332E-2</c:v>
                </c:pt>
                <c:pt idx="1745">
                  <c:v>2.0960344105155349E-2</c:v>
                </c:pt>
                <c:pt idx="1746">
                  <c:v>2.0958539767834683E-2</c:v>
                </c:pt>
                <c:pt idx="1747">
                  <c:v>2.0956744337824462E-2</c:v>
                </c:pt>
                <c:pt idx="1748">
                  <c:v>2.0954957814881547E-2</c:v>
                </c:pt>
                <c:pt idx="1749">
                  <c:v>2.0953180199086985E-2</c:v>
                </c:pt>
                <c:pt idx="1750">
                  <c:v>2.0951411490521821E-2</c:v>
                </c:pt>
                <c:pt idx="1751">
                  <c:v>2.0949651689186055E-2</c:v>
                </c:pt>
                <c:pt idx="1752">
                  <c:v>2.0947900794836549E-2</c:v>
                </c:pt>
                <c:pt idx="1753">
                  <c:v>2.0946158807797488E-2</c:v>
                </c:pt>
                <c:pt idx="1754">
                  <c:v>2.0944425727906779E-2</c:v>
                </c:pt>
                <c:pt idx="1755">
                  <c:v>2.0942701555245469E-2</c:v>
                </c:pt>
                <c:pt idx="1756">
                  <c:v>2.0940986289651464E-2</c:v>
                </c:pt>
                <c:pt idx="1757">
                  <c:v>2.0939279931286858E-2</c:v>
                </c:pt>
                <c:pt idx="1758">
                  <c:v>2.0937582480151651E-2</c:v>
                </c:pt>
                <c:pt idx="1759">
                  <c:v>2.0935893936083749E-2</c:v>
                </c:pt>
                <c:pt idx="1760">
                  <c:v>2.0934214299245246E-2</c:v>
                </c:pt>
                <c:pt idx="1761">
                  <c:v>2.0932543569555095E-2</c:v>
                </c:pt>
                <c:pt idx="1762">
                  <c:v>2.0930881747013297E-2</c:v>
                </c:pt>
                <c:pt idx="1763">
                  <c:v>2.0929228831700897E-2</c:v>
                </c:pt>
                <c:pt idx="1764">
                  <c:v>2.0928082879245379E-2</c:v>
                </c:pt>
                <c:pt idx="1765">
                  <c:v>2.0926935124678525E-2</c:v>
                </c:pt>
                <c:pt idx="1766">
                  <c:v>2.0924828846082082E-2</c:v>
                </c:pt>
                <c:pt idx="1767">
                  <c:v>2.0923215191830383E-2</c:v>
                </c:pt>
                <c:pt idx="1768">
                  <c:v>2.0921610445780635E-2</c:v>
                </c:pt>
                <c:pt idx="1769">
                  <c:v>2.0920500500458683E-2</c:v>
                </c:pt>
                <c:pt idx="1770">
                  <c:v>2.0918427678287003E-2</c:v>
                </c:pt>
                <c:pt idx="1771">
                  <c:v>2.0916849656870132E-2</c:v>
                </c:pt>
                <c:pt idx="1772">
                  <c:v>2.0915280543628199E-2</c:v>
                </c:pt>
                <c:pt idx="1773">
                  <c:v>2.0913720338615237E-2</c:v>
                </c:pt>
                <c:pt idx="1774">
                  <c:v>2.0912169041777211E-2</c:v>
                </c:pt>
                <c:pt idx="1775">
                  <c:v>2.0910626653195173E-2</c:v>
                </c:pt>
                <c:pt idx="1776">
                  <c:v>2.0909093172761056E-2</c:v>
                </c:pt>
                <c:pt idx="1777">
                  <c:v>2.0907568600555908E-2</c:v>
                </c:pt>
                <c:pt idx="1778">
                  <c:v>2.0906052936552715E-2</c:v>
                </c:pt>
                <c:pt idx="1779">
                  <c:v>2.0904546180778492E-2</c:v>
                </c:pt>
                <c:pt idx="1780">
                  <c:v>2.0903540253414121E-2</c:v>
                </c:pt>
                <c:pt idx="1781">
                  <c:v>2.0899727211984853E-2</c:v>
                </c:pt>
                <c:pt idx="1782">
                  <c:v>2.089825116761812E-2</c:v>
                </c:pt>
                <c:pt idx="1783">
                  <c:v>2.0896784030480786E-2</c:v>
                </c:pt>
                <c:pt idx="1784">
                  <c:v>2.0895325800410758E-2</c:v>
                </c:pt>
                <c:pt idx="1785">
                  <c:v>2.0893876477570128E-2</c:v>
                </c:pt>
                <c:pt idx="1786">
                  <c:v>2.089243606187785E-2</c:v>
                </c:pt>
                <c:pt idx="1787">
                  <c:v>2.0891004553414971E-2</c:v>
                </c:pt>
                <c:pt idx="1788">
                  <c:v>2.0889581952019398E-2</c:v>
                </c:pt>
                <c:pt idx="1789">
                  <c:v>2.0888168257853224E-2</c:v>
                </c:pt>
                <c:pt idx="1790">
                  <c:v>2.0886763470916447E-2</c:v>
                </c:pt>
                <c:pt idx="1791">
                  <c:v>2.0885367590965931E-2</c:v>
                </c:pt>
                <c:pt idx="1792">
                  <c:v>2.0883980618487952E-2</c:v>
                </c:pt>
                <c:pt idx="1793">
                  <c:v>2.0882602552915186E-2</c:v>
                </c:pt>
                <c:pt idx="1794">
                  <c:v>2.0881233394490772E-2</c:v>
                </c:pt>
                <c:pt idx="1795">
                  <c:v>2.0879873143376804E-2</c:v>
                </c:pt>
                <c:pt idx="1796">
                  <c:v>2.0878521799411187E-2</c:v>
                </c:pt>
                <c:pt idx="1797">
                  <c:v>2.0877179362512877E-2</c:v>
                </c:pt>
                <c:pt idx="1798">
                  <c:v>2.0875845833006057E-2</c:v>
                </c:pt>
                <c:pt idx="1799">
                  <c:v>2.0874521210566543E-2</c:v>
                </c:pt>
                <c:pt idx="1800">
                  <c:v>2.0873205495194336E-2</c:v>
                </c:pt>
                <c:pt idx="1801">
                  <c:v>2.0871898687051527E-2</c:v>
                </c:pt>
                <c:pt idx="1802">
                  <c:v>2.0870600786138116E-2</c:v>
                </c:pt>
                <c:pt idx="1803">
                  <c:v>2.0869311792292011E-2</c:v>
                </c:pt>
                <c:pt idx="1804">
                  <c:v>2.0868031705594259E-2</c:v>
                </c:pt>
                <c:pt idx="1805">
                  <c:v>2.0866760526125905E-2</c:v>
                </c:pt>
                <c:pt idx="1806">
                  <c:v>2.0865498253886949E-2</c:v>
                </c:pt>
                <c:pt idx="1807">
                  <c:v>2.08642448887153E-2</c:v>
                </c:pt>
                <c:pt idx="1808">
                  <c:v>2.0863000430854095E-2</c:v>
                </c:pt>
                <c:pt idx="1809">
                  <c:v>2.086176487997915E-2</c:v>
                </c:pt>
                <c:pt idx="1810">
                  <c:v>2.086053823641465E-2</c:v>
                </c:pt>
                <c:pt idx="1811">
                  <c:v>2.0859320499917455E-2</c:v>
                </c:pt>
                <c:pt idx="1812">
                  <c:v>2.0858111670568613E-2</c:v>
                </c:pt>
                <c:pt idx="1813">
                  <c:v>2.085691174844917E-2</c:v>
                </c:pt>
                <c:pt idx="1814">
                  <c:v>2.0855720733478078E-2</c:v>
                </c:pt>
                <c:pt idx="1815">
                  <c:v>2.0853532479844228E-2</c:v>
                </c:pt>
                <c:pt idx="1816">
                  <c:v>2.085220113161701E-2</c:v>
                </c:pt>
                <c:pt idx="1817">
                  <c:v>2.0851045745320373E-2</c:v>
                </c:pt>
                <c:pt idx="1818">
                  <c:v>2.0849899266172089E-2</c:v>
                </c:pt>
                <c:pt idx="1819">
                  <c:v>2.0848761694253204E-2</c:v>
                </c:pt>
                <c:pt idx="1820">
                  <c:v>2.0847472518782384E-2</c:v>
                </c:pt>
                <c:pt idx="1821">
                  <c:v>2.0846354033586811E-2</c:v>
                </c:pt>
                <c:pt idx="1822">
                  <c:v>2.0845244455620637E-2</c:v>
                </c:pt>
                <c:pt idx="1823">
                  <c:v>2.0844143784721769E-2</c:v>
                </c:pt>
                <c:pt idx="1824">
                  <c:v>2.08430520210523E-2</c:v>
                </c:pt>
                <c:pt idx="1825">
                  <c:v>2.0842487228405204E-2</c:v>
                </c:pt>
                <c:pt idx="1826">
                  <c:v>2.0840895215158417E-2</c:v>
                </c:pt>
                <c:pt idx="1827">
                  <c:v>2.083983017301505E-2</c:v>
                </c:pt>
                <c:pt idx="1828">
                  <c:v>2.083877403793899E-2</c:v>
                </c:pt>
                <c:pt idx="1829">
                  <c:v>2.0837726810173374E-2</c:v>
                </c:pt>
                <c:pt idx="1830">
                  <c:v>2.0836688489475064E-2</c:v>
                </c:pt>
                <c:pt idx="1831">
                  <c:v>2.0835659075925106E-2</c:v>
                </c:pt>
                <c:pt idx="1832">
                  <c:v>2.0834638569604547E-2</c:v>
                </c:pt>
                <c:pt idx="1833">
                  <c:v>2.0833626970351293E-2</c:v>
                </c:pt>
                <c:pt idx="1834">
                  <c:v>2.0832624278408485E-2</c:v>
                </c:pt>
                <c:pt idx="1835">
                  <c:v>2.0831630493532982E-2</c:v>
                </c:pt>
                <c:pt idx="1836">
                  <c:v>2.0830645615805832E-2</c:v>
                </c:pt>
                <c:pt idx="1837">
                  <c:v>2.0829669645389126E-2</c:v>
                </c:pt>
                <c:pt idx="1838">
                  <c:v>2.082870258195868E-2</c:v>
                </c:pt>
                <c:pt idx="1839">
                  <c:v>2.0827744425838679E-2</c:v>
                </c:pt>
                <c:pt idx="1840">
                  <c:v>2.0826795176704938E-2</c:v>
                </c:pt>
                <c:pt idx="1841">
                  <c:v>2.0825854834962687E-2</c:v>
                </c:pt>
                <c:pt idx="1842">
                  <c:v>2.0824923400206696E-2</c:v>
                </c:pt>
                <c:pt idx="1843">
                  <c:v>2.0824000872680104E-2</c:v>
                </c:pt>
                <c:pt idx="1844">
                  <c:v>2.0823087252301864E-2</c:v>
                </c:pt>
                <c:pt idx="1845">
                  <c:v>2.0822182539071976E-2</c:v>
                </c:pt>
                <c:pt idx="1846">
                  <c:v>2.0821286732990441E-2</c:v>
                </c:pt>
                <c:pt idx="1847">
                  <c:v>2.082039983421935E-2</c:v>
                </c:pt>
                <c:pt idx="1848">
                  <c:v>2.0819521842434519E-2</c:v>
                </c:pt>
                <c:pt idx="1849">
                  <c:v>2.0818652757879086E-2</c:v>
                </c:pt>
                <c:pt idx="1850">
                  <c:v>2.0817792580553052E-2</c:v>
                </c:pt>
                <c:pt idx="1851">
                  <c:v>2.0816941310294323E-2</c:v>
                </c:pt>
                <c:pt idx="1852">
                  <c:v>2.081609894734604E-2</c:v>
                </c:pt>
                <c:pt idx="1853">
                  <c:v>2.0815265491384016E-2</c:v>
                </c:pt>
                <c:pt idx="1854">
                  <c:v>2.0814440942570345E-2</c:v>
                </c:pt>
                <c:pt idx="1855">
                  <c:v>2.0813625301067118E-2</c:v>
                </c:pt>
                <c:pt idx="1856">
                  <c:v>2.0812818566631197E-2</c:v>
                </c:pt>
                <c:pt idx="1857">
                  <c:v>2.0812020739424675E-2</c:v>
                </c:pt>
                <c:pt idx="1858">
                  <c:v>2.0811231819366505E-2</c:v>
                </c:pt>
                <c:pt idx="1859">
                  <c:v>2.0810451806537733E-2</c:v>
                </c:pt>
                <c:pt idx="1860">
                  <c:v>2.0809680700776267E-2</c:v>
                </c:pt>
                <c:pt idx="1861">
                  <c:v>2.0808918502163154E-2</c:v>
                </c:pt>
                <c:pt idx="1862">
                  <c:v>2.0808165210779439E-2</c:v>
                </c:pt>
                <c:pt idx="1863">
                  <c:v>2.080742082646303E-2</c:v>
                </c:pt>
                <c:pt idx="1864">
                  <c:v>2.080668534937602E-2</c:v>
                </c:pt>
                <c:pt idx="1865">
                  <c:v>2.0805958779437361E-2</c:v>
                </c:pt>
                <c:pt idx="1866">
                  <c:v>2.0804733953740939E-2</c:v>
                </c:pt>
                <c:pt idx="1867">
                  <c:v>2.0803931945680976E-2</c:v>
                </c:pt>
                <c:pt idx="1868">
                  <c:v>2.0803239731909118E-2</c:v>
                </c:pt>
                <c:pt idx="1869">
                  <c:v>2.0802556425366658E-2</c:v>
                </c:pt>
                <c:pt idx="1870">
                  <c:v>2.0801882025972551E-2</c:v>
                </c:pt>
                <c:pt idx="1871">
                  <c:v>2.0801762086351538E-2</c:v>
                </c:pt>
                <c:pt idx="1872">
                  <c:v>2.080055994871044E-2</c:v>
                </c:pt>
                <c:pt idx="1873">
                  <c:v>2.0799912270761389E-2</c:v>
                </c:pt>
                <c:pt idx="1874">
                  <c:v>2.0799273500041737E-2</c:v>
                </c:pt>
                <c:pt idx="1875">
                  <c:v>2.0798643636551484E-2</c:v>
                </c:pt>
                <c:pt idx="1876">
                  <c:v>2.079802268004749E-2</c:v>
                </c:pt>
                <c:pt idx="1877">
                  <c:v>2.0797410630772895E-2</c:v>
                </c:pt>
                <c:pt idx="1878">
                  <c:v>2.0796807488727698E-2</c:v>
                </c:pt>
                <c:pt idx="1879">
                  <c:v>2.0796213253749807E-2</c:v>
                </c:pt>
                <c:pt idx="1880">
                  <c:v>2.0795627926001314E-2</c:v>
                </c:pt>
                <c:pt idx="1881">
                  <c:v>2.0795051505401174E-2</c:v>
                </c:pt>
                <c:pt idx="1882">
                  <c:v>2.0795036159774183E-2</c:v>
                </c:pt>
                <c:pt idx="1883">
                  <c:v>2.0793767419879927E-2</c:v>
                </c:pt>
                <c:pt idx="1884">
                  <c:v>2.0793220265659107E-2</c:v>
                </c:pt>
                <c:pt idx="1885">
                  <c:v>2.0792682018667685E-2</c:v>
                </c:pt>
                <c:pt idx="1886">
                  <c:v>2.079215267874357E-2</c:v>
                </c:pt>
                <c:pt idx="1887">
                  <c:v>2.0791632245967806E-2</c:v>
                </c:pt>
                <c:pt idx="1888">
                  <c:v>2.0791120720421441E-2</c:v>
                </c:pt>
                <c:pt idx="1889">
                  <c:v>2.0790618102023428E-2</c:v>
                </c:pt>
                <c:pt idx="1890">
                  <c:v>2.0790124390773768E-2</c:v>
                </c:pt>
                <c:pt idx="1891">
                  <c:v>2.0789639586753506E-2</c:v>
                </c:pt>
                <c:pt idx="1892">
                  <c:v>2.0789163689800549E-2</c:v>
                </c:pt>
                <c:pt idx="1893">
                  <c:v>2.0788696700076992E-2</c:v>
                </c:pt>
                <c:pt idx="1894">
                  <c:v>2.0788238617501786E-2</c:v>
                </c:pt>
                <c:pt idx="1895">
                  <c:v>2.0787789441993887E-2</c:v>
                </c:pt>
                <c:pt idx="1896">
                  <c:v>2.0787349173715386E-2</c:v>
                </c:pt>
                <c:pt idx="1897">
                  <c:v>2.0786917812666283E-2</c:v>
                </c:pt>
                <c:pt idx="1898">
                  <c:v>2.0786495358684487E-2</c:v>
                </c:pt>
                <c:pt idx="1899">
                  <c:v>2.0786081811932089E-2</c:v>
                </c:pt>
                <c:pt idx="1900">
                  <c:v>2.0785677172246997E-2</c:v>
                </c:pt>
                <c:pt idx="1901">
                  <c:v>2.0785281439791303E-2</c:v>
                </c:pt>
                <c:pt idx="1902">
                  <c:v>2.0784894614565008E-2</c:v>
                </c:pt>
                <c:pt idx="1903">
                  <c:v>2.0784516696406019E-2</c:v>
                </c:pt>
                <c:pt idx="1904">
                  <c:v>2.0784147685395382E-2</c:v>
                </c:pt>
                <c:pt idx="1905">
                  <c:v>2.0783787581614144E-2</c:v>
                </c:pt>
                <c:pt idx="1906">
                  <c:v>2.0783436384981258E-2</c:v>
                </c:pt>
                <c:pt idx="1907">
                  <c:v>2.0783094095496724E-2</c:v>
                </c:pt>
                <c:pt idx="1908">
                  <c:v>2.0782760713079496E-2</c:v>
                </c:pt>
                <c:pt idx="1909">
                  <c:v>2.0782436237972712E-2</c:v>
                </c:pt>
                <c:pt idx="1910">
                  <c:v>2.0782120669933235E-2</c:v>
                </c:pt>
                <c:pt idx="1911">
                  <c:v>2.0781814009123156E-2</c:v>
                </c:pt>
                <c:pt idx="1912">
                  <c:v>2.078151625546143E-2</c:v>
                </c:pt>
                <c:pt idx="1913">
                  <c:v>2.0781227408948055E-2</c:v>
                </c:pt>
                <c:pt idx="1914">
                  <c:v>2.0780947469583033E-2</c:v>
                </c:pt>
                <c:pt idx="1915">
                  <c:v>2.0780676437366363E-2</c:v>
                </c:pt>
                <c:pt idx="1916">
                  <c:v>2.0780414312379092E-2</c:v>
                </c:pt>
                <c:pt idx="1917">
                  <c:v>2.0780020397629384E-2</c:v>
                </c:pt>
                <c:pt idx="1918">
                  <c:v>2.0779747729493536E-2</c:v>
                </c:pt>
                <c:pt idx="1919">
                  <c:v>2.0779518688246457E-2</c:v>
                </c:pt>
                <c:pt idx="1920">
                  <c:v>2.0779298554066683E-2</c:v>
                </c:pt>
                <c:pt idx="1921">
                  <c:v>2.0779087327116308E-2</c:v>
                </c:pt>
                <c:pt idx="1922">
                  <c:v>2.0778885007314285E-2</c:v>
                </c:pt>
                <c:pt idx="1923">
                  <c:v>2.0778691594660614E-2</c:v>
                </c:pt>
                <c:pt idx="1924">
                  <c:v>2.0778507089236342E-2</c:v>
                </c:pt>
                <c:pt idx="1925">
                  <c:v>2.077833149079833E-2</c:v>
                </c:pt>
                <c:pt idx="1926">
                  <c:v>2.0778164799751808E-2</c:v>
                </c:pt>
                <c:pt idx="1927">
                  <c:v>2.0778007015691546E-2</c:v>
                </c:pt>
                <c:pt idx="1928">
                  <c:v>2.0777858138860683E-2</c:v>
                </c:pt>
                <c:pt idx="1929">
                  <c:v>2.0777718169178172E-2</c:v>
                </c:pt>
                <c:pt idx="1930">
                  <c:v>2.0777587106644013E-2</c:v>
                </c:pt>
                <c:pt idx="1931">
                  <c:v>2.0777464951258207E-2</c:v>
                </c:pt>
                <c:pt idx="1932">
                  <c:v>2.0777351703101798E-2</c:v>
                </c:pt>
                <c:pt idx="1933">
                  <c:v>2.0777247362093743E-2</c:v>
                </c:pt>
                <c:pt idx="1934">
                  <c:v>2.0778284183462874E-2</c:v>
                </c:pt>
                <c:pt idx="1935">
                  <c:v>2.0778202737272714E-2</c:v>
                </c:pt>
                <c:pt idx="1936">
                  <c:v>2.0778130199257488E-2</c:v>
                </c:pt>
                <c:pt idx="1937">
                  <c:v>2.0778066569444219E-2</c:v>
                </c:pt>
                <c:pt idx="1938">
                  <c:v>2.077801184777887E-2</c:v>
                </c:pt>
                <c:pt idx="1939">
                  <c:v>2.0777966034315479E-2</c:v>
                </c:pt>
                <c:pt idx="1940">
                  <c:v>2.0777929129027022E-2</c:v>
                </c:pt>
                <c:pt idx="1941">
                  <c:v>2.0777901131886493E-2</c:v>
                </c:pt>
                <c:pt idx="1942">
                  <c:v>2.0777882042947914E-2</c:v>
                </c:pt>
                <c:pt idx="1943">
                  <c:v>2.0777871862184275E-2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74752768"/>
        <c:axId val="684863488"/>
      </c:lineChart>
      <c:dateAx>
        <c:axId val="674752768"/>
        <c:scaling>
          <c:orientation val="minMax"/>
          <c:max val="42560"/>
          <c:min val="41820"/>
        </c:scaling>
        <c:delete val="0"/>
        <c:axPos val="b"/>
        <c:numFmt formatCode="[$-409]mmm\-yy;@" sourceLinked="0"/>
        <c:majorTickMark val="out"/>
        <c:minorTickMark val="none"/>
        <c:tickLblPos val="nextTo"/>
        <c:txPr>
          <a:bodyPr rot="-2700000"/>
          <a:lstStyle/>
          <a:p>
            <a:pPr>
              <a:defRPr/>
            </a:pPr>
            <a:endParaRPr lang="en-US"/>
          </a:p>
        </c:txPr>
        <c:crossAx val="684863488"/>
        <c:crosses val="autoZero"/>
        <c:auto val="1"/>
        <c:lblOffset val="100"/>
        <c:baseTimeUnit val="days"/>
        <c:majorUnit val="3"/>
        <c:majorTimeUnit val="months"/>
        <c:minorUnit val="1"/>
        <c:minorTimeUnit val="years"/>
      </c:dateAx>
      <c:valAx>
        <c:axId val="684863488"/>
        <c:scaling>
          <c:orientation val="minMax"/>
          <c:max val="1E-3"/>
          <c:min val="0"/>
        </c:scaling>
        <c:delete val="0"/>
        <c:axPos val="l"/>
        <c:majorGridlines/>
        <c:numFmt formatCode="0.00%" sourceLinked="0"/>
        <c:majorTickMark val="out"/>
        <c:minorTickMark val="none"/>
        <c:tickLblPos val="nextTo"/>
        <c:crossAx val="67475276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53.7109375" style="114" bestFit="1" customWidth="1"/>
    <col min="11" max="11" width="2.7109375" style="114" customWidth="1"/>
    <col min="12" max="16384" width="8" style="114"/>
  </cols>
  <sheetData>
    <row r="1" spans="2:11" ht="12" thickBot="1" x14ac:dyDescent="0.25">
      <c r="B1" s="114" t="str">
        <f>_xll.qlxlVersion(TRUE,Trigger)</f>
        <v>QuantLibXL 1.5.0 - MS VC++ 9.0 - Multithreaded Dynamic Runtime library - Release Configuration - Jun 25 2014 10:33:09</v>
      </c>
    </row>
    <row r="2" spans="2:11" ht="18.75" thickBot="1" x14ac:dyDescent="0.3">
      <c r="B2" s="197" t="s">
        <v>75</v>
      </c>
      <c r="C2" s="198"/>
      <c r="D2" s="198"/>
      <c r="E2" s="198"/>
      <c r="F2" s="199"/>
      <c r="H2" s="197" t="s">
        <v>86</v>
      </c>
      <c r="I2" s="198"/>
      <c r="J2" s="198"/>
      <c r="K2" s="200"/>
    </row>
    <row r="3" spans="2:11" x14ac:dyDescent="0.2">
      <c r="B3" s="37"/>
      <c r="C3" s="67"/>
      <c r="D3" s="36"/>
      <c r="E3" s="36"/>
      <c r="F3" s="35"/>
      <c r="H3" s="93"/>
      <c r="I3" s="96"/>
      <c r="J3" s="96"/>
      <c r="K3" s="95"/>
    </row>
    <row r="4" spans="2:11" x14ac:dyDescent="0.2">
      <c r="B4" s="37"/>
      <c r="C4" s="66" t="s">
        <v>74</v>
      </c>
      <c r="D4" s="52" t="s">
        <v>103</v>
      </c>
      <c r="E4" s="36"/>
      <c r="F4" s="35"/>
      <c r="H4" s="93"/>
      <c r="I4" s="92" t="s">
        <v>85</v>
      </c>
      <c r="J4" s="86" t="b">
        <v>0</v>
      </c>
      <c r="K4" s="91"/>
    </row>
    <row r="5" spans="2:11" x14ac:dyDescent="0.2">
      <c r="B5" s="37"/>
      <c r="C5" s="64" t="s">
        <v>73</v>
      </c>
      <c r="D5" s="38"/>
      <c r="E5" s="36"/>
      <c r="F5" s="35"/>
      <c r="H5" s="93"/>
      <c r="I5" s="92" t="s">
        <v>84</v>
      </c>
      <c r="J5" s="94"/>
      <c r="K5" s="91"/>
    </row>
    <row r="6" spans="2:11" x14ac:dyDescent="0.2">
      <c r="B6" s="37"/>
      <c r="C6" s="64" t="s">
        <v>72</v>
      </c>
      <c r="D6" s="38" t="s">
        <v>71</v>
      </c>
      <c r="E6" s="36"/>
      <c r="F6" s="35"/>
      <c r="H6" s="93"/>
      <c r="I6" s="92" t="s">
        <v>83</v>
      </c>
      <c r="J6" s="83" t="b">
        <v>1</v>
      </c>
      <c r="K6" s="91"/>
    </row>
    <row r="7" spans="2:11" ht="12" thickBot="1" x14ac:dyDescent="0.25">
      <c r="B7" s="37"/>
      <c r="C7" s="64" t="s">
        <v>70</v>
      </c>
      <c r="D7" s="38" t="s">
        <v>105</v>
      </c>
      <c r="E7" s="36"/>
      <c r="F7" s="35"/>
      <c r="H7" s="90"/>
      <c r="I7" s="89"/>
      <c r="J7" s="89"/>
      <c r="K7" s="88"/>
    </row>
    <row r="8" spans="2:11" ht="12" thickBot="1" x14ac:dyDescent="0.25">
      <c r="B8" s="37"/>
      <c r="C8" s="64" t="s">
        <v>69</v>
      </c>
      <c r="D8" s="65" t="s">
        <v>68</v>
      </c>
      <c r="E8" s="36"/>
      <c r="F8" s="35"/>
      <c r="H8" s="115"/>
      <c r="I8" s="115"/>
      <c r="J8" s="115"/>
      <c r="K8" s="115"/>
    </row>
    <row r="9" spans="2:11" ht="18.75" thickBot="1" x14ac:dyDescent="0.3">
      <c r="B9" s="37"/>
      <c r="C9" s="64" t="s">
        <v>67</v>
      </c>
      <c r="D9" s="38" t="str">
        <f>Currency&amp;"_YC"&amp;IndexTenor&amp;"RH"</f>
        <v>JPY_YCONRH</v>
      </c>
      <c r="E9" s="36"/>
      <c r="F9" s="35"/>
      <c r="H9" s="197" t="s">
        <v>82</v>
      </c>
      <c r="I9" s="198"/>
      <c r="J9" s="198"/>
      <c r="K9" s="200"/>
    </row>
    <row r="10" spans="2:11" ht="12.75" x14ac:dyDescent="0.2">
      <c r="B10" s="37"/>
      <c r="C10" s="63" t="s">
        <v>66</v>
      </c>
      <c r="D10" s="38" t="b">
        <v>1</v>
      </c>
      <c r="E10" s="36"/>
      <c r="F10" s="35"/>
      <c r="H10" s="85"/>
      <c r="I10" s="87"/>
      <c r="J10" s="87"/>
      <c r="K10" s="82"/>
    </row>
    <row r="11" spans="2:11" ht="12.75" x14ac:dyDescent="0.2">
      <c r="B11" s="37"/>
      <c r="C11" s="63" t="s">
        <v>65</v>
      </c>
      <c r="D11" s="62">
        <v>41830.633900462963</v>
      </c>
      <c r="E11" s="36"/>
      <c r="F11" s="35"/>
      <c r="H11" s="85"/>
      <c r="I11" s="84" t="s">
        <v>81</v>
      </c>
      <c r="J11" s="86" t="s">
        <v>80</v>
      </c>
      <c r="K11" s="82"/>
    </row>
    <row r="12" spans="2:11" ht="12.75" x14ac:dyDescent="0.2">
      <c r="B12" s="37"/>
      <c r="C12" s="61" t="s">
        <v>64</v>
      </c>
      <c r="D12" s="60" t="b">
        <v>1</v>
      </c>
      <c r="E12" s="36"/>
      <c r="F12" s="35"/>
      <c r="H12" s="85"/>
      <c r="I12" s="84" t="s">
        <v>79</v>
      </c>
      <c r="J12" s="83" t="s">
        <v>78</v>
      </c>
      <c r="K12" s="82"/>
    </row>
    <row r="13" spans="2:11" ht="12.75" x14ac:dyDescent="0.2">
      <c r="B13" s="37"/>
      <c r="C13" s="42"/>
      <c r="D13" s="42"/>
      <c r="E13" s="36"/>
      <c r="F13" s="35"/>
      <c r="H13" s="85"/>
      <c r="I13" s="84" t="s">
        <v>101</v>
      </c>
      <c r="J13" s="86" t="s">
        <v>106</v>
      </c>
      <c r="K13" s="82"/>
    </row>
    <row r="14" spans="2:11" ht="12.75" x14ac:dyDescent="0.2">
      <c r="B14" s="37"/>
      <c r="C14" s="57" t="s">
        <v>63</v>
      </c>
      <c r="D14" s="59" t="str">
        <f>_xll.qlPiecewiseYieldCurve(D16,NDays,Calendar,_xll.ohPack(Selected!D2:D126),DayCounter,,,Accuracy,TraitsID,InterpolatorID,Permanent,,ObjectOverwrite)</f>
        <v>_JPYYCON#0001</v>
      </c>
      <c r="E14" s="36"/>
      <c r="F14" s="35"/>
      <c r="H14" s="85"/>
      <c r="I14" s="84" t="s">
        <v>100</v>
      </c>
      <c r="J14" s="86" t="str">
        <f>PROPER(Currency)&amp;"ON"</f>
        <v>JpyON</v>
      </c>
      <c r="K14" s="82"/>
    </row>
    <row r="15" spans="2:11" ht="12.75" x14ac:dyDescent="0.2">
      <c r="B15" s="37"/>
      <c r="C15" s="44" t="s">
        <v>0</v>
      </c>
      <c r="D15" s="58" t="str">
        <f>_xll.ohRangeRetrieveError(YieldCurve)</f>
        <v/>
      </c>
      <c r="E15" s="36"/>
      <c r="F15" s="35"/>
      <c r="H15" s="85"/>
      <c r="I15" s="84" t="s">
        <v>99</v>
      </c>
      <c r="J15" s="86" t="str">
        <f>PROPER(Currency)&amp;"YCSTD"</f>
        <v>JpyYCSTD</v>
      </c>
      <c r="K15" s="82"/>
    </row>
    <row r="16" spans="2:11" ht="13.5" thickBot="1" x14ac:dyDescent="0.25">
      <c r="B16" s="37"/>
      <c r="C16" s="57" t="s">
        <v>62</v>
      </c>
      <c r="D16" s="56" t="str">
        <f>"_"&amp;Currency&amp;"YC"&amp;IndexTenor</f>
        <v>_JPYYCON</v>
      </c>
      <c r="E16" s="36"/>
      <c r="F16" s="35"/>
      <c r="H16" s="81"/>
      <c r="I16" s="80"/>
      <c r="J16" s="80"/>
      <c r="K16" s="79"/>
    </row>
    <row r="17" spans="2:6" x14ac:dyDescent="0.2">
      <c r="B17" s="37"/>
      <c r="C17" s="46" t="s">
        <v>61</v>
      </c>
      <c r="D17" s="55">
        <v>0</v>
      </c>
      <c r="E17" s="36"/>
      <c r="F17" s="35"/>
    </row>
    <row r="18" spans="2:6" x14ac:dyDescent="0.2">
      <c r="B18" s="37"/>
      <c r="C18" s="46" t="s">
        <v>60</v>
      </c>
      <c r="D18" s="54" t="s">
        <v>104</v>
      </c>
      <c r="E18" s="36"/>
      <c r="F18" s="35"/>
    </row>
    <row r="19" spans="2:6" x14ac:dyDescent="0.2">
      <c r="B19" s="37"/>
      <c r="C19" s="46" t="s">
        <v>59</v>
      </c>
      <c r="D19" s="54"/>
      <c r="E19" s="36"/>
      <c r="F19" s="35"/>
    </row>
    <row r="20" spans="2:6" x14ac:dyDescent="0.2">
      <c r="B20" s="37"/>
      <c r="C20" s="46" t="s">
        <v>58</v>
      </c>
      <c r="D20" s="53" t="str">
        <f>Currency&amp;"TOY_SYNTH"&amp;IndexTenor&amp;"_Quote"</f>
        <v>JPYTOY_SYNTHON_Quote</v>
      </c>
      <c r="E20" s="52" t="str">
        <f>Currency&amp;"TOY2_SYNTH"&amp;IndexTenor&amp;"_Quote"</f>
        <v>JPYTOY2_SYNTHON_Quote</v>
      </c>
      <c r="F20" s="35"/>
    </row>
    <row r="21" spans="2:6" x14ac:dyDescent="0.2">
      <c r="B21" s="37"/>
      <c r="C21" s="46" t="s">
        <v>57</v>
      </c>
      <c r="D21" s="51">
        <f>DATE(YEAR(_xll.qlCalendarAdvance(Calendar,_xll.qlSettingsEvaluationDate(Trigger),NDays&amp;"D")),12,31)</f>
        <v>42004</v>
      </c>
      <c r="E21" s="50">
        <f>DATE(YEAR(D21+1),12,31)</f>
        <v>42369</v>
      </c>
      <c r="F21" s="35"/>
    </row>
    <row r="22" spans="2:6" x14ac:dyDescent="0.2">
      <c r="B22" s="37"/>
      <c r="C22" s="46" t="s">
        <v>56</v>
      </c>
      <c r="D22" s="49"/>
      <c r="E22" s="48"/>
      <c r="F22" s="35"/>
    </row>
    <row r="23" spans="2:6" x14ac:dyDescent="0.2">
      <c r="B23" s="37"/>
      <c r="C23" s="46" t="s">
        <v>55</v>
      </c>
      <c r="D23" s="47" t="e">
        <f>NA()</f>
        <v>#N/A</v>
      </c>
      <c r="E23" s="36"/>
      <c r="F23" s="35"/>
    </row>
    <row r="24" spans="2:6" x14ac:dyDescent="0.2">
      <c r="B24" s="37"/>
      <c r="C24" s="46" t="s">
        <v>54</v>
      </c>
      <c r="D24" s="45" t="s">
        <v>53</v>
      </c>
      <c r="E24" s="36"/>
      <c r="F24" s="35"/>
    </row>
    <row r="25" spans="2:6" x14ac:dyDescent="0.2">
      <c r="B25" s="37"/>
      <c r="C25" s="44" t="s">
        <v>52</v>
      </c>
      <c r="D25" s="43" t="s">
        <v>102</v>
      </c>
      <c r="E25" s="36"/>
      <c r="F25" s="35"/>
    </row>
    <row r="26" spans="2:6" x14ac:dyDescent="0.2">
      <c r="B26" s="37"/>
      <c r="C26" s="42"/>
      <c r="D26" s="42"/>
      <c r="E26" s="36"/>
      <c r="F26" s="35"/>
    </row>
    <row r="27" spans="2:6" x14ac:dyDescent="0.2">
      <c r="B27" s="37"/>
      <c r="C27" s="41">
        <f>_xll.qlTermStructureReferenceDate(YieldCurve)</f>
        <v>41830</v>
      </c>
      <c r="D27" s="40">
        <f>MAX(_xll.ohPack(Selected!J1:J126))</f>
        <v>1</v>
      </c>
      <c r="E27" s="36"/>
      <c r="F27" s="35"/>
    </row>
    <row r="28" spans="2:6" x14ac:dyDescent="0.2">
      <c r="B28" s="37"/>
      <c r="C28" s="39">
        <f>MAX(_xll.ohPack(Selected!I2:I126))</f>
        <v>52792</v>
      </c>
      <c r="D28" s="38">
        <f>MIN(_xll.ohPack(Selected!J1:J126))</f>
        <v>0.63302080480390477</v>
      </c>
      <c r="E28" s="36"/>
      <c r="F28" s="35"/>
    </row>
    <row r="29" spans="2:6" x14ac:dyDescent="0.2">
      <c r="B29" s="37"/>
      <c r="C29" s="118" t="s">
        <v>0</v>
      </c>
      <c r="D29" s="119" t="str">
        <f>_xll.ohRangeRetrieveError(Selected!J1)</f>
        <v/>
      </c>
      <c r="E29" s="36"/>
      <c r="F29" s="35"/>
    </row>
    <row r="30" spans="2:6" ht="11.25" customHeight="1" x14ac:dyDescent="0.2">
      <c r="B30" s="37"/>
      <c r="C30" s="121" t="str">
        <f>IborType</f>
        <v>JPYON</v>
      </c>
      <c r="D30" s="120" t="b">
        <f>_xll.qlRelinkableHandleLinkTo(C30,YieldCurve)</f>
        <v>1</v>
      </c>
      <c r="E30" s="36"/>
      <c r="F30" s="35"/>
    </row>
    <row r="31" spans="2:6" ht="12" thickBot="1" x14ac:dyDescent="0.25">
      <c r="B31" s="34"/>
      <c r="C31" s="116"/>
      <c r="D31" s="117"/>
      <c r="E31" s="33"/>
      <c r="F31" s="32"/>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7"/>
  <sheetViews>
    <sheetView topLeftCell="C1" workbookViewId="0">
      <selection activeCell="C1" sqref="C1"/>
    </sheetView>
  </sheetViews>
  <sheetFormatPr defaultRowHeight="11.25" x14ac:dyDescent="0.2"/>
  <cols>
    <col min="1" max="1" width="8" style="1" hidden="1" customWidth="1"/>
    <col min="2" max="2" width="15.140625" style="2" hidden="1" customWidth="1"/>
    <col min="3" max="3" width="16.140625" style="2" bestFit="1" customWidth="1"/>
    <col min="4" max="4" width="9" style="2" bestFit="1" customWidth="1"/>
    <col min="5" max="5" width="11" style="2" bestFit="1" customWidth="1"/>
    <col min="6" max="6" width="8" style="2" bestFit="1" customWidth="1"/>
    <col min="7"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187" t="s">
        <v>51</v>
      </c>
      <c r="C1" s="31" t="s">
        <v>107</v>
      </c>
      <c r="D1" s="31" t="s">
        <v>50</v>
      </c>
      <c r="E1" s="31" t="s">
        <v>49</v>
      </c>
      <c r="F1" s="31" t="s">
        <v>48</v>
      </c>
      <c r="G1" s="31" t="s">
        <v>47</v>
      </c>
      <c r="H1" s="31" t="s">
        <v>46</v>
      </c>
      <c r="I1" s="31" t="s">
        <v>7</v>
      </c>
      <c r="J1" s="31" t="s">
        <v>6</v>
      </c>
    </row>
    <row r="2" spans="2:10" ht="11.25" customHeight="1" x14ac:dyDescent="0.2">
      <c r="B2" s="112" t="str">
        <f>Deposits!E3</f>
        <v>obj_002c3#0000</v>
      </c>
      <c r="C2" s="112" t="str">
        <f>_xll.qlRateHelperQuoteName(B2)</f>
        <v>JPYOND_Quote</v>
      </c>
      <c r="D2" s="26" t="e">
        <f>_xll.qlRateHelperQuoteValue($B2,Trigger)</f>
        <v>#NUM!</v>
      </c>
      <c r="E2" s="26"/>
      <c r="F2" s="22" t="b">
        <v>0</v>
      </c>
      <c r="G2" s="22">
        <v>70</v>
      </c>
      <c r="H2" s="22">
        <v>1</v>
      </c>
      <c r="I2" s="25">
        <f>_xll.qlRateHelperEarliestDate($B2,Trigger)</f>
        <v>41830</v>
      </c>
      <c r="J2" s="24">
        <f>_xll.qlRateHelperLatestDate($B2,Trigger)</f>
        <v>41831</v>
      </c>
    </row>
    <row r="3" spans="2:10" x14ac:dyDescent="0.2">
      <c r="B3" s="112" t="str">
        <f>Deposits!E4</f>
        <v>obj_002cc#0000</v>
      </c>
      <c r="C3" s="112" t="str">
        <f>_xll.qlRateHelperQuoteName(B3)</f>
        <v>JPYTND_Quote</v>
      </c>
      <c r="D3" s="26">
        <f>_xll.qlRateHelperQuoteValue($B3,Trigger)</f>
        <v>-1.4999999999999999E-2</v>
      </c>
      <c r="E3" s="26"/>
      <c r="F3" s="22" t="b">
        <v>0</v>
      </c>
      <c r="G3" s="22">
        <v>70</v>
      </c>
      <c r="H3" s="22">
        <v>1</v>
      </c>
      <c r="I3" s="25">
        <f>_xll.qlRateHelperEarliestDate($B3,Trigger)</f>
        <v>41831</v>
      </c>
      <c r="J3" s="24">
        <f>_xll.qlRateHelperLatestDate($B3,Trigger)</f>
        <v>41834</v>
      </c>
    </row>
    <row r="4" spans="2:10" x14ac:dyDescent="0.2">
      <c r="B4" s="112" t="str">
        <f>Deposits!E5</f>
        <v>obj_002cd#0000</v>
      </c>
      <c r="C4" s="113" t="str">
        <f>_xll.qlRateHelperQuoteName(B4)</f>
        <v>JPYSND_Quote</v>
      </c>
      <c r="D4" s="23">
        <f>_xll.qlRateHelperQuoteValue($B4,Trigger)</f>
        <v>-2.0000000000000004E-4</v>
      </c>
      <c r="E4" s="23"/>
      <c r="F4" s="21" t="b">
        <v>0</v>
      </c>
      <c r="G4" s="21">
        <v>70</v>
      </c>
      <c r="H4" s="21">
        <v>1</v>
      </c>
      <c r="I4" s="20">
        <f>_xll.qlRateHelperEarliestDate($B4,Trigger)</f>
        <v>41834</v>
      </c>
      <c r="J4" s="19">
        <f>_xll.qlRateHelperLatestDate($B4,Trigger)</f>
        <v>41835</v>
      </c>
    </row>
    <row r="5" spans="2:10" x14ac:dyDescent="0.2">
      <c r="B5" s="111" t="str">
        <f>OIS!K5</f>
        <v>obj_002df#0000</v>
      </c>
      <c r="C5" s="111" t="str">
        <f>_xll.qlRateHelperQuoteName(B5)</f>
        <v>JPYOISSW_Quote</v>
      </c>
      <c r="D5" s="30" t="e">
        <f>_xll.qlRateHelperQuoteValue($B5,Trigger)</f>
        <v>#NUM!</v>
      </c>
      <c r="E5" s="30" t="e">
        <f>_xll.qlSwapRateHelperSpread($B5,Trigger)</f>
        <v>#NUM!</v>
      </c>
      <c r="F5" s="29" t="b">
        <f>NOT(ISERROR(D5))</f>
        <v>0</v>
      </c>
      <c r="G5" s="29">
        <v>50</v>
      </c>
      <c r="H5" s="29">
        <v>1</v>
      </c>
      <c r="I5" s="28">
        <f>_xll.qlRateHelperEarliestDate($B5,Trigger)</f>
        <v>41834</v>
      </c>
      <c r="J5" s="27">
        <f>_xll.qlRateHelperLatestDate($B5,Trigger)</f>
        <v>41842</v>
      </c>
    </row>
    <row r="6" spans="2:10" x14ac:dyDescent="0.2">
      <c r="B6" s="112" t="str">
        <f>OIS!K6</f>
        <v>obj_002e0#0000</v>
      </c>
      <c r="C6" s="112" t="str">
        <f>_xll.qlRateHelperQuoteName(B6)</f>
        <v>JPYOIS2W_Quote</v>
      </c>
      <c r="D6" s="26" t="e">
        <f>_xll.qlRateHelperQuoteValue($B6,Trigger)</f>
        <v>#NUM!</v>
      </c>
      <c r="E6" s="26" t="e">
        <f>_xll.qlSwapRateHelperSpread($B6,Trigger)</f>
        <v>#NUM!</v>
      </c>
      <c r="F6" s="22" t="b">
        <f t="shared" ref="F6:F46" si="0">NOT(ISERROR(D6))</f>
        <v>0</v>
      </c>
      <c r="G6" s="22">
        <v>50</v>
      </c>
      <c r="H6" s="22">
        <v>1</v>
      </c>
      <c r="I6" s="25">
        <f>_xll.qlRateHelperEarliestDate($B6,Trigger)</f>
        <v>41834</v>
      </c>
      <c r="J6" s="24">
        <f>_xll.qlRateHelperLatestDate($B6,Trigger)</f>
        <v>41848</v>
      </c>
    </row>
    <row r="7" spans="2:10" x14ac:dyDescent="0.2">
      <c r="B7" s="112" t="str">
        <f>OIS!K7</f>
        <v>obj_002d5#0000</v>
      </c>
      <c r="C7" s="112" t="str">
        <f>_xll.qlRateHelperQuoteName(B7)</f>
        <v>JPYOIS3W_Quote</v>
      </c>
      <c r="D7" s="26" t="e">
        <f>_xll.qlRateHelperQuoteValue($B7,Trigger)</f>
        <v>#NUM!</v>
      </c>
      <c r="E7" s="26" t="e">
        <f>_xll.qlSwapRateHelperSpread($B7,Trigger)</f>
        <v>#NUM!</v>
      </c>
      <c r="F7" s="22" t="b">
        <f t="shared" si="0"/>
        <v>0</v>
      </c>
      <c r="G7" s="22">
        <v>50</v>
      </c>
      <c r="H7" s="22">
        <v>1</v>
      </c>
      <c r="I7" s="25">
        <f>_xll.qlRateHelperEarliestDate($B7,Trigger)</f>
        <v>41834</v>
      </c>
      <c r="J7" s="24">
        <f>_xll.qlRateHelperLatestDate($B7,Trigger)</f>
        <v>41855</v>
      </c>
    </row>
    <row r="8" spans="2:10" x14ac:dyDescent="0.2">
      <c r="B8" s="112" t="str">
        <f>OIS!K8</f>
        <v>obj_002e4#0000</v>
      </c>
      <c r="C8" s="112" t="str">
        <f>_xll.qlRateHelperQuoteName(B8)</f>
        <v>JPYOIS1M_Quote</v>
      </c>
      <c r="D8" s="26">
        <f>_xll.qlRateHelperQuoteValue($B8,Trigger)</f>
        <v>6.4999999999999997E-4</v>
      </c>
      <c r="E8" s="26" t="e">
        <f>_xll.qlSwapRateHelperSpread($B8,Trigger)</f>
        <v>#NUM!</v>
      </c>
      <c r="F8" s="22" t="b">
        <f t="shared" si="0"/>
        <v>1</v>
      </c>
      <c r="G8" s="22">
        <v>50</v>
      </c>
      <c r="H8" s="22">
        <v>1</v>
      </c>
      <c r="I8" s="25">
        <f>_xll.qlRateHelperEarliestDate($B8,Trigger)</f>
        <v>41834</v>
      </c>
      <c r="J8" s="24">
        <f>_xll.qlRateHelperLatestDate($B8,Trigger)</f>
        <v>41865</v>
      </c>
    </row>
    <row r="9" spans="2:10" x14ac:dyDescent="0.2">
      <c r="B9" s="112" t="str">
        <f>OIS!K9</f>
        <v>obj_002e5#0000</v>
      </c>
      <c r="C9" s="112" t="str">
        <f>_xll.qlRateHelperQuoteName(B9)</f>
        <v>JPYOIS2M_Quote</v>
      </c>
      <c r="D9" s="26">
        <f>_xll.qlRateHelperQuoteValue($B9,Trigger)</f>
        <v>6.4999999999999997E-4</v>
      </c>
      <c r="E9" s="26" t="e">
        <f>_xll.qlSwapRateHelperSpread($B9,Trigger)</f>
        <v>#NUM!</v>
      </c>
      <c r="F9" s="22" t="b">
        <f t="shared" si="0"/>
        <v>1</v>
      </c>
      <c r="G9" s="22">
        <v>50</v>
      </c>
      <c r="H9" s="22">
        <v>1</v>
      </c>
      <c r="I9" s="25">
        <f>_xll.qlRateHelperEarliestDate($B9,Trigger)</f>
        <v>41834</v>
      </c>
      <c r="J9" s="24">
        <f>_xll.qlRateHelperLatestDate($B9,Trigger)</f>
        <v>41898</v>
      </c>
    </row>
    <row r="10" spans="2:10" x14ac:dyDescent="0.2">
      <c r="B10" s="112" t="str">
        <f>OIS!K10</f>
        <v>obj_002d7#0000</v>
      </c>
      <c r="C10" s="112" t="str">
        <f>_xll.qlRateHelperQuoteName(B10)</f>
        <v>JPYOIS3M_Quote</v>
      </c>
      <c r="D10" s="26">
        <f>_xll.qlRateHelperQuoteValue($B10,Trigger)</f>
        <v>6.4999999999999997E-4</v>
      </c>
      <c r="E10" s="26" t="e">
        <f>_xll.qlSwapRateHelperSpread($B10,Trigger)</f>
        <v>#NUM!</v>
      </c>
      <c r="F10" s="22" t="b">
        <f t="shared" si="0"/>
        <v>1</v>
      </c>
      <c r="G10" s="22">
        <v>50</v>
      </c>
      <c r="H10" s="22">
        <v>1</v>
      </c>
      <c r="I10" s="25">
        <f>_xll.qlRateHelperEarliestDate($B10,Trigger)</f>
        <v>41834</v>
      </c>
      <c r="J10" s="24">
        <f>_xll.qlRateHelperLatestDate($B10,Trigger)</f>
        <v>41926</v>
      </c>
    </row>
    <row r="11" spans="2:10" x14ac:dyDescent="0.2">
      <c r="B11" s="112" t="str">
        <f>OIS!K11</f>
        <v>obj_002e9#0000</v>
      </c>
      <c r="C11" s="112" t="str">
        <f>_xll.qlRateHelperQuoteName(B11)</f>
        <v>JPYOIS4M_Quote</v>
      </c>
      <c r="D11" s="26">
        <f>_xll.qlRateHelperQuoteValue($B11,Trigger)</f>
        <v>6.2500000000000001E-4</v>
      </c>
      <c r="E11" s="26" t="e">
        <f>_xll.qlSwapRateHelperSpread($B11,Trigger)</f>
        <v>#NUM!</v>
      </c>
      <c r="F11" s="22" t="b">
        <f t="shared" si="0"/>
        <v>1</v>
      </c>
      <c r="G11" s="22">
        <v>50</v>
      </c>
      <c r="H11" s="22">
        <v>1</v>
      </c>
      <c r="I11" s="25">
        <f>_xll.qlRateHelperEarliestDate($B11,Trigger)</f>
        <v>41834</v>
      </c>
      <c r="J11" s="24">
        <f>_xll.qlRateHelperLatestDate($B11,Trigger)</f>
        <v>41957</v>
      </c>
    </row>
    <row r="12" spans="2:10" x14ac:dyDescent="0.2">
      <c r="B12" s="112" t="str">
        <f>OIS!K12</f>
        <v>obj_002d0#0000</v>
      </c>
      <c r="C12" s="112" t="str">
        <f>_xll.qlRateHelperQuoteName(B12)</f>
        <v>JPYOIS5M_Quote</v>
      </c>
      <c r="D12" s="26">
        <f>_xll.qlRateHelperQuoteValue($B12,Trigger)</f>
        <v>6.2500000000000001E-4</v>
      </c>
      <c r="E12" s="26" t="e">
        <f>_xll.qlSwapRateHelperSpread($B12,Trigger)</f>
        <v>#NUM!</v>
      </c>
      <c r="F12" s="22" t="b">
        <f t="shared" si="0"/>
        <v>1</v>
      </c>
      <c r="G12" s="22">
        <v>50</v>
      </c>
      <c r="H12" s="22">
        <v>1</v>
      </c>
      <c r="I12" s="25">
        <f>_xll.qlRateHelperEarliestDate($B12,Trigger)</f>
        <v>41834</v>
      </c>
      <c r="J12" s="24">
        <f>_xll.qlRateHelperLatestDate($B12,Trigger)</f>
        <v>41988</v>
      </c>
    </row>
    <row r="13" spans="2:10" x14ac:dyDescent="0.2">
      <c r="B13" s="112" t="str">
        <f>OIS!K13</f>
        <v>obj_002e7#0000</v>
      </c>
      <c r="C13" s="112" t="str">
        <f>_xll.qlRateHelperQuoteName(B13)</f>
        <v>JPYOIS6M_Quote</v>
      </c>
      <c r="D13" s="26">
        <f>_xll.qlRateHelperQuoteValue($B13,Trigger)</f>
        <v>6.2500000000000001E-4</v>
      </c>
      <c r="E13" s="26" t="e">
        <f>_xll.qlSwapRateHelperSpread($B13,Trigger)</f>
        <v>#NUM!</v>
      </c>
      <c r="F13" s="22" t="b">
        <f t="shared" si="0"/>
        <v>1</v>
      </c>
      <c r="G13" s="22">
        <v>50</v>
      </c>
      <c r="H13" s="22">
        <v>1</v>
      </c>
      <c r="I13" s="25">
        <f>_xll.qlRateHelperEarliestDate($B13,Trigger)</f>
        <v>41834</v>
      </c>
      <c r="J13" s="24">
        <f>_xll.qlRateHelperLatestDate($B13,Trigger)</f>
        <v>42018</v>
      </c>
    </row>
    <row r="14" spans="2:10" x14ac:dyDescent="0.2">
      <c r="B14" s="112" t="str">
        <f>OIS!K14</f>
        <v>obj_002de#0000</v>
      </c>
      <c r="C14" s="112" t="str">
        <f>_xll.qlRateHelperQuoteName(B14)</f>
        <v>JPYOIS7M_Quote</v>
      </c>
      <c r="D14" s="26" t="e">
        <f>_xll.qlRateHelperQuoteValue($B14,Trigger)</f>
        <v>#NUM!</v>
      </c>
      <c r="E14" s="26" t="e">
        <f>_xll.qlSwapRateHelperSpread($B14,Trigger)</f>
        <v>#NUM!</v>
      </c>
      <c r="F14" s="22" t="b">
        <f t="shared" si="0"/>
        <v>0</v>
      </c>
      <c r="G14" s="22">
        <v>50</v>
      </c>
      <c r="H14" s="22">
        <v>1</v>
      </c>
      <c r="I14" s="25">
        <f>_xll.qlRateHelperEarliestDate($B14,Trigger)</f>
        <v>41834</v>
      </c>
      <c r="J14" s="24">
        <f>_xll.qlRateHelperLatestDate($B14,Trigger)</f>
        <v>42051</v>
      </c>
    </row>
    <row r="15" spans="2:10" x14ac:dyDescent="0.2">
      <c r="B15" s="112" t="str">
        <f>OIS!K15</f>
        <v>obj_002ea#0000</v>
      </c>
      <c r="C15" s="112" t="str">
        <f>_xll.qlRateHelperQuoteName(B15)</f>
        <v>JPYOIS8M_Quote</v>
      </c>
      <c r="D15" s="26" t="e">
        <f>_xll.qlRateHelperQuoteValue($B15,Trigger)</f>
        <v>#NUM!</v>
      </c>
      <c r="E15" s="26" t="e">
        <f>_xll.qlSwapRateHelperSpread($B15,Trigger)</f>
        <v>#NUM!</v>
      </c>
      <c r="F15" s="22" t="b">
        <f t="shared" si="0"/>
        <v>0</v>
      </c>
      <c r="G15" s="22">
        <v>50</v>
      </c>
      <c r="H15" s="22">
        <v>1</v>
      </c>
      <c r="I15" s="25">
        <f>_xll.qlRateHelperEarliestDate($B15,Trigger)</f>
        <v>41834</v>
      </c>
      <c r="J15" s="24">
        <f>_xll.qlRateHelperLatestDate($B15,Trigger)</f>
        <v>42079</v>
      </c>
    </row>
    <row r="16" spans="2:10" x14ac:dyDescent="0.2">
      <c r="B16" s="112" t="str">
        <f>OIS!K16</f>
        <v>obj_002e6#0000</v>
      </c>
      <c r="C16" s="112" t="str">
        <f>_xll.qlRateHelperQuoteName(B16)</f>
        <v>JPYOIS9M_Quote</v>
      </c>
      <c r="D16" s="26">
        <f>_xll.qlRateHelperQuoteValue($B16,Trigger)</f>
        <v>6.2500000000000001E-4</v>
      </c>
      <c r="E16" s="26" t="e">
        <f>_xll.qlSwapRateHelperSpread($B16,Trigger)</f>
        <v>#NUM!</v>
      </c>
      <c r="F16" s="22" t="b">
        <f t="shared" si="0"/>
        <v>1</v>
      </c>
      <c r="G16" s="22">
        <v>50</v>
      </c>
      <c r="H16" s="22">
        <v>1</v>
      </c>
      <c r="I16" s="25">
        <f>_xll.qlRateHelperEarliestDate($B16,Trigger)</f>
        <v>41834</v>
      </c>
      <c r="J16" s="24">
        <f>_xll.qlRateHelperLatestDate($B16,Trigger)</f>
        <v>42108</v>
      </c>
    </row>
    <row r="17" spans="2:10" x14ac:dyDescent="0.2">
      <c r="B17" s="112" t="str">
        <f>OIS!K17</f>
        <v>obj_002db#0000</v>
      </c>
      <c r="C17" s="112" t="str">
        <f>_xll.qlRateHelperQuoteName(B17)</f>
        <v>JPYOIS10M_Quote</v>
      </c>
      <c r="D17" s="26" t="e">
        <f>_xll.qlRateHelperQuoteValue($B17,Trigger)</f>
        <v>#NUM!</v>
      </c>
      <c r="E17" s="26" t="e">
        <f>_xll.qlSwapRateHelperSpread($B17,Trigger)</f>
        <v>#NUM!</v>
      </c>
      <c r="F17" s="22" t="b">
        <f t="shared" si="0"/>
        <v>0</v>
      </c>
      <c r="G17" s="22">
        <v>50</v>
      </c>
      <c r="H17" s="22">
        <v>1</v>
      </c>
      <c r="I17" s="25">
        <f>_xll.qlRateHelperEarliestDate($B17,Trigger)</f>
        <v>41834</v>
      </c>
      <c r="J17" s="24">
        <f>_xll.qlRateHelperLatestDate($B17,Trigger)</f>
        <v>42138</v>
      </c>
    </row>
    <row r="18" spans="2:10" x14ac:dyDescent="0.2">
      <c r="B18" s="112" t="str">
        <f>OIS!K18</f>
        <v>obj_002da#0000</v>
      </c>
      <c r="C18" s="112" t="str">
        <f>_xll.qlRateHelperQuoteName(B18)</f>
        <v>JPYOIS11M_Quote</v>
      </c>
      <c r="D18" s="26" t="e">
        <f>_xll.qlRateHelperQuoteValue($B18,Trigger)</f>
        <v>#NUM!</v>
      </c>
      <c r="E18" s="26" t="e">
        <f>_xll.qlSwapRateHelperSpread($B18,Trigger)</f>
        <v>#NUM!</v>
      </c>
      <c r="F18" s="22" t="b">
        <f t="shared" si="0"/>
        <v>0</v>
      </c>
      <c r="G18" s="22">
        <v>50</v>
      </c>
      <c r="H18" s="22">
        <v>1</v>
      </c>
      <c r="I18" s="25">
        <f>_xll.qlRateHelperEarliestDate($B18,Trigger)</f>
        <v>41834</v>
      </c>
      <c r="J18" s="24">
        <f>_xll.qlRateHelperLatestDate($B18,Trigger)</f>
        <v>42170</v>
      </c>
    </row>
    <row r="19" spans="2:10" x14ac:dyDescent="0.2">
      <c r="B19" s="112" t="str">
        <f>OIS!K19</f>
        <v>obj_002d3#0000</v>
      </c>
      <c r="C19" s="112" t="str">
        <f>_xll.qlRateHelperQuoteName(B19)</f>
        <v>JPYOIS1Y_Quote</v>
      </c>
      <c r="D19" s="26">
        <f>_xll.qlRateHelperQuoteValue($B19,Trigger)</f>
        <v>5.9999999999999995E-4</v>
      </c>
      <c r="E19" s="26" t="e">
        <f>_xll.qlSwapRateHelperSpread($B19,Trigger)</f>
        <v>#NUM!</v>
      </c>
      <c r="F19" s="22" t="b">
        <f t="shared" si="0"/>
        <v>1</v>
      </c>
      <c r="G19" s="22">
        <v>50</v>
      </c>
      <c r="H19" s="22">
        <v>1</v>
      </c>
      <c r="I19" s="25">
        <f>_xll.qlRateHelperEarliestDate($B19,Trigger)</f>
        <v>41834</v>
      </c>
      <c r="J19" s="24">
        <f>_xll.qlRateHelperLatestDate($B19,Trigger)</f>
        <v>42199</v>
      </c>
    </row>
    <row r="20" spans="2:10" x14ac:dyDescent="0.2">
      <c r="B20" s="112" t="str">
        <f>OIS!K20</f>
        <v>obj_002c7#0000</v>
      </c>
      <c r="C20" s="112" t="str">
        <f>_xll.qlRateHelperQuoteName(B20)</f>
        <v>JPYOIS13M_Quote</v>
      </c>
      <c r="D20" s="26" t="e">
        <f>_xll.qlRateHelperQuoteValue($B20,Trigger)</f>
        <v>#NUM!</v>
      </c>
      <c r="E20" s="26" t="e">
        <f>_xll.qlSwapRateHelperSpread($B20,Trigger)</f>
        <v>#NUM!</v>
      </c>
      <c r="F20" s="22" t="b">
        <f t="shared" si="0"/>
        <v>0</v>
      </c>
      <c r="G20" s="22">
        <v>50</v>
      </c>
      <c r="H20" s="22">
        <v>1</v>
      </c>
      <c r="I20" s="25">
        <f>_xll.qlRateHelperEarliestDate($B20,Trigger)</f>
        <v>41834</v>
      </c>
      <c r="J20" s="24">
        <f>_xll.qlRateHelperLatestDate($B20,Trigger)</f>
        <v>42230</v>
      </c>
    </row>
    <row r="21" spans="2:10" x14ac:dyDescent="0.2">
      <c r="B21" s="112" t="str">
        <f>OIS!K21</f>
        <v>obj_002c0#0000</v>
      </c>
      <c r="C21" s="112" t="str">
        <f>_xll.qlRateHelperQuoteName(B21)</f>
        <v>JPYOIS14M_Quote</v>
      </c>
      <c r="D21" s="26" t="e">
        <f>_xll.qlRateHelperQuoteValue($B21,Trigger)</f>
        <v>#NUM!</v>
      </c>
      <c r="E21" s="26" t="e">
        <f>_xll.qlSwapRateHelperSpread($B21,Trigger)</f>
        <v>#NUM!</v>
      </c>
      <c r="F21" s="22" t="b">
        <f t="shared" si="0"/>
        <v>0</v>
      </c>
      <c r="G21" s="22">
        <v>50</v>
      </c>
      <c r="H21" s="22">
        <v>1</v>
      </c>
      <c r="I21" s="25">
        <f>_xll.qlRateHelperEarliestDate($B21,Trigger)</f>
        <v>41834</v>
      </c>
      <c r="J21" s="24">
        <f>_xll.qlRateHelperLatestDate($B21,Trigger)</f>
        <v>42261</v>
      </c>
    </row>
    <row r="22" spans="2:10" x14ac:dyDescent="0.2">
      <c r="B22" s="112" t="str">
        <f>OIS!K22</f>
        <v>obj_002c5#0000</v>
      </c>
      <c r="C22" s="112" t="str">
        <f>_xll.qlRateHelperQuoteName(B22)</f>
        <v>JPYOIS15M_Quote</v>
      </c>
      <c r="D22" s="26" t="e">
        <f>_xll.qlRateHelperQuoteValue($B22,Trigger)</f>
        <v>#NUM!</v>
      </c>
      <c r="E22" s="26" t="e">
        <f>_xll.qlSwapRateHelperSpread($B22,Trigger)</f>
        <v>#NUM!</v>
      </c>
      <c r="F22" s="22" t="b">
        <f t="shared" si="0"/>
        <v>0</v>
      </c>
      <c r="G22" s="22">
        <v>50</v>
      </c>
      <c r="H22" s="22">
        <v>1</v>
      </c>
      <c r="I22" s="25">
        <f>_xll.qlRateHelperEarliestDate($B22,Trigger)</f>
        <v>41834</v>
      </c>
      <c r="J22" s="24">
        <f>_xll.qlRateHelperLatestDate($B22,Trigger)</f>
        <v>42291</v>
      </c>
    </row>
    <row r="23" spans="2:10" x14ac:dyDescent="0.2">
      <c r="B23" s="112" t="str">
        <f>OIS!K23</f>
        <v>obj_002c1#0000</v>
      </c>
      <c r="C23" s="112" t="str">
        <f>_xll.qlRateHelperQuoteName(B23)</f>
        <v>JPYOIS16M_Quote</v>
      </c>
      <c r="D23" s="26" t="e">
        <f>_xll.qlRateHelperQuoteValue($B23,Trigger)</f>
        <v>#NUM!</v>
      </c>
      <c r="E23" s="26" t="e">
        <f>_xll.qlSwapRateHelperSpread($B23,Trigger)</f>
        <v>#NUM!</v>
      </c>
      <c r="F23" s="22" t="b">
        <f t="shared" si="0"/>
        <v>0</v>
      </c>
      <c r="G23" s="22">
        <v>50</v>
      </c>
      <c r="H23" s="22">
        <v>1</v>
      </c>
      <c r="I23" s="25">
        <f>_xll.qlRateHelperEarliestDate($B23,Trigger)</f>
        <v>41834</v>
      </c>
      <c r="J23" s="24">
        <f>_xll.qlRateHelperLatestDate($B23,Trigger)</f>
        <v>42324</v>
      </c>
    </row>
    <row r="24" spans="2:10" x14ac:dyDescent="0.2">
      <c r="B24" s="112" t="str">
        <f>OIS!K24</f>
        <v>obj_002c8#0000</v>
      </c>
      <c r="C24" s="112" t="str">
        <f>_xll.qlRateHelperQuoteName(B24)</f>
        <v>JPYOIS17M_Quote</v>
      </c>
      <c r="D24" s="26" t="e">
        <f>_xll.qlRateHelperQuoteValue($B24,Trigger)</f>
        <v>#NUM!</v>
      </c>
      <c r="E24" s="26" t="e">
        <f>_xll.qlSwapRateHelperSpread($B24,Trigger)</f>
        <v>#NUM!</v>
      </c>
      <c r="F24" s="22" t="b">
        <f t="shared" si="0"/>
        <v>0</v>
      </c>
      <c r="G24" s="22">
        <v>50</v>
      </c>
      <c r="H24" s="22">
        <v>1</v>
      </c>
      <c r="I24" s="25">
        <f>_xll.qlRateHelperEarliestDate($B24,Trigger)</f>
        <v>41834</v>
      </c>
      <c r="J24" s="24">
        <f>_xll.qlRateHelperLatestDate($B24,Trigger)</f>
        <v>42352</v>
      </c>
    </row>
    <row r="25" spans="2:10" x14ac:dyDescent="0.2">
      <c r="B25" s="112" t="str">
        <f>OIS!K25</f>
        <v>obj_002c9#0000</v>
      </c>
      <c r="C25" s="112" t="str">
        <f>_xll.qlRateHelperQuoteName(B25)</f>
        <v>JPYOIS18M_Quote</v>
      </c>
      <c r="D25" s="26">
        <f>_xll.qlRateHelperQuoteValue($B25,Trigger)</f>
        <v>6.2500000000000001E-4</v>
      </c>
      <c r="E25" s="26" t="e">
        <f>_xll.qlSwapRateHelperSpread($B25,Trigger)</f>
        <v>#NUM!</v>
      </c>
      <c r="F25" s="22" t="b">
        <f t="shared" si="0"/>
        <v>1</v>
      </c>
      <c r="G25" s="22">
        <v>50</v>
      </c>
      <c r="H25" s="22">
        <v>1</v>
      </c>
      <c r="I25" s="25">
        <f>_xll.qlRateHelperEarliestDate($B25,Trigger)</f>
        <v>41834</v>
      </c>
      <c r="J25" s="24">
        <f>_xll.qlRateHelperLatestDate($B25,Trigger)</f>
        <v>42383</v>
      </c>
    </row>
    <row r="26" spans="2:10" x14ac:dyDescent="0.2">
      <c r="B26" s="112" t="str">
        <f>OIS!K26</f>
        <v>obj_002ca#0000</v>
      </c>
      <c r="C26" s="112" t="str">
        <f>_xll.qlRateHelperQuoteName(B26)</f>
        <v>JPYOIS19M_Quote</v>
      </c>
      <c r="D26" s="26" t="e">
        <f>_xll.qlRateHelperQuoteValue($B26,Trigger)</f>
        <v>#NUM!</v>
      </c>
      <c r="E26" s="26" t="e">
        <f>_xll.qlSwapRateHelperSpread($B26,Trigger)</f>
        <v>#NUM!</v>
      </c>
      <c r="F26" s="22" t="b">
        <f t="shared" si="0"/>
        <v>0</v>
      </c>
      <c r="G26" s="22">
        <v>50</v>
      </c>
      <c r="H26" s="22">
        <v>1</v>
      </c>
      <c r="I26" s="25">
        <f>_xll.qlRateHelperEarliestDate($B26,Trigger)</f>
        <v>41834</v>
      </c>
      <c r="J26" s="24">
        <f>_xll.qlRateHelperLatestDate($B26,Trigger)</f>
        <v>42415</v>
      </c>
    </row>
    <row r="27" spans="2:10" x14ac:dyDescent="0.2">
      <c r="B27" s="112" t="str">
        <f>OIS!K27</f>
        <v>obj_002c6#0000</v>
      </c>
      <c r="C27" s="112" t="str">
        <f>_xll.qlRateHelperQuoteName(B27)</f>
        <v>JPYOIS20M_Quote</v>
      </c>
      <c r="D27" s="26" t="e">
        <f>_xll.qlRateHelperQuoteValue($B27,Trigger)</f>
        <v>#NUM!</v>
      </c>
      <c r="E27" s="26" t="e">
        <f>_xll.qlSwapRateHelperSpread($B27,Trigger)</f>
        <v>#NUM!</v>
      </c>
      <c r="F27" s="22" t="b">
        <f t="shared" si="0"/>
        <v>0</v>
      </c>
      <c r="G27" s="22">
        <v>50</v>
      </c>
      <c r="H27" s="22">
        <v>1</v>
      </c>
      <c r="I27" s="25">
        <f>_xll.qlRateHelperEarliestDate($B27,Trigger)</f>
        <v>41834</v>
      </c>
      <c r="J27" s="24">
        <f>_xll.qlRateHelperLatestDate($B27,Trigger)</f>
        <v>42443</v>
      </c>
    </row>
    <row r="28" spans="2:10" x14ac:dyDescent="0.2">
      <c r="B28" s="112" t="str">
        <f>OIS!K28</f>
        <v>obj_002c2#0000</v>
      </c>
      <c r="C28" s="112" t="str">
        <f>_xll.qlRateHelperQuoteName(B28)</f>
        <v>JPYOIS21M_Quote</v>
      </c>
      <c r="D28" s="26" t="e">
        <f>_xll.qlRateHelperQuoteValue($B28,Trigger)</f>
        <v>#NUM!</v>
      </c>
      <c r="E28" s="26" t="e">
        <f>_xll.qlSwapRateHelperSpread($B28,Trigger)</f>
        <v>#NUM!</v>
      </c>
      <c r="F28" s="22" t="b">
        <f t="shared" si="0"/>
        <v>0</v>
      </c>
      <c r="G28" s="22">
        <v>50</v>
      </c>
      <c r="H28" s="22">
        <v>1</v>
      </c>
      <c r="I28" s="25">
        <f>_xll.qlRateHelperEarliestDate($B28,Trigger)</f>
        <v>41834</v>
      </c>
      <c r="J28" s="24">
        <f>_xll.qlRateHelperLatestDate($B28,Trigger)</f>
        <v>42474</v>
      </c>
    </row>
    <row r="29" spans="2:10" x14ac:dyDescent="0.2">
      <c r="B29" s="112" t="str">
        <f>OIS!K29</f>
        <v>obj_002cb#0000</v>
      </c>
      <c r="C29" s="112" t="str">
        <f>_xll.qlRateHelperQuoteName(B29)</f>
        <v>JPYOIS22M_Quote</v>
      </c>
      <c r="D29" s="26" t="e">
        <f>_xll.qlRateHelperQuoteValue($B29,Trigger)</f>
        <v>#NUM!</v>
      </c>
      <c r="E29" s="26" t="e">
        <f>_xll.qlSwapRateHelperSpread($B29,Trigger)</f>
        <v>#NUM!</v>
      </c>
      <c r="F29" s="22" t="b">
        <f t="shared" si="0"/>
        <v>0</v>
      </c>
      <c r="G29" s="22">
        <v>50</v>
      </c>
      <c r="H29" s="22">
        <v>1</v>
      </c>
      <c r="I29" s="25">
        <f>_xll.qlRateHelperEarliestDate($B29,Trigger)</f>
        <v>41834</v>
      </c>
      <c r="J29" s="24">
        <f>_xll.qlRateHelperLatestDate($B29,Trigger)</f>
        <v>42506</v>
      </c>
    </row>
    <row r="30" spans="2:10" x14ac:dyDescent="0.2">
      <c r="B30" s="112" t="str">
        <f>OIS!K30</f>
        <v>obj_002bf#0000</v>
      </c>
      <c r="C30" s="112" t="str">
        <f>_xll.qlRateHelperQuoteName(B30)</f>
        <v>JPYOIS23M_Quote</v>
      </c>
      <c r="D30" s="26" t="e">
        <f>_xll.qlRateHelperQuoteValue($B30,Trigger)</f>
        <v>#NUM!</v>
      </c>
      <c r="E30" s="26" t="e">
        <f>_xll.qlSwapRateHelperSpread($B30,Trigger)</f>
        <v>#NUM!</v>
      </c>
      <c r="F30" s="22" t="b">
        <f t="shared" si="0"/>
        <v>0</v>
      </c>
      <c r="G30" s="22">
        <v>50</v>
      </c>
      <c r="H30" s="22">
        <v>1</v>
      </c>
      <c r="I30" s="25">
        <f>_xll.qlRateHelperEarliestDate($B30,Trigger)</f>
        <v>41834</v>
      </c>
      <c r="J30" s="24">
        <f>_xll.qlRateHelperLatestDate($B30,Trigger)</f>
        <v>42535</v>
      </c>
    </row>
    <row r="31" spans="2:10" x14ac:dyDescent="0.2">
      <c r="B31" s="112" t="str">
        <f>OIS!K31</f>
        <v>obj_002ec#0000</v>
      </c>
      <c r="C31" s="112" t="str">
        <f>_xll.qlRateHelperQuoteName(B31)</f>
        <v>JPYOIS2Y_Quote</v>
      </c>
      <c r="D31" s="26">
        <f>_xll.qlRateHelperQuoteValue($B31,Trigger)</f>
        <v>6.2500000000000001E-4</v>
      </c>
      <c r="E31" s="26" t="e">
        <f>_xll.qlSwapRateHelperSpread($B31,Trigger)</f>
        <v>#NUM!</v>
      </c>
      <c r="F31" s="22" t="b">
        <f t="shared" si="0"/>
        <v>1</v>
      </c>
      <c r="G31" s="22">
        <v>50</v>
      </c>
      <c r="H31" s="22">
        <v>1</v>
      </c>
      <c r="I31" s="25">
        <f>_xll.qlRateHelperEarliestDate($B31,Trigger)</f>
        <v>41834</v>
      </c>
      <c r="J31" s="24">
        <f>_xll.qlRateHelperLatestDate($B31,Trigger)</f>
        <v>42565</v>
      </c>
    </row>
    <row r="32" spans="2:10" x14ac:dyDescent="0.2">
      <c r="B32" s="112" t="str">
        <f>OIS!K32</f>
        <v>obj_002d2#0000</v>
      </c>
      <c r="C32" s="112" t="str">
        <f>_xll.qlRateHelperQuoteName(B32)</f>
        <v>JPYOIS3Y_Quote</v>
      </c>
      <c r="D32" s="26">
        <f>_xll.qlRateHelperQuoteValue($B32,Trigger)</f>
        <v>7.000000000000001E-4</v>
      </c>
      <c r="E32" s="26" t="e">
        <f>_xll.qlSwapRateHelperSpread($B32,Trigger)</f>
        <v>#NUM!</v>
      </c>
      <c r="F32" s="22" t="b">
        <f t="shared" si="0"/>
        <v>1</v>
      </c>
      <c r="G32" s="22">
        <v>50</v>
      </c>
      <c r="H32" s="22">
        <v>1</v>
      </c>
      <c r="I32" s="25">
        <f>_xll.qlRateHelperEarliestDate($B32,Trigger)</f>
        <v>41834</v>
      </c>
      <c r="J32" s="24">
        <f>_xll.qlRateHelperLatestDate($B32,Trigger)</f>
        <v>42930</v>
      </c>
    </row>
    <row r="33" spans="2:10" x14ac:dyDescent="0.2">
      <c r="B33" s="112" t="str">
        <f>OIS!K33</f>
        <v>obj_002d6#0000</v>
      </c>
      <c r="C33" s="112" t="str">
        <f>_xll.qlRateHelperQuoteName(B33)</f>
        <v>JPYOIS4Y_Quote</v>
      </c>
      <c r="D33" s="26">
        <f>_xll.qlRateHelperQuoteValue($B33,Trigger)</f>
        <v>7.7499999999999997E-4</v>
      </c>
      <c r="E33" s="26" t="e">
        <f>_xll.qlSwapRateHelperSpread($B33,Trigger)</f>
        <v>#NUM!</v>
      </c>
      <c r="F33" s="22" t="b">
        <f t="shared" si="0"/>
        <v>1</v>
      </c>
      <c r="G33" s="22">
        <v>50</v>
      </c>
      <c r="H33" s="22">
        <v>1</v>
      </c>
      <c r="I33" s="25">
        <f>_xll.qlRateHelperEarliestDate($B33,Trigger)</f>
        <v>41834</v>
      </c>
      <c r="J33" s="24">
        <f>_xll.qlRateHelperLatestDate($B33,Trigger)</f>
        <v>43298</v>
      </c>
    </row>
    <row r="34" spans="2:10" x14ac:dyDescent="0.2">
      <c r="B34" s="112" t="str">
        <f>OIS!K34</f>
        <v>obj_002e2#0000</v>
      </c>
      <c r="C34" s="112" t="str">
        <f>_xll.qlRateHelperQuoteName(B34)</f>
        <v>JPYOIS5Y_Quote</v>
      </c>
      <c r="D34" s="26">
        <f>_xll.qlRateHelperQuoteValue($B34,Trigger)</f>
        <v>1.0250000000000001E-3</v>
      </c>
      <c r="E34" s="26" t="e">
        <f>_xll.qlSwapRateHelperSpread($B34,Trigger)</f>
        <v>#NUM!</v>
      </c>
      <c r="F34" s="22" t="b">
        <f t="shared" si="0"/>
        <v>1</v>
      </c>
      <c r="G34" s="22">
        <v>50</v>
      </c>
      <c r="H34" s="22">
        <v>1</v>
      </c>
      <c r="I34" s="25">
        <f>_xll.qlRateHelperEarliestDate($B34,Trigger)</f>
        <v>41834</v>
      </c>
      <c r="J34" s="24">
        <f>_xll.qlRateHelperLatestDate($B34,Trigger)</f>
        <v>43662</v>
      </c>
    </row>
    <row r="35" spans="2:10" x14ac:dyDescent="0.2">
      <c r="B35" s="112" t="str">
        <f>OIS!K35</f>
        <v>obj_002e1#0000</v>
      </c>
      <c r="C35" s="112" t="str">
        <f>_xll.qlRateHelperQuoteName(B35)</f>
        <v>JPYOIS6Y_Quote</v>
      </c>
      <c r="D35" s="26">
        <f>_xll.qlRateHelperQuoteValue($B35,Trigger)</f>
        <v>1.5500000000000002E-3</v>
      </c>
      <c r="E35" s="26" t="e">
        <f>_xll.qlSwapRateHelperSpread($B35,Trigger)</f>
        <v>#NUM!</v>
      </c>
      <c r="F35" s="22" t="b">
        <f t="shared" si="0"/>
        <v>1</v>
      </c>
      <c r="G35" s="22">
        <v>50</v>
      </c>
      <c r="H35" s="22">
        <v>1</v>
      </c>
      <c r="I35" s="25">
        <f>_xll.qlRateHelperEarliestDate($B35,Trigger)</f>
        <v>41834</v>
      </c>
      <c r="J35" s="24">
        <f>_xll.qlRateHelperLatestDate($B35,Trigger)</f>
        <v>44026</v>
      </c>
    </row>
    <row r="36" spans="2:10" x14ac:dyDescent="0.2">
      <c r="B36" s="112" t="str">
        <f>OIS!K36</f>
        <v>obj_002d4#0000</v>
      </c>
      <c r="C36" s="112" t="str">
        <f>_xll.qlRateHelperQuoteName(B36)</f>
        <v>JPYOIS7Y_Quote</v>
      </c>
      <c r="D36" s="26">
        <f>_xll.qlRateHelperQuoteValue($B36,Trigger)</f>
        <v>2.2250000000000004E-3</v>
      </c>
      <c r="E36" s="26" t="e">
        <f>_xll.qlSwapRateHelperSpread($B36,Trigger)</f>
        <v>#NUM!</v>
      </c>
      <c r="F36" s="22" t="b">
        <f t="shared" si="0"/>
        <v>1</v>
      </c>
      <c r="G36" s="22">
        <v>50</v>
      </c>
      <c r="H36" s="22">
        <v>1</v>
      </c>
      <c r="I36" s="25">
        <f>_xll.qlRateHelperEarliestDate($B36,Trigger)</f>
        <v>41834</v>
      </c>
      <c r="J36" s="24">
        <f>_xll.qlRateHelperLatestDate($B36,Trigger)</f>
        <v>44391</v>
      </c>
    </row>
    <row r="37" spans="2:10" x14ac:dyDescent="0.2">
      <c r="B37" s="112" t="str">
        <f>OIS!K37</f>
        <v>obj_002dd#0000</v>
      </c>
      <c r="C37" s="112" t="str">
        <f>_xll.qlRateHelperQuoteName(B37)</f>
        <v>JPYOIS8Y_Quote</v>
      </c>
      <c r="D37" s="26">
        <f>_xll.qlRateHelperQuoteValue($B37,Trigger)</f>
        <v>2.9250000000000005E-3</v>
      </c>
      <c r="E37" s="26" t="e">
        <f>_xll.qlSwapRateHelperSpread($B37,Trigger)</f>
        <v>#NUM!</v>
      </c>
      <c r="F37" s="22" t="b">
        <f t="shared" si="0"/>
        <v>1</v>
      </c>
      <c r="G37" s="22">
        <v>50</v>
      </c>
      <c r="H37" s="22">
        <v>1</v>
      </c>
      <c r="I37" s="25">
        <f>_xll.qlRateHelperEarliestDate($B37,Trigger)</f>
        <v>41834</v>
      </c>
      <c r="J37" s="24">
        <f>_xll.qlRateHelperLatestDate($B37,Trigger)</f>
        <v>44756</v>
      </c>
    </row>
    <row r="38" spans="2:10" x14ac:dyDescent="0.2">
      <c r="B38" s="112" t="str">
        <f>OIS!K38</f>
        <v>obj_002e3#0000</v>
      </c>
      <c r="C38" s="112" t="str">
        <f>_xll.qlRateHelperQuoteName(B38)</f>
        <v>JPYOIS9Y_Quote</v>
      </c>
      <c r="D38" s="26">
        <f>_xll.qlRateHelperQuoteValue($B38,Trigger)</f>
        <v>3.65E-3</v>
      </c>
      <c r="E38" s="26" t="e">
        <f>_xll.qlSwapRateHelperSpread($B38,Trigger)</f>
        <v>#NUM!</v>
      </c>
      <c r="F38" s="22" t="b">
        <f t="shared" si="0"/>
        <v>1</v>
      </c>
      <c r="G38" s="22">
        <v>50</v>
      </c>
      <c r="H38" s="22">
        <v>1</v>
      </c>
      <c r="I38" s="25">
        <f>_xll.qlRateHelperEarliestDate($B38,Trigger)</f>
        <v>41834</v>
      </c>
      <c r="J38" s="24">
        <f>_xll.qlRateHelperLatestDate($B38,Trigger)</f>
        <v>45121</v>
      </c>
    </row>
    <row r="39" spans="2:10" x14ac:dyDescent="0.2">
      <c r="B39" s="112" t="str">
        <f>OIS!K39</f>
        <v>obj_002d9#0000</v>
      </c>
      <c r="C39" s="112" t="str">
        <f>_xll.qlRateHelperQuoteName(B39)</f>
        <v>JPYOIS10Y_Quote</v>
      </c>
      <c r="D39" s="26">
        <f>_xll.qlRateHelperQuoteValue($B39,Trigger)</f>
        <v>4.4000000000000003E-3</v>
      </c>
      <c r="E39" s="26" t="e">
        <f>_xll.qlSwapRateHelperSpread($B39,Trigger)</f>
        <v>#NUM!</v>
      </c>
      <c r="F39" s="22" t="b">
        <f t="shared" si="0"/>
        <v>1</v>
      </c>
      <c r="G39" s="22">
        <v>50</v>
      </c>
      <c r="H39" s="22">
        <v>1</v>
      </c>
      <c r="I39" s="25">
        <f>_xll.qlRateHelperEarliestDate($B39,Trigger)</f>
        <v>41834</v>
      </c>
      <c r="J39" s="24">
        <f>_xll.qlRateHelperLatestDate($B39,Trigger)</f>
        <v>45489</v>
      </c>
    </row>
    <row r="40" spans="2:10" x14ac:dyDescent="0.2">
      <c r="B40" s="112" t="str">
        <f>OIS!K40</f>
        <v>obj_002d1#0000</v>
      </c>
      <c r="C40" s="112" t="str">
        <f>_xll.qlRateHelperQuoteName(B40)</f>
        <v>JPYOIS12Y_Quote</v>
      </c>
      <c r="D40" s="26">
        <f>_xll.qlRateHelperQuoteValue($B40,Trigger)</f>
        <v>6.0499999999999998E-3</v>
      </c>
      <c r="E40" s="26" t="e">
        <f>_xll.qlSwapRateHelperSpread($B40,Trigger)</f>
        <v>#NUM!</v>
      </c>
      <c r="F40" s="22" t="b">
        <f t="shared" si="0"/>
        <v>1</v>
      </c>
      <c r="G40" s="22">
        <v>50</v>
      </c>
      <c r="H40" s="22">
        <v>1</v>
      </c>
      <c r="I40" s="25">
        <f>_xll.qlRateHelperEarliestDate($B40,Trigger)</f>
        <v>41834</v>
      </c>
      <c r="J40" s="24">
        <f>_xll.qlRateHelperLatestDate($B40,Trigger)</f>
        <v>46217</v>
      </c>
    </row>
    <row r="41" spans="2:10" x14ac:dyDescent="0.2">
      <c r="B41" s="112" t="str">
        <f>OIS!K41</f>
        <v>obj_002dc#0000</v>
      </c>
      <c r="C41" s="112" t="str">
        <f>_xll.qlRateHelperQuoteName(B41)</f>
        <v>JPYOIS15Y_Quote</v>
      </c>
      <c r="D41" s="26">
        <f>_xll.qlRateHelperQuoteValue($B41,Trigger)</f>
        <v>8.575000000000001E-3</v>
      </c>
      <c r="E41" s="26" t="e">
        <f>_xll.qlSwapRateHelperSpread($B41,Trigger)</f>
        <v>#NUM!</v>
      </c>
      <c r="F41" s="22" t="b">
        <f t="shared" si="0"/>
        <v>1</v>
      </c>
      <c r="G41" s="22">
        <v>50</v>
      </c>
      <c r="H41" s="22">
        <v>1</v>
      </c>
      <c r="I41" s="25">
        <f>_xll.qlRateHelperEarliestDate($B41,Trigger)</f>
        <v>41834</v>
      </c>
      <c r="J41" s="24">
        <f>_xll.qlRateHelperLatestDate($B41,Trigger)</f>
        <v>47316</v>
      </c>
    </row>
    <row r="42" spans="2:10" x14ac:dyDescent="0.2">
      <c r="B42" s="112" t="str">
        <f>OIS!K42</f>
        <v>obj_002eb#0000</v>
      </c>
      <c r="C42" s="112" t="str">
        <f>_xll.qlRateHelperQuoteName(B42)</f>
        <v>JPYOIS20Y_Quote</v>
      </c>
      <c r="D42" s="26">
        <f>_xll.qlRateHelperQuoteValue($B42,Trigger)</f>
        <v>1.1699999999999999E-2</v>
      </c>
      <c r="E42" s="26" t="e">
        <f>_xll.qlSwapRateHelperSpread($B42,Trigger)</f>
        <v>#NUM!</v>
      </c>
      <c r="F42" s="22" t="b">
        <f t="shared" si="0"/>
        <v>1</v>
      </c>
      <c r="G42" s="22">
        <v>50</v>
      </c>
      <c r="H42" s="22">
        <v>1</v>
      </c>
      <c r="I42" s="25">
        <f>_xll.qlRateHelperEarliestDate($B42,Trigger)</f>
        <v>41834</v>
      </c>
      <c r="J42" s="24">
        <f>_xll.qlRateHelperLatestDate($B42,Trigger)</f>
        <v>49139</v>
      </c>
    </row>
    <row r="43" spans="2:10" x14ac:dyDescent="0.2">
      <c r="B43" s="112" t="str">
        <f>OIS!K43</f>
        <v>obj_002e8#0000</v>
      </c>
      <c r="C43" s="112" t="str">
        <f>_xll.qlRateHelperQuoteName(B43)</f>
        <v>JPYOIS25Y_Quote</v>
      </c>
      <c r="D43" s="26">
        <f>_xll.qlRateHelperQuoteValue($B43,Trigger)</f>
        <v>1.3375E-2</v>
      </c>
      <c r="E43" s="26" t="e">
        <f>_xll.qlSwapRateHelperSpread($B43,Trigger)</f>
        <v>#NUM!</v>
      </c>
      <c r="F43" s="22" t="b">
        <f t="shared" si="0"/>
        <v>1</v>
      </c>
      <c r="G43" s="22">
        <v>50</v>
      </c>
      <c r="H43" s="22">
        <v>1</v>
      </c>
      <c r="I43" s="25">
        <f>_xll.qlRateHelperEarliestDate($B43,Trigger)</f>
        <v>41834</v>
      </c>
      <c r="J43" s="24">
        <f>_xll.qlRateHelperLatestDate($B43,Trigger)</f>
        <v>50965</v>
      </c>
    </row>
    <row r="44" spans="2:10" x14ac:dyDescent="0.2">
      <c r="B44" s="112" t="str">
        <f>OIS!K44</f>
        <v>obj_002d8#0000</v>
      </c>
      <c r="C44" s="112" t="str">
        <f>_xll.qlRateHelperQuoteName(B44)</f>
        <v>JPYOIS30Y_Quote</v>
      </c>
      <c r="D44" s="26">
        <f>_xll.qlRateHelperQuoteValue($B44,Trigger)</f>
        <v>1.4300000000000002E-2</v>
      </c>
      <c r="E44" s="26" t="e">
        <f>_xll.qlSwapRateHelperSpread($B44,Trigger)</f>
        <v>#NUM!</v>
      </c>
      <c r="F44" s="22" t="b">
        <f t="shared" si="0"/>
        <v>1</v>
      </c>
      <c r="G44" s="22">
        <v>50</v>
      </c>
      <c r="H44" s="22">
        <v>1</v>
      </c>
      <c r="I44" s="25">
        <f>_xll.qlRateHelperEarliestDate($B44,Trigger)</f>
        <v>41834</v>
      </c>
      <c r="J44" s="24">
        <f>_xll.qlRateHelperLatestDate($B44,Trigger)</f>
        <v>52792</v>
      </c>
    </row>
    <row r="45" spans="2:10" x14ac:dyDescent="0.2">
      <c r="B45" s="112" t="str">
        <f>OIS!K45</f>
        <v>obj_002ce#0000</v>
      </c>
      <c r="C45" s="112" t="str">
        <f>_xll.qlRateHelperQuoteName(B45)</f>
        <v>JPYOIS40Y_Quote</v>
      </c>
      <c r="D45" s="26" t="e">
        <f>_xll.qlRateHelperQuoteValue($B45,Trigger)</f>
        <v>#NUM!</v>
      </c>
      <c r="E45" s="26" t="e">
        <f>_xll.qlSwapRateHelperSpread($B45,Trigger)</f>
        <v>#NUM!</v>
      </c>
      <c r="F45" s="22" t="b">
        <f t="shared" si="0"/>
        <v>0</v>
      </c>
      <c r="G45" s="22">
        <v>50</v>
      </c>
      <c r="H45" s="22">
        <v>1</v>
      </c>
      <c r="I45" s="25">
        <f>_xll.qlRateHelperEarliestDate($B45,Trigger)</f>
        <v>41834</v>
      </c>
      <c r="J45" s="24">
        <f>_xll.qlRateHelperLatestDate($B45,Trigger)</f>
        <v>56444</v>
      </c>
    </row>
    <row r="46" spans="2:10" x14ac:dyDescent="0.2">
      <c r="B46" s="112" t="str">
        <f>OIS!K46</f>
        <v>obj_002cf#0000</v>
      </c>
      <c r="C46" s="113" t="str">
        <f>_xll.qlRateHelperQuoteName(B46)</f>
        <v>JPYOIS50Y_Quote</v>
      </c>
      <c r="D46" s="26" t="e">
        <f>_xll.qlRateHelperQuoteValue($B46,Trigger)</f>
        <v>#NUM!</v>
      </c>
      <c r="E46" s="26" t="e">
        <f>_xll.qlSwapRateHelperSpread($B46,Trigger)</f>
        <v>#NUM!</v>
      </c>
      <c r="F46" s="22" t="b">
        <f t="shared" si="0"/>
        <v>0</v>
      </c>
      <c r="G46" s="22">
        <v>50</v>
      </c>
      <c r="H46" s="22">
        <v>1</v>
      </c>
      <c r="I46" s="25">
        <f>_xll.qlRateHelperEarliestDate($B46,Trigger)</f>
        <v>41834</v>
      </c>
      <c r="J46" s="24">
        <f>_xll.qlRateHelperLatestDate($B46,Trigger)</f>
        <v>60097</v>
      </c>
    </row>
    <row r="47" spans="2:10" x14ac:dyDescent="0.2">
      <c r="B47" s="185"/>
      <c r="C47" s="185"/>
      <c r="D47" s="185"/>
      <c r="E47" s="185"/>
      <c r="F47" s="185"/>
      <c r="G47" s="185"/>
      <c r="H47" s="185"/>
      <c r="I47" s="185"/>
      <c r="J47" s="18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01" t="s">
        <v>10</v>
      </c>
      <c r="B1" s="202"/>
      <c r="D1" s="122" t="s">
        <v>9</v>
      </c>
      <c r="E1" s="18" t="s">
        <v>132</v>
      </c>
      <c r="F1" s="17" t="s">
        <v>8</v>
      </c>
      <c r="G1" s="17"/>
      <c r="H1" s="17" t="s">
        <v>7</v>
      </c>
      <c r="I1" s="16" t="s">
        <v>6</v>
      </c>
      <c r="J1" s="186">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obj_002e4</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41834</v>
      </c>
      <c r="I2" s="7">
        <f>_xll.qlRateHelperLatestDate($D2)</f>
        <v>41865</v>
      </c>
      <c r="J2" s="186">
        <v>0.99993776899557918</v>
      </c>
    </row>
    <row r="3" spans="1:10" x14ac:dyDescent="0.2">
      <c r="A3" s="11" t="s">
        <v>4</v>
      </c>
      <c r="B3" s="13">
        <v>1</v>
      </c>
      <c r="C3" s="68"/>
      <c r="D3" s="10" t="str">
        <v>obj_002e5</v>
      </c>
      <c r="E3" s="10" t="str">
        <f>_xll.qlRateHelperQuoteName(D3)</f>
        <v>JPYOIS2M_Quote</v>
      </c>
      <c r="F3" s="9">
        <f>_xll.qlRateHelperRate($D3)</f>
        <v>6.4999999999999997E-4</v>
      </c>
      <c r="G3" s="9" t="str">
        <f>IF(ISERROR(_xll.qlSwapRateHelperSpread($D3)),IF(ISERROR(_xll.qlFuturesRateHelperConvexityAdjustment($D3)),"--",_xll.qlFuturesRateHelperConvexityAdjustment($D3)),_xll.qlSwapRateHelperSpread($D3))</f>
        <v>--</v>
      </c>
      <c r="H3" s="8">
        <f>_xll.qlRateHelperEarliestDate($D3)</f>
        <v>41834</v>
      </c>
      <c r="I3" s="7">
        <f>_xll.qlRateHelperLatestDate($D3)</f>
        <v>41898</v>
      </c>
      <c r="J3" s="186">
        <v>0.99987901222566755</v>
      </c>
    </row>
    <row r="4" spans="1:10" x14ac:dyDescent="0.2">
      <c r="A4" s="11" t="s">
        <v>3</v>
      </c>
      <c r="B4" s="13">
        <v>2</v>
      </c>
      <c r="C4" s="68"/>
      <c r="D4" s="10" t="str">
        <v>obj_002d7</v>
      </c>
      <c r="E4" s="10" t="str">
        <f>_xll.qlRateHelperQuoteName(D4)</f>
        <v>JPYOIS3M_Quote</v>
      </c>
      <c r="F4" s="9">
        <f>_xll.qlRateHelperRate($D4)</f>
        <v>6.4999999999999997E-4</v>
      </c>
      <c r="G4" s="9" t="str">
        <f>IF(ISERROR(_xll.qlSwapRateHelperSpread($D4)),IF(ISERROR(_xll.qlFuturesRateHelperConvexityAdjustment($D4)),"--",_xll.qlFuturesRateHelperConvexityAdjustment($D4)),_xll.qlSwapRateHelperSpread($D4))</f>
        <v>--</v>
      </c>
      <c r="H4" s="8">
        <f>_xll.qlRateHelperEarliestDate($D4)</f>
        <v>41834</v>
      </c>
      <c r="I4" s="7">
        <f>_xll.qlRateHelperLatestDate($D4)</f>
        <v>41926</v>
      </c>
      <c r="J4" s="186">
        <v>0.99983546271351564</v>
      </c>
    </row>
    <row r="5" spans="1:10" x14ac:dyDescent="0.2">
      <c r="A5" s="11" t="s">
        <v>2</v>
      </c>
      <c r="B5" s="12" t="s">
        <v>1</v>
      </c>
      <c r="C5" s="68"/>
      <c r="D5" s="10" t="str">
        <v>obj_002e9</v>
      </c>
      <c r="E5" s="10" t="str">
        <f>_xll.qlRateHelperQuoteName(D5)</f>
        <v>JPYOIS4M_Quote</v>
      </c>
      <c r="F5" s="9">
        <f>_xll.qlRateHelperRate($D5)</f>
        <v>6.2500000000000001E-4</v>
      </c>
      <c r="G5" s="9" t="str">
        <f>IF(ISERROR(_xll.qlSwapRateHelperSpread($D5)),IF(ISERROR(_xll.qlFuturesRateHelperConvexityAdjustment($D5)),"--",_xll.qlFuturesRateHelperConvexityAdjustment($D5)),_xll.qlSwapRateHelperSpread($D5))</f>
        <v>--</v>
      </c>
      <c r="H5" s="8">
        <f>_xll.qlRateHelperEarliestDate($D5)</f>
        <v>41834</v>
      </c>
      <c r="I5" s="7">
        <f>_xll.qlRateHelperLatestDate($D5)</f>
        <v>41957</v>
      </c>
      <c r="J5" s="186">
        <v>0.99978240043137667</v>
      </c>
    </row>
    <row r="6" spans="1:10" x14ac:dyDescent="0.2">
      <c r="C6" s="68"/>
      <c r="D6" s="10" t="str">
        <v>obj_002d0</v>
      </c>
      <c r="E6" s="10" t="str">
        <f>_xll.qlRateHelperQuoteName(D6)</f>
        <v>JPYOIS5M_Quote</v>
      </c>
      <c r="F6" s="9">
        <f>_xll.qlRateHelperRate($D6)</f>
        <v>6.2500000000000001E-4</v>
      </c>
      <c r="G6" s="9" t="str">
        <f>IF(ISERROR(_xll.qlSwapRateHelperSpread($D6)),IF(ISERROR(_xll.qlFuturesRateHelperConvexityAdjustment($D6)),"--",_xll.qlFuturesRateHelperConvexityAdjustment($D6)),_xll.qlSwapRateHelperSpread($D6))</f>
        <v>--</v>
      </c>
      <c r="H6" s="8">
        <f>_xll.qlRateHelperEarliestDate($D6)</f>
        <v>41834</v>
      </c>
      <c r="I6" s="7">
        <f>_xll.qlRateHelperLatestDate($D6)</f>
        <v>41988</v>
      </c>
      <c r="J6" s="186">
        <v>0.99972934378131095</v>
      </c>
    </row>
    <row r="7" spans="1:10" x14ac:dyDescent="0.2">
      <c r="C7" s="68"/>
      <c r="D7" s="10" t="str">
        <v>obj_002e7</v>
      </c>
      <c r="E7" s="10" t="str">
        <f>_xll.qlRateHelperQuoteName(D7)</f>
        <v>JPYOIS6M_Quote</v>
      </c>
      <c r="F7" s="9">
        <f>_xll.qlRateHelperRate($D7)</f>
        <v>6.2500000000000001E-4</v>
      </c>
      <c r="G7" s="9" t="str">
        <f>IF(ISERROR(_xll.qlSwapRateHelperSpread($D7)),IF(ISERROR(_xll.qlFuturesRateHelperConvexityAdjustment($D7)),"--",_xll.qlFuturesRateHelperConvexityAdjustment($D7)),_xll.qlSwapRateHelperSpread($D7))</f>
        <v>--</v>
      </c>
      <c r="H7" s="8">
        <f>_xll.qlRateHelperEarliestDate($D7)</f>
        <v>41834</v>
      </c>
      <c r="I7" s="7">
        <f>_xll.qlRateHelperLatestDate($D7)</f>
        <v>42018</v>
      </c>
      <c r="J7" s="186">
        <v>0.99969059886956257</v>
      </c>
    </row>
    <row r="8" spans="1:10" x14ac:dyDescent="0.2">
      <c r="C8" s="68"/>
      <c r="D8" s="10" t="str">
        <v>obj_002e6</v>
      </c>
      <c r="E8" s="10" t="str">
        <f>_xll.qlRateHelperQuoteName(D8)</f>
        <v>JPYOIS9M_Quote</v>
      </c>
      <c r="F8" s="9">
        <f>_xll.qlRateHelperRate($D8)</f>
        <v>6.2500000000000001E-4</v>
      </c>
      <c r="G8" s="9" t="str">
        <f>IF(ISERROR(_xll.qlSwapRateHelperSpread($D8)),IF(ISERROR(_xll.qlFuturesRateHelperConvexityAdjustment($D8)),"--",_xll.qlFuturesRateHelperConvexityAdjustment($D8)),_xll.qlSwapRateHelperSpread($D8))</f>
        <v>--</v>
      </c>
      <c r="H8" s="8">
        <f>_xll.qlRateHelperEarliestDate($D8)</f>
        <v>41834</v>
      </c>
      <c r="I8" s="7">
        <f>_xll.qlRateHelperLatestDate($D8)</f>
        <v>42108</v>
      </c>
      <c r="J8" s="186">
        <v>0.99954276602355863</v>
      </c>
    </row>
    <row r="9" spans="1:10" x14ac:dyDescent="0.2">
      <c r="C9" s="68"/>
      <c r="D9" s="10" t="str">
        <v>obj_002d3</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41834</v>
      </c>
      <c r="I9" s="7">
        <f>_xll.qlRateHelperLatestDate($D9)</f>
        <v>42199</v>
      </c>
      <c r="J9" s="186">
        <v>0.99939333503824601</v>
      </c>
    </row>
    <row r="10" spans="1:10" x14ac:dyDescent="0.2">
      <c r="C10" s="68"/>
      <c r="D10" s="10" t="str">
        <v>obj_002c9</v>
      </c>
      <c r="E10" s="10" t="str">
        <f>_xll.qlRateHelperQuoteName(D10)</f>
        <v>JPYOIS18M_Quote</v>
      </c>
      <c r="F10" s="9">
        <f>_xll.qlRateHelperRate($D10)</f>
        <v>6.2500000000000001E-4</v>
      </c>
      <c r="G10" s="9" t="str">
        <f>IF(ISERROR(_xll.qlSwapRateHelperSpread($D10)),IF(ISERROR(_xll.qlFuturesRateHelperConvexityAdjustment($D10)),"--",_xll.qlFuturesRateHelperConvexityAdjustment($D10)),_xll.qlSwapRateHelperSpread($D10))</f>
        <v>--</v>
      </c>
      <c r="H10" s="8">
        <f>_xll.qlRateHelperEarliestDate($D10)</f>
        <v>41834</v>
      </c>
      <c r="I10" s="7">
        <f>_xll.qlRateHelperLatestDate($D10)</f>
        <v>42383</v>
      </c>
      <c r="J10" s="186">
        <v>0.99909114418258083</v>
      </c>
    </row>
    <row r="11" spans="1:10" x14ac:dyDescent="0.2">
      <c r="C11" s="68"/>
      <c r="D11" s="10" t="str">
        <v>obj_002ec</v>
      </c>
      <c r="E11" s="10" t="str">
        <f>_xll.qlRateHelperQuoteName(D11)</f>
        <v>JPYOIS2Y_Quote</v>
      </c>
      <c r="F11" s="9">
        <f>_xll.qlRateHelperRate($D11)</f>
        <v>6.2500000000000001E-4</v>
      </c>
      <c r="G11" s="9" t="str">
        <f>IF(ISERROR(_xll.qlSwapRateHelperSpread($D11)),IF(ISERROR(_xll.qlFuturesRateHelperConvexityAdjustment($D11)),"--",_xll.qlFuturesRateHelperConvexityAdjustment($D11)),_xll.qlSwapRateHelperSpread($D11))</f>
        <v>--</v>
      </c>
      <c r="H11" s="8">
        <f>_xll.qlRateHelperEarliestDate($D11)</f>
        <v>41834</v>
      </c>
      <c r="I11" s="7">
        <f>_xll.qlRateHelperLatestDate($D11)</f>
        <v>42565</v>
      </c>
      <c r="J11" s="186">
        <v>0.99879241773705396</v>
      </c>
    </row>
    <row r="12" spans="1:10" x14ac:dyDescent="0.2">
      <c r="C12" s="68"/>
      <c r="D12" s="10" t="str">
        <v>obj_002d2</v>
      </c>
      <c r="E12" s="10" t="str">
        <f>_xll.qlRateHelperQuoteName(D12)</f>
        <v>JPYOIS3Y_Quote</v>
      </c>
      <c r="F12" s="9">
        <f>_xll.qlRateHelperRate($D12)</f>
        <v>7.000000000000001E-4</v>
      </c>
      <c r="G12" s="9" t="str">
        <f>IF(ISERROR(_xll.qlSwapRateHelperSpread($D12)),IF(ISERROR(_xll.qlFuturesRateHelperConvexityAdjustment($D12)),"--",_xll.qlFuturesRateHelperConvexityAdjustment($D12)),_xll.qlSwapRateHelperSpread($D12))</f>
        <v>--</v>
      </c>
      <c r="H12" s="8">
        <f>_xll.qlRateHelperEarliestDate($D12)</f>
        <v>41834</v>
      </c>
      <c r="I12" s="7">
        <f>_xll.qlRateHelperLatestDate($D12)</f>
        <v>42930</v>
      </c>
      <c r="J12" s="186">
        <v>0.9981185705761848</v>
      </c>
    </row>
    <row r="13" spans="1:10" x14ac:dyDescent="0.2">
      <c r="C13" s="68"/>
      <c r="D13" s="10" t="str">
        <v>obj_002d6</v>
      </c>
      <c r="E13" s="10" t="str">
        <f>_xll.qlRateHelperQuoteName(D13)</f>
        <v>JPYOIS4Y_Quote</v>
      </c>
      <c r="F13" s="9">
        <f>_xll.qlRateHelperRate($D13)</f>
        <v>7.7499999999999997E-4</v>
      </c>
      <c r="G13" s="9" t="str">
        <f>IF(ISERROR(_xll.qlSwapRateHelperSpread($D13)),IF(ISERROR(_xll.qlFuturesRateHelperConvexityAdjustment($D13)),"--",_xll.qlFuturesRateHelperConvexityAdjustment($D13)),_xll.qlSwapRateHelperSpread($D13))</f>
        <v>--</v>
      </c>
      <c r="H13" s="8">
        <f>_xll.qlRateHelperEarliestDate($D13)</f>
        <v>41834</v>
      </c>
      <c r="I13" s="7">
        <f>_xll.qlRateHelperLatestDate($D13)</f>
        <v>43298</v>
      </c>
      <c r="J13" s="186">
        <v>0.99718987235222523</v>
      </c>
    </row>
    <row r="14" spans="1:10" x14ac:dyDescent="0.2">
      <c r="C14" s="68"/>
      <c r="D14" s="10" t="str">
        <v>obj_002e2</v>
      </c>
      <c r="E14" s="10" t="str">
        <f>_xll.qlRateHelperQuoteName(D14)</f>
        <v>JPYOIS5Y_Quote</v>
      </c>
      <c r="F14" s="9">
        <f>_xll.qlRateHelperRate($D14)</f>
        <v>1.0250000000000001E-3</v>
      </c>
      <c r="G14" s="9" t="str">
        <f>IF(ISERROR(_xll.qlSwapRateHelperSpread($D14)),IF(ISERROR(_xll.qlFuturesRateHelperConvexityAdjustment($D14)),"--",_xll.qlFuturesRateHelperConvexityAdjustment($D14)),_xll.qlSwapRateHelperSpread($D14))</f>
        <v>--</v>
      </c>
      <c r="H14" s="8">
        <f>_xll.qlRateHelperEarliestDate($D14)</f>
        <v>41834</v>
      </c>
      <c r="I14" s="7">
        <f>_xll.qlRateHelperLatestDate($D14)</f>
        <v>43662</v>
      </c>
      <c r="J14" s="186">
        <v>0.99524587246594343</v>
      </c>
    </row>
    <row r="15" spans="1:10" x14ac:dyDescent="0.2">
      <c r="C15" s="68"/>
      <c r="D15" s="10" t="str">
        <v>obj_002e1</v>
      </c>
      <c r="E15" s="10" t="str">
        <f>_xll.qlRateHelperQuoteName(D15)</f>
        <v>JPYOIS6Y_Quote</v>
      </c>
      <c r="F15" s="9">
        <f>_xll.qlRateHelperRate($D15)</f>
        <v>1.5500000000000002E-3</v>
      </c>
      <c r="G15" s="9" t="str">
        <f>IF(ISERROR(_xll.qlSwapRateHelperSpread($D15)),IF(ISERROR(_xll.qlFuturesRateHelperConvexityAdjustment($D15)),"--",_xll.qlFuturesRateHelperConvexityAdjustment($D15)),_xll.qlSwapRateHelperSpread($D15))</f>
        <v>--</v>
      </c>
      <c r="H15" s="8">
        <f>_xll.qlRateHelperEarliestDate($D15)</f>
        <v>41834</v>
      </c>
      <c r="I15" s="7">
        <f>_xll.qlRateHelperLatestDate($D15)</f>
        <v>44026</v>
      </c>
      <c r="J15" s="186">
        <v>0.99176223349262782</v>
      </c>
    </row>
    <row r="16" spans="1:10" x14ac:dyDescent="0.2">
      <c r="C16" s="68"/>
      <c r="D16" s="10" t="str">
        <v>obj_002d4</v>
      </c>
      <c r="E16" s="10" t="str">
        <f>_xll.qlRateHelperQuoteName(D16)</f>
        <v>JPYOIS7Y_Quote</v>
      </c>
      <c r="F16" s="9">
        <f>_xll.qlRateHelperRate($D16)</f>
        <v>2.2250000000000004E-3</v>
      </c>
      <c r="G16" s="9" t="str">
        <f>IF(ISERROR(_xll.qlSwapRateHelperSpread($D16)),IF(ISERROR(_xll.qlFuturesRateHelperConvexityAdjustment($D16)),"--",_xll.qlFuturesRateHelperConvexityAdjustment($D16)),_xll.qlSwapRateHelperSpread($D16))</f>
        <v>--</v>
      </c>
      <c r="H16" s="8">
        <f>_xll.qlRateHelperEarliestDate($D16)</f>
        <v>41834</v>
      </c>
      <c r="I16" s="7">
        <f>_xll.qlRateHelperLatestDate($D16)</f>
        <v>44391</v>
      </c>
      <c r="J16" s="186">
        <v>0.98587494262124675</v>
      </c>
    </row>
    <row r="17" spans="3:10" x14ac:dyDescent="0.2">
      <c r="C17" s="68"/>
      <c r="D17" s="10" t="str">
        <v>obj_002dd</v>
      </c>
      <c r="E17" s="10" t="str">
        <f>_xll.qlRateHelperQuoteName(D17)</f>
        <v>JPYOIS8Y_Quote</v>
      </c>
      <c r="F17" s="9">
        <f>_xll.qlRateHelperRate($D17)</f>
        <v>2.9250000000000005E-3</v>
      </c>
      <c r="G17" s="9" t="str">
        <f>IF(ISERROR(_xll.qlSwapRateHelperSpread($D17)),IF(ISERROR(_xll.qlFuturesRateHelperConvexityAdjustment($D17)),"--",_xll.qlFuturesRateHelperConvexityAdjustment($D17)),_xll.qlSwapRateHelperSpread($D17))</f>
        <v>--</v>
      </c>
      <c r="H17" s="8">
        <f>_xll.qlRateHelperEarliestDate($D17)</f>
        <v>41834</v>
      </c>
      <c r="I17" s="7">
        <f>_xll.qlRateHelperLatestDate($D17)</f>
        <v>44756</v>
      </c>
      <c r="J17" s="186">
        <v>0.9783286908192077</v>
      </c>
    </row>
    <row r="18" spans="3:10" x14ac:dyDescent="0.2">
      <c r="C18" s="68"/>
      <c r="D18" s="10" t="str">
        <v>obj_002e3</v>
      </c>
      <c r="E18" s="10" t="str">
        <f>_xll.qlRateHelperQuoteName(D18)</f>
        <v>JPYOIS9Y_Quote</v>
      </c>
      <c r="F18" s="9">
        <f>_xll.qlRateHelperRate($D18)</f>
        <v>3.65E-3</v>
      </c>
      <c r="G18" s="9" t="str">
        <f>IF(ISERROR(_xll.qlSwapRateHelperSpread($D18)),IF(ISERROR(_xll.qlFuturesRateHelperConvexityAdjustment($D18)),"--",_xll.qlFuturesRateHelperConvexityAdjustment($D18)),_xll.qlSwapRateHelperSpread($D18))</f>
        <v>--</v>
      </c>
      <c r="H18" s="8">
        <f>_xll.qlRateHelperEarliestDate($D18)</f>
        <v>41834</v>
      </c>
      <c r="I18" s="7">
        <f>_xll.qlRateHelperLatestDate($D18)</f>
        <v>45121</v>
      </c>
      <c r="J18" s="186">
        <v>0.96899877414710167</v>
      </c>
    </row>
    <row r="19" spans="3:10" x14ac:dyDescent="0.2">
      <c r="C19" s="68"/>
      <c r="D19" s="10" t="str">
        <v>obj_002d9</v>
      </c>
      <c r="E19" s="10" t="str">
        <f>_xll.qlRateHelperQuoteName(D19)</f>
        <v>JPYOIS10Y_Quote</v>
      </c>
      <c r="F19" s="9">
        <f>_xll.qlRateHelperRate($D19)</f>
        <v>4.4000000000000003E-3</v>
      </c>
      <c r="G19" s="9" t="str">
        <f>IF(ISERROR(_xll.qlSwapRateHelperSpread($D19)),IF(ISERROR(_xll.qlFuturesRateHelperConvexityAdjustment($D19)),"--",_xll.qlFuturesRateHelperConvexityAdjustment($D19)),_xll.qlSwapRateHelperSpread($D19))</f>
        <v>--</v>
      </c>
      <c r="H19" s="8">
        <f>_xll.qlRateHelperEarliestDate($D19)</f>
        <v>41834</v>
      </c>
      <c r="I19" s="7">
        <f>_xll.qlRateHelperLatestDate($D19)</f>
        <v>45489</v>
      </c>
      <c r="J19" s="186">
        <v>0.95847368246522335</v>
      </c>
    </row>
    <row r="20" spans="3:10" x14ac:dyDescent="0.2">
      <c r="C20" s="68"/>
      <c r="D20" s="10" t="str">
        <v>obj_002d1</v>
      </c>
      <c r="E20" s="10" t="str">
        <f>_xll.qlRateHelperQuoteName(D20)</f>
        <v>JPYOIS12Y_Quote</v>
      </c>
      <c r="F20" s="9">
        <f>_xll.qlRateHelperRate($D20)</f>
        <v>6.0499999999999998E-3</v>
      </c>
      <c r="G20" s="9" t="str">
        <f>IF(ISERROR(_xll.qlSwapRateHelperSpread($D20)),IF(ISERROR(_xll.qlFuturesRateHelperConvexityAdjustment($D20)),"--",_xll.qlFuturesRateHelperConvexityAdjustment($D20)),_xll.qlSwapRateHelperSpread($D20))</f>
        <v>--</v>
      </c>
      <c r="H20" s="8">
        <f>_xll.qlRateHelperEarliestDate($D20)</f>
        <v>41834</v>
      </c>
      <c r="I20" s="7">
        <f>_xll.qlRateHelperLatestDate($D20)</f>
        <v>46217</v>
      </c>
      <c r="J20" s="186">
        <v>0.93062852555720599</v>
      </c>
    </row>
    <row r="21" spans="3:10" x14ac:dyDescent="0.2">
      <c r="C21" s="68"/>
      <c r="D21" s="10" t="str">
        <v>obj_002dc</v>
      </c>
      <c r="E21" s="10" t="str">
        <f>_xll.qlRateHelperQuoteName(D21)</f>
        <v>JPYOIS15Y_Quote</v>
      </c>
      <c r="F21" s="9">
        <f>_xll.qlRateHelperRate($D21)</f>
        <v>8.575000000000001E-3</v>
      </c>
      <c r="G21" s="9" t="str">
        <f>IF(ISERROR(_xll.qlSwapRateHelperSpread($D21)),IF(ISERROR(_xll.qlFuturesRateHelperConvexityAdjustment($D21)),"--",_xll.qlFuturesRateHelperConvexityAdjustment($D21)),_xll.qlSwapRateHelperSpread($D21))</f>
        <v>--</v>
      </c>
      <c r="H21" s="8">
        <f>_xll.qlRateHelperEarliestDate($D21)</f>
        <v>41834</v>
      </c>
      <c r="I21" s="7">
        <f>_xll.qlRateHelperLatestDate($D21)</f>
        <v>47316</v>
      </c>
      <c r="J21" s="186">
        <v>0.87749478755809995</v>
      </c>
    </row>
    <row r="22" spans="3:10" x14ac:dyDescent="0.2">
      <c r="C22" s="68"/>
      <c r="D22" s="10" t="str">
        <v>obj_002eb</v>
      </c>
      <c r="E22" s="10" t="str">
        <f>_xll.qlRateHelperQuoteName(D22)</f>
        <v>JPYOIS20Y_Quote</v>
      </c>
      <c r="F22" s="9">
        <f>_xll.qlRateHelperRate($D22)</f>
        <v>1.1699999999999999E-2</v>
      </c>
      <c r="G22" s="9" t="str">
        <f>IF(ISERROR(_xll.qlSwapRateHelperSpread($D22)),IF(ISERROR(_xll.qlFuturesRateHelperConvexityAdjustment($D22)),"--",_xll.qlFuturesRateHelperConvexityAdjustment($D22)),_xll.qlSwapRateHelperSpread($D22))</f>
        <v>--</v>
      </c>
      <c r="H22" s="8">
        <f>_xll.qlRateHelperEarliestDate($D22)</f>
        <v>41834</v>
      </c>
      <c r="I22" s="7">
        <f>_xll.qlRateHelperLatestDate($D22)</f>
        <v>49139</v>
      </c>
      <c r="J22" s="186">
        <v>0.78339281138204542</v>
      </c>
    </row>
    <row r="23" spans="3:10" x14ac:dyDescent="0.2">
      <c r="C23" s="68"/>
      <c r="D23" s="10" t="str">
        <v>obj_002e8</v>
      </c>
      <c r="E23" s="10" t="str">
        <f>_xll.qlRateHelperQuoteName(D23)</f>
        <v>JPYOIS25Y_Quote</v>
      </c>
      <c r="F23" s="9">
        <f>_xll.qlRateHelperRate($D23)</f>
        <v>1.3375E-2</v>
      </c>
      <c r="G23" s="9" t="str">
        <f>IF(ISERROR(_xll.qlSwapRateHelperSpread($D23)),IF(ISERROR(_xll.qlFuturesRateHelperConvexityAdjustment($D23)),"--",_xll.qlFuturesRateHelperConvexityAdjustment($D23)),_xll.qlSwapRateHelperSpread($D23))</f>
        <v>--</v>
      </c>
      <c r="H23" s="8">
        <f>_xll.qlRateHelperEarliestDate($D23)</f>
        <v>41834</v>
      </c>
      <c r="I23" s="7">
        <f>_xll.qlRateHelperLatestDate($D23)</f>
        <v>50965</v>
      </c>
      <c r="J23" s="186">
        <v>0.702751801033767</v>
      </c>
    </row>
    <row r="24" spans="3:10" x14ac:dyDescent="0.2">
      <c r="C24" s="68"/>
      <c r="D24" s="10" t="str">
        <v>obj_002d8</v>
      </c>
      <c r="E24" s="10" t="str">
        <f>_xll.qlRateHelperQuoteName(D24)</f>
        <v>JPYOIS30Y_Quote</v>
      </c>
      <c r="F24" s="9">
        <f>_xll.qlRateHelperRate($D24)</f>
        <v>1.4300000000000002E-2</v>
      </c>
      <c r="G24" s="9" t="str">
        <f>IF(ISERROR(_xll.qlSwapRateHelperSpread($D24)),IF(ISERROR(_xll.qlFuturesRateHelperConvexityAdjustment($D24)),"--",_xll.qlFuturesRateHelperConvexityAdjustment($D24)),_xll.qlSwapRateHelperSpread($D24))</f>
        <v>--</v>
      </c>
      <c r="H24" s="8">
        <f>_xll.qlRateHelperEarliestDate($D24)</f>
        <v>41834</v>
      </c>
      <c r="I24" s="7">
        <f>_xll.qlRateHelperLatestDate($D24)</f>
        <v>52792</v>
      </c>
      <c r="J24" s="186">
        <v>0.63302080480390477</v>
      </c>
    </row>
    <row r="25" spans="3:10" x14ac:dyDescent="0.2">
      <c r="C25" s="68"/>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6" t="e">
        <v>#N/A</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6"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6"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6"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6"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6"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6"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6"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6"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6"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6"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6"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2" sqref="E2"/>
    </sheetView>
  </sheetViews>
  <sheetFormatPr defaultRowHeight="13.5" x14ac:dyDescent="0.25"/>
  <cols>
    <col min="1" max="1" width="2.7109375" style="190" customWidth="1"/>
    <col min="2" max="2" width="3" style="190" bestFit="1" customWidth="1"/>
    <col min="3" max="3" width="15.140625" style="190" bestFit="1" customWidth="1"/>
    <col min="4" max="4" width="13.140625" style="190" bestFit="1" customWidth="1"/>
    <col min="5" max="5" width="24.42578125" style="190" bestFit="1" customWidth="1"/>
    <col min="6" max="6" width="35.7109375" style="190" customWidth="1"/>
    <col min="7" max="7" width="2.85546875" style="190" customWidth="1"/>
    <col min="8" max="16384" width="9.140625" style="190"/>
  </cols>
  <sheetData>
    <row r="1" spans="1:7" x14ac:dyDescent="0.25">
      <c r="A1" s="78"/>
      <c r="B1" s="77"/>
      <c r="C1" s="71" t="s">
        <v>71</v>
      </c>
      <c r="D1" s="71" t="str">
        <f>Currency&amp;"_YC"&amp;$C$1&amp;"RH"</f>
        <v>JPY_YCONRH</v>
      </c>
      <c r="E1" s="71" t="str">
        <f>$D$1&amp;"_Deposits.xml"</f>
        <v>JPY_YCONRH_Deposits.xml</v>
      </c>
      <c r="F1" s="71"/>
      <c r="G1" s="189"/>
    </row>
    <row r="2" spans="1:7" ht="23.25" customHeight="1" x14ac:dyDescent="0.25">
      <c r="A2" s="74"/>
      <c r="B2" s="76"/>
      <c r="C2" s="76" t="s">
        <v>77</v>
      </c>
      <c r="D2" s="76" t="s">
        <v>76</v>
      </c>
      <c r="E2" s="109" t="str">
        <f>IF(Serialize,_xll.ohObjectSave(E3,SerializationPath&amp;E1,FileOverwrite,Serialize),"---")</f>
        <v>---</v>
      </c>
      <c r="F2" s="75" t="str">
        <f>_xll.ohRangeRetrieveError(E2)</f>
        <v/>
      </c>
      <c r="G2" s="189"/>
    </row>
    <row r="3" spans="1:7" ht="11.25" customHeight="1" x14ac:dyDescent="0.25">
      <c r="A3" s="74"/>
      <c r="B3" s="191" t="s">
        <v>71</v>
      </c>
      <c r="C3" s="192" t="str">
        <f>Currency&amp;"Tonar"</f>
        <v>JPYTonar</v>
      </c>
      <c r="D3" s="193" t="str">
        <f>Currency&amp;$B3&amp;"D"&amp;QuoteSuffix</f>
        <v>JPYOND_Quote</v>
      </c>
      <c r="E3" s="194" t="str">
        <f>_xll.qlDepositRateHelper(,D3,C3,Permanent,Trigger,ObjectOverwrite)</f>
        <v>obj_002c3#0000</v>
      </c>
      <c r="F3" s="107" t="str">
        <f>_xll.ohRangeRetrieveError(E3)</f>
        <v/>
      </c>
      <c r="G3" s="189"/>
    </row>
    <row r="4" spans="1:7" ht="11.25" customHeight="1" x14ac:dyDescent="0.25">
      <c r="A4" s="74"/>
      <c r="B4" s="191" t="s">
        <v>88</v>
      </c>
      <c r="C4" s="193" t="str">
        <f>_xll.qlLibor(,Currency,B4,,,Trigger,ObjectOverwrite)</f>
        <v>obj_002c4#0000</v>
      </c>
      <c r="D4" s="193" t="str">
        <f>Currency&amp;$B4&amp;"D"&amp;QuoteSuffix</f>
        <v>JPYTND_Quote</v>
      </c>
      <c r="E4" s="194" t="str">
        <f>_xll.qlDepositRateHelper(,D4,C4,Permanent,Trigger,ObjectOverwrite)</f>
        <v>obj_002cc#0000</v>
      </c>
      <c r="F4" s="107" t="str">
        <f>_xll.ohRangeRetrieveError(E4)</f>
        <v/>
      </c>
      <c r="G4" s="189"/>
    </row>
    <row r="5" spans="1:7" ht="11.25" customHeight="1" x14ac:dyDescent="0.25">
      <c r="A5" s="74"/>
      <c r="B5" s="191" t="s">
        <v>87</v>
      </c>
      <c r="C5" s="193" t="str">
        <f>_xll.qlLibor(,Currency,B5,,,Trigger,ObjectOverwrite)</f>
        <v>obj_002bd#0000</v>
      </c>
      <c r="D5" s="193" t="str">
        <f>Currency&amp;$B5&amp;"D"&amp;QuoteSuffix</f>
        <v>JPYSND_Quote</v>
      </c>
      <c r="E5" s="194" t="str">
        <f>_xll.qlDepositRateHelper(,D5,C5,Permanent,Trigger,ObjectOverwrite)</f>
        <v>obj_002cd#0000</v>
      </c>
      <c r="F5" s="107" t="str">
        <f>_xll.ohRangeRetrieveError(E5)</f>
        <v/>
      </c>
      <c r="G5" s="189"/>
    </row>
    <row r="6" spans="1:7" ht="11.25" customHeight="1" thickBot="1" x14ac:dyDescent="0.3">
      <c r="A6" s="195"/>
      <c r="B6" s="72"/>
      <c r="C6" s="72"/>
      <c r="D6" s="72"/>
      <c r="E6" s="72"/>
      <c r="F6" s="72"/>
      <c r="G6" s="19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7"/>
  <sheetViews>
    <sheetView workbookViewId="0">
      <selection activeCell="K2" sqref="K2"/>
    </sheetView>
  </sheetViews>
  <sheetFormatPr defaultRowHeight="11.25" x14ac:dyDescent="0.2"/>
  <cols>
    <col min="1" max="1" width="2.7109375" style="69" customWidth="1"/>
    <col min="2" max="2" width="6" style="69" bestFit="1" customWidth="1"/>
    <col min="3" max="3" width="7" style="69" bestFit="1" customWidth="1"/>
    <col min="4" max="5" width="4" style="69" bestFit="1" customWidth="1"/>
    <col min="6" max="6" width="7" style="69" bestFit="1" customWidth="1"/>
    <col min="7" max="8" width="19.28515625" style="69" bestFit="1" customWidth="1"/>
    <col min="9" max="9" width="8" style="69" bestFit="1" customWidth="1"/>
    <col min="10" max="10" width="16.140625" style="69" bestFit="1" customWidth="1"/>
    <col min="11" max="11" width="22" style="70" bestFit="1" customWidth="1"/>
    <col min="12" max="12" width="35.7109375" style="69" customWidth="1"/>
    <col min="13" max="13" width="2.7109375" style="69" customWidth="1"/>
    <col min="14" max="14" width="4.28515625" style="69" customWidth="1"/>
    <col min="15" max="16" width="17.28515625" style="69" bestFit="1" customWidth="1"/>
    <col min="17" max="16384" width="9.140625" style="69"/>
  </cols>
  <sheetData>
    <row r="1" spans="1:16" ht="12" x14ac:dyDescent="0.2">
      <c r="A1" s="74"/>
      <c r="B1" s="77"/>
      <c r="C1" s="77"/>
      <c r="D1" s="77"/>
      <c r="E1" s="77"/>
      <c r="F1" s="77"/>
      <c r="G1" s="77"/>
      <c r="H1" s="77"/>
      <c r="I1" s="71" t="s">
        <v>71</v>
      </c>
      <c r="J1" s="71" t="str">
        <f>Currency&amp;"_YC"&amp;$I$1&amp;"RH"</f>
        <v>JPY_YCONRH</v>
      </c>
      <c r="K1" s="110" t="str">
        <f>J1&amp;"_Swaps.xml"</f>
        <v>JPY_YCONRH_Swaps.xml</v>
      </c>
      <c r="L1" s="77"/>
      <c r="M1" s="99"/>
    </row>
    <row r="2" spans="1:16" ht="36" customHeight="1" x14ac:dyDescent="0.2">
      <c r="A2" s="74"/>
      <c r="B2" s="76" t="s">
        <v>94</v>
      </c>
      <c r="C2" s="76" t="s">
        <v>98</v>
      </c>
      <c r="D2" s="76"/>
      <c r="E2" s="76"/>
      <c r="F2" s="76" t="s">
        <v>93</v>
      </c>
      <c r="G2" s="76" t="s">
        <v>92</v>
      </c>
      <c r="H2" s="76" t="s">
        <v>91</v>
      </c>
      <c r="I2" s="76" t="s">
        <v>90</v>
      </c>
      <c r="J2" s="76" t="s">
        <v>76</v>
      </c>
      <c r="K2" s="109" t="str">
        <f>IF(Serialize,_xll.ohObjectSave(_xll.ohPack(K3:K46),SerializationPath&amp;K1,FileOverwrite,Serialize),"---")</f>
        <v>---</v>
      </c>
      <c r="L2" s="75" t="str">
        <f>_xll.ohRangeRetrieveError(K2)</f>
        <v/>
      </c>
      <c r="M2" s="99"/>
    </row>
    <row r="3" spans="1:16" ht="11.25" customHeight="1" x14ac:dyDescent="0.2">
      <c r="A3" s="78"/>
      <c r="B3" s="77"/>
      <c r="C3" s="77"/>
      <c r="D3" s="77"/>
      <c r="E3" s="77"/>
      <c r="F3" s="77"/>
      <c r="G3" s="77"/>
      <c r="H3" s="77"/>
      <c r="I3" s="77"/>
      <c r="J3" s="77"/>
      <c r="K3" s="108" t="str">
        <f>_xll.qlOvernightIndex(,"Tonar",NDays,Currency,Calendar,MoneyMarketDayCounter,,Permanent,Trigger,ObjectOverwrite)</f>
        <v>obj_002be#0000</v>
      </c>
      <c r="L3" s="107" t="str">
        <f>_xll.ohRangeRetrieveError(K3)</f>
        <v/>
      </c>
      <c r="M3" s="99"/>
    </row>
    <row r="4" spans="1:16" ht="11.25" customHeight="1" x14ac:dyDescent="0.2">
      <c r="A4" s="78"/>
      <c r="B4" s="77"/>
      <c r="C4" s="77"/>
      <c r="D4" s="77"/>
      <c r="E4" s="77"/>
      <c r="F4" s="77"/>
      <c r="G4" s="77"/>
      <c r="H4" s="77"/>
      <c r="I4" s="77"/>
      <c r="J4" s="77"/>
      <c r="K4" s="77"/>
      <c r="L4" s="77"/>
      <c r="M4" s="99"/>
    </row>
    <row r="5" spans="1:16" ht="11.25" customHeight="1" x14ac:dyDescent="0.2">
      <c r="A5" s="74"/>
      <c r="B5" s="106"/>
      <c r="C5" s="105" t="s">
        <v>97</v>
      </c>
      <c r="D5" s="106" t="s">
        <v>45</v>
      </c>
      <c r="E5" s="105" t="s">
        <v>44</v>
      </c>
      <c r="F5" s="104" t="s">
        <v>96</v>
      </c>
      <c r="G5" s="104" t="s">
        <v>95</v>
      </c>
      <c r="H5" s="104" t="s">
        <v>106</v>
      </c>
      <c r="I5" s="103">
        <v>0</v>
      </c>
      <c r="J5" s="102" t="str">
        <f t="shared" ref="J5:J46" si="0">Currency&amp;$D5&amp;$E5&amp;QuoteSuffix</f>
        <v>JPYOISSW_Quote</v>
      </c>
      <c r="K5" s="101" t="str">
        <f>_xll.qlOISRateHelper(,2,C5,J5,$K$3,,Permanent,Trigger,ObjectOverwrite)</f>
        <v>obj_002df#0000</v>
      </c>
      <c r="L5" s="75" t="str">
        <f>_xll.ohRangeRetrieveError(K5)</f>
        <v/>
      </c>
      <c r="M5" s="99"/>
      <c r="O5" s="100"/>
      <c r="P5" s="100"/>
    </row>
    <row r="6" spans="1:16" ht="11.25" customHeight="1" x14ac:dyDescent="0.2">
      <c r="A6" s="74"/>
      <c r="B6" s="106"/>
      <c r="C6" s="105" t="s">
        <v>43</v>
      </c>
      <c r="D6" s="106" t="s">
        <v>45</v>
      </c>
      <c r="E6" s="105" t="str">
        <f t="shared" ref="E6:E43" si="1">C6</f>
        <v>2W</v>
      </c>
      <c r="F6" s="104" t="s">
        <v>96</v>
      </c>
      <c r="G6" s="104" t="s">
        <v>95</v>
      </c>
      <c r="H6" s="104" t="s">
        <v>106</v>
      </c>
      <c r="I6" s="103">
        <v>0</v>
      </c>
      <c r="J6" s="102" t="str">
        <f t="shared" si="0"/>
        <v>JPYOIS2W_Quote</v>
      </c>
      <c r="K6" s="101" t="str">
        <f>_xll.qlOISRateHelper(,2,C6,J6,$K$3,,Permanent,Trigger,ObjectOverwrite)</f>
        <v>obj_002e0#0000</v>
      </c>
      <c r="L6" s="75" t="str">
        <f>_xll.ohRangeRetrieveError(K6)</f>
        <v/>
      </c>
      <c r="M6" s="99"/>
      <c r="O6" s="100"/>
      <c r="P6" s="100"/>
    </row>
    <row r="7" spans="1:16" ht="11.25" customHeight="1" x14ac:dyDescent="0.2">
      <c r="A7" s="74"/>
      <c r="B7" s="106"/>
      <c r="C7" s="105" t="s">
        <v>42</v>
      </c>
      <c r="D7" s="106" t="s">
        <v>45</v>
      </c>
      <c r="E7" s="105" t="str">
        <f t="shared" si="1"/>
        <v>3W</v>
      </c>
      <c r="F7" s="104" t="s">
        <v>96</v>
      </c>
      <c r="G7" s="104" t="s">
        <v>95</v>
      </c>
      <c r="H7" s="104" t="s">
        <v>106</v>
      </c>
      <c r="I7" s="103">
        <v>0</v>
      </c>
      <c r="J7" s="102" t="str">
        <f t="shared" si="0"/>
        <v>JPYOIS3W_Quote</v>
      </c>
      <c r="K7" s="101" t="str">
        <f>_xll.qlOISRateHelper(,2,C7,J7,$K$3,,Permanent,Trigger,ObjectOverwrite)</f>
        <v>obj_002d5#0000</v>
      </c>
      <c r="L7" s="75" t="str">
        <f>_xll.ohRangeRetrieveError(K7)</f>
        <v/>
      </c>
      <c r="M7" s="99"/>
      <c r="O7" s="100"/>
      <c r="P7" s="100"/>
    </row>
    <row r="8" spans="1:16" ht="11.25" customHeight="1" x14ac:dyDescent="0.2">
      <c r="A8" s="74"/>
      <c r="B8" s="106"/>
      <c r="C8" s="105" t="s">
        <v>41</v>
      </c>
      <c r="D8" s="106" t="s">
        <v>45</v>
      </c>
      <c r="E8" s="105" t="str">
        <f t="shared" si="1"/>
        <v>1M</v>
      </c>
      <c r="F8" s="104" t="s">
        <v>96</v>
      </c>
      <c r="G8" s="104" t="s">
        <v>89</v>
      </c>
      <c r="H8" s="104" t="s">
        <v>106</v>
      </c>
      <c r="I8" s="103">
        <v>0</v>
      </c>
      <c r="J8" s="102" t="str">
        <f t="shared" si="0"/>
        <v>JPYOIS1M_Quote</v>
      </c>
      <c r="K8" s="101" t="str">
        <f>_xll.qlOISRateHelper(,2,C8,J8,$K$3,,Permanent,Trigger,ObjectOverwrite)</f>
        <v>obj_002e4#0000</v>
      </c>
      <c r="L8" s="75" t="str">
        <f>_xll.ohRangeRetrieveError(K8)</f>
        <v/>
      </c>
      <c r="M8" s="99"/>
      <c r="O8" s="100"/>
      <c r="P8" s="100"/>
    </row>
    <row r="9" spans="1:16" ht="11.25" customHeight="1" x14ac:dyDescent="0.2">
      <c r="A9" s="74"/>
      <c r="B9" s="106"/>
      <c r="C9" s="105" t="s">
        <v>40</v>
      </c>
      <c r="D9" s="106" t="s">
        <v>45</v>
      </c>
      <c r="E9" s="105" t="str">
        <f t="shared" si="1"/>
        <v>2M</v>
      </c>
      <c r="F9" s="104" t="s">
        <v>96</v>
      </c>
      <c r="G9" s="104" t="s">
        <v>89</v>
      </c>
      <c r="H9" s="104" t="s">
        <v>106</v>
      </c>
      <c r="I9" s="103">
        <v>0</v>
      </c>
      <c r="J9" s="102" t="str">
        <f t="shared" si="0"/>
        <v>JPYOIS2M_Quote</v>
      </c>
      <c r="K9" s="101" t="str">
        <f>_xll.qlOISRateHelper(,2,C9,J9,$K$3,,Permanent,Trigger,ObjectOverwrite)</f>
        <v>obj_002e5#0000</v>
      </c>
      <c r="L9" s="75" t="str">
        <f>_xll.ohRangeRetrieveError(K9)</f>
        <v/>
      </c>
      <c r="M9" s="99"/>
      <c r="O9" s="100"/>
      <c r="P9" s="100"/>
    </row>
    <row r="10" spans="1:16" ht="11.25" customHeight="1" x14ac:dyDescent="0.2">
      <c r="A10" s="74"/>
      <c r="B10" s="106"/>
      <c r="C10" s="105" t="s">
        <v>39</v>
      </c>
      <c r="D10" s="106" t="s">
        <v>45</v>
      </c>
      <c r="E10" s="105" t="str">
        <f t="shared" si="1"/>
        <v>3M</v>
      </c>
      <c r="F10" s="104" t="s">
        <v>96</v>
      </c>
      <c r="G10" s="104" t="s">
        <v>89</v>
      </c>
      <c r="H10" s="104" t="s">
        <v>106</v>
      </c>
      <c r="I10" s="103">
        <v>0</v>
      </c>
      <c r="J10" s="102" t="str">
        <f t="shared" si="0"/>
        <v>JPYOIS3M_Quote</v>
      </c>
      <c r="K10" s="101" t="str">
        <f>_xll.qlOISRateHelper(,2,C10,J10,$K$3,,Permanent,Trigger,ObjectOverwrite)</f>
        <v>obj_002d7#0000</v>
      </c>
      <c r="L10" s="75" t="str">
        <f>_xll.ohRangeRetrieveError(K10)</f>
        <v/>
      </c>
      <c r="M10" s="99"/>
      <c r="O10" s="100"/>
      <c r="P10" s="100"/>
    </row>
    <row r="11" spans="1:16" ht="11.25" customHeight="1" x14ac:dyDescent="0.2">
      <c r="A11" s="74"/>
      <c r="B11" s="106"/>
      <c r="C11" s="105" t="s">
        <v>38</v>
      </c>
      <c r="D11" s="106" t="s">
        <v>45</v>
      </c>
      <c r="E11" s="105" t="str">
        <f t="shared" si="1"/>
        <v>4M</v>
      </c>
      <c r="F11" s="104" t="s">
        <v>96</v>
      </c>
      <c r="G11" s="104" t="s">
        <v>89</v>
      </c>
      <c r="H11" s="104" t="s">
        <v>106</v>
      </c>
      <c r="I11" s="103">
        <v>0</v>
      </c>
      <c r="J11" s="102" t="str">
        <f t="shared" si="0"/>
        <v>JPYOIS4M_Quote</v>
      </c>
      <c r="K11" s="101" t="str">
        <f>_xll.qlOISRateHelper(,2,C11,J11,$K$3,,Permanent,Trigger,ObjectOverwrite)</f>
        <v>obj_002e9#0000</v>
      </c>
      <c r="L11" s="75" t="str">
        <f>_xll.ohRangeRetrieveError(K11)</f>
        <v/>
      </c>
      <c r="M11" s="99"/>
      <c r="O11" s="100"/>
      <c r="P11" s="100"/>
    </row>
    <row r="12" spans="1:16" ht="11.25" customHeight="1" x14ac:dyDescent="0.2">
      <c r="A12" s="74"/>
      <c r="B12" s="106"/>
      <c r="C12" s="105" t="s">
        <v>37</v>
      </c>
      <c r="D12" s="106" t="s">
        <v>45</v>
      </c>
      <c r="E12" s="105" t="str">
        <f t="shared" si="1"/>
        <v>5M</v>
      </c>
      <c r="F12" s="104" t="s">
        <v>96</v>
      </c>
      <c r="G12" s="104" t="s">
        <v>89</v>
      </c>
      <c r="H12" s="104" t="s">
        <v>106</v>
      </c>
      <c r="I12" s="103">
        <v>0</v>
      </c>
      <c r="J12" s="102" t="str">
        <f t="shared" si="0"/>
        <v>JPYOIS5M_Quote</v>
      </c>
      <c r="K12" s="101" t="str">
        <f>_xll.qlOISRateHelper(,2,C12,J12,$K$3,,Permanent,Trigger,ObjectOverwrite)</f>
        <v>obj_002d0#0000</v>
      </c>
      <c r="L12" s="75" t="str">
        <f>_xll.ohRangeRetrieveError(K12)</f>
        <v/>
      </c>
      <c r="M12" s="99"/>
      <c r="O12" s="100"/>
      <c r="P12" s="100"/>
    </row>
    <row r="13" spans="1:16" ht="11.25" customHeight="1" x14ac:dyDescent="0.2">
      <c r="A13" s="74"/>
      <c r="B13" s="106"/>
      <c r="C13" s="105" t="s">
        <v>36</v>
      </c>
      <c r="D13" s="106" t="s">
        <v>45</v>
      </c>
      <c r="E13" s="105" t="str">
        <f t="shared" si="1"/>
        <v>6M</v>
      </c>
      <c r="F13" s="104" t="s">
        <v>96</v>
      </c>
      <c r="G13" s="104" t="s">
        <v>89</v>
      </c>
      <c r="H13" s="104" t="s">
        <v>106</v>
      </c>
      <c r="I13" s="103">
        <v>0</v>
      </c>
      <c r="J13" s="102" t="str">
        <f t="shared" si="0"/>
        <v>JPYOIS6M_Quote</v>
      </c>
      <c r="K13" s="101" t="str">
        <f>_xll.qlOISRateHelper(,2,C13,J13,$K$3,,Permanent,Trigger,ObjectOverwrite)</f>
        <v>obj_002e7#0000</v>
      </c>
      <c r="L13" s="75" t="str">
        <f>_xll.ohRangeRetrieveError(K13)</f>
        <v/>
      </c>
      <c r="M13" s="99"/>
      <c r="O13" s="100"/>
      <c r="P13" s="100"/>
    </row>
    <row r="14" spans="1:16" ht="11.25" customHeight="1" x14ac:dyDescent="0.2">
      <c r="A14" s="74"/>
      <c r="B14" s="106"/>
      <c r="C14" s="105" t="s">
        <v>35</v>
      </c>
      <c r="D14" s="106" t="s">
        <v>45</v>
      </c>
      <c r="E14" s="105" t="str">
        <f t="shared" si="1"/>
        <v>7M</v>
      </c>
      <c r="F14" s="104" t="s">
        <v>96</v>
      </c>
      <c r="G14" s="104" t="s">
        <v>89</v>
      </c>
      <c r="H14" s="104" t="s">
        <v>106</v>
      </c>
      <c r="I14" s="103">
        <v>0</v>
      </c>
      <c r="J14" s="102" t="str">
        <f t="shared" si="0"/>
        <v>JPYOIS7M_Quote</v>
      </c>
      <c r="K14" s="101" t="str">
        <f>_xll.qlOISRateHelper(,2,C14,J14,$K$3,,Permanent,Trigger,ObjectOverwrite)</f>
        <v>obj_002de#0000</v>
      </c>
      <c r="L14" s="75" t="str">
        <f>_xll.ohRangeRetrieveError(K14)</f>
        <v/>
      </c>
      <c r="M14" s="99"/>
      <c r="O14" s="100"/>
      <c r="P14" s="100"/>
    </row>
    <row r="15" spans="1:16" ht="11.25" customHeight="1" x14ac:dyDescent="0.2">
      <c r="A15" s="74"/>
      <c r="B15" s="106"/>
      <c r="C15" s="105" t="s">
        <v>34</v>
      </c>
      <c r="D15" s="106" t="s">
        <v>45</v>
      </c>
      <c r="E15" s="105" t="str">
        <f t="shared" si="1"/>
        <v>8M</v>
      </c>
      <c r="F15" s="104" t="s">
        <v>96</v>
      </c>
      <c r="G15" s="104" t="s">
        <v>89</v>
      </c>
      <c r="H15" s="104" t="s">
        <v>106</v>
      </c>
      <c r="I15" s="103">
        <v>0</v>
      </c>
      <c r="J15" s="102" t="str">
        <f t="shared" si="0"/>
        <v>JPYOIS8M_Quote</v>
      </c>
      <c r="K15" s="101" t="str">
        <f>_xll.qlOISRateHelper(,2,C15,J15,$K$3,,Permanent,Trigger,ObjectOverwrite)</f>
        <v>obj_002ea#0000</v>
      </c>
      <c r="L15" s="75" t="str">
        <f>_xll.ohRangeRetrieveError(K15)</f>
        <v/>
      </c>
      <c r="M15" s="99"/>
      <c r="O15" s="100"/>
      <c r="P15" s="100"/>
    </row>
    <row r="16" spans="1:16" ht="11.25" customHeight="1" x14ac:dyDescent="0.2">
      <c r="A16" s="74"/>
      <c r="B16" s="106"/>
      <c r="C16" s="105" t="s">
        <v>33</v>
      </c>
      <c r="D16" s="106" t="s">
        <v>45</v>
      </c>
      <c r="E16" s="105" t="str">
        <f t="shared" si="1"/>
        <v>9M</v>
      </c>
      <c r="F16" s="104" t="s">
        <v>96</v>
      </c>
      <c r="G16" s="104" t="s">
        <v>89</v>
      </c>
      <c r="H16" s="104" t="s">
        <v>106</v>
      </c>
      <c r="I16" s="103">
        <v>0</v>
      </c>
      <c r="J16" s="102" t="str">
        <f t="shared" si="0"/>
        <v>JPYOIS9M_Quote</v>
      </c>
      <c r="K16" s="101" t="str">
        <f>_xll.qlOISRateHelper(,2,C16,J16,$K$3,,Permanent,Trigger,ObjectOverwrite)</f>
        <v>obj_002e6#0000</v>
      </c>
      <c r="L16" s="75" t="str">
        <f>_xll.ohRangeRetrieveError(K16)</f>
        <v/>
      </c>
      <c r="M16" s="99"/>
      <c r="O16" s="100"/>
      <c r="P16" s="100"/>
    </row>
    <row r="17" spans="1:16" ht="11.25" customHeight="1" x14ac:dyDescent="0.2">
      <c r="A17" s="74"/>
      <c r="B17" s="106"/>
      <c r="C17" s="105" t="s">
        <v>32</v>
      </c>
      <c r="D17" s="106" t="s">
        <v>45</v>
      </c>
      <c r="E17" s="105" t="str">
        <f t="shared" si="1"/>
        <v>10M</v>
      </c>
      <c r="F17" s="104" t="s">
        <v>96</v>
      </c>
      <c r="G17" s="104" t="s">
        <v>89</v>
      </c>
      <c r="H17" s="104" t="s">
        <v>106</v>
      </c>
      <c r="I17" s="103">
        <v>0</v>
      </c>
      <c r="J17" s="102" t="str">
        <f t="shared" si="0"/>
        <v>JPYOIS10M_Quote</v>
      </c>
      <c r="K17" s="101" t="str">
        <f>_xll.qlOISRateHelper(,2,C17,J17,$K$3,,Permanent,Trigger,ObjectOverwrite)</f>
        <v>obj_002db#0000</v>
      </c>
      <c r="L17" s="75" t="str">
        <f>_xll.ohRangeRetrieveError(K17)</f>
        <v/>
      </c>
      <c r="M17" s="99"/>
      <c r="O17" s="100"/>
      <c r="P17" s="100"/>
    </row>
    <row r="18" spans="1:16" ht="11.25" customHeight="1" x14ac:dyDescent="0.2">
      <c r="A18" s="74"/>
      <c r="B18" s="106"/>
      <c r="C18" s="105" t="s">
        <v>31</v>
      </c>
      <c r="D18" s="106" t="s">
        <v>45</v>
      </c>
      <c r="E18" s="105" t="str">
        <f t="shared" si="1"/>
        <v>11M</v>
      </c>
      <c r="F18" s="104" t="s">
        <v>96</v>
      </c>
      <c r="G18" s="104" t="s">
        <v>89</v>
      </c>
      <c r="H18" s="104" t="s">
        <v>106</v>
      </c>
      <c r="I18" s="103">
        <v>0</v>
      </c>
      <c r="J18" s="102" t="str">
        <f t="shared" si="0"/>
        <v>JPYOIS11M_Quote</v>
      </c>
      <c r="K18" s="101" t="str">
        <f>_xll.qlOISRateHelper(,2,C18,J18,$K$3,,Permanent,Trigger,ObjectOverwrite)</f>
        <v>obj_002da#0000</v>
      </c>
      <c r="L18" s="75" t="str">
        <f>_xll.ohRangeRetrieveError(K18)</f>
        <v/>
      </c>
      <c r="M18" s="99"/>
      <c r="O18" s="100"/>
      <c r="P18" s="100"/>
    </row>
    <row r="19" spans="1:16" ht="11.25" customHeight="1" x14ac:dyDescent="0.2">
      <c r="A19" s="74"/>
      <c r="B19" s="106"/>
      <c r="C19" s="105" t="s">
        <v>30</v>
      </c>
      <c r="D19" s="106" t="s">
        <v>45</v>
      </c>
      <c r="E19" s="105" t="str">
        <f t="shared" si="1"/>
        <v>1Y</v>
      </c>
      <c r="F19" s="104" t="s">
        <v>96</v>
      </c>
      <c r="G19" s="104" t="s">
        <v>89</v>
      </c>
      <c r="H19" s="104" t="s">
        <v>106</v>
      </c>
      <c r="I19" s="103">
        <v>0</v>
      </c>
      <c r="J19" s="102" t="str">
        <f t="shared" si="0"/>
        <v>JPYOIS1Y_Quote</v>
      </c>
      <c r="K19" s="101" t="str">
        <f>_xll.qlOISRateHelper(,2,C19,J19,$K$3,,Permanent,Trigger,ObjectOverwrite)</f>
        <v>obj_002d3#0000</v>
      </c>
      <c r="L19" s="75" t="str">
        <f>_xll.ohRangeRetrieveError(K19)</f>
        <v/>
      </c>
      <c r="M19" s="99"/>
      <c r="O19" s="100"/>
      <c r="P19" s="100"/>
    </row>
    <row r="20" spans="1:16" ht="11.25" customHeight="1" x14ac:dyDescent="0.2">
      <c r="A20" s="74"/>
      <c r="B20" s="106"/>
      <c r="C20" s="105" t="s">
        <v>133</v>
      </c>
      <c r="D20" s="106" t="s">
        <v>45</v>
      </c>
      <c r="E20" s="105" t="str">
        <f t="shared" ref="E20:E30" si="2">C20</f>
        <v>13M</v>
      </c>
      <c r="F20" s="104" t="s">
        <v>96</v>
      </c>
      <c r="G20" s="104" t="s">
        <v>89</v>
      </c>
      <c r="H20" s="104" t="s">
        <v>106</v>
      </c>
      <c r="I20" s="103">
        <v>0</v>
      </c>
      <c r="J20" s="102" t="str">
        <f t="shared" si="0"/>
        <v>JPYOIS13M_Quote</v>
      </c>
      <c r="K20" s="101" t="str">
        <f>_xll.qlOISRateHelper(,2,C20,J20,$K$3,,Permanent,Trigger,ObjectOverwrite)</f>
        <v>obj_002c7#0000</v>
      </c>
      <c r="L20" s="75"/>
      <c r="M20" s="99"/>
      <c r="O20" s="100"/>
      <c r="P20" s="100"/>
    </row>
    <row r="21" spans="1:16" ht="11.25" customHeight="1" x14ac:dyDescent="0.2">
      <c r="A21" s="74"/>
      <c r="B21" s="106"/>
      <c r="C21" s="105" t="s">
        <v>134</v>
      </c>
      <c r="D21" s="106" t="s">
        <v>45</v>
      </c>
      <c r="E21" s="105" t="str">
        <f t="shared" si="2"/>
        <v>14M</v>
      </c>
      <c r="F21" s="104" t="s">
        <v>96</v>
      </c>
      <c r="G21" s="104" t="s">
        <v>89</v>
      </c>
      <c r="H21" s="104" t="s">
        <v>106</v>
      </c>
      <c r="I21" s="103">
        <v>0</v>
      </c>
      <c r="J21" s="102" t="str">
        <f t="shared" si="0"/>
        <v>JPYOIS14M_Quote</v>
      </c>
      <c r="K21" s="101" t="str">
        <f>_xll.qlOISRateHelper(,2,C21,J21,$K$3,,Permanent,Trigger,ObjectOverwrite)</f>
        <v>obj_002c0#0000</v>
      </c>
      <c r="L21" s="75"/>
      <c r="M21" s="99"/>
      <c r="O21" s="100"/>
      <c r="P21" s="100"/>
    </row>
    <row r="22" spans="1:16" ht="11.25" customHeight="1" x14ac:dyDescent="0.2">
      <c r="A22" s="74"/>
      <c r="B22" s="106"/>
      <c r="C22" s="105" t="s">
        <v>29</v>
      </c>
      <c r="D22" s="106" t="s">
        <v>45</v>
      </c>
      <c r="E22" s="105" t="str">
        <f t="shared" si="2"/>
        <v>15M</v>
      </c>
      <c r="F22" s="104" t="s">
        <v>96</v>
      </c>
      <c r="G22" s="104" t="s">
        <v>89</v>
      </c>
      <c r="H22" s="104" t="s">
        <v>106</v>
      </c>
      <c r="I22" s="103">
        <v>0</v>
      </c>
      <c r="J22" s="102" t="str">
        <f t="shared" si="0"/>
        <v>JPYOIS15M_Quote</v>
      </c>
      <c r="K22" s="101" t="str">
        <f>_xll.qlOISRateHelper(,2,C22,J22,$K$3,,Permanent,Trigger,ObjectOverwrite)</f>
        <v>obj_002c5#0000</v>
      </c>
      <c r="L22" s="75" t="str">
        <f>_xll.ohRangeRetrieveError(K22)</f>
        <v/>
      </c>
      <c r="M22" s="99"/>
      <c r="O22" s="100"/>
      <c r="P22" s="100"/>
    </row>
    <row r="23" spans="1:16" ht="11.25" customHeight="1" x14ac:dyDescent="0.2">
      <c r="A23" s="74"/>
      <c r="B23" s="106"/>
      <c r="C23" s="105" t="s">
        <v>135</v>
      </c>
      <c r="D23" s="106" t="s">
        <v>45</v>
      </c>
      <c r="E23" s="105" t="str">
        <f t="shared" si="2"/>
        <v>16M</v>
      </c>
      <c r="F23" s="104" t="s">
        <v>96</v>
      </c>
      <c r="G23" s="104" t="s">
        <v>89</v>
      </c>
      <c r="H23" s="104" t="s">
        <v>106</v>
      </c>
      <c r="I23" s="103">
        <v>0</v>
      </c>
      <c r="J23" s="102" t="str">
        <f t="shared" si="0"/>
        <v>JPYOIS16M_Quote</v>
      </c>
      <c r="K23" s="101" t="str">
        <f>_xll.qlOISRateHelper(,2,C23,J23,$K$3,,Permanent,Trigger,ObjectOverwrite)</f>
        <v>obj_002c1#0000</v>
      </c>
      <c r="L23" s="75"/>
      <c r="M23" s="99"/>
      <c r="O23" s="100"/>
      <c r="P23" s="100"/>
    </row>
    <row r="24" spans="1:16" ht="11.25" customHeight="1" x14ac:dyDescent="0.2">
      <c r="A24" s="74"/>
      <c r="B24" s="106"/>
      <c r="C24" s="105" t="s">
        <v>136</v>
      </c>
      <c r="D24" s="106" t="s">
        <v>45</v>
      </c>
      <c r="E24" s="105" t="str">
        <f t="shared" si="2"/>
        <v>17M</v>
      </c>
      <c r="F24" s="104" t="s">
        <v>96</v>
      </c>
      <c r="G24" s="104" t="s">
        <v>89</v>
      </c>
      <c r="H24" s="104" t="s">
        <v>106</v>
      </c>
      <c r="I24" s="103">
        <v>0</v>
      </c>
      <c r="J24" s="102" t="str">
        <f t="shared" si="0"/>
        <v>JPYOIS17M_Quote</v>
      </c>
      <c r="K24" s="101" t="str">
        <f>_xll.qlOISRateHelper(,2,C24,J24,$K$3,,Permanent,Trigger,ObjectOverwrite)</f>
        <v>obj_002c8#0000</v>
      </c>
      <c r="L24" s="75"/>
      <c r="M24" s="99"/>
      <c r="O24" s="100"/>
      <c r="P24" s="100"/>
    </row>
    <row r="25" spans="1:16" ht="11.25" customHeight="1" x14ac:dyDescent="0.2">
      <c r="A25" s="74"/>
      <c r="B25" s="106"/>
      <c r="C25" s="105" t="s">
        <v>28</v>
      </c>
      <c r="D25" s="106" t="s">
        <v>45</v>
      </c>
      <c r="E25" s="105" t="str">
        <f t="shared" si="2"/>
        <v>18M</v>
      </c>
      <c r="F25" s="104" t="s">
        <v>96</v>
      </c>
      <c r="G25" s="104" t="s">
        <v>89</v>
      </c>
      <c r="H25" s="104" t="s">
        <v>106</v>
      </c>
      <c r="I25" s="103">
        <v>0</v>
      </c>
      <c r="J25" s="102" t="str">
        <f t="shared" si="0"/>
        <v>JPYOIS18M_Quote</v>
      </c>
      <c r="K25" s="101" t="str">
        <f>_xll.qlOISRateHelper(,2,C25,J25,$K$3,,Permanent,Trigger,ObjectOverwrite)</f>
        <v>obj_002c9#0000</v>
      </c>
      <c r="L25" s="75" t="str">
        <f>_xll.ohRangeRetrieveError(K25)</f>
        <v/>
      </c>
      <c r="M25" s="99"/>
      <c r="O25" s="100"/>
      <c r="P25" s="100"/>
    </row>
    <row r="26" spans="1:16" ht="11.25" customHeight="1" x14ac:dyDescent="0.2">
      <c r="A26" s="74"/>
      <c r="B26" s="106"/>
      <c r="C26" s="105" t="s">
        <v>137</v>
      </c>
      <c r="D26" s="106" t="s">
        <v>45</v>
      </c>
      <c r="E26" s="105" t="str">
        <f t="shared" si="2"/>
        <v>19M</v>
      </c>
      <c r="F26" s="104" t="s">
        <v>96</v>
      </c>
      <c r="G26" s="104" t="s">
        <v>89</v>
      </c>
      <c r="H26" s="104" t="s">
        <v>106</v>
      </c>
      <c r="I26" s="103">
        <v>0</v>
      </c>
      <c r="J26" s="102" t="str">
        <f t="shared" si="0"/>
        <v>JPYOIS19M_Quote</v>
      </c>
      <c r="K26" s="101" t="str">
        <f>_xll.qlOISRateHelper(,2,C26,J26,$K$3,,Permanent,Trigger,ObjectOverwrite)</f>
        <v>obj_002ca#0000</v>
      </c>
      <c r="L26" s="75"/>
      <c r="M26" s="99"/>
      <c r="O26" s="100"/>
      <c r="P26" s="100"/>
    </row>
    <row r="27" spans="1:16" ht="11.25" customHeight="1" x14ac:dyDescent="0.2">
      <c r="A27" s="74"/>
      <c r="B27" s="106"/>
      <c r="C27" s="105" t="s">
        <v>138</v>
      </c>
      <c r="D27" s="106" t="s">
        <v>45</v>
      </c>
      <c r="E27" s="105" t="str">
        <f t="shared" si="2"/>
        <v>20M</v>
      </c>
      <c r="F27" s="104" t="s">
        <v>96</v>
      </c>
      <c r="G27" s="104" t="s">
        <v>89</v>
      </c>
      <c r="H27" s="104" t="s">
        <v>106</v>
      </c>
      <c r="I27" s="103">
        <v>0</v>
      </c>
      <c r="J27" s="102" t="str">
        <f t="shared" si="0"/>
        <v>JPYOIS20M_Quote</v>
      </c>
      <c r="K27" s="101" t="str">
        <f>_xll.qlOISRateHelper(,2,C27,J27,$K$3,,Permanent,Trigger,ObjectOverwrite)</f>
        <v>obj_002c6#0000</v>
      </c>
      <c r="L27" s="75"/>
      <c r="M27" s="99"/>
      <c r="O27" s="100"/>
      <c r="P27" s="100"/>
    </row>
    <row r="28" spans="1:16" ht="11.25" customHeight="1" x14ac:dyDescent="0.2">
      <c r="A28" s="74"/>
      <c r="B28" s="106"/>
      <c r="C28" s="105" t="s">
        <v>27</v>
      </c>
      <c r="D28" s="106" t="s">
        <v>45</v>
      </c>
      <c r="E28" s="105" t="str">
        <f t="shared" si="2"/>
        <v>21M</v>
      </c>
      <c r="F28" s="104" t="s">
        <v>96</v>
      </c>
      <c r="G28" s="104" t="s">
        <v>89</v>
      </c>
      <c r="H28" s="104" t="s">
        <v>106</v>
      </c>
      <c r="I28" s="103">
        <v>0</v>
      </c>
      <c r="J28" s="102" t="str">
        <f t="shared" si="0"/>
        <v>JPYOIS21M_Quote</v>
      </c>
      <c r="K28" s="101" t="str">
        <f>_xll.qlOISRateHelper(,2,C28,J28,$K$3,,Permanent,Trigger,ObjectOverwrite)</f>
        <v>obj_002c2#0000</v>
      </c>
      <c r="L28" s="75" t="str">
        <f>_xll.ohRangeRetrieveError(K28)</f>
        <v/>
      </c>
      <c r="M28" s="99"/>
      <c r="O28" s="100"/>
      <c r="P28" s="100"/>
    </row>
    <row r="29" spans="1:16" ht="11.25" customHeight="1" x14ac:dyDescent="0.2">
      <c r="A29" s="74"/>
      <c r="B29" s="106"/>
      <c r="C29" s="105" t="s">
        <v>139</v>
      </c>
      <c r="D29" s="106" t="s">
        <v>45</v>
      </c>
      <c r="E29" s="105" t="str">
        <f t="shared" si="2"/>
        <v>22M</v>
      </c>
      <c r="F29" s="104" t="s">
        <v>96</v>
      </c>
      <c r="G29" s="104" t="s">
        <v>89</v>
      </c>
      <c r="H29" s="104" t="s">
        <v>106</v>
      </c>
      <c r="I29" s="103">
        <v>0</v>
      </c>
      <c r="J29" s="102" t="str">
        <f t="shared" si="0"/>
        <v>JPYOIS22M_Quote</v>
      </c>
      <c r="K29" s="101" t="str">
        <f>_xll.qlOISRateHelper(,2,C29,J29,$K$3,,Permanent,Trigger,ObjectOverwrite)</f>
        <v>obj_002cb#0000</v>
      </c>
      <c r="L29" s="75"/>
      <c r="M29" s="99"/>
      <c r="O29" s="100"/>
      <c r="P29" s="100"/>
    </row>
    <row r="30" spans="1:16" ht="11.25" customHeight="1" x14ac:dyDescent="0.2">
      <c r="A30" s="74"/>
      <c r="B30" s="106"/>
      <c r="C30" s="105" t="s">
        <v>140</v>
      </c>
      <c r="D30" s="106" t="s">
        <v>45</v>
      </c>
      <c r="E30" s="105" t="str">
        <f t="shared" si="2"/>
        <v>23M</v>
      </c>
      <c r="F30" s="104" t="s">
        <v>96</v>
      </c>
      <c r="G30" s="104" t="s">
        <v>89</v>
      </c>
      <c r="H30" s="104" t="s">
        <v>106</v>
      </c>
      <c r="I30" s="103">
        <v>0</v>
      </c>
      <c r="J30" s="102" t="str">
        <f t="shared" si="0"/>
        <v>JPYOIS23M_Quote</v>
      </c>
      <c r="K30" s="101" t="str">
        <f>_xll.qlOISRateHelper(,2,C30,J30,$K$3,,Permanent,Trigger,ObjectOverwrite)</f>
        <v>obj_002bf#0000</v>
      </c>
      <c r="L30" s="75"/>
      <c r="M30" s="99"/>
      <c r="O30" s="100"/>
      <c r="P30" s="100"/>
    </row>
    <row r="31" spans="1:16" ht="11.25" customHeight="1" x14ac:dyDescent="0.2">
      <c r="A31" s="74"/>
      <c r="B31" s="106"/>
      <c r="C31" s="105" t="s">
        <v>26</v>
      </c>
      <c r="D31" s="106" t="s">
        <v>45</v>
      </c>
      <c r="E31" s="105" t="str">
        <f t="shared" si="1"/>
        <v>2Y</v>
      </c>
      <c r="F31" s="104" t="s">
        <v>96</v>
      </c>
      <c r="G31" s="104" t="s">
        <v>89</v>
      </c>
      <c r="H31" s="104" t="s">
        <v>106</v>
      </c>
      <c r="I31" s="103">
        <v>0</v>
      </c>
      <c r="J31" s="102" t="str">
        <f t="shared" si="0"/>
        <v>JPYOIS2Y_Quote</v>
      </c>
      <c r="K31" s="101" t="str">
        <f>_xll.qlOISRateHelper(,2,C31,J31,$K$3,,Permanent,Trigger,ObjectOverwrite)</f>
        <v>obj_002ec#0000</v>
      </c>
      <c r="L31" s="75" t="str">
        <f>_xll.ohRangeRetrieveError(K31)</f>
        <v/>
      </c>
      <c r="M31" s="99"/>
      <c r="O31" s="100"/>
      <c r="P31" s="100"/>
    </row>
    <row r="32" spans="1:16" ht="11.25" customHeight="1" x14ac:dyDescent="0.2">
      <c r="A32" s="74"/>
      <c r="B32" s="106"/>
      <c r="C32" s="105" t="s">
        <v>25</v>
      </c>
      <c r="D32" s="106" t="s">
        <v>45</v>
      </c>
      <c r="E32" s="105" t="str">
        <f t="shared" si="1"/>
        <v>3Y</v>
      </c>
      <c r="F32" s="104" t="s">
        <v>96</v>
      </c>
      <c r="G32" s="104" t="s">
        <v>89</v>
      </c>
      <c r="H32" s="104" t="s">
        <v>106</v>
      </c>
      <c r="I32" s="103">
        <v>0</v>
      </c>
      <c r="J32" s="102" t="str">
        <f t="shared" si="0"/>
        <v>JPYOIS3Y_Quote</v>
      </c>
      <c r="K32" s="101" t="str">
        <f>_xll.qlOISRateHelper(,2,C32,J32,$K$3,,Permanent,Trigger,ObjectOverwrite)</f>
        <v>obj_002d2#0000</v>
      </c>
      <c r="L32" s="75" t="str">
        <f>_xll.ohRangeRetrieveError(K32)</f>
        <v/>
      </c>
      <c r="M32" s="99"/>
      <c r="O32" s="100"/>
      <c r="P32" s="100"/>
    </row>
    <row r="33" spans="1:16" ht="11.25" customHeight="1" x14ac:dyDescent="0.2">
      <c r="A33" s="74"/>
      <c r="B33" s="106"/>
      <c r="C33" s="105" t="s">
        <v>24</v>
      </c>
      <c r="D33" s="106" t="s">
        <v>45</v>
      </c>
      <c r="E33" s="105" t="str">
        <f t="shared" si="1"/>
        <v>4Y</v>
      </c>
      <c r="F33" s="104" t="s">
        <v>96</v>
      </c>
      <c r="G33" s="104" t="s">
        <v>89</v>
      </c>
      <c r="H33" s="104" t="s">
        <v>106</v>
      </c>
      <c r="I33" s="103">
        <v>0</v>
      </c>
      <c r="J33" s="102" t="str">
        <f t="shared" si="0"/>
        <v>JPYOIS4Y_Quote</v>
      </c>
      <c r="K33" s="101" t="str">
        <f>_xll.qlOISRateHelper(,2,C33,J33,$K$3,,Permanent,Trigger,ObjectOverwrite)</f>
        <v>obj_002d6#0000</v>
      </c>
      <c r="L33" s="75" t="str">
        <f>_xll.ohRangeRetrieveError(K33)</f>
        <v/>
      </c>
      <c r="M33" s="99"/>
      <c r="O33" s="100"/>
      <c r="P33" s="100"/>
    </row>
    <row r="34" spans="1:16" ht="11.25" customHeight="1" x14ac:dyDescent="0.2">
      <c r="A34" s="74"/>
      <c r="B34" s="106"/>
      <c r="C34" s="105" t="s">
        <v>23</v>
      </c>
      <c r="D34" s="106" t="s">
        <v>45</v>
      </c>
      <c r="E34" s="105" t="str">
        <f t="shared" si="1"/>
        <v>5Y</v>
      </c>
      <c r="F34" s="104" t="s">
        <v>96</v>
      </c>
      <c r="G34" s="104" t="s">
        <v>89</v>
      </c>
      <c r="H34" s="104" t="s">
        <v>106</v>
      </c>
      <c r="I34" s="103">
        <v>0</v>
      </c>
      <c r="J34" s="102" t="str">
        <f t="shared" si="0"/>
        <v>JPYOIS5Y_Quote</v>
      </c>
      <c r="K34" s="101" t="str">
        <f>_xll.qlOISRateHelper(,2,C34,J34,$K$3,,Permanent,Trigger,ObjectOverwrite)</f>
        <v>obj_002e2#0000</v>
      </c>
      <c r="L34" s="75" t="str">
        <f>_xll.ohRangeRetrieveError(K34)</f>
        <v/>
      </c>
      <c r="M34" s="99"/>
      <c r="O34" s="100"/>
      <c r="P34" s="100"/>
    </row>
    <row r="35" spans="1:16" ht="11.25" customHeight="1" x14ac:dyDescent="0.2">
      <c r="A35" s="74"/>
      <c r="B35" s="106"/>
      <c r="C35" s="105" t="s">
        <v>22</v>
      </c>
      <c r="D35" s="106" t="s">
        <v>45</v>
      </c>
      <c r="E35" s="105" t="str">
        <f t="shared" si="1"/>
        <v>6Y</v>
      </c>
      <c r="F35" s="104" t="s">
        <v>96</v>
      </c>
      <c r="G35" s="104" t="s">
        <v>89</v>
      </c>
      <c r="H35" s="104" t="s">
        <v>106</v>
      </c>
      <c r="I35" s="103">
        <v>0</v>
      </c>
      <c r="J35" s="102" t="str">
        <f t="shared" si="0"/>
        <v>JPYOIS6Y_Quote</v>
      </c>
      <c r="K35" s="101" t="str">
        <f>_xll.qlOISRateHelper(,2,C35,J35,$K$3,,Permanent,Trigger,ObjectOverwrite)</f>
        <v>obj_002e1#0000</v>
      </c>
      <c r="L35" s="75" t="str">
        <f>_xll.ohRangeRetrieveError(K35)</f>
        <v/>
      </c>
      <c r="M35" s="99"/>
      <c r="O35" s="100"/>
      <c r="P35" s="100"/>
    </row>
    <row r="36" spans="1:16" ht="11.25" customHeight="1" x14ac:dyDescent="0.2">
      <c r="A36" s="74"/>
      <c r="B36" s="106"/>
      <c r="C36" s="105" t="s">
        <v>21</v>
      </c>
      <c r="D36" s="106" t="s">
        <v>45</v>
      </c>
      <c r="E36" s="105" t="str">
        <f t="shared" si="1"/>
        <v>7Y</v>
      </c>
      <c r="F36" s="104" t="s">
        <v>96</v>
      </c>
      <c r="G36" s="104" t="s">
        <v>89</v>
      </c>
      <c r="H36" s="104" t="s">
        <v>106</v>
      </c>
      <c r="I36" s="103">
        <v>0</v>
      </c>
      <c r="J36" s="102" t="str">
        <f t="shared" si="0"/>
        <v>JPYOIS7Y_Quote</v>
      </c>
      <c r="K36" s="101" t="str">
        <f>_xll.qlOISRateHelper(,2,C36,J36,$K$3,,Permanent,Trigger,ObjectOverwrite)</f>
        <v>obj_002d4#0000</v>
      </c>
      <c r="L36" s="75" t="str">
        <f>_xll.ohRangeRetrieveError(K36)</f>
        <v/>
      </c>
      <c r="M36" s="99"/>
      <c r="O36" s="100"/>
      <c r="P36" s="100"/>
    </row>
    <row r="37" spans="1:16" ht="11.25" customHeight="1" x14ac:dyDescent="0.2">
      <c r="A37" s="74"/>
      <c r="B37" s="106"/>
      <c r="C37" s="105" t="s">
        <v>20</v>
      </c>
      <c r="D37" s="106" t="s">
        <v>45</v>
      </c>
      <c r="E37" s="105" t="str">
        <f t="shared" si="1"/>
        <v>8Y</v>
      </c>
      <c r="F37" s="104" t="s">
        <v>96</v>
      </c>
      <c r="G37" s="104" t="s">
        <v>89</v>
      </c>
      <c r="H37" s="104" t="s">
        <v>106</v>
      </c>
      <c r="I37" s="103">
        <v>0</v>
      </c>
      <c r="J37" s="102" t="str">
        <f t="shared" si="0"/>
        <v>JPYOIS8Y_Quote</v>
      </c>
      <c r="K37" s="101" t="str">
        <f>_xll.qlOISRateHelper(,2,C37,J37,$K$3,,Permanent,Trigger,ObjectOverwrite)</f>
        <v>obj_002dd#0000</v>
      </c>
      <c r="L37" s="75" t="str">
        <f>_xll.ohRangeRetrieveError(K37)</f>
        <v/>
      </c>
      <c r="M37" s="99"/>
      <c r="O37" s="100"/>
      <c r="P37" s="100"/>
    </row>
    <row r="38" spans="1:16" ht="11.25" customHeight="1" x14ac:dyDescent="0.2">
      <c r="A38" s="74"/>
      <c r="B38" s="106"/>
      <c r="C38" s="105" t="s">
        <v>19</v>
      </c>
      <c r="D38" s="106" t="s">
        <v>45</v>
      </c>
      <c r="E38" s="105" t="str">
        <f t="shared" si="1"/>
        <v>9Y</v>
      </c>
      <c r="F38" s="104" t="s">
        <v>96</v>
      </c>
      <c r="G38" s="104" t="s">
        <v>89</v>
      </c>
      <c r="H38" s="104" t="s">
        <v>106</v>
      </c>
      <c r="I38" s="103">
        <v>0</v>
      </c>
      <c r="J38" s="102" t="str">
        <f t="shared" si="0"/>
        <v>JPYOIS9Y_Quote</v>
      </c>
      <c r="K38" s="101" t="str">
        <f>_xll.qlOISRateHelper(,2,C38,J38,$K$3,,Permanent,Trigger,ObjectOverwrite)</f>
        <v>obj_002e3#0000</v>
      </c>
      <c r="L38" s="75" t="str">
        <f>_xll.ohRangeRetrieveError(K38)</f>
        <v/>
      </c>
      <c r="M38" s="99"/>
      <c r="O38" s="100"/>
      <c r="P38" s="100"/>
    </row>
    <row r="39" spans="1:16" ht="11.25" customHeight="1" x14ac:dyDescent="0.2">
      <c r="A39" s="74"/>
      <c r="B39" s="106"/>
      <c r="C39" s="105" t="s">
        <v>18</v>
      </c>
      <c r="D39" s="106" t="s">
        <v>45</v>
      </c>
      <c r="E39" s="105" t="str">
        <f t="shared" si="1"/>
        <v>10Y</v>
      </c>
      <c r="F39" s="104" t="s">
        <v>96</v>
      </c>
      <c r="G39" s="104" t="s">
        <v>89</v>
      </c>
      <c r="H39" s="104" t="s">
        <v>106</v>
      </c>
      <c r="I39" s="103">
        <v>0</v>
      </c>
      <c r="J39" s="102" t="str">
        <f t="shared" si="0"/>
        <v>JPYOIS10Y_Quote</v>
      </c>
      <c r="K39" s="101" t="str">
        <f>_xll.qlOISRateHelper(,2,C39,J39,$K$3,,Permanent,Trigger,ObjectOverwrite)</f>
        <v>obj_002d9#0000</v>
      </c>
      <c r="L39" s="75" t="str">
        <f>_xll.ohRangeRetrieveError(K39)</f>
        <v/>
      </c>
      <c r="M39" s="99"/>
      <c r="O39" s="100"/>
      <c r="P39" s="100"/>
    </row>
    <row r="40" spans="1:16" x14ac:dyDescent="0.2">
      <c r="A40" s="74"/>
      <c r="B40" s="106"/>
      <c r="C40" s="105" t="s">
        <v>17</v>
      </c>
      <c r="D40" s="106" t="s">
        <v>45</v>
      </c>
      <c r="E40" s="105" t="str">
        <f t="shared" si="1"/>
        <v>12Y</v>
      </c>
      <c r="F40" s="104" t="s">
        <v>96</v>
      </c>
      <c r="G40" s="104" t="s">
        <v>89</v>
      </c>
      <c r="H40" s="104" t="s">
        <v>106</v>
      </c>
      <c r="I40" s="103">
        <v>0</v>
      </c>
      <c r="J40" s="102" t="str">
        <f t="shared" si="0"/>
        <v>JPYOIS12Y_Quote</v>
      </c>
      <c r="K40" s="101" t="str">
        <f>_xll.qlOISRateHelper(,2,C40,J40,$K$3,,Permanent,Trigger,ObjectOverwrite)</f>
        <v>obj_002d1#0000</v>
      </c>
      <c r="L40" s="75" t="str">
        <f>_xll.ohRangeRetrieveError(K40)</f>
        <v/>
      </c>
      <c r="M40" s="99"/>
      <c r="O40" s="100"/>
      <c r="P40" s="100"/>
    </row>
    <row r="41" spans="1:16" x14ac:dyDescent="0.2">
      <c r="A41" s="74"/>
      <c r="B41" s="106"/>
      <c r="C41" s="105" t="s">
        <v>16</v>
      </c>
      <c r="D41" s="106" t="s">
        <v>45</v>
      </c>
      <c r="E41" s="105" t="str">
        <f t="shared" si="1"/>
        <v>15Y</v>
      </c>
      <c r="F41" s="104" t="s">
        <v>96</v>
      </c>
      <c r="G41" s="104" t="s">
        <v>89</v>
      </c>
      <c r="H41" s="104" t="s">
        <v>106</v>
      </c>
      <c r="I41" s="103">
        <v>0</v>
      </c>
      <c r="J41" s="102" t="str">
        <f t="shared" si="0"/>
        <v>JPYOIS15Y_Quote</v>
      </c>
      <c r="K41" s="101" t="str">
        <f>_xll.qlOISRateHelper(,2,C41,J41,$K$3,,Permanent,Trigger,ObjectOverwrite)</f>
        <v>obj_002dc#0000</v>
      </c>
      <c r="L41" s="75" t="str">
        <f>_xll.ohRangeRetrieveError(K41)</f>
        <v/>
      </c>
      <c r="M41" s="99"/>
      <c r="O41" s="100"/>
      <c r="P41" s="100"/>
    </row>
    <row r="42" spans="1:16" x14ac:dyDescent="0.2">
      <c r="A42" s="74"/>
      <c r="B42" s="106"/>
      <c r="C42" s="105" t="s">
        <v>15</v>
      </c>
      <c r="D42" s="106" t="s">
        <v>45</v>
      </c>
      <c r="E42" s="105" t="str">
        <f t="shared" si="1"/>
        <v>20Y</v>
      </c>
      <c r="F42" s="104" t="s">
        <v>96</v>
      </c>
      <c r="G42" s="104" t="s">
        <v>89</v>
      </c>
      <c r="H42" s="104" t="s">
        <v>106</v>
      </c>
      <c r="I42" s="103">
        <v>0</v>
      </c>
      <c r="J42" s="102" t="str">
        <f t="shared" si="0"/>
        <v>JPYOIS20Y_Quote</v>
      </c>
      <c r="K42" s="101" t="str">
        <f>_xll.qlOISRateHelper(,2,C42,J42,$K$3,,Permanent,Trigger,ObjectOverwrite)</f>
        <v>obj_002eb#0000</v>
      </c>
      <c r="L42" s="75" t="str">
        <f>_xll.ohRangeRetrieveError(K42)</f>
        <v/>
      </c>
      <c r="M42" s="99"/>
    </row>
    <row r="43" spans="1:16" x14ac:dyDescent="0.2">
      <c r="A43" s="74"/>
      <c r="B43" s="106"/>
      <c r="C43" s="105" t="s">
        <v>14</v>
      </c>
      <c r="D43" s="106" t="s">
        <v>45</v>
      </c>
      <c r="E43" s="105" t="str">
        <f t="shared" si="1"/>
        <v>25Y</v>
      </c>
      <c r="F43" s="104" t="s">
        <v>96</v>
      </c>
      <c r="G43" s="104" t="s">
        <v>89</v>
      </c>
      <c r="H43" s="104" t="s">
        <v>106</v>
      </c>
      <c r="I43" s="103">
        <v>0</v>
      </c>
      <c r="J43" s="102" t="str">
        <f t="shared" si="0"/>
        <v>JPYOIS25Y_Quote</v>
      </c>
      <c r="K43" s="101" t="str">
        <f>_xll.qlOISRateHelper(,2,C43,J43,$K$3,,Permanent,Trigger,ObjectOverwrite)</f>
        <v>obj_002e8#0000</v>
      </c>
      <c r="L43" s="75" t="str">
        <f>_xll.ohRangeRetrieveError(K43)</f>
        <v/>
      </c>
      <c r="M43" s="99"/>
    </row>
    <row r="44" spans="1:16" x14ac:dyDescent="0.2">
      <c r="A44" s="74"/>
      <c r="B44" s="106"/>
      <c r="C44" s="105" t="s">
        <v>13</v>
      </c>
      <c r="D44" s="106" t="s">
        <v>45</v>
      </c>
      <c r="E44" s="105" t="str">
        <f t="shared" ref="E44:E46" si="3">C44</f>
        <v>30Y</v>
      </c>
      <c r="F44" s="104" t="s">
        <v>96</v>
      </c>
      <c r="G44" s="104" t="s">
        <v>89</v>
      </c>
      <c r="H44" s="104" t="s">
        <v>106</v>
      </c>
      <c r="I44" s="103">
        <v>0</v>
      </c>
      <c r="J44" s="102" t="str">
        <f t="shared" si="0"/>
        <v>JPYOIS30Y_Quote</v>
      </c>
      <c r="K44" s="101" t="str">
        <f>_xll.qlOISRateHelper(,2,C44,J44,$K$3,,Permanent,Trigger,ObjectOverwrite)</f>
        <v>obj_002d8#0000</v>
      </c>
      <c r="L44" s="75" t="str">
        <f>_xll.ohRangeRetrieveError(K44)</f>
        <v/>
      </c>
      <c r="M44" s="99"/>
    </row>
    <row r="45" spans="1:16" x14ac:dyDescent="0.2">
      <c r="A45" s="74"/>
      <c r="B45" s="106"/>
      <c r="C45" s="105" t="s">
        <v>12</v>
      </c>
      <c r="D45" s="106" t="s">
        <v>45</v>
      </c>
      <c r="E45" s="105" t="str">
        <f t="shared" si="3"/>
        <v>40Y</v>
      </c>
      <c r="F45" s="104" t="s">
        <v>96</v>
      </c>
      <c r="G45" s="104" t="s">
        <v>89</v>
      </c>
      <c r="H45" s="104" t="s">
        <v>106</v>
      </c>
      <c r="I45" s="103">
        <v>0</v>
      </c>
      <c r="J45" s="102" t="str">
        <f t="shared" si="0"/>
        <v>JPYOIS40Y_Quote</v>
      </c>
      <c r="K45" s="101" t="str">
        <f>_xll.qlOISRateHelper(,2,C45,J45,$K$3,,Permanent,Trigger,ObjectOverwrite)</f>
        <v>obj_002ce#0000</v>
      </c>
      <c r="L45" s="75" t="str">
        <f>_xll.ohRangeRetrieveError(K45)</f>
        <v/>
      </c>
      <c r="M45" s="99"/>
    </row>
    <row r="46" spans="1:16" x14ac:dyDescent="0.2">
      <c r="A46" s="74"/>
      <c r="B46" s="106"/>
      <c r="C46" s="105" t="s">
        <v>11</v>
      </c>
      <c r="D46" s="106" t="s">
        <v>45</v>
      </c>
      <c r="E46" s="105" t="str">
        <f t="shared" si="3"/>
        <v>50Y</v>
      </c>
      <c r="F46" s="104" t="s">
        <v>96</v>
      </c>
      <c r="G46" s="104" t="s">
        <v>89</v>
      </c>
      <c r="H46" s="104" t="s">
        <v>106</v>
      </c>
      <c r="I46" s="103">
        <v>0</v>
      </c>
      <c r="J46" s="102" t="str">
        <f t="shared" si="0"/>
        <v>JPYOIS50Y_Quote</v>
      </c>
      <c r="K46" s="101" t="str">
        <f>_xll.qlOISRateHelper(,2,C46,J46,$K$3,,Permanent,Trigger,ObjectOverwrite)</f>
        <v>obj_002cf#0000</v>
      </c>
      <c r="L46" s="75" t="str">
        <f>_xll.ohRangeRetrieveError(K46)</f>
        <v/>
      </c>
      <c r="M46" s="99"/>
    </row>
    <row r="47" spans="1:16" ht="12" thickBot="1" x14ac:dyDescent="0.25">
      <c r="A47" s="73"/>
      <c r="B47" s="72"/>
      <c r="C47" s="72"/>
      <c r="D47" s="72"/>
      <c r="E47" s="72"/>
      <c r="F47" s="72"/>
      <c r="G47" s="72"/>
      <c r="H47" s="72"/>
      <c r="I47" s="72"/>
      <c r="J47" s="72"/>
      <c r="K47" s="98"/>
      <c r="L47" s="98"/>
      <c r="M47" s="97"/>
    </row>
  </sheetData>
  <dataValidations count="3">
    <dataValidation type="list" allowBlank="1" showInputMessage="1" showErrorMessage="1" sqref="WVN983012:WVN983080 G65514:G65582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50:G131118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6:G196654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2:G262190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8:G327726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4:G393262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30:G458798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6:G524334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2:G589870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8:G655406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4:G720942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10:G786478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6:G852014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2:G917550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8:G983086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6">
      <formula1>"Following,Modified Following,Preceding,Modified Preceding,Month End Reference,Unadjusted Month End,Unadjusted"</formula1>
    </dataValidation>
    <dataValidation type="list" allowBlank="1" showInputMessage="1" showErrorMessage="1" sqref="WVM983012:WVM983080 F65514:F65582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50:F131118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6:F196654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2:F262190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8:F327726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4:F393262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30:F458798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6:F524334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2:F589870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8:F655406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4:F720942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10:F786478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6:F852014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2:F917550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8:F983086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6">
      <formula1>"Once,Annual,Semiannual,EveryFourthMonth,Quarterly,Bimonthly,Monthly"</formula1>
    </dataValidation>
    <dataValidation type="list" allowBlank="1" showInputMessage="1" showErrorMessage="1" sqref="H5:H46">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34" bestFit="1" customWidth="1"/>
    <col min="2" max="2" width="15.140625" style="129" bestFit="1" customWidth="1"/>
    <col min="3" max="3" width="17.28515625" style="129" bestFit="1" customWidth="1"/>
    <col min="4" max="4" width="7" style="134" bestFit="1" customWidth="1"/>
    <col min="5" max="5" width="17.28515625" style="134" bestFit="1" customWidth="1"/>
    <col min="6" max="6" width="20.28515625" style="129" bestFit="1" customWidth="1"/>
    <col min="7" max="8" width="6" style="129" bestFit="1" customWidth="1"/>
    <col min="9" max="9" width="11" style="129" bestFit="1" customWidth="1"/>
    <col min="10" max="10" width="15.140625" style="129" bestFit="1" customWidth="1"/>
    <col min="11" max="11" width="10" style="129" bestFit="1" customWidth="1"/>
    <col min="12" max="12" width="10.28515625" style="129" customWidth="1"/>
    <col min="13" max="13" width="15.140625" style="134" hidden="1" customWidth="1"/>
    <col min="14" max="14" width="16.28515625" style="134" bestFit="1" customWidth="1"/>
    <col min="15" max="15" width="17.42578125" style="134" bestFit="1" customWidth="1"/>
    <col min="16" max="16" width="8" style="134" bestFit="1" customWidth="1"/>
    <col min="17" max="17" width="10" style="134" hidden="1" customWidth="1" outlineLevel="1"/>
    <col min="18" max="18" width="15.140625" style="134" hidden="1" customWidth="1" outlineLevel="1"/>
    <col min="19" max="19" width="8" style="134" hidden="1" customWidth="1" outlineLevel="1"/>
    <col min="20" max="20" width="10" style="135" bestFit="1" customWidth="1" collapsed="1"/>
    <col min="21" max="21" width="10" style="134" bestFit="1" customWidth="1"/>
    <col min="22" max="22" width="3.7109375" style="134" customWidth="1"/>
    <col min="23" max="23" width="10" style="134" bestFit="1" customWidth="1"/>
    <col min="24" max="25" width="17.28515625" style="134" bestFit="1" customWidth="1"/>
    <col min="26" max="27" width="15.140625" style="134" bestFit="1" customWidth="1"/>
    <col min="28" max="16384" width="9.140625" style="134"/>
  </cols>
  <sheetData>
    <row r="1" spans="1:27" s="129" customFormat="1" ht="11.25" hidden="1" customHeight="1" outlineLevel="1" thickBot="1" x14ac:dyDescent="0.25">
      <c r="A1" s="123"/>
      <c r="B1" s="123" t="s">
        <v>108</v>
      </c>
      <c r="C1" s="124"/>
      <c r="D1" s="124"/>
      <c r="E1" s="124"/>
      <c r="F1" s="125"/>
      <c r="G1" s="126" t="s">
        <v>109</v>
      </c>
      <c r="H1" s="124"/>
      <c r="I1" s="127"/>
      <c r="J1" s="126"/>
      <c r="K1" s="128"/>
    </row>
    <row r="2" spans="1:27" hidden="1" outlineLevel="1" x14ac:dyDescent="0.2">
      <c r="A2" s="130"/>
      <c r="B2" s="131" t="s">
        <v>110</v>
      </c>
      <c r="C2" s="132" t="s">
        <v>111</v>
      </c>
      <c r="D2" s="132" t="s">
        <v>73</v>
      </c>
      <c r="E2" s="132" t="s">
        <v>112</v>
      </c>
      <c r="F2" s="133" t="s">
        <v>113</v>
      </c>
      <c r="G2" s="131" t="s">
        <v>111</v>
      </c>
      <c r="H2" s="132" t="s">
        <v>112</v>
      </c>
      <c r="I2" s="133" t="s">
        <v>114</v>
      </c>
      <c r="J2" s="131" t="s">
        <v>115</v>
      </c>
      <c r="K2" s="132" t="s">
        <v>116</v>
      </c>
    </row>
    <row r="3" spans="1:27" ht="11.25" hidden="1" customHeight="1" outlineLevel="1" x14ac:dyDescent="0.2">
      <c r="A3" s="136"/>
      <c r="B3" s="136" t="str">
        <f>_xll.qlPeriodEquivalent(D3&amp;"M")</f>
        <v>1Y</v>
      </c>
      <c r="C3" s="137">
        <f>_xll.qlDateEndOfMonth(EDATE(_xll.qlSettingsEvaluationDate(Trigger),-1))</f>
        <v>41820</v>
      </c>
      <c r="D3" s="138">
        <v>12</v>
      </c>
      <c r="E3" s="137">
        <f t="shared" ref="E3:E9" si="0">EDATE($Y$11,$D3)</f>
        <v>42195</v>
      </c>
      <c r="F3" s="139">
        <f>IF(D3&lt;=12,1,IF(D3&lt;=24,3,IF(D3&lt;=120,6,IF(D3&lt;=240,12,IF(D3&lt;=360,36,60)))))</f>
        <v>1</v>
      </c>
      <c r="G3" s="140">
        <f>ROUNDDOWN(J3*10,2)/10</f>
        <v>0</v>
      </c>
      <c r="H3" s="141">
        <f t="shared" ref="H3" si="1">IF(K3-J3&gt;1%,(QUOTIENT(K3*10000,50)+1)*0.5%,(QUOTIENT(K3*10000,10)+1)*0.1%)</f>
        <v>1E-3</v>
      </c>
      <c r="I3" s="142">
        <f>IF(H3-G3&lt;0.15%,0.02%,IF(H3-G3&lt;0.5%,0.05%,IF(H3-G3&lt;1%,0.1%,IF(H3-G3&lt;2%,0.25%,0.5%))))</f>
        <v>2.0000000000000001E-4</v>
      </c>
      <c r="J3" s="143">
        <f>MIN(_xll.ohPack($Z$11:INDEX($Z$11:$Z$3544,MATCH(E3+1,$Y$11:$Y$3544,1),1)))</f>
        <v>4.501900756348487E-4</v>
      </c>
      <c r="K3" s="144">
        <f>MAX(_xll.ohPack($Z$11:INDEX($Z$11:$Z$3544,MATCH(E3+1,$Y$11:$Y$3544,1),1)))</f>
        <v>6.68771836025428E-4</v>
      </c>
      <c r="L3" s="145"/>
    </row>
    <row r="4" spans="1:27" ht="11.25" hidden="1" customHeight="1" outlineLevel="1" x14ac:dyDescent="0.25">
      <c r="A4" s="136"/>
      <c r="B4" s="136" t="str">
        <f>_xll.qlPeriodEquivalent(D4&amp;"M")</f>
        <v>2Y</v>
      </c>
      <c r="C4" s="137">
        <f>_xll.qlDateEndOfMonth(EDATE(_xll.qlIMMNextDate(_xll.qlSettingsEvaluationDate(Trigger)-1,TRUE),-3))</f>
        <v>41820</v>
      </c>
      <c r="D4" s="138">
        <v>24</v>
      </c>
      <c r="E4" s="137">
        <f t="shared" si="0"/>
        <v>42561</v>
      </c>
      <c r="F4" s="139">
        <f t="shared" ref="F4:F9" si="2">IF(D4&lt;=12,1,IF(D4&lt;=24,3,IF(D4&lt;=120,6,IF(D4&lt;=240,12,IF(D4&lt;=360,36,60)))))</f>
        <v>3</v>
      </c>
      <c r="G4" s="140">
        <f t="shared" ref="G4:G9" si="3">ROUNDDOWN(J4*10,2)/10</f>
        <v>0</v>
      </c>
      <c r="H4" s="141">
        <f>IF(K4-J4&gt;1%,(QUOTIENT(K4*10000,50)+1)*0.5%,(QUOTIENT(K4*10000,10)+1)*0.1%)</f>
        <v>1E-3</v>
      </c>
      <c r="I4" s="142">
        <f t="shared" ref="I4:I9" si="4">IF(H4-G4&lt;0.15%,0.02%,IF(H4-G4&lt;0.5%,0.05%,IF(H4-G4&lt;1%,0.1%,IF(H4-G4&lt;2%,0.25%,0.5%))))</f>
        <v>2.0000000000000001E-4</v>
      </c>
      <c r="J4" s="143">
        <f>MIN(_xll.ohPack($Z$11:INDEX($Z$11:$Z$3544,MATCH(E4+1,$Y$11:$Y$3544,1),1)))</f>
        <v>4.501900756348487E-4</v>
      </c>
      <c r="K4" s="144">
        <f>MAX(_xll.ohPack($Z$11:INDEX($Z$11:$Z$3544,MATCH(E4+1,$Y$11:$Y$3544,1),1)))</f>
        <v>6.68771836025428E-4</v>
      </c>
      <c r="L4" s="145"/>
      <c r="N4" s="146"/>
      <c r="O4" s="146"/>
      <c r="P4" s="147"/>
      <c r="U4"/>
      <c r="V4"/>
      <c r="W4"/>
      <c r="X4"/>
      <c r="Y4"/>
      <c r="Z4"/>
      <c r="AA4"/>
    </row>
    <row r="5" spans="1:27" ht="11.25" hidden="1" customHeight="1" outlineLevel="1" x14ac:dyDescent="0.2">
      <c r="A5" s="136"/>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8">
        <v>60</v>
      </c>
      <c r="E5" s="137">
        <f t="shared" si="0"/>
        <v>43656</v>
      </c>
      <c r="F5" s="139">
        <f t="shared" si="2"/>
        <v>6</v>
      </c>
      <c r="G5" s="140">
        <f t="shared" si="3"/>
        <v>0</v>
      </c>
      <c r="H5" s="141">
        <f t="shared" ref="H5:H9" si="5">IF(K5-J5&gt;1%,(QUOTIENT(K5*10000,50)+1)*0.5%,(QUOTIENT(K5*10000,10)+1)*0.1%)</f>
        <v>3.0000000000000001E-3</v>
      </c>
      <c r="I5" s="142">
        <f t="shared" si="4"/>
        <v>5.0000000000000001E-4</v>
      </c>
      <c r="J5" s="143">
        <f>MIN(_xll.ohPack($Z$11:INDEX($Z$11:$Z$3544,MATCH(E5+1,$Y$11:$Y$3544,1),1)))</f>
        <v>4.501900756348487E-4</v>
      </c>
      <c r="K5" s="144">
        <f>MAX(_xll.ohPack($Z$11:INDEX($Z$11:$Z$3544,MATCH(E5+1,$Y$11:$Y$3544,1),1)))</f>
        <v>2.5628791097043191E-3</v>
      </c>
      <c r="L5" s="145"/>
    </row>
    <row r="6" spans="1:27" ht="11.25" hidden="1" customHeight="1" outlineLevel="1" x14ac:dyDescent="0.2">
      <c r="A6" s="136" t="s">
        <v>117</v>
      </c>
      <c r="B6" s="136" t="str">
        <f>_xll.qlPeriodEquivalent(D6&amp;"M")</f>
        <v>10Y</v>
      </c>
      <c r="C6"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8">
        <v>120</v>
      </c>
      <c r="E6" s="137">
        <f t="shared" si="0"/>
        <v>45483</v>
      </c>
      <c r="F6" s="139">
        <f t="shared" si="2"/>
        <v>6</v>
      </c>
      <c r="G6" s="143">
        <f t="shared" si="3"/>
        <v>0</v>
      </c>
      <c r="H6" s="141">
        <f t="shared" si="5"/>
        <v>1.4999999999999999E-2</v>
      </c>
      <c r="I6" s="142">
        <f t="shared" si="4"/>
        <v>2.5000000000000001E-3</v>
      </c>
      <c r="J6" s="143">
        <f>MIN(_xll.ohPack($Z$11:INDEX($Z$11:$Z$3544,MATCH(E6+1,$Y$11:$Y$3544,1),1)))</f>
        <v>4.501900756348487E-4</v>
      </c>
      <c r="K6" s="144">
        <f>MAX(_xll.ohPack($Z$11:INDEX($Z$11:$Z$3544,MATCH(E6+1,$Y$11:$Y$3544,1),1)))</f>
        <v>1.195710756859425E-2</v>
      </c>
      <c r="L6" s="145"/>
    </row>
    <row r="7" spans="1:27" ht="11.25" hidden="1" customHeight="1" outlineLevel="1" x14ac:dyDescent="0.2">
      <c r="A7" s="136"/>
      <c r="B7" s="136" t="str">
        <f>_xll.qlPeriodEquivalent(D7&amp;"M")</f>
        <v>20Y</v>
      </c>
      <c r="C7" s="137">
        <f>IF(AND(MONTH(C6)=12),C6,_xll.qlDateEndOfMonth(EDATE(C6,-6)))</f>
        <v>41639</v>
      </c>
      <c r="D7" s="138">
        <v>240</v>
      </c>
      <c r="E7" s="137">
        <f t="shared" si="0"/>
        <v>49135</v>
      </c>
      <c r="F7" s="139">
        <f t="shared" si="2"/>
        <v>12</v>
      </c>
      <c r="G7" s="143">
        <f t="shared" si="3"/>
        <v>0</v>
      </c>
      <c r="H7" s="141">
        <f t="shared" si="5"/>
        <v>2.5000000000000001E-2</v>
      </c>
      <c r="I7" s="142">
        <f t="shared" si="4"/>
        <v>5.0000000000000001E-3</v>
      </c>
      <c r="J7" s="143">
        <f>MIN(_xll.ohPack($Z$11:INDEX($Z$11:$Z$3544,MATCH(E7+1,$Y$11:$Y$3544,1),1)))</f>
        <v>4.501900756348487E-4</v>
      </c>
      <c r="K7" s="144">
        <f>MAX(_xll.ohPack($Z$11:INDEX($Z$11:$Z$3544,MATCH(E7+1,$Y$11:$Y$3544,1),1)))</f>
        <v>2.3123949956489476E-2</v>
      </c>
      <c r="L7" s="145"/>
    </row>
    <row r="8" spans="1:27" ht="11.25" hidden="1" customHeight="1" outlineLevel="1" x14ac:dyDescent="0.2">
      <c r="A8" s="136"/>
      <c r="B8" s="136" t="str">
        <f>_xll.qlPeriodEquivalent(D8&amp;"M")</f>
        <v>30Y</v>
      </c>
      <c r="C8" s="137">
        <f>IF(AND(MONTH(C7)=12),C7,_xll.qlDateEndOfMonth(EDATE(C7,-6)))</f>
        <v>41639</v>
      </c>
      <c r="D8" s="138">
        <v>360</v>
      </c>
      <c r="E8" s="137">
        <f t="shared" si="0"/>
        <v>52788</v>
      </c>
      <c r="F8" s="139">
        <f t="shared" si="2"/>
        <v>36</v>
      </c>
      <c r="G8" s="143">
        <f t="shared" si="3"/>
        <v>0</v>
      </c>
      <c r="H8" s="141">
        <f t="shared" si="5"/>
        <v>2.5000000000000001E-2</v>
      </c>
      <c r="I8" s="142">
        <f t="shared" si="4"/>
        <v>5.0000000000000001E-3</v>
      </c>
      <c r="J8" s="143">
        <f>MIN(_xll.ohPack($Z$11:INDEX($Z$11:$Z$3544,MATCH(E8+1,$Y$11:$Y$3544,1),1)))</f>
        <v>4.501900756348487E-4</v>
      </c>
      <c r="K8" s="144">
        <f>MAX(_xll.ohPack($Z$11:INDEX($Z$11:$Z$3544,MATCH(E8+1,$Y$11:$Y$3544,1),1)))</f>
        <v>2.3123949956489476E-2</v>
      </c>
      <c r="L8" s="145"/>
      <c r="V8" s="129"/>
      <c r="Z8" s="148" t="s">
        <v>118</v>
      </c>
    </row>
    <row r="9" spans="1:27" ht="11.25" hidden="1" customHeight="1" outlineLevel="1" thickBot="1" x14ac:dyDescent="0.25">
      <c r="A9" s="149"/>
      <c r="B9" s="149" t="str">
        <f>_xll.qlPeriodEquivalent(D9&amp;"M")</f>
        <v>60Y</v>
      </c>
      <c r="C9" s="137">
        <f>IF(AND(MONTH(C8)=12),C8,_xll.qlDateEndOfMonth(EDATE(C8,-6)))</f>
        <v>41639</v>
      </c>
      <c r="D9" s="150">
        <v>720</v>
      </c>
      <c r="E9" s="151">
        <f t="shared" si="0"/>
        <v>63745</v>
      </c>
      <c r="F9" s="152">
        <f t="shared" si="2"/>
        <v>60</v>
      </c>
      <c r="G9" s="153">
        <f t="shared" si="3"/>
        <v>0</v>
      </c>
      <c r="H9" s="154">
        <f t="shared" si="5"/>
        <v>2.5000000000000001E-2</v>
      </c>
      <c r="I9" s="142">
        <f t="shared" si="4"/>
        <v>5.0000000000000001E-3</v>
      </c>
      <c r="J9" s="153">
        <f>MIN(_xll.ohPack($Z$11:INDEX($Z$11:$Z$3544,MATCH(E9+1,$Y$11:$Y$3544,1),1)))</f>
        <v>4.501900756348487E-4</v>
      </c>
      <c r="K9" s="184">
        <f>MAX(_xll.ohPack($Z$11:INDEX($Z$11:$Z$3544,MATCH(E9+1,$Y$11:$Y$3544,1),1)))</f>
        <v>2.3123949956489476E-2</v>
      </c>
      <c r="L9" s="145"/>
      <c r="V9" s="155"/>
      <c r="Z9" s="156" t="str">
        <f>_xll.qlOvernightIndex(,"Tonar",NDays,Currency,Calendar,MoneyMarketDayCounter,YieldCurve,,Trigger)</f>
        <v>obj_002ee#0001</v>
      </c>
    </row>
    <row r="10" spans="1:27" ht="23.25" collapsed="1" thickBot="1" x14ac:dyDescent="0.25">
      <c r="C10" s="157"/>
      <c r="I10" s="157"/>
      <c r="J10" s="158"/>
      <c r="M10" s="159" t="s">
        <v>119</v>
      </c>
      <c r="N10" s="160" t="s">
        <v>120</v>
      </c>
      <c r="O10" s="161" t="s">
        <v>121</v>
      </c>
      <c r="P10" s="161" t="s">
        <v>50</v>
      </c>
      <c r="Q10" s="161" t="s">
        <v>122</v>
      </c>
      <c r="R10" s="161" t="s">
        <v>123</v>
      </c>
      <c r="S10" s="161" t="s">
        <v>124</v>
      </c>
      <c r="T10" s="162" t="s">
        <v>125</v>
      </c>
      <c r="U10" s="148" t="s">
        <v>126</v>
      </c>
      <c r="V10" s="163"/>
      <c r="W10" s="164" t="s">
        <v>127</v>
      </c>
      <c r="X10" s="164" t="s">
        <v>128</v>
      </c>
      <c r="Y10" s="164" t="s">
        <v>121</v>
      </c>
      <c r="Z10" s="164" t="s">
        <v>117</v>
      </c>
      <c r="AA10" s="165"/>
    </row>
    <row r="11" spans="1:27" ht="12" thickBot="1" x14ac:dyDescent="0.25">
      <c r="J11" s="166" t="s">
        <v>129</v>
      </c>
      <c r="M11" s="167" t="str">
        <f t="array" ref="M11:M52">_xll.ohFilter(RateHelpers!B5:B46,IF(ISERROR(RateHelpers!D5:D46),FALSE,TRUE))</f>
        <v>obj_002e4#0000</v>
      </c>
      <c r="N11" s="167" t="str">
        <f>_xll.qlRateHelperQuoteName(M11)</f>
        <v>JPYOIS1M_Quote</v>
      </c>
      <c r="O11" s="168">
        <f>_xll.qlRateHelperLatestDate(M11,Trigger)</f>
        <v>41865</v>
      </c>
      <c r="P11" s="169">
        <f>_xll.qlRateHelperQuoteValue(M11,_xll.ohTrigger(RecalcTrigger,YieldCurve))</f>
        <v>6.4999999999999997E-4</v>
      </c>
      <c r="Q11" s="170" t="str">
        <f>SUBSTITUTE(SUBSTITUTE(N11,"_Quote",""),"JPYOIS","")</f>
        <v>1M</v>
      </c>
      <c r="R11" s="158" t="str">
        <f>_xll.qlMakeOIS(,IF(Q11="SW","1W",Q11),IborIndex,,"0D",MoneyMarketDayCounter,,,_xll.ohTrigger(RecalcTrigger,YieldCurve))</f>
        <v>obj_002f9#0001</v>
      </c>
      <c r="S11" s="171">
        <f>_xll.qlOvernightIndexedSwapFairRate(R11,_xll.ohTrigger(RecalcTrigger,YieldCurve))</f>
        <v>6.4999999917101812E-4</v>
      </c>
      <c r="T11" s="172">
        <f t="shared" ref="T11:T46" si="6">S11-P11</f>
        <v>-8.2898184844415468E-13</v>
      </c>
      <c r="U11" s="188">
        <f t="array" ref="U11">MAX(ABS(T11:T33))</f>
        <v>2.0121313469567692E-12</v>
      </c>
      <c r="V11" s="163"/>
      <c r="W11" s="158" t="s">
        <v>130</v>
      </c>
      <c r="X11" s="173">
        <f>_xll.qlSettingsEvaluationDate(Trigger)</f>
        <v>41830</v>
      </c>
      <c r="Y11" s="173">
        <f>_xll.qlCalendarAdvance(Calendar,X11,NDays&amp;"D")</f>
        <v>41830</v>
      </c>
      <c r="Z11" s="174">
        <f t="array" ref="Z11:Z3544">IFERROR(_xll.qlIndexFixing(IborIndex,X11:X3544,TRUE,RecalcTrigger),NA())</f>
        <v>6.4130110173143962E-4</v>
      </c>
      <c r="AA11" s="165"/>
    </row>
    <row r="12" spans="1:27" ht="12" thickBot="1" x14ac:dyDescent="0.25">
      <c r="J12" s="176"/>
      <c r="M12" s="167" t="str">
        <v>obj_002e5#0000</v>
      </c>
      <c r="N12" s="167" t="str">
        <f>_xll.qlRateHelperQuoteName(M12)</f>
        <v>JPYOIS2M_Quote</v>
      </c>
      <c r="O12" s="168">
        <f>_xll.qlRateHelperLatestDate(M12,Trigger)</f>
        <v>41898</v>
      </c>
      <c r="P12" s="169">
        <f>_xll.qlRateHelperQuoteValue(M12,_xll.ohTrigger(RecalcTrigger,YieldCurve))</f>
        <v>6.4999999999999997E-4</v>
      </c>
      <c r="Q12" s="170" t="str">
        <f t="shared" ref="Q12:Q46" si="7">SUBSTITUTE(SUBSTITUTE(N12,"_Quote",""),"JPYOIS","")</f>
        <v>2M</v>
      </c>
      <c r="R12" s="158" t="str">
        <f>_xll.qlMakeOIS(,IF(Q12="SW","1W",Q12),IborIndex,,"0D",MoneyMarketDayCounter,,,_xll.ohTrigger(RecalcTrigger,YieldCurve))</f>
        <v>obj_002f3#0001</v>
      </c>
      <c r="S12" s="171">
        <f>_xll.qlOvernightIndexedSwapFairRate(R12,_xll.ohTrigger(RecalcTrigger,YieldCurve))</f>
        <v>6.5000000201213132E-4</v>
      </c>
      <c r="T12" s="172">
        <f t="shared" si="6"/>
        <v>2.0121313469567692E-12</v>
      </c>
      <c r="V12" s="163"/>
      <c r="W12" s="158" t="str">
        <f>W11</f>
        <v>1D</v>
      </c>
      <c r="X12" s="168">
        <f>_xll.qlCalendarAdvance(Calendar,X11,W12,"f",FALSE)</f>
        <v>41831</v>
      </c>
      <c r="Y12" s="173">
        <f>_xll.qlCalendarAdvance(Calendar,X12,NDays&amp;"D")</f>
        <v>41831</v>
      </c>
      <c r="Z12" s="174">
        <v>6.4142804824918198E-4</v>
      </c>
      <c r="AA12" s="165"/>
    </row>
    <row r="13" spans="1:27" x14ac:dyDescent="0.2">
      <c r="M13" s="167" t="str">
        <v>obj_002d7#0000</v>
      </c>
      <c r="N13" s="167" t="str">
        <f>_xll.qlRateHelperQuoteName(M13)</f>
        <v>JPYOIS3M_Quote</v>
      </c>
      <c r="O13" s="168">
        <f>_xll.qlRateHelperLatestDate(M13,Trigger)</f>
        <v>41926</v>
      </c>
      <c r="P13" s="169">
        <f>_xll.qlRateHelperQuoteValue(M13,_xll.ohTrigger(RecalcTrigger,YieldCurve))</f>
        <v>6.2500000000000001E-4</v>
      </c>
      <c r="Q13" s="170" t="str">
        <f t="shared" si="7"/>
        <v>3M</v>
      </c>
      <c r="R13" s="158" t="str">
        <f>_xll.qlMakeOIS(,IF(Q13="SW","1W",Q13),IborIndex,,"0D",MoneyMarketDayCounter,,,_xll.ohTrigger(RecalcTrigger,YieldCurve))</f>
        <v>obj_002fd#0001</v>
      </c>
      <c r="S13" s="171">
        <f>_xll.qlOvernightIndexedSwapFairRate(R13,_xll.ohTrigger(RecalcTrigger,YieldCurve))</f>
        <v>6.2499999855191075E-4</v>
      </c>
      <c r="T13" s="172">
        <f t="shared" si="6"/>
        <v>-1.4480892613494278E-12</v>
      </c>
      <c r="V13" s="163"/>
      <c r="W13" s="158" t="str">
        <f t="shared" ref="W13:W76" si="8">W12</f>
        <v>1D</v>
      </c>
      <c r="X13" s="168">
        <f>_xll.qlCalendarAdvance(Calendar,X12,W13,"f",FALSE)</f>
        <v>41834</v>
      </c>
      <c r="Y13" s="173">
        <f>_xll.qlCalendarAdvance(Calendar,X13,NDays&amp;"D")</f>
        <v>41834</v>
      </c>
      <c r="Z13" s="174">
        <v>6.4167855979069266E-4</v>
      </c>
      <c r="AA13" s="165"/>
    </row>
    <row r="14" spans="1:27" x14ac:dyDescent="0.2">
      <c r="D14" s="129"/>
      <c r="E14" s="129"/>
      <c r="M14" s="167" t="str">
        <v>obj_002e9#0000</v>
      </c>
      <c r="N14" s="167" t="str">
        <f>_xll.qlRateHelperQuoteName(M14)</f>
        <v>JPYOIS4M_Quote</v>
      </c>
      <c r="O14" s="168">
        <f>_xll.qlRateHelperLatestDate(M14,Trigger)</f>
        <v>41957</v>
      </c>
      <c r="P14" s="169">
        <f>_xll.qlRateHelperQuoteValue(M14,_xll.ohTrigger(RecalcTrigger,YieldCurve))</f>
        <v>6.2500000000000001E-4</v>
      </c>
      <c r="Q14" s="170" t="str">
        <f t="shared" si="7"/>
        <v>4M</v>
      </c>
      <c r="R14" s="158" t="str">
        <f>_xll.qlMakeOIS(,IF(Q14="SW","1W",Q14),IborIndex,,"0D",MoneyMarketDayCounter,,,_xll.ohTrigger(RecalcTrigger,YieldCurve))</f>
        <v>obj_00305#0001</v>
      </c>
      <c r="S14" s="171">
        <f>_xll.qlOvernightIndexedSwapFairRate(R14,_xll.ohTrigger(RecalcTrigger,YieldCurve))</f>
        <v>6.2499999935233927E-4</v>
      </c>
      <c r="T14" s="172">
        <f t="shared" si="6"/>
        <v>-6.4766074447941691E-13</v>
      </c>
      <c r="V14" s="163"/>
      <c r="W14" s="158" t="str">
        <f t="shared" si="8"/>
        <v>1D</v>
      </c>
      <c r="X14" s="168">
        <f>_xll.qlCalendarAdvance(Calendar,X13,W14,"f",FALSE)</f>
        <v>41835</v>
      </c>
      <c r="Y14" s="173">
        <f>_xll.qlCalendarAdvance(Calendar,X14,NDays&amp;"D")</f>
        <v>41835</v>
      </c>
      <c r="Z14" s="174">
        <v>6.4186728877979604E-4</v>
      </c>
      <c r="AA14" s="165"/>
    </row>
    <row r="15" spans="1:27" x14ac:dyDescent="0.2">
      <c r="M15" s="167" t="str">
        <v>obj_002d0#0000</v>
      </c>
      <c r="N15" s="167" t="str">
        <f>_xll.qlRateHelperQuoteName(M15)</f>
        <v>JPYOIS5M_Quote</v>
      </c>
      <c r="O15" s="168">
        <f>_xll.qlRateHelperLatestDate(M15,Trigger)</f>
        <v>41988</v>
      </c>
      <c r="P15" s="169">
        <f>_xll.qlRateHelperQuoteValue(M15,_xll.ohTrigger(RecalcTrigger,YieldCurve))</f>
        <v>6.2500000000000001E-4</v>
      </c>
      <c r="Q15" s="170" t="str">
        <f t="shared" si="7"/>
        <v>5M</v>
      </c>
      <c r="R15" s="158" t="str">
        <f>_xll.qlMakeOIS(,IF(Q15="SW","1W",Q15),IborIndex,,"0D",MoneyMarketDayCounter,,,_xll.ohTrigger(RecalcTrigger,YieldCurve))</f>
        <v>obj_00302#0001</v>
      </c>
      <c r="S15" s="171">
        <f>_xll.qlOvernightIndexedSwapFairRate(R15,_xll.ohTrigger(RecalcTrigger,YieldCurve))</f>
        <v>6.2499999927635047E-4</v>
      </c>
      <c r="T15" s="172">
        <f t="shared" si="6"/>
        <v>-7.236495474030602E-13</v>
      </c>
      <c r="V15" s="163"/>
      <c r="W15" s="158" t="str">
        <f t="shared" si="8"/>
        <v>1D</v>
      </c>
      <c r="X15" s="168">
        <f>_xll.qlCalendarAdvance(Calendar,X14,W15,"f",FALSE)</f>
        <v>41836</v>
      </c>
      <c r="Y15" s="173">
        <f>_xll.qlCalendarAdvance(Calendar,X15,NDays&amp;"D")</f>
        <v>41836</v>
      </c>
      <c r="Z15" s="174">
        <v>6.4209376361534787E-4</v>
      </c>
      <c r="AA15" s="177"/>
    </row>
    <row r="16" spans="1:27" x14ac:dyDescent="0.2">
      <c r="M16" s="167" t="str">
        <v>obj_002e7#0000</v>
      </c>
      <c r="N16" s="167" t="str">
        <f>_xll.qlRateHelperQuoteName(M16)</f>
        <v>JPYOIS6M_Quote</v>
      </c>
      <c r="O16" s="168">
        <f>_xll.qlRateHelperLatestDate(M16,Trigger)</f>
        <v>42018</v>
      </c>
      <c r="P16" s="169">
        <f>_xll.qlRateHelperQuoteValue(M16,_xll.ohTrigger(RecalcTrigger,YieldCurve))</f>
        <v>5.9999999999999995E-4</v>
      </c>
      <c r="Q16" s="170" t="str">
        <f t="shared" si="7"/>
        <v>6M</v>
      </c>
      <c r="R16" s="158" t="str">
        <f>_xll.qlMakeOIS(,IF(Q16="SW","1W",Q16),IborIndex,,"0D",MoneyMarketDayCounter,,,_xll.ohTrigger(RecalcTrigger,YieldCurve))</f>
        <v>obj_002f4#0001</v>
      </c>
      <c r="S16" s="171">
        <f>_xll.qlOvernightIndexedSwapFairRate(R16,_xll.ohTrigger(RecalcTrigger,YieldCurve))</f>
        <v>5.9999999945882932E-4</v>
      </c>
      <c r="T16" s="172">
        <f t="shared" si="6"/>
        <v>-5.4117062393832516E-13</v>
      </c>
      <c r="V16" s="163"/>
      <c r="W16" s="158" t="str">
        <f t="shared" si="8"/>
        <v>1D</v>
      </c>
      <c r="X16" s="168">
        <f>_xll.qlCalendarAdvance(Calendar,X15,W16,"f",FALSE)</f>
        <v>41837</v>
      </c>
      <c r="Y16" s="173">
        <f>_xll.qlCalendarAdvance(Calendar,X16,NDays&amp;"D")</f>
        <v>41837</v>
      </c>
      <c r="Z16" s="174">
        <v>6.4235798421630186E-4</v>
      </c>
      <c r="AA16" s="177"/>
    </row>
    <row r="17" spans="13:27" x14ac:dyDescent="0.2">
      <c r="M17" s="167" t="str">
        <v>obj_002e6#0000</v>
      </c>
      <c r="N17" s="167" t="str">
        <f>_xll.qlRateHelperQuoteName(M17)</f>
        <v>JPYOIS9M_Quote</v>
      </c>
      <c r="O17" s="168">
        <f>_xll.qlRateHelperLatestDate(M17,Trigger)</f>
        <v>42108</v>
      </c>
      <c r="P17" s="169">
        <f>_xll.qlRateHelperQuoteValue(M17,_xll.ohTrigger(RecalcTrigger,YieldCurve))</f>
        <v>5.9999999999999995E-4</v>
      </c>
      <c r="Q17" s="170" t="str">
        <f t="shared" si="7"/>
        <v>9M</v>
      </c>
      <c r="R17" s="158" t="str">
        <f>_xll.qlMakeOIS(,IF(Q17="SW","1W",Q17),IborIndex,,"0D",MoneyMarketDayCounter,,,_xll.ohTrigger(RecalcTrigger,YieldCurve))</f>
        <v>obj_002fa#0001</v>
      </c>
      <c r="S17" s="171">
        <f>_xll.qlOvernightIndexedSwapFairRate(R17,_xll.ohTrigger(RecalcTrigger,YieldCurve))</f>
        <v>6.0000000026587429E-4</v>
      </c>
      <c r="T17" s="172">
        <f t="shared" si="6"/>
        <v>2.6587434510949581E-13</v>
      </c>
      <c r="V17" s="163"/>
      <c r="W17" s="158" t="str">
        <f t="shared" si="8"/>
        <v>1D</v>
      </c>
      <c r="X17" s="168">
        <f>_xll.qlCalendarAdvance(Calendar,X16,W17,"f",FALSE)</f>
        <v>41838</v>
      </c>
      <c r="Y17" s="173">
        <f>_xll.qlCalendarAdvance(Calendar,X17,NDays&amp;"D")</f>
        <v>41838</v>
      </c>
      <c r="Z17" s="174">
        <v>6.4320896503849978E-4</v>
      </c>
      <c r="AA17" s="177"/>
    </row>
    <row r="18" spans="13:27" x14ac:dyDescent="0.2">
      <c r="M18" s="167" t="str">
        <v>obj_002d3#0000</v>
      </c>
      <c r="N18" s="167" t="str">
        <f>_xll.qlRateHelperQuoteName(M18)</f>
        <v>JPYOIS1Y_Quote</v>
      </c>
      <c r="O18" s="168">
        <f>_xll.qlRateHelperLatestDate(M18,Trigger)</f>
        <v>42199</v>
      </c>
      <c r="P18" s="169">
        <f>_xll.qlRateHelperQuoteValue(M18,_xll.ohTrigger(RecalcTrigger,YieldCurve))</f>
        <v>5.9999999999999995E-4</v>
      </c>
      <c r="Q18" s="170" t="str">
        <f t="shared" si="7"/>
        <v>1Y</v>
      </c>
      <c r="R18" s="158" t="str">
        <f>_xll.qlMakeOIS(,IF(Q18="SW","1W",Q18),IborIndex,,"0D",MoneyMarketDayCounter,,,_xll.ohTrigger(RecalcTrigger,YieldCurve))</f>
        <v>obj_002fc#0001</v>
      </c>
      <c r="S18" s="171">
        <f>_xll.qlOvernightIndexedSwapFairRate(R18,_xll.ohTrigger(RecalcTrigger,YieldCurve))</f>
        <v>6.0000000019955202E-4</v>
      </c>
      <c r="T18" s="172">
        <f t="shared" si="6"/>
        <v>1.9955207191529878E-13</v>
      </c>
      <c r="V18" s="163"/>
      <c r="W18" s="158" t="str">
        <f t="shared" si="8"/>
        <v>1D</v>
      </c>
      <c r="X18" s="168">
        <f>_xll.qlCalendarAdvance(Calendar,X17,W18,"f",FALSE)</f>
        <v>41842</v>
      </c>
      <c r="Y18" s="173">
        <f>_xll.qlCalendarAdvance(Calendar,X18,NDays&amp;"D")</f>
        <v>41842</v>
      </c>
      <c r="Z18" s="174">
        <v>6.442452744315208E-4</v>
      </c>
      <c r="AA18" s="177"/>
    </row>
    <row r="19" spans="13:27" x14ac:dyDescent="0.2">
      <c r="M19" s="167" t="str">
        <v>obj_002c9#0000</v>
      </c>
      <c r="N19" s="167" t="str">
        <f>_xll.qlRateHelperQuoteName(M19)</f>
        <v>JPYOIS18M_Quote</v>
      </c>
      <c r="O19" s="168">
        <f>_xll.qlRateHelperLatestDate(M19,Trigger)</f>
        <v>42383</v>
      </c>
      <c r="P19" s="169">
        <f>_xll.qlRateHelperQuoteValue(M19,_xll.ohTrigger(RecalcTrigger,YieldCurve))</f>
        <v>5.9999999999999995E-4</v>
      </c>
      <c r="Q19" s="170" t="str">
        <f t="shared" si="7"/>
        <v>18M</v>
      </c>
      <c r="R19" s="158" t="str">
        <f>_xll.qlMakeOIS(,IF(Q19="SW","1W",Q19),IborIndex,,"0D",MoneyMarketDayCounter,,,_xll.ohTrigger(RecalcTrigger,YieldCurve))</f>
        <v>obj_002f1#0001</v>
      </c>
      <c r="S19" s="171">
        <f>_xll.qlOvernightIndexedSwapFairRate(R19,_xll.ohTrigger(RecalcTrigger,YieldCurve))</f>
        <v>6.0000000013275356E-4</v>
      </c>
      <c r="T19" s="172">
        <f t="shared" si="6"/>
        <v>1.3275361712694611E-13</v>
      </c>
      <c r="V19" s="163"/>
      <c r="W19" s="158" t="str">
        <f t="shared" si="8"/>
        <v>1D</v>
      </c>
      <c r="X19" s="168">
        <f>_xll.qlCalendarAdvance(Calendar,X18,W19,"f",FALSE)</f>
        <v>41843</v>
      </c>
      <c r="Y19" s="173">
        <f>_xll.qlCalendarAdvance(Calendar,X19,NDays&amp;"D")</f>
        <v>41843</v>
      </c>
      <c r="Z19" s="174">
        <v>6.447359699490729E-4</v>
      </c>
      <c r="AA19" s="177"/>
    </row>
    <row r="20" spans="13:27" x14ac:dyDescent="0.2">
      <c r="M20" s="167" t="str">
        <v>obj_002ec#0000</v>
      </c>
      <c r="N20" s="167" t="str">
        <f>_xll.qlRateHelperQuoteName(M20)</f>
        <v>JPYOIS2Y_Quote</v>
      </c>
      <c r="O20" s="168">
        <f>_xll.qlRateHelperLatestDate(M20,Trigger)</f>
        <v>42565</v>
      </c>
      <c r="P20" s="169">
        <f>_xll.qlRateHelperQuoteValue(M20,_xll.ohTrigger(RecalcTrigger,YieldCurve))</f>
        <v>5.9999999999999995E-4</v>
      </c>
      <c r="Q20" s="170" t="str">
        <f t="shared" si="7"/>
        <v>2Y</v>
      </c>
      <c r="R20" s="158" t="str">
        <f>_xll.qlMakeOIS(,IF(Q20="SW","1W",Q20),IborIndex,,"0D",MoneyMarketDayCounter,,,_xll.ohTrigger(RecalcTrigger,YieldCurve))</f>
        <v>obj_002f6#0001</v>
      </c>
      <c r="S20" s="171">
        <f>_xll.qlOvernightIndexedSwapFairRate(R20,_xll.ohTrigger(RecalcTrigger,YieldCurve))</f>
        <v>6.0000000009970546E-4</v>
      </c>
      <c r="T20" s="172">
        <f t="shared" si="6"/>
        <v>9.9705508606329207E-14</v>
      </c>
      <c r="V20" s="163"/>
      <c r="W20" s="158" t="str">
        <f t="shared" si="8"/>
        <v>1D</v>
      </c>
      <c r="X20" s="168">
        <f>_xll.qlCalendarAdvance(Calendar,X19,W20,"f",FALSE)</f>
        <v>41844</v>
      </c>
      <c r="Y20" s="173">
        <f>_xll.qlCalendarAdvance(Calendar,X20,NDays&amp;"D")</f>
        <v>41844</v>
      </c>
      <c r="Z20" s="174">
        <v>6.4526441115098088E-4</v>
      </c>
      <c r="AA20" s="177"/>
    </row>
    <row r="21" spans="13:27" x14ac:dyDescent="0.2">
      <c r="M21" s="167" t="str">
        <v>obj_002d2#0000</v>
      </c>
      <c r="N21" s="167" t="str">
        <f>_xll.qlRateHelperQuoteName(M21)</f>
        <v>JPYOIS3Y_Quote</v>
      </c>
      <c r="O21" s="168">
        <f>_xll.qlRateHelperLatestDate(M21,Trigger)</f>
        <v>42930</v>
      </c>
      <c r="P21" s="169">
        <f>_xll.qlRateHelperQuoteValue(M21,_xll.ohTrigger(RecalcTrigger,YieldCurve))</f>
        <v>6.2500000000000001E-4</v>
      </c>
      <c r="Q21" s="170" t="str">
        <f t="shared" si="7"/>
        <v>3Y</v>
      </c>
      <c r="R21" s="158" t="str">
        <f>_xll.qlMakeOIS(,IF(Q21="SW","1W",Q21),IborIndex,,"0D",MoneyMarketDayCounter,,,_xll.ohTrigger(RecalcTrigger,YieldCurve))</f>
        <v>obj_00303#0001</v>
      </c>
      <c r="S21" s="171">
        <f>_xll.qlOvernightIndexedSwapFairRate(R21,_xll.ohTrigger(RecalcTrigger,YieldCurve))</f>
        <v>6.2500000006650877E-4</v>
      </c>
      <c r="T21" s="172">
        <f t="shared" si="6"/>
        <v>6.6508755967864541E-14</v>
      </c>
      <c r="V21" s="163"/>
      <c r="W21" s="158" t="str">
        <f t="shared" si="8"/>
        <v>1D</v>
      </c>
      <c r="X21" s="168">
        <f>_xll.qlCalendarAdvance(Calendar,X20,W21,"f",FALSE)</f>
        <v>41845</v>
      </c>
      <c r="Y21" s="173">
        <f>_xll.qlCalendarAdvance(Calendar,X21,NDays&amp;"D")</f>
        <v>41845</v>
      </c>
      <c r="Z21" s="174">
        <v>6.4644825798376726E-4</v>
      </c>
      <c r="AA21" s="177"/>
    </row>
    <row r="22" spans="13:27" x14ac:dyDescent="0.2">
      <c r="M22" s="167" t="str">
        <v>obj_002d6#0000</v>
      </c>
      <c r="N22" s="167" t="str">
        <f>_xll.qlRateHelperQuoteName(M22)</f>
        <v>JPYOIS4Y_Quote</v>
      </c>
      <c r="O22" s="168">
        <f>_xll.qlRateHelperLatestDate(M22,Trigger)</f>
        <v>43298</v>
      </c>
      <c r="P22" s="169">
        <f>_xll.qlRateHelperQuoteValue(M22,_xll.ohTrigger(RecalcTrigger,YieldCurve))</f>
        <v>7.000000000000001E-4</v>
      </c>
      <c r="Q22" s="170" t="str">
        <f t="shared" si="7"/>
        <v>4Y</v>
      </c>
      <c r="R22" s="158" t="str">
        <f>_xll.qlMakeOIS(,IF(Q22="SW","1W",Q22),IborIndex,,"0D",MoneyMarketDayCounter,,,_xll.ohTrigger(RecalcTrigger,YieldCurve))</f>
        <v>obj_00304#0001</v>
      </c>
      <c r="S22" s="171">
        <f>_xll.qlOvernightIndexedSwapFairRate(R22,_xll.ohTrigger(RecalcTrigger,YieldCurve))</f>
        <v>7.0000000028536092E-4</v>
      </c>
      <c r="T22" s="172">
        <f t="shared" si="6"/>
        <v>2.8536081917579503E-13</v>
      </c>
      <c r="V22" s="163"/>
      <c r="W22" s="158" t="str">
        <f t="shared" si="8"/>
        <v>1D</v>
      </c>
      <c r="X22" s="168">
        <f>_xll.qlCalendarAdvance(Calendar,X21,W22,"f",FALSE)</f>
        <v>41848</v>
      </c>
      <c r="Y22" s="173">
        <f>_xll.qlCalendarAdvance(Calendar,X22,NDays&amp;"D")</f>
        <v>41848</v>
      </c>
      <c r="Z22" s="174">
        <v>6.4775563434205097E-4</v>
      </c>
      <c r="AA22" s="177"/>
    </row>
    <row r="23" spans="13:27" x14ac:dyDescent="0.2">
      <c r="M23" s="167" t="str">
        <v>obj_002e2#0000</v>
      </c>
      <c r="N23" s="167" t="str">
        <f>_xll.qlRateHelperQuoteName(M23)</f>
        <v>JPYOIS5Y_Quote</v>
      </c>
      <c r="O23" s="168">
        <f>_xll.qlRateHelperLatestDate(M23,Trigger)</f>
        <v>43662</v>
      </c>
      <c r="P23" s="169">
        <f>_xll.qlRateHelperQuoteValue(M23,_xll.ohTrigger(RecalcTrigger,YieldCurve))</f>
        <v>9.5E-4</v>
      </c>
      <c r="Q23" s="170" t="str">
        <f t="shared" si="7"/>
        <v>5Y</v>
      </c>
      <c r="R23" s="158" t="str">
        <f>_xll.qlMakeOIS(,IF(Q23="SW","1W",Q23),IborIndex,,"0D",MoneyMarketDayCounter,,,_xll.ohTrigger(RecalcTrigger,YieldCurve))</f>
        <v>obj_002f5#0001</v>
      </c>
      <c r="S23" s="171">
        <f>_xll.qlOvernightIndexedSwapFairRate(R23,_xll.ohTrigger(RecalcTrigger,YieldCurve))</f>
        <v>9.500000001888846E-4</v>
      </c>
      <c r="T23" s="172">
        <f t="shared" si="6"/>
        <v>1.888846067402139E-13</v>
      </c>
      <c r="V23" s="163"/>
      <c r="W23" s="158" t="str">
        <f t="shared" si="8"/>
        <v>1D</v>
      </c>
      <c r="X23" s="168">
        <f>_xll.qlCalendarAdvance(Calendar,X22,W23,"f",FALSE)</f>
        <v>41849</v>
      </c>
      <c r="Y23" s="173">
        <f>_xll.qlCalendarAdvance(Calendar,X23,NDays&amp;"D")</f>
        <v>41849</v>
      </c>
      <c r="Z23" s="174">
        <v>6.4847280461410861E-4</v>
      </c>
      <c r="AA23" s="177"/>
    </row>
    <row r="24" spans="13:27" x14ac:dyDescent="0.2">
      <c r="M24" s="167" t="str">
        <v>obj_002e1#0000</v>
      </c>
      <c r="N24" s="167" t="str">
        <f>_xll.qlRateHelperQuoteName(M24)</f>
        <v>JPYOIS6Y_Quote</v>
      </c>
      <c r="O24" s="168">
        <f>_xll.qlRateHelperLatestDate(M24,Trigger)</f>
        <v>44026</v>
      </c>
      <c r="P24" s="169">
        <f>_xll.qlRateHelperQuoteValue(M24,_xll.ohTrigger(RecalcTrigger,YieldCurve))</f>
        <v>1.3750000000000001E-3</v>
      </c>
      <c r="Q24" s="170" t="str">
        <f t="shared" si="7"/>
        <v>6Y</v>
      </c>
      <c r="R24" s="158" t="str">
        <f>_xll.qlMakeOIS(,IF(Q24="SW","1W",Q24),IborIndex,,"0D",MoneyMarketDayCounter,,,_xll.ohTrigger(RecalcTrigger,YieldCurve))</f>
        <v>obj_002f7#0001</v>
      </c>
      <c r="S24" s="171">
        <f>_xll.qlOvernightIndexedSwapFairRate(R24,_xll.ohTrigger(RecalcTrigger,YieldCurve))</f>
        <v>1.3750000001363884E-3</v>
      </c>
      <c r="T24" s="172">
        <f t="shared" si="6"/>
        <v>1.3638829648998652E-13</v>
      </c>
      <c r="V24" s="163"/>
      <c r="W24" s="158" t="str">
        <f t="shared" si="8"/>
        <v>1D</v>
      </c>
      <c r="X24" s="168">
        <f>_xll.qlCalendarAdvance(Calendar,X23,W24,"f",FALSE)</f>
        <v>41850</v>
      </c>
      <c r="Y24" s="173">
        <f>_xll.qlCalendarAdvance(Calendar,X24,NDays&amp;"D")</f>
        <v>41850</v>
      </c>
      <c r="Z24" s="174">
        <v>6.492277207326147E-4</v>
      </c>
      <c r="AA24" s="177"/>
    </row>
    <row r="25" spans="13:27" x14ac:dyDescent="0.2">
      <c r="M25" s="167" t="str">
        <v>obj_002d4#0000</v>
      </c>
      <c r="N25" s="167" t="str">
        <f>_xll.qlRateHelperQuoteName(M25)</f>
        <v>JPYOIS7Y_Quote</v>
      </c>
      <c r="O25" s="168">
        <f>_xll.qlRateHelperLatestDate(M25,Trigger)</f>
        <v>44391</v>
      </c>
      <c r="P25" s="169">
        <f>_xll.qlRateHelperQuoteValue(M25,_xll.ohTrigger(RecalcTrigger,YieldCurve))</f>
        <v>2.0250000000000003E-3</v>
      </c>
      <c r="Q25" s="170" t="str">
        <f t="shared" si="7"/>
        <v>7Y</v>
      </c>
      <c r="R25" s="158" t="str">
        <f>_xll.qlMakeOIS(,IF(Q25="SW","1W",Q25),IborIndex,,"0D",MoneyMarketDayCounter,,,_xll.ohTrigger(RecalcTrigger,YieldCurve))</f>
        <v>obj_002fe#0001</v>
      </c>
      <c r="S25" s="171">
        <f>_xll.qlOvernightIndexedSwapFairRate(R25,_xll.ohTrigger(RecalcTrigger,YieldCurve))</f>
        <v>2.0250000001037259E-3</v>
      </c>
      <c r="T25" s="172">
        <f t="shared" si="6"/>
        <v>1.0372562184168821E-13</v>
      </c>
      <c r="V25" s="163"/>
      <c r="W25" s="158" t="str">
        <f t="shared" si="8"/>
        <v>1D</v>
      </c>
      <c r="X25" s="168">
        <f>_xll.qlCalendarAdvance(Calendar,X24,W25,"f",FALSE)</f>
        <v>41851</v>
      </c>
      <c r="Y25" s="173">
        <f>_xll.qlCalendarAdvance(Calendar,X25,NDays&amp;"D")</f>
        <v>41851</v>
      </c>
      <c r="Z25" s="174">
        <v>6.5002038261652295E-4</v>
      </c>
      <c r="AA25" s="177"/>
    </row>
    <row r="26" spans="13:27" x14ac:dyDescent="0.2">
      <c r="M26" s="167" t="str">
        <v>obj_002dd#0000</v>
      </c>
      <c r="N26" s="167" t="str">
        <f>_xll.qlRateHelperQuoteName(M26)</f>
        <v>JPYOIS8Y_Quote</v>
      </c>
      <c r="O26" s="168">
        <f>_xll.qlRateHelperLatestDate(M26,Trigger)</f>
        <v>44756</v>
      </c>
      <c r="P26" s="169">
        <f>_xll.qlRateHelperQuoteValue(M26,_xll.ohTrigger(RecalcTrigger,YieldCurve))</f>
        <v>2.725E-3</v>
      </c>
      <c r="Q26" s="170" t="str">
        <f t="shared" si="7"/>
        <v>8Y</v>
      </c>
      <c r="R26" s="158" t="str">
        <f>_xll.qlMakeOIS(,IF(Q26="SW","1W",Q26),IborIndex,,"0D",MoneyMarketDayCounter,,,_xll.ohTrigger(RecalcTrigger,YieldCurve))</f>
        <v>obj_002f8#0001</v>
      </c>
      <c r="S26" s="171">
        <f>_xll.qlOvernightIndexedSwapFairRate(R26,_xll.ohTrigger(RecalcTrigger,YieldCurve))</f>
        <v>2.7250000000818512E-3</v>
      </c>
      <c r="T26" s="172">
        <f t="shared" si="6"/>
        <v>8.1851192490489666E-14</v>
      </c>
      <c r="V26" s="163"/>
      <c r="W26" s="158" t="str">
        <f t="shared" si="8"/>
        <v>1D</v>
      </c>
      <c r="X26" s="168">
        <f>_xll.qlCalendarAdvance(Calendar,X25,W26,"f",FALSE)</f>
        <v>41852</v>
      </c>
      <c r="Y26" s="173">
        <f>_xll.qlCalendarAdvance(Calendar,X26,NDays&amp;"D")</f>
        <v>41852</v>
      </c>
      <c r="Z26" s="174">
        <v>6.5173268948096985E-4</v>
      </c>
      <c r="AA26" s="177"/>
    </row>
    <row r="27" spans="13:27" x14ac:dyDescent="0.2">
      <c r="M27" s="167" t="str">
        <v>obj_002e3#0000</v>
      </c>
      <c r="N27" s="167" t="str">
        <f>_xll.qlRateHelperQuoteName(M27)</f>
        <v>JPYOIS9Y_Quote</v>
      </c>
      <c r="O27" s="168">
        <f>_xll.qlRateHelperLatestDate(M27,Trigger)</f>
        <v>45121</v>
      </c>
      <c r="P27" s="169">
        <f>_xll.qlRateHelperQuoteValue(M27,_xll.ohTrigger(RecalcTrigger,YieldCurve))</f>
        <v>3.4750000000000002E-3</v>
      </c>
      <c r="Q27" s="170" t="str">
        <f t="shared" si="7"/>
        <v>9Y</v>
      </c>
      <c r="R27" s="158" t="str">
        <f>_xll.qlMakeOIS(,IF(Q27="SW","1W",Q27),IborIndex,,"0D",MoneyMarketDayCounter,,,_xll.ohTrigger(RecalcTrigger,YieldCurve))</f>
        <v>obj_00300#0001</v>
      </c>
      <c r="S27" s="171">
        <f>_xll.qlOvernightIndexedSwapFairRate(R27,_xll.ohTrigger(RecalcTrigger,YieldCurve))</f>
        <v>3.4750000000664232E-3</v>
      </c>
      <c r="T27" s="172">
        <f t="shared" si="6"/>
        <v>6.6422995576020938E-14</v>
      </c>
      <c r="V27" s="163"/>
      <c r="W27" s="158" t="str">
        <f t="shared" si="8"/>
        <v>1D</v>
      </c>
      <c r="X27" s="168">
        <f>_xll.qlCalendarAdvance(Calendar,X26,W27,"f",FALSE)</f>
        <v>41855</v>
      </c>
      <c r="Y27" s="173">
        <f>_xll.qlCalendarAdvance(Calendar,X27,NDays&amp;"D")</f>
        <v>41855</v>
      </c>
      <c r="Z27" s="174">
        <v>6.5356848829245529E-4</v>
      </c>
      <c r="AA27" s="177"/>
    </row>
    <row r="28" spans="13:27" x14ac:dyDescent="0.2">
      <c r="M28" s="167" t="str">
        <v>obj_002d9#0000</v>
      </c>
      <c r="N28" s="167" t="str">
        <f>_xll.qlRateHelperQuoteName(M28)</f>
        <v>JPYOIS10Y_Quote</v>
      </c>
      <c r="O28" s="168">
        <f>_xll.qlRateHelperLatestDate(M28,Trigger)</f>
        <v>45489</v>
      </c>
      <c r="P28" s="169">
        <f>_xll.qlRateHelperQuoteValue(M28,_xll.ohTrigger(RecalcTrigger,YieldCurve))</f>
        <v>4.1999999999999997E-3</v>
      </c>
      <c r="Q28" s="170" t="str">
        <f t="shared" si="7"/>
        <v>10Y</v>
      </c>
      <c r="R28" s="158" t="str">
        <f>_xll.qlMakeOIS(,IF(Q28="SW","1W",Q28),IborIndex,,"0D",MoneyMarketDayCounter,,,_xll.ohTrigger(RecalcTrigger,YieldCurve))</f>
        <v>obj_002fb#0001</v>
      </c>
      <c r="S28" s="171">
        <f>_xll.qlOvernightIndexedSwapFairRate(R28,_xll.ohTrigger(RecalcTrigger,YieldCurve))</f>
        <v>4.2000000000554242E-3</v>
      </c>
      <c r="T28" s="172">
        <f t="shared" si="6"/>
        <v>5.5424415057458987E-14</v>
      </c>
      <c r="V28" s="163"/>
      <c r="W28" s="158" t="str">
        <f t="shared" si="8"/>
        <v>1D</v>
      </c>
      <c r="X28" s="168">
        <f>_xll.qlCalendarAdvance(Calendar,X27,W28,"f",FALSE)</f>
        <v>41856</v>
      </c>
      <c r="Y28" s="173">
        <f>_xll.qlCalendarAdvance(Calendar,X28,NDays&amp;"D")</f>
        <v>41856</v>
      </c>
      <c r="Z28" s="174">
        <v>6.545498792465132E-4</v>
      </c>
      <c r="AA28" s="177"/>
    </row>
    <row r="29" spans="13:27" x14ac:dyDescent="0.2">
      <c r="M29" s="167" t="str">
        <v>obj_002d1#0000</v>
      </c>
      <c r="N29" s="167" t="str">
        <f>_xll.qlRateHelperQuoteName(M29)</f>
        <v>JPYOIS12Y_Quote</v>
      </c>
      <c r="O29" s="168">
        <f>_xll.qlRateHelperLatestDate(M29,Trigger)</f>
        <v>46217</v>
      </c>
      <c r="P29" s="169">
        <f>_xll.qlRateHelperQuoteValue(M29,_xll.ohTrigger(RecalcTrigger,YieldCurve))</f>
        <v>5.9000000000000007E-3</v>
      </c>
      <c r="Q29" s="170" t="str">
        <f t="shared" si="7"/>
        <v>12Y</v>
      </c>
      <c r="R29" s="158" t="str">
        <f>_xll.qlMakeOIS(,IF(Q29="SW","1W",Q29),IborIndex,,"0D",MoneyMarketDayCounter,,,_xll.ohTrigger(RecalcTrigger,YieldCurve))</f>
        <v>obj_002ef#0001</v>
      </c>
      <c r="S29" s="171">
        <f>_xll.qlOvernightIndexedSwapFairRate(R29,_xll.ohTrigger(RecalcTrigger,YieldCurve))</f>
        <v>5.9000000000759478E-3</v>
      </c>
      <c r="T29" s="172">
        <f t="shared" si="6"/>
        <v>7.5947061140002603E-14</v>
      </c>
      <c r="V29" s="163"/>
      <c r="W29" s="158" t="str">
        <f t="shared" si="8"/>
        <v>1D</v>
      </c>
      <c r="X29" s="168">
        <f>_xll.qlCalendarAdvance(Calendar,X28,W29,"f",FALSE)</f>
        <v>41857</v>
      </c>
      <c r="Y29" s="173">
        <f>_xll.qlCalendarAdvance(Calendar,X29,NDays&amp;"D")</f>
        <v>41857</v>
      </c>
      <c r="Z29" s="174">
        <v>6.5556901596597328E-4</v>
      </c>
      <c r="AA29" s="177"/>
    </row>
    <row r="30" spans="13:27" x14ac:dyDescent="0.2">
      <c r="M30" s="167" t="str">
        <v>obj_002dc#0000</v>
      </c>
      <c r="N30" s="167" t="str">
        <f>_xll.qlRateHelperQuoteName(M30)</f>
        <v>JPYOIS15Y_Quote</v>
      </c>
      <c r="O30" s="168">
        <f>_xll.qlRateHelperLatestDate(M30,Trigger)</f>
        <v>47316</v>
      </c>
      <c r="P30" s="169">
        <f>_xll.qlRateHelperQuoteValue(M30,_xll.ohTrigger(RecalcTrigger,YieldCurve))</f>
        <v>8.4749999999999999E-3</v>
      </c>
      <c r="Q30" s="170" t="str">
        <f t="shared" si="7"/>
        <v>15Y</v>
      </c>
      <c r="R30" s="158" t="str">
        <f>_xll.qlMakeOIS(,IF(Q30="SW","1W",Q30),IborIndex,,"0D",MoneyMarketDayCounter,,,_xll.ohTrigger(RecalcTrigger,YieldCurve))</f>
        <v>obj_002ff#0001</v>
      </c>
      <c r="S30" s="171">
        <f>_xll.qlOvernightIndexedSwapFairRate(R30,_xll.ohTrigger(RecalcTrigger,YieldCurve))</f>
        <v>8.4750000000130641E-3</v>
      </c>
      <c r="T30" s="172">
        <f t="shared" si="6"/>
        <v>1.3064202497581334E-14</v>
      </c>
      <c r="V30" s="163"/>
      <c r="W30" s="158" t="str">
        <f t="shared" si="8"/>
        <v>1D</v>
      </c>
      <c r="X30" s="168">
        <f>_xll.qlCalendarAdvance(Calendar,X29,W30,"f",FALSE)</f>
        <v>41858</v>
      </c>
      <c r="Y30" s="173">
        <f>_xll.qlCalendarAdvance(Calendar,X30,NDays&amp;"D")</f>
        <v>41858</v>
      </c>
      <c r="Z30" s="174">
        <v>6.566258985318818E-4</v>
      </c>
      <c r="AA30" s="177"/>
    </row>
    <row r="31" spans="13:27" x14ac:dyDescent="0.2">
      <c r="M31" s="167" t="str">
        <v>obj_002eb#0000</v>
      </c>
      <c r="N31" s="167" t="str">
        <f>_xll.qlRateHelperQuoteName(M31)</f>
        <v>JPYOIS20Y_Quote</v>
      </c>
      <c r="O31" s="168">
        <f>_xll.qlRateHelperLatestDate(M31,Trigger)</f>
        <v>49139</v>
      </c>
      <c r="P31" s="169">
        <f>_xll.qlRateHelperQuoteValue(M31,_xll.ohTrigger(RecalcTrigger,YieldCurve))</f>
        <v>1.1675E-2</v>
      </c>
      <c r="Q31" s="170" t="str">
        <f t="shared" si="7"/>
        <v>20Y</v>
      </c>
      <c r="R31" s="158" t="str">
        <f>_xll.qlMakeOIS(,IF(Q31="SW","1W",Q31),IborIndex,,"0D",MoneyMarketDayCounter,,,_xll.ohTrigger(RecalcTrigger,YieldCurve))</f>
        <v>obj_002f2#0001</v>
      </c>
      <c r="S31" s="171">
        <f>_xll.qlOvernightIndexedSwapFairRate(R31,_xll.ohTrigger(RecalcTrigger,YieldCurve))</f>
        <v>1.1675000000010578E-2</v>
      </c>
      <c r="T31" s="172">
        <f t="shared" si="6"/>
        <v>1.057834375650657E-14</v>
      </c>
      <c r="U31" s="178"/>
      <c r="V31" s="163"/>
      <c r="W31" s="158" t="str">
        <f t="shared" si="8"/>
        <v>1D</v>
      </c>
      <c r="X31" s="168">
        <f>_xll.qlCalendarAdvance(Calendar,X30,W31,"f",FALSE)</f>
        <v>41859</v>
      </c>
      <c r="Y31" s="173">
        <f>_xll.qlCalendarAdvance(Calendar,X31,NDays&amp;"D")</f>
        <v>41859</v>
      </c>
      <c r="Z31" s="174">
        <v>6.5886667237095397E-4</v>
      </c>
      <c r="AA31" s="177"/>
    </row>
    <row r="32" spans="13:27" x14ac:dyDescent="0.2">
      <c r="M32" s="167" t="str">
        <v>obj_002e8#0000</v>
      </c>
      <c r="N32" s="167" t="str">
        <f>_xll.qlRateHelperQuoteName(M32)</f>
        <v>JPYOIS25Y_Quote</v>
      </c>
      <c r="O32" s="168">
        <f>_xll.qlRateHelperLatestDate(M32,Trigger)</f>
        <v>50965</v>
      </c>
      <c r="P32" s="169">
        <f>_xll.qlRateHelperQuoteValue(M32,_xll.ohTrigger(RecalcTrigger,YieldCurve))</f>
        <v>1.3375E-2</v>
      </c>
      <c r="Q32" s="170" t="str">
        <f t="shared" si="7"/>
        <v>25Y</v>
      </c>
      <c r="R32" s="158" t="str">
        <f>_xll.qlMakeOIS(,IF(Q32="SW","1W",Q32),IborIndex,,"0D",MoneyMarketDayCounter,,,_xll.ohTrigger(RecalcTrigger,YieldCurve))</f>
        <v>obj_00301#0001</v>
      </c>
      <c r="S32" s="171">
        <f>_xll.qlOvernightIndexedSwapFairRate(R32,_xll.ohTrigger(RecalcTrigger,YieldCurve))</f>
        <v>1.3375000000008646E-2</v>
      </c>
      <c r="T32" s="172">
        <f t="shared" si="6"/>
        <v>8.6458618042684066E-15</v>
      </c>
      <c r="U32" s="178"/>
      <c r="V32" s="163"/>
      <c r="W32" s="158" t="str">
        <f t="shared" si="8"/>
        <v>1D</v>
      </c>
      <c r="X32" s="168">
        <f>_xll.qlCalendarAdvance(Calendar,X31,W32,"f",FALSE)</f>
        <v>41862</v>
      </c>
      <c r="Y32" s="173">
        <f>_xll.qlCalendarAdvance(Calendar,X32,NDays&amp;"D")</f>
        <v>41862</v>
      </c>
      <c r="Z32" s="174">
        <v>6.6123088693581522E-4</v>
      </c>
      <c r="AA32" s="177"/>
    </row>
    <row r="33" spans="13:27" x14ac:dyDescent="0.2">
      <c r="M33" s="167" t="str">
        <v>obj_002d8#0000</v>
      </c>
      <c r="N33" s="167" t="str">
        <f>_xll.qlRateHelperQuoteName(M33)</f>
        <v>JPYOIS30Y_Quote</v>
      </c>
      <c r="O33" s="168">
        <f>_xll.qlRateHelperLatestDate(M33,Trigger)</f>
        <v>52792</v>
      </c>
      <c r="P33" s="169">
        <f>_xll.qlRateHelperQuoteValue(M33,_xll.ohTrigger(RecalcTrigger,YieldCurve))</f>
        <v>1.4375000000000001E-2</v>
      </c>
      <c r="Q33" s="170" t="str">
        <f t="shared" si="7"/>
        <v>30Y</v>
      </c>
      <c r="R33" s="158" t="str">
        <f>_xll.qlMakeOIS(,IF(Q33="SW","1W",Q33),IborIndex,,"0D",MoneyMarketDayCounter,,,_xll.ohTrigger(RecalcTrigger,YieldCurve))</f>
        <v>obj_002f0#0001</v>
      </c>
      <c r="S33" s="171">
        <f>_xll.qlOvernightIndexedSwapFairRate(R33,_xll.ohTrigger(RecalcTrigger,YieldCurve))</f>
        <v>1.4375000000014621E-2</v>
      </c>
      <c r="T33" s="172">
        <f t="shared" si="6"/>
        <v>1.462024945553253E-14</v>
      </c>
      <c r="U33" s="178"/>
      <c r="V33" s="163"/>
      <c r="W33" s="158" t="str">
        <f t="shared" si="8"/>
        <v>1D</v>
      </c>
      <c r="X33" s="168">
        <f>_xll.qlCalendarAdvance(Calendar,X32,W33,"f",FALSE)</f>
        <v>41863</v>
      </c>
      <c r="Y33" s="173">
        <f>_xll.qlCalendarAdvance(Calendar,X33,NDays&amp;"D")</f>
        <v>41863</v>
      </c>
      <c r="Z33" s="174">
        <v>6.6247649849082713E-4</v>
      </c>
      <c r="AA33" s="177"/>
    </row>
    <row r="34" spans="13:27" x14ac:dyDescent="0.2">
      <c r="M34" s="167" t="e">
        <v>#N/A</v>
      </c>
      <c r="N34" s="167" t="e">
        <f>_xll.qlRateHelperQuoteName(M34)</f>
        <v>#VALUE!</v>
      </c>
      <c r="O34" s="168" t="e">
        <f>_xll.qlRateHelperLatestDate(M34,Trigger)</f>
        <v>#VALUE!</v>
      </c>
      <c r="P34" s="169" t="e">
        <f>_xll.qlRateHelperQuoteValue(M34,_xll.ohTrigger(RecalcTrigger,YieldCurve))</f>
        <v>#VALUE!</v>
      </c>
      <c r="Q34" s="170" t="e">
        <f t="shared" si="7"/>
        <v>#VALUE!</v>
      </c>
      <c r="R34" s="158" t="e">
        <f>_xll.qlMakeOIS(,IF(Q34="SW","1W",Q34),IborIndex,,"0D",MoneyMarketDayCounter,,,_xll.ohTrigger(RecalcTrigger,YieldCurve))</f>
        <v>#VALUE!</v>
      </c>
      <c r="S34" s="171" t="e">
        <f>_xll.qlOvernightIndexedSwapFairRate(R34,_xll.ohTrigger(RecalcTrigger,YieldCurve))</f>
        <v>#VALUE!</v>
      </c>
      <c r="T34" s="172" t="e">
        <f t="shared" si="6"/>
        <v>#VALUE!</v>
      </c>
      <c r="V34" s="163"/>
      <c r="W34" s="158" t="str">
        <f t="shared" si="8"/>
        <v>1D</v>
      </c>
      <c r="X34" s="168">
        <f>_xll.qlCalendarAdvance(Calendar,X33,W34,"f",FALSE)</f>
        <v>41864</v>
      </c>
      <c r="Y34" s="173">
        <f>_xll.qlCalendarAdvance(Calendar,X34,NDays&amp;"D")</f>
        <v>41864</v>
      </c>
      <c r="Z34" s="174">
        <v>6.6375985589228748E-4</v>
      </c>
      <c r="AA34" s="177"/>
    </row>
    <row r="35" spans="13:27" x14ac:dyDescent="0.2">
      <c r="M35" s="167" t="e">
        <v>#N/A</v>
      </c>
      <c r="N35" s="167" t="e">
        <f>_xll.qlRateHelperQuoteName(M35)</f>
        <v>#VALUE!</v>
      </c>
      <c r="O35" s="168" t="e">
        <f>_xll.qlRateHelperLatestDate(M35,Trigger)</f>
        <v>#VALUE!</v>
      </c>
      <c r="P35" s="169" t="e">
        <f>_xll.qlRateHelperQuoteValue(M35,_xll.ohTrigger(RecalcTrigger,YieldCurve))</f>
        <v>#VALUE!</v>
      </c>
      <c r="Q35" s="170" t="e">
        <f t="shared" si="7"/>
        <v>#VALUE!</v>
      </c>
      <c r="R35" s="158" t="e">
        <f>_xll.qlMakeOIS(,IF(Q35="SW","1W",Q35),IborIndex,,"0D",MoneyMarketDayCounter,,,_xll.ohTrigger(RecalcTrigger,YieldCurve))</f>
        <v>#VALUE!</v>
      </c>
      <c r="S35" s="171" t="e">
        <f>_xll.qlOvernightIndexedSwapFairRate(R35,_xll.ohTrigger(RecalcTrigger,YieldCurve))</f>
        <v>#VALUE!</v>
      </c>
      <c r="T35" s="172" t="e">
        <f t="shared" si="6"/>
        <v>#VALUE!</v>
      </c>
      <c r="V35" s="163"/>
      <c r="W35" s="158" t="str">
        <f t="shared" si="8"/>
        <v>1D</v>
      </c>
      <c r="X35" s="168">
        <f>_xll.qlCalendarAdvance(Calendar,X34,W35,"f",FALSE)</f>
        <v>41865</v>
      </c>
      <c r="Y35" s="173">
        <f>_xll.qlCalendarAdvance(Calendar,X35,NDays&amp;"D")</f>
        <v>41865</v>
      </c>
      <c r="Z35" s="174">
        <v>6.6504136543854564E-4</v>
      </c>
      <c r="AA35" s="177"/>
    </row>
    <row r="36" spans="13:27" x14ac:dyDescent="0.2">
      <c r="M36" s="167" t="e">
        <v>#N/A</v>
      </c>
      <c r="N36" s="167" t="e">
        <f>_xll.qlRateHelperQuoteName(M36)</f>
        <v>#VALUE!</v>
      </c>
      <c r="O36" s="168" t="e">
        <f>_xll.qlRateHelperLatestDate(M36,Trigger)</f>
        <v>#VALUE!</v>
      </c>
      <c r="P36" s="169" t="e">
        <f>_xll.qlRateHelperQuoteValue(M36,_xll.ohTrigger(RecalcTrigger,YieldCurve))</f>
        <v>#VALUE!</v>
      </c>
      <c r="Q36" s="170" t="e">
        <f t="shared" si="7"/>
        <v>#VALUE!</v>
      </c>
      <c r="R36" s="158" t="e">
        <f>_xll.qlMakeOIS(,IF(Q36="SW","1W",Q36),IborIndex,,"0D",MoneyMarketDayCounter,,,_xll.ohTrigger(RecalcTrigger,YieldCurve))</f>
        <v>#VALUE!</v>
      </c>
      <c r="S36" s="171" t="e">
        <f>_xll.qlOvernightIndexedSwapFairRate(R36,_xll.ohTrigger(RecalcTrigger,YieldCurve))</f>
        <v>#VALUE!</v>
      </c>
      <c r="T36" s="172" t="e">
        <f t="shared" si="6"/>
        <v>#VALUE!</v>
      </c>
      <c r="U36" s="178"/>
      <c r="V36" s="163"/>
      <c r="W36" s="158" t="str">
        <f t="shared" si="8"/>
        <v>1D</v>
      </c>
      <c r="X36" s="168">
        <f>_xll.qlCalendarAdvance(Calendar,X35,W36,"f",FALSE)</f>
        <v>41866</v>
      </c>
      <c r="Y36" s="173">
        <f>_xll.qlCalendarAdvance(Calendar,X36,NDays&amp;"D")</f>
        <v>41866</v>
      </c>
      <c r="Z36" s="174">
        <v>6.670187354610817E-4</v>
      </c>
      <c r="AA36" s="177"/>
    </row>
    <row r="37" spans="13:27" x14ac:dyDescent="0.2">
      <c r="M37" s="167" t="e">
        <v>#N/A</v>
      </c>
      <c r="N37" s="167" t="e">
        <f>_xll.qlRateHelperQuoteName(M37)</f>
        <v>#VALUE!</v>
      </c>
      <c r="O37" s="168" t="e">
        <f>_xll.qlRateHelperLatestDate(M37,Trigger)</f>
        <v>#VALUE!</v>
      </c>
      <c r="P37" s="169" t="e">
        <f>_xll.qlRateHelperQuoteValue(M37,_xll.ohTrigger(RecalcTrigger,YieldCurve))</f>
        <v>#VALUE!</v>
      </c>
      <c r="Q37" s="170" t="e">
        <f t="shared" si="7"/>
        <v>#VALUE!</v>
      </c>
      <c r="R37" s="158" t="e">
        <f>_xll.qlMakeOIS(,IF(Q37="SW","1W",Q37),IborIndex,,"0D",MoneyMarketDayCounter,,,_xll.ohTrigger(RecalcTrigger,YieldCurve))</f>
        <v>#VALUE!</v>
      </c>
      <c r="S37" s="171" t="e">
        <f>_xll.qlOvernightIndexedSwapFairRate(R37,_xll.ohTrigger(RecalcTrigger,YieldCurve))</f>
        <v>#VALUE!</v>
      </c>
      <c r="T37" s="172" t="e">
        <f t="shared" si="6"/>
        <v>#VALUE!</v>
      </c>
      <c r="U37" s="178"/>
      <c r="V37" s="163"/>
      <c r="W37" s="158" t="str">
        <f t="shared" si="8"/>
        <v>1D</v>
      </c>
      <c r="X37" s="168">
        <f>_xll.qlCalendarAdvance(Calendar,X36,W37,"f",FALSE)</f>
        <v>41869</v>
      </c>
      <c r="Y37" s="173">
        <f>_xll.qlCalendarAdvance(Calendar,X37,NDays&amp;"D")</f>
        <v>41869</v>
      </c>
      <c r="Z37" s="174">
        <v>6.6832761220214643E-4</v>
      </c>
      <c r="AA37" s="177"/>
    </row>
    <row r="38" spans="13:27" x14ac:dyDescent="0.2">
      <c r="M38" s="167" t="e">
        <v>#N/A</v>
      </c>
      <c r="N38" s="167" t="e">
        <f>_xll.qlRateHelperQuoteName(M38)</f>
        <v>#VALUE!</v>
      </c>
      <c r="O38" s="168" t="e">
        <f>_xll.qlRateHelperLatestDate(M38,Trigger)</f>
        <v>#VALUE!</v>
      </c>
      <c r="P38" s="169" t="e">
        <f>_xll.qlRateHelperQuoteValue(M38,_xll.ohTrigger(RecalcTrigger,YieldCurve))</f>
        <v>#VALUE!</v>
      </c>
      <c r="Q38" s="170" t="e">
        <f t="shared" si="7"/>
        <v>#VALUE!</v>
      </c>
      <c r="R38" s="158" t="e">
        <f>_xll.qlMakeOIS(,IF(Q38="SW","1W",Q38),IborIndex,,"0D",MoneyMarketDayCounter,,,_xll.ohTrigger(RecalcTrigger,YieldCurve))</f>
        <v>#VALUE!</v>
      </c>
      <c r="S38" s="171" t="e">
        <f>_xll.qlOvernightIndexedSwapFairRate(R38,_xll.ohTrigger(RecalcTrigger,YieldCurve))</f>
        <v>#VALUE!</v>
      </c>
      <c r="T38" s="172" t="e">
        <f t="shared" si="6"/>
        <v>#VALUE!</v>
      </c>
      <c r="U38" s="178"/>
      <c r="V38" s="163"/>
      <c r="W38" s="158" t="str">
        <f t="shared" si="8"/>
        <v>1D</v>
      </c>
      <c r="X38" s="168">
        <f>_xll.qlCalendarAdvance(Calendar,X37,W38,"f",FALSE)</f>
        <v>41870</v>
      </c>
      <c r="Y38" s="173">
        <f>_xll.qlCalendarAdvance(Calendar,X38,NDays&amp;"D")</f>
        <v>41870</v>
      </c>
      <c r="Z38" s="174">
        <v>6.6864963249813059E-4</v>
      </c>
      <c r="AA38" s="177"/>
    </row>
    <row r="39" spans="13:27" x14ac:dyDescent="0.2">
      <c r="M39" s="167" t="e">
        <v>#N/A</v>
      </c>
      <c r="N39" s="167" t="e">
        <f>_xll.qlRateHelperQuoteName(M39)</f>
        <v>#VALUE!</v>
      </c>
      <c r="O39" s="168" t="e">
        <f>_xll.qlRateHelperLatestDate(M39,Trigger)</f>
        <v>#VALUE!</v>
      </c>
      <c r="P39" s="169" t="e">
        <f>_xll.qlRateHelperQuoteValue(M39,_xll.ohTrigger(RecalcTrigger,YieldCurve))</f>
        <v>#VALUE!</v>
      </c>
      <c r="Q39" s="170" t="e">
        <f t="shared" si="7"/>
        <v>#VALUE!</v>
      </c>
      <c r="R39" s="158" t="e">
        <f>_xll.qlMakeOIS(,IF(Q39="SW","1W",Q39),IborIndex,,"0D",MoneyMarketDayCounter,,,_xll.ohTrigger(RecalcTrigger,YieldCurve))</f>
        <v>#VALUE!</v>
      </c>
      <c r="S39" s="171" t="e">
        <f>_xll.qlOvernightIndexedSwapFairRate(R39,_xll.ohTrigger(RecalcTrigger,YieldCurve))</f>
        <v>#VALUE!</v>
      </c>
      <c r="T39" s="172" t="e">
        <f t="shared" si="6"/>
        <v>#VALUE!</v>
      </c>
      <c r="U39" s="178"/>
      <c r="V39" s="163"/>
      <c r="W39" s="158" t="str">
        <f t="shared" si="8"/>
        <v>1D</v>
      </c>
      <c r="X39" s="168">
        <f>_xll.qlCalendarAdvance(Calendar,X38,W39,"f",FALSE)</f>
        <v>41871</v>
      </c>
      <c r="Y39" s="173">
        <f>_xll.qlCalendarAdvance(Calendar,X39,NDays&amp;"D")</f>
        <v>41871</v>
      </c>
      <c r="Z39" s="174">
        <v>6.68771836025428E-4</v>
      </c>
      <c r="AA39" s="177"/>
    </row>
    <row r="40" spans="13:27" x14ac:dyDescent="0.2">
      <c r="M40" s="167" t="e">
        <v>#N/A</v>
      </c>
      <c r="N40" s="167" t="e">
        <f>_xll.qlRateHelperQuoteName(M40)</f>
        <v>#VALUE!</v>
      </c>
      <c r="O40" s="168" t="e">
        <f>_xll.qlRateHelperLatestDate(M40,Trigger)</f>
        <v>#VALUE!</v>
      </c>
      <c r="P40" s="169" t="e">
        <f>_xll.qlRateHelperQuoteValue(M40,_xll.ohTrigger(RecalcTrigger,YieldCurve))</f>
        <v>#VALUE!</v>
      </c>
      <c r="Q40" s="170" t="e">
        <f t="shared" si="7"/>
        <v>#VALUE!</v>
      </c>
      <c r="R40" s="158" t="e">
        <f>_xll.qlMakeOIS(,IF(Q40="SW","1W",Q40),IborIndex,,"0D",MoneyMarketDayCounter,,,_xll.ohTrigger(RecalcTrigger,YieldCurve))</f>
        <v>#VALUE!</v>
      </c>
      <c r="S40" s="171" t="e">
        <f>_xll.qlOvernightIndexedSwapFairRate(R40,_xll.ohTrigger(RecalcTrigger,YieldCurve))</f>
        <v>#VALUE!</v>
      </c>
      <c r="T40" s="172" t="e">
        <f t="shared" si="6"/>
        <v>#VALUE!</v>
      </c>
      <c r="U40" s="178"/>
      <c r="V40" s="163"/>
      <c r="W40" s="158" t="str">
        <f t="shared" si="8"/>
        <v>1D</v>
      </c>
      <c r="X40" s="168">
        <f>_xll.qlCalendarAdvance(Calendar,X39,W40,"f",FALSE)</f>
        <v>41872</v>
      </c>
      <c r="Y40" s="173">
        <f>_xll.qlCalendarAdvance(Calendar,X40,NDays&amp;"D")</f>
        <v>41872</v>
      </c>
      <c r="Z40" s="174">
        <v>6.6869422294613123E-4</v>
      </c>
      <c r="AA40" s="177"/>
    </row>
    <row r="41" spans="13:27" x14ac:dyDescent="0.2">
      <c r="M41" s="167" t="e">
        <v>#N/A</v>
      </c>
      <c r="N41" s="167" t="e">
        <f>_xll.qlRateHelperQuoteName(M41)</f>
        <v>#VALUE!</v>
      </c>
      <c r="O41" s="168" t="e">
        <f>_xll.qlRateHelperLatestDate(M41,Trigger)</f>
        <v>#VALUE!</v>
      </c>
      <c r="P41" s="169" t="e">
        <f>_xll.qlRateHelperQuoteValue(M41,_xll.ohTrigger(RecalcTrigger,YieldCurve))</f>
        <v>#VALUE!</v>
      </c>
      <c r="Q41" s="170" t="e">
        <f t="shared" si="7"/>
        <v>#VALUE!</v>
      </c>
      <c r="R41" s="158" t="e">
        <f>_xll.qlMakeOIS(,IF(Q41="SW","1W",Q41),IborIndex,,"0D",MoneyMarketDayCounter,,,_xll.ohTrigger(RecalcTrigger,YieldCurve))</f>
        <v>#VALUE!</v>
      </c>
      <c r="S41" s="171" t="e">
        <f>_xll.qlOvernightIndexedSwapFairRate(R41,_xll.ohTrigger(RecalcTrigger,YieldCurve))</f>
        <v>#VALUE!</v>
      </c>
      <c r="T41" s="172" t="e">
        <f t="shared" si="6"/>
        <v>#VALUE!</v>
      </c>
      <c r="U41" s="178"/>
      <c r="V41" s="163"/>
      <c r="W41" s="158" t="str">
        <f t="shared" si="8"/>
        <v>1D</v>
      </c>
      <c r="X41" s="168">
        <f>_xll.qlCalendarAdvance(Calendar,X40,W41,"f",FALSE)</f>
        <v>41873</v>
      </c>
      <c r="Y41" s="173">
        <f>_xll.qlCalendarAdvance(Calendar,X41,NDays&amp;"D")</f>
        <v>41873</v>
      </c>
      <c r="Z41" s="174">
        <v>6.678741635561074E-4</v>
      </c>
      <c r="AA41" s="177"/>
    </row>
    <row r="42" spans="13:27" x14ac:dyDescent="0.2">
      <c r="M42" s="167" t="e">
        <v>#N/A</v>
      </c>
      <c r="N42" s="167" t="e">
        <f>_xll.qlRateHelperQuoteName(M42)</f>
        <v>#VALUE!</v>
      </c>
      <c r="O42" s="168" t="e">
        <f>_xll.qlRateHelperLatestDate(M42,Trigger)</f>
        <v>#VALUE!</v>
      </c>
      <c r="P42" s="169" t="e">
        <f>_xll.qlRateHelperQuoteValue(M42,_xll.ohTrigger(RecalcTrigger,YieldCurve))</f>
        <v>#VALUE!</v>
      </c>
      <c r="Q42" s="170" t="e">
        <f t="shared" si="7"/>
        <v>#VALUE!</v>
      </c>
      <c r="R42" s="158" t="e">
        <f>_xll.qlMakeOIS(,IF(Q42="SW","1W",Q42),IborIndex,,"0D",MoneyMarketDayCounter,,,_xll.ohTrigger(RecalcTrigger,YieldCurve))</f>
        <v>#VALUE!</v>
      </c>
      <c r="S42" s="171" t="e">
        <f>_xll.qlOvernightIndexedSwapFairRate(R42,_xll.ohTrigger(RecalcTrigger,YieldCurve))</f>
        <v>#VALUE!</v>
      </c>
      <c r="T42" s="172" t="e">
        <f t="shared" si="6"/>
        <v>#VALUE!</v>
      </c>
      <c r="U42" s="178"/>
      <c r="V42" s="163"/>
      <c r="W42" s="158" t="str">
        <f t="shared" si="8"/>
        <v>1D</v>
      </c>
      <c r="X42" s="168">
        <f>_xll.qlCalendarAdvance(Calendar,X41,W42,"f",FALSE)</f>
        <v>41876</v>
      </c>
      <c r="Y42" s="173">
        <f>_xll.qlCalendarAdvance(Calendar,X42,NDays&amp;"D")</f>
        <v>41876</v>
      </c>
      <c r="Z42" s="174">
        <v>6.6638560464404861E-4</v>
      </c>
      <c r="AA42" s="177"/>
    </row>
    <row r="43" spans="13:27" x14ac:dyDescent="0.2">
      <c r="M43" s="167" t="e">
        <v>#N/A</v>
      </c>
      <c r="N43" s="167" t="e">
        <f>_xll.qlRateHelperQuoteName(M43)</f>
        <v>#VALUE!</v>
      </c>
      <c r="O43" s="168" t="e">
        <f>_xll.qlRateHelperLatestDate(M43,Trigger)</f>
        <v>#VALUE!</v>
      </c>
      <c r="P43" s="169" t="e">
        <f>_xll.qlRateHelperQuoteValue(M43,_xll.ohTrigger(RecalcTrigger,YieldCurve))</f>
        <v>#VALUE!</v>
      </c>
      <c r="Q43" s="170" t="e">
        <f t="shared" si="7"/>
        <v>#VALUE!</v>
      </c>
      <c r="R43" s="158" t="e">
        <f>_xll.qlMakeOIS(,IF(Q43="SW","1W",Q43),IborIndex,,"0D",MoneyMarketDayCounter,,,_xll.ohTrigger(RecalcTrigger,YieldCurve))</f>
        <v>#VALUE!</v>
      </c>
      <c r="S43" s="171" t="e">
        <f>_xll.qlOvernightIndexedSwapFairRate(R43,_xll.ohTrigger(RecalcTrigger,YieldCurve))</f>
        <v>#VALUE!</v>
      </c>
      <c r="T43" s="172" t="e">
        <f t="shared" si="6"/>
        <v>#VALUE!</v>
      </c>
      <c r="U43" s="178"/>
      <c r="V43" s="163"/>
      <c r="W43" s="158" t="str">
        <f t="shared" si="8"/>
        <v>1D</v>
      </c>
      <c r="X43" s="168">
        <f>_xll.qlCalendarAdvance(Calendar,X42,W43,"f",FALSE)</f>
        <v>41877</v>
      </c>
      <c r="Y43" s="173">
        <f>_xll.qlCalendarAdvance(Calendar,X43,NDays&amp;"D")</f>
        <v>41877</v>
      </c>
      <c r="Z43" s="174">
        <v>6.6530890861282721E-4</v>
      </c>
      <c r="AA43" s="177"/>
    </row>
    <row r="44" spans="13:27" x14ac:dyDescent="0.2">
      <c r="M44" s="167" t="e">
        <v>#N/A</v>
      </c>
      <c r="N44" s="167" t="e">
        <f>_xll.qlRateHelperQuoteName(M44)</f>
        <v>#VALUE!</v>
      </c>
      <c r="O44" s="168" t="e">
        <f>_xll.qlRateHelperLatestDate(M44,Trigger)</f>
        <v>#VALUE!</v>
      </c>
      <c r="P44" s="169" t="e">
        <f>_xll.qlRateHelperQuoteValue(M44,_xll.ohTrigger(RecalcTrigger,YieldCurve))</f>
        <v>#VALUE!</v>
      </c>
      <c r="Q44" s="170" t="e">
        <f t="shared" si="7"/>
        <v>#VALUE!</v>
      </c>
      <c r="R44" s="158" t="e">
        <f>_xll.qlMakeOIS(,IF(Q44="SW","1W",Q44),IborIndex,,"0D",MoneyMarketDayCounter,,,_xll.ohTrigger(RecalcTrigger,YieldCurve))</f>
        <v>#VALUE!</v>
      </c>
      <c r="S44" s="171" t="e">
        <f>_xll.qlOvernightIndexedSwapFairRate(R44,_xll.ohTrigger(RecalcTrigger,YieldCurve))</f>
        <v>#VALUE!</v>
      </c>
      <c r="T44" s="172" t="e">
        <f t="shared" si="6"/>
        <v>#VALUE!</v>
      </c>
      <c r="U44" s="178"/>
      <c r="V44" s="163"/>
      <c r="W44" s="158" t="str">
        <f t="shared" si="8"/>
        <v>1D</v>
      </c>
      <c r="X44" s="168">
        <f>_xll.qlCalendarAdvance(Calendar,X43,W44,"f",FALSE)</f>
        <v>41878</v>
      </c>
      <c r="Y44" s="173">
        <f>_xll.qlCalendarAdvance(Calendar,X44,NDays&amp;"D")</f>
        <v>41878</v>
      </c>
      <c r="Z44" s="174">
        <v>6.6403239581291906E-4</v>
      </c>
      <c r="AA44" s="177"/>
    </row>
    <row r="45" spans="13:27" x14ac:dyDescent="0.2">
      <c r="M45" s="167" t="e">
        <v>#N/A</v>
      </c>
      <c r="N45" s="167" t="e">
        <f>_xll.qlRateHelperQuoteName(M45)</f>
        <v>#VALUE!</v>
      </c>
      <c r="O45" s="168" t="e">
        <f>_xll.qlRateHelperLatestDate(M45,Trigger)</f>
        <v>#VALUE!</v>
      </c>
      <c r="P45" s="169" t="e">
        <f>_xll.qlRateHelperQuoteValue(M45,_xll.ohTrigger(RecalcTrigger,YieldCurve))</f>
        <v>#VALUE!</v>
      </c>
      <c r="Q45" s="170" t="e">
        <f t="shared" si="7"/>
        <v>#VALUE!</v>
      </c>
      <c r="R45" s="158" t="e">
        <f>_xll.qlMakeOIS(,IF(Q45="SW","1W",Q45),IborIndex,,"0D",MoneyMarketDayCounter,,,_xll.ohTrigger(RecalcTrigger,YieldCurve))</f>
        <v>#VALUE!</v>
      </c>
      <c r="S45" s="171" t="e">
        <f>_xll.qlOvernightIndexedSwapFairRate(R45,_xll.ohTrigger(RecalcTrigger,YieldCurve))</f>
        <v>#VALUE!</v>
      </c>
      <c r="T45" s="172" t="e">
        <f t="shared" si="6"/>
        <v>#VALUE!</v>
      </c>
      <c r="U45" s="178"/>
      <c r="V45" s="163"/>
      <c r="W45" s="158" t="str">
        <f t="shared" si="8"/>
        <v>1D</v>
      </c>
      <c r="X45" s="168">
        <f>_xll.qlCalendarAdvance(Calendar,X44,W45,"f",FALSE)</f>
        <v>41879</v>
      </c>
      <c r="Y45" s="173">
        <f>_xll.qlCalendarAdvance(Calendar,X45,NDays&amp;"D")</f>
        <v>41879</v>
      </c>
      <c r="Z45" s="174">
        <v>6.6255606648746301E-4</v>
      </c>
      <c r="AA45" s="177"/>
    </row>
    <row r="46" spans="13:27" x14ac:dyDescent="0.2">
      <c r="M46" s="167" t="e">
        <v>#N/A</v>
      </c>
      <c r="N46" s="167" t="e">
        <f>_xll.qlRateHelperQuoteName(M46)</f>
        <v>#VALUE!</v>
      </c>
      <c r="O46" s="168" t="e">
        <f>_xll.qlRateHelperLatestDate(M46,Trigger)</f>
        <v>#VALUE!</v>
      </c>
      <c r="P46" s="169" t="e">
        <f>_xll.qlRateHelperQuoteValue(M46,_xll.ohTrigger(RecalcTrigger,YieldCurve))</f>
        <v>#VALUE!</v>
      </c>
      <c r="Q46" s="170" t="e">
        <f t="shared" si="7"/>
        <v>#VALUE!</v>
      </c>
      <c r="R46" s="158" t="e">
        <f>_xll.qlMakeOIS(,IF(Q46="SW","1W",Q46),IborIndex,,"0D",MoneyMarketDayCounter,,,_xll.ohTrigger(RecalcTrigger,YieldCurve))</f>
        <v>#VALUE!</v>
      </c>
      <c r="S46" s="171" t="e">
        <f>_xll.qlOvernightIndexedSwapFairRate(R46,_xll.ohTrigger(RecalcTrigger,YieldCurve))</f>
        <v>#VALUE!</v>
      </c>
      <c r="T46" s="172" t="e">
        <f t="shared" si="6"/>
        <v>#VALUE!</v>
      </c>
      <c r="U46" s="178"/>
      <c r="V46" s="163"/>
      <c r="W46" s="158" t="str">
        <f t="shared" si="8"/>
        <v>1D</v>
      </c>
      <c r="X46" s="168">
        <f>_xll.qlCalendarAdvance(Calendar,X45,W46,"f",FALSE)</f>
        <v>41880</v>
      </c>
      <c r="Y46" s="173">
        <f>_xll.qlCalendarAdvance(Calendar,X46,NDays&amp;"D")</f>
        <v>41880</v>
      </c>
      <c r="Z46" s="174">
        <v>6.5893854213257741E-4</v>
      </c>
      <c r="AA46" s="177"/>
    </row>
    <row r="47" spans="13:27" x14ac:dyDescent="0.2">
      <c r="M47" s="167" t="e">
        <v>#N/A</v>
      </c>
      <c r="N47" s="167" t="e">
        <f>_xll.qlRateHelperQuoteName(M47)</f>
        <v>#VALUE!</v>
      </c>
      <c r="O47" s="168" t="e">
        <f>_xll.qlRateHelperLatestDate(M47,Trigger)</f>
        <v>#VALUE!</v>
      </c>
      <c r="P47" s="169" t="e">
        <f>_xll.qlRateHelperQuoteValue(M47,_xll.ohTrigger(RecalcTrigger,YieldCurve))</f>
        <v>#VALUE!</v>
      </c>
      <c r="Q47" s="170" t="e">
        <f t="shared" ref="Q47:Q51" si="9">SUBSTITUTE(SUBSTITUTE(N47,"_Quote",""),"JPYOIS","")</f>
        <v>#VALUE!</v>
      </c>
      <c r="R47" s="158" t="e">
        <f>_xll.qlMakeOIS(,IF(Q47="SW","1W",Q47),IborIndex,,"0D",MoneyMarketDayCounter,,,_xll.ohTrigger(RecalcTrigger,YieldCurve))</f>
        <v>#VALUE!</v>
      </c>
      <c r="S47" s="171" t="e">
        <f>_xll.qlOvernightIndexedSwapFairRate(R47,_xll.ohTrigger(RecalcTrigger,YieldCurve))</f>
        <v>#VALUE!</v>
      </c>
      <c r="T47" s="172" t="e">
        <f t="shared" ref="T47:T51" si="10">S47-P47</f>
        <v>#VALUE!</v>
      </c>
      <c r="U47" s="178"/>
      <c r="V47" s="163"/>
      <c r="W47" s="158" t="str">
        <f t="shared" si="8"/>
        <v>1D</v>
      </c>
      <c r="X47" s="168">
        <f>_xll.qlCalendarAdvance(Calendar,X46,W47,"f",FALSE)</f>
        <v>41883</v>
      </c>
      <c r="Y47" s="173">
        <f>_xll.qlCalendarAdvance(Calendar,X47,NDays&amp;"D")</f>
        <v>41883</v>
      </c>
      <c r="Z47" s="174">
        <v>6.5465258328178955E-4</v>
      </c>
      <c r="AA47" s="177"/>
    </row>
    <row r="48" spans="13:27" x14ac:dyDescent="0.2">
      <c r="M48" s="167" t="e">
        <v>#N/A</v>
      </c>
      <c r="N48" s="167" t="e">
        <f>_xll.qlRateHelperQuoteName(M48)</f>
        <v>#VALUE!</v>
      </c>
      <c r="O48" s="168" t="e">
        <f>_xll.qlRateHelperLatestDate(M48,Trigger)</f>
        <v>#VALUE!</v>
      </c>
      <c r="P48" s="169" t="e">
        <f>_xll.qlRateHelperQuoteValue(M48,_xll.ohTrigger(RecalcTrigger,YieldCurve))</f>
        <v>#VALUE!</v>
      </c>
      <c r="Q48" s="170" t="e">
        <f t="shared" si="9"/>
        <v>#VALUE!</v>
      </c>
      <c r="R48" s="158" t="e">
        <f>_xll.qlMakeOIS(,IF(Q48="SW","1W",Q48),IborIndex,,"0D",MoneyMarketDayCounter,,,_xll.ohTrigger(RecalcTrigger,YieldCurve))</f>
        <v>#VALUE!</v>
      </c>
      <c r="S48" s="171" t="e">
        <f>_xll.qlOvernightIndexedSwapFairRate(R48,_xll.ohTrigger(RecalcTrigger,YieldCurve))</f>
        <v>#VALUE!</v>
      </c>
      <c r="T48" s="172" t="e">
        <f t="shared" si="10"/>
        <v>#VALUE!</v>
      </c>
      <c r="U48" s="178"/>
      <c r="V48" s="163"/>
      <c r="W48" s="158" t="str">
        <f t="shared" si="8"/>
        <v>1D</v>
      </c>
      <c r="X48" s="168">
        <f>_xll.qlCalendarAdvance(Calendar,X47,W48,"f",FALSE)</f>
        <v>41884</v>
      </c>
      <c r="Y48" s="173">
        <f>_xll.qlCalendarAdvance(Calendar,X48,NDays&amp;"D")</f>
        <v>41884</v>
      </c>
      <c r="Z48" s="174">
        <v>6.5217717092336258E-4</v>
      </c>
      <c r="AA48" s="177"/>
    </row>
    <row r="49" spans="13:27" x14ac:dyDescent="0.2">
      <c r="M49" s="167" t="e">
        <v>#N/A</v>
      </c>
      <c r="N49" s="167" t="e">
        <f>_xll.qlRateHelperQuoteName(M49)</f>
        <v>#VALUE!</v>
      </c>
      <c r="O49" s="168" t="e">
        <f>_xll.qlRateHelperLatestDate(M49,Trigger)</f>
        <v>#VALUE!</v>
      </c>
      <c r="P49" s="169" t="e">
        <f>_xll.qlRateHelperQuoteValue(M49,_xll.ohTrigger(RecalcTrigger,YieldCurve))</f>
        <v>#VALUE!</v>
      </c>
      <c r="Q49" s="170" t="e">
        <f t="shared" si="9"/>
        <v>#VALUE!</v>
      </c>
      <c r="R49" s="158" t="e">
        <f>_xll.qlMakeOIS(,IF(Q49="SW","1W",Q49),IborIndex,,"0D",MoneyMarketDayCounter,,,_xll.ohTrigger(RecalcTrigger,YieldCurve))</f>
        <v>#VALUE!</v>
      </c>
      <c r="S49" s="171" t="e">
        <f>_xll.qlOvernightIndexedSwapFairRate(R49,_xll.ohTrigger(RecalcTrigger,YieldCurve))</f>
        <v>#VALUE!</v>
      </c>
      <c r="T49" s="172" t="e">
        <f t="shared" si="10"/>
        <v>#VALUE!</v>
      </c>
      <c r="U49" s="178"/>
      <c r="V49" s="163"/>
      <c r="W49" s="158" t="str">
        <f t="shared" si="8"/>
        <v>1D</v>
      </c>
      <c r="X49" s="168">
        <f>_xll.qlCalendarAdvance(Calendar,X48,W49,"f",FALSE)</f>
        <v>41885</v>
      </c>
      <c r="Y49" s="173">
        <f>_xll.qlCalendarAdvance(Calendar,X49,NDays&amp;"D")</f>
        <v>41885</v>
      </c>
      <c r="Z49" s="174">
        <v>6.4950194203938771E-4</v>
      </c>
      <c r="AA49" s="177"/>
    </row>
    <row r="50" spans="13:27" x14ac:dyDescent="0.2">
      <c r="M50" s="167" t="e">
        <v>#N/A</v>
      </c>
      <c r="N50" s="167" t="e">
        <f>_xll.qlRateHelperQuoteName(M50)</f>
        <v>#VALUE!</v>
      </c>
      <c r="O50" s="168" t="e">
        <f>_xll.qlRateHelperLatestDate(M50,Trigger)</f>
        <v>#VALUE!</v>
      </c>
      <c r="P50" s="169" t="e">
        <f>_xll.qlRateHelperQuoteValue(M50,_xll.ohTrigger(RecalcTrigger,YieldCurve))</f>
        <v>#VALUE!</v>
      </c>
      <c r="Q50" s="170" t="e">
        <f t="shared" si="9"/>
        <v>#VALUE!</v>
      </c>
      <c r="R50" s="158" t="e">
        <f>_xll.qlMakeOIS(,IF(Q50="SW","1W",Q50),IborIndex,,"0D",MoneyMarketDayCounter,,,_xll.ohTrigger(RecalcTrigger,YieldCurve))</f>
        <v>#VALUE!</v>
      </c>
      <c r="S50" s="171" t="e">
        <f>_xll.qlOvernightIndexedSwapFairRate(R50,_xll.ohTrigger(RecalcTrigger,YieldCurve))</f>
        <v>#VALUE!</v>
      </c>
      <c r="T50" s="172" t="e">
        <f t="shared" si="10"/>
        <v>#VALUE!</v>
      </c>
      <c r="U50" s="178"/>
      <c r="V50" s="163"/>
      <c r="W50" s="158" t="str">
        <f t="shared" si="8"/>
        <v>1D</v>
      </c>
      <c r="X50" s="168">
        <f>_xll.qlCalendarAdvance(Calendar,X49,W50,"f",FALSE)</f>
        <v>41886</v>
      </c>
      <c r="Y50" s="173">
        <f>_xll.qlCalendarAdvance(Calendar,X50,NDays&amp;"D")</f>
        <v>41886</v>
      </c>
      <c r="Z50" s="174">
        <v>6.4662689662986494E-4</v>
      </c>
      <c r="AA50" s="177"/>
    </row>
    <row r="51" spans="13:27" x14ac:dyDescent="0.2">
      <c r="M51" s="167" t="e">
        <v>#N/A</v>
      </c>
      <c r="N51" s="167" t="e">
        <f>_xll.qlRateHelperQuoteName(M51)</f>
        <v>#VALUE!</v>
      </c>
      <c r="O51" s="168" t="e">
        <f>_xll.qlRateHelperLatestDate(M51,Trigger)</f>
        <v>#VALUE!</v>
      </c>
      <c r="P51" s="169" t="e">
        <f>_xll.qlRateHelperQuoteValue(M51,_xll.ohTrigger(RecalcTrigger,YieldCurve))</f>
        <v>#VALUE!</v>
      </c>
      <c r="Q51" s="170" t="e">
        <f t="shared" si="9"/>
        <v>#VALUE!</v>
      </c>
      <c r="R51" s="158" t="e">
        <f>_xll.qlMakeOIS(,IF(Q51="SW","1W",Q51),IborIndex,,"0D",MoneyMarketDayCounter,,,_xll.ohTrigger(RecalcTrigger,YieldCurve))</f>
        <v>#VALUE!</v>
      </c>
      <c r="S51" s="171" t="e">
        <f>_xll.qlOvernightIndexedSwapFairRate(R51,_xll.ohTrigger(RecalcTrigger,YieldCurve))</f>
        <v>#VALUE!</v>
      </c>
      <c r="T51" s="172" t="e">
        <f t="shared" si="10"/>
        <v>#VALUE!</v>
      </c>
      <c r="U51" s="178"/>
      <c r="V51" s="163"/>
      <c r="W51" s="158" t="str">
        <f t="shared" si="8"/>
        <v>1D</v>
      </c>
      <c r="X51" s="168">
        <f>_xll.qlCalendarAdvance(Calendar,X50,W51,"f",FALSE)</f>
        <v>41887</v>
      </c>
      <c r="Y51" s="173">
        <f>_xll.qlCalendarAdvance(Calendar,X51,NDays&amp;"D")</f>
        <v>41887</v>
      </c>
      <c r="Z51" s="174">
        <v>6.4021187335172602E-4</v>
      </c>
      <c r="AA51" s="177"/>
    </row>
    <row r="52" spans="13:27" ht="12" thickBot="1" x14ac:dyDescent="0.25">
      <c r="M52" s="167" t="e">
        <v>#N/A</v>
      </c>
      <c r="N52" s="167" t="e">
        <f>_xll.qlRateHelperQuoteName(M52)</f>
        <v>#VALUE!</v>
      </c>
      <c r="O52" s="168" t="e">
        <f>_xll.qlRateHelperLatestDate(M52,Trigger)</f>
        <v>#VALUE!</v>
      </c>
      <c r="P52" s="169" t="e">
        <f>_xll.qlRateHelperQuoteValue(M52,_xll.ohTrigger(RecalcTrigger,YieldCurve))</f>
        <v>#VALUE!</v>
      </c>
      <c r="Q52" s="170" t="e">
        <f t="shared" ref="Q52" si="11">SUBSTITUTE(SUBSTITUTE(N52,"_Quote",""),"JPYOIS","")</f>
        <v>#VALUE!</v>
      </c>
      <c r="R52" s="158" t="e">
        <f>_xll.qlMakeOIS(,IF(Q52="SW","1W",Q52),IborIndex,,"0D",MoneyMarketDayCounter,,,_xll.ohTrigger(RecalcTrigger,YieldCurve))</f>
        <v>#VALUE!</v>
      </c>
      <c r="S52" s="171" t="e">
        <f>_xll.qlOvernightIndexedSwapFairRate(R52,_xll.ohTrigger(RecalcTrigger,YieldCurve))</f>
        <v>#VALUE!</v>
      </c>
      <c r="T52" s="172" t="e">
        <f t="shared" ref="T52" si="12">S52-P52</f>
        <v>#VALUE!</v>
      </c>
      <c r="U52" s="178"/>
      <c r="V52" s="163"/>
      <c r="W52" s="158" t="str">
        <f t="shared" si="8"/>
        <v>1D</v>
      </c>
      <c r="X52" s="168">
        <f>_xll.qlCalendarAdvance(Calendar,X51,W52,"f",FALSE)</f>
        <v>41890</v>
      </c>
      <c r="Y52" s="173">
        <f>_xll.qlCalendarAdvance(Calendar,X52,NDays&amp;"D")</f>
        <v>41890</v>
      </c>
      <c r="Z52" s="174">
        <v>6.3312854900687832E-4</v>
      </c>
      <c r="AA52" s="177"/>
    </row>
    <row r="53" spans="13:27" x14ac:dyDescent="0.2">
      <c r="M53" s="179"/>
      <c r="N53" s="179"/>
      <c r="O53" s="179"/>
      <c r="P53" s="179"/>
      <c r="Q53" s="179"/>
      <c r="R53" s="179"/>
      <c r="S53" s="179"/>
      <c r="T53" s="180"/>
      <c r="U53" s="178"/>
      <c r="V53" s="163"/>
      <c r="W53" s="158" t="str">
        <f t="shared" si="8"/>
        <v>1D</v>
      </c>
      <c r="X53" s="168">
        <f>_xll.qlCalendarAdvance(Calendar,X52,W53,"f",FALSE)</f>
        <v>41891</v>
      </c>
      <c r="Y53" s="173">
        <f>_xll.qlCalendarAdvance(Calendar,X53,NDays&amp;"D")</f>
        <v>41891</v>
      </c>
      <c r="Z53" s="174">
        <v>6.2925442072647719E-4</v>
      </c>
      <c r="AA53" s="177"/>
    </row>
    <row r="54" spans="13:27" x14ac:dyDescent="0.2">
      <c r="U54" s="178"/>
      <c r="V54" s="163"/>
      <c r="W54" s="158" t="str">
        <f t="shared" si="8"/>
        <v>1D</v>
      </c>
      <c r="X54" s="168">
        <f>_xll.qlCalendarAdvance(Calendar,X53,W54,"f",FALSE)</f>
        <v>41892</v>
      </c>
      <c r="Y54" s="173">
        <f>_xll.qlCalendarAdvance(Calendar,X54,NDays&amp;"D")</f>
        <v>41892</v>
      </c>
      <c r="Z54" s="174">
        <v>6.2518047583948189E-4</v>
      </c>
      <c r="AA54" s="177"/>
    </row>
    <row r="55" spans="13:27" x14ac:dyDescent="0.2">
      <c r="U55" s="178"/>
      <c r="V55" s="163"/>
      <c r="W55" s="158" t="str">
        <f t="shared" si="8"/>
        <v>1D</v>
      </c>
      <c r="X55" s="168">
        <f>_xll.qlCalendarAdvance(Calendar,X54,W55,"f",FALSE)</f>
        <v>41893</v>
      </c>
      <c r="Y55" s="173">
        <f>_xll.qlCalendarAdvance(Calendar,X55,NDays&amp;"D")</f>
        <v>41893</v>
      </c>
      <c r="Z55" s="174">
        <v>6.2090671450798496E-4</v>
      </c>
      <c r="AA55" s="177"/>
    </row>
    <row r="56" spans="13:27" x14ac:dyDescent="0.2">
      <c r="U56" s="178"/>
      <c r="V56" s="163"/>
      <c r="W56" s="158" t="str">
        <f t="shared" si="8"/>
        <v>1D</v>
      </c>
      <c r="X56" s="168">
        <f>_xll.qlCalendarAdvance(Calendar,X55,W56,"f",FALSE)</f>
        <v>41894</v>
      </c>
      <c r="Y56" s="173">
        <f>_xll.qlCalendarAdvance(Calendar,X56,NDays&amp;"D")</f>
        <v>41894</v>
      </c>
      <c r="Z56" s="174">
        <v>6.0922475361963047E-4</v>
      </c>
      <c r="AA56" s="177"/>
    </row>
    <row r="57" spans="13:27" x14ac:dyDescent="0.2">
      <c r="U57" s="178"/>
      <c r="V57" s="163"/>
      <c r="W57" s="158" t="str">
        <f t="shared" si="8"/>
        <v>1D</v>
      </c>
      <c r="X57" s="168">
        <f>_xll.qlCalendarAdvance(Calendar,X56,W57,"f",FALSE)</f>
        <v>41898</v>
      </c>
      <c r="Y57" s="173">
        <f>_xll.qlCalendarAdvance(Calendar,X57,NDays&amp;"D")</f>
        <v>41898</v>
      </c>
      <c r="Z57" s="174">
        <v>5.9662803118087915E-4</v>
      </c>
      <c r="AA57" s="177"/>
    </row>
    <row r="58" spans="13:27" x14ac:dyDescent="0.2">
      <c r="U58" s="178"/>
      <c r="V58" s="163"/>
      <c r="W58" s="158" t="str">
        <f t="shared" si="8"/>
        <v>1D</v>
      </c>
      <c r="X58" s="168">
        <f>_xll.qlCalendarAdvance(Calendar,X57,W58,"f",FALSE)</f>
        <v>41899</v>
      </c>
      <c r="Y58" s="173">
        <f>_xll.qlCalendarAdvance(Calendar,X58,NDays&amp;"D")</f>
        <v>41899</v>
      </c>
      <c r="Z58" s="174">
        <v>5.9167960000383601E-4</v>
      </c>
      <c r="AA58" s="177"/>
    </row>
    <row r="59" spans="13:27" x14ac:dyDescent="0.2">
      <c r="U59" s="178"/>
      <c r="V59" s="163"/>
      <c r="W59" s="158" t="str">
        <f t="shared" si="8"/>
        <v>1D</v>
      </c>
      <c r="X59" s="168">
        <f>_xll.qlCalendarAdvance(Calendar,X58,W59,"f",FALSE)</f>
        <v>41900</v>
      </c>
      <c r="Y59" s="173">
        <f>_xll.qlCalendarAdvance(Calendar,X59,NDays&amp;"D")</f>
        <v>41900</v>
      </c>
      <c r="Z59" s="174">
        <v>5.8705558160898619E-4</v>
      </c>
      <c r="AA59" s="177"/>
    </row>
    <row r="60" spans="13:27" x14ac:dyDescent="0.2">
      <c r="U60" s="178"/>
      <c r="V60" s="163"/>
      <c r="W60" s="158" t="str">
        <f t="shared" si="8"/>
        <v>1D</v>
      </c>
      <c r="X60" s="168">
        <f>_xll.qlCalendarAdvance(Calendar,X59,W60,"f",FALSE)</f>
        <v>41901</v>
      </c>
      <c r="Y60" s="173">
        <f>_xll.qlCalendarAdvance(Calendar,X60,NDays&amp;"D")</f>
        <v>41901</v>
      </c>
      <c r="Z60" s="174">
        <v>5.7888983858204557E-4</v>
      </c>
      <c r="AA60" s="177"/>
    </row>
    <row r="61" spans="13:27" x14ac:dyDescent="0.2">
      <c r="U61" s="178"/>
      <c r="V61" s="163"/>
      <c r="W61" s="158" t="str">
        <f t="shared" si="8"/>
        <v>1D</v>
      </c>
      <c r="X61" s="168">
        <f>_xll.qlCalendarAdvance(Calendar,X60,W61,"f",FALSE)</f>
        <v>41904</v>
      </c>
      <c r="Y61" s="173">
        <f>_xll.qlCalendarAdvance(Calendar,X61,NDays&amp;"D")</f>
        <v>41904</v>
      </c>
      <c r="Z61" s="174">
        <v>5.7030310331052103E-4</v>
      </c>
      <c r="AA61" s="177"/>
    </row>
    <row r="62" spans="13:27" x14ac:dyDescent="0.2">
      <c r="U62" s="178"/>
      <c r="V62" s="163"/>
      <c r="W62" s="158" t="str">
        <f t="shared" si="8"/>
        <v>1D</v>
      </c>
      <c r="X62" s="168">
        <f>_xll.qlCalendarAdvance(Calendar,X61,W62,"f",FALSE)</f>
        <v>41906</v>
      </c>
      <c r="Y62" s="173">
        <f>_xll.qlCalendarAdvance(Calendar,X62,NDays&amp;"D")</f>
        <v>41906</v>
      </c>
      <c r="Z62" s="174">
        <v>5.6612413828815988E-4</v>
      </c>
      <c r="AA62" s="177"/>
    </row>
    <row r="63" spans="13:27" x14ac:dyDescent="0.2">
      <c r="U63" s="178"/>
      <c r="V63" s="163"/>
      <c r="W63" s="158" t="str">
        <f t="shared" si="8"/>
        <v>1D</v>
      </c>
      <c r="X63" s="168">
        <f>_xll.qlCalendarAdvance(Calendar,X62,W63,"f",FALSE)</f>
        <v>41907</v>
      </c>
      <c r="Y63" s="173">
        <f>_xll.qlCalendarAdvance(Calendar,X63,NDays&amp;"D")</f>
        <v>41907</v>
      </c>
      <c r="Z63" s="174">
        <v>5.637710089634318E-4</v>
      </c>
      <c r="AA63" s="177"/>
    </row>
    <row r="64" spans="13:27" x14ac:dyDescent="0.2">
      <c r="U64" s="178"/>
      <c r="V64" s="163"/>
      <c r="W64" s="158" t="str">
        <f t="shared" si="8"/>
        <v>1D</v>
      </c>
      <c r="X64" s="168">
        <f>_xll.qlCalendarAdvance(Calendar,X63,W64,"f",FALSE)</f>
        <v>41908</v>
      </c>
      <c r="Y64" s="173">
        <f>_xll.qlCalendarAdvance(Calendar,X64,NDays&amp;"D")</f>
        <v>41908</v>
      </c>
      <c r="Z64" s="174">
        <v>5.6014698534519647E-4</v>
      </c>
      <c r="AA64" s="177"/>
    </row>
    <row r="65" spans="21:27" x14ac:dyDescent="0.2">
      <c r="U65" s="178"/>
      <c r="V65" s="163"/>
      <c r="W65" s="158" t="str">
        <f t="shared" si="8"/>
        <v>1D</v>
      </c>
      <c r="X65" s="168">
        <f>_xll.qlCalendarAdvance(Calendar,X64,W65,"f",FALSE)</f>
        <v>41911</v>
      </c>
      <c r="Y65" s="173">
        <f>_xll.qlCalendarAdvance(Calendar,X65,NDays&amp;"D")</f>
        <v>41911</v>
      </c>
      <c r="Z65" s="174">
        <v>5.5760261818971202E-4</v>
      </c>
      <c r="AA65" s="177"/>
    </row>
    <row r="66" spans="21:27" x14ac:dyDescent="0.2">
      <c r="U66" s="178"/>
      <c r="V66" s="163"/>
      <c r="W66" s="158" t="str">
        <f t="shared" si="8"/>
        <v>1D</v>
      </c>
      <c r="X66" s="168">
        <f>_xll.qlCalendarAdvance(Calendar,X65,W66,"f",FALSE)</f>
        <v>41912</v>
      </c>
      <c r="Y66" s="173">
        <f>_xll.qlCalendarAdvance(Calendar,X66,NDays&amp;"D")</f>
        <v>41912</v>
      </c>
      <c r="Z66" s="174">
        <v>5.5687155212758022E-4</v>
      </c>
      <c r="AA66" s="177"/>
    </row>
    <row r="67" spans="21:27" x14ac:dyDescent="0.2">
      <c r="V67" s="163"/>
      <c r="W67" s="158" t="str">
        <f t="shared" si="8"/>
        <v>1D</v>
      </c>
      <c r="X67" s="168">
        <f>_xll.qlCalendarAdvance(Calendar,X66,W67,"f",FALSE)</f>
        <v>41913</v>
      </c>
      <c r="Y67" s="173">
        <f>_xll.qlCalendarAdvance(Calendar,X67,NDays&amp;"D")</f>
        <v>41913</v>
      </c>
      <c r="Z67" s="174">
        <v>5.5646489884764172E-4</v>
      </c>
      <c r="AA67" s="177"/>
    </row>
    <row r="68" spans="21:27" x14ac:dyDescent="0.2">
      <c r="V68" s="163"/>
      <c r="W68" s="158" t="str">
        <f t="shared" si="8"/>
        <v>1D</v>
      </c>
      <c r="X68" s="168">
        <f>_xll.qlCalendarAdvance(Calendar,X67,W68,"f",FALSE)</f>
        <v>41914</v>
      </c>
      <c r="Y68" s="173">
        <f>_xll.qlCalendarAdvance(Calendar,X68,NDays&amp;"D")</f>
        <v>41914</v>
      </c>
      <c r="Z68" s="174">
        <v>5.5638265818780397E-4</v>
      </c>
      <c r="AA68" s="177"/>
    </row>
    <row r="69" spans="21:27" x14ac:dyDescent="0.2">
      <c r="V69" s="163"/>
      <c r="W69" s="158" t="str">
        <f t="shared" si="8"/>
        <v>1D</v>
      </c>
      <c r="X69" s="168">
        <f>_xll.qlCalendarAdvance(Calendar,X68,W69,"f",FALSE)</f>
        <v>41915</v>
      </c>
      <c r="Y69" s="173">
        <f>_xll.qlCalendarAdvance(Calendar,X69,NDays&amp;"D")</f>
        <v>41915</v>
      </c>
      <c r="Z69" s="174">
        <v>5.5730040336247444E-4</v>
      </c>
      <c r="AA69" s="177"/>
    </row>
    <row r="70" spans="21:27" x14ac:dyDescent="0.2">
      <c r="V70" s="163"/>
      <c r="W70" s="158" t="str">
        <f t="shared" si="8"/>
        <v>1D</v>
      </c>
      <c r="X70" s="168">
        <f>_xll.qlCalendarAdvance(Calendar,X69,W70,"f",FALSE)</f>
        <v>41918</v>
      </c>
      <c r="Y70" s="173">
        <f>_xll.qlCalendarAdvance(Calendar,X70,NDays&amp;"D")</f>
        <v>41918</v>
      </c>
      <c r="Z70" s="174">
        <v>5.592978222357381E-4</v>
      </c>
      <c r="AA70" s="177"/>
    </row>
    <row r="71" spans="21:27" x14ac:dyDescent="0.2">
      <c r="V71" s="163"/>
      <c r="W71" s="158" t="str">
        <f t="shared" si="8"/>
        <v>1D</v>
      </c>
      <c r="X71" s="168">
        <f>_xll.qlCalendarAdvance(Calendar,X70,W71,"f",FALSE)</f>
        <v>41919</v>
      </c>
      <c r="Y71" s="173">
        <f>_xll.qlCalendarAdvance(Calendar,X71,NDays&amp;"D")</f>
        <v>41919</v>
      </c>
      <c r="Z71" s="174">
        <v>5.6083764500058919E-4</v>
      </c>
      <c r="AA71" s="177"/>
    </row>
    <row r="72" spans="21:27" x14ac:dyDescent="0.2">
      <c r="V72" s="163"/>
      <c r="W72" s="158" t="str">
        <f t="shared" si="8"/>
        <v>1D</v>
      </c>
      <c r="X72" s="168">
        <f>_xll.qlCalendarAdvance(Calendar,X71,W72,"f",FALSE)</f>
        <v>41920</v>
      </c>
      <c r="Y72" s="173">
        <f>_xll.qlCalendarAdvance(Calendar,X72,NDays&amp;"D")</f>
        <v>41920</v>
      </c>
      <c r="Z72" s="174">
        <v>5.6270188038554103E-4</v>
      </c>
      <c r="AA72" s="177"/>
    </row>
    <row r="73" spans="21:27" x14ac:dyDescent="0.2">
      <c r="V73" s="163"/>
      <c r="W73" s="158" t="str">
        <f t="shared" si="8"/>
        <v>1D</v>
      </c>
      <c r="X73" s="168">
        <f>_xll.qlCalendarAdvance(Calendar,X72,W73,"f",FALSE)</f>
        <v>41921</v>
      </c>
      <c r="Y73" s="173">
        <f>_xll.qlCalendarAdvance(Calendar,X73,NDays&amp;"D")</f>
        <v>41921</v>
      </c>
      <c r="Z73" s="174">
        <v>5.648905284716399E-4</v>
      </c>
      <c r="AA73" s="177"/>
    </row>
    <row r="74" spans="21:27" x14ac:dyDescent="0.2">
      <c r="V74" s="163"/>
      <c r="W74" s="158" t="str">
        <f t="shared" si="8"/>
        <v>1D</v>
      </c>
      <c r="X74" s="168">
        <f>_xll.qlCalendarAdvance(Calendar,X73,W74,"f",FALSE)</f>
        <v>41922</v>
      </c>
      <c r="Y74" s="173">
        <f>_xll.qlCalendarAdvance(Calendar,X74,NDays&amp;"D")</f>
        <v>41922</v>
      </c>
      <c r="Z74" s="174">
        <v>5.7198555666937434E-4</v>
      </c>
      <c r="AA74" s="177"/>
    </row>
    <row r="75" spans="21:27" x14ac:dyDescent="0.2">
      <c r="V75" s="163"/>
      <c r="W75" s="158" t="str">
        <f t="shared" si="8"/>
        <v>1D</v>
      </c>
      <c r="X75" s="168">
        <f>_xll.qlCalendarAdvance(Calendar,X74,W75,"f",FALSE)</f>
        <v>41926</v>
      </c>
      <c r="Y75" s="173">
        <f>_xll.qlCalendarAdvance(Calendar,X75,NDays&amp;"D")</f>
        <v>41926</v>
      </c>
      <c r="Z75" s="174">
        <v>5.8063244519290791E-4</v>
      </c>
      <c r="AA75" s="177"/>
    </row>
    <row r="76" spans="21:27" x14ac:dyDescent="0.2">
      <c r="V76" s="163"/>
      <c r="W76" s="158" t="str">
        <f t="shared" si="8"/>
        <v>1D</v>
      </c>
      <c r="X76" s="168">
        <f>_xll.qlCalendarAdvance(Calendar,X75,W76,"f",FALSE)</f>
        <v>41927</v>
      </c>
      <c r="Y76" s="173">
        <f>_xll.qlCalendarAdvance(Calendar,X76,NDays&amp;"D")</f>
        <v>41927</v>
      </c>
      <c r="Z76" s="174">
        <v>5.843624842893913E-4</v>
      </c>
      <c r="AA76" s="177"/>
    </row>
    <row r="77" spans="21:27" x14ac:dyDescent="0.2">
      <c r="V77" s="163"/>
      <c r="W77" s="158" t="str">
        <f t="shared" ref="W77:W140" si="13">W76</f>
        <v>1D</v>
      </c>
      <c r="X77" s="168">
        <f>_xll.qlCalendarAdvance(Calendar,X76,W77,"f",FALSE)</f>
        <v>41928</v>
      </c>
      <c r="Y77" s="173">
        <f>_xll.qlCalendarAdvance(Calendar,X77,NDays&amp;"D")</f>
        <v>41928</v>
      </c>
      <c r="Z77" s="174">
        <v>5.8801185080947782E-4</v>
      </c>
      <c r="AA77" s="177"/>
    </row>
    <row r="78" spans="21:27" x14ac:dyDescent="0.2">
      <c r="V78" s="163"/>
      <c r="W78" s="158" t="str">
        <f t="shared" si="13"/>
        <v>1D</v>
      </c>
      <c r="X78" s="168">
        <f>_xll.qlCalendarAdvance(Calendar,X77,W78,"f",FALSE)</f>
        <v>41929</v>
      </c>
      <c r="Y78" s="173">
        <f>_xll.qlCalendarAdvance(Calendar,X78,NDays&amp;"D")</f>
        <v>41929</v>
      </c>
      <c r="Z78" s="174">
        <v>5.9504264552071961E-4</v>
      </c>
      <c r="AA78" s="177"/>
    </row>
    <row r="79" spans="21:27" x14ac:dyDescent="0.2">
      <c r="V79" s="163"/>
      <c r="W79" s="158" t="str">
        <f t="shared" si="13"/>
        <v>1D</v>
      </c>
      <c r="X79" s="168">
        <f>_xll.qlCalendarAdvance(Calendar,X78,W79,"f",FALSE)</f>
        <v>41932</v>
      </c>
      <c r="Y79" s="173">
        <f>_xll.qlCalendarAdvance(Calendar,X79,NDays&amp;"D")</f>
        <v>41932</v>
      </c>
      <c r="Z79" s="174">
        <v>6.0180259161213279E-4</v>
      </c>
      <c r="AA79" s="177"/>
    </row>
    <row r="80" spans="21:27" x14ac:dyDescent="0.2">
      <c r="V80" s="163"/>
      <c r="W80" s="158" t="str">
        <f t="shared" si="13"/>
        <v>1D</v>
      </c>
      <c r="X80" s="168">
        <f>_xll.qlCalendarAdvance(Calendar,X79,W80,"f",FALSE)</f>
        <v>41933</v>
      </c>
      <c r="Y80" s="173">
        <f>_xll.qlCalendarAdvance(Calendar,X80,NDays&amp;"D")</f>
        <v>41933</v>
      </c>
      <c r="Z80" s="174">
        <v>6.0504859549337375E-4</v>
      </c>
      <c r="AA80" s="177"/>
    </row>
    <row r="81" spans="22:27" x14ac:dyDescent="0.2">
      <c r="V81" s="163"/>
      <c r="W81" s="158" t="str">
        <f t="shared" si="13"/>
        <v>1D</v>
      </c>
      <c r="X81" s="168">
        <f>_xll.qlCalendarAdvance(Calendar,X80,W81,"f",FALSE)</f>
        <v>41934</v>
      </c>
      <c r="Y81" s="173">
        <f>_xll.qlCalendarAdvance(Calendar,X81,NDays&amp;"D")</f>
        <v>41934</v>
      </c>
      <c r="Z81" s="174">
        <v>6.0821392671717156E-4</v>
      </c>
      <c r="AA81" s="177"/>
    </row>
    <row r="82" spans="22:27" x14ac:dyDescent="0.2">
      <c r="V82" s="163"/>
      <c r="W82" s="158" t="str">
        <f t="shared" si="13"/>
        <v>1D</v>
      </c>
      <c r="X82" s="168">
        <f>_xll.qlCalendarAdvance(Calendar,X81,W82,"f",FALSE)</f>
        <v>41935</v>
      </c>
      <c r="Y82" s="173">
        <f>_xll.qlCalendarAdvance(Calendar,X82,NDays&amp;"D")</f>
        <v>41935</v>
      </c>
      <c r="Z82" s="174">
        <v>6.1129858544561877E-4</v>
      </c>
      <c r="AA82" s="177"/>
    </row>
    <row r="83" spans="22:27" x14ac:dyDescent="0.2">
      <c r="V83" s="163"/>
      <c r="W83" s="158" t="str">
        <f t="shared" si="13"/>
        <v>1D</v>
      </c>
      <c r="X83" s="168">
        <f>_xll.qlCalendarAdvance(Calendar,X82,W83,"f",FALSE)</f>
        <v>41936</v>
      </c>
      <c r="Y83" s="173">
        <f>_xll.qlCalendarAdvance(Calendar,X83,NDays&amp;"D")</f>
        <v>41936</v>
      </c>
      <c r="Z83" s="174">
        <v>6.1720003805554324E-4</v>
      </c>
      <c r="AA83" s="177"/>
    </row>
    <row r="84" spans="22:27" x14ac:dyDescent="0.2">
      <c r="V84" s="163"/>
      <c r="W84" s="158" t="str">
        <f t="shared" si="13"/>
        <v>1D</v>
      </c>
      <c r="X84" s="168">
        <f>_xll.qlCalendarAdvance(Calendar,X83,W84,"f",FALSE)</f>
        <v>41939</v>
      </c>
      <c r="Y84" s="173">
        <f>_xll.qlCalendarAdvance(Calendar,X84,NDays&amp;"D")</f>
        <v>41939</v>
      </c>
      <c r="Z84" s="174">
        <v>6.2283049483857766E-4</v>
      </c>
      <c r="AA84" s="177"/>
    </row>
    <row r="85" spans="22:27" x14ac:dyDescent="0.2">
      <c r="V85" s="163"/>
      <c r="W85" s="158" t="str">
        <f t="shared" si="13"/>
        <v>1D</v>
      </c>
      <c r="X85" s="168">
        <f>_xll.qlCalendarAdvance(Calendar,X84,W85,"f",FALSE)</f>
        <v>41940</v>
      </c>
      <c r="Y85" s="173">
        <f>_xll.qlCalendarAdvance(Calendar,X85,NDays&amp;"D")</f>
        <v>41940</v>
      </c>
      <c r="Z85" s="174">
        <v>6.2551179076608676E-4</v>
      </c>
      <c r="AA85" s="177"/>
    </row>
    <row r="86" spans="22:27" x14ac:dyDescent="0.2">
      <c r="V86" s="163"/>
      <c r="W86" s="158" t="str">
        <f t="shared" si="13"/>
        <v>1D</v>
      </c>
      <c r="X86" s="168">
        <f>_xll.qlCalendarAdvance(Calendar,X85,W86,"f",FALSE)</f>
        <v>41941</v>
      </c>
      <c r="Y86" s="173">
        <f>_xll.qlCalendarAdvance(Calendar,X86,NDays&amp;"D")</f>
        <v>41941</v>
      </c>
      <c r="Z86" s="174">
        <v>6.2811241419824526E-4</v>
      </c>
      <c r="AA86" s="177"/>
    </row>
    <row r="87" spans="22:27" x14ac:dyDescent="0.2">
      <c r="V87" s="163"/>
      <c r="W87" s="158" t="str">
        <f t="shared" si="13"/>
        <v>1D</v>
      </c>
      <c r="X87" s="168">
        <f>_xll.qlCalendarAdvance(Calendar,X86,W87,"f",FALSE)</f>
        <v>41942</v>
      </c>
      <c r="Y87" s="173">
        <f>_xll.qlCalendarAdvance(Calendar,X87,NDays&amp;"D")</f>
        <v>41942</v>
      </c>
      <c r="Z87" s="174">
        <v>6.306323649729606E-4</v>
      </c>
      <c r="AA87" s="177"/>
    </row>
    <row r="88" spans="22:27" x14ac:dyDescent="0.2">
      <c r="V88" s="163"/>
      <c r="W88" s="158" t="str">
        <f t="shared" si="13"/>
        <v>1D</v>
      </c>
      <c r="X88" s="168">
        <f>_xll.qlCalendarAdvance(Calendar,X87,W88,"f",FALSE)</f>
        <v>41943</v>
      </c>
      <c r="Y88" s="173">
        <f>_xll.qlCalendarAdvance(Calendar,X88,NDays&amp;"D")</f>
        <v>41943</v>
      </c>
      <c r="Z88" s="174">
        <v>6.3653054426543454E-4</v>
      </c>
      <c r="AA88" s="177"/>
    </row>
    <row r="89" spans="22:27" x14ac:dyDescent="0.2">
      <c r="V89" s="163"/>
      <c r="W89" s="158" t="str">
        <f t="shared" si="13"/>
        <v>1D</v>
      </c>
      <c r="X89" s="168">
        <f>_xll.qlCalendarAdvance(Calendar,X88,W89,"f",FALSE)</f>
        <v>41947</v>
      </c>
      <c r="Y89" s="173">
        <f>_xll.qlCalendarAdvance(Calendar,X89,NDays&amp;"D")</f>
        <v>41947</v>
      </c>
      <c r="Z89" s="174">
        <v>6.4202203052476925E-4</v>
      </c>
      <c r="AA89" s="177"/>
    </row>
    <row r="90" spans="22:27" x14ac:dyDescent="0.2">
      <c r="V90" s="163"/>
      <c r="W90" s="158" t="str">
        <f t="shared" si="13"/>
        <v>1D</v>
      </c>
      <c r="X90" s="168">
        <f>_xll.qlCalendarAdvance(Calendar,X89,W90,"f",FALSE)</f>
        <v>41948</v>
      </c>
      <c r="Y90" s="173">
        <f>_xll.qlCalendarAdvance(Calendar,X90,NDays&amp;"D")</f>
        <v>41948</v>
      </c>
      <c r="Z90" s="174">
        <v>6.440579459221496E-4</v>
      </c>
      <c r="AA90" s="177"/>
    </row>
    <row r="91" spans="22:27" x14ac:dyDescent="0.2">
      <c r="V91" s="163"/>
      <c r="W91" s="158" t="str">
        <f t="shared" si="13"/>
        <v>1D</v>
      </c>
      <c r="X91" s="168">
        <f>_xll.qlCalendarAdvance(Calendar,X90,W91,"f",FALSE)</f>
        <v>41949</v>
      </c>
      <c r="Y91" s="173">
        <f>_xll.qlCalendarAdvance(Calendar,X91,NDays&amp;"D")</f>
        <v>41949</v>
      </c>
      <c r="Z91" s="174">
        <v>6.4601318874313307E-4</v>
      </c>
      <c r="AA91" s="177"/>
    </row>
    <row r="92" spans="22:27" x14ac:dyDescent="0.2">
      <c r="V92" s="163"/>
      <c r="W92" s="158" t="str">
        <f t="shared" si="13"/>
        <v>1D</v>
      </c>
      <c r="X92" s="168">
        <f>_xll.qlCalendarAdvance(Calendar,X91,W92,"f",FALSE)</f>
        <v>41950</v>
      </c>
      <c r="Y92" s="173">
        <f>_xll.qlCalendarAdvance(Calendar,X92,NDays&amp;"D")</f>
        <v>41950</v>
      </c>
      <c r="Z92" s="174">
        <v>6.496559220843986E-4</v>
      </c>
      <c r="AA92" s="177"/>
    </row>
    <row r="93" spans="22:27" x14ac:dyDescent="0.2">
      <c r="V93" s="163"/>
      <c r="W93" s="158" t="str">
        <f t="shared" si="13"/>
        <v>1D</v>
      </c>
      <c r="X93" s="168">
        <f>_xll.qlCalendarAdvance(Calendar,X92,W93,"f",FALSE)</f>
        <v>41953</v>
      </c>
      <c r="Y93" s="173">
        <f>_xll.qlCalendarAdvance(Calendar,X93,NDays&amp;"D")</f>
        <v>41953</v>
      </c>
      <c r="Z93" s="174">
        <v>6.5302743426309817E-4</v>
      </c>
      <c r="AA93" s="177"/>
    </row>
    <row r="94" spans="22:27" x14ac:dyDescent="0.2">
      <c r="V94" s="163"/>
      <c r="W94" s="158" t="str">
        <f t="shared" si="13"/>
        <v>1D</v>
      </c>
      <c r="X94" s="168">
        <f>_xll.qlCalendarAdvance(Calendar,X93,W94,"f",FALSE)</f>
        <v>41954</v>
      </c>
      <c r="Y94" s="173">
        <f>_xll.qlCalendarAdvance(Calendar,X94,NDays&amp;"D")</f>
        <v>41954</v>
      </c>
      <c r="Z94" s="174">
        <v>6.5457931412105097E-4</v>
      </c>
      <c r="AA94" s="177"/>
    </row>
    <row r="95" spans="22:27" x14ac:dyDescent="0.2">
      <c r="V95" s="163"/>
      <c r="W95" s="158" t="str">
        <f t="shared" si="13"/>
        <v>1D</v>
      </c>
      <c r="X95" s="168">
        <f>_xll.qlCalendarAdvance(Calendar,X94,W95,"f",FALSE)</f>
        <v>41955</v>
      </c>
      <c r="Y95" s="173">
        <f>_xll.qlCalendarAdvance(Calendar,X95,NDays&amp;"D")</f>
        <v>41955</v>
      </c>
      <c r="Z95" s="174">
        <v>6.5605052148365317E-4</v>
      </c>
      <c r="AA95" s="177"/>
    </row>
    <row r="96" spans="22:27" x14ac:dyDescent="0.2">
      <c r="V96" s="163"/>
      <c r="W96" s="158" t="str">
        <f t="shared" si="13"/>
        <v>1D</v>
      </c>
      <c r="X96" s="168">
        <f>_xll.qlCalendarAdvance(Calendar,X95,W96,"f",FALSE)</f>
        <v>41956</v>
      </c>
      <c r="Y96" s="173">
        <f>_xll.qlCalendarAdvance(Calendar,X96,NDays&amp;"D")</f>
        <v>41956</v>
      </c>
      <c r="Z96" s="174">
        <v>6.5744105626985849E-4</v>
      </c>
      <c r="AA96" s="177"/>
    </row>
    <row r="97" spans="22:27" x14ac:dyDescent="0.2">
      <c r="V97" s="163"/>
      <c r="W97" s="158" t="str">
        <f t="shared" si="13"/>
        <v>1D</v>
      </c>
      <c r="X97" s="168">
        <f>_xll.qlCalendarAdvance(Calendar,X96,W97,"f",FALSE)</f>
        <v>41957</v>
      </c>
      <c r="Y97" s="173">
        <f>_xll.qlCalendarAdvance(Calendar,X97,NDays&amp;"D")</f>
        <v>41957</v>
      </c>
      <c r="Z97" s="174">
        <v>6.5957381589432107E-4</v>
      </c>
      <c r="AA97" s="177"/>
    </row>
    <row r="98" spans="22:27" x14ac:dyDescent="0.2">
      <c r="V98" s="163"/>
      <c r="W98" s="158" t="str">
        <f t="shared" si="13"/>
        <v>1D</v>
      </c>
      <c r="X98" s="168">
        <f>_xll.qlCalendarAdvance(Calendar,X97,W98,"f",FALSE)</f>
        <v>41960</v>
      </c>
      <c r="Y98" s="173">
        <f>_xll.qlCalendarAdvance(Calendar,X98,NDays&amp;"D")</f>
        <v>41960</v>
      </c>
      <c r="Z98" s="174">
        <v>6.6063180871323013E-4</v>
      </c>
      <c r="AA98" s="177"/>
    </row>
    <row r="99" spans="22:27" x14ac:dyDescent="0.2">
      <c r="V99" s="163"/>
      <c r="W99" s="158" t="str">
        <f t="shared" si="13"/>
        <v>1D</v>
      </c>
      <c r="X99" s="168">
        <f>_xll.qlCalendarAdvance(Calendar,X98,W99,"f",FALSE)</f>
        <v>41961</v>
      </c>
      <c r="Y99" s="173">
        <f>_xll.qlCalendarAdvance(Calendar,X99,NDays&amp;"D")</f>
        <v>41961</v>
      </c>
      <c r="Z99" s="174">
        <v>6.6060406535561889E-4</v>
      </c>
      <c r="AA99" s="177"/>
    </row>
    <row r="100" spans="22:27" x14ac:dyDescent="0.2">
      <c r="V100" s="163"/>
      <c r="W100" s="158" t="str">
        <f t="shared" si="13"/>
        <v>1D</v>
      </c>
      <c r="X100" s="168">
        <f>_xll.qlCalendarAdvance(Calendar,X99,W100,"f",FALSE)</f>
        <v>41962</v>
      </c>
      <c r="Y100" s="173">
        <f>_xll.qlCalendarAdvance(Calendar,X100,NDays&amp;"D")</f>
        <v>41962</v>
      </c>
      <c r="Z100" s="174">
        <v>6.6024192066693743E-4</v>
      </c>
      <c r="AA100" s="177"/>
    </row>
    <row r="101" spans="22:27" x14ac:dyDescent="0.2">
      <c r="V101" s="163"/>
      <c r="W101" s="158" t="str">
        <f t="shared" si="13"/>
        <v>1D</v>
      </c>
      <c r="X101" s="168">
        <f>_xll.qlCalendarAdvance(Calendar,X100,W101,"f",FALSE)</f>
        <v>41963</v>
      </c>
      <c r="Y101" s="173">
        <f>_xll.qlCalendarAdvance(Calendar,X101,NDays&amp;"D")</f>
        <v>41963</v>
      </c>
      <c r="Z101" s="174">
        <v>6.5954537472823205E-4</v>
      </c>
      <c r="AA101" s="177"/>
    </row>
    <row r="102" spans="22:27" x14ac:dyDescent="0.2">
      <c r="V102" s="163"/>
      <c r="W102" s="158" t="str">
        <f t="shared" si="13"/>
        <v>1D</v>
      </c>
      <c r="X102" s="168">
        <f>_xll.qlCalendarAdvance(Calendar,X101,W102,"f",FALSE)</f>
        <v>41964</v>
      </c>
      <c r="Y102" s="173">
        <f>_xll.qlCalendarAdvance(Calendar,X102,NDays&amp;"D")</f>
        <v>41964</v>
      </c>
      <c r="Z102" s="174">
        <v>6.5613377195988809E-4</v>
      </c>
      <c r="AA102" s="177"/>
    </row>
    <row r="103" spans="22:27" x14ac:dyDescent="0.2">
      <c r="V103" s="163"/>
      <c r="W103" s="158" t="str">
        <f t="shared" si="13"/>
        <v>1D</v>
      </c>
      <c r="X103" s="168">
        <f>_xll.qlCalendarAdvance(Calendar,X102,W103,"f",FALSE)</f>
        <v>41968</v>
      </c>
      <c r="Y103" s="173">
        <f>_xll.qlCalendarAdvance(Calendar,X103,NDays&amp;"D")</f>
        <v>41968</v>
      </c>
      <c r="Z103" s="174">
        <v>6.5104662409609659E-4</v>
      </c>
      <c r="AA103" s="177"/>
    </row>
    <row r="104" spans="22:27" x14ac:dyDescent="0.2">
      <c r="V104" s="163"/>
      <c r="W104" s="158" t="str">
        <f t="shared" si="13"/>
        <v>1D</v>
      </c>
      <c r="X104" s="168">
        <f>_xll.qlCalendarAdvance(Calendar,X103,W104,"f",FALSE)</f>
        <v>41969</v>
      </c>
      <c r="Y104" s="173">
        <f>_xll.qlCalendarAdvance(Calendar,X104,NDays&amp;"D")</f>
        <v>41969</v>
      </c>
      <c r="Z104" s="174">
        <v>6.4834366984678482E-4</v>
      </c>
      <c r="AA104" s="177"/>
    </row>
    <row r="105" spans="22:27" x14ac:dyDescent="0.2">
      <c r="V105" s="163"/>
      <c r="W105" s="158" t="str">
        <f t="shared" si="13"/>
        <v>1D</v>
      </c>
      <c r="X105" s="168">
        <f>_xll.qlCalendarAdvance(Calendar,X104,W105,"f",FALSE)</f>
        <v>41970</v>
      </c>
      <c r="Y105" s="173">
        <f>_xll.qlCalendarAdvance(Calendar,X105,NDays&amp;"D")</f>
        <v>41970</v>
      </c>
      <c r="Z105" s="174">
        <v>6.453063144284954E-4</v>
      </c>
      <c r="AA105" s="177"/>
    </row>
    <row r="106" spans="22:27" x14ac:dyDescent="0.2">
      <c r="V106" s="163"/>
      <c r="W106" s="158" t="str">
        <f t="shared" si="13"/>
        <v>1D</v>
      </c>
      <c r="X106" s="168">
        <f>_xll.qlCalendarAdvance(Calendar,X105,W106,"f",FALSE)</f>
        <v>41971</v>
      </c>
      <c r="Y106" s="173">
        <f>_xll.qlCalendarAdvance(Calendar,X106,NDays&amp;"D")</f>
        <v>41971</v>
      </c>
      <c r="Z106" s="174">
        <v>6.3811804787428106E-4</v>
      </c>
      <c r="AA106" s="177"/>
    </row>
    <row r="107" spans="22:27" x14ac:dyDescent="0.2">
      <c r="V107" s="163"/>
      <c r="W107" s="158" t="str">
        <f t="shared" si="13"/>
        <v>1D</v>
      </c>
      <c r="X107" s="168">
        <f>_xll.qlCalendarAdvance(Calendar,X106,W107,"f",FALSE)</f>
        <v>41974</v>
      </c>
      <c r="Y107" s="173">
        <f>_xll.qlCalendarAdvance(Calendar,X107,NDays&amp;"D")</f>
        <v>41974</v>
      </c>
      <c r="Z107" s="174">
        <v>6.2981287912045048E-4</v>
      </c>
      <c r="AA107" s="177"/>
    </row>
    <row r="108" spans="22:27" x14ac:dyDescent="0.2">
      <c r="V108" s="163"/>
      <c r="W108" s="158" t="str">
        <f t="shared" si="13"/>
        <v>1D</v>
      </c>
      <c r="X108" s="168">
        <f>_xll.qlCalendarAdvance(Calendar,X107,W108,"f",FALSE)</f>
        <v>41975</v>
      </c>
      <c r="Y108" s="173">
        <f>_xll.qlCalendarAdvance(Calendar,X108,NDays&amp;"D")</f>
        <v>41975</v>
      </c>
      <c r="Z108" s="174">
        <v>6.2510351712785628E-4</v>
      </c>
      <c r="AA108" s="177"/>
    </row>
    <row r="109" spans="22:27" x14ac:dyDescent="0.2">
      <c r="V109" s="163"/>
      <c r="W109" s="158" t="str">
        <f t="shared" si="13"/>
        <v>1D</v>
      </c>
      <c r="X109" s="168">
        <f>_xll.qlCalendarAdvance(Calendar,X108,W109,"f",FALSE)</f>
        <v>41976</v>
      </c>
      <c r="Y109" s="173">
        <f>_xll.qlCalendarAdvance(Calendar,X109,NDays&amp;"D")</f>
        <v>41976</v>
      </c>
      <c r="Z109" s="174">
        <v>6.2005975380419187E-4</v>
      </c>
      <c r="AA109" s="177"/>
    </row>
    <row r="110" spans="22:27" x14ac:dyDescent="0.2">
      <c r="V110" s="163"/>
      <c r="W110" s="158" t="str">
        <f t="shared" si="13"/>
        <v>1D</v>
      </c>
      <c r="X110" s="168">
        <f>_xll.qlCalendarAdvance(Calendar,X109,W110,"f",FALSE)</f>
        <v>41977</v>
      </c>
      <c r="Y110" s="173">
        <f>_xll.qlCalendarAdvance(Calendar,X110,NDays&amp;"D")</f>
        <v>41977</v>
      </c>
      <c r="Z110" s="174">
        <v>6.1468158923050353E-4</v>
      </c>
      <c r="AA110" s="177"/>
    </row>
    <row r="111" spans="22:27" x14ac:dyDescent="0.2">
      <c r="V111" s="163"/>
      <c r="W111" s="158" t="str">
        <f t="shared" si="13"/>
        <v>1D</v>
      </c>
      <c r="X111" s="168">
        <f>_xll.qlCalendarAdvance(Calendar,X110,W111,"f",FALSE)</f>
        <v>41978</v>
      </c>
      <c r="Y111" s="173">
        <f>_xll.qlCalendarAdvance(Calendar,X111,NDays&amp;"D")</f>
        <v>41978</v>
      </c>
      <c r="Z111" s="174">
        <v>6.0281158482222718E-4</v>
      </c>
      <c r="AA111" s="177"/>
    </row>
    <row r="112" spans="22:27" x14ac:dyDescent="0.2">
      <c r="V112" s="163"/>
      <c r="W112" s="158" t="str">
        <f t="shared" si="13"/>
        <v>1D</v>
      </c>
      <c r="X112" s="168">
        <f>_xll.qlCalendarAdvance(Calendar,X111,W112,"f",FALSE)</f>
        <v>41981</v>
      </c>
      <c r="Y112" s="173">
        <f>_xll.qlCalendarAdvance(Calendar,X112,NDays&amp;"D")</f>
        <v>41981</v>
      </c>
      <c r="Z112" s="174">
        <v>5.8982491859760344E-4</v>
      </c>
      <c r="AA112" s="177"/>
    </row>
    <row r="113" spans="22:27" x14ac:dyDescent="0.2">
      <c r="V113" s="163"/>
      <c r="W113" s="158" t="str">
        <f t="shared" si="13"/>
        <v>1D</v>
      </c>
      <c r="X113" s="168">
        <f>_xll.qlCalendarAdvance(Calendar,X112,W113,"f",FALSE)</f>
        <v>41982</v>
      </c>
      <c r="Y113" s="173">
        <f>_xll.qlCalendarAdvance(Calendar,X113,NDays&amp;"D")</f>
        <v>41982</v>
      </c>
      <c r="Z113" s="174">
        <v>5.827747480169343E-4</v>
      </c>
      <c r="AA113" s="177"/>
    </row>
    <row r="114" spans="22:27" x14ac:dyDescent="0.2">
      <c r="V114" s="163"/>
      <c r="W114" s="158" t="str">
        <f t="shared" si="13"/>
        <v>1D</v>
      </c>
      <c r="X114" s="168">
        <f>_xll.qlCalendarAdvance(Calendar,X113,W114,"f",FALSE)</f>
        <v>41983</v>
      </c>
      <c r="Y114" s="173">
        <f>_xll.qlCalendarAdvance(Calendar,X114,NDays&amp;"D")</f>
        <v>41983</v>
      </c>
      <c r="Z114" s="174">
        <v>5.753901762672875E-4</v>
      </c>
      <c r="AA114" s="177"/>
    </row>
    <row r="115" spans="22:27" x14ac:dyDescent="0.2">
      <c r="V115" s="163"/>
      <c r="W115" s="158" t="str">
        <f t="shared" si="13"/>
        <v>1D</v>
      </c>
      <c r="X115" s="168">
        <f>_xll.qlCalendarAdvance(Calendar,X114,W115,"f",FALSE)</f>
        <v>41984</v>
      </c>
      <c r="Y115" s="173">
        <f>_xll.qlCalendarAdvance(Calendar,X115,NDays&amp;"D")</f>
        <v>41984</v>
      </c>
      <c r="Z115" s="174">
        <v>5.6767120334866306E-4</v>
      </c>
      <c r="AA115" s="177"/>
    </row>
    <row r="116" spans="22:27" x14ac:dyDescent="0.2">
      <c r="V116" s="163"/>
      <c r="W116" s="158" t="str">
        <f t="shared" si="13"/>
        <v>1D</v>
      </c>
      <c r="X116" s="168">
        <f>_xll.qlCalendarAdvance(Calendar,X115,W116,"f",FALSE)</f>
        <v>41985</v>
      </c>
      <c r="Y116" s="173">
        <f>_xll.qlCalendarAdvance(Calendar,X116,NDays&amp;"D")</f>
        <v>41985</v>
      </c>
      <c r="Z116" s="174">
        <v>5.5111941921241292E-4</v>
      </c>
      <c r="AA116" s="177"/>
    </row>
    <row r="117" spans="22:27" x14ac:dyDescent="0.2">
      <c r="V117" s="163"/>
      <c r="W117" s="158" t="str">
        <f t="shared" si="13"/>
        <v>1D</v>
      </c>
      <c r="X117" s="168">
        <f>_xll.qlCalendarAdvance(Calendar,X116,W117,"f",FALSE)</f>
        <v>41988</v>
      </c>
      <c r="Y117" s="173">
        <f>_xll.qlCalendarAdvance(Calendar,X117,NDays&amp;"D")</f>
        <v>41988</v>
      </c>
      <c r="Z117" s="174">
        <v>5.3358408629189391E-4</v>
      </c>
      <c r="AA117" s="177"/>
    </row>
    <row r="118" spans="22:27" x14ac:dyDescent="0.2">
      <c r="V118" s="163"/>
      <c r="W118" s="158" t="str">
        <f t="shared" si="13"/>
        <v>1D</v>
      </c>
      <c r="X118" s="168">
        <f>_xll.qlCalendarAdvance(Calendar,X117,W118,"f",FALSE)</f>
        <v>41989</v>
      </c>
      <c r="Y118" s="173">
        <f>_xll.qlCalendarAdvance(Calendar,X118,NDays&amp;"D")</f>
        <v>41989</v>
      </c>
      <c r="Z118" s="174">
        <v>5.2498982132109795E-4</v>
      </c>
      <c r="AA118" s="177"/>
    </row>
    <row r="119" spans="22:27" x14ac:dyDescent="0.2">
      <c r="V119" s="163"/>
      <c r="W119" s="158" t="str">
        <f t="shared" si="13"/>
        <v>1D</v>
      </c>
      <c r="X119" s="168">
        <f>_xll.qlCalendarAdvance(Calendar,X118,W119,"f",FALSE)</f>
        <v>41990</v>
      </c>
      <c r="Y119" s="173">
        <f>_xll.qlCalendarAdvance(Calendar,X119,NDays&amp;"D")</f>
        <v>41990</v>
      </c>
      <c r="Z119" s="174">
        <v>5.1685786881194851E-4</v>
      </c>
      <c r="AA119" s="177"/>
    </row>
    <row r="120" spans="22:27" x14ac:dyDescent="0.2">
      <c r="V120" s="163"/>
      <c r="W120" s="158" t="str">
        <f t="shared" si="13"/>
        <v>1D</v>
      </c>
      <c r="X120" s="168">
        <f>_xll.qlCalendarAdvance(Calendar,X119,W120,"f",FALSE)</f>
        <v>41991</v>
      </c>
      <c r="Y120" s="173">
        <f>_xll.qlCalendarAdvance(Calendar,X120,NDays&amp;"D")</f>
        <v>41991</v>
      </c>
      <c r="Z120" s="174">
        <v>5.0918822844026046E-4</v>
      </c>
      <c r="AA120" s="177"/>
    </row>
    <row r="121" spans="22:27" x14ac:dyDescent="0.2">
      <c r="V121" s="163"/>
      <c r="W121" s="158" t="str">
        <f t="shared" si="13"/>
        <v>1D</v>
      </c>
      <c r="X121" s="168">
        <f>_xll.qlCalendarAdvance(Calendar,X120,W121,"f",FALSE)</f>
        <v>41992</v>
      </c>
      <c r="Y121" s="173">
        <f>_xll.qlCalendarAdvance(Calendar,X121,NDays&amp;"D")</f>
        <v>41992</v>
      </c>
      <c r="Z121" s="174">
        <v>4.9539066083921968E-4</v>
      </c>
      <c r="AA121" s="177"/>
    </row>
    <row r="122" spans="22:27" x14ac:dyDescent="0.2">
      <c r="V122" s="163"/>
      <c r="W122" s="158" t="str">
        <f t="shared" si="13"/>
        <v>1D</v>
      </c>
      <c r="X122" s="168">
        <f>_xll.qlCalendarAdvance(Calendar,X121,W122,"f",FALSE)</f>
        <v>41995</v>
      </c>
      <c r="Y122" s="173">
        <f>_xll.qlCalendarAdvance(Calendar,X122,NDays&amp;"D")</f>
        <v>41995</v>
      </c>
      <c r="Z122" s="174">
        <v>4.8045406574159788E-4</v>
      </c>
      <c r="AA122" s="177"/>
    </row>
    <row r="123" spans="22:27" x14ac:dyDescent="0.2">
      <c r="V123" s="163"/>
      <c r="W123" s="158" t="str">
        <f t="shared" si="13"/>
        <v>1D</v>
      </c>
      <c r="X123" s="168">
        <f>_xll.qlCalendarAdvance(Calendar,X122,W123,"f",FALSE)</f>
        <v>41997</v>
      </c>
      <c r="Y123" s="173">
        <f>_xll.qlCalendarAdvance(Calendar,X123,NDays&amp;"D")</f>
        <v>41997</v>
      </c>
      <c r="Z123" s="174">
        <v>4.7287894255565455E-4</v>
      </c>
      <c r="AA123" s="177"/>
    </row>
    <row r="124" spans="22:27" x14ac:dyDescent="0.2">
      <c r="V124" s="163"/>
      <c r="W124" s="158" t="str">
        <f t="shared" si="13"/>
        <v>1D</v>
      </c>
      <c r="X124" s="168">
        <f>_xll.qlCalendarAdvance(Calendar,X123,W124,"f",FALSE)</f>
        <v>41998</v>
      </c>
      <c r="Y124" s="173">
        <f>_xll.qlCalendarAdvance(Calendar,X124,NDays&amp;"D")</f>
        <v>41998</v>
      </c>
      <c r="Z124" s="174">
        <v>4.6844548738933511E-4</v>
      </c>
      <c r="AA124" s="177"/>
    </row>
    <row r="125" spans="22:27" x14ac:dyDescent="0.2">
      <c r="V125" s="163"/>
      <c r="W125" s="158" t="str">
        <f t="shared" si="13"/>
        <v>1D</v>
      </c>
      <c r="X125" s="168">
        <f>_xll.qlCalendarAdvance(Calendar,X124,W125,"f",FALSE)</f>
        <v>41999</v>
      </c>
      <c r="Y125" s="173">
        <f>_xll.qlCalendarAdvance(Calendar,X125,NDays&amp;"D")</f>
        <v>41999</v>
      </c>
      <c r="Z125" s="174">
        <v>4.6112019983242847E-4</v>
      </c>
      <c r="AA125" s="177"/>
    </row>
    <row r="126" spans="22:27" x14ac:dyDescent="0.2">
      <c r="V126" s="163"/>
      <c r="W126" s="158" t="str">
        <f t="shared" si="13"/>
        <v>1D</v>
      </c>
      <c r="X126" s="168">
        <f>_xll.qlCalendarAdvance(Calendar,X125,W126,"f",FALSE)</f>
        <v>42002</v>
      </c>
      <c r="Y126" s="173">
        <f>_xll.qlCalendarAdvance(Calendar,X126,NDays&amp;"D")</f>
        <v>42002</v>
      </c>
      <c r="Z126" s="174">
        <v>4.5533478736925481E-4</v>
      </c>
      <c r="AA126" s="177"/>
    </row>
    <row r="127" spans="22:27" x14ac:dyDescent="0.2">
      <c r="V127" s="163"/>
      <c r="W127" s="158" t="str">
        <f t="shared" si="13"/>
        <v>1D</v>
      </c>
      <c r="X127" s="168">
        <f>_xll.qlCalendarAdvance(Calendar,X126,W127,"f",FALSE)</f>
        <v>42003</v>
      </c>
      <c r="Y127" s="173">
        <f>_xll.qlCalendarAdvance(Calendar,X127,NDays&amp;"D")</f>
        <v>42003</v>
      </c>
      <c r="Z127" s="174">
        <v>4.5060636615505228E-4</v>
      </c>
      <c r="AA127" s="177"/>
    </row>
    <row r="128" spans="22:27" x14ac:dyDescent="0.2">
      <c r="V128" s="163"/>
      <c r="W128" s="158" t="str">
        <f t="shared" si="13"/>
        <v>1D</v>
      </c>
      <c r="X128" s="168">
        <f>_xll.qlCalendarAdvance(Calendar,X127,W128,"f",FALSE)</f>
        <v>42009</v>
      </c>
      <c r="Y128" s="173">
        <f>_xll.qlCalendarAdvance(Calendar,X128,NDays&amp;"D")</f>
        <v>42009</v>
      </c>
      <c r="Z128" s="174">
        <v>4.501900756348487E-4</v>
      </c>
      <c r="AA128" s="177"/>
    </row>
    <row r="129" spans="22:27" x14ac:dyDescent="0.2">
      <c r="V129" s="163"/>
      <c r="W129" s="158" t="str">
        <f t="shared" si="13"/>
        <v>1D</v>
      </c>
      <c r="X129" s="168">
        <f>_xll.qlCalendarAdvance(Calendar,X128,W129,"f",FALSE)</f>
        <v>42010</v>
      </c>
      <c r="Y129" s="173">
        <f>_xll.qlCalendarAdvance(Calendar,X129,NDays&amp;"D")</f>
        <v>42010</v>
      </c>
      <c r="Z129" s="174">
        <v>4.513043649023718E-4</v>
      </c>
      <c r="AA129" s="177"/>
    </row>
    <row r="130" spans="22:27" x14ac:dyDescent="0.2">
      <c r="V130" s="163"/>
      <c r="W130" s="158" t="str">
        <f t="shared" si="13"/>
        <v>1D</v>
      </c>
      <c r="X130" s="168">
        <f>_xll.qlCalendarAdvance(Calendar,X129,W130,"f",FALSE)</f>
        <v>42011</v>
      </c>
      <c r="Y130" s="173">
        <f>_xll.qlCalendarAdvance(Calendar,X130,NDays&amp;"D")</f>
        <v>42011</v>
      </c>
      <c r="Z130" s="174">
        <v>4.5288096614526374E-4</v>
      </c>
      <c r="AA130" s="177"/>
    </row>
    <row r="131" spans="22:27" x14ac:dyDescent="0.2">
      <c r="V131" s="163"/>
      <c r="W131" s="158" t="str">
        <f t="shared" si="13"/>
        <v>1D</v>
      </c>
      <c r="X131" s="168">
        <f>_xll.qlCalendarAdvance(Calendar,X130,W131,"f",FALSE)</f>
        <v>42012</v>
      </c>
      <c r="Y131" s="173">
        <f>_xll.qlCalendarAdvance(Calendar,X131,NDays&amp;"D")</f>
        <v>42012</v>
      </c>
      <c r="Z131" s="174">
        <v>4.5491987936352452E-4</v>
      </c>
      <c r="AA131" s="177"/>
    </row>
    <row r="132" spans="22:27" x14ac:dyDescent="0.2">
      <c r="V132" s="163"/>
      <c r="W132" s="158" t="str">
        <f t="shared" si="13"/>
        <v>1D</v>
      </c>
      <c r="X132" s="168">
        <f>_xll.qlCalendarAdvance(Calendar,X131,W132,"f",FALSE)</f>
        <v>42013</v>
      </c>
      <c r="Y132" s="173">
        <f>_xll.qlCalendarAdvance(Calendar,X132,NDays&amp;"D")</f>
        <v>42013</v>
      </c>
      <c r="Z132" s="174">
        <v>4.6232960125319744E-4</v>
      </c>
      <c r="AA132" s="177"/>
    </row>
    <row r="133" spans="22:27" x14ac:dyDescent="0.2">
      <c r="V133" s="163"/>
      <c r="W133" s="158" t="str">
        <f t="shared" si="13"/>
        <v>1D</v>
      </c>
      <c r="X133" s="168">
        <f>_xll.qlCalendarAdvance(Calendar,X132,W133,"f",FALSE)</f>
        <v>42017</v>
      </c>
      <c r="Y133" s="173">
        <f>_xll.qlCalendarAdvance(Calendar,X133,NDays&amp;"D")</f>
        <v>42017</v>
      </c>
      <c r="Z133" s="174">
        <v>4.7204912662524023E-4</v>
      </c>
      <c r="AA133" s="177"/>
    </row>
    <row r="134" spans="22:27" x14ac:dyDescent="0.2">
      <c r="V134" s="163"/>
      <c r="W134" s="158" t="str">
        <f t="shared" si="13"/>
        <v>1D</v>
      </c>
      <c r="X134" s="168">
        <f>_xll.qlCalendarAdvance(Calendar,X133,W134,"f",FALSE)</f>
        <v>42018</v>
      </c>
      <c r="Y134" s="173">
        <f>_xll.qlCalendarAdvance(Calendar,X134,NDays&amp;"D")</f>
        <v>42018</v>
      </c>
      <c r="Z134" s="174">
        <v>4.7677360358711063E-4</v>
      </c>
      <c r="AA134" s="177"/>
    </row>
    <row r="135" spans="22:27" x14ac:dyDescent="0.2">
      <c r="V135" s="163"/>
      <c r="W135" s="158" t="str">
        <f t="shared" si="13"/>
        <v>1D</v>
      </c>
      <c r="X135" s="168">
        <f>_xll.qlCalendarAdvance(Calendar,X134,W135,"f",FALSE)</f>
        <v>42019</v>
      </c>
      <c r="Y135" s="173">
        <f>_xll.qlCalendarAdvance(Calendar,X135,NDays&amp;"D")</f>
        <v>42019</v>
      </c>
      <c r="Z135" s="174">
        <v>4.815188491447131E-4</v>
      </c>
      <c r="AA135" s="177"/>
    </row>
    <row r="136" spans="22:27" x14ac:dyDescent="0.2">
      <c r="V136" s="163"/>
      <c r="W136" s="158" t="str">
        <f t="shared" si="13"/>
        <v>1D</v>
      </c>
      <c r="X136" s="168">
        <f>_xll.qlCalendarAdvance(Calendar,X135,W136,"f",FALSE)</f>
        <v>42020</v>
      </c>
      <c r="Y136" s="173">
        <f>_xll.qlCalendarAdvance(Calendar,X136,NDays&amp;"D")</f>
        <v>42020</v>
      </c>
      <c r="Z136" s="174">
        <v>4.9078486691630141E-4</v>
      </c>
      <c r="AA136" s="177"/>
    </row>
    <row r="137" spans="22:27" x14ac:dyDescent="0.2">
      <c r="V137" s="163"/>
      <c r="W137" s="158" t="str">
        <f t="shared" si="13"/>
        <v>1D</v>
      </c>
      <c r="X137" s="168">
        <f>_xll.qlCalendarAdvance(Calendar,X136,W137,"f",FALSE)</f>
        <v>42023</v>
      </c>
      <c r="Y137" s="173">
        <f>_xll.qlCalendarAdvance(Calendar,X137,NDays&amp;"D")</f>
        <v>42023</v>
      </c>
      <c r="Z137" s="174">
        <v>4.9982443138363308E-4</v>
      </c>
      <c r="AA137" s="177"/>
    </row>
    <row r="138" spans="22:27" x14ac:dyDescent="0.2">
      <c r="V138" s="163"/>
      <c r="W138" s="158" t="str">
        <f t="shared" si="13"/>
        <v>1D</v>
      </c>
      <c r="X138" s="168">
        <f>_xll.qlCalendarAdvance(Calendar,X137,W138,"f",FALSE)</f>
        <v>42024</v>
      </c>
      <c r="Y138" s="173">
        <f>_xll.qlCalendarAdvance(Calendar,X138,NDays&amp;"D")</f>
        <v>42024</v>
      </c>
      <c r="Z138" s="174">
        <v>5.0423197678339804E-4</v>
      </c>
      <c r="AA138" s="177"/>
    </row>
    <row r="139" spans="22:27" x14ac:dyDescent="0.2">
      <c r="V139" s="163"/>
      <c r="W139" s="158" t="str">
        <f t="shared" si="13"/>
        <v>1D</v>
      </c>
      <c r="X139" s="168">
        <f>_xll.qlCalendarAdvance(Calendar,X138,W139,"f",FALSE)</f>
        <v>42025</v>
      </c>
      <c r="Y139" s="173">
        <f>_xll.qlCalendarAdvance(Calendar,X139,NDays&amp;"D")</f>
        <v>42025</v>
      </c>
      <c r="Z139" s="174">
        <v>5.0857198226506029E-4</v>
      </c>
      <c r="AA139" s="177"/>
    </row>
    <row r="140" spans="22:27" x14ac:dyDescent="0.2">
      <c r="V140" s="163"/>
      <c r="W140" s="158" t="str">
        <f t="shared" si="13"/>
        <v>1D</v>
      </c>
      <c r="X140" s="168">
        <f>_xll.qlCalendarAdvance(Calendar,X139,W140,"f",FALSE)</f>
        <v>42026</v>
      </c>
      <c r="Y140" s="173">
        <f>_xll.qlCalendarAdvance(Calendar,X140,NDays&amp;"D")</f>
        <v>42026</v>
      </c>
      <c r="Z140" s="174">
        <v>5.128444475044347E-4</v>
      </c>
      <c r="AA140" s="177"/>
    </row>
    <row r="141" spans="22:27" x14ac:dyDescent="0.2">
      <c r="V141" s="163"/>
      <c r="W141" s="158" t="str">
        <f t="shared" ref="W141:W204" si="14">W140</f>
        <v>1D</v>
      </c>
      <c r="X141" s="168">
        <f>_xll.qlCalendarAdvance(Calendar,X140,W141,"f",FALSE)</f>
        <v>42027</v>
      </c>
      <c r="Y141" s="173">
        <f>_xll.qlCalendarAdvance(Calendar,X141,NDays&amp;"D")</f>
        <v>42027</v>
      </c>
      <c r="Z141" s="174">
        <v>5.2116498884665263E-4</v>
      </c>
      <c r="AA141" s="177"/>
    </row>
    <row r="142" spans="22:27" x14ac:dyDescent="0.2">
      <c r="V142" s="163"/>
      <c r="W142" s="158" t="str">
        <f t="shared" si="14"/>
        <v>1D</v>
      </c>
      <c r="X142" s="168">
        <f>_xll.qlCalendarAdvance(Calendar,X141,W142,"f",FALSE)</f>
        <v>42030</v>
      </c>
      <c r="Y142" s="173">
        <f>_xll.qlCalendarAdvance(Calendar,X142,NDays&amp;"D")</f>
        <v>42030</v>
      </c>
      <c r="Z142" s="174">
        <v>5.2925890838939615E-4</v>
      </c>
      <c r="AA142" s="177"/>
    </row>
    <row r="143" spans="22:27" x14ac:dyDescent="0.2">
      <c r="V143" s="163"/>
      <c r="W143" s="158" t="str">
        <f t="shared" si="14"/>
        <v>1D</v>
      </c>
      <c r="X143" s="168">
        <f>_xll.qlCalendarAdvance(Calendar,X142,W143,"f",FALSE)</f>
        <v>42031</v>
      </c>
      <c r="Y143" s="173">
        <f>_xll.qlCalendarAdvance(Calendar,X143,NDays&amp;"D")</f>
        <v>42031</v>
      </c>
      <c r="Z143" s="174">
        <v>5.3319367347093305E-4</v>
      </c>
      <c r="AA143" s="177"/>
    </row>
    <row r="144" spans="22:27" x14ac:dyDescent="0.2">
      <c r="V144" s="163"/>
      <c r="W144" s="158" t="str">
        <f t="shared" si="14"/>
        <v>1D</v>
      </c>
      <c r="X144" s="168">
        <f>_xll.qlCalendarAdvance(Calendar,X143,W144,"f",FALSE)</f>
        <v>42032</v>
      </c>
      <c r="Y144" s="173">
        <f>_xll.qlCalendarAdvance(Calendar,X144,NDays&amp;"D")</f>
        <v>42032</v>
      </c>
      <c r="Z144" s="174">
        <v>5.3706089847227467E-4</v>
      </c>
      <c r="AA144" s="177"/>
    </row>
    <row r="145" spans="22:27" x14ac:dyDescent="0.2">
      <c r="V145" s="163"/>
      <c r="W145" s="158" t="str">
        <f t="shared" si="14"/>
        <v>1D</v>
      </c>
      <c r="X145" s="168">
        <f>_xll.qlCalendarAdvance(Calendar,X144,W145,"f",FALSE)</f>
        <v>42033</v>
      </c>
      <c r="Y145" s="173">
        <f>_xll.qlCalendarAdvance(Calendar,X145,NDays&amp;"D")</f>
        <v>42033</v>
      </c>
      <c r="Z145" s="174">
        <v>5.4086058339342102E-4</v>
      </c>
      <c r="AA145" s="177"/>
    </row>
    <row r="146" spans="22:27" x14ac:dyDescent="0.2">
      <c r="V146" s="163"/>
      <c r="W146" s="158" t="str">
        <f t="shared" si="14"/>
        <v>1D</v>
      </c>
      <c r="X146" s="168">
        <f>_xll.qlCalendarAdvance(Calendar,X145,W146,"f",FALSE)</f>
        <v>42034</v>
      </c>
      <c r="Y146" s="173">
        <f>_xll.qlCalendarAdvance(Calendar,X146,NDays&amp;"D")</f>
        <v>42034</v>
      </c>
      <c r="Z146" s="174">
        <v>5.48235643146322E-4</v>
      </c>
      <c r="AA146" s="177"/>
    </row>
    <row r="147" spans="22:27" x14ac:dyDescent="0.2">
      <c r="V147" s="163"/>
      <c r="W147" s="158" t="str">
        <f t="shared" si="14"/>
        <v>1D</v>
      </c>
      <c r="X147" s="168">
        <f>_xll.qlCalendarAdvance(Calendar,X146,W147,"f",FALSE)</f>
        <v>42037</v>
      </c>
      <c r="Y147" s="173">
        <f>_xll.qlCalendarAdvance(Calendar,X147,NDays&amp;"D")</f>
        <v>42037</v>
      </c>
      <c r="Z147" s="174">
        <v>5.5538392243814627E-4</v>
      </c>
      <c r="AA147" s="177"/>
    </row>
    <row r="148" spans="22:27" x14ac:dyDescent="0.2">
      <c r="V148" s="163"/>
      <c r="W148" s="158" t="str">
        <f t="shared" si="14"/>
        <v>1D</v>
      </c>
      <c r="X148" s="168">
        <f>_xll.qlCalendarAdvance(Calendar,X147,W148,"f",FALSE)</f>
        <v>42038</v>
      </c>
      <c r="Y148" s="173">
        <f>_xll.qlCalendarAdvance(Calendar,X148,NDays&amp;"D")</f>
        <v>42038</v>
      </c>
      <c r="Z148" s="174">
        <v>5.5884590703936254E-4</v>
      </c>
      <c r="AA148" s="177"/>
    </row>
    <row r="149" spans="22:27" x14ac:dyDescent="0.2">
      <c r="V149" s="163"/>
      <c r="W149" s="158" t="str">
        <f t="shared" si="14"/>
        <v>1D</v>
      </c>
      <c r="X149" s="168">
        <f>_xll.qlCalendarAdvance(Calendar,X148,W149,"f",FALSE)</f>
        <v>42039</v>
      </c>
      <c r="Y149" s="173">
        <f>_xll.qlCalendarAdvance(Calendar,X149,NDays&amp;"D")</f>
        <v>42039</v>
      </c>
      <c r="Z149" s="174">
        <v>5.6224035156038354E-4</v>
      </c>
      <c r="AA149" s="177"/>
    </row>
    <row r="150" spans="22:27" x14ac:dyDescent="0.2">
      <c r="V150" s="163"/>
      <c r="W150" s="158" t="str">
        <f t="shared" si="14"/>
        <v>1D</v>
      </c>
      <c r="X150" s="168">
        <f>_xll.qlCalendarAdvance(Calendar,X149,W150,"f",FALSE)</f>
        <v>42040</v>
      </c>
      <c r="Y150" s="173">
        <f>_xll.qlCalendarAdvance(Calendar,X150,NDays&amp;"D")</f>
        <v>42040</v>
      </c>
      <c r="Z150" s="174">
        <v>5.6556725592016299E-4</v>
      </c>
      <c r="AA150" s="177"/>
    </row>
    <row r="151" spans="22:27" x14ac:dyDescent="0.2">
      <c r="V151" s="163"/>
      <c r="W151" s="158" t="str">
        <f t="shared" si="14"/>
        <v>1D</v>
      </c>
      <c r="X151" s="168">
        <f>_xll.qlCalendarAdvance(Calendar,X150,W151,"f",FALSE)</f>
        <v>42041</v>
      </c>
      <c r="Y151" s="173">
        <f>_xll.qlCalendarAdvance(Calendar,X151,NDays&amp;"D")</f>
        <v>42041</v>
      </c>
      <c r="Z151" s="174">
        <v>5.7199682760004466E-4</v>
      </c>
      <c r="AA151" s="177"/>
    </row>
    <row r="152" spans="22:27" x14ac:dyDescent="0.2">
      <c r="V152" s="163"/>
      <c r="W152" s="158" t="str">
        <f t="shared" si="14"/>
        <v>1D</v>
      </c>
      <c r="X152" s="168">
        <f>_xll.qlCalendarAdvance(Calendar,X151,W152,"f",FALSE)</f>
        <v>42044</v>
      </c>
      <c r="Y152" s="173">
        <f>_xll.qlCalendarAdvance(Calendar,X152,NDays&amp;"D")</f>
        <v>42044</v>
      </c>
      <c r="Z152" s="174">
        <v>5.7819947280046691E-4</v>
      </c>
      <c r="AA152" s="177"/>
    </row>
    <row r="153" spans="22:27" x14ac:dyDescent="0.2">
      <c r="V153" s="163"/>
      <c r="W153" s="158" t="str">
        <f t="shared" si="14"/>
        <v>1D</v>
      </c>
      <c r="X153" s="168">
        <f>_xll.qlCalendarAdvance(Calendar,X152,W153,"f",FALSE)</f>
        <v>42045</v>
      </c>
      <c r="Y153" s="173">
        <f>_xll.qlCalendarAdvance(Calendar,X153,NDays&amp;"D")</f>
        <v>42045</v>
      </c>
      <c r="Z153" s="174">
        <v>5.8264997386370254E-4</v>
      </c>
      <c r="AA153" s="177"/>
    </row>
    <row r="154" spans="22:27" x14ac:dyDescent="0.2">
      <c r="V154" s="163"/>
      <c r="W154" s="158" t="str">
        <f t="shared" si="14"/>
        <v>1D</v>
      </c>
      <c r="X154" s="168">
        <f>_xll.qlCalendarAdvance(Calendar,X153,W154,"f",FALSE)</f>
        <v>42047</v>
      </c>
      <c r="Y154" s="173">
        <f>_xll.qlCalendarAdvance(Calendar,X154,NDays&amp;"D")</f>
        <v>42047</v>
      </c>
      <c r="Z154" s="174">
        <v>5.8696446459838292E-4</v>
      </c>
      <c r="AA154" s="177"/>
    </row>
    <row r="155" spans="22:27" x14ac:dyDescent="0.2">
      <c r="V155" s="163"/>
      <c r="W155" s="158" t="str">
        <f t="shared" si="14"/>
        <v>1D</v>
      </c>
      <c r="X155" s="168">
        <f>_xll.qlCalendarAdvance(Calendar,X154,W155,"f",FALSE)</f>
        <v>42048</v>
      </c>
      <c r="Y155" s="173">
        <f>_xll.qlCalendarAdvance(Calendar,X155,NDays&amp;"D")</f>
        <v>42048</v>
      </c>
      <c r="Z155" s="174">
        <v>5.9244854020867887E-4</v>
      </c>
      <c r="AA155" s="177"/>
    </row>
    <row r="156" spans="22:27" x14ac:dyDescent="0.2">
      <c r="V156" s="163"/>
      <c r="W156" s="158" t="str">
        <f t="shared" si="14"/>
        <v>1D</v>
      </c>
      <c r="X156" s="168">
        <f>_xll.qlCalendarAdvance(Calendar,X155,W156,"f",FALSE)</f>
        <v>42051</v>
      </c>
      <c r="Y156" s="173">
        <f>_xll.qlCalendarAdvance(Calendar,X156,NDays&amp;"D")</f>
        <v>42051</v>
      </c>
      <c r="Z156" s="174">
        <v>5.9770555899008038E-4</v>
      </c>
      <c r="AA156" s="177"/>
    </row>
    <row r="157" spans="22:27" x14ac:dyDescent="0.2">
      <c r="V157" s="163"/>
      <c r="W157" s="158" t="str">
        <f t="shared" si="14"/>
        <v>1D</v>
      </c>
      <c r="X157" s="168">
        <f>_xll.qlCalendarAdvance(Calendar,X156,W157,"f",FALSE)</f>
        <v>42052</v>
      </c>
      <c r="Y157" s="173">
        <f>_xll.qlCalendarAdvance(Calendar,X157,NDays&amp;"D")</f>
        <v>42052</v>
      </c>
      <c r="Z157" s="174">
        <v>6.0022198230647028E-4</v>
      </c>
      <c r="AA157" s="177"/>
    </row>
    <row r="158" spans="22:27" x14ac:dyDescent="0.2">
      <c r="V158" s="163"/>
      <c r="W158" s="158" t="str">
        <f t="shared" si="14"/>
        <v>1D</v>
      </c>
      <c r="X158" s="168">
        <f>_xll.qlCalendarAdvance(Calendar,X157,W158,"f",FALSE)</f>
        <v>42053</v>
      </c>
      <c r="Y158" s="173">
        <f>_xll.qlCalendarAdvance(Calendar,X158,NDays&amp;"D")</f>
        <v>42053</v>
      </c>
      <c r="Z158" s="174">
        <v>6.0267086554266491E-4</v>
      </c>
      <c r="AA158" s="177"/>
    </row>
    <row r="159" spans="22:27" x14ac:dyDescent="0.2">
      <c r="V159" s="163"/>
      <c r="W159" s="158" t="str">
        <f t="shared" si="14"/>
        <v>1D</v>
      </c>
      <c r="X159" s="168">
        <f>_xll.qlCalendarAdvance(Calendar,X158,W159,"f",FALSE)</f>
        <v>42054</v>
      </c>
      <c r="Y159" s="173">
        <f>_xll.qlCalendarAdvance(Calendar,X159,NDays&amp;"D")</f>
        <v>42054</v>
      </c>
      <c r="Z159" s="174">
        <v>6.0505220869866427E-4</v>
      </c>
      <c r="AA159" s="177"/>
    </row>
    <row r="160" spans="22:27" x14ac:dyDescent="0.2">
      <c r="V160" s="163"/>
      <c r="W160" s="158" t="str">
        <f t="shared" si="14"/>
        <v>1D</v>
      </c>
      <c r="X160" s="168">
        <f>_xll.qlCalendarAdvance(Calendar,X159,W160,"f",FALSE)</f>
        <v>42055</v>
      </c>
      <c r="Y160" s="173">
        <f>_xll.qlCalendarAdvance(Calendar,X160,NDays&amp;"D")</f>
        <v>42055</v>
      </c>
      <c r="Z160" s="174">
        <v>6.0959077937831441E-4</v>
      </c>
      <c r="AA160" s="177"/>
    </row>
    <row r="161" spans="22:27" x14ac:dyDescent="0.2">
      <c r="V161" s="163"/>
      <c r="W161" s="158" t="str">
        <f t="shared" si="14"/>
        <v>1D</v>
      </c>
      <c r="X161" s="168">
        <f>_xll.qlCalendarAdvance(Calendar,X160,W161,"f",FALSE)</f>
        <v>42058</v>
      </c>
      <c r="Y161" s="173">
        <f>_xll.qlCalendarAdvance(Calendar,X161,NDays&amp;"D")</f>
        <v>42058</v>
      </c>
      <c r="Z161" s="174">
        <v>6.1390218027757015E-4</v>
      </c>
      <c r="AA161" s="177"/>
    </row>
    <row r="162" spans="22:27" x14ac:dyDescent="0.2">
      <c r="V162" s="163"/>
      <c r="W162" s="158" t="str">
        <f t="shared" si="14"/>
        <v>1D</v>
      </c>
      <c r="X162" s="168">
        <f>_xll.qlCalendarAdvance(Calendar,X161,W162,"f",FALSE)</f>
        <v>42059</v>
      </c>
      <c r="Y162" s="173">
        <f>_xll.qlCalendarAdvance(Calendar,X162,NDays&amp;"D")</f>
        <v>42059</v>
      </c>
      <c r="Z162" s="174">
        <v>6.1594582287050059E-4</v>
      </c>
      <c r="AA162" s="177"/>
    </row>
    <row r="163" spans="22:27" x14ac:dyDescent="0.2">
      <c r="V163" s="163"/>
      <c r="W163" s="158" t="str">
        <f t="shared" si="14"/>
        <v>1D</v>
      </c>
      <c r="X163" s="168">
        <f>_xll.qlCalendarAdvance(Calendar,X162,W163,"f",FALSE)</f>
        <v>42060</v>
      </c>
      <c r="Y163" s="173">
        <f>_xll.qlCalendarAdvance(Calendar,X163,NDays&amp;"D")</f>
        <v>42060</v>
      </c>
      <c r="Z163" s="174">
        <v>6.1792192538323576E-4</v>
      </c>
      <c r="AA163" s="177"/>
    </row>
    <row r="164" spans="22:27" x14ac:dyDescent="0.2">
      <c r="V164" s="163"/>
      <c r="W164" s="158" t="str">
        <f t="shared" si="14"/>
        <v>1D</v>
      </c>
      <c r="X164" s="168">
        <f>_xll.qlCalendarAdvance(Calendar,X163,W164,"f",FALSE)</f>
        <v>42061</v>
      </c>
      <c r="Y164" s="173">
        <f>_xll.qlCalendarAdvance(Calendar,X164,NDays&amp;"D")</f>
        <v>42061</v>
      </c>
      <c r="Z164" s="174">
        <v>6.1983048773472937E-4</v>
      </c>
      <c r="AA164" s="177"/>
    </row>
    <row r="165" spans="22:27" x14ac:dyDescent="0.2">
      <c r="V165" s="163"/>
      <c r="W165" s="158" t="str">
        <f t="shared" si="14"/>
        <v>1D</v>
      </c>
      <c r="X165" s="168">
        <f>_xll.qlCalendarAdvance(Calendar,X164,W165,"f",FALSE)</f>
        <v>42062</v>
      </c>
      <c r="Y165" s="173">
        <f>_xll.qlCalendarAdvance(Calendar,X165,NDays&amp;"D")</f>
        <v>42062</v>
      </c>
      <c r="Z165" s="174">
        <v>6.2342354370414921E-4</v>
      </c>
      <c r="AA165" s="177"/>
    </row>
    <row r="166" spans="22:27" x14ac:dyDescent="0.2">
      <c r="V166" s="163"/>
      <c r="W166" s="158" t="str">
        <f t="shared" si="14"/>
        <v>1D</v>
      </c>
      <c r="X166" s="168">
        <f>_xll.qlCalendarAdvance(Calendar,X165,W166,"f",FALSE)</f>
        <v>42065</v>
      </c>
      <c r="Y166" s="173">
        <f>_xll.qlCalendarAdvance(Calendar,X166,NDays&amp;"D")</f>
        <v>42065</v>
      </c>
      <c r="Z166" s="174">
        <v>6.2678933625770483E-4</v>
      </c>
      <c r="AA166" s="177"/>
    </row>
    <row r="167" spans="22:27" x14ac:dyDescent="0.2">
      <c r="V167" s="163"/>
      <c r="W167" s="158" t="str">
        <f t="shared" si="14"/>
        <v>1D</v>
      </c>
      <c r="X167" s="168">
        <f>_xll.qlCalendarAdvance(Calendar,X166,W167,"f",FALSE)</f>
        <v>42066</v>
      </c>
      <c r="Y167" s="173">
        <f>_xll.qlCalendarAdvance(Calendar,X167,NDays&amp;"D")</f>
        <v>42066</v>
      </c>
      <c r="Z167" s="174">
        <v>6.2836019812717581E-4</v>
      </c>
      <c r="AA167" s="177"/>
    </row>
    <row r="168" spans="22:27" x14ac:dyDescent="0.2">
      <c r="V168" s="163"/>
      <c r="W168" s="158" t="str">
        <f t="shared" si="14"/>
        <v>1D</v>
      </c>
      <c r="X168" s="168">
        <f>_xll.qlCalendarAdvance(Calendar,X167,W168,"f",FALSE)</f>
        <v>42067</v>
      </c>
      <c r="Y168" s="173">
        <f>_xll.qlCalendarAdvance(Calendar,X168,NDays&amp;"D")</f>
        <v>42067</v>
      </c>
      <c r="Z168" s="174">
        <v>6.2986351983540523E-4</v>
      </c>
      <c r="AA168" s="177"/>
    </row>
    <row r="169" spans="22:27" x14ac:dyDescent="0.2">
      <c r="V169" s="163"/>
      <c r="W169" s="158" t="str">
        <f t="shared" si="14"/>
        <v>1D</v>
      </c>
      <c r="X169" s="168">
        <f>_xll.qlCalendarAdvance(Calendar,X168,W169,"f",FALSE)</f>
        <v>42068</v>
      </c>
      <c r="Y169" s="173">
        <f>_xll.qlCalendarAdvance(Calendar,X169,NDays&amp;"D")</f>
        <v>42068</v>
      </c>
      <c r="Z169" s="174">
        <v>6.312993013823931E-4</v>
      </c>
      <c r="AA169" s="177"/>
    </row>
    <row r="170" spans="22:27" x14ac:dyDescent="0.2">
      <c r="V170" s="163"/>
      <c r="W170" s="158" t="str">
        <f t="shared" si="14"/>
        <v>1D</v>
      </c>
      <c r="X170" s="168">
        <f>_xll.qlCalendarAdvance(Calendar,X169,W170,"f",FALSE)</f>
        <v>42069</v>
      </c>
      <c r="Y170" s="173">
        <f>_xll.qlCalendarAdvance(Calendar,X170,NDays&amp;"D")</f>
        <v>42069</v>
      </c>
      <c r="Z170" s="174">
        <v>6.3394683199750434E-4</v>
      </c>
      <c r="AA170" s="177"/>
    </row>
    <row r="171" spans="22:27" x14ac:dyDescent="0.2">
      <c r="V171" s="163"/>
      <c r="W171" s="158" t="str">
        <f t="shared" si="14"/>
        <v>1D</v>
      </c>
      <c r="X171" s="168">
        <f>_xll.qlCalendarAdvance(Calendar,X170,W171,"f",FALSE)</f>
        <v>42072</v>
      </c>
      <c r="Y171" s="173">
        <f>_xll.qlCalendarAdvance(Calendar,X171,NDays&amp;"D")</f>
        <v>42072</v>
      </c>
      <c r="Z171" s="174">
        <v>6.3636702668734557E-4</v>
      </c>
      <c r="AA171" s="177"/>
    </row>
    <row r="172" spans="22:27" x14ac:dyDescent="0.2">
      <c r="V172" s="163"/>
      <c r="W172" s="158" t="str">
        <f t="shared" si="14"/>
        <v>1D</v>
      </c>
      <c r="X172" s="168">
        <f>_xll.qlCalendarAdvance(Calendar,X171,W172,"f",FALSE)</f>
        <v>42073</v>
      </c>
      <c r="Y172" s="173">
        <f>_xll.qlCalendarAdvance(Calendar,X172,NDays&amp;"D")</f>
        <v>42073</v>
      </c>
      <c r="Z172" s="174">
        <v>6.3746510767126452E-4</v>
      </c>
      <c r="AA172" s="177"/>
    </row>
    <row r="173" spans="22:27" x14ac:dyDescent="0.2">
      <c r="V173" s="163"/>
      <c r="W173" s="158" t="str">
        <f t="shared" si="14"/>
        <v>1D</v>
      </c>
      <c r="X173" s="168">
        <f>_xll.qlCalendarAdvance(Calendar,X172,W173,"f",FALSE)</f>
        <v>42074</v>
      </c>
      <c r="Y173" s="173">
        <f>_xll.qlCalendarAdvance(Calendar,X173,NDays&amp;"D")</f>
        <v>42074</v>
      </c>
      <c r="Z173" s="174">
        <v>6.3849564857498819E-4</v>
      </c>
      <c r="AA173" s="177"/>
    </row>
    <row r="174" spans="22:27" x14ac:dyDescent="0.2">
      <c r="V174" s="163"/>
      <c r="W174" s="158" t="str">
        <f t="shared" si="14"/>
        <v>1D</v>
      </c>
      <c r="X174" s="168">
        <f>_xll.qlCalendarAdvance(Calendar,X173,W174,"f",FALSE)</f>
        <v>42075</v>
      </c>
      <c r="Y174" s="173">
        <f>_xll.qlCalendarAdvance(Calendar,X174,NDays&amp;"D")</f>
        <v>42075</v>
      </c>
      <c r="Z174" s="174">
        <v>6.394586493985166E-4</v>
      </c>
      <c r="AA174" s="177"/>
    </row>
    <row r="175" spans="22:27" x14ac:dyDescent="0.2">
      <c r="V175" s="163"/>
      <c r="W175" s="158" t="str">
        <f t="shared" si="14"/>
        <v>1D</v>
      </c>
      <c r="X175" s="168">
        <f>_xll.qlCalendarAdvance(Calendar,X174,W175,"f",FALSE)</f>
        <v>42076</v>
      </c>
      <c r="Y175" s="173">
        <f>_xll.qlCalendarAdvance(Calendar,X175,NDays&amp;"D")</f>
        <v>42076</v>
      </c>
      <c r="Z175" s="174">
        <v>6.4116064344791712E-4</v>
      </c>
      <c r="AA175" s="177"/>
    </row>
    <row r="176" spans="22:27" x14ac:dyDescent="0.2">
      <c r="V176" s="163"/>
      <c r="W176" s="158" t="str">
        <f t="shared" si="14"/>
        <v>1D</v>
      </c>
      <c r="X176" s="168">
        <f>_xll.qlCalendarAdvance(Calendar,X175,W176,"f",FALSE)</f>
        <v>42079</v>
      </c>
      <c r="Y176" s="173">
        <f>_xll.qlCalendarAdvance(Calendar,X176,NDays&amp;"D")</f>
        <v>42079</v>
      </c>
      <c r="Z176" s="174">
        <v>6.4263525124230725E-4</v>
      </c>
      <c r="AA176" s="177"/>
    </row>
    <row r="177" spans="22:27" x14ac:dyDescent="0.2">
      <c r="V177" s="163"/>
      <c r="W177" s="158" t="str">
        <f t="shared" si="14"/>
        <v>1D</v>
      </c>
      <c r="X177" s="168">
        <f>_xll.qlCalendarAdvance(Calendar,X176,W177,"f",FALSE)</f>
        <v>42080</v>
      </c>
      <c r="Y177" s="173">
        <f>_xll.qlCalendarAdvance(Calendar,X177,NDays&amp;"D")</f>
        <v>42080</v>
      </c>
      <c r="Z177" s="174">
        <v>6.4326055142172045E-4</v>
      </c>
      <c r="AA177" s="177"/>
    </row>
    <row r="178" spans="22:27" x14ac:dyDescent="0.2">
      <c r="V178" s="163"/>
      <c r="W178" s="158" t="str">
        <f t="shared" si="14"/>
        <v>1D</v>
      </c>
      <c r="X178" s="168">
        <f>_xll.qlCalendarAdvance(Calendar,X177,W178,"f",FALSE)</f>
        <v>42081</v>
      </c>
      <c r="Y178" s="173">
        <f>_xll.qlCalendarAdvance(Calendar,X178,NDays&amp;"D")</f>
        <v>42081</v>
      </c>
      <c r="Z178" s="174">
        <v>6.438183114398921E-4</v>
      </c>
      <c r="AA178" s="177"/>
    </row>
    <row r="179" spans="22:27" x14ac:dyDescent="0.2">
      <c r="V179" s="163"/>
      <c r="W179" s="158" t="str">
        <f t="shared" si="14"/>
        <v>1D</v>
      </c>
      <c r="X179" s="168">
        <f>_xll.qlCalendarAdvance(Calendar,X178,W179,"f",FALSE)</f>
        <v>42082</v>
      </c>
      <c r="Y179" s="173">
        <f>_xll.qlCalendarAdvance(Calendar,X179,NDays&amp;"D")</f>
        <v>42082</v>
      </c>
      <c r="Z179" s="174">
        <v>6.4430853137786848E-4</v>
      </c>
      <c r="AA179" s="177"/>
    </row>
    <row r="180" spans="22:27" x14ac:dyDescent="0.2">
      <c r="V180" s="163"/>
      <c r="W180" s="158" t="str">
        <f t="shared" si="14"/>
        <v>1D</v>
      </c>
      <c r="X180" s="168">
        <f>_xll.qlCalendarAdvance(Calendar,X179,W180,"f",FALSE)</f>
        <v>42083</v>
      </c>
      <c r="Y180" s="173">
        <f>_xll.qlCalendarAdvance(Calendar,X180,NDays&amp;"D")</f>
        <v>42083</v>
      </c>
      <c r="Z180" s="174">
        <v>6.4506497746104807E-4</v>
      </c>
      <c r="AA180" s="177"/>
    </row>
    <row r="181" spans="22:27" x14ac:dyDescent="0.2">
      <c r="V181" s="163"/>
      <c r="W181" s="158" t="str">
        <f t="shared" si="14"/>
        <v>1D</v>
      </c>
      <c r="X181" s="168">
        <f>_xll.qlCalendarAdvance(Calendar,X180,W181,"f",FALSE)</f>
        <v>42086</v>
      </c>
      <c r="Y181" s="173">
        <f>_xll.qlCalendarAdvance(Calendar,X181,NDays&amp;"D")</f>
        <v>42086</v>
      </c>
      <c r="Z181" s="174">
        <v>6.455940097604973E-4</v>
      </c>
      <c r="AA181" s="177"/>
    </row>
    <row r="182" spans="22:27" x14ac:dyDescent="0.2">
      <c r="V182" s="163"/>
      <c r="W182" s="158" t="str">
        <f t="shared" si="14"/>
        <v>1D</v>
      </c>
      <c r="X182" s="168">
        <f>_xll.qlCalendarAdvance(Calendar,X181,W182,"f",FALSE)</f>
        <v>42087</v>
      </c>
      <c r="Y182" s="173">
        <f>_xll.qlCalendarAdvance(Calendar,X182,NDays&amp;"D")</f>
        <v>42087</v>
      </c>
      <c r="Z182" s="174">
        <v>6.4574652905435848E-4</v>
      </c>
      <c r="AA182" s="177"/>
    </row>
    <row r="183" spans="22:27" x14ac:dyDescent="0.2">
      <c r="V183" s="163"/>
      <c r="W183" s="158" t="str">
        <f t="shared" si="14"/>
        <v>1D</v>
      </c>
      <c r="X183" s="168">
        <f>_xll.qlCalendarAdvance(Calendar,X182,W183,"f",FALSE)</f>
        <v>42088</v>
      </c>
      <c r="Y183" s="173">
        <f>_xll.qlCalendarAdvance(Calendar,X183,NDays&amp;"D")</f>
        <v>42088</v>
      </c>
      <c r="Z183" s="174">
        <v>6.458315081869781E-4</v>
      </c>
      <c r="AA183" s="177"/>
    </row>
    <row r="184" spans="22:27" x14ac:dyDescent="0.2">
      <c r="V184" s="163"/>
      <c r="W184" s="158" t="str">
        <f t="shared" si="14"/>
        <v>1D</v>
      </c>
      <c r="X184" s="168">
        <f>_xll.qlCalendarAdvance(Calendar,X183,W184,"f",FALSE)</f>
        <v>42089</v>
      </c>
      <c r="Y184" s="173">
        <f>_xll.qlCalendarAdvance(Calendar,X184,NDays&amp;"D")</f>
        <v>42089</v>
      </c>
      <c r="Z184" s="174">
        <v>6.4584894732044873E-4</v>
      </c>
      <c r="AA184" s="177"/>
    </row>
    <row r="185" spans="22:27" x14ac:dyDescent="0.2">
      <c r="V185" s="163"/>
      <c r="W185" s="158" t="str">
        <f t="shared" si="14"/>
        <v>1D</v>
      </c>
      <c r="X185" s="168">
        <f>_xll.qlCalendarAdvance(Calendar,X184,W185,"f",FALSE)</f>
        <v>42090</v>
      </c>
      <c r="Y185" s="173">
        <f>_xll.qlCalendarAdvance(Calendar,X185,NDays&amp;"D")</f>
        <v>42090</v>
      </c>
      <c r="Z185" s="174">
        <v>6.4565983373972757E-4</v>
      </c>
      <c r="AA185" s="177"/>
    </row>
    <row r="186" spans="22:27" x14ac:dyDescent="0.2">
      <c r="V186" s="163"/>
      <c r="W186" s="158" t="str">
        <f t="shared" si="14"/>
        <v>1D</v>
      </c>
      <c r="X186" s="168">
        <f>_xll.qlCalendarAdvance(Calendar,X185,W186,"f",FALSE)</f>
        <v>42093</v>
      </c>
      <c r="Y186" s="173">
        <f>_xll.qlCalendarAdvance(Calendar,X186,NDays&amp;"D")</f>
        <v>42093</v>
      </c>
      <c r="Z186" s="174">
        <v>6.4524330216086945E-4</v>
      </c>
      <c r="AA186" s="177"/>
    </row>
    <row r="187" spans="22:27" x14ac:dyDescent="0.2">
      <c r="V187" s="163"/>
      <c r="W187" s="158" t="str">
        <f t="shared" si="14"/>
        <v>1D</v>
      </c>
      <c r="X187" s="168">
        <f>_xll.qlCalendarAdvance(Calendar,X186,W187,"f",FALSE)</f>
        <v>42094</v>
      </c>
      <c r="Y187" s="173">
        <f>_xll.qlCalendarAdvance(Calendar,X187,NDays&amp;"D")</f>
        <v>42094</v>
      </c>
      <c r="Z187" s="174">
        <v>6.449230405691786E-4</v>
      </c>
      <c r="AA187" s="177"/>
    </row>
    <row r="188" spans="22:27" x14ac:dyDescent="0.2">
      <c r="V188" s="163"/>
      <c r="W188" s="158" t="str">
        <f t="shared" si="14"/>
        <v>1D</v>
      </c>
      <c r="X188" s="168">
        <f>_xll.qlCalendarAdvance(Calendar,X187,W188,"f",FALSE)</f>
        <v>42095</v>
      </c>
      <c r="Y188" s="173">
        <f>_xll.qlCalendarAdvance(Calendar,X188,NDays&amp;"D")</f>
        <v>42095</v>
      </c>
      <c r="Z188" s="174">
        <v>6.4453523889729247E-4</v>
      </c>
      <c r="AA188" s="177"/>
    </row>
    <row r="189" spans="22:27" x14ac:dyDescent="0.2">
      <c r="V189" s="163"/>
      <c r="W189" s="158" t="str">
        <f t="shared" si="14"/>
        <v>1D</v>
      </c>
      <c r="X189" s="168">
        <f>_xll.qlCalendarAdvance(Calendar,X188,W189,"f",FALSE)</f>
        <v>42096</v>
      </c>
      <c r="Y189" s="173">
        <f>_xll.qlCalendarAdvance(Calendar,X189,NDays&amp;"D")</f>
        <v>42096</v>
      </c>
      <c r="Z189" s="174">
        <v>6.440798970641648E-4</v>
      </c>
      <c r="AA189" s="177"/>
    </row>
    <row r="190" spans="22:27" x14ac:dyDescent="0.2">
      <c r="V190" s="163"/>
      <c r="W190" s="158" t="str">
        <f t="shared" si="14"/>
        <v>1D</v>
      </c>
      <c r="X190" s="168">
        <f>_xll.qlCalendarAdvance(Calendar,X189,W190,"f",FALSE)</f>
        <v>42097</v>
      </c>
      <c r="Y190" s="173">
        <f>_xll.qlCalendarAdvance(Calendar,X190,NDays&amp;"D")</f>
        <v>42097</v>
      </c>
      <c r="Z190" s="174">
        <v>6.4294521217589395E-4</v>
      </c>
      <c r="AA190" s="177"/>
    </row>
    <row r="191" spans="22:27" x14ac:dyDescent="0.2">
      <c r="V191" s="163"/>
      <c r="W191" s="158" t="str">
        <f t="shared" si="14"/>
        <v>1D</v>
      </c>
      <c r="X191" s="168">
        <f>_xll.qlCalendarAdvance(Calendar,X190,W191,"f",FALSE)</f>
        <v>42100</v>
      </c>
      <c r="Y191" s="173">
        <f>_xll.qlCalendarAdvance(Calendar,X191,NDays&amp;"D")</f>
        <v>42100</v>
      </c>
      <c r="Z191" s="174">
        <v>6.4158312844342369E-4</v>
      </c>
      <c r="AA191" s="177"/>
    </row>
    <row r="192" spans="22:27" x14ac:dyDescent="0.2">
      <c r="V192" s="163"/>
      <c r="W192" s="158" t="str">
        <f t="shared" si="14"/>
        <v>1D</v>
      </c>
      <c r="X192" s="168">
        <f>_xll.qlCalendarAdvance(Calendar,X191,W192,"f",FALSE)</f>
        <v>42101</v>
      </c>
      <c r="Y192" s="173">
        <f>_xll.qlCalendarAdvance(Calendar,X192,NDays&amp;"D")</f>
        <v>42101</v>
      </c>
      <c r="Z192" s="174">
        <v>6.4079008604722709E-4</v>
      </c>
      <c r="AA192" s="177"/>
    </row>
    <row r="193" spans="22:27" x14ac:dyDescent="0.2">
      <c r="V193" s="163"/>
      <c r="W193" s="158" t="str">
        <f t="shared" si="14"/>
        <v>1D</v>
      </c>
      <c r="X193" s="168">
        <f>_xll.qlCalendarAdvance(Calendar,X192,W193,"f",FALSE)</f>
        <v>42102</v>
      </c>
      <c r="Y193" s="173">
        <f>_xll.qlCalendarAdvance(Calendar,X193,NDays&amp;"D")</f>
        <v>42102</v>
      </c>
      <c r="Z193" s="174">
        <v>6.3992950340874266E-4</v>
      </c>
      <c r="AA193" s="177"/>
    </row>
    <row r="194" spans="22:27" x14ac:dyDescent="0.2">
      <c r="V194" s="163"/>
      <c r="W194" s="158" t="str">
        <f t="shared" si="14"/>
        <v>1D</v>
      </c>
      <c r="X194" s="168">
        <f>_xll.qlCalendarAdvance(Calendar,X193,W194,"f",FALSE)</f>
        <v>42103</v>
      </c>
      <c r="Y194" s="173">
        <f>_xll.qlCalendarAdvance(Calendar,X194,NDays&amp;"D")</f>
        <v>42103</v>
      </c>
      <c r="Z194" s="174">
        <v>6.3900138077110924E-4</v>
      </c>
      <c r="AA194" s="177"/>
    </row>
    <row r="195" spans="22:27" x14ac:dyDescent="0.2">
      <c r="V195" s="163"/>
      <c r="W195" s="158" t="str">
        <f t="shared" si="14"/>
        <v>1D</v>
      </c>
      <c r="X195" s="168">
        <f>_xll.qlCalendarAdvance(Calendar,X194,W195,"f",FALSE)</f>
        <v>42104</v>
      </c>
      <c r="Y195" s="173">
        <f>_xll.qlCalendarAdvance(Calendar,X195,NDays&amp;"D")</f>
        <v>42104</v>
      </c>
      <c r="Z195" s="174">
        <v>6.3692111303970133E-4</v>
      </c>
      <c r="AA195" s="177"/>
    </row>
    <row r="196" spans="22:27" x14ac:dyDescent="0.2">
      <c r="V196" s="163"/>
      <c r="W196" s="158" t="str">
        <f t="shared" si="14"/>
        <v>1D</v>
      </c>
      <c r="X196" s="168">
        <f>_xll.qlCalendarAdvance(Calendar,X195,W196,"f",FALSE)</f>
        <v>42107</v>
      </c>
      <c r="Y196" s="173">
        <f>_xll.qlCalendarAdvance(Calendar,X196,NDays&amp;"D")</f>
        <v>42107</v>
      </c>
      <c r="Z196" s="174">
        <v>6.3461348877025259E-4</v>
      </c>
      <c r="AA196" s="177"/>
    </row>
    <row r="197" spans="22:27" x14ac:dyDescent="0.2">
      <c r="V197" s="163"/>
      <c r="W197" s="158" t="str">
        <f t="shared" si="14"/>
        <v>1D</v>
      </c>
      <c r="X197" s="168">
        <f>_xll.qlCalendarAdvance(Calendar,X196,W197,"f",FALSE)</f>
        <v>42108</v>
      </c>
      <c r="Y197" s="173">
        <f>_xll.qlCalendarAdvance(Calendar,X197,NDays&amp;"D")</f>
        <v>42108</v>
      </c>
      <c r="Z197" s="174">
        <v>6.3336173447448019E-4</v>
      </c>
      <c r="AA197" s="177"/>
    </row>
    <row r="198" spans="22:27" x14ac:dyDescent="0.2">
      <c r="V198" s="163"/>
      <c r="W198" s="158" t="str">
        <f t="shared" si="14"/>
        <v>1D</v>
      </c>
      <c r="X198" s="168">
        <f>_xll.qlCalendarAdvance(Calendar,X197,W198,"f",FALSE)</f>
        <v>42109</v>
      </c>
      <c r="Y198" s="173">
        <f>_xll.qlCalendarAdvance(Calendar,X198,NDays&amp;"D")</f>
        <v>42109</v>
      </c>
      <c r="Z198" s="174">
        <v>6.3211278494734735E-4</v>
      </c>
      <c r="AA198" s="177"/>
    </row>
    <row r="199" spans="22:27" x14ac:dyDescent="0.2">
      <c r="V199" s="163"/>
      <c r="W199" s="158" t="str">
        <f t="shared" si="14"/>
        <v>1D</v>
      </c>
      <c r="X199" s="168">
        <f>_xll.qlCalendarAdvance(Calendar,X198,W199,"f",FALSE)</f>
        <v>42110</v>
      </c>
      <c r="Y199" s="173">
        <f>_xll.qlCalendarAdvance(Calendar,X199,NDays&amp;"D")</f>
        <v>42110</v>
      </c>
      <c r="Z199" s="174">
        <v>6.3088070925587658E-4</v>
      </c>
      <c r="AA199" s="177"/>
    </row>
    <row r="200" spans="22:27" x14ac:dyDescent="0.2">
      <c r="V200" s="163"/>
      <c r="W200" s="158" t="str">
        <f t="shared" si="14"/>
        <v>1D</v>
      </c>
      <c r="X200" s="168">
        <f>_xll.qlCalendarAdvance(Calendar,X199,W200,"f",FALSE)</f>
        <v>42111</v>
      </c>
      <c r="Y200" s="173">
        <f>_xll.qlCalendarAdvance(Calendar,X200,NDays&amp;"D")</f>
        <v>42111</v>
      </c>
      <c r="Z200" s="174">
        <v>6.2847388606771903E-4</v>
      </c>
      <c r="AA200" s="177"/>
    </row>
    <row r="201" spans="22:27" x14ac:dyDescent="0.2">
      <c r="V201" s="163"/>
      <c r="W201" s="158" t="str">
        <f t="shared" si="14"/>
        <v>1D</v>
      </c>
      <c r="X201" s="168">
        <f>_xll.qlCalendarAdvance(Calendar,X200,W201,"f",FALSE)</f>
        <v>42114</v>
      </c>
      <c r="Y201" s="173">
        <f>_xll.qlCalendarAdvance(Calendar,X201,NDays&amp;"D")</f>
        <v>42114</v>
      </c>
      <c r="Z201" s="174">
        <v>6.2612114460347534E-4</v>
      </c>
      <c r="AA201" s="177"/>
    </row>
    <row r="202" spans="22:27" x14ac:dyDescent="0.2">
      <c r="V202" s="163"/>
      <c r="W202" s="158" t="str">
        <f t="shared" si="14"/>
        <v>1D</v>
      </c>
      <c r="X202" s="168">
        <f>_xll.qlCalendarAdvance(Calendar,X201,W202,"f",FALSE)</f>
        <v>42115</v>
      </c>
      <c r="Y202" s="173">
        <f>_xll.qlCalendarAdvance(Calendar,X202,NDays&amp;"D")</f>
        <v>42115</v>
      </c>
      <c r="Z202" s="174">
        <v>6.2497343792822235E-4</v>
      </c>
      <c r="AA202" s="177"/>
    </row>
    <row r="203" spans="22:27" x14ac:dyDescent="0.2">
      <c r="V203" s="163"/>
      <c r="W203" s="158" t="str">
        <f t="shared" si="14"/>
        <v>1D</v>
      </c>
      <c r="X203" s="168">
        <f>_xll.qlCalendarAdvance(Calendar,X202,W203,"f",FALSE)</f>
        <v>42116</v>
      </c>
      <c r="Y203" s="173">
        <f>_xll.qlCalendarAdvance(Calendar,X203,NDays&amp;"D")</f>
        <v>42116</v>
      </c>
      <c r="Z203" s="174">
        <v>6.2384260508863143E-4</v>
      </c>
      <c r="AA203" s="177"/>
    </row>
    <row r="204" spans="22:27" x14ac:dyDescent="0.2">
      <c r="V204" s="163"/>
      <c r="W204" s="158" t="str">
        <f t="shared" si="14"/>
        <v>1D</v>
      </c>
      <c r="X204" s="168">
        <f>_xll.qlCalendarAdvance(Calendar,X203,W204,"f",FALSE)</f>
        <v>42117</v>
      </c>
      <c r="Y204" s="173">
        <f>_xll.qlCalendarAdvance(Calendar,X204,NDays&amp;"D")</f>
        <v>42117</v>
      </c>
      <c r="Z204" s="174">
        <v>6.2272864608470258E-4</v>
      </c>
      <c r="AA204" s="177"/>
    </row>
    <row r="205" spans="22:27" x14ac:dyDescent="0.2">
      <c r="V205" s="163"/>
      <c r="W205" s="158" t="str">
        <f t="shared" ref="W205:W268" si="15">W204</f>
        <v>1D</v>
      </c>
      <c r="X205" s="168">
        <f>_xll.qlCalendarAdvance(Calendar,X204,W205,"f",FALSE)</f>
        <v>42118</v>
      </c>
      <c r="Y205" s="173">
        <f>_xll.qlCalendarAdvance(Calendar,X205,NDays&amp;"D")</f>
        <v>42118</v>
      </c>
      <c r="Z205" s="174">
        <v>6.205580290670939E-4</v>
      </c>
      <c r="AA205" s="177"/>
    </row>
    <row r="206" spans="22:27" x14ac:dyDescent="0.2">
      <c r="V206" s="163"/>
      <c r="W206" s="158" t="str">
        <f t="shared" si="15"/>
        <v>1D</v>
      </c>
      <c r="X206" s="168">
        <f>_xll.qlCalendarAdvance(Calendar,X205,W206,"f",FALSE)</f>
        <v>42121</v>
      </c>
      <c r="Y206" s="173">
        <f>_xll.qlCalendarAdvance(Calendar,X206,NDays&amp;"D")</f>
        <v>42121</v>
      </c>
      <c r="Z206" s="174">
        <v>6.1844154793933015E-4</v>
      </c>
      <c r="AA206" s="177"/>
    </row>
    <row r="207" spans="22:27" x14ac:dyDescent="0.2">
      <c r="V207" s="163"/>
      <c r="W207" s="158" t="str">
        <f t="shared" si="15"/>
        <v>1D</v>
      </c>
      <c r="X207" s="168">
        <f>_xll.qlCalendarAdvance(Calendar,X206,W207,"f",FALSE)</f>
        <v>42122</v>
      </c>
      <c r="Y207" s="173">
        <f>_xll.qlCalendarAdvance(Calendar,X207,NDays&amp;"D")</f>
        <v>42122</v>
      </c>
      <c r="Z207" s="174">
        <v>6.169061212057958E-4</v>
      </c>
      <c r="AA207" s="177"/>
    </row>
    <row r="208" spans="22:27" x14ac:dyDescent="0.2">
      <c r="V208" s="163"/>
      <c r="W208" s="158" t="str">
        <f t="shared" si="15"/>
        <v>1D</v>
      </c>
      <c r="X208" s="168">
        <f>_xll.qlCalendarAdvance(Calendar,X207,W208,"f",FALSE)</f>
        <v>42124</v>
      </c>
      <c r="Y208" s="173">
        <f>_xll.qlCalendarAdvance(Calendar,X208,NDays&amp;"D")</f>
        <v>42124</v>
      </c>
      <c r="Z208" s="174">
        <v>6.1540339940213684E-4</v>
      </c>
      <c r="AA208" s="177"/>
    </row>
    <row r="209" spans="22:27" x14ac:dyDescent="0.2">
      <c r="V209" s="163"/>
      <c r="W209" s="158" t="str">
        <f t="shared" si="15"/>
        <v>1D</v>
      </c>
      <c r="X209" s="168">
        <f>_xll.qlCalendarAdvance(Calendar,X208,W209,"f",FALSE)</f>
        <v>42125</v>
      </c>
      <c r="Y209" s="173">
        <f>_xll.qlCalendarAdvance(Calendar,X209,NDays&amp;"D")</f>
        <v>42125</v>
      </c>
      <c r="Z209" s="174">
        <v>6.120780058125701E-4</v>
      </c>
      <c r="AA209" s="177"/>
    </row>
    <row r="210" spans="22:27" x14ac:dyDescent="0.2">
      <c r="V210" s="163"/>
      <c r="W210" s="158" t="str">
        <f t="shared" si="15"/>
        <v>1D</v>
      </c>
      <c r="X210" s="168">
        <f>_xll.qlCalendarAdvance(Calendar,X209,W210,"f",FALSE)</f>
        <v>42131</v>
      </c>
      <c r="Y210" s="173">
        <f>_xll.qlCalendarAdvance(Calendar,X210,NDays&amp;"D")</f>
        <v>42131</v>
      </c>
      <c r="Z210" s="174">
        <v>6.089049691271331E-4</v>
      </c>
      <c r="AA210" s="177"/>
    </row>
    <row r="211" spans="22:27" x14ac:dyDescent="0.2">
      <c r="V211" s="163"/>
      <c r="W211" s="158" t="str">
        <f t="shared" si="15"/>
        <v>1D</v>
      </c>
      <c r="X211" s="168">
        <f>_xll.qlCalendarAdvance(Calendar,X210,W211,"f",FALSE)</f>
        <v>42132</v>
      </c>
      <c r="Y211" s="173">
        <f>_xll.qlCalendarAdvance(Calendar,X211,NDays&amp;"D")</f>
        <v>42132</v>
      </c>
      <c r="Z211" s="174">
        <v>6.0720677371691367E-4</v>
      </c>
      <c r="AA211" s="177"/>
    </row>
    <row r="212" spans="22:27" x14ac:dyDescent="0.2">
      <c r="V212" s="163"/>
      <c r="W212" s="158" t="str">
        <f t="shared" si="15"/>
        <v>1D</v>
      </c>
      <c r="X212" s="168">
        <f>_xll.qlCalendarAdvance(Calendar,X211,W212,"f",FALSE)</f>
        <v>42135</v>
      </c>
      <c r="Y212" s="173">
        <f>_xll.qlCalendarAdvance(Calendar,X212,NDays&amp;"D")</f>
        <v>42135</v>
      </c>
      <c r="Z212" s="174">
        <v>6.0556280407686458E-4</v>
      </c>
      <c r="AA212" s="177"/>
    </row>
    <row r="213" spans="22:27" x14ac:dyDescent="0.2">
      <c r="V213" s="163"/>
      <c r="W213" s="158" t="str">
        <f t="shared" si="15"/>
        <v>1D</v>
      </c>
      <c r="X213" s="168">
        <f>_xll.qlCalendarAdvance(Calendar,X212,W213,"f",FALSE)</f>
        <v>42136</v>
      </c>
      <c r="Y213" s="173">
        <f>_xll.qlCalendarAdvance(Calendar,X213,NDays&amp;"D")</f>
        <v>42136</v>
      </c>
      <c r="Z213" s="174">
        <v>6.0476944730214477E-4</v>
      </c>
      <c r="AA213" s="177"/>
    </row>
    <row r="214" spans="22:27" x14ac:dyDescent="0.2">
      <c r="V214" s="163"/>
      <c r="W214" s="158" t="str">
        <f t="shared" si="15"/>
        <v>1D</v>
      </c>
      <c r="X214" s="168">
        <f>_xll.qlCalendarAdvance(Calendar,X213,W214,"f",FALSE)</f>
        <v>42137</v>
      </c>
      <c r="Y214" s="173">
        <f>_xll.qlCalendarAdvance(Calendar,X214,NDays&amp;"D")</f>
        <v>42137</v>
      </c>
      <c r="Z214" s="174">
        <v>6.0399296436308703E-4</v>
      </c>
      <c r="AA214" s="177"/>
    </row>
    <row r="215" spans="22:27" x14ac:dyDescent="0.2">
      <c r="V215" s="163"/>
      <c r="W215" s="158" t="str">
        <f t="shared" si="15"/>
        <v>1D</v>
      </c>
      <c r="X215" s="168">
        <f>_xll.qlCalendarAdvance(Calendar,X214,W215,"f",FALSE)</f>
        <v>42138</v>
      </c>
      <c r="Y215" s="173">
        <f>_xll.qlCalendarAdvance(Calendar,X215,NDays&amp;"D")</f>
        <v>42138</v>
      </c>
      <c r="Z215" s="174">
        <v>6.0323335525969135E-4</v>
      </c>
      <c r="AA215" s="177"/>
    </row>
    <row r="216" spans="22:27" x14ac:dyDescent="0.2">
      <c r="V216" s="163"/>
      <c r="W216" s="158" t="str">
        <f t="shared" si="15"/>
        <v>1D</v>
      </c>
      <c r="X216" s="168">
        <f>_xll.qlCalendarAdvance(Calendar,X215,W216,"f",FALSE)</f>
        <v>42139</v>
      </c>
      <c r="Y216" s="173">
        <f>_xll.qlCalendarAdvance(Calendar,X216,NDays&amp;"D")</f>
        <v>42139</v>
      </c>
      <c r="Z216" s="174">
        <v>6.0177137507018885E-4</v>
      </c>
      <c r="AA216" s="177"/>
    </row>
    <row r="217" spans="22:27" x14ac:dyDescent="0.2">
      <c r="V217" s="163"/>
      <c r="W217" s="158" t="str">
        <f t="shared" si="15"/>
        <v>1D</v>
      </c>
      <c r="X217" s="168">
        <f>_xll.qlCalendarAdvance(Calendar,X216,W217,"f",FALSE)</f>
        <v>42142</v>
      </c>
      <c r="Y217" s="173">
        <f>_xll.qlCalendarAdvance(Calendar,X217,NDays&amp;"D")</f>
        <v>42142</v>
      </c>
      <c r="Z217" s="174">
        <v>6.0036365671645164E-4</v>
      </c>
      <c r="AA217" s="177"/>
    </row>
    <row r="218" spans="22:27" x14ac:dyDescent="0.2">
      <c r="V218" s="163"/>
      <c r="W218" s="158" t="str">
        <f t="shared" si="15"/>
        <v>1D</v>
      </c>
      <c r="X218" s="168">
        <f>_xll.qlCalendarAdvance(Calendar,X217,W218,"f",FALSE)</f>
        <v>42143</v>
      </c>
      <c r="Y218" s="173">
        <f>_xll.qlCalendarAdvance(Calendar,X218,NDays&amp;"D")</f>
        <v>42143</v>
      </c>
      <c r="Z218" s="174">
        <v>5.9968841654822747E-4</v>
      </c>
      <c r="AA218" s="177"/>
    </row>
    <row r="219" spans="22:27" x14ac:dyDescent="0.2">
      <c r="V219" s="163"/>
      <c r="W219" s="158" t="str">
        <f t="shared" si="15"/>
        <v>1D</v>
      </c>
      <c r="X219" s="168">
        <f>_xll.qlCalendarAdvance(Calendar,X218,W219,"f",FALSE)</f>
        <v>42144</v>
      </c>
      <c r="Y219" s="173">
        <f>_xll.qlCalendarAdvance(Calendar,X219,NDays&amp;"D")</f>
        <v>42144</v>
      </c>
      <c r="Z219" s="174">
        <v>5.9903005021566536E-4</v>
      </c>
      <c r="AA219" s="177"/>
    </row>
    <row r="220" spans="22:27" x14ac:dyDescent="0.2">
      <c r="V220" s="163"/>
      <c r="W220" s="158" t="str">
        <f t="shared" si="15"/>
        <v>1D</v>
      </c>
      <c r="X220" s="168">
        <f>_xll.qlCalendarAdvance(Calendar,X219,W220,"f",FALSE)</f>
        <v>42145</v>
      </c>
      <c r="Y220" s="173">
        <f>_xll.qlCalendarAdvance(Calendar,X220,NDays&amp;"D")</f>
        <v>42145</v>
      </c>
      <c r="Z220" s="174">
        <v>5.9838855771876531E-4</v>
      </c>
      <c r="AA220" s="177"/>
    </row>
    <row r="221" spans="22:27" x14ac:dyDescent="0.2">
      <c r="V221" s="163"/>
      <c r="W221" s="158" t="str">
        <f t="shared" si="15"/>
        <v>1D</v>
      </c>
      <c r="X221" s="168">
        <f>_xll.qlCalendarAdvance(Calendar,X220,W221,"f",FALSE)</f>
        <v>42146</v>
      </c>
      <c r="Y221" s="173">
        <f>_xll.qlCalendarAdvance(Calendar,X221,NDays&amp;"D")</f>
        <v>42146</v>
      </c>
      <c r="Z221" s="174">
        <v>5.9716279566764585E-4</v>
      </c>
      <c r="AA221" s="177"/>
    </row>
    <row r="222" spans="22:27" x14ac:dyDescent="0.2">
      <c r="V222" s="163"/>
      <c r="W222" s="158" t="str">
        <f t="shared" si="15"/>
        <v>1D</v>
      </c>
      <c r="X222" s="168">
        <f>_xll.qlCalendarAdvance(Calendar,X221,W222,"f",FALSE)</f>
        <v>42149</v>
      </c>
      <c r="Y222" s="173">
        <f>_xll.qlCalendarAdvance(Calendar,X222,NDays&amp;"D")</f>
        <v>42149</v>
      </c>
      <c r="Z222" s="174">
        <v>5.9599132560150814E-4</v>
      </c>
      <c r="AA222" s="177"/>
    </row>
    <row r="223" spans="22:27" x14ac:dyDescent="0.2">
      <c r="V223" s="163"/>
      <c r="W223" s="158" t="str">
        <f t="shared" si="15"/>
        <v>1D</v>
      </c>
      <c r="X223" s="168">
        <f>_xll.qlCalendarAdvance(Calendar,X222,W223,"f",FALSE)</f>
        <v>42150</v>
      </c>
      <c r="Y223" s="173">
        <f>_xll.qlCalendarAdvance(Calendar,X223,NDays&amp;"D")</f>
        <v>42150</v>
      </c>
      <c r="Z223" s="174">
        <v>5.9543420212082587E-4</v>
      </c>
      <c r="AA223" s="177"/>
    </row>
    <row r="224" spans="22:27" x14ac:dyDescent="0.2">
      <c r="V224" s="163"/>
      <c r="W224" s="158" t="str">
        <f t="shared" si="15"/>
        <v>1D</v>
      </c>
      <c r="X224" s="168">
        <f>_xll.qlCalendarAdvance(Calendar,X223,W224,"f",FALSE)</f>
        <v>42151</v>
      </c>
      <c r="Y224" s="173">
        <f>_xll.qlCalendarAdvance(Calendar,X224,NDays&amp;"D")</f>
        <v>42151</v>
      </c>
      <c r="Z224" s="174">
        <v>5.948939523947594E-4</v>
      </c>
      <c r="AA224" s="177"/>
    </row>
    <row r="225" spans="22:27" x14ac:dyDescent="0.2">
      <c r="V225" s="163"/>
      <c r="W225" s="158" t="str">
        <f t="shared" si="15"/>
        <v>1D</v>
      </c>
      <c r="X225" s="168">
        <f>_xll.qlCalendarAdvance(Calendar,X224,W225,"f",FALSE)</f>
        <v>42152</v>
      </c>
      <c r="Y225" s="173">
        <f>_xll.qlCalendarAdvance(Calendar,X225,NDays&amp;"D")</f>
        <v>42152</v>
      </c>
      <c r="Z225" s="174">
        <v>5.9437057658540127E-4</v>
      </c>
      <c r="AA225" s="177"/>
    </row>
    <row r="226" spans="22:27" x14ac:dyDescent="0.2">
      <c r="V226" s="163"/>
      <c r="W226" s="158" t="str">
        <f t="shared" si="15"/>
        <v>1D</v>
      </c>
      <c r="X226" s="168">
        <f>_xll.qlCalendarAdvance(Calendar,X225,W226,"f",FALSE)</f>
        <v>42153</v>
      </c>
      <c r="Y226" s="173">
        <f>_xll.qlCalendarAdvance(Calendar,X226,NDays&amp;"D")</f>
        <v>42153</v>
      </c>
      <c r="Z226" s="174">
        <v>5.9338103537420761E-4</v>
      </c>
      <c r="AA226" s="177"/>
    </row>
    <row r="227" spans="22:27" x14ac:dyDescent="0.2">
      <c r="V227" s="163"/>
      <c r="W227" s="158" t="str">
        <f t="shared" si="15"/>
        <v>1D</v>
      </c>
      <c r="X227" s="168">
        <f>_xll.qlCalendarAdvance(Calendar,X226,W227,"f",FALSE)</f>
        <v>42156</v>
      </c>
      <c r="Y227" s="173">
        <f>_xll.qlCalendarAdvance(Calendar,X227,NDays&amp;"D")</f>
        <v>42156</v>
      </c>
      <c r="Z227" s="174">
        <v>5.9244581089412662E-4</v>
      </c>
      <c r="AA227" s="177"/>
    </row>
    <row r="228" spans="22:27" x14ac:dyDescent="0.2">
      <c r="V228" s="163"/>
      <c r="W228" s="158" t="str">
        <f t="shared" si="15"/>
        <v>1D</v>
      </c>
      <c r="X228" s="168">
        <f>_xll.qlCalendarAdvance(Calendar,X227,W228,"f",FALSE)</f>
        <v>42157</v>
      </c>
      <c r="Y228" s="173">
        <f>_xll.qlCalendarAdvance(Calendar,X228,NDays&amp;"D")</f>
        <v>42157</v>
      </c>
      <c r="Z228" s="174">
        <v>5.9200680401993999E-4</v>
      </c>
      <c r="AA228" s="177"/>
    </row>
    <row r="229" spans="22:27" x14ac:dyDescent="0.2">
      <c r="V229" s="163"/>
      <c r="W229" s="158" t="str">
        <f t="shared" si="15"/>
        <v>1D</v>
      </c>
      <c r="X229" s="168">
        <f>_xll.qlCalendarAdvance(Calendar,X228,W229,"f",FALSE)</f>
        <v>42158</v>
      </c>
      <c r="Y229" s="173">
        <f>_xll.qlCalendarAdvance(Calendar,X229,NDays&amp;"D")</f>
        <v>42158</v>
      </c>
      <c r="Z229" s="174">
        <v>5.9158467090036915E-4</v>
      </c>
      <c r="AA229" s="177"/>
    </row>
    <row r="230" spans="22:27" x14ac:dyDescent="0.2">
      <c r="V230" s="163"/>
      <c r="W230" s="158" t="str">
        <f t="shared" si="15"/>
        <v>1D</v>
      </c>
      <c r="X230" s="168">
        <f>_xll.qlCalendarAdvance(Calendar,X229,W230,"f",FALSE)</f>
        <v>42159</v>
      </c>
      <c r="Y230" s="173">
        <f>_xll.qlCalendarAdvance(Calendar,X230,NDays&amp;"D")</f>
        <v>42159</v>
      </c>
      <c r="Z230" s="174">
        <v>5.9117941161646037E-4</v>
      </c>
      <c r="AA230" s="177"/>
    </row>
    <row r="231" spans="22:27" x14ac:dyDescent="0.2">
      <c r="V231" s="163"/>
      <c r="W231" s="158" t="str">
        <f t="shared" si="15"/>
        <v>1D</v>
      </c>
      <c r="X231" s="168">
        <f>_xll.qlCalendarAdvance(Calendar,X230,W231,"f",FALSE)</f>
        <v>42160</v>
      </c>
      <c r="Y231" s="173">
        <f>_xll.qlCalendarAdvance(Calendar,X231,NDays&amp;"D")</f>
        <v>42160</v>
      </c>
      <c r="Z231" s="174">
        <v>5.9042609413584312E-4</v>
      </c>
      <c r="AA231" s="177"/>
    </row>
    <row r="232" spans="22:27" x14ac:dyDescent="0.2">
      <c r="V232" s="163"/>
      <c r="W232" s="158" t="str">
        <f t="shared" si="15"/>
        <v>1D</v>
      </c>
      <c r="X232" s="168">
        <f>_xll.qlCalendarAdvance(Calendar,X231,W232,"f",FALSE)</f>
        <v>42163</v>
      </c>
      <c r="Y232" s="173">
        <f>_xll.qlCalendarAdvance(Calendar,X232,NDays&amp;"D")</f>
        <v>42163</v>
      </c>
      <c r="Z232" s="174">
        <v>5.8972711243221454E-4</v>
      </c>
      <c r="AA232" s="177"/>
    </row>
    <row r="233" spans="22:27" x14ac:dyDescent="0.2">
      <c r="V233" s="163"/>
      <c r="W233" s="158" t="str">
        <f t="shared" si="15"/>
        <v>1D</v>
      </c>
      <c r="X233" s="168">
        <f>_xll.qlCalendarAdvance(Calendar,X232,W233,"f",FALSE)</f>
        <v>42164</v>
      </c>
      <c r="Y233" s="173">
        <f>_xll.qlCalendarAdvance(Calendar,X233,NDays&amp;"D")</f>
        <v>42164</v>
      </c>
      <c r="Z233" s="174">
        <v>5.8940622224556982E-4</v>
      </c>
      <c r="AA233" s="177"/>
    </row>
    <row r="234" spans="22:27" x14ac:dyDescent="0.2">
      <c r="V234" s="163"/>
      <c r="W234" s="158" t="str">
        <f t="shared" si="15"/>
        <v>1D</v>
      </c>
      <c r="X234" s="168">
        <f>_xll.qlCalendarAdvance(Calendar,X233,W234,"f",FALSE)</f>
        <v>42165</v>
      </c>
      <c r="Y234" s="173">
        <f>_xll.qlCalendarAdvance(Calendar,X234,NDays&amp;"D")</f>
        <v>42165</v>
      </c>
      <c r="Z234" s="174">
        <v>5.8910220565144833E-4</v>
      </c>
      <c r="AA234" s="177"/>
    </row>
    <row r="235" spans="22:27" x14ac:dyDescent="0.2">
      <c r="V235" s="163"/>
      <c r="W235" s="158" t="str">
        <f t="shared" si="15"/>
        <v>1D</v>
      </c>
      <c r="X235" s="168">
        <f>_xll.qlCalendarAdvance(Calendar,X234,W235,"f",FALSE)</f>
        <v>42166</v>
      </c>
      <c r="Y235" s="173">
        <f>_xll.qlCalendarAdvance(Calendar,X235,NDays&amp;"D")</f>
        <v>42166</v>
      </c>
      <c r="Z235" s="174">
        <v>5.8881506297403519E-4</v>
      </c>
      <c r="AA235" s="177"/>
    </row>
    <row r="236" spans="22:27" x14ac:dyDescent="0.2">
      <c r="V236" s="163"/>
      <c r="W236" s="158" t="str">
        <f t="shared" si="15"/>
        <v>1D</v>
      </c>
      <c r="X236" s="168">
        <f>_xll.qlCalendarAdvance(Calendar,X235,W236,"f",FALSE)</f>
        <v>42167</v>
      </c>
      <c r="Y236" s="173">
        <f>_xll.qlCalendarAdvance(Calendar,X236,NDays&amp;"D")</f>
        <v>42167</v>
      </c>
      <c r="Z236" s="174">
        <v>5.8829797184449073E-4</v>
      </c>
      <c r="AA236" s="177"/>
    </row>
    <row r="237" spans="22:27" x14ac:dyDescent="0.2">
      <c r="V237" s="163"/>
      <c r="W237" s="158" t="str">
        <f t="shared" si="15"/>
        <v>1D</v>
      </c>
      <c r="X237" s="168">
        <f>_xll.qlCalendarAdvance(Calendar,X236,W237,"f",FALSE)</f>
        <v>42170</v>
      </c>
      <c r="Y237" s="173">
        <f>_xll.qlCalendarAdvance(Calendar,X237,NDays&amp;"D")</f>
        <v>42170</v>
      </c>
      <c r="Z237" s="174">
        <v>5.8783523029681817E-4</v>
      </c>
      <c r="AA237" s="177"/>
    </row>
    <row r="238" spans="22:27" x14ac:dyDescent="0.2">
      <c r="V238" s="163"/>
      <c r="W238" s="158" t="str">
        <f t="shared" si="15"/>
        <v>1D</v>
      </c>
      <c r="X238" s="168">
        <f>_xll.qlCalendarAdvance(Calendar,X237,W238,"f",FALSE)</f>
        <v>42171</v>
      </c>
      <c r="Y238" s="173">
        <f>_xll.qlCalendarAdvance(Calendar,X238,NDays&amp;"D")</f>
        <v>42171</v>
      </c>
      <c r="Z238" s="174">
        <v>5.876324566356228E-4</v>
      </c>
      <c r="AA238" s="177"/>
    </row>
    <row r="239" spans="22:27" x14ac:dyDescent="0.2">
      <c r="V239" s="163"/>
      <c r="W239" s="158" t="str">
        <f t="shared" si="15"/>
        <v>1D</v>
      </c>
      <c r="X239" s="168">
        <f>_xll.qlCalendarAdvance(Calendar,X238,W239,"f",FALSE)</f>
        <v>42172</v>
      </c>
      <c r="Y239" s="173">
        <f>_xll.qlCalendarAdvance(Calendar,X239,NDays&amp;"D")</f>
        <v>42172</v>
      </c>
      <c r="Z239" s="174">
        <v>5.8744655672904322E-4</v>
      </c>
      <c r="AA239" s="177"/>
    </row>
    <row r="240" spans="22:27" x14ac:dyDescent="0.2">
      <c r="V240" s="163"/>
      <c r="W240" s="158" t="str">
        <f t="shared" si="15"/>
        <v>1D</v>
      </c>
      <c r="X240" s="168">
        <f>_xll.qlCalendarAdvance(Calendar,X239,W240,"f",FALSE)</f>
        <v>42173</v>
      </c>
      <c r="Y240" s="173">
        <f>_xll.qlCalendarAdvance(Calendar,X240,NDays&amp;"D")</f>
        <v>42173</v>
      </c>
      <c r="Z240" s="174">
        <v>5.8727753065812571E-4</v>
      </c>
      <c r="AA240" s="177"/>
    </row>
    <row r="241" spans="22:27" x14ac:dyDescent="0.2">
      <c r="V241" s="163"/>
      <c r="W241" s="158" t="str">
        <f t="shared" si="15"/>
        <v>1D</v>
      </c>
      <c r="X241" s="168">
        <f>_xll.qlCalendarAdvance(Calendar,X240,W241,"f",FALSE)</f>
        <v>42174</v>
      </c>
      <c r="Y241" s="173">
        <f>_xll.qlCalendarAdvance(Calendar,X241,NDays&amp;"D")</f>
        <v>42174</v>
      </c>
      <c r="Z241" s="174">
        <v>5.8699666850015053E-4</v>
      </c>
      <c r="AA241" s="177"/>
    </row>
    <row r="242" spans="22:27" x14ac:dyDescent="0.2">
      <c r="V242" s="163"/>
      <c r="W242" s="158" t="str">
        <f t="shared" si="15"/>
        <v>1D</v>
      </c>
      <c r="X242" s="168">
        <f>_xll.qlCalendarAdvance(Calendar,X241,W242,"f",FALSE)</f>
        <v>42177</v>
      </c>
      <c r="Y242" s="173">
        <f>_xll.qlCalendarAdvance(Calendar,X242,NDays&amp;"D")</f>
        <v>42177</v>
      </c>
      <c r="Z242" s="174">
        <v>5.8677016432584495E-4</v>
      </c>
      <c r="AA242" s="177"/>
    </row>
    <row r="243" spans="22:27" x14ac:dyDescent="0.2">
      <c r="V243" s="163"/>
      <c r="W243" s="158" t="str">
        <f t="shared" si="15"/>
        <v>1D</v>
      </c>
      <c r="X243" s="168">
        <f>_xll.qlCalendarAdvance(Calendar,X242,W243,"f",FALSE)</f>
        <v>42178</v>
      </c>
      <c r="Y243" s="173">
        <f>_xll.qlCalendarAdvance(Calendar,X243,NDays&amp;"D")</f>
        <v>42178</v>
      </c>
      <c r="Z243" s="174">
        <v>5.8668550727114521E-4</v>
      </c>
      <c r="AA243" s="177"/>
    </row>
    <row r="244" spans="22:27" x14ac:dyDescent="0.2">
      <c r="V244" s="163"/>
      <c r="W244" s="158" t="str">
        <f t="shared" si="15"/>
        <v>1D</v>
      </c>
      <c r="X244" s="168">
        <f>_xll.qlCalendarAdvance(Calendar,X243,W244,"f",FALSE)</f>
        <v>42179</v>
      </c>
      <c r="Y244" s="173">
        <f>_xll.qlCalendarAdvance(Calendar,X244,NDays&amp;"D")</f>
        <v>42179</v>
      </c>
      <c r="Z244" s="174">
        <v>5.8661772405210755E-4</v>
      </c>
      <c r="AA244" s="177"/>
    </row>
    <row r="245" spans="22:27" x14ac:dyDescent="0.2">
      <c r="V245" s="163"/>
      <c r="W245" s="158" t="str">
        <f t="shared" si="15"/>
        <v>1D</v>
      </c>
      <c r="X245" s="168">
        <f>_xll.qlCalendarAdvance(Calendar,X244,W245,"f",FALSE)</f>
        <v>42180</v>
      </c>
      <c r="Y245" s="173">
        <f>_xll.qlCalendarAdvance(Calendar,X245,NDays&amp;"D")</f>
        <v>42180</v>
      </c>
      <c r="Z245" s="174">
        <v>5.8656681450663939E-4</v>
      </c>
      <c r="AA245" s="177"/>
    </row>
    <row r="246" spans="22:27" x14ac:dyDescent="0.2">
      <c r="V246" s="163"/>
      <c r="W246" s="158" t="str">
        <f t="shared" si="15"/>
        <v>1D</v>
      </c>
      <c r="X246" s="168">
        <f>_xll.qlCalendarAdvance(Calendar,X245,W246,"f",FALSE)</f>
        <v>42181</v>
      </c>
      <c r="Y246" s="173">
        <f>_xll.qlCalendarAdvance(Calendar,X246,NDays&amp;"D")</f>
        <v>42181</v>
      </c>
      <c r="Z246" s="174">
        <v>5.8652218407580692E-4</v>
      </c>
      <c r="AA246" s="177"/>
    </row>
    <row r="247" spans="22:27" x14ac:dyDescent="0.2">
      <c r="V247" s="163"/>
      <c r="W247" s="158" t="str">
        <f t="shared" si="15"/>
        <v>1D</v>
      </c>
      <c r="X247" s="168">
        <f>_xll.qlCalendarAdvance(Calendar,X246,W247,"f",FALSE)</f>
        <v>42184</v>
      </c>
      <c r="Y247" s="173">
        <f>_xll.qlCalendarAdvance(Calendar,X247,NDays&amp;"D")</f>
        <v>42184</v>
      </c>
      <c r="Z247" s="174">
        <v>5.8653191460034115E-4</v>
      </c>
      <c r="AA247" s="177"/>
    </row>
    <row r="248" spans="22:27" x14ac:dyDescent="0.2">
      <c r="V248" s="163"/>
      <c r="W248" s="158" t="str">
        <f t="shared" si="15"/>
        <v>1D</v>
      </c>
      <c r="X248" s="168">
        <f>_xll.qlCalendarAdvance(Calendar,X247,W248,"f",FALSE)</f>
        <v>42185</v>
      </c>
      <c r="Y248" s="173">
        <f>_xll.qlCalendarAdvance(Calendar,X248,NDays&amp;"D")</f>
        <v>42185</v>
      </c>
      <c r="Z248" s="174">
        <v>5.8656537415213705E-4</v>
      </c>
      <c r="AA248" s="177"/>
    </row>
    <row r="249" spans="22:27" x14ac:dyDescent="0.2">
      <c r="V249" s="163"/>
      <c r="W249" s="158" t="str">
        <f t="shared" si="15"/>
        <v>1D</v>
      </c>
      <c r="X249" s="168">
        <f>_xll.qlCalendarAdvance(Calendar,X248,W249,"f",FALSE)</f>
        <v>42186</v>
      </c>
      <c r="Y249" s="173">
        <f>_xll.qlCalendarAdvance(Calendar,X249,NDays&amp;"D")</f>
        <v>42186</v>
      </c>
      <c r="Z249" s="174">
        <v>5.8661570753959502E-4</v>
      </c>
      <c r="AA249" s="177"/>
    </row>
    <row r="250" spans="22:27" x14ac:dyDescent="0.2">
      <c r="V250" s="163"/>
      <c r="W250" s="158" t="str">
        <f t="shared" si="15"/>
        <v>1D</v>
      </c>
      <c r="X250" s="168">
        <f>_xll.qlCalendarAdvance(Calendar,X249,W250,"f",FALSE)</f>
        <v>42187</v>
      </c>
      <c r="Y250" s="173">
        <f>_xll.qlCalendarAdvance(Calendar,X250,NDays&amp;"D")</f>
        <v>42187</v>
      </c>
      <c r="Z250" s="174">
        <v>5.8668291468166878E-4</v>
      </c>
      <c r="AA250" s="177"/>
    </row>
    <row r="251" spans="22:27" x14ac:dyDescent="0.2">
      <c r="V251" s="163"/>
      <c r="W251" s="158" t="str">
        <f t="shared" si="15"/>
        <v>1D</v>
      </c>
      <c r="X251" s="168">
        <f>_xll.qlCalendarAdvance(Calendar,X250,W251,"f",FALSE)</f>
        <v>42188</v>
      </c>
      <c r="Y251" s="173">
        <f>_xll.qlCalendarAdvance(Calendar,X251,NDays&amp;"D")</f>
        <v>42188</v>
      </c>
      <c r="Z251" s="174">
        <v>5.8687451854444472E-4</v>
      </c>
      <c r="AA251" s="177"/>
    </row>
    <row r="252" spans="22:27" x14ac:dyDescent="0.2">
      <c r="V252" s="163"/>
      <c r="W252" s="158" t="str">
        <f t="shared" si="15"/>
        <v>1D</v>
      </c>
      <c r="X252" s="168">
        <f>_xll.qlCalendarAdvance(Calendar,X251,W252,"f",FALSE)</f>
        <v>42191</v>
      </c>
      <c r="Y252" s="173">
        <f>_xll.qlCalendarAdvance(Calendar,X252,NDays&amp;"D")</f>
        <v>42191</v>
      </c>
      <c r="Z252" s="174">
        <v>5.8712048120135307E-4</v>
      </c>
      <c r="AA252" s="177"/>
    </row>
    <row r="253" spans="22:27" x14ac:dyDescent="0.2">
      <c r="V253" s="163"/>
      <c r="W253" s="158" t="str">
        <f t="shared" si="15"/>
        <v>1D</v>
      </c>
      <c r="X253" s="168">
        <f>_xll.qlCalendarAdvance(Calendar,X252,W253,"f",FALSE)</f>
        <v>42192</v>
      </c>
      <c r="Y253" s="173">
        <f>_xll.qlCalendarAdvance(Calendar,X253,NDays&amp;"D")</f>
        <v>42192</v>
      </c>
      <c r="Z253" s="174">
        <v>5.8727205735964461E-4</v>
      </c>
      <c r="AA253" s="177"/>
    </row>
    <row r="254" spans="22:27" x14ac:dyDescent="0.2">
      <c r="V254" s="163"/>
      <c r="W254" s="158" t="str">
        <f t="shared" si="15"/>
        <v>1D</v>
      </c>
      <c r="X254" s="168">
        <f>_xll.qlCalendarAdvance(Calendar,X253,W254,"f",FALSE)</f>
        <v>42193</v>
      </c>
      <c r="Y254" s="173">
        <f>_xll.qlCalendarAdvance(Calendar,X254,NDays&amp;"D")</f>
        <v>42193</v>
      </c>
      <c r="Z254" s="174">
        <v>5.8744050727255193E-4</v>
      </c>
      <c r="AA254" s="177"/>
    </row>
    <row r="255" spans="22:27" x14ac:dyDescent="0.2">
      <c r="V255" s="163"/>
      <c r="W255" s="158" t="str">
        <f t="shared" si="15"/>
        <v>1D</v>
      </c>
      <c r="X255" s="168">
        <f>_xll.qlCalendarAdvance(Calendar,X254,W255,"f",FALSE)</f>
        <v>42194</v>
      </c>
      <c r="Y255" s="173">
        <f>_xll.qlCalendarAdvance(Calendar,X255,NDays&amp;"D")</f>
        <v>42194</v>
      </c>
      <c r="Z255" s="174">
        <v>5.8762583102112131E-4</v>
      </c>
      <c r="AA255" s="177"/>
    </row>
    <row r="256" spans="22:27" x14ac:dyDescent="0.2">
      <c r="V256" s="163"/>
      <c r="W256" s="158" t="str">
        <f t="shared" si="15"/>
        <v>1D</v>
      </c>
      <c r="X256" s="168">
        <f>_xll.qlCalendarAdvance(Calendar,X255,W256,"f",FALSE)</f>
        <v>42195</v>
      </c>
      <c r="Y256" s="173">
        <f>_xll.qlCalendarAdvance(Calendar,X256,NDays&amp;"D")</f>
        <v>42195</v>
      </c>
      <c r="Z256" s="174">
        <v>5.8805367193307911E-4</v>
      </c>
      <c r="AA256" s="177"/>
    </row>
    <row r="257" spans="22:27" x14ac:dyDescent="0.2">
      <c r="V257" s="163"/>
      <c r="W257" s="158" t="str">
        <f t="shared" si="15"/>
        <v>1D</v>
      </c>
      <c r="X257" s="168">
        <f>_xll.qlCalendarAdvance(Calendar,X256,W257,"f",FALSE)</f>
        <v>42198</v>
      </c>
      <c r="Y257" s="173">
        <f>_xll.qlCalendarAdvance(Calendar,X257,NDays&amp;"D")</f>
        <v>42198</v>
      </c>
      <c r="Z257" s="174">
        <v>5.8853586404783442E-4</v>
      </c>
      <c r="AA257" s="177"/>
    </row>
    <row r="258" spans="22:27" x14ac:dyDescent="0.2">
      <c r="V258" s="163"/>
      <c r="W258" s="158" t="str">
        <f t="shared" si="15"/>
        <v>1D</v>
      </c>
      <c r="X258" s="168">
        <f>_xll.qlCalendarAdvance(Calendar,X257,W258,"f",FALSE)</f>
        <v>42199</v>
      </c>
      <c r="Y258" s="173">
        <f>_xll.qlCalendarAdvance(Calendar,X258,NDays&amp;"D")</f>
        <v>42199</v>
      </c>
      <c r="Z258" s="174">
        <v>5.8880234365177309E-4</v>
      </c>
      <c r="AA258" s="177"/>
    </row>
    <row r="259" spans="22:27" x14ac:dyDescent="0.2">
      <c r="V259" s="163"/>
      <c r="W259" s="158" t="str">
        <f t="shared" si="15"/>
        <v>1D</v>
      </c>
      <c r="X259" s="168">
        <f>_xll.qlCalendarAdvance(Calendar,X258,W259,"f",FALSE)</f>
        <v>42200</v>
      </c>
      <c r="Y259" s="173">
        <f>_xll.qlCalendarAdvance(Calendar,X259,NDays&amp;"D")</f>
        <v>42200</v>
      </c>
      <c r="Z259" s="174">
        <v>5.8906963153027014E-4</v>
      </c>
      <c r="AA259" s="177"/>
    </row>
    <row r="260" spans="22:27" x14ac:dyDescent="0.2">
      <c r="V260" s="163"/>
      <c r="W260" s="158" t="str">
        <f t="shared" si="15"/>
        <v>1D</v>
      </c>
      <c r="X260" s="168">
        <f>_xll.qlCalendarAdvance(Calendar,X259,W260,"f",FALSE)</f>
        <v>42201</v>
      </c>
      <c r="Y260" s="173">
        <f>_xll.qlCalendarAdvance(Calendar,X260,NDays&amp;"D")</f>
        <v>42201</v>
      </c>
      <c r="Z260" s="174">
        <v>5.8933451452247709E-4</v>
      </c>
      <c r="AA260" s="177"/>
    </row>
    <row r="261" spans="22:27" x14ac:dyDescent="0.2">
      <c r="V261" s="163"/>
      <c r="W261" s="158" t="str">
        <f t="shared" si="15"/>
        <v>1D</v>
      </c>
      <c r="X261" s="168">
        <f>_xll.qlCalendarAdvance(Calendar,X260,W261,"f",FALSE)</f>
        <v>42202</v>
      </c>
      <c r="Y261" s="173">
        <f>_xll.qlCalendarAdvance(Calendar,X261,NDays&amp;"D")</f>
        <v>42202</v>
      </c>
      <c r="Z261" s="174">
        <v>5.8998612822075414E-4</v>
      </c>
      <c r="AA261" s="177"/>
    </row>
    <row r="262" spans="22:27" x14ac:dyDescent="0.2">
      <c r="V262" s="163"/>
      <c r="W262" s="158" t="str">
        <f t="shared" si="15"/>
        <v>1D</v>
      </c>
      <c r="X262" s="168">
        <f>_xll.qlCalendarAdvance(Calendar,X261,W262,"f",FALSE)</f>
        <v>42206</v>
      </c>
      <c r="Y262" s="173">
        <f>_xll.qlCalendarAdvance(Calendar,X262,NDays&amp;"D")</f>
        <v>42206</v>
      </c>
      <c r="Z262" s="174">
        <v>5.9062285659439162E-4</v>
      </c>
      <c r="AA262" s="177"/>
    </row>
    <row r="263" spans="22:27" x14ac:dyDescent="0.2">
      <c r="V263" s="163"/>
      <c r="W263" s="158" t="str">
        <f t="shared" si="15"/>
        <v>1D</v>
      </c>
      <c r="X263" s="168">
        <f>_xll.qlCalendarAdvance(Calendar,X262,W263,"f",FALSE)</f>
        <v>42207</v>
      </c>
      <c r="Y263" s="173">
        <f>_xll.qlCalendarAdvance(Calendar,X263,NDays&amp;"D")</f>
        <v>42207</v>
      </c>
      <c r="Z263" s="174">
        <v>5.9087331043095048E-4</v>
      </c>
      <c r="AA263" s="177"/>
    </row>
    <row r="264" spans="22:27" x14ac:dyDescent="0.2">
      <c r="V264" s="163"/>
      <c r="W264" s="158" t="str">
        <f t="shared" si="15"/>
        <v>1D</v>
      </c>
      <c r="X264" s="168">
        <f>_xll.qlCalendarAdvance(Calendar,X263,W264,"f",FALSE)</f>
        <v>42208</v>
      </c>
      <c r="Y264" s="173">
        <f>_xll.qlCalendarAdvance(Calendar,X264,NDays&amp;"D")</f>
        <v>42208</v>
      </c>
      <c r="Z264" s="174">
        <v>5.9112135938121924E-4</v>
      </c>
      <c r="AA264" s="177"/>
    </row>
    <row r="265" spans="22:27" x14ac:dyDescent="0.2">
      <c r="V265" s="163"/>
      <c r="W265" s="158" t="str">
        <f t="shared" si="15"/>
        <v>1D</v>
      </c>
      <c r="X265" s="168">
        <f>_xll.qlCalendarAdvance(Calendar,X264,W265,"f",FALSE)</f>
        <v>42209</v>
      </c>
      <c r="Y265" s="173">
        <f>_xll.qlCalendarAdvance(Calendar,X265,NDays&amp;"D")</f>
        <v>42209</v>
      </c>
      <c r="Z265" s="174">
        <v>5.9161039996073294E-4</v>
      </c>
      <c r="AA265" s="177"/>
    </row>
    <row r="266" spans="22:27" x14ac:dyDescent="0.2">
      <c r="V266" s="163"/>
      <c r="W266" s="158" t="str">
        <f t="shared" si="15"/>
        <v>1D</v>
      </c>
      <c r="X266" s="168">
        <f>_xll.qlCalendarAdvance(Calendar,X265,W266,"f",FALSE)</f>
        <v>42212</v>
      </c>
      <c r="Y266" s="173">
        <f>_xll.qlCalendarAdvance(Calendar,X266,NDays&amp;"D")</f>
        <v>42212</v>
      </c>
      <c r="Z266" s="174">
        <v>5.9208950656253201E-4</v>
      </c>
      <c r="AA266" s="177"/>
    </row>
    <row r="267" spans="22:27" x14ac:dyDescent="0.2">
      <c r="V267" s="163"/>
      <c r="W267" s="158" t="str">
        <f t="shared" si="15"/>
        <v>1D</v>
      </c>
      <c r="X267" s="168">
        <f>_xll.qlCalendarAdvance(Calendar,X266,W267,"f",FALSE)</f>
        <v>42213</v>
      </c>
      <c r="Y267" s="173">
        <f>_xll.qlCalendarAdvance(Calendar,X267,NDays&amp;"D")</f>
        <v>42213</v>
      </c>
      <c r="Z267" s="174">
        <v>5.923255311623965E-4</v>
      </c>
      <c r="AA267" s="177"/>
    </row>
    <row r="268" spans="22:27" x14ac:dyDescent="0.2">
      <c r="V268" s="163"/>
      <c r="W268" s="158" t="str">
        <f t="shared" si="15"/>
        <v>1D</v>
      </c>
      <c r="X268" s="168">
        <f>_xll.qlCalendarAdvance(Calendar,X267,W268,"f",FALSE)</f>
        <v>42214</v>
      </c>
      <c r="Y268" s="173">
        <f>_xll.qlCalendarAdvance(Calendar,X268,NDays&amp;"D")</f>
        <v>42214</v>
      </c>
      <c r="Z268" s="174">
        <v>5.9255915087597089E-4</v>
      </c>
      <c r="AA268" s="177"/>
    </row>
    <row r="269" spans="22:27" x14ac:dyDescent="0.2">
      <c r="V269" s="163"/>
      <c r="W269" s="158" t="str">
        <f t="shared" ref="W269:W332" si="16">W268</f>
        <v>1D</v>
      </c>
      <c r="X269" s="168">
        <f>_xll.qlCalendarAdvance(Calendar,X268,W269,"f",FALSE)</f>
        <v>42215</v>
      </c>
      <c r="Y269" s="173">
        <f>_xll.qlCalendarAdvance(Calendar,X269,NDays&amp;"D")</f>
        <v>42215</v>
      </c>
      <c r="Z269" s="174">
        <v>5.9279036578430144E-4</v>
      </c>
      <c r="AA269" s="177"/>
    </row>
    <row r="270" spans="22:27" x14ac:dyDescent="0.2">
      <c r="V270" s="163"/>
      <c r="W270" s="158" t="str">
        <f t="shared" si="16"/>
        <v>1D</v>
      </c>
      <c r="X270" s="168">
        <f>_xll.qlCalendarAdvance(Calendar,X269,W270,"f",FALSE)</f>
        <v>42216</v>
      </c>
      <c r="Y270" s="173">
        <f>_xll.qlCalendarAdvance(Calendar,X270,NDays&amp;"D")</f>
        <v>42216</v>
      </c>
      <c r="Z270" s="174">
        <v>5.9324574354794701E-4</v>
      </c>
      <c r="AA270" s="177"/>
    </row>
    <row r="271" spans="22:27" x14ac:dyDescent="0.2">
      <c r="V271" s="163"/>
      <c r="W271" s="158" t="str">
        <f t="shared" si="16"/>
        <v>1D</v>
      </c>
      <c r="X271" s="168">
        <f>_xll.qlCalendarAdvance(Calendar,X270,W271,"f",FALSE)</f>
        <v>42219</v>
      </c>
      <c r="Y271" s="173">
        <f>_xll.qlCalendarAdvance(Calendar,X271,NDays&amp;"D")</f>
        <v>42219</v>
      </c>
      <c r="Z271" s="174">
        <v>5.9369117671681515E-4</v>
      </c>
      <c r="AA271" s="177"/>
    </row>
    <row r="272" spans="22:27" x14ac:dyDescent="0.2">
      <c r="V272" s="163"/>
      <c r="W272" s="158" t="str">
        <f t="shared" si="16"/>
        <v>1D</v>
      </c>
      <c r="X272" s="168">
        <f>_xll.qlCalendarAdvance(Calendar,X271,W272,"f",FALSE)</f>
        <v>42220</v>
      </c>
      <c r="Y272" s="173">
        <f>_xll.qlCalendarAdvance(Calendar,X272,NDays&amp;"D")</f>
        <v>42220</v>
      </c>
      <c r="Z272" s="174">
        <v>5.9391036727474145E-4</v>
      </c>
      <c r="AA272" s="177"/>
    </row>
    <row r="273" spans="22:27" x14ac:dyDescent="0.2">
      <c r="V273" s="163"/>
      <c r="W273" s="158" t="str">
        <f t="shared" si="16"/>
        <v>1D</v>
      </c>
      <c r="X273" s="168">
        <f>_xll.qlCalendarAdvance(Calendar,X272,W273,"f",FALSE)</f>
        <v>42221</v>
      </c>
      <c r="Y273" s="173">
        <f>_xll.qlCalendarAdvance(Calendar,X273,NDays&amp;"D")</f>
        <v>42221</v>
      </c>
      <c r="Z273" s="174">
        <v>5.9412715286533135E-4</v>
      </c>
      <c r="AA273" s="177"/>
    </row>
    <row r="274" spans="22:27" x14ac:dyDescent="0.2">
      <c r="V274" s="163"/>
      <c r="W274" s="158" t="str">
        <f t="shared" si="16"/>
        <v>1D</v>
      </c>
      <c r="X274" s="168">
        <f>_xll.qlCalendarAdvance(Calendar,X273,W274,"f",FALSE)</f>
        <v>42222</v>
      </c>
      <c r="Y274" s="173">
        <f>_xll.qlCalendarAdvance(Calendar,X274,NDays&amp;"D")</f>
        <v>42222</v>
      </c>
      <c r="Z274" s="174">
        <v>5.9434153373172371E-4</v>
      </c>
      <c r="AA274" s="177"/>
    </row>
    <row r="275" spans="22:27" x14ac:dyDescent="0.2">
      <c r="V275" s="163"/>
      <c r="W275" s="158" t="str">
        <f t="shared" si="16"/>
        <v>1D</v>
      </c>
      <c r="X275" s="168">
        <f>_xll.qlCalendarAdvance(Calendar,X274,W275,"f",FALSE)</f>
        <v>42223</v>
      </c>
      <c r="Y275" s="173">
        <f>_xll.qlCalendarAdvance(Calendar,X275,NDays&amp;"D")</f>
        <v>42223</v>
      </c>
      <c r="Z275" s="174">
        <v>5.9476324832830063E-4</v>
      </c>
      <c r="AA275" s="177"/>
    </row>
    <row r="276" spans="22:27" x14ac:dyDescent="0.2">
      <c r="V276" s="163"/>
      <c r="W276" s="158" t="str">
        <f t="shared" si="16"/>
        <v>1D</v>
      </c>
      <c r="X276" s="168">
        <f>_xll.qlCalendarAdvance(Calendar,X275,W276,"f",FALSE)</f>
        <v>42226</v>
      </c>
      <c r="Y276" s="173">
        <f>_xll.qlCalendarAdvance(Calendar,X276,NDays&amp;"D")</f>
        <v>42226</v>
      </c>
      <c r="Z276" s="174">
        <v>5.9517500841543836E-4</v>
      </c>
      <c r="AA276" s="177"/>
    </row>
    <row r="277" spans="22:27" x14ac:dyDescent="0.2">
      <c r="V277" s="163"/>
      <c r="W277" s="158" t="str">
        <f t="shared" si="16"/>
        <v>1D</v>
      </c>
      <c r="X277" s="168">
        <f>_xll.qlCalendarAdvance(Calendar,X276,W277,"f",FALSE)</f>
        <v>42227</v>
      </c>
      <c r="Y277" s="173">
        <f>_xll.qlCalendarAdvance(Calendar,X277,NDays&amp;"D")</f>
        <v>42227</v>
      </c>
      <c r="Z277" s="174">
        <v>5.9537736493142646E-4</v>
      </c>
      <c r="AA277" s="177"/>
    </row>
    <row r="278" spans="22:27" x14ac:dyDescent="0.2">
      <c r="V278" s="163"/>
      <c r="W278" s="158" t="str">
        <f t="shared" si="16"/>
        <v>1D</v>
      </c>
      <c r="X278" s="168">
        <f>_xll.qlCalendarAdvance(Calendar,X277,W278,"f",FALSE)</f>
        <v>42228</v>
      </c>
      <c r="Y278" s="173">
        <f>_xll.qlCalendarAdvance(Calendar,X278,NDays&amp;"D")</f>
        <v>42228</v>
      </c>
      <c r="Z278" s="174">
        <v>5.9557731648007817E-4</v>
      </c>
      <c r="AA278" s="177"/>
    </row>
    <row r="279" spans="22:27" x14ac:dyDescent="0.2">
      <c r="V279" s="163"/>
      <c r="W279" s="158" t="str">
        <f t="shared" si="16"/>
        <v>1D</v>
      </c>
      <c r="X279" s="168">
        <f>_xll.qlCalendarAdvance(Calendar,X278,W279,"f",FALSE)</f>
        <v>42229</v>
      </c>
      <c r="Y279" s="173">
        <f>_xll.qlCalendarAdvance(Calendar,X279,NDays&amp;"D")</f>
        <v>42229</v>
      </c>
      <c r="Z279" s="174">
        <v>5.9577486330453233E-4</v>
      </c>
      <c r="AA279" s="177"/>
    </row>
    <row r="280" spans="22:27" x14ac:dyDescent="0.2">
      <c r="V280" s="163"/>
      <c r="W280" s="158" t="str">
        <f t="shared" si="16"/>
        <v>1D</v>
      </c>
      <c r="X280" s="168">
        <f>_xll.qlCalendarAdvance(Calendar,X279,W280,"f",FALSE)</f>
        <v>42230</v>
      </c>
      <c r="Y280" s="173">
        <f>_xll.qlCalendarAdvance(Calendar,X280,NDays&amp;"D")</f>
        <v>42230</v>
      </c>
      <c r="Z280" s="174">
        <v>5.961629142747783E-4</v>
      </c>
      <c r="AA280" s="177"/>
    </row>
    <row r="281" spans="22:27" x14ac:dyDescent="0.2">
      <c r="V281" s="163"/>
      <c r="W281" s="158" t="str">
        <f t="shared" si="16"/>
        <v>1D</v>
      </c>
      <c r="X281" s="168">
        <f>_xll.qlCalendarAdvance(Calendar,X280,W281,"f",FALSE)</f>
        <v>42233</v>
      </c>
      <c r="Y281" s="173">
        <f>_xll.qlCalendarAdvance(Calendar,X281,NDays&amp;"D")</f>
        <v>42233</v>
      </c>
      <c r="Z281" s="174">
        <v>5.9654100165840163E-4</v>
      </c>
      <c r="AA281" s="177"/>
    </row>
    <row r="282" spans="22:27" x14ac:dyDescent="0.2">
      <c r="V282" s="163"/>
      <c r="W282" s="158" t="str">
        <f t="shared" si="16"/>
        <v>1D</v>
      </c>
      <c r="X282" s="168">
        <f>_xll.qlCalendarAdvance(Calendar,X281,W282,"f",FALSE)</f>
        <v>42234</v>
      </c>
      <c r="Y282" s="173">
        <f>_xll.qlCalendarAdvance(Calendar,X282,NDays&amp;"D")</f>
        <v>42234</v>
      </c>
      <c r="Z282" s="174">
        <v>5.9672652405140525E-4</v>
      </c>
      <c r="AA282" s="177"/>
    </row>
    <row r="283" spans="22:27" x14ac:dyDescent="0.2">
      <c r="V283" s="163"/>
      <c r="W283" s="158" t="str">
        <f t="shared" si="16"/>
        <v>1D</v>
      </c>
      <c r="X283" s="168">
        <f>_xll.qlCalendarAdvance(Calendar,X282,W283,"f",FALSE)</f>
        <v>42235</v>
      </c>
      <c r="Y283" s="173">
        <f>_xll.qlCalendarAdvance(Calendar,X283,NDays&amp;"D")</f>
        <v>42235</v>
      </c>
      <c r="Z283" s="174">
        <v>5.9690964163916505E-4</v>
      </c>
      <c r="AA283" s="177"/>
    </row>
    <row r="284" spans="22:27" x14ac:dyDescent="0.2">
      <c r="V284" s="163"/>
      <c r="W284" s="158" t="str">
        <f t="shared" si="16"/>
        <v>1D</v>
      </c>
      <c r="X284" s="168">
        <f>_xll.qlCalendarAdvance(Calendar,X283,W284,"f",FALSE)</f>
        <v>42236</v>
      </c>
      <c r="Y284" s="173">
        <f>_xll.qlCalendarAdvance(Calendar,X284,NDays&amp;"D")</f>
        <v>42236</v>
      </c>
      <c r="Z284" s="174">
        <v>5.9709035434063473E-4</v>
      </c>
      <c r="AA284" s="177"/>
    </row>
    <row r="285" spans="22:27" x14ac:dyDescent="0.2">
      <c r="V285" s="163"/>
      <c r="W285" s="158" t="str">
        <f t="shared" si="16"/>
        <v>1D</v>
      </c>
      <c r="X285" s="168">
        <f>_xll.qlCalendarAdvance(Calendar,X284,W285,"f",FALSE)</f>
        <v>42237</v>
      </c>
      <c r="Y285" s="173">
        <f>_xll.qlCalendarAdvance(Calendar,X285,NDays&amp;"D")</f>
        <v>42237</v>
      </c>
      <c r="Z285" s="174">
        <v>5.9744474138738002E-4</v>
      </c>
      <c r="AA285" s="177"/>
    </row>
    <row r="286" spans="22:27" x14ac:dyDescent="0.2">
      <c r="V286" s="163"/>
      <c r="W286" s="158" t="str">
        <f t="shared" si="16"/>
        <v>1D</v>
      </c>
      <c r="X286" s="168">
        <f>_xll.qlCalendarAdvance(Calendar,X285,W286,"f",FALSE)</f>
        <v>42240</v>
      </c>
      <c r="Y286" s="173">
        <f>_xll.qlCalendarAdvance(Calendar,X286,NDays&amp;"D")</f>
        <v>42240</v>
      </c>
      <c r="Z286" s="174">
        <v>5.9778915644570496E-4</v>
      </c>
      <c r="AA286" s="177"/>
    </row>
    <row r="287" spans="22:27" x14ac:dyDescent="0.2">
      <c r="V287" s="163"/>
      <c r="W287" s="158" t="str">
        <f t="shared" si="16"/>
        <v>1D</v>
      </c>
      <c r="X287" s="168">
        <f>_xll.qlCalendarAdvance(Calendar,X286,W287,"f",FALSE)</f>
        <v>42241</v>
      </c>
      <c r="Y287" s="173">
        <f>_xll.qlCalendarAdvance(Calendar,X287,NDays&amp;"D")</f>
        <v>42241</v>
      </c>
      <c r="Z287" s="174">
        <v>5.9795784479677039E-4</v>
      </c>
      <c r="AA287" s="177"/>
    </row>
    <row r="288" spans="22:27" x14ac:dyDescent="0.2">
      <c r="V288" s="163"/>
      <c r="W288" s="158" t="str">
        <f t="shared" si="16"/>
        <v>1D</v>
      </c>
      <c r="X288" s="168">
        <f>_xll.qlCalendarAdvance(Calendar,X287,W288,"f",FALSE)</f>
        <v>42242</v>
      </c>
      <c r="Y288" s="173">
        <f>_xll.qlCalendarAdvance(Calendar,X288,NDays&amp;"D")</f>
        <v>42242</v>
      </c>
      <c r="Z288" s="174">
        <v>5.9812412834259199E-4</v>
      </c>
      <c r="AA288" s="177"/>
    </row>
    <row r="289" spans="22:27" x14ac:dyDescent="0.2">
      <c r="V289" s="163"/>
      <c r="W289" s="158" t="str">
        <f t="shared" si="16"/>
        <v>1D</v>
      </c>
      <c r="X289" s="168">
        <f>_xll.qlCalendarAdvance(Calendar,X288,W289,"f",FALSE)</f>
        <v>42243</v>
      </c>
      <c r="Y289" s="173">
        <f>_xll.qlCalendarAdvance(Calendar,X289,NDays&amp;"D")</f>
        <v>42243</v>
      </c>
      <c r="Z289" s="174">
        <v>5.982880069210772E-4</v>
      </c>
      <c r="AA289" s="177"/>
    </row>
    <row r="290" spans="22:27" x14ac:dyDescent="0.2">
      <c r="V290" s="163"/>
      <c r="W290" s="158" t="str">
        <f t="shared" si="16"/>
        <v>1D</v>
      </c>
      <c r="X290" s="168">
        <f>_xll.qlCalendarAdvance(Calendar,X289,W290,"f",FALSE)</f>
        <v>42244</v>
      </c>
      <c r="Y290" s="173">
        <f>_xll.qlCalendarAdvance(Calendar,X290,NDays&amp;"D")</f>
        <v>42244</v>
      </c>
      <c r="Z290" s="174">
        <v>5.986087296661059E-4</v>
      </c>
      <c r="AA290" s="177"/>
    </row>
    <row r="291" spans="22:27" x14ac:dyDescent="0.2">
      <c r="V291" s="163"/>
      <c r="W291" s="158" t="str">
        <f t="shared" si="16"/>
        <v>1D</v>
      </c>
      <c r="X291" s="168">
        <f>_xll.qlCalendarAdvance(Calendar,X290,W291,"f",FALSE)</f>
        <v>42247</v>
      </c>
      <c r="Y291" s="173">
        <f>_xll.qlCalendarAdvance(Calendar,X291,NDays&amp;"D")</f>
        <v>42247</v>
      </c>
      <c r="Z291" s="174">
        <v>5.9891947277734836E-4</v>
      </c>
      <c r="AA291" s="177"/>
    </row>
    <row r="292" spans="22:27" x14ac:dyDescent="0.2">
      <c r="V292" s="163"/>
      <c r="W292" s="158" t="str">
        <f t="shared" si="16"/>
        <v>1D</v>
      </c>
      <c r="X292" s="168">
        <f>_xll.qlCalendarAdvance(Calendar,X291,W292,"f",FALSE)</f>
        <v>42248</v>
      </c>
      <c r="Y292" s="173">
        <f>_xll.qlCalendarAdvance(Calendar,X292,NDays&amp;"D")</f>
        <v>42248</v>
      </c>
      <c r="Z292" s="174">
        <v>5.9907132708647559E-4</v>
      </c>
      <c r="AA292" s="177"/>
    </row>
    <row r="293" spans="22:27" x14ac:dyDescent="0.2">
      <c r="V293" s="163"/>
      <c r="W293" s="158" t="str">
        <f t="shared" si="16"/>
        <v>1D</v>
      </c>
      <c r="X293" s="168">
        <f>_xll.qlCalendarAdvance(Calendar,X292,W293,"f",FALSE)</f>
        <v>42249</v>
      </c>
      <c r="Y293" s="173">
        <f>_xll.qlCalendarAdvance(Calendar,X293,NDays&amp;"D")</f>
        <v>42249</v>
      </c>
      <c r="Z293" s="174">
        <v>5.9922077650931271E-4</v>
      </c>
      <c r="AA293" s="177"/>
    </row>
    <row r="294" spans="22:27" x14ac:dyDescent="0.2">
      <c r="V294" s="163"/>
      <c r="W294" s="158" t="str">
        <f t="shared" si="16"/>
        <v>1D</v>
      </c>
      <c r="X294" s="168">
        <f>_xll.qlCalendarAdvance(Calendar,X293,W294,"f",FALSE)</f>
        <v>42250</v>
      </c>
      <c r="Y294" s="173">
        <f>_xll.qlCalendarAdvance(Calendar,X294,NDays&amp;"D")</f>
        <v>42250</v>
      </c>
      <c r="Z294" s="174">
        <v>5.9936782104585973E-4</v>
      </c>
      <c r="AA294" s="177"/>
    </row>
    <row r="295" spans="22:27" x14ac:dyDescent="0.2">
      <c r="V295" s="163"/>
      <c r="W295" s="158" t="str">
        <f t="shared" si="16"/>
        <v>1D</v>
      </c>
      <c r="X295" s="168">
        <f>_xll.qlCalendarAdvance(Calendar,X294,W295,"f",FALSE)</f>
        <v>42251</v>
      </c>
      <c r="Y295" s="173">
        <f>_xll.qlCalendarAdvance(Calendar,X295,NDays&amp;"D")</f>
        <v>42251</v>
      </c>
      <c r="Z295" s="174">
        <v>5.9965487913797122E-4</v>
      </c>
      <c r="AA295" s="177"/>
    </row>
    <row r="296" spans="22:27" x14ac:dyDescent="0.2">
      <c r="V296" s="163"/>
      <c r="W296" s="158" t="str">
        <f t="shared" si="16"/>
        <v>1D</v>
      </c>
      <c r="X296" s="168">
        <f>_xll.qlCalendarAdvance(Calendar,X295,W296,"f",FALSE)</f>
        <v>42254</v>
      </c>
      <c r="Y296" s="173">
        <f>_xll.qlCalendarAdvance(Calendar,X296,NDays&amp;"D")</f>
        <v>42254</v>
      </c>
      <c r="Z296" s="174">
        <v>5.9993195065333182E-4</v>
      </c>
      <c r="AA296" s="177"/>
    </row>
    <row r="297" spans="22:27" x14ac:dyDescent="0.2">
      <c r="V297" s="163"/>
      <c r="W297" s="158" t="str">
        <f t="shared" si="16"/>
        <v>1D</v>
      </c>
      <c r="X297" s="168">
        <f>_xll.qlCalendarAdvance(Calendar,X296,W297,"f",FALSE)</f>
        <v>42255</v>
      </c>
      <c r="Y297" s="173">
        <f>_xll.qlCalendarAdvance(Calendar,X297,NDays&amp;"D")</f>
        <v>42255</v>
      </c>
      <c r="Z297" s="174">
        <v>6.0006697092052086E-4</v>
      </c>
      <c r="AA297" s="177"/>
    </row>
    <row r="298" spans="22:27" x14ac:dyDescent="0.2">
      <c r="V298" s="163"/>
      <c r="W298" s="158" t="str">
        <f t="shared" si="16"/>
        <v>1D</v>
      </c>
      <c r="X298" s="168">
        <f>_xll.qlCalendarAdvance(Calendar,X297,W298,"f",FALSE)</f>
        <v>42256</v>
      </c>
      <c r="Y298" s="173">
        <f>_xll.qlCalendarAdvance(Calendar,X298,NDays&amp;"D")</f>
        <v>42256</v>
      </c>
      <c r="Z298" s="174">
        <v>6.001995862203735E-4</v>
      </c>
      <c r="AA298" s="177"/>
    </row>
    <row r="299" spans="22:27" x14ac:dyDescent="0.2">
      <c r="V299" s="163"/>
      <c r="W299" s="158" t="str">
        <f t="shared" si="16"/>
        <v>1D</v>
      </c>
      <c r="X299" s="168">
        <f>_xll.qlCalendarAdvance(Calendar,X298,W299,"f",FALSE)</f>
        <v>42257</v>
      </c>
      <c r="Y299" s="173">
        <f>_xll.qlCalendarAdvance(Calendar,X299,NDays&amp;"D")</f>
        <v>42257</v>
      </c>
      <c r="Z299" s="174">
        <v>6.003297967960286E-4</v>
      </c>
      <c r="AA299" s="177"/>
    </row>
    <row r="300" spans="22:27" x14ac:dyDescent="0.2">
      <c r="V300" s="163"/>
      <c r="W300" s="158" t="str">
        <f t="shared" si="16"/>
        <v>1D</v>
      </c>
      <c r="X300" s="168">
        <f>_xll.qlCalendarAdvance(Calendar,X299,W300,"f",FALSE)</f>
        <v>42258</v>
      </c>
      <c r="Y300" s="173">
        <f>_xll.qlCalendarAdvance(Calendar,X300,NDays&amp;"D")</f>
        <v>42258</v>
      </c>
      <c r="Z300" s="174">
        <v>6.005831897489452E-4</v>
      </c>
      <c r="AA300" s="177"/>
    </row>
    <row r="301" spans="22:27" x14ac:dyDescent="0.2">
      <c r="V301" s="163"/>
      <c r="W301" s="158" t="str">
        <f t="shared" si="16"/>
        <v>1D</v>
      </c>
      <c r="X301" s="168">
        <f>_xll.qlCalendarAdvance(Calendar,X300,W301,"f",FALSE)</f>
        <v>42261</v>
      </c>
      <c r="Y301" s="173">
        <f>_xll.qlCalendarAdvance(Calendar,X301,NDays&amp;"D")</f>
        <v>42261</v>
      </c>
      <c r="Z301" s="174">
        <v>6.0082659015470163E-4</v>
      </c>
      <c r="AA301" s="177"/>
    </row>
    <row r="302" spans="22:27" x14ac:dyDescent="0.2">
      <c r="V302" s="163"/>
      <c r="W302" s="158" t="str">
        <f t="shared" si="16"/>
        <v>1D</v>
      </c>
      <c r="X302" s="168">
        <f>_xll.qlCalendarAdvance(Calendar,X301,W302,"f",FALSE)</f>
        <v>42262</v>
      </c>
      <c r="Y302" s="173">
        <f>_xll.qlCalendarAdvance(Calendar,X302,NDays&amp;"D")</f>
        <v>42262</v>
      </c>
      <c r="Z302" s="174">
        <v>6.0094477621785991E-4</v>
      </c>
      <c r="AA302" s="177"/>
    </row>
    <row r="303" spans="22:27" x14ac:dyDescent="0.2">
      <c r="V303" s="163"/>
      <c r="W303" s="158" t="str">
        <f t="shared" si="16"/>
        <v>1D</v>
      </c>
      <c r="X303" s="168">
        <f>_xll.qlCalendarAdvance(Calendar,X302,W303,"f",FALSE)</f>
        <v>42263</v>
      </c>
      <c r="Y303" s="173">
        <f>_xll.qlCalendarAdvance(Calendar,X303,NDays&amp;"D")</f>
        <v>42263</v>
      </c>
      <c r="Z303" s="174">
        <v>6.0106055755682064E-4</v>
      </c>
      <c r="AA303" s="177"/>
    </row>
    <row r="304" spans="22:27" x14ac:dyDescent="0.2">
      <c r="V304" s="163"/>
      <c r="W304" s="158" t="str">
        <f t="shared" si="16"/>
        <v>1D</v>
      </c>
      <c r="X304" s="168">
        <f>_xll.qlCalendarAdvance(Calendar,X303,W304,"f",FALSE)</f>
        <v>42264</v>
      </c>
      <c r="Y304" s="173">
        <f>_xll.qlCalendarAdvance(Calendar,X304,NDays&amp;"D")</f>
        <v>42264</v>
      </c>
      <c r="Z304" s="174">
        <v>6.0117393400949126E-4</v>
      </c>
      <c r="AA304" s="177"/>
    </row>
    <row r="305" spans="22:27" x14ac:dyDescent="0.2">
      <c r="V305" s="163"/>
      <c r="W305" s="158" t="str">
        <f t="shared" si="16"/>
        <v>1D</v>
      </c>
      <c r="X305" s="168">
        <f>_xll.qlCalendarAdvance(Calendar,X304,W305,"f",FALSE)</f>
        <v>42265</v>
      </c>
      <c r="Y305" s="173">
        <f>_xll.qlCalendarAdvance(Calendar,X305,NDays&amp;"D")</f>
        <v>42265</v>
      </c>
      <c r="Z305" s="174">
        <v>6.0155078461336209E-4</v>
      </c>
      <c r="AA305" s="177"/>
    </row>
    <row r="306" spans="22:27" x14ac:dyDescent="0.2">
      <c r="V306" s="163"/>
      <c r="W306" s="158" t="str">
        <f t="shared" si="16"/>
        <v>1D</v>
      </c>
      <c r="X306" s="168">
        <f>_xll.qlCalendarAdvance(Calendar,X305,W306,"f",FALSE)</f>
        <v>42271</v>
      </c>
      <c r="Y306" s="173">
        <f>_xll.qlCalendarAdvance(Calendar,X306,NDays&amp;"D")</f>
        <v>42271</v>
      </c>
      <c r="Z306" s="174">
        <v>6.0190023276729399E-4</v>
      </c>
      <c r="AA306" s="177"/>
    </row>
    <row r="307" spans="22:27" x14ac:dyDescent="0.2">
      <c r="V307" s="163"/>
      <c r="W307" s="158" t="str">
        <f t="shared" si="16"/>
        <v>1D</v>
      </c>
      <c r="X307" s="168">
        <f>_xll.qlCalendarAdvance(Calendar,X306,W307,"f",FALSE)</f>
        <v>42272</v>
      </c>
      <c r="Y307" s="173">
        <f>_xll.qlCalendarAdvance(Calendar,X307,NDays&amp;"D")</f>
        <v>42272</v>
      </c>
      <c r="Z307" s="174">
        <v>6.0208629449628093E-4</v>
      </c>
      <c r="AA307" s="177"/>
    </row>
    <row r="308" spans="22:27" x14ac:dyDescent="0.2">
      <c r="V308" s="163"/>
      <c r="W308" s="158" t="str">
        <f t="shared" si="16"/>
        <v>1D</v>
      </c>
      <c r="X308" s="168">
        <f>_xll.qlCalendarAdvance(Calendar,X307,W308,"f",FALSE)</f>
        <v>42275</v>
      </c>
      <c r="Y308" s="173">
        <f>_xll.qlCalendarAdvance(Calendar,X308,NDays&amp;"D")</f>
        <v>42275</v>
      </c>
      <c r="Z308" s="174">
        <v>6.0226235362836888E-4</v>
      </c>
      <c r="AA308" s="177"/>
    </row>
    <row r="309" spans="22:27" x14ac:dyDescent="0.2">
      <c r="V309" s="163"/>
      <c r="W309" s="158" t="str">
        <f t="shared" si="16"/>
        <v>1D</v>
      </c>
      <c r="X309" s="168">
        <f>_xll.qlCalendarAdvance(Calendar,X308,W309,"f",FALSE)</f>
        <v>42276</v>
      </c>
      <c r="Y309" s="173">
        <f>_xll.qlCalendarAdvance(Calendar,X309,NDays&amp;"D")</f>
        <v>42276</v>
      </c>
      <c r="Z309" s="174">
        <v>6.0234687160765077E-4</v>
      </c>
      <c r="AA309" s="177"/>
    </row>
    <row r="310" spans="22:27" x14ac:dyDescent="0.2">
      <c r="V310" s="163"/>
      <c r="W310" s="158" t="str">
        <f t="shared" si="16"/>
        <v>1D</v>
      </c>
      <c r="X310" s="168">
        <f>_xll.qlCalendarAdvance(Calendar,X309,W310,"f",FALSE)</f>
        <v>42277</v>
      </c>
      <c r="Y310" s="173">
        <f>_xll.qlCalendarAdvance(Calendar,X310,NDays&amp;"D")</f>
        <v>42277</v>
      </c>
      <c r="Z310" s="174">
        <v>6.0242898486273511E-4</v>
      </c>
      <c r="AA310" s="177"/>
    </row>
    <row r="311" spans="22:27" x14ac:dyDescent="0.2">
      <c r="V311" s="163"/>
      <c r="W311" s="158" t="str">
        <f t="shared" si="16"/>
        <v>1D</v>
      </c>
      <c r="X311" s="168">
        <f>_xll.qlCalendarAdvance(Calendar,X310,W311,"f",FALSE)</f>
        <v>42278</v>
      </c>
      <c r="Y311" s="173">
        <f>_xll.qlCalendarAdvance(Calendar,X311,NDays&amp;"D")</f>
        <v>42278</v>
      </c>
      <c r="Z311" s="174">
        <v>6.0250869315048305E-4</v>
      </c>
      <c r="AA311" s="177"/>
    </row>
    <row r="312" spans="22:27" x14ac:dyDescent="0.2">
      <c r="V312" s="163"/>
      <c r="W312" s="158" t="str">
        <f t="shared" si="16"/>
        <v>1D</v>
      </c>
      <c r="X312" s="168">
        <f>_xll.qlCalendarAdvance(Calendar,X311,W312,"f",FALSE)</f>
        <v>42279</v>
      </c>
      <c r="Y312" s="173">
        <f>_xll.qlCalendarAdvance(Calendar,X312,NDays&amp;"D")</f>
        <v>42279</v>
      </c>
      <c r="Z312" s="174">
        <v>6.0266108857861178E-4</v>
      </c>
      <c r="AA312" s="177"/>
    </row>
    <row r="313" spans="22:27" x14ac:dyDescent="0.2">
      <c r="V313" s="163"/>
      <c r="W313" s="158" t="str">
        <f t="shared" si="16"/>
        <v>1D</v>
      </c>
      <c r="X313" s="168">
        <f>_xll.qlCalendarAdvance(Calendar,X312,W313,"f",FALSE)</f>
        <v>42282</v>
      </c>
      <c r="Y313" s="173">
        <f>_xll.qlCalendarAdvance(Calendar,X313,NDays&amp;"D")</f>
        <v>42282</v>
      </c>
      <c r="Z313" s="174">
        <v>6.0280347768171261E-4</v>
      </c>
      <c r="AA313" s="177"/>
    </row>
    <row r="314" spans="22:27" x14ac:dyDescent="0.2">
      <c r="V314" s="163"/>
      <c r="W314" s="158" t="str">
        <f t="shared" si="16"/>
        <v>1D</v>
      </c>
      <c r="X314" s="168">
        <f>_xll.qlCalendarAdvance(Calendar,X313,W314,"f",FALSE)</f>
        <v>42283</v>
      </c>
      <c r="Y314" s="173">
        <f>_xll.qlCalendarAdvance(Calendar,X314,NDays&amp;"D")</f>
        <v>42283</v>
      </c>
      <c r="Z314" s="174">
        <v>6.0287116170010258E-4</v>
      </c>
      <c r="AA314" s="177"/>
    </row>
    <row r="315" spans="22:27" x14ac:dyDescent="0.2">
      <c r="V315" s="163"/>
      <c r="W315" s="158" t="str">
        <f t="shared" si="16"/>
        <v>1D</v>
      </c>
      <c r="X315" s="168">
        <f>_xll.qlCalendarAdvance(Calendar,X314,W315,"f",FALSE)</f>
        <v>42284</v>
      </c>
      <c r="Y315" s="173">
        <f>_xll.qlCalendarAdvance(Calendar,X315,NDays&amp;"D")</f>
        <v>42284</v>
      </c>
      <c r="Z315" s="174">
        <v>6.0293644075115616E-4</v>
      </c>
      <c r="AA315" s="177"/>
    </row>
    <row r="316" spans="22:27" x14ac:dyDescent="0.2">
      <c r="V316" s="163"/>
      <c r="W316" s="158" t="str">
        <f t="shared" si="16"/>
        <v>1D</v>
      </c>
      <c r="X316" s="168">
        <f>_xll.qlCalendarAdvance(Calendar,X315,W316,"f",FALSE)</f>
        <v>42285</v>
      </c>
      <c r="Y316" s="173">
        <f>_xll.qlCalendarAdvance(Calendar,X316,NDays&amp;"D")</f>
        <v>42285</v>
      </c>
      <c r="Z316" s="174">
        <v>6.0299931499696591E-4</v>
      </c>
      <c r="AA316" s="177"/>
    </row>
    <row r="317" spans="22:27" x14ac:dyDescent="0.2">
      <c r="V317" s="163"/>
      <c r="W317" s="158" t="str">
        <f t="shared" si="16"/>
        <v>1D</v>
      </c>
      <c r="X317" s="168">
        <f>_xll.qlCalendarAdvance(Calendar,X316,W317,"f",FALSE)</f>
        <v>42286</v>
      </c>
      <c r="Y317" s="173">
        <f>_xll.qlCalendarAdvance(Calendar,X317,NDays&amp;"D")</f>
        <v>42286</v>
      </c>
      <c r="Z317" s="174">
        <v>6.0314597128130476E-4</v>
      </c>
      <c r="AA317" s="177"/>
    </row>
    <row r="318" spans="22:27" x14ac:dyDescent="0.2">
      <c r="V318" s="163"/>
      <c r="W318" s="158" t="str">
        <f t="shared" si="16"/>
        <v>1D</v>
      </c>
      <c r="X318" s="168">
        <f>_xll.qlCalendarAdvance(Calendar,X317,W318,"f",FALSE)</f>
        <v>42290</v>
      </c>
      <c r="Y318" s="173">
        <f>_xll.qlCalendarAdvance(Calendar,X318,NDays&amp;"D")</f>
        <v>42290</v>
      </c>
      <c r="Z318" s="174">
        <v>6.0327761317480189E-4</v>
      </c>
      <c r="AA318" s="177"/>
    </row>
    <row r="319" spans="22:27" x14ac:dyDescent="0.2">
      <c r="V319" s="163"/>
      <c r="W319" s="158" t="str">
        <f t="shared" si="16"/>
        <v>1D</v>
      </c>
      <c r="X319" s="168">
        <f>_xll.qlCalendarAdvance(Calendar,X318,W319,"f",FALSE)</f>
        <v>42291</v>
      </c>
      <c r="Y319" s="173">
        <f>_xll.qlCalendarAdvance(Calendar,X319,NDays&amp;"D")</f>
        <v>42291</v>
      </c>
      <c r="Z319" s="174">
        <v>6.0332605826496355E-4</v>
      </c>
      <c r="AA319" s="177"/>
    </row>
    <row r="320" spans="22:27" x14ac:dyDescent="0.2">
      <c r="V320" s="163"/>
      <c r="W320" s="158" t="str">
        <f t="shared" si="16"/>
        <v>1D</v>
      </c>
      <c r="X320" s="168">
        <f>_xll.qlCalendarAdvance(Calendar,X319,W320,"f",FALSE)</f>
        <v>42292</v>
      </c>
      <c r="Y320" s="173">
        <f>_xll.qlCalendarAdvance(Calendar,X320,NDays&amp;"D")</f>
        <v>42292</v>
      </c>
      <c r="Z320" s="174">
        <v>6.0337209846883511E-4</v>
      </c>
      <c r="AA320" s="177"/>
    </row>
    <row r="321" spans="22:27" x14ac:dyDescent="0.2">
      <c r="V321" s="163"/>
      <c r="W321" s="158" t="str">
        <f t="shared" si="16"/>
        <v>1D</v>
      </c>
      <c r="X321" s="168">
        <f>_xll.qlCalendarAdvance(Calendar,X320,W321,"f",FALSE)</f>
        <v>42293</v>
      </c>
      <c r="Y321" s="173">
        <f>_xll.qlCalendarAdvance(Calendar,X321,NDays&amp;"D")</f>
        <v>42293</v>
      </c>
      <c r="Z321" s="174">
        <v>6.0345716024164575E-4</v>
      </c>
      <c r="AA321" s="177"/>
    </row>
    <row r="322" spans="22:27" x14ac:dyDescent="0.2">
      <c r="V322" s="163"/>
      <c r="W322" s="158" t="str">
        <f t="shared" si="16"/>
        <v>1D</v>
      </c>
      <c r="X322" s="168">
        <f>_xll.qlCalendarAdvance(Calendar,X321,W322,"f",FALSE)</f>
        <v>42296</v>
      </c>
      <c r="Y322" s="173">
        <f>_xll.qlCalendarAdvance(Calendar,X322,NDays&amp;"D")</f>
        <v>42296</v>
      </c>
      <c r="Z322" s="174">
        <v>6.0353221042142025E-4</v>
      </c>
      <c r="AA322" s="177"/>
    </row>
    <row r="323" spans="22:27" x14ac:dyDescent="0.2">
      <c r="V323" s="163"/>
      <c r="W323" s="158" t="str">
        <f t="shared" si="16"/>
        <v>1D</v>
      </c>
      <c r="X323" s="168">
        <f>_xll.qlCalendarAdvance(Calendar,X322,W323,"f",FALSE)</f>
        <v>42297</v>
      </c>
      <c r="Y323" s="173">
        <f>_xll.qlCalendarAdvance(Calendar,X323,NDays&amp;"D")</f>
        <v>42297</v>
      </c>
      <c r="Z323" s="174">
        <v>6.0356622627488754E-4</v>
      </c>
      <c r="AA323" s="177"/>
    </row>
    <row r="324" spans="22:27" x14ac:dyDescent="0.2">
      <c r="V324" s="163"/>
      <c r="W324" s="158" t="str">
        <f t="shared" si="16"/>
        <v>1D</v>
      </c>
      <c r="X324" s="168">
        <f>_xll.qlCalendarAdvance(Calendar,X323,W324,"f",FALSE)</f>
        <v>42298</v>
      </c>
      <c r="Y324" s="173">
        <f>_xll.qlCalendarAdvance(Calendar,X324,NDays&amp;"D")</f>
        <v>42298</v>
      </c>
      <c r="Z324" s="174">
        <v>6.0359783732311101E-4</v>
      </c>
      <c r="AA324" s="177"/>
    </row>
    <row r="325" spans="22:27" x14ac:dyDescent="0.2">
      <c r="V325" s="163"/>
      <c r="W325" s="158" t="str">
        <f t="shared" si="16"/>
        <v>1D</v>
      </c>
      <c r="X325" s="168">
        <f>_xll.qlCalendarAdvance(Calendar,X324,W325,"f",FALSE)</f>
        <v>42299</v>
      </c>
      <c r="Y325" s="173">
        <f>_xll.qlCalendarAdvance(Calendar,X325,NDays&amp;"D")</f>
        <v>42299</v>
      </c>
      <c r="Z325" s="174">
        <v>6.0362704340399809E-4</v>
      </c>
      <c r="AA325" s="177"/>
    </row>
    <row r="326" spans="22:27" x14ac:dyDescent="0.2">
      <c r="V326" s="163"/>
      <c r="W326" s="158" t="str">
        <f t="shared" si="16"/>
        <v>1D</v>
      </c>
      <c r="X326" s="168">
        <f>_xll.qlCalendarAdvance(Calendar,X325,W326,"f",FALSE)</f>
        <v>42300</v>
      </c>
      <c r="Y326" s="173">
        <f>_xll.qlCalendarAdvance(Calendar,X326,NDays&amp;"D")</f>
        <v>42300</v>
      </c>
      <c r="Z326" s="174">
        <v>6.0367843782234887E-4</v>
      </c>
      <c r="AA326" s="177"/>
    </row>
    <row r="327" spans="22:27" x14ac:dyDescent="0.2">
      <c r="V327" s="163"/>
      <c r="W327" s="158" t="str">
        <f t="shared" si="16"/>
        <v>1D</v>
      </c>
      <c r="X327" s="168">
        <f>_xll.qlCalendarAdvance(Calendar,X326,W327,"f",FALSE)</f>
        <v>42303</v>
      </c>
      <c r="Y327" s="173">
        <f>_xll.qlCalendarAdvance(Calendar,X327,NDays&amp;"D")</f>
        <v>42303</v>
      </c>
      <c r="Z327" s="174">
        <v>6.0371981918883044E-4</v>
      </c>
      <c r="AA327" s="177"/>
    </row>
    <row r="328" spans="22:27" x14ac:dyDescent="0.2">
      <c r="V328" s="163"/>
      <c r="W328" s="158" t="str">
        <f t="shared" si="16"/>
        <v>1D</v>
      </c>
      <c r="X328" s="168">
        <f>_xll.qlCalendarAdvance(Calendar,X327,W328,"f",FALSE)</f>
        <v>42304</v>
      </c>
      <c r="Y328" s="173">
        <f>_xll.qlCalendarAdvance(Calendar,X328,NDays&amp;"D")</f>
        <v>42304</v>
      </c>
      <c r="Z328" s="174">
        <v>6.0373700091931326E-4</v>
      </c>
      <c r="AA328" s="177"/>
    </row>
    <row r="329" spans="22:27" x14ac:dyDescent="0.2">
      <c r="V329" s="163"/>
      <c r="W329" s="158" t="str">
        <f t="shared" si="16"/>
        <v>1D</v>
      </c>
      <c r="X329" s="168">
        <f>_xll.qlCalendarAdvance(Calendar,X328,W329,"f",FALSE)</f>
        <v>42305</v>
      </c>
      <c r="Y329" s="173">
        <f>_xll.qlCalendarAdvance(Calendar,X329,NDays&amp;"D")</f>
        <v>42305</v>
      </c>
      <c r="Z329" s="174">
        <v>6.0375177784455225E-4</v>
      </c>
      <c r="AA329" s="177"/>
    </row>
    <row r="330" spans="22:27" x14ac:dyDescent="0.2">
      <c r="V330" s="163"/>
      <c r="W330" s="158" t="str">
        <f t="shared" si="16"/>
        <v>1D</v>
      </c>
      <c r="X330" s="168">
        <f>_xll.qlCalendarAdvance(Calendar,X329,W330,"f",FALSE)</f>
        <v>42306</v>
      </c>
      <c r="Y330" s="173">
        <f>_xll.qlCalendarAdvance(Calendar,X330,NDays&amp;"D")</f>
        <v>42306</v>
      </c>
      <c r="Z330" s="174">
        <v>6.0376414988350113E-4</v>
      </c>
      <c r="AA330" s="177"/>
    </row>
    <row r="331" spans="22:27" x14ac:dyDescent="0.2">
      <c r="V331" s="163"/>
      <c r="W331" s="158" t="str">
        <f t="shared" si="16"/>
        <v>1D</v>
      </c>
      <c r="X331" s="168">
        <f>_xll.qlCalendarAdvance(Calendar,X330,W331,"f",FALSE)</f>
        <v>42307</v>
      </c>
      <c r="Y331" s="173">
        <f>_xll.qlCalendarAdvance(Calendar,X331,NDays&amp;"D")</f>
        <v>42307</v>
      </c>
      <c r="Z331" s="174">
        <v>6.0378187654216064E-4</v>
      </c>
      <c r="AA331" s="177"/>
    </row>
    <row r="332" spans="22:27" x14ac:dyDescent="0.2">
      <c r="V332" s="163"/>
      <c r="W332" s="158" t="str">
        <f t="shared" si="16"/>
        <v>1D</v>
      </c>
      <c r="X332" s="168">
        <f>_xll.qlCalendarAdvance(Calendar,X331,W332,"f",FALSE)</f>
        <v>42310</v>
      </c>
      <c r="Y332" s="173">
        <f>_xll.qlCalendarAdvance(Calendar,X332,NDays&amp;"D")</f>
        <v>42310</v>
      </c>
      <c r="Z332" s="174">
        <v>6.0379026263046587E-4</v>
      </c>
      <c r="AA332" s="177"/>
    </row>
    <row r="333" spans="22:27" x14ac:dyDescent="0.2">
      <c r="V333" s="163"/>
      <c r="W333" s="158" t="str">
        <f t="shared" ref="W333:W396" si="17">W332</f>
        <v>1D</v>
      </c>
      <c r="X333" s="168">
        <f>_xll.qlCalendarAdvance(Calendar,X332,W333,"f",FALSE)</f>
        <v>42312</v>
      </c>
      <c r="Y333" s="173">
        <f>_xll.qlCalendarAdvance(Calendar,X333,NDays&amp;"D")</f>
        <v>42312</v>
      </c>
      <c r="Z333" s="174">
        <v>6.0378787999137984E-4</v>
      </c>
      <c r="AA333" s="177"/>
    </row>
    <row r="334" spans="22:27" x14ac:dyDescent="0.2">
      <c r="V334" s="163"/>
      <c r="W334" s="158" t="str">
        <f t="shared" si="17"/>
        <v>1D</v>
      </c>
      <c r="X334" s="168">
        <f>_xll.qlCalendarAdvance(Calendar,X333,W334,"f",FALSE)</f>
        <v>42313</v>
      </c>
      <c r="Y334" s="173">
        <f>_xll.qlCalendarAdvance(Calendar,X334,NDays&amp;"D")</f>
        <v>42313</v>
      </c>
      <c r="Z334" s="174">
        <v>6.0378341790734424E-4</v>
      </c>
      <c r="AA334" s="177"/>
    </row>
    <row r="335" spans="22:27" x14ac:dyDescent="0.2">
      <c r="V335" s="163"/>
      <c r="W335" s="158" t="str">
        <f t="shared" si="17"/>
        <v>1D</v>
      </c>
      <c r="X335" s="168">
        <f>_xll.qlCalendarAdvance(Calendar,X334,W335,"f",FALSE)</f>
        <v>42314</v>
      </c>
      <c r="Y335" s="173">
        <f>_xll.qlCalendarAdvance(Calendar,X335,NDays&amp;"D")</f>
        <v>42314</v>
      </c>
      <c r="Z335" s="174">
        <v>6.0376747640108108E-4</v>
      </c>
      <c r="AA335" s="177"/>
    </row>
    <row r="336" spans="22:27" x14ac:dyDescent="0.2">
      <c r="V336" s="163"/>
      <c r="W336" s="158" t="str">
        <f t="shared" si="17"/>
        <v>1D</v>
      </c>
      <c r="X336" s="168">
        <f>_xll.qlCalendarAdvance(Calendar,X335,W336,"f",FALSE)</f>
        <v>42317</v>
      </c>
      <c r="Y336" s="173">
        <f>_xll.qlCalendarAdvance(Calendar,X336,NDays&amp;"D")</f>
        <v>42317</v>
      </c>
      <c r="Z336" s="174">
        <v>6.0374152119457847E-4</v>
      </c>
      <c r="AA336" s="177"/>
    </row>
    <row r="337" spans="22:27" x14ac:dyDescent="0.2">
      <c r="V337" s="163"/>
      <c r="W337" s="158" t="str">
        <f t="shared" si="17"/>
        <v>1D</v>
      </c>
      <c r="X337" s="168">
        <f>_xll.qlCalendarAdvance(Calendar,X336,W337,"f",FALSE)</f>
        <v>42318</v>
      </c>
      <c r="Y337" s="173">
        <f>_xll.qlCalendarAdvance(Calendar,X337,NDays&amp;"D")</f>
        <v>42318</v>
      </c>
      <c r="Z337" s="174">
        <v>6.0372503484118489E-4</v>
      </c>
      <c r="AA337" s="177"/>
    </row>
    <row r="338" spans="22:27" x14ac:dyDescent="0.2">
      <c r="V338" s="163"/>
      <c r="W338" s="158" t="str">
        <f t="shared" si="17"/>
        <v>1D</v>
      </c>
      <c r="X338" s="168">
        <f>_xll.qlCalendarAdvance(Calendar,X337,W338,"f",FALSE)</f>
        <v>42319</v>
      </c>
      <c r="Y338" s="173">
        <f>_xll.qlCalendarAdvance(Calendar,X338,NDays&amp;"D")</f>
        <v>42319</v>
      </c>
      <c r="Z338" s="174">
        <v>6.0370614360150121E-4</v>
      </c>
      <c r="AA338" s="177"/>
    </row>
    <row r="339" spans="22:27" x14ac:dyDescent="0.2">
      <c r="V339" s="163"/>
      <c r="W339" s="158" t="str">
        <f t="shared" si="17"/>
        <v>1D</v>
      </c>
      <c r="X339" s="168">
        <f>_xll.qlCalendarAdvance(Calendar,X338,W339,"f",FALSE)</f>
        <v>42320</v>
      </c>
      <c r="Y339" s="173">
        <f>_xll.qlCalendarAdvance(Calendar,X339,NDays&amp;"D")</f>
        <v>42320</v>
      </c>
      <c r="Z339" s="174">
        <v>6.036848475565737E-4</v>
      </c>
      <c r="AA339" s="177"/>
    </row>
    <row r="340" spans="22:27" x14ac:dyDescent="0.2">
      <c r="V340" s="163"/>
      <c r="W340" s="158" t="str">
        <f t="shared" si="17"/>
        <v>1D</v>
      </c>
      <c r="X340" s="168">
        <f>_xll.qlCalendarAdvance(Calendar,X339,W340,"f",FALSE)</f>
        <v>42321</v>
      </c>
      <c r="Y340" s="173">
        <f>_xll.qlCalendarAdvance(Calendar,X340,NDays&amp;"D")</f>
        <v>42321</v>
      </c>
      <c r="Z340" s="174">
        <v>6.0363523739911018E-4</v>
      </c>
      <c r="AA340" s="177"/>
    </row>
    <row r="341" spans="22:27" x14ac:dyDescent="0.2">
      <c r="V341" s="163"/>
      <c r="W341" s="158" t="str">
        <f t="shared" si="17"/>
        <v>1D</v>
      </c>
      <c r="X341" s="168">
        <f>_xll.qlCalendarAdvance(Calendar,X340,W341,"f",FALSE)</f>
        <v>42324</v>
      </c>
      <c r="Y341" s="173">
        <f>_xll.qlCalendarAdvance(Calendar,X341,NDays&amp;"D")</f>
        <v>42324</v>
      </c>
      <c r="Z341" s="174">
        <v>6.0357561451396258E-4</v>
      </c>
      <c r="AA341" s="177"/>
    </row>
    <row r="342" spans="22:27" x14ac:dyDescent="0.2">
      <c r="V342" s="163"/>
      <c r="W342" s="158" t="str">
        <f t="shared" si="17"/>
        <v>1D</v>
      </c>
      <c r="X342" s="168">
        <f>_xll.qlCalendarAdvance(Calendar,X341,W342,"f",FALSE)</f>
        <v>42325</v>
      </c>
      <c r="Y342" s="173">
        <f>_xll.qlCalendarAdvance(Calendar,X342,NDays&amp;"D")</f>
        <v>42325</v>
      </c>
      <c r="Z342" s="174">
        <v>6.0354229403758453E-4</v>
      </c>
      <c r="AA342" s="177"/>
    </row>
    <row r="343" spans="22:27" x14ac:dyDescent="0.2">
      <c r="V343" s="163"/>
      <c r="W343" s="158" t="str">
        <f t="shared" si="17"/>
        <v>1D</v>
      </c>
      <c r="X343" s="168">
        <f>_xll.qlCalendarAdvance(Calendar,X342,W343,"f",FALSE)</f>
        <v>42326</v>
      </c>
      <c r="Y343" s="173">
        <f>_xll.qlCalendarAdvance(Calendar,X343,NDays&amp;"D")</f>
        <v>42326</v>
      </c>
      <c r="Z343" s="174">
        <v>6.0350656883700893E-4</v>
      </c>
      <c r="AA343" s="177"/>
    </row>
    <row r="344" spans="22:27" x14ac:dyDescent="0.2">
      <c r="V344" s="163"/>
      <c r="W344" s="158" t="str">
        <f t="shared" si="17"/>
        <v>1D</v>
      </c>
      <c r="X344" s="168">
        <f>_xll.qlCalendarAdvance(Calendar,X343,W344,"f",FALSE)</f>
        <v>42327</v>
      </c>
      <c r="Y344" s="173">
        <f>_xll.qlCalendarAdvance(Calendar,X344,NDays&amp;"D")</f>
        <v>42327</v>
      </c>
      <c r="Z344" s="174">
        <v>6.0346843866909694E-4</v>
      </c>
      <c r="AA344" s="177"/>
    </row>
    <row r="345" spans="22:27" x14ac:dyDescent="0.2">
      <c r="V345" s="163"/>
      <c r="W345" s="158" t="str">
        <f t="shared" si="17"/>
        <v>1D</v>
      </c>
      <c r="X345" s="168">
        <f>_xll.qlCalendarAdvance(Calendar,X344,W345,"f",FALSE)</f>
        <v>42328</v>
      </c>
      <c r="Y345" s="173">
        <f>_xll.qlCalendarAdvance(Calendar,X345,NDays&amp;"D")</f>
        <v>42328</v>
      </c>
      <c r="Z345" s="174">
        <v>6.0336258501325624E-4</v>
      </c>
      <c r="AA345" s="177"/>
    </row>
    <row r="346" spans="22:27" x14ac:dyDescent="0.2">
      <c r="V346" s="163"/>
      <c r="W346" s="158" t="str">
        <f t="shared" si="17"/>
        <v>1D</v>
      </c>
      <c r="X346" s="168">
        <f>_xll.qlCalendarAdvance(Calendar,X345,W346,"f",FALSE)</f>
        <v>42332</v>
      </c>
      <c r="Y346" s="173">
        <f>_xll.qlCalendarAdvance(Calendar,X346,NDays&amp;"D")</f>
        <v>42332</v>
      </c>
      <c r="Z346" s="174">
        <v>6.032417148593705E-4</v>
      </c>
      <c r="AA346" s="177"/>
    </row>
    <row r="347" spans="22:27" x14ac:dyDescent="0.2">
      <c r="V347" s="163"/>
      <c r="W347" s="158" t="str">
        <f t="shared" si="17"/>
        <v>1D</v>
      </c>
      <c r="X347" s="168">
        <f>_xll.qlCalendarAdvance(Calendar,X346,W347,"f",FALSE)</f>
        <v>42333</v>
      </c>
      <c r="Y347" s="173">
        <f>_xll.qlCalendarAdvance(Calendar,X347,NDays&amp;"D")</f>
        <v>42333</v>
      </c>
      <c r="Z347" s="174">
        <v>6.0318915553581043E-4</v>
      </c>
      <c r="AA347" s="177"/>
    </row>
    <row r="348" spans="22:27" x14ac:dyDescent="0.2">
      <c r="V348" s="163"/>
      <c r="W348" s="158" t="str">
        <f t="shared" si="17"/>
        <v>1D</v>
      </c>
      <c r="X348" s="168">
        <f>_xll.qlCalendarAdvance(Calendar,X347,W348,"f",FALSE)</f>
        <v>42334</v>
      </c>
      <c r="Y348" s="173">
        <f>_xll.qlCalendarAdvance(Calendar,X348,NDays&amp;"D")</f>
        <v>42334</v>
      </c>
      <c r="Z348" s="174">
        <v>6.0313419132596024E-4</v>
      </c>
      <c r="AA348" s="177"/>
    </row>
    <row r="349" spans="22:27" x14ac:dyDescent="0.2">
      <c r="V349" s="163"/>
      <c r="W349" s="158" t="str">
        <f t="shared" si="17"/>
        <v>1D</v>
      </c>
      <c r="X349" s="168">
        <f>_xll.qlCalendarAdvance(Calendar,X348,W349,"f",FALSE)</f>
        <v>42335</v>
      </c>
      <c r="Y349" s="173">
        <f>_xll.qlCalendarAdvance(Calendar,X349,NDays&amp;"D")</f>
        <v>42335</v>
      </c>
      <c r="Z349" s="174">
        <v>6.0301724292055614E-4</v>
      </c>
      <c r="AA349" s="177"/>
    </row>
    <row r="350" spans="22:27" x14ac:dyDescent="0.2">
      <c r="V350" s="163"/>
      <c r="W350" s="158" t="str">
        <f t="shared" si="17"/>
        <v>1D</v>
      </c>
      <c r="X350" s="168">
        <f>_xll.qlCalendarAdvance(Calendar,X349,W350,"f",FALSE)</f>
        <v>42338</v>
      </c>
      <c r="Y350" s="173">
        <f>_xll.qlCalendarAdvance(Calendar,X350,NDays&amp;"D")</f>
        <v>42338</v>
      </c>
      <c r="Z350" s="174">
        <v>6.0289028578575099E-4</v>
      </c>
      <c r="AA350" s="177"/>
    </row>
    <row r="351" spans="22:27" x14ac:dyDescent="0.2">
      <c r="V351" s="163"/>
      <c r="W351" s="158" t="str">
        <f t="shared" si="17"/>
        <v>1D</v>
      </c>
      <c r="X351" s="168">
        <f>_xll.qlCalendarAdvance(Calendar,X350,W351,"f",FALSE)</f>
        <v>42339</v>
      </c>
      <c r="Y351" s="173">
        <f>_xll.qlCalendarAdvance(Calendar,X351,NDays&amp;"D")</f>
        <v>42339</v>
      </c>
      <c r="Z351" s="174">
        <v>6.0282329722549655E-4</v>
      </c>
      <c r="AA351" s="177"/>
    </row>
    <row r="352" spans="22:27" x14ac:dyDescent="0.2">
      <c r="V352" s="163"/>
      <c r="W352" s="158" t="str">
        <f t="shared" si="17"/>
        <v>1D</v>
      </c>
      <c r="X352" s="168">
        <f>_xll.qlCalendarAdvance(Calendar,X351,W352,"f",FALSE)</f>
        <v>42340</v>
      </c>
      <c r="Y352" s="173">
        <f>_xll.qlCalendarAdvance(Calendar,X352,NDays&amp;"D")</f>
        <v>42340</v>
      </c>
      <c r="Z352" s="174">
        <v>6.0275390385999827E-4</v>
      </c>
      <c r="AA352" s="177"/>
    </row>
    <row r="353" spans="22:27" x14ac:dyDescent="0.2">
      <c r="V353" s="163"/>
      <c r="W353" s="158" t="str">
        <f t="shared" si="17"/>
        <v>1D</v>
      </c>
      <c r="X353" s="168">
        <f>_xll.qlCalendarAdvance(Calendar,X352,W353,"f",FALSE)</f>
        <v>42341</v>
      </c>
      <c r="Y353" s="173">
        <f>_xll.qlCalendarAdvance(Calendar,X353,NDays&amp;"D")</f>
        <v>42341</v>
      </c>
      <c r="Z353" s="174">
        <v>6.0268210552716361E-4</v>
      </c>
      <c r="AA353" s="177"/>
    </row>
    <row r="354" spans="22:27" x14ac:dyDescent="0.2">
      <c r="V354" s="163"/>
      <c r="W354" s="158" t="str">
        <f t="shared" si="17"/>
        <v>1D</v>
      </c>
      <c r="X354" s="168">
        <f>_xll.qlCalendarAdvance(Calendar,X353,W354,"f",FALSE)</f>
        <v>42342</v>
      </c>
      <c r="Y354" s="173">
        <f>_xll.qlCalendarAdvance(Calendar,X354,NDays&amp;"D")</f>
        <v>42342</v>
      </c>
      <c r="Z354" s="174">
        <v>6.02531487389942E-4</v>
      </c>
      <c r="AA354" s="177"/>
    </row>
    <row r="355" spans="22:27" x14ac:dyDescent="0.2">
      <c r="V355" s="163"/>
      <c r="W355" s="158" t="str">
        <f t="shared" si="17"/>
        <v>1D</v>
      </c>
      <c r="X355" s="168">
        <f>_xll.qlCalendarAdvance(Calendar,X354,W355,"f",FALSE)</f>
        <v>42345</v>
      </c>
      <c r="Y355" s="173">
        <f>_xll.qlCalendarAdvance(Calendar,X355,NDays&amp;"D")</f>
        <v>42345</v>
      </c>
      <c r="Z355" s="174">
        <v>6.0237086373815529E-4</v>
      </c>
      <c r="AA355" s="177"/>
    </row>
    <row r="356" spans="22:27" x14ac:dyDescent="0.2">
      <c r="V356" s="163"/>
      <c r="W356" s="158" t="str">
        <f t="shared" si="17"/>
        <v>1D</v>
      </c>
      <c r="X356" s="168">
        <f>_xll.qlCalendarAdvance(Calendar,X355,W356,"f",FALSE)</f>
        <v>42346</v>
      </c>
      <c r="Y356" s="173">
        <f>_xll.qlCalendarAdvance(Calendar,X356,NDays&amp;"D")</f>
        <v>42346</v>
      </c>
      <c r="Z356" s="174">
        <v>6.0228704113596265E-4</v>
      </c>
      <c r="AA356" s="177"/>
    </row>
    <row r="357" spans="22:27" x14ac:dyDescent="0.2">
      <c r="V357" s="163"/>
      <c r="W357" s="158" t="str">
        <f t="shared" si="17"/>
        <v>1D</v>
      </c>
      <c r="X357" s="168">
        <f>_xll.qlCalendarAdvance(Calendar,X356,W357,"f",FALSE)</f>
        <v>42347</v>
      </c>
      <c r="Y357" s="173">
        <f>_xll.qlCalendarAdvance(Calendar,X357,NDays&amp;"D")</f>
        <v>42347</v>
      </c>
      <c r="Z357" s="174">
        <v>6.022008136474799E-4</v>
      </c>
      <c r="AA357" s="177"/>
    </row>
    <row r="358" spans="22:27" x14ac:dyDescent="0.2">
      <c r="V358" s="163"/>
      <c r="W358" s="158" t="str">
        <f t="shared" si="17"/>
        <v>1D</v>
      </c>
      <c r="X358" s="168">
        <f>_xll.qlCalendarAdvance(Calendar,X357,W358,"f",FALSE)</f>
        <v>42348</v>
      </c>
      <c r="Y358" s="173">
        <f>_xll.qlCalendarAdvance(Calendar,X358,NDays&amp;"D")</f>
        <v>42348</v>
      </c>
      <c r="Z358" s="174">
        <v>6.0211218135375333E-4</v>
      </c>
      <c r="AA358" s="177"/>
    </row>
    <row r="359" spans="22:27" x14ac:dyDescent="0.2">
      <c r="V359" s="163"/>
      <c r="W359" s="158" t="str">
        <f t="shared" si="17"/>
        <v>1D</v>
      </c>
      <c r="X359" s="168">
        <f>_xll.qlCalendarAdvance(Calendar,X358,W359,"f",FALSE)</f>
        <v>42349</v>
      </c>
      <c r="Y359" s="173">
        <f>_xll.qlCalendarAdvance(Calendar,X359,NDays&amp;"D")</f>
        <v>42349</v>
      </c>
      <c r="Z359" s="174">
        <v>6.0192789302545202E-4</v>
      </c>
      <c r="AA359" s="177"/>
    </row>
    <row r="360" spans="22:27" x14ac:dyDescent="0.2">
      <c r="V360" s="163"/>
      <c r="W360" s="158" t="str">
        <f t="shared" si="17"/>
        <v>1D</v>
      </c>
      <c r="X360" s="168">
        <f>_xll.qlCalendarAdvance(Calendar,X359,W360,"f",FALSE)</f>
        <v>42352</v>
      </c>
      <c r="Y360" s="173">
        <f>_xll.qlCalendarAdvance(Calendar,X360,NDays&amp;"D")</f>
        <v>42352</v>
      </c>
      <c r="Z360" s="174">
        <v>6.0173360323489966E-4</v>
      </c>
      <c r="AA360" s="177"/>
    </row>
    <row r="361" spans="22:27" x14ac:dyDescent="0.2">
      <c r="V361" s="163"/>
      <c r="W361" s="158" t="str">
        <f t="shared" si="17"/>
        <v>1D</v>
      </c>
      <c r="X361" s="168">
        <f>_xll.qlCalendarAdvance(Calendar,X360,W361,"f",FALSE)</f>
        <v>42353</v>
      </c>
      <c r="Y361" s="173">
        <f>_xll.qlCalendarAdvance(Calendar,X361,NDays&amp;"D")</f>
        <v>42353</v>
      </c>
      <c r="Z361" s="174">
        <v>6.0163294659076882E-4</v>
      </c>
      <c r="AA361" s="177"/>
    </row>
    <row r="362" spans="22:27" x14ac:dyDescent="0.2">
      <c r="V362" s="163"/>
      <c r="W362" s="158" t="str">
        <f t="shared" si="17"/>
        <v>1D</v>
      </c>
      <c r="X362" s="168">
        <f>_xll.qlCalendarAdvance(Calendar,X361,W362,"f",FALSE)</f>
        <v>42354</v>
      </c>
      <c r="Y362" s="173">
        <f>_xll.qlCalendarAdvance(Calendar,X362,NDays&amp;"D")</f>
        <v>42354</v>
      </c>
      <c r="Z362" s="174">
        <v>6.015298849793016E-4</v>
      </c>
      <c r="AA362" s="177"/>
    </row>
    <row r="363" spans="22:27" x14ac:dyDescent="0.2">
      <c r="V363" s="163"/>
      <c r="W363" s="158" t="str">
        <f t="shared" si="17"/>
        <v>1D</v>
      </c>
      <c r="X363" s="168">
        <f>_xll.qlCalendarAdvance(Calendar,X362,W363,"f",FALSE)</f>
        <v>42355</v>
      </c>
      <c r="Y363" s="173">
        <f>_xll.qlCalendarAdvance(Calendar,X363,NDays&amp;"D")</f>
        <v>42355</v>
      </c>
      <c r="Z363" s="174">
        <v>6.0142441856259055E-4</v>
      </c>
      <c r="AA363" s="177"/>
    </row>
    <row r="364" spans="22:27" x14ac:dyDescent="0.2">
      <c r="V364" s="163"/>
      <c r="W364" s="158" t="str">
        <f t="shared" si="17"/>
        <v>1D</v>
      </c>
      <c r="X364" s="168">
        <f>_xll.qlCalendarAdvance(Calendar,X363,W364,"f",FALSE)</f>
        <v>42356</v>
      </c>
      <c r="Y364" s="173">
        <f>_xll.qlCalendarAdvance(Calendar,X364,NDays&amp;"D")</f>
        <v>42356</v>
      </c>
      <c r="Z364" s="174">
        <v>6.012064598270862E-4</v>
      </c>
      <c r="AA364" s="177"/>
    </row>
    <row r="365" spans="22:27" x14ac:dyDescent="0.2">
      <c r="V365" s="163"/>
      <c r="W365" s="158" t="str">
        <f t="shared" si="17"/>
        <v>1D</v>
      </c>
      <c r="X365" s="168">
        <f>_xll.qlCalendarAdvance(Calendar,X364,W365,"f",FALSE)</f>
        <v>42359</v>
      </c>
      <c r="Y365" s="173">
        <f>_xll.qlCalendarAdvance(Calendar,X365,NDays&amp;"D")</f>
        <v>42359</v>
      </c>
      <c r="Z365" s="174">
        <v>6.0097850427598409E-4</v>
      </c>
      <c r="AA365" s="177"/>
    </row>
    <row r="366" spans="22:27" x14ac:dyDescent="0.2">
      <c r="V366" s="163"/>
      <c r="W366" s="158" t="str">
        <f t="shared" si="17"/>
        <v>1D</v>
      </c>
      <c r="X366" s="168">
        <f>_xll.qlCalendarAdvance(Calendar,X365,W366,"f",FALSE)</f>
        <v>42360</v>
      </c>
      <c r="Y366" s="173">
        <f>_xll.qlCalendarAdvance(Calendar,X366,NDays&amp;"D")</f>
        <v>42360</v>
      </c>
      <c r="Z366" s="174">
        <v>6.0080156018604836E-4</v>
      </c>
      <c r="AA366" s="177"/>
    </row>
    <row r="367" spans="22:27" x14ac:dyDescent="0.2">
      <c r="V367" s="163"/>
      <c r="W367" s="158" t="str">
        <f t="shared" si="17"/>
        <v>1D</v>
      </c>
      <c r="X367" s="168">
        <f>_xll.qlCalendarAdvance(Calendar,X366,W367,"f",FALSE)</f>
        <v>42362</v>
      </c>
      <c r="Y367" s="173">
        <f>_xll.qlCalendarAdvance(Calendar,X367,NDays&amp;"D")</f>
        <v>42362</v>
      </c>
      <c r="Z367" s="174">
        <v>6.0061881747786039E-4</v>
      </c>
      <c r="AA367" s="177"/>
    </row>
    <row r="368" spans="22:27" x14ac:dyDescent="0.2">
      <c r="V368" s="163"/>
      <c r="W368" s="158" t="str">
        <f t="shared" si="17"/>
        <v>1D</v>
      </c>
      <c r="X368" s="168">
        <f>_xll.qlCalendarAdvance(Calendar,X367,W368,"f",FALSE)</f>
        <v>42363</v>
      </c>
      <c r="Y368" s="173">
        <f>_xll.qlCalendarAdvance(Calendar,X368,NDays&amp;"D")</f>
        <v>42363</v>
      </c>
      <c r="Z368" s="174">
        <v>6.0036718776782893E-4</v>
      </c>
      <c r="AA368" s="177"/>
    </row>
    <row r="369" spans="22:27" x14ac:dyDescent="0.2">
      <c r="V369" s="163"/>
      <c r="W369" s="158" t="str">
        <f t="shared" si="17"/>
        <v>1D</v>
      </c>
      <c r="X369" s="168">
        <f>_xll.qlCalendarAdvance(Calendar,X368,W369,"f",FALSE)</f>
        <v>42366</v>
      </c>
      <c r="Y369" s="173">
        <f>_xll.qlCalendarAdvance(Calendar,X369,NDays&amp;"D")</f>
        <v>42366</v>
      </c>
      <c r="Z369" s="174">
        <v>6.0010556694245487E-4</v>
      </c>
      <c r="AA369" s="177"/>
    </row>
    <row r="370" spans="22:27" x14ac:dyDescent="0.2">
      <c r="V370" s="163"/>
      <c r="W370" s="158" t="str">
        <f t="shared" si="17"/>
        <v>1D</v>
      </c>
      <c r="X370" s="168">
        <f>_xll.qlCalendarAdvance(Calendar,X369,W370,"f",FALSE)</f>
        <v>42367</v>
      </c>
      <c r="Y370" s="173">
        <f>_xll.qlCalendarAdvance(Calendar,X370,NDays&amp;"D")</f>
        <v>42367</v>
      </c>
      <c r="Z370" s="174">
        <v>5.9997124205235508E-4</v>
      </c>
      <c r="AA370" s="177"/>
    </row>
    <row r="371" spans="22:27" x14ac:dyDescent="0.2">
      <c r="V371" s="163"/>
      <c r="W371" s="158" t="str">
        <f t="shared" si="17"/>
        <v>1D</v>
      </c>
      <c r="X371" s="168">
        <f>_xll.qlCalendarAdvance(Calendar,X370,W371,"f",FALSE)</f>
        <v>42368</v>
      </c>
      <c r="Y371" s="173">
        <f>_xll.qlCalendarAdvance(Calendar,X371,NDays&amp;"D")</f>
        <v>42368</v>
      </c>
      <c r="Z371" s="174">
        <v>5.9955340323480932E-4</v>
      </c>
      <c r="AA371" s="177"/>
    </row>
    <row r="372" spans="22:27" x14ac:dyDescent="0.2">
      <c r="V372" s="163"/>
      <c r="W372" s="158" t="str">
        <f t="shared" si="17"/>
        <v>1D</v>
      </c>
      <c r="X372" s="168">
        <f>_xll.qlCalendarAdvance(Calendar,X371,W372,"f",FALSE)</f>
        <v>42373</v>
      </c>
      <c r="Y372" s="173">
        <f>_xll.qlCalendarAdvance(Calendar,X372,NDays&amp;"D")</f>
        <v>42373</v>
      </c>
      <c r="Z372" s="174">
        <v>5.9911479099117315E-4</v>
      </c>
      <c r="AA372" s="177"/>
    </row>
    <row r="373" spans="22:27" x14ac:dyDescent="0.2">
      <c r="V373" s="163"/>
      <c r="W373" s="158" t="str">
        <f t="shared" si="17"/>
        <v>1D</v>
      </c>
      <c r="X373" s="168">
        <f>_xll.qlCalendarAdvance(Calendar,X372,W373,"f",FALSE)</f>
        <v>42374</v>
      </c>
      <c r="Y373" s="173">
        <f>_xll.qlCalendarAdvance(Calendar,X373,NDays&amp;"D")</f>
        <v>42374</v>
      </c>
      <c r="Z373" s="174">
        <v>5.9896363214018145E-4</v>
      </c>
      <c r="AA373" s="177"/>
    </row>
    <row r="374" spans="22:27" x14ac:dyDescent="0.2">
      <c r="V374" s="163"/>
      <c r="W374" s="158" t="str">
        <f t="shared" si="17"/>
        <v>1D</v>
      </c>
      <c r="X374" s="168">
        <f>_xll.qlCalendarAdvance(Calendar,X373,W374,"f",FALSE)</f>
        <v>42375</v>
      </c>
      <c r="Y374" s="173">
        <f>_xll.qlCalendarAdvance(Calendar,X374,NDays&amp;"D")</f>
        <v>42375</v>
      </c>
      <c r="Z374" s="174">
        <v>5.9881006840289963E-4</v>
      </c>
      <c r="AA374" s="177"/>
    </row>
    <row r="375" spans="22:27" x14ac:dyDescent="0.2">
      <c r="V375" s="163"/>
      <c r="W375" s="158" t="str">
        <f t="shared" si="17"/>
        <v>1D</v>
      </c>
      <c r="X375" s="168">
        <f>_xll.qlCalendarAdvance(Calendar,X374,W375,"f",FALSE)</f>
        <v>42376</v>
      </c>
      <c r="Y375" s="173">
        <f>_xll.qlCalendarAdvance(Calendar,X375,NDays&amp;"D")</f>
        <v>42376</v>
      </c>
      <c r="Z375" s="174">
        <v>5.9865409977932771E-4</v>
      </c>
      <c r="AA375" s="177"/>
    </row>
    <row r="376" spans="22:27" x14ac:dyDescent="0.2">
      <c r="V376" s="163"/>
      <c r="W376" s="158" t="str">
        <f t="shared" si="17"/>
        <v>1D</v>
      </c>
      <c r="X376" s="168">
        <f>_xll.qlCalendarAdvance(Calendar,X375,W376,"f",FALSE)</f>
        <v>42377</v>
      </c>
      <c r="Y376" s="173">
        <f>_xll.qlCalendarAdvance(Calendar,X376,NDays&amp;"D")</f>
        <v>42377</v>
      </c>
      <c r="Z376" s="174">
        <v>5.9825362477894384E-4</v>
      </c>
      <c r="AA376" s="177"/>
    </row>
    <row r="377" spans="22:27" x14ac:dyDescent="0.2">
      <c r="V377" s="163"/>
      <c r="W377" s="158" t="str">
        <f t="shared" si="17"/>
        <v>1D</v>
      </c>
      <c r="X377" s="168">
        <f>_xll.qlCalendarAdvance(Calendar,X376,W377,"f",FALSE)</f>
        <v>42381</v>
      </c>
      <c r="Y377" s="173">
        <f>_xll.qlCalendarAdvance(Calendar,X377,NDays&amp;"D")</f>
        <v>42381</v>
      </c>
      <c r="Z377" s="174">
        <v>5.9783818377234788E-4</v>
      </c>
      <c r="AA377" s="177"/>
    </row>
    <row r="378" spans="22:27" x14ac:dyDescent="0.2">
      <c r="V378" s="163"/>
      <c r="W378" s="158" t="str">
        <f t="shared" si="17"/>
        <v>1D</v>
      </c>
      <c r="X378" s="168">
        <f>_xll.qlCalendarAdvance(Calendar,X377,W378,"f",FALSE)</f>
        <v>42382</v>
      </c>
      <c r="Y378" s="173">
        <f>_xll.qlCalendarAdvance(Calendar,X378,NDays&amp;"D")</f>
        <v>42382</v>
      </c>
      <c r="Z378" s="174">
        <v>5.9766778591208158E-4</v>
      </c>
      <c r="AA378" s="177"/>
    </row>
    <row r="379" spans="22:27" x14ac:dyDescent="0.2">
      <c r="V379" s="163"/>
      <c r="W379" s="158" t="str">
        <f t="shared" si="17"/>
        <v>1D</v>
      </c>
      <c r="X379" s="168">
        <f>_xll.qlCalendarAdvance(Calendar,X378,W379,"f",FALSE)</f>
        <v>42383</v>
      </c>
      <c r="Y379" s="173">
        <f>_xll.qlCalendarAdvance(Calendar,X379,NDays&amp;"D")</f>
        <v>42383</v>
      </c>
      <c r="Z379" s="174">
        <v>5.9749592362656756E-4</v>
      </c>
      <c r="AA379" s="177"/>
    </row>
    <row r="380" spans="22:27" x14ac:dyDescent="0.2">
      <c r="V380" s="163"/>
      <c r="W380" s="158" t="str">
        <f t="shared" si="17"/>
        <v>1D</v>
      </c>
      <c r="X380" s="168">
        <f>_xll.qlCalendarAdvance(Calendar,X379,W380,"f",FALSE)</f>
        <v>42384</v>
      </c>
      <c r="Y380" s="173">
        <f>_xll.qlCalendarAdvance(Calendar,X380,NDays&amp;"D")</f>
        <v>42384</v>
      </c>
      <c r="Z380" s="174">
        <v>5.9716208664776604E-4</v>
      </c>
      <c r="AA380" s="177"/>
    </row>
    <row r="381" spans="22:27" x14ac:dyDescent="0.2">
      <c r="V381" s="163"/>
      <c r="W381" s="158" t="str">
        <f t="shared" si="17"/>
        <v>1D</v>
      </c>
      <c r="X381" s="168">
        <f>_xll.qlCalendarAdvance(Calendar,X380,W381,"f",FALSE)</f>
        <v>42387</v>
      </c>
      <c r="Y381" s="173">
        <f>_xll.qlCalendarAdvance(Calendar,X381,NDays&amp;"D")</f>
        <v>42387</v>
      </c>
      <c r="Z381" s="174">
        <v>5.9683708698243798E-4</v>
      </c>
      <c r="AA381" s="177"/>
    </row>
    <row r="382" spans="22:27" x14ac:dyDescent="0.2">
      <c r="V382" s="163"/>
      <c r="W382" s="158" t="str">
        <f t="shared" si="17"/>
        <v>1D</v>
      </c>
      <c r="X382" s="168">
        <f>_xll.qlCalendarAdvance(Calendar,X381,W382,"f",FALSE)</f>
        <v>42388</v>
      </c>
      <c r="Y382" s="173">
        <f>_xll.qlCalendarAdvance(Calendar,X382,NDays&amp;"D")</f>
        <v>42388</v>
      </c>
      <c r="Z382" s="174">
        <v>5.9668047144745273E-4</v>
      </c>
      <c r="AA382" s="177"/>
    </row>
    <row r="383" spans="22:27" x14ac:dyDescent="0.2">
      <c r="V383" s="163"/>
      <c r="W383" s="158" t="str">
        <f t="shared" si="17"/>
        <v>1D</v>
      </c>
      <c r="X383" s="168">
        <f>_xll.qlCalendarAdvance(Calendar,X382,W383,"f",FALSE)</f>
        <v>42389</v>
      </c>
      <c r="Y383" s="173">
        <f>_xll.qlCalendarAdvance(Calendar,X383,NDays&amp;"D")</f>
        <v>42389</v>
      </c>
      <c r="Z383" s="174">
        <v>5.9652709314406138E-4</v>
      </c>
      <c r="AA383" s="177"/>
    </row>
    <row r="384" spans="22:27" x14ac:dyDescent="0.2">
      <c r="V384" s="163"/>
      <c r="W384" s="158" t="str">
        <f t="shared" si="17"/>
        <v>1D</v>
      </c>
      <c r="X384" s="168">
        <f>_xll.qlCalendarAdvance(Calendar,X383,W384,"f",FALSE)</f>
        <v>42390</v>
      </c>
      <c r="Y384" s="173">
        <f>_xll.qlCalendarAdvance(Calendar,X384,NDays&amp;"D")</f>
        <v>42390</v>
      </c>
      <c r="Z384" s="174">
        <v>5.9637695231540278E-4</v>
      </c>
      <c r="AA384" s="177"/>
    </row>
    <row r="385" spans="22:27" x14ac:dyDescent="0.2">
      <c r="V385" s="163"/>
      <c r="W385" s="158" t="str">
        <f t="shared" si="17"/>
        <v>1D</v>
      </c>
      <c r="X385" s="168">
        <f>_xll.qlCalendarAdvance(Calendar,X384,W385,"f",FALSE)</f>
        <v>42391</v>
      </c>
      <c r="Y385" s="173">
        <f>_xll.qlCalendarAdvance(Calendar,X385,NDays&amp;"D")</f>
        <v>42391</v>
      </c>
      <c r="Z385" s="174">
        <v>5.9608843552531421E-4</v>
      </c>
      <c r="AA385" s="177"/>
    </row>
    <row r="386" spans="22:27" x14ac:dyDescent="0.2">
      <c r="V386" s="163"/>
      <c r="W386" s="158" t="str">
        <f t="shared" si="17"/>
        <v>1D</v>
      </c>
      <c r="X386" s="168">
        <f>_xll.qlCalendarAdvance(Calendar,X385,W386,"f",FALSE)</f>
        <v>42394</v>
      </c>
      <c r="Y386" s="173">
        <f>_xll.qlCalendarAdvance(Calendar,X386,NDays&amp;"D")</f>
        <v>42394</v>
      </c>
      <c r="Z386" s="174">
        <v>5.9580876309972552E-4</v>
      </c>
      <c r="AA386" s="177"/>
    </row>
    <row r="387" spans="22:27" x14ac:dyDescent="0.2">
      <c r="V387" s="163"/>
      <c r="W387" s="158" t="str">
        <f t="shared" si="17"/>
        <v>1D</v>
      </c>
      <c r="X387" s="168">
        <f>_xll.qlCalendarAdvance(Calendar,X386,W387,"f",FALSE)</f>
        <v>42395</v>
      </c>
      <c r="Y387" s="173">
        <f>_xll.qlCalendarAdvance(Calendar,X387,NDays&amp;"D")</f>
        <v>42395</v>
      </c>
      <c r="Z387" s="174">
        <v>5.9567480932054551E-4</v>
      </c>
      <c r="AA387" s="177"/>
    </row>
    <row r="388" spans="22:27" x14ac:dyDescent="0.2">
      <c r="V388" s="163"/>
      <c r="W388" s="158" t="str">
        <f t="shared" si="17"/>
        <v>1D</v>
      </c>
      <c r="X388" s="168">
        <f>_xll.qlCalendarAdvance(Calendar,X387,W388,"f",FALSE)</f>
        <v>42396</v>
      </c>
      <c r="Y388" s="173">
        <f>_xll.qlCalendarAdvance(Calendar,X388,NDays&amp;"D")</f>
        <v>42396</v>
      </c>
      <c r="Z388" s="174">
        <v>5.9554409293505195E-4</v>
      </c>
      <c r="AA388" s="177"/>
    </row>
    <row r="389" spans="22:27" x14ac:dyDescent="0.2">
      <c r="V389" s="163"/>
      <c r="W389" s="158" t="str">
        <f t="shared" si="17"/>
        <v>1D</v>
      </c>
      <c r="X389" s="168">
        <f>_xll.qlCalendarAdvance(Calendar,X388,W389,"f",FALSE)</f>
        <v>42397</v>
      </c>
      <c r="Y389" s="173">
        <f>_xll.qlCalendarAdvance(Calendar,X389,NDays&amp;"D")</f>
        <v>42397</v>
      </c>
      <c r="Z389" s="174">
        <v>5.9541661402429114E-4</v>
      </c>
      <c r="AA389" s="177"/>
    </row>
    <row r="390" spans="22:27" x14ac:dyDescent="0.2">
      <c r="V390" s="163"/>
      <c r="W390" s="158" t="str">
        <f t="shared" si="17"/>
        <v>1D</v>
      </c>
      <c r="X390" s="168">
        <f>_xll.qlCalendarAdvance(Calendar,X389,W390,"f",FALSE)</f>
        <v>42398</v>
      </c>
      <c r="Y390" s="173">
        <f>_xll.qlCalendarAdvance(Calendar,X390,NDays&amp;"D")</f>
        <v>42398</v>
      </c>
      <c r="Z390" s="174">
        <v>5.9517341785516231E-4</v>
      </c>
      <c r="AA390" s="177"/>
    </row>
    <row r="391" spans="22:27" x14ac:dyDescent="0.2">
      <c r="V391" s="163"/>
      <c r="W391" s="158" t="str">
        <f t="shared" si="17"/>
        <v>1D</v>
      </c>
      <c r="X391" s="168">
        <f>_xll.qlCalendarAdvance(Calendar,X390,W391,"f",FALSE)</f>
        <v>42401</v>
      </c>
      <c r="Y391" s="173">
        <f>_xll.qlCalendarAdvance(Calendar,X391,NDays&amp;"D")</f>
        <v>42401</v>
      </c>
      <c r="Z391" s="174">
        <v>5.9493907215601993E-4</v>
      </c>
      <c r="AA391" s="177"/>
    </row>
    <row r="392" spans="22:27" x14ac:dyDescent="0.2">
      <c r="V392" s="163"/>
      <c r="W392" s="158" t="str">
        <f t="shared" si="17"/>
        <v>1D</v>
      </c>
      <c r="X392" s="168">
        <f>_xll.qlCalendarAdvance(Calendar,X391,W392,"f",FALSE)</f>
        <v>42402</v>
      </c>
      <c r="Y392" s="173">
        <f>_xll.qlCalendarAdvance(Calendar,X392,NDays&amp;"D")</f>
        <v>42402</v>
      </c>
      <c r="Z392" s="174">
        <v>5.9482778021369143E-4</v>
      </c>
      <c r="AA392" s="177"/>
    </row>
    <row r="393" spans="22:27" x14ac:dyDescent="0.2">
      <c r="V393" s="163"/>
      <c r="W393" s="158" t="str">
        <f t="shared" si="17"/>
        <v>1D</v>
      </c>
      <c r="X393" s="168">
        <f>_xll.qlCalendarAdvance(Calendar,X392,W393,"f",FALSE)</f>
        <v>42403</v>
      </c>
      <c r="Y393" s="173">
        <f>_xll.qlCalendarAdvance(Calendar,X393,NDays&amp;"D")</f>
        <v>42403</v>
      </c>
      <c r="Z393" s="174">
        <v>5.9471972566504938E-4</v>
      </c>
      <c r="AA393" s="177"/>
    </row>
    <row r="394" spans="22:27" x14ac:dyDescent="0.2">
      <c r="V394" s="163"/>
      <c r="W394" s="158" t="str">
        <f t="shared" si="17"/>
        <v>1D</v>
      </c>
      <c r="X394" s="168">
        <f>_xll.qlCalendarAdvance(Calendar,X393,W394,"f",FALSE)</f>
        <v>42404</v>
      </c>
      <c r="Y394" s="173">
        <f>_xll.qlCalendarAdvance(Calendar,X394,NDays&amp;"D")</f>
        <v>42404</v>
      </c>
      <c r="Z394" s="174">
        <v>5.946149085100938E-4</v>
      </c>
      <c r="AA394" s="177"/>
    </row>
    <row r="395" spans="22:27" x14ac:dyDescent="0.2">
      <c r="V395" s="163"/>
      <c r="W395" s="158" t="str">
        <f t="shared" si="17"/>
        <v>1D</v>
      </c>
      <c r="X395" s="168">
        <f>_xll.qlCalendarAdvance(Calendar,X394,W395,"f",FALSE)</f>
        <v>42405</v>
      </c>
      <c r="Y395" s="173">
        <f>_xll.qlCalendarAdvance(Calendar,X395,NDays&amp;"D")</f>
        <v>42405</v>
      </c>
      <c r="Z395" s="174">
        <v>5.9441703366432585E-4</v>
      </c>
      <c r="AA395" s="177"/>
    </row>
    <row r="396" spans="22:27" x14ac:dyDescent="0.2">
      <c r="V396" s="163"/>
      <c r="W396" s="158" t="str">
        <f t="shared" si="17"/>
        <v>1D</v>
      </c>
      <c r="X396" s="168">
        <f>_xll.qlCalendarAdvance(Calendar,X395,W396,"f",FALSE)</f>
        <v>42408</v>
      </c>
      <c r="Y396" s="173">
        <f>_xll.qlCalendarAdvance(Calendar,X396,NDays&amp;"D")</f>
        <v>42408</v>
      </c>
      <c r="Z396" s="174">
        <v>5.942280141513212E-4</v>
      </c>
      <c r="AA396" s="177"/>
    </row>
    <row r="397" spans="22:27" x14ac:dyDescent="0.2">
      <c r="V397" s="163"/>
      <c r="W397" s="158" t="str">
        <f t="shared" ref="W397:W460" si="18">W396</f>
        <v>1D</v>
      </c>
      <c r="X397" s="168">
        <f>_xll.qlCalendarAdvance(Calendar,X396,W397,"f",FALSE)</f>
        <v>42409</v>
      </c>
      <c r="Y397" s="173">
        <f>_xll.qlCalendarAdvance(Calendar,X397,NDays&amp;"D")</f>
        <v>42409</v>
      </c>
      <c r="Z397" s="174">
        <v>5.9413938404584421E-4</v>
      </c>
      <c r="AA397" s="177"/>
    </row>
    <row r="398" spans="22:27" x14ac:dyDescent="0.2">
      <c r="V398" s="163"/>
      <c r="W398" s="158" t="str">
        <f t="shared" si="18"/>
        <v>1D</v>
      </c>
      <c r="X398" s="168">
        <f>_xll.qlCalendarAdvance(Calendar,X397,W398,"f",FALSE)</f>
        <v>42410</v>
      </c>
      <c r="Y398" s="173">
        <f>_xll.qlCalendarAdvance(Calendar,X398,NDays&amp;"D")</f>
        <v>42410</v>
      </c>
      <c r="Z398" s="174">
        <v>5.9401339703502032E-4</v>
      </c>
      <c r="AA398" s="177"/>
    </row>
    <row r="399" spans="22:27" x14ac:dyDescent="0.2">
      <c r="V399" s="163"/>
      <c r="W399" s="158" t="str">
        <f t="shared" si="18"/>
        <v>1D</v>
      </c>
      <c r="X399" s="168">
        <f>_xll.qlCalendarAdvance(Calendar,X398,W399,"f",FALSE)</f>
        <v>42412</v>
      </c>
      <c r="Y399" s="173">
        <f>_xll.qlCalendarAdvance(Calendar,X399,NDays&amp;"D")</f>
        <v>42412</v>
      </c>
      <c r="Z399" s="174">
        <v>5.9381928292578945E-4</v>
      </c>
      <c r="AA399" s="177"/>
    </row>
    <row r="400" spans="22:27" x14ac:dyDescent="0.2">
      <c r="V400" s="163"/>
      <c r="W400" s="158" t="str">
        <f t="shared" si="18"/>
        <v>1D</v>
      </c>
      <c r="X400" s="168">
        <f>_xll.qlCalendarAdvance(Calendar,X399,W400,"f",FALSE)</f>
        <v>42415</v>
      </c>
      <c r="Y400" s="173">
        <f>_xll.qlCalendarAdvance(Calendar,X400,NDays&amp;"D")</f>
        <v>42415</v>
      </c>
      <c r="Z400" s="174">
        <v>5.9367558900458306E-4</v>
      </c>
      <c r="AA400" s="177"/>
    </row>
    <row r="401" spans="22:27" x14ac:dyDescent="0.2">
      <c r="V401" s="163"/>
      <c r="W401" s="158" t="str">
        <f t="shared" si="18"/>
        <v>1D</v>
      </c>
      <c r="X401" s="168">
        <f>_xll.qlCalendarAdvance(Calendar,X400,W401,"f",FALSE)</f>
        <v>42416</v>
      </c>
      <c r="Y401" s="173">
        <f>_xll.qlCalendarAdvance(Calendar,X401,NDays&amp;"D")</f>
        <v>42416</v>
      </c>
      <c r="Z401" s="174">
        <v>5.9360962073595758E-4</v>
      </c>
      <c r="AA401" s="177"/>
    </row>
    <row r="402" spans="22:27" x14ac:dyDescent="0.2">
      <c r="V402" s="163"/>
      <c r="W402" s="158" t="str">
        <f t="shared" si="18"/>
        <v>1D</v>
      </c>
      <c r="X402" s="168">
        <f>_xll.qlCalendarAdvance(Calendar,X401,W402,"f",FALSE)</f>
        <v>42417</v>
      </c>
      <c r="Y402" s="173">
        <f>_xll.qlCalendarAdvance(Calendar,X402,NDays&amp;"D")</f>
        <v>42417</v>
      </c>
      <c r="Z402" s="174">
        <v>5.9354688994206484E-4</v>
      </c>
      <c r="AA402" s="177"/>
    </row>
    <row r="403" spans="22:27" x14ac:dyDescent="0.2">
      <c r="V403" s="163"/>
      <c r="W403" s="158" t="str">
        <f t="shared" si="18"/>
        <v>1D</v>
      </c>
      <c r="X403" s="168">
        <f>_xll.qlCalendarAdvance(Calendar,X402,W403,"f",FALSE)</f>
        <v>42418</v>
      </c>
      <c r="Y403" s="173">
        <f>_xll.qlCalendarAdvance(Calendar,X403,NDays&amp;"D")</f>
        <v>42418</v>
      </c>
      <c r="Z403" s="174">
        <v>5.9348739654185856E-4</v>
      </c>
      <c r="AA403" s="177"/>
    </row>
    <row r="404" spans="22:27" x14ac:dyDescent="0.2">
      <c r="V404" s="163"/>
      <c r="W404" s="158" t="str">
        <f t="shared" si="18"/>
        <v>1D</v>
      </c>
      <c r="X404" s="168">
        <f>_xll.qlCalendarAdvance(Calendar,X403,W404,"f",FALSE)</f>
        <v>42419</v>
      </c>
      <c r="Y404" s="173">
        <f>_xll.qlCalendarAdvance(Calendar,X404,NDays&amp;"D")</f>
        <v>42419</v>
      </c>
      <c r="Z404" s="174">
        <v>5.9338016566656837E-4</v>
      </c>
      <c r="AA404" s="177"/>
    </row>
    <row r="405" spans="22:27" x14ac:dyDescent="0.2">
      <c r="V405" s="163"/>
      <c r="W405" s="158" t="str">
        <f t="shared" si="18"/>
        <v>1D</v>
      </c>
      <c r="X405" s="168">
        <f>_xll.qlCalendarAdvance(Calendar,X404,W405,"f",FALSE)</f>
        <v>42422</v>
      </c>
      <c r="Y405" s="173">
        <f>_xll.qlCalendarAdvance(Calendar,X405,NDays&amp;"D")</f>
        <v>42422</v>
      </c>
      <c r="Z405" s="174">
        <v>5.9328179687789806E-4</v>
      </c>
      <c r="AA405" s="177"/>
    </row>
    <row r="406" spans="22:27" x14ac:dyDescent="0.2">
      <c r="V406" s="163"/>
      <c r="W406" s="158" t="str">
        <f t="shared" si="18"/>
        <v>1D</v>
      </c>
      <c r="X406" s="168">
        <f>_xll.qlCalendarAdvance(Calendar,X405,W406,"f",FALSE)</f>
        <v>42423</v>
      </c>
      <c r="Y406" s="173">
        <f>_xll.qlCalendarAdvance(Calendar,X406,NDays&amp;"D")</f>
        <v>42423</v>
      </c>
      <c r="Z406" s="174">
        <v>5.9323849044612409E-4</v>
      </c>
      <c r="AA406" s="177"/>
    </row>
    <row r="407" spans="22:27" x14ac:dyDescent="0.2">
      <c r="V407" s="163"/>
      <c r="W407" s="158" t="str">
        <f t="shared" si="18"/>
        <v>1D</v>
      </c>
      <c r="X407" s="168">
        <f>_xll.qlCalendarAdvance(Calendar,X406,W407,"f",FALSE)</f>
        <v>42424</v>
      </c>
      <c r="Y407" s="173">
        <f>_xll.qlCalendarAdvance(Calendar,X407,NDays&amp;"D")</f>
        <v>42424</v>
      </c>
      <c r="Z407" s="174">
        <v>5.9319842148908286E-4</v>
      </c>
      <c r="AA407" s="177"/>
    </row>
    <row r="408" spans="22:27" x14ac:dyDescent="0.2">
      <c r="V408" s="163"/>
      <c r="W408" s="158" t="str">
        <f t="shared" si="18"/>
        <v>1D</v>
      </c>
      <c r="X408" s="168">
        <f>_xll.qlCalendarAdvance(Calendar,X407,W408,"f",FALSE)</f>
        <v>42425</v>
      </c>
      <c r="Y408" s="173">
        <f>_xll.qlCalendarAdvance(Calendar,X408,NDays&amp;"D")</f>
        <v>42425</v>
      </c>
      <c r="Z408" s="174">
        <v>5.9316158992572809E-4</v>
      </c>
      <c r="AA408" s="177"/>
    </row>
    <row r="409" spans="22:27" x14ac:dyDescent="0.2">
      <c r="V409" s="163"/>
      <c r="W409" s="158" t="str">
        <f t="shared" si="18"/>
        <v>1D</v>
      </c>
      <c r="X409" s="168">
        <f>_xll.qlCalendarAdvance(Calendar,X408,W409,"f",FALSE)</f>
        <v>42426</v>
      </c>
      <c r="Y409" s="173">
        <f>_xll.qlCalendarAdvance(Calendar,X409,NDays&amp;"D")</f>
        <v>42426</v>
      </c>
      <c r="Z409" s="174">
        <v>5.9309968183263184E-4</v>
      </c>
      <c r="AA409" s="177"/>
    </row>
    <row r="410" spans="22:27" x14ac:dyDescent="0.2">
      <c r="V410" s="163"/>
      <c r="W410" s="158" t="str">
        <f t="shared" si="18"/>
        <v>1D</v>
      </c>
      <c r="X410" s="168">
        <f>_xll.qlCalendarAdvance(Calendar,X409,W410,"f",FALSE)</f>
        <v>42429</v>
      </c>
      <c r="Y410" s="173">
        <f>_xll.qlCalendarAdvance(Calendar,X410,NDays&amp;"D")</f>
        <v>42429</v>
      </c>
      <c r="Z410" s="174">
        <v>5.9304663760917364E-4</v>
      </c>
      <c r="AA410" s="177"/>
    </row>
    <row r="411" spans="22:27" x14ac:dyDescent="0.2">
      <c r="V411" s="163"/>
      <c r="W411" s="158" t="str">
        <f t="shared" si="18"/>
        <v>1D</v>
      </c>
      <c r="X411" s="168">
        <f>_xll.qlCalendarAdvance(Calendar,X410,W411,"f",FALSE)</f>
        <v>42430</v>
      </c>
      <c r="Y411" s="173">
        <f>_xll.qlCalendarAdvance(Calendar,X411,NDays&amp;"D")</f>
        <v>42430</v>
      </c>
      <c r="Z411" s="174">
        <v>5.9302599309529747E-4</v>
      </c>
      <c r="AA411" s="177"/>
    </row>
    <row r="412" spans="22:27" x14ac:dyDescent="0.2">
      <c r="V412" s="163"/>
      <c r="W412" s="158" t="str">
        <f t="shared" si="18"/>
        <v>1D</v>
      </c>
      <c r="X412" s="168">
        <f>_xll.qlCalendarAdvance(Calendar,X411,W412,"f",FALSE)</f>
        <v>42431</v>
      </c>
      <c r="Y412" s="173">
        <f>_xll.qlCalendarAdvance(Calendar,X412,NDays&amp;"D")</f>
        <v>42431</v>
      </c>
      <c r="Z412" s="174">
        <v>5.9300858597510775E-4</v>
      </c>
      <c r="AA412" s="177"/>
    </row>
    <row r="413" spans="22:27" x14ac:dyDescent="0.2">
      <c r="V413" s="163"/>
      <c r="W413" s="158" t="str">
        <f t="shared" si="18"/>
        <v>1D</v>
      </c>
      <c r="X413" s="168">
        <f>_xll.qlCalendarAdvance(Calendar,X412,W413,"f",FALSE)</f>
        <v>42432</v>
      </c>
      <c r="Y413" s="173">
        <f>_xll.qlCalendarAdvance(Calendar,X413,NDays&amp;"D")</f>
        <v>42432</v>
      </c>
      <c r="Z413" s="174">
        <v>5.9299441624860449E-4</v>
      </c>
      <c r="AA413" s="177"/>
    </row>
    <row r="414" spans="22:27" x14ac:dyDescent="0.2">
      <c r="V414" s="163"/>
      <c r="W414" s="158" t="str">
        <f t="shared" si="18"/>
        <v>1D</v>
      </c>
      <c r="X414" s="168">
        <f>_xll.qlCalendarAdvance(Calendar,X413,W414,"f",FALSE)</f>
        <v>42433</v>
      </c>
      <c r="Y414" s="173">
        <f>_xll.qlCalendarAdvance(Calendar,X414,NDays&amp;"D")</f>
        <v>42433</v>
      </c>
      <c r="Z414" s="174">
        <v>5.9297783147801064E-4</v>
      </c>
      <c r="AA414" s="177"/>
    </row>
    <row r="415" spans="22:27" x14ac:dyDescent="0.2">
      <c r="V415" s="163"/>
      <c r="W415" s="158" t="str">
        <f t="shared" si="18"/>
        <v>1D</v>
      </c>
      <c r="X415" s="168">
        <f>_xll.qlCalendarAdvance(Calendar,X414,W415,"f",FALSE)</f>
        <v>42436</v>
      </c>
      <c r="Y415" s="173">
        <f>_xll.qlCalendarAdvance(Calendar,X415,NDays&amp;"D")</f>
        <v>42436</v>
      </c>
      <c r="Z415" s="174">
        <v>5.9297011136050237E-4</v>
      </c>
      <c r="AA415" s="177"/>
    </row>
    <row r="416" spans="22:27" x14ac:dyDescent="0.2">
      <c r="V416" s="163"/>
      <c r="W416" s="158" t="str">
        <f t="shared" si="18"/>
        <v>1D</v>
      </c>
      <c r="X416" s="168">
        <f>_xll.qlCalendarAdvance(Calendar,X415,W416,"f",FALSE)</f>
        <v>42437</v>
      </c>
      <c r="Y416" s="173">
        <f>_xll.qlCalendarAdvance(Calendar,X416,NDays&amp;"D")</f>
        <v>42437</v>
      </c>
      <c r="Z416" s="174">
        <v>5.9297212868347771E-4</v>
      </c>
      <c r="AA416" s="177"/>
    </row>
    <row r="417" spans="22:27" x14ac:dyDescent="0.2">
      <c r="V417" s="163"/>
      <c r="W417" s="158" t="str">
        <f t="shared" si="18"/>
        <v>1D</v>
      </c>
      <c r="X417" s="168">
        <f>_xll.qlCalendarAdvance(Calendar,X416,W417,"f",FALSE)</f>
        <v>42438</v>
      </c>
      <c r="Y417" s="173">
        <f>_xll.qlCalendarAdvance(Calendar,X417,NDays&amp;"D")</f>
        <v>42438</v>
      </c>
      <c r="Z417" s="174">
        <v>5.929773834001395E-4</v>
      </c>
      <c r="AA417" s="177"/>
    </row>
    <row r="418" spans="22:27" x14ac:dyDescent="0.2">
      <c r="V418" s="163"/>
      <c r="W418" s="158" t="str">
        <f t="shared" si="18"/>
        <v>1D</v>
      </c>
      <c r="X418" s="168">
        <f>_xll.qlCalendarAdvance(Calendar,X417,W418,"f",FALSE)</f>
        <v>42439</v>
      </c>
      <c r="Y418" s="173">
        <f>_xll.qlCalendarAdvance(Calendar,X418,NDays&amp;"D")</f>
        <v>42439</v>
      </c>
      <c r="Z418" s="174">
        <v>5.9298587551048776E-4</v>
      </c>
      <c r="AA418" s="177"/>
    </row>
    <row r="419" spans="22:27" x14ac:dyDescent="0.2">
      <c r="V419" s="163"/>
      <c r="W419" s="158" t="str">
        <f t="shared" si="18"/>
        <v>1D</v>
      </c>
      <c r="X419" s="168">
        <f>_xll.qlCalendarAdvance(Calendar,X418,W419,"f",FALSE)</f>
        <v>42440</v>
      </c>
      <c r="Y419" s="173">
        <f>_xll.qlCalendarAdvance(Calendar,X419,NDays&amp;"D")</f>
        <v>42440</v>
      </c>
      <c r="Z419" s="174">
        <v>5.930146145486741E-4</v>
      </c>
      <c r="AA419" s="177"/>
    </row>
    <row r="420" spans="22:27" x14ac:dyDescent="0.2">
      <c r="V420" s="163"/>
      <c r="W420" s="158" t="str">
        <f t="shared" si="18"/>
        <v>1D</v>
      </c>
      <c r="X420" s="168">
        <f>_xll.qlCalendarAdvance(Calendar,X419,W420,"f",FALSE)</f>
        <v>42443</v>
      </c>
      <c r="Y420" s="173">
        <f>_xll.qlCalendarAdvance(Calendar,X420,NDays&amp;"D")</f>
        <v>42443</v>
      </c>
      <c r="Z420" s="174">
        <v>5.9305221805083796E-4</v>
      </c>
      <c r="AA420" s="177"/>
    </row>
    <row r="421" spans="22:27" x14ac:dyDescent="0.2">
      <c r="V421" s="163"/>
      <c r="W421" s="158" t="str">
        <f t="shared" si="18"/>
        <v>1D</v>
      </c>
      <c r="X421" s="168">
        <f>_xll.qlCalendarAdvance(Calendar,X420,W421,"f",FALSE)</f>
        <v>42444</v>
      </c>
      <c r="Y421" s="173">
        <f>_xll.qlCalendarAdvance(Calendar,X421,NDays&amp;"D")</f>
        <v>42444</v>
      </c>
      <c r="Z421" s="174">
        <v>5.9307689712961853E-4</v>
      </c>
      <c r="AA421" s="177"/>
    </row>
    <row r="422" spans="22:27" x14ac:dyDescent="0.2">
      <c r="V422" s="163"/>
      <c r="W422" s="158" t="str">
        <f t="shared" si="18"/>
        <v>1D</v>
      </c>
      <c r="X422" s="168">
        <f>_xll.qlCalendarAdvance(Calendar,X421,W422,"f",FALSE)</f>
        <v>42445</v>
      </c>
      <c r="Y422" s="173">
        <f>_xll.qlCalendarAdvance(Calendar,X422,NDays&amp;"D")</f>
        <v>42445</v>
      </c>
      <c r="Z422" s="174">
        <v>5.9310481376417812E-4</v>
      </c>
      <c r="AA422" s="177"/>
    </row>
    <row r="423" spans="22:27" x14ac:dyDescent="0.2">
      <c r="V423" s="163"/>
      <c r="W423" s="158" t="str">
        <f t="shared" si="18"/>
        <v>1D</v>
      </c>
      <c r="X423" s="168">
        <f>_xll.qlCalendarAdvance(Calendar,X422,W423,"f",FALSE)</f>
        <v>42446</v>
      </c>
      <c r="Y423" s="173">
        <f>_xll.qlCalendarAdvance(Calendar,X423,NDays&amp;"D")</f>
        <v>42446</v>
      </c>
      <c r="Z423" s="174">
        <v>5.9313596771137789E-4</v>
      </c>
      <c r="AA423" s="177"/>
    </row>
    <row r="424" spans="22:27" x14ac:dyDescent="0.2">
      <c r="V424" s="163"/>
      <c r="W424" s="158" t="str">
        <f t="shared" si="18"/>
        <v>1D</v>
      </c>
      <c r="X424" s="168">
        <f>_xll.qlCalendarAdvance(Calendar,X423,W424,"f",FALSE)</f>
        <v>42447</v>
      </c>
      <c r="Y424" s="173">
        <f>_xll.qlCalendarAdvance(Calendar,X424,NDays&amp;"D")</f>
        <v>42447</v>
      </c>
      <c r="Z424" s="174">
        <v>5.932314859199983E-4</v>
      </c>
      <c r="AA424" s="177"/>
    </row>
    <row r="425" spans="22:27" x14ac:dyDescent="0.2">
      <c r="V425" s="163"/>
      <c r="W425" s="158" t="str">
        <f t="shared" si="18"/>
        <v>1D</v>
      </c>
      <c r="X425" s="168">
        <f>_xll.qlCalendarAdvance(Calendar,X424,W425,"f",FALSE)</f>
        <v>42451</v>
      </c>
      <c r="Y425" s="173">
        <f>_xll.qlCalendarAdvance(Calendar,X425,NDays&amp;"D")</f>
        <v>42451</v>
      </c>
      <c r="Z425" s="174">
        <v>5.933402985958125E-4</v>
      </c>
      <c r="AA425" s="177"/>
    </row>
    <row r="426" spans="22:27" x14ac:dyDescent="0.2">
      <c r="V426" s="163"/>
      <c r="W426" s="158" t="str">
        <f t="shared" si="18"/>
        <v>1D</v>
      </c>
      <c r="X426" s="168">
        <f>_xll.qlCalendarAdvance(Calendar,X425,W426,"f",FALSE)</f>
        <v>42452</v>
      </c>
      <c r="Y426" s="173">
        <f>_xll.qlCalendarAdvance(Calendar,X426,NDays&amp;"D")</f>
        <v>42452</v>
      </c>
      <c r="Z426" s="174">
        <v>5.933908770672236E-4</v>
      </c>
      <c r="AA426" s="177"/>
    </row>
    <row r="427" spans="22:27" x14ac:dyDescent="0.2">
      <c r="V427" s="163"/>
      <c r="W427" s="158" t="str">
        <f t="shared" si="18"/>
        <v>1D</v>
      </c>
      <c r="X427" s="168">
        <f>_xll.qlCalendarAdvance(Calendar,X426,W427,"f",FALSE)</f>
        <v>42453</v>
      </c>
      <c r="Y427" s="173">
        <f>_xll.qlCalendarAdvance(Calendar,X427,NDays&amp;"D")</f>
        <v>42453</v>
      </c>
      <c r="Z427" s="174">
        <v>5.9344469285127488E-4</v>
      </c>
      <c r="AA427" s="177"/>
    </row>
    <row r="428" spans="22:27" x14ac:dyDescent="0.2">
      <c r="V428" s="163"/>
      <c r="W428" s="158" t="str">
        <f t="shared" si="18"/>
        <v>1D</v>
      </c>
      <c r="X428" s="168">
        <f>_xll.qlCalendarAdvance(Calendar,X427,W428,"f",FALSE)</f>
        <v>42454</v>
      </c>
      <c r="Y428" s="173">
        <f>_xll.qlCalendarAdvance(Calendar,X428,NDays&amp;"D")</f>
        <v>42454</v>
      </c>
      <c r="Z428" s="174">
        <v>5.9356408110093173E-4</v>
      </c>
      <c r="AA428" s="177"/>
    </row>
    <row r="429" spans="22:27" x14ac:dyDescent="0.2">
      <c r="V429" s="163"/>
      <c r="W429" s="158" t="str">
        <f t="shared" si="18"/>
        <v>1D</v>
      </c>
      <c r="X429" s="168">
        <f>_xll.qlCalendarAdvance(Calendar,X428,W429,"f",FALSE)</f>
        <v>42457</v>
      </c>
      <c r="Y429" s="173">
        <f>_xll.qlCalendarAdvance(Calendar,X429,NDays&amp;"D")</f>
        <v>42457</v>
      </c>
      <c r="Z429" s="174">
        <v>5.9369233016748346E-4</v>
      </c>
      <c r="AA429" s="177"/>
    </row>
    <row r="430" spans="22:27" x14ac:dyDescent="0.2">
      <c r="V430" s="163"/>
      <c r="W430" s="158" t="str">
        <f t="shared" si="18"/>
        <v>1D</v>
      </c>
      <c r="X430" s="168">
        <f>_xll.qlCalendarAdvance(Calendar,X429,W430,"f",FALSE)</f>
        <v>42458</v>
      </c>
      <c r="Y430" s="173">
        <f>_xll.qlCalendarAdvance(Calendar,X430,NDays&amp;"D")</f>
        <v>42458</v>
      </c>
      <c r="Z430" s="174">
        <v>5.9376233300101333E-4</v>
      </c>
      <c r="AA430" s="177"/>
    </row>
    <row r="431" spans="22:27" x14ac:dyDescent="0.2">
      <c r="V431" s="163"/>
      <c r="W431" s="158" t="str">
        <f t="shared" si="18"/>
        <v>1D</v>
      </c>
      <c r="X431" s="168">
        <f>_xll.qlCalendarAdvance(Calendar,X430,W431,"f",FALSE)</f>
        <v>42459</v>
      </c>
      <c r="Y431" s="173">
        <f>_xll.qlCalendarAdvance(Calendar,X431,NDays&amp;"D")</f>
        <v>42459</v>
      </c>
      <c r="Z431" s="174">
        <v>5.9383557330927594E-4</v>
      </c>
      <c r="AA431" s="177"/>
    </row>
    <row r="432" spans="22:27" x14ac:dyDescent="0.2">
      <c r="V432" s="163"/>
      <c r="W432" s="158" t="str">
        <f t="shared" si="18"/>
        <v>1D</v>
      </c>
      <c r="X432" s="168">
        <f>_xll.qlCalendarAdvance(Calendar,X431,W432,"f",FALSE)</f>
        <v>42460</v>
      </c>
      <c r="Y432" s="173">
        <f>_xll.qlCalendarAdvance(Calendar,X432,NDays&amp;"D")</f>
        <v>42460</v>
      </c>
      <c r="Z432" s="174">
        <v>5.9391205093017874E-4</v>
      </c>
      <c r="AA432" s="177"/>
    </row>
    <row r="433" spans="22:27" x14ac:dyDescent="0.2">
      <c r="V433" s="163"/>
      <c r="W433" s="158" t="str">
        <f t="shared" si="18"/>
        <v>1D</v>
      </c>
      <c r="X433" s="168">
        <f>_xll.qlCalendarAdvance(Calendar,X432,W433,"f",FALSE)</f>
        <v>42461</v>
      </c>
      <c r="Y433" s="173">
        <f>_xll.qlCalendarAdvance(Calendar,X433,NDays&amp;"D")</f>
        <v>42461</v>
      </c>
      <c r="Z433" s="174">
        <v>5.940767645555105E-4</v>
      </c>
      <c r="AA433" s="177"/>
    </row>
    <row r="434" spans="22:27" x14ac:dyDescent="0.2">
      <c r="V434" s="163"/>
      <c r="W434" s="158" t="str">
        <f t="shared" si="18"/>
        <v>1D</v>
      </c>
      <c r="X434" s="168">
        <f>_xll.qlCalendarAdvance(Calendar,X433,W434,"f",FALSE)</f>
        <v>42464</v>
      </c>
      <c r="Y434" s="173">
        <f>_xll.qlCalendarAdvance(Calendar,X434,NDays&amp;"D")</f>
        <v>42464</v>
      </c>
      <c r="Z434" s="174">
        <v>5.9425033567483965E-4</v>
      </c>
      <c r="AA434" s="177"/>
    </row>
    <row r="435" spans="22:27" x14ac:dyDescent="0.2">
      <c r="V435" s="163"/>
      <c r="W435" s="158" t="str">
        <f t="shared" si="18"/>
        <v>1D</v>
      </c>
      <c r="X435" s="168">
        <f>_xll.qlCalendarAdvance(Calendar,X434,W435,"f",FALSE)</f>
        <v>42465</v>
      </c>
      <c r="Y435" s="173">
        <f>_xll.qlCalendarAdvance(Calendar,X435,NDays&amp;"D")</f>
        <v>42465</v>
      </c>
      <c r="Z435" s="174">
        <v>5.9434300034522103E-4</v>
      </c>
      <c r="AA435" s="177"/>
    </row>
    <row r="436" spans="22:27" x14ac:dyDescent="0.2">
      <c r="V436" s="163"/>
      <c r="W436" s="158" t="str">
        <f t="shared" si="18"/>
        <v>1D</v>
      </c>
      <c r="X436" s="168">
        <f>_xll.qlCalendarAdvance(Calendar,X435,W436,"f",FALSE)</f>
        <v>42466</v>
      </c>
      <c r="Y436" s="173">
        <f>_xll.qlCalendarAdvance(Calendar,X436,NDays&amp;"D")</f>
        <v>42466</v>
      </c>
      <c r="Z436" s="174">
        <v>5.9443890249033515E-4</v>
      </c>
      <c r="AA436" s="177"/>
    </row>
    <row r="437" spans="22:27" x14ac:dyDescent="0.2">
      <c r="V437" s="163"/>
      <c r="W437" s="158" t="str">
        <f t="shared" si="18"/>
        <v>1D</v>
      </c>
      <c r="X437" s="168">
        <f>_xll.qlCalendarAdvance(Calendar,X436,W437,"f",FALSE)</f>
        <v>42467</v>
      </c>
      <c r="Y437" s="173">
        <f>_xll.qlCalendarAdvance(Calendar,X437,NDays&amp;"D")</f>
        <v>42467</v>
      </c>
      <c r="Z437" s="174">
        <v>5.9453804194808946E-4</v>
      </c>
      <c r="AA437" s="177"/>
    </row>
    <row r="438" spans="22:27" x14ac:dyDescent="0.2">
      <c r="V438" s="163"/>
      <c r="W438" s="158" t="str">
        <f t="shared" si="18"/>
        <v>1D</v>
      </c>
      <c r="X438" s="168">
        <f>_xll.qlCalendarAdvance(Calendar,X437,W438,"f",FALSE)</f>
        <v>42468</v>
      </c>
      <c r="Y438" s="173">
        <f>_xll.qlCalendarAdvance(Calendar,X438,NDays&amp;"D")</f>
        <v>42468</v>
      </c>
      <c r="Z438" s="174">
        <v>5.9474808146238922E-4</v>
      </c>
      <c r="AA438" s="177"/>
    </row>
    <row r="439" spans="22:27" x14ac:dyDescent="0.2">
      <c r="V439" s="163"/>
      <c r="W439" s="158" t="str">
        <f t="shared" si="18"/>
        <v>1D</v>
      </c>
      <c r="X439" s="168">
        <f>_xll.qlCalendarAdvance(Calendar,X438,W439,"f",FALSE)</f>
        <v>42471</v>
      </c>
      <c r="Y439" s="173">
        <f>_xll.qlCalendarAdvance(Calendar,X439,NDays&amp;"D")</f>
        <v>42471</v>
      </c>
      <c r="Z439" s="174">
        <v>5.949669741212027E-4</v>
      </c>
      <c r="AA439" s="177"/>
    </row>
    <row r="440" spans="22:27" x14ac:dyDescent="0.2">
      <c r="V440" s="163"/>
      <c r="W440" s="158" t="str">
        <f t="shared" si="18"/>
        <v>1D</v>
      </c>
      <c r="X440" s="168">
        <f>_xll.qlCalendarAdvance(Calendar,X439,W440,"f",FALSE)</f>
        <v>42472</v>
      </c>
      <c r="Y440" s="173">
        <f>_xll.qlCalendarAdvance(Calendar,X440,NDays&amp;"D")</f>
        <v>42472</v>
      </c>
      <c r="Z440" s="174">
        <v>5.9508230062843559E-4</v>
      </c>
      <c r="AA440" s="177"/>
    </row>
    <row r="441" spans="22:27" x14ac:dyDescent="0.2">
      <c r="V441" s="163"/>
      <c r="W441" s="158" t="str">
        <f t="shared" si="18"/>
        <v>1D</v>
      </c>
      <c r="X441" s="168">
        <f>_xll.qlCalendarAdvance(Calendar,X440,W441,"f",FALSE)</f>
        <v>42473</v>
      </c>
      <c r="Y441" s="173">
        <f>_xll.qlCalendarAdvance(Calendar,X441,NDays&amp;"D")</f>
        <v>42473</v>
      </c>
      <c r="Z441" s="174">
        <v>5.9520086452935494E-4</v>
      </c>
      <c r="AA441" s="177"/>
    </row>
    <row r="442" spans="22:27" x14ac:dyDescent="0.2">
      <c r="V442" s="163"/>
      <c r="W442" s="158" t="str">
        <f t="shared" si="18"/>
        <v>1D</v>
      </c>
      <c r="X442" s="168">
        <f>_xll.qlCalendarAdvance(Calendar,X441,W442,"f",FALSE)</f>
        <v>42474</v>
      </c>
      <c r="Y442" s="173">
        <f>_xll.qlCalendarAdvance(Calendar,X442,NDays&amp;"D")</f>
        <v>42474</v>
      </c>
      <c r="Z442" s="174">
        <v>5.9532266598605332E-4</v>
      </c>
      <c r="AA442" s="177"/>
    </row>
    <row r="443" spans="22:27" x14ac:dyDescent="0.2">
      <c r="V443" s="163"/>
      <c r="W443" s="158" t="str">
        <f t="shared" si="18"/>
        <v>1D</v>
      </c>
      <c r="X443" s="168">
        <f>_xll.qlCalendarAdvance(Calendar,X442,W443,"f",FALSE)</f>
        <v>42475</v>
      </c>
      <c r="Y443" s="173">
        <f>_xll.qlCalendarAdvance(Calendar,X443,NDays&amp;"D")</f>
        <v>42475</v>
      </c>
      <c r="Z443" s="174">
        <v>5.9557803182156799E-4</v>
      </c>
      <c r="AA443" s="177"/>
    </row>
    <row r="444" spans="22:27" x14ac:dyDescent="0.2">
      <c r="V444" s="163"/>
      <c r="W444" s="158" t="str">
        <f t="shared" si="18"/>
        <v>1D</v>
      </c>
      <c r="X444" s="168">
        <f>_xll.qlCalendarAdvance(Calendar,X443,W444,"f",FALSE)</f>
        <v>42478</v>
      </c>
      <c r="Y444" s="173">
        <f>_xll.qlCalendarAdvance(Calendar,X444,NDays&amp;"D")</f>
        <v>42478</v>
      </c>
      <c r="Z444" s="174">
        <v>5.9584224542552633E-4</v>
      </c>
      <c r="AA444" s="177"/>
    </row>
    <row r="445" spans="22:27" x14ac:dyDescent="0.2">
      <c r="V445" s="163"/>
      <c r="W445" s="158" t="str">
        <f t="shared" si="18"/>
        <v>1D</v>
      </c>
      <c r="X445" s="168">
        <f>_xll.qlCalendarAdvance(Calendar,X444,W445,"f",FALSE)</f>
        <v>42479</v>
      </c>
      <c r="Y445" s="173">
        <f>_xll.qlCalendarAdvance(Calendar,X445,NDays&amp;"D")</f>
        <v>42479</v>
      </c>
      <c r="Z445" s="174">
        <v>5.9598023385065702E-4</v>
      </c>
      <c r="AA445" s="177"/>
    </row>
    <row r="446" spans="22:27" x14ac:dyDescent="0.2">
      <c r="V446" s="163"/>
      <c r="W446" s="158" t="str">
        <f t="shared" si="18"/>
        <v>1D</v>
      </c>
      <c r="X446" s="168">
        <f>_xll.qlCalendarAdvance(Calendar,X445,W446,"f",FALSE)</f>
        <v>42480</v>
      </c>
      <c r="Y446" s="173">
        <f>_xll.qlCalendarAdvance(Calendar,X446,NDays&amp;"D")</f>
        <v>42480</v>
      </c>
      <c r="Z446" s="174">
        <v>5.9612145966947416E-4</v>
      </c>
      <c r="AA446" s="177"/>
    </row>
    <row r="447" spans="22:27" x14ac:dyDescent="0.2">
      <c r="V447" s="163"/>
      <c r="W447" s="158" t="str">
        <f t="shared" si="18"/>
        <v>1D</v>
      </c>
      <c r="X447" s="168">
        <f>_xll.qlCalendarAdvance(Calendar,X446,W447,"f",FALSE)</f>
        <v>42481</v>
      </c>
      <c r="Y447" s="173">
        <f>_xll.qlCalendarAdvance(Calendar,X447,NDays&amp;"D")</f>
        <v>42481</v>
      </c>
      <c r="Z447" s="174">
        <v>5.9626592280093149E-4</v>
      </c>
      <c r="AA447" s="177"/>
    </row>
    <row r="448" spans="22:27" x14ac:dyDescent="0.2">
      <c r="V448" s="163"/>
      <c r="W448" s="158" t="str">
        <f t="shared" si="18"/>
        <v>1D</v>
      </c>
      <c r="X448" s="168">
        <f>_xll.qlCalendarAdvance(Calendar,X447,W448,"f",FALSE)</f>
        <v>42482</v>
      </c>
      <c r="Y448" s="173">
        <f>_xll.qlCalendarAdvance(Calendar,X448,NDays&amp;"D")</f>
        <v>42482</v>
      </c>
      <c r="Z448" s="174">
        <v>5.9656661566006208E-4</v>
      </c>
      <c r="AA448" s="177"/>
    </row>
    <row r="449" spans="22:27" x14ac:dyDescent="0.2">
      <c r="V449" s="163"/>
      <c r="W449" s="158" t="str">
        <f t="shared" si="18"/>
        <v>1D</v>
      </c>
      <c r="X449" s="168">
        <f>_xll.qlCalendarAdvance(Calendar,X448,W449,"f",FALSE)</f>
        <v>42485</v>
      </c>
      <c r="Y449" s="173">
        <f>_xll.qlCalendarAdvance(Calendar,X449,NDays&amp;"D")</f>
        <v>42485</v>
      </c>
      <c r="Z449" s="174">
        <v>5.9687614974990311E-4</v>
      </c>
      <c r="AA449" s="177"/>
    </row>
    <row r="450" spans="22:27" x14ac:dyDescent="0.2">
      <c r="V450" s="163"/>
      <c r="W450" s="158" t="str">
        <f t="shared" si="18"/>
        <v>1D</v>
      </c>
      <c r="X450" s="168">
        <f>_xll.qlCalendarAdvance(Calendar,X449,W450,"f",FALSE)</f>
        <v>42486</v>
      </c>
      <c r="Y450" s="173">
        <f>_xll.qlCalendarAdvance(Calendar,X450,NDays&amp;"D")</f>
        <v>42486</v>
      </c>
      <c r="Z450" s="174">
        <v>5.970368000118853E-4</v>
      </c>
      <c r="AA450" s="177"/>
    </row>
    <row r="451" spans="22:27" x14ac:dyDescent="0.2">
      <c r="V451" s="163"/>
      <c r="W451" s="158" t="str">
        <f t="shared" si="18"/>
        <v>1D</v>
      </c>
      <c r="X451" s="168">
        <f>_xll.qlCalendarAdvance(Calendar,X450,W451,"f",FALSE)</f>
        <v>42487</v>
      </c>
      <c r="Y451" s="173">
        <f>_xll.qlCalendarAdvance(Calendar,X451,NDays&amp;"D")</f>
        <v>42487</v>
      </c>
      <c r="Z451" s="174">
        <v>5.9720068766755396E-4</v>
      </c>
      <c r="AA451" s="177"/>
    </row>
    <row r="452" spans="22:27" x14ac:dyDescent="0.2">
      <c r="V452" s="163"/>
      <c r="W452" s="158" t="str">
        <f t="shared" si="18"/>
        <v>1D</v>
      </c>
      <c r="X452" s="168">
        <f>_xll.qlCalendarAdvance(Calendar,X451,W452,"f",FALSE)</f>
        <v>42488</v>
      </c>
      <c r="Y452" s="173">
        <f>_xll.qlCalendarAdvance(Calendar,X452,NDays&amp;"D")</f>
        <v>42488</v>
      </c>
      <c r="Z452" s="174">
        <v>5.9762806158408788E-4</v>
      </c>
      <c r="AA452" s="177"/>
    </row>
    <row r="453" spans="22:27" x14ac:dyDescent="0.2">
      <c r="V453" s="163"/>
      <c r="W453" s="158" t="str">
        <f t="shared" si="18"/>
        <v>1D</v>
      </c>
      <c r="X453" s="168">
        <f>_xll.qlCalendarAdvance(Calendar,X452,W453,"f",FALSE)</f>
        <v>42492</v>
      </c>
      <c r="Y453" s="173">
        <f>_xll.qlCalendarAdvance(Calendar,X453,NDays&amp;"D")</f>
        <v>42492</v>
      </c>
      <c r="Z453" s="174">
        <v>5.9834836384914381E-4</v>
      </c>
      <c r="AA453" s="177"/>
    </row>
    <row r="454" spans="22:27" x14ac:dyDescent="0.2">
      <c r="V454" s="163"/>
      <c r="W454" s="158" t="str">
        <f t="shared" si="18"/>
        <v>1D</v>
      </c>
      <c r="X454" s="168">
        <f>_xll.qlCalendarAdvance(Calendar,X453,W454,"f",FALSE)</f>
        <v>42496</v>
      </c>
      <c r="Y454" s="173">
        <f>_xll.qlCalendarAdvance(Calendar,X454,NDays&amp;"D")</f>
        <v>42496</v>
      </c>
      <c r="Z454" s="174">
        <v>5.990196837479812E-4</v>
      </c>
      <c r="AA454" s="177"/>
    </row>
    <row r="455" spans="22:27" x14ac:dyDescent="0.2">
      <c r="V455" s="163"/>
      <c r="W455" s="158" t="str">
        <f t="shared" si="18"/>
        <v>1D</v>
      </c>
      <c r="X455" s="168">
        <f>_xll.qlCalendarAdvance(Calendar,X454,W455,"f",FALSE)</f>
        <v>42499</v>
      </c>
      <c r="Y455" s="173">
        <f>_xll.qlCalendarAdvance(Calendar,X455,NDays&amp;"D")</f>
        <v>42499</v>
      </c>
      <c r="Z455" s="174">
        <v>5.9941985721567725E-4</v>
      </c>
      <c r="AA455" s="177"/>
    </row>
    <row r="456" spans="22:27" x14ac:dyDescent="0.2">
      <c r="V456" s="163"/>
      <c r="W456" s="158" t="str">
        <f t="shared" si="18"/>
        <v>1D</v>
      </c>
      <c r="X456" s="168">
        <f>_xll.qlCalendarAdvance(Calendar,X455,W456,"f",FALSE)</f>
        <v>42500</v>
      </c>
      <c r="Y456" s="173">
        <f>_xll.qlCalendarAdvance(Calendar,X456,NDays&amp;"D")</f>
        <v>42500</v>
      </c>
      <c r="Z456" s="174">
        <v>5.996258310703162E-4</v>
      </c>
      <c r="AA456" s="177"/>
    </row>
    <row r="457" spans="22:27" x14ac:dyDescent="0.2">
      <c r="V457" s="163"/>
      <c r="W457" s="158" t="str">
        <f t="shared" si="18"/>
        <v>1D</v>
      </c>
      <c r="X457" s="168">
        <f>_xll.qlCalendarAdvance(Calendar,X456,W457,"f",FALSE)</f>
        <v>42501</v>
      </c>
      <c r="Y457" s="173">
        <f>_xll.qlCalendarAdvance(Calendar,X457,NDays&amp;"D")</f>
        <v>42501</v>
      </c>
      <c r="Z457" s="174">
        <v>5.9983504248073416E-4</v>
      </c>
      <c r="AA457" s="177"/>
    </row>
    <row r="458" spans="22:27" x14ac:dyDescent="0.2">
      <c r="V458" s="163"/>
      <c r="W458" s="158" t="str">
        <f t="shared" si="18"/>
        <v>1D</v>
      </c>
      <c r="X458" s="168">
        <f>_xll.qlCalendarAdvance(Calendar,X457,W458,"f",FALSE)</f>
        <v>42502</v>
      </c>
      <c r="Y458" s="173">
        <f>_xll.qlCalendarAdvance(Calendar,X458,NDays&amp;"D")</f>
        <v>42502</v>
      </c>
      <c r="Z458" s="174">
        <v>6.0004749128483859E-4</v>
      </c>
      <c r="AA458" s="177"/>
    </row>
    <row r="459" spans="22:27" x14ac:dyDescent="0.2">
      <c r="V459" s="163"/>
      <c r="W459" s="158" t="str">
        <f t="shared" si="18"/>
        <v>1D</v>
      </c>
      <c r="X459" s="168">
        <f>_xll.qlCalendarAdvance(Calendar,X458,W459,"f",FALSE)</f>
        <v>42503</v>
      </c>
      <c r="Y459" s="173">
        <f>_xll.qlCalendarAdvance(Calendar,X459,NDays&amp;"D")</f>
        <v>42503</v>
      </c>
      <c r="Z459" s="174">
        <v>6.0048416799740611E-4</v>
      </c>
      <c r="AA459" s="177"/>
    </row>
    <row r="460" spans="22:27" x14ac:dyDescent="0.2">
      <c r="V460" s="163"/>
      <c r="W460" s="158" t="str">
        <f t="shared" si="18"/>
        <v>1D</v>
      </c>
      <c r="X460" s="168">
        <f>_xll.qlCalendarAdvance(Calendar,X459,W460,"f",FALSE)</f>
        <v>42506</v>
      </c>
      <c r="Y460" s="173">
        <f>_xll.qlCalendarAdvance(Calendar,X460,NDays&amp;"D")</f>
        <v>42506</v>
      </c>
      <c r="Z460" s="174">
        <v>6.0092966035707462E-4</v>
      </c>
      <c r="AA460" s="177"/>
    </row>
    <row r="461" spans="22:27" x14ac:dyDescent="0.2">
      <c r="V461" s="163"/>
      <c r="W461" s="158" t="str">
        <f t="shared" ref="W461:W524" si="19">W460</f>
        <v>1D</v>
      </c>
      <c r="X461" s="168">
        <f>_xll.qlCalendarAdvance(Calendar,X460,W461,"f",FALSE)</f>
        <v>42507</v>
      </c>
      <c r="Y461" s="173">
        <f>_xll.qlCalendarAdvance(Calendar,X461,NDays&amp;"D")</f>
        <v>42507</v>
      </c>
      <c r="Z461" s="174">
        <v>6.0115829612961136E-4</v>
      </c>
      <c r="AA461" s="177"/>
    </row>
    <row r="462" spans="22:27" x14ac:dyDescent="0.2">
      <c r="V462" s="163"/>
      <c r="W462" s="158" t="str">
        <f t="shared" si="19"/>
        <v>1D</v>
      </c>
      <c r="X462" s="168">
        <f>_xll.qlCalendarAdvance(Calendar,X461,W462,"f",FALSE)</f>
        <v>42508</v>
      </c>
      <c r="Y462" s="173">
        <f>_xll.qlCalendarAdvance(Calendar,X462,NDays&amp;"D")</f>
        <v>42508</v>
      </c>
      <c r="Z462" s="174">
        <v>6.0139016929583455E-4</v>
      </c>
      <c r="AA462" s="177"/>
    </row>
    <row r="463" spans="22:27" x14ac:dyDescent="0.2">
      <c r="V463" s="163"/>
      <c r="W463" s="158" t="str">
        <f t="shared" si="19"/>
        <v>1D</v>
      </c>
      <c r="X463" s="168">
        <f>_xll.qlCalendarAdvance(Calendar,X462,W463,"f",FALSE)</f>
        <v>42509</v>
      </c>
      <c r="Y463" s="173">
        <f>_xll.qlCalendarAdvance(Calendar,X463,NDays&amp;"D")</f>
        <v>42509</v>
      </c>
      <c r="Z463" s="174">
        <v>6.0162527993679049E-4</v>
      </c>
      <c r="AA463" s="177"/>
    </row>
    <row r="464" spans="22:27" x14ac:dyDescent="0.2">
      <c r="V464" s="163"/>
      <c r="W464" s="158" t="str">
        <f t="shared" si="19"/>
        <v>1D</v>
      </c>
      <c r="X464" s="168">
        <f>_xll.qlCalendarAdvance(Calendar,X463,W464,"f",FALSE)</f>
        <v>42510</v>
      </c>
      <c r="Y464" s="173">
        <f>_xll.qlCalendarAdvance(Calendar,X464,NDays&amp;"D")</f>
        <v>42510</v>
      </c>
      <c r="Z464" s="174">
        <v>6.0210728572614636E-4</v>
      </c>
      <c r="AA464" s="177"/>
    </row>
    <row r="465" spans="22:27" x14ac:dyDescent="0.2">
      <c r="V465" s="163"/>
      <c r="W465" s="158" t="str">
        <f t="shared" si="19"/>
        <v>1D</v>
      </c>
      <c r="X465" s="168">
        <f>_xll.qlCalendarAdvance(Calendar,X464,W465,"f",FALSE)</f>
        <v>42513</v>
      </c>
      <c r="Y465" s="173">
        <f>_xll.qlCalendarAdvance(Calendar,X465,NDays&amp;"D")</f>
        <v>42513</v>
      </c>
      <c r="Z465" s="174">
        <v>6.0259809643747886E-4</v>
      </c>
      <c r="AA465" s="177"/>
    </row>
    <row r="466" spans="22:27" x14ac:dyDescent="0.2">
      <c r="V466" s="163"/>
      <c r="W466" s="158" t="str">
        <f t="shared" si="19"/>
        <v>1D</v>
      </c>
      <c r="X466" s="168">
        <f>_xll.qlCalendarAdvance(Calendar,X465,W466,"f",FALSE)</f>
        <v>42514</v>
      </c>
      <c r="Y466" s="173">
        <f>_xll.qlCalendarAdvance(Calendar,X466,NDays&amp;"D")</f>
        <v>42514</v>
      </c>
      <c r="Z466" s="174">
        <v>6.028493940468671E-4</v>
      </c>
      <c r="AA466" s="177"/>
    </row>
    <row r="467" spans="22:27" x14ac:dyDescent="0.2">
      <c r="V467" s="163"/>
      <c r="W467" s="158" t="str">
        <f t="shared" si="19"/>
        <v>1D</v>
      </c>
      <c r="X467" s="168">
        <f>_xll.qlCalendarAdvance(Calendar,X466,W467,"f",FALSE)</f>
        <v>42515</v>
      </c>
      <c r="Y467" s="173">
        <f>_xll.qlCalendarAdvance(Calendar,X467,NDays&amp;"D")</f>
        <v>42515</v>
      </c>
      <c r="Z467" s="174">
        <v>6.0310392913098809E-4</v>
      </c>
      <c r="AA467" s="177"/>
    </row>
    <row r="468" spans="22:27" x14ac:dyDescent="0.2">
      <c r="V468" s="163"/>
      <c r="W468" s="158" t="str">
        <f t="shared" si="19"/>
        <v>1D</v>
      </c>
      <c r="X468" s="168">
        <f>_xll.qlCalendarAdvance(Calendar,X467,W468,"f",FALSE)</f>
        <v>42516</v>
      </c>
      <c r="Y468" s="173">
        <f>_xll.qlCalendarAdvance(Calendar,X468,NDays&amp;"D")</f>
        <v>42516</v>
      </c>
      <c r="Z468" s="174">
        <v>6.0336170152774926E-4</v>
      </c>
      <c r="AA468" s="177"/>
    </row>
    <row r="469" spans="22:27" x14ac:dyDescent="0.2">
      <c r="V469" s="163"/>
      <c r="W469" s="158" t="str">
        <f t="shared" si="19"/>
        <v>1D</v>
      </c>
      <c r="X469" s="168">
        <f>_xll.qlCalendarAdvance(Calendar,X468,W469,"f",FALSE)</f>
        <v>42517</v>
      </c>
      <c r="Y469" s="173">
        <f>_xll.qlCalendarAdvance(Calendar,X469,NDays&amp;"D")</f>
        <v>42517</v>
      </c>
      <c r="Z469" s="174">
        <v>6.0388903698823293E-4</v>
      </c>
      <c r="AA469" s="177"/>
    </row>
    <row r="470" spans="22:27" x14ac:dyDescent="0.2">
      <c r="V470" s="163"/>
      <c r="W470" s="158" t="str">
        <f t="shared" si="19"/>
        <v>1D</v>
      </c>
      <c r="X470" s="168">
        <f>_xll.qlCalendarAdvance(Calendar,X469,W470,"f",FALSE)</f>
        <v>42520</v>
      </c>
      <c r="Y470" s="173">
        <f>_xll.qlCalendarAdvance(Calendar,X470,NDays&amp;"D")</f>
        <v>42520</v>
      </c>
      <c r="Z470" s="174">
        <v>6.0442516545688996E-4</v>
      </c>
      <c r="AA470" s="177"/>
    </row>
    <row r="471" spans="22:27" x14ac:dyDescent="0.2">
      <c r="V471" s="163"/>
      <c r="W471" s="158" t="str">
        <f t="shared" si="19"/>
        <v>1D</v>
      </c>
      <c r="X471" s="168">
        <f>_xll.qlCalendarAdvance(Calendar,X470,W471,"f",FALSE)</f>
        <v>42521</v>
      </c>
      <c r="Y471" s="173">
        <f>_xll.qlCalendarAdvance(Calendar,X471,NDays&amp;"D")</f>
        <v>42521</v>
      </c>
      <c r="Z471" s="174">
        <v>6.04699124984176E-4</v>
      </c>
      <c r="AA471" s="177"/>
    </row>
    <row r="472" spans="22:27" x14ac:dyDescent="0.2">
      <c r="V472" s="163"/>
      <c r="W472" s="158" t="str">
        <f t="shared" si="19"/>
        <v>1D</v>
      </c>
      <c r="X472" s="168">
        <f>_xll.qlCalendarAdvance(Calendar,X471,W472,"f",FALSE)</f>
        <v>42522</v>
      </c>
      <c r="Y472" s="173">
        <f>_xll.qlCalendarAdvance(Calendar,X472,NDays&amp;"D")</f>
        <v>42522</v>
      </c>
      <c r="Z472" s="174">
        <v>6.0497632182410221E-4</v>
      </c>
      <c r="AA472" s="177"/>
    </row>
    <row r="473" spans="22:27" x14ac:dyDescent="0.2">
      <c r="V473" s="163"/>
      <c r="W473" s="158" t="str">
        <f t="shared" si="19"/>
        <v>1D</v>
      </c>
      <c r="X473" s="168">
        <f>_xll.qlCalendarAdvance(Calendar,X472,W473,"f",FALSE)</f>
        <v>42523</v>
      </c>
      <c r="Y473" s="173">
        <f>_xll.qlCalendarAdvance(Calendar,X473,NDays&amp;"D")</f>
        <v>42523</v>
      </c>
      <c r="Z473" s="174">
        <v>6.0525675621980746E-4</v>
      </c>
      <c r="AA473" s="177"/>
    </row>
    <row r="474" spans="22:27" x14ac:dyDescent="0.2">
      <c r="V474" s="163"/>
      <c r="W474" s="158" t="str">
        <f t="shared" si="19"/>
        <v>1D</v>
      </c>
      <c r="X474" s="168">
        <f>_xll.qlCalendarAdvance(Calendar,X473,W474,"f",FALSE)</f>
        <v>42524</v>
      </c>
      <c r="Y474" s="173">
        <f>_xll.qlCalendarAdvance(Calendar,X474,NDays&amp;"D")</f>
        <v>42524</v>
      </c>
      <c r="Z474" s="174">
        <v>6.0582942170261955E-4</v>
      </c>
      <c r="AA474" s="177"/>
    </row>
    <row r="475" spans="22:27" x14ac:dyDescent="0.2">
      <c r="V475" s="163"/>
      <c r="W475" s="158" t="str">
        <f t="shared" si="19"/>
        <v>1D</v>
      </c>
      <c r="X475" s="168">
        <f>_xll.qlCalendarAdvance(Calendar,X474,W475,"f",FALSE)</f>
        <v>42527</v>
      </c>
      <c r="Y475" s="173">
        <f>_xll.qlCalendarAdvance(Calendar,X475,NDays&amp;"D")</f>
        <v>42527</v>
      </c>
      <c r="Z475" s="174">
        <v>6.064108674963542E-4</v>
      </c>
      <c r="AA475" s="177"/>
    </row>
    <row r="476" spans="22:27" x14ac:dyDescent="0.2">
      <c r="V476" s="163"/>
      <c r="W476" s="158" t="str">
        <f t="shared" si="19"/>
        <v>1D</v>
      </c>
      <c r="X476" s="168">
        <f>_xll.qlCalendarAdvance(Calendar,X475,W476,"f",FALSE)</f>
        <v>42528</v>
      </c>
      <c r="Y476" s="173">
        <f>_xll.qlCalendarAdvance(Calendar,X476,NDays&amp;"D")</f>
        <v>42528</v>
      </c>
      <c r="Z476" s="174">
        <v>6.0670748877944547E-4</v>
      </c>
      <c r="AA476" s="177"/>
    </row>
    <row r="477" spans="22:27" x14ac:dyDescent="0.2">
      <c r="V477" s="163"/>
      <c r="W477" s="158" t="str">
        <f t="shared" si="19"/>
        <v>1D</v>
      </c>
      <c r="X477" s="168">
        <f>_xll.qlCalendarAdvance(Calendar,X476,W477,"f",FALSE)</f>
        <v>42529</v>
      </c>
      <c r="Y477" s="173">
        <f>_xll.qlCalendarAdvance(Calendar,X477,NDays&amp;"D")</f>
        <v>42529</v>
      </c>
      <c r="Z477" s="174">
        <v>6.0700734753726948E-4</v>
      </c>
      <c r="AA477" s="177"/>
    </row>
    <row r="478" spans="22:27" x14ac:dyDescent="0.2">
      <c r="V478" s="163"/>
      <c r="W478" s="158" t="str">
        <f t="shared" si="19"/>
        <v>1D</v>
      </c>
      <c r="X478" s="168">
        <f>_xll.qlCalendarAdvance(Calendar,X477,W478,"f",FALSE)</f>
        <v>42530</v>
      </c>
      <c r="Y478" s="173">
        <f>_xll.qlCalendarAdvance(Calendar,X478,NDays&amp;"D")</f>
        <v>42530</v>
      </c>
      <c r="Z478" s="174">
        <v>6.0731044376982624E-4</v>
      </c>
      <c r="AA478" s="177"/>
    </row>
    <row r="479" spans="22:27" x14ac:dyDescent="0.2">
      <c r="V479" s="163"/>
      <c r="W479" s="158" t="str">
        <f t="shared" si="19"/>
        <v>1D</v>
      </c>
      <c r="X479" s="168">
        <f>_xll.qlCalendarAdvance(Calendar,X478,W479,"f",FALSE)</f>
        <v>42531</v>
      </c>
      <c r="Y479" s="173">
        <f>_xll.qlCalendarAdvance(Calendar,X479,NDays&amp;"D")</f>
        <v>42531</v>
      </c>
      <c r="Z479" s="174">
        <v>6.0792843992333689E-4</v>
      </c>
      <c r="AA479" s="177"/>
    </row>
    <row r="480" spans="22:27" x14ac:dyDescent="0.2">
      <c r="V480" s="163"/>
      <c r="W480" s="158" t="str">
        <f t="shared" si="19"/>
        <v>1D</v>
      </c>
      <c r="X480" s="168">
        <f>_xll.qlCalendarAdvance(Calendar,X479,W480,"f",FALSE)</f>
        <v>42534</v>
      </c>
      <c r="Y480" s="173">
        <f>_xll.qlCalendarAdvance(Calendar,X480,NDays&amp;"D")</f>
        <v>42534</v>
      </c>
      <c r="Z480" s="174">
        <v>6.0855520239377903E-4</v>
      </c>
      <c r="AA480" s="177"/>
    </row>
    <row r="481" spans="22:27" x14ac:dyDescent="0.2">
      <c r="V481" s="163"/>
      <c r="W481" s="158" t="str">
        <f t="shared" si="19"/>
        <v>1D</v>
      </c>
      <c r="X481" s="168">
        <f>_xll.qlCalendarAdvance(Calendar,X480,W481,"f",FALSE)</f>
        <v>42535</v>
      </c>
      <c r="Y481" s="173">
        <f>_xll.qlCalendarAdvance(Calendar,X481,NDays&amp;"D")</f>
        <v>42535</v>
      </c>
      <c r="Z481" s="174">
        <v>6.0887448559476809E-4</v>
      </c>
      <c r="AA481" s="177"/>
    </row>
    <row r="482" spans="22:27" x14ac:dyDescent="0.2">
      <c r="V482" s="163"/>
      <c r="W482" s="158" t="str">
        <f t="shared" si="19"/>
        <v>1D</v>
      </c>
      <c r="X482" s="168">
        <f>_xll.qlCalendarAdvance(Calendar,X481,W482,"f",FALSE)</f>
        <v>42536</v>
      </c>
      <c r="Y482" s="173">
        <f>_xll.qlCalendarAdvance(Calendar,X482,NDays&amp;"D")</f>
        <v>42536</v>
      </c>
      <c r="Z482" s="174">
        <v>6.0919700618944361E-4</v>
      </c>
      <c r="AA482" s="177"/>
    </row>
    <row r="483" spans="22:27" x14ac:dyDescent="0.2">
      <c r="V483" s="163"/>
      <c r="W483" s="158" t="str">
        <f t="shared" si="19"/>
        <v>1D</v>
      </c>
      <c r="X483" s="168">
        <f>_xll.qlCalendarAdvance(Calendar,X482,W483,"f",FALSE)</f>
        <v>42537</v>
      </c>
      <c r="Y483" s="173">
        <f>_xll.qlCalendarAdvance(Calendar,X483,NDays&amp;"D")</f>
        <v>42537</v>
      </c>
      <c r="Z483" s="174">
        <v>6.095227641778056E-4</v>
      </c>
      <c r="AA483" s="177"/>
    </row>
    <row r="484" spans="22:27" x14ac:dyDescent="0.2">
      <c r="V484" s="163"/>
      <c r="W484" s="158" t="str">
        <f t="shared" si="19"/>
        <v>1D</v>
      </c>
      <c r="X484" s="168">
        <f>_xll.qlCalendarAdvance(Calendar,X483,W484,"f",FALSE)</f>
        <v>42538</v>
      </c>
      <c r="Y484" s="173">
        <f>_xll.qlCalendarAdvance(Calendar,X484,NDays&amp;"D")</f>
        <v>42538</v>
      </c>
      <c r="Z484" s="174">
        <v>6.1018609167740056E-4</v>
      </c>
      <c r="AA484" s="177"/>
    </row>
    <row r="485" spans="22:27" x14ac:dyDescent="0.2">
      <c r="V485" s="163"/>
      <c r="W485" s="158" t="str">
        <f t="shared" si="19"/>
        <v>1D</v>
      </c>
      <c r="X485" s="168">
        <f>_xll.qlCalendarAdvance(Calendar,X484,W485,"f",FALSE)</f>
        <v>42541</v>
      </c>
      <c r="Y485" s="173">
        <f>_xll.qlCalendarAdvance(Calendar,X485,NDays&amp;"D")</f>
        <v>42541</v>
      </c>
      <c r="Z485" s="174">
        <v>6.10858170311257E-4</v>
      </c>
      <c r="AA485" s="177"/>
    </row>
    <row r="486" spans="22:27" x14ac:dyDescent="0.2">
      <c r="V486" s="163"/>
      <c r="W486" s="158" t="str">
        <f t="shared" si="19"/>
        <v>1D</v>
      </c>
      <c r="X486" s="168">
        <f>_xll.qlCalendarAdvance(Calendar,X485,W486,"f",FALSE)</f>
        <v>42542</v>
      </c>
      <c r="Y486" s="173">
        <f>_xll.qlCalendarAdvance(Calendar,X486,NDays&amp;"D")</f>
        <v>42542</v>
      </c>
      <c r="Z486" s="174">
        <v>6.1120011534909757E-4</v>
      </c>
      <c r="AA486" s="177"/>
    </row>
    <row r="487" spans="22:27" x14ac:dyDescent="0.2">
      <c r="V487" s="163"/>
      <c r="W487" s="158" t="str">
        <f t="shared" si="19"/>
        <v>1D</v>
      </c>
      <c r="X487" s="168">
        <f>_xll.qlCalendarAdvance(Calendar,X486,W487,"f",FALSE)</f>
        <v>42543</v>
      </c>
      <c r="Y487" s="173">
        <f>_xll.qlCalendarAdvance(Calendar,X487,NDays&amp;"D")</f>
        <v>42543</v>
      </c>
      <c r="Z487" s="174">
        <v>6.1154529786167089E-4</v>
      </c>
      <c r="AA487" s="177"/>
    </row>
    <row r="488" spans="22:27" x14ac:dyDescent="0.2">
      <c r="V488" s="163"/>
      <c r="W488" s="158" t="str">
        <f t="shared" si="19"/>
        <v>1D</v>
      </c>
      <c r="X488" s="168">
        <f>_xll.qlCalendarAdvance(Calendar,X487,W488,"f",FALSE)</f>
        <v>42544</v>
      </c>
      <c r="Y488" s="173">
        <f>_xll.qlCalendarAdvance(Calendar,X488,NDays&amp;"D")</f>
        <v>42544</v>
      </c>
      <c r="Z488" s="174">
        <v>6.1189371768688439E-4</v>
      </c>
      <c r="AA488" s="177"/>
    </row>
    <row r="489" spans="22:27" x14ac:dyDescent="0.2">
      <c r="V489" s="163"/>
      <c r="W489" s="158" t="str">
        <f t="shared" si="19"/>
        <v>1D</v>
      </c>
      <c r="X489" s="168">
        <f>_xll.qlCalendarAdvance(Calendar,X488,W489,"f",FALSE)</f>
        <v>42545</v>
      </c>
      <c r="Y489" s="173">
        <f>_xll.qlCalendarAdvance(Calendar,X489,NDays&amp;"D")</f>
        <v>42545</v>
      </c>
      <c r="Z489" s="174">
        <v>6.1260237693779496E-4</v>
      </c>
      <c r="AA489" s="177"/>
    </row>
    <row r="490" spans="22:27" x14ac:dyDescent="0.2">
      <c r="V490" s="163"/>
      <c r="W490" s="158" t="str">
        <f t="shared" si="19"/>
        <v>1D</v>
      </c>
      <c r="X490" s="168">
        <f>_xll.qlCalendarAdvance(Calendar,X489,W490,"f",FALSE)</f>
        <v>42548</v>
      </c>
      <c r="Y490" s="173">
        <f>_xll.qlCalendarAdvance(Calendar,X490,NDays&amp;"D")</f>
        <v>42548</v>
      </c>
      <c r="Z490" s="174">
        <v>6.1331977124878811E-4</v>
      </c>
      <c r="AA490" s="177"/>
    </row>
    <row r="491" spans="22:27" x14ac:dyDescent="0.2">
      <c r="V491" s="163"/>
      <c r="W491" s="158" t="str">
        <f t="shared" si="19"/>
        <v>1D</v>
      </c>
      <c r="X491" s="168">
        <f>_xll.qlCalendarAdvance(Calendar,X490,W491,"f",FALSE)</f>
        <v>42549</v>
      </c>
      <c r="Y491" s="173">
        <f>_xll.qlCalendarAdvance(Calendar,X491,NDays&amp;"D")</f>
        <v>42549</v>
      </c>
      <c r="Z491" s="174">
        <v>6.136843781234802E-4</v>
      </c>
      <c r="AA491" s="177"/>
    </row>
    <row r="492" spans="22:27" x14ac:dyDescent="0.2">
      <c r="V492" s="163"/>
      <c r="W492" s="158" t="str">
        <f t="shared" si="19"/>
        <v>1D</v>
      </c>
      <c r="X492" s="168">
        <f>_xll.qlCalendarAdvance(Calendar,X491,W492,"f",FALSE)</f>
        <v>42550</v>
      </c>
      <c r="Y492" s="173">
        <f>_xll.qlCalendarAdvance(Calendar,X492,NDays&amp;"D")</f>
        <v>42550</v>
      </c>
      <c r="Z492" s="174">
        <v>6.1405222239185875E-4</v>
      </c>
      <c r="AA492" s="177"/>
    </row>
    <row r="493" spans="22:27" x14ac:dyDescent="0.2">
      <c r="V493" s="163"/>
      <c r="W493" s="158" t="str">
        <f t="shared" si="19"/>
        <v>1D</v>
      </c>
      <c r="X493" s="168">
        <f>_xll.qlCalendarAdvance(Calendar,X492,W493,"f",FALSE)</f>
        <v>42551</v>
      </c>
      <c r="Y493" s="173">
        <f>_xll.qlCalendarAdvance(Calendar,X493,NDays&amp;"D")</f>
        <v>42551</v>
      </c>
      <c r="Z493" s="174">
        <v>6.1442330413497004E-4</v>
      </c>
      <c r="AA493" s="177"/>
    </row>
    <row r="494" spans="22:27" x14ac:dyDescent="0.2">
      <c r="V494" s="163"/>
      <c r="W494" s="158" t="str">
        <f t="shared" si="19"/>
        <v>1D</v>
      </c>
      <c r="X494" s="168">
        <f>_xll.qlCalendarAdvance(Calendar,X493,W494,"f",FALSE)</f>
        <v>42552</v>
      </c>
      <c r="Y494" s="173">
        <f>_xll.qlCalendarAdvance(Calendar,X494,NDays&amp;"D")</f>
        <v>42552</v>
      </c>
      <c r="Z494" s="174">
        <v>6.1517729573153568E-4</v>
      </c>
      <c r="AA494" s="177"/>
    </row>
    <row r="495" spans="22:27" x14ac:dyDescent="0.2">
      <c r="V495" s="163"/>
      <c r="W495" s="158" t="str">
        <f t="shared" si="19"/>
        <v>1D</v>
      </c>
      <c r="X495" s="168">
        <f>_xll.qlCalendarAdvance(Calendar,X494,W495,"f",FALSE)</f>
        <v>42555</v>
      </c>
      <c r="Y495" s="173">
        <f>_xll.qlCalendarAdvance(Calendar,X495,NDays&amp;"D")</f>
        <v>42555</v>
      </c>
      <c r="Z495" s="174">
        <v>6.1594000504427981E-4</v>
      </c>
      <c r="AA495" s="177"/>
    </row>
    <row r="496" spans="22:27" x14ac:dyDescent="0.2">
      <c r="V496" s="163"/>
      <c r="W496" s="158" t="str">
        <f t="shared" si="19"/>
        <v>1D</v>
      </c>
      <c r="X496" s="168">
        <f>_xll.qlCalendarAdvance(Calendar,X495,W496,"f",FALSE)</f>
        <v>42556</v>
      </c>
      <c r="Y496" s="173">
        <f>_xll.qlCalendarAdvance(Calendar,X496,NDays&amp;"D")</f>
        <v>42556</v>
      </c>
      <c r="Z496" s="174">
        <v>6.1632727375582341E-4</v>
      </c>
      <c r="AA496" s="177"/>
    </row>
    <row r="497" spans="22:27" x14ac:dyDescent="0.2">
      <c r="V497" s="163"/>
      <c r="W497" s="158" t="str">
        <f t="shared" si="19"/>
        <v>1D</v>
      </c>
      <c r="X497" s="168">
        <f>_xll.qlCalendarAdvance(Calendar,X496,W497,"f",FALSE)</f>
        <v>42557</v>
      </c>
      <c r="Y497" s="173">
        <f>_xll.qlCalendarAdvance(Calendar,X497,NDays&amp;"D")</f>
        <v>42557</v>
      </c>
      <c r="Z497" s="174">
        <v>6.1671777994209975E-4</v>
      </c>
      <c r="AA497" s="177"/>
    </row>
    <row r="498" spans="22:27" x14ac:dyDescent="0.2">
      <c r="V498" s="163"/>
      <c r="W498" s="158" t="str">
        <f t="shared" si="19"/>
        <v>1D</v>
      </c>
      <c r="X498" s="168">
        <f>_xll.qlCalendarAdvance(Calendar,X497,W498,"f",FALSE)</f>
        <v>42558</v>
      </c>
      <c r="Y498" s="173">
        <f>_xll.qlCalendarAdvance(Calendar,X498,NDays&amp;"D")</f>
        <v>42558</v>
      </c>
      <c r="Z498" s="174">
        <v>6.1711152352206256E-4</v>
      </c>
      <c r="AA498" s="177"/>
    </row>
    <row r="499" spans="22:27" x14ac:dyDescent="0.2">
      <c r="V499" s="163"/>
      <c r="W499" s="158" t="str">
        <f t="shared" si="19"/>
        <v>1D</v>
      </c>
      <c r="X499" s="168">
        <f>_xll.qlCalendarAdvance(Calendar,X498,W499,"f",FALSE)</f>
        <v>42559</v>
      </c>
      <c r="Y499" s="173">
        <f>_xll.qlCalendarAdvance(Calendar,X499,NDays&amp;"D")</f>
        <v>42559</v>
      </c>
      <c r="Z499" s="174">
        <v>6.1791084805862273E-4</v>
      </c>
      <c r="AA499" s="177"/>
    </row>
    <row r="500" spans="22:27" x14ac:dyDescent="0.2">
      <c r="V500" s="163"/>
      <c r="W500" s="158" t="str">
        <f t="shared" si="19"/>
        <v>1D</v>
      </c>
      <c r="X500" s="168">
        <f>_xll.qlCalendarAdvance(Calendar,X499,W500,"f",FALSE)</f>
        <v>42562</v>
      </c>
      <c r="Y500" s="173">
        <f>_xll.qlCalendarAdvance(Calendar,X500,NDays&amp;"D")</f>
        <v>42562</v>
      </c>
      <c r="Z500" s="174">
        <v>6.1871887185982466E-4</v>
      </c>
      <c r="AA500" s="177"/>
    </row>
    <row r="501" spans="22:27" x14ac:dyDescent="0.2">
      <c r="V501" s="163"/>
      <c r="W501" s="158" t="str">
        <f t="shared" si="19"/>
        <v>1D</v>
      </c>
      <c r="X501" s="168">
        <f>_xll.qlCalendarAdvance(Calendar,X500,W501,"f",FALSE)</f>
        <v>42563</v>
      </c>
      <c r="Y501" s="173">
        <f>_xll.qlCalendarAdvance(Calendar,X501,NDays&amp;"D")</f>
        <v>42563</v>
      </c>
      <c r="Z501" s="174">
        <v>6.1912880240821977E-4</v>
      </c>
      <c r="AA501" s="177"/>
    </row>
    <row r="502" spans="22:27" x14ac:dyDescent="0.2">
      <c r="V502" s="163"/>
      <c r="W502" s="158" t="str">
        <f t="shared" si="19"/>
        <v>1D</v>
      </c>
      <c r="X502" s="168">
        <f>_xll.qlCalendarAdvance(Calendar,X501,W502,"f",FALSE)</f>
        <v>42564</v>
      </c>
      <c r="Y502" s="173">
        <f>_xll.qlCalendarAdvance(Calendar,X502,NDays&amp;"D")</f>
        <v>42564</v>
      </c>
      <c r="Z502" s="174">
        <v>6.1954197043134762E-4</v>
      </c>
      <c r="AA502" s="177"/>
    </row>
    <row r="503" spans="22:27" x14ac:dyDescent="0.2">
      <c r="V503" s="163"/>
      <c r="W503" s="158" t="str">
        <f t="shared" si="19"/>
        <v>1D</v>
      </c>
      <c r="X503" s="168">
        <f>_xll.qlCalendarAdvance(Calendar,X502,W503,"f",FALSE)</f>
        <v>42565</v>
      </c>
      <c r="Y503" s="173">
        <f>_xll.qlCalendarAdvance(Calendar,X503,NDays&amp;"D")</f>
        <v>42565</v>
      </c>
      <c r="Z503" s="174">
        <v>6.1995767974165616E-4</v>
      </c>
      <c r="AA503" s="177"/>
    </row>
    <row r="504" spans="22:27" x14ac:dyDescent="0.2">
      <c r="V504" s="163"/>
      <c r="W504" s="158" t="str">
        <f t="shared" si="19"/>
        <v>1D</v>
      </c>
      <c r="X504" s="168">
        <f>_xll.qlCalendarAdvance(Calendar,X503,W504,"f",FALSE)</f>
        <v>42566</v>
      </c>
      <c r="Y504" s="173">
        <f>_xll.qlCalendarAdvance(Calendar,X504,NDays&amp;"D")</f>
        <v>42566</v>
      </c>
      <c r="Z504" s="174">
        <v>6.2099558228168039E-4</v>
      </c>
      <c r="AA504" s="177"/>
    </row>
    <row r="505" spans="22:27" x14ac:dyDescent="0.2">
      <c r="V505" s="163"/>
      <c r="W505" s="158" t="str">
        <f t="shared" si="19"/>
        <v>1D</v>
      </c>
      <c r="X505" s="168">
        <f>_xll.qlCalendarAdvance(Calendar,X504,W505,"f",FALSE)</f>
        <v>42570</v>
      </c>
      <c r="Y505" s="173">
        <f>_xll.qlCalendarAdvance(Calendar,X505,NDays&amp;"D")</f>
        <v>42570</v>
      </c>
      <c r="Z505" s="174">
        <v>6.2202561936119949E-4</v>
      </c>
      <c r="AA505" s="177"/>
    </row>
    <row r="506" spans="22:27" x14ac:dyDescent="0.2">
      <c r="V506" s="163"/>
      <c r="W506" s="158" t="str">
        <f t="shared" si="19"/>
        <v>1D</v>
      </c>
      <c r="X506" s="168">
        <f>_xll.qlCalendarAdvance(Calendar,X505,W506,"f",FALSE)</f>
        <v>42571</v>
      </c>
      <c r="Y506" s="173">
        <f>_xll.qlCalendarAdvance(Calendar,X506,NDays&amp;"D")</f>
        <v>42571</v>
      </c>
      <c r="Z506" s="174">
        <v>6.224363897922025E-4</v>
      </c>
      <c r="AA506" s="177"/>
    </row>
    <row r="507" spans="22:27" x14ac:dyDescent="0.2">
      <c r="V507" s="163"/>
      <c r="W507" s="158" t="str">
        <f t="shared" si="19"/>
        <v>1D</v>
      </c>
      <c r="X507" s="168">
        <f>_xll.qlCalendarAdvance(Calendar,X506,W507,"f",FALSE)</f>
        <v>42572</v>
      </c>
      <c r="Y507" s="173">
        <f>_xll.qlCalendarAdvance(Calendar,X507,NDays&amp;"D")</f>
        <v>42572</v>
      </c>
      <c r="Z507" s="174">
        <v>6.2284622105890364E-4</v>
      </c>
      <c r="AA507" s="177"/>
    </row>
    <row r="508" spans="22:27" x14ac:dyDescent="0.2">
      <c r="V508" s="163"/>
      <c r="W508" s="158" t="str">
        <f t="shared" si="19"/>
        <v>1D</v>
      </c>
      <c r="X508" s="168">
        <f>_xll.qlCalendarAdvance(Calendar,X507,W508,"f",FALSE)</f>
        <v>42573</v>
      </c>
      <c r="Y508" s="173">
        <f>_xll.qlCalendarAdvance(Calendar,X508,NDays&amp;"D")</f>
        <v>42573</v>
      </c>
      <c r="Z508" s="174">
        <v>6.2366381856008668E-4</v>
      </c>
      <c r="AA508" s="177"/>
    </row>
    <row r="509" spans="22:27" x14ac:dyDescent="0.2">
      <c r="V509" s="163"/>
      <c r="W509" s="158" t="str">
        <f t="shared" si="19"/>
        <v>1D</v>
      </c>
      <c r="X509" s="168">
        <f>_xll.qlCalendarAdvance(Calendar,X508,W509,"f",FALSE)</f>
        <v>42576</v>
      </c>
      <c r="Y509" s="173">
        <f>_xll.qlCalendarAdvance(Calendar,X509,NDays&amp;"D")</f>
        <v>42576</v>
      </c>
      <c r="Z509" s="174">
        <v>6.2447615432059678E-4</v>
      </c>
      <c r="AA509" s="177"/>
    </row>
    <row r="510" spans="22:27" x14ac:dyDescent="0.2">
      <c r="V510" s="163"/>
      <c r="W510" s="158" t="str">
        <f t="shared" si="19"/>
        <v>1D</v>
      </c>
      <c r="X510" s="168">
        <f>_xll.qlCalendarAdvance(Calendar,X509,W510,"f",FALSE)</f>
        <v>42577</v>
      </c>
      <c r="Y510" s="173">
        <f>_xll.qlCalendarAdvance(Calendar,X510,NDays&amp;"D")</f>
        <v>42577</v>
      </c>
      <c r="Z510" s="174">
        <v>6.2488128976578849E-4</v>
      </c>
      <c r="AA510" s="177"/>
    </row>
    <row r="511" spans="22:27" x14ac:dyDescent="0.2">
      <c r="V511" s="163"/>
      <c r="W511" s="158" t="str">
        <f t="shared" si="19"/>
        <v>1D</v>
      </c>
      <c r="X511" s="168">
        <f>_xll.qlCalendarAdvance(Calendar,X510,W511,"f",FALSE)</f>
        <v>42578</v>
      </c>
      <c r="Y511" s="173">
        <f>_xll.qlCalendarAdvance(Calendar,X511,NDays&amp;"D")</f>
        <v>42578</v>
      </c>
      <c r="Z511" s="174">
        <v>6.2528548596563205E-4</v>
      </c>
      <c r="AA511" s="177"/>
    </row>
    <row r="512" spans="22:27" x14ac:dyDescent="0.2">
      <c r="V512" s="163"/>
      <c r="W512" s="158" t="str">
        <f t="shared" si="19"/>
        <v>1D</v>
      </c>
      <c r="X512" s="168">
        <f>_xll.qlCalendarAdvance(Calendar,X511,W512,"f",FALSE)</f>
        <v>42579</v>
      </c>
      <c r="Y512" s="173">
        <f>_xll.qlCalendarAdvance(Calendar,X512,NDays&amp;"D")</f>
        <v>42579</v>
      </c>
      <c r="Z512" s="174">
        <v>6.2568874300117372E-4</v>
      </c>
      <c r="AA512" s="177"/>
    </row>
    <row r="513" spans="22:27" x14ac:dyDescent="0.2">
      <c r="V513" s="163"/>
      <c r="W513" s="158" t="str">
        <f t="shared" si="19"/>
        <v>1D</v>
      </c>
      <c r="X513" s="168">
        <f>_xll.qlCalendarAdvance(Calendar,X512,W513,"f",FALSE)</f>
        <v>42580</v>
      </c>
      <c r="Y513" s="173">
        <f>_xll.qlCalendarAdvance(Calendar,X513,NDays&amp;"D")</f>
        <v>42580</v>
      </c>
      <c r="Z513" s="174">
        <v>6.2649320192768409E-4</v>
      </c>
      <c r="AA513" s="177"/>
    </row>
    <row r="514" spans="22:27" x14ac:dyDescent="0.2">
      <c r="V514" s="163"/>
      <c r="W514" s="158" t="str">
        <f t="shared" si="19"/>
        <v>1D</v>
      </c>
      <c r="X514" s="168">
        <f>_xll.qlCalendarAdvance(Calendar,X513,W514,"f",FALSE)</f>
        <v>42583</v>
      </c>
      <c r="Y514" s="173">
        <f>_xll.qlCalendarAdvance(Calendar,X514,NDays&amp;"D")</f>
        <v>42583</v>
      </c>
      <c r="Z514" s="174">
        <v>6.2729237958136785E-4</v>
      </c>
      <c r="AA514" s="177"/>
    </row>
    <row r="515" spans="22:27" x14ac:dyDescent="0.2">
      <c r="V515" s="163"/>
      <c r="W515" s="158" t="str">
        <f t="shared" si="19"/>
        <v>1D</v>
      </c>
      <c r="X515" s="168">
        <f>_xll.qlCalendarAdvance(Calendar,X514,W515,"f",FALSE)</f>
        <v>42584</v>
      </c>
      <c r="Y515" s="173">
        <f>_xll.qlCalendarAdvance(Calendar,X515,NDays&amp;"D")</f>
        <v>42584</v>
      </c>
      <c r="Z515" s="174">
        <v>6.2769094087644639E-4</v>
      </c>
      <c r="AA515" s="177"/>
    </row>
    <row r="516" spans="22:27" x14ac:dyDescent="0.2">
      <c r="V516" s="163"/>
      <c r="W516" s="158" t="str">
        <f t="shared" si="19"/>
        <v>1D</v>
      </c>
      <c r="X516" s="168">
        <f>_xll.qlCalendarAdvance(Calendar,X515,W516,"f",FALSE)</f>
        <v>42585</v>
      </c>
      <c r="Y516" s="173">
        <f>_xll.qlCalendarAdvance(Calendar,X516,NDays&amp;"D")</f>
        <v>42585</v>
      </c>
      <c r="Z516" s="174">
        <v>6.2808856292617676E-4</v>
      </c>
      <c r="AA516" s="177"/>
    </row>
    <row r="517" spans="22:27" x14ac:dyDescent="0.2">
      <c r="V517" s="163"/>
      <c r="W517" s="158" t="str">
        <f t="shared" si="19"/>
        <v>1D</v>
      </c>
      <c r="X517" s="168">
        <f>_xll.qlCalendarAdvance(Calendar,X516,W517,"f",FALSE)</f>
        <v>42586</v>
      </c>
      <c r="Y517" s="173">
        <f>_xll.qlCalendarAdvance(Calendar,X517,NDays&amp;"D")</f>
        <v>42586</v>
      </c>
      <c r="Z517" s="174">
        <v>6.2848524581160525E-4</v>
      </c>
      <c r="AA517" s="177"/>
    </row>
    <row r="518" spans="22:27" x14ac:dyDescent="0.2">
      <c r="V518" s="163"/>
      <c r="W518" s="158" t="str">
        <f t="shared" si="19"/>
        <v>1D</v>
      </c>
      <c r="X518" s="168">
        <f>_xll.qlCalendarAdvance(Calendar,X517,W518,"f",FALSE)</f>
        <v>42587</v>
      </c>
      <c r="Y518" s="173">
        <f>_xll.qlCalendarAdvance(Calendar,X518,NDays&amp;"D")</f>
        <v>42587</v>
      </c>
      <c r="Z518" s="174">
        <v>6.2927656597433501E-4</v>
      </c>
      <c r="AA518" s="177"/>
    </row>
    <row r="519" spans="22:27" x14ac:dyDescent="0.2">
      <c r="V519" s="163"/>
      <c r="W519" s="158" t="str">
        <f t="shared" si="19"/>
        <v>1D</v>
      </c>
      <c r="X519" s="168">
        <f>_xll.qlCalendarAdvance(Calendar,X518,W519,"f",FALSE)</f>
        <v>42590</v>
      </c>
      <c r="Y519" s="173">
        <f>_xll.qlCalendarAdvance(Calendar,X519,NDays&amp;"D")</f>
        <v>42590</v>
      </c>
      <c r="Z519" s="174">
        <v>6.3006258571030038E-4</v>
      </c>
      <c r="AA519" s="177"/>
    </row>
    <row r="520" spans="22:27" x14ac:dyDescent="0.2">
      <c r="V520" s="163"/>
      <c r="W520" s="158" t="str">
        <f t="shared" si="19"/>
        <v>1D</v>
      </c>
      <c r="X520" s="168">
        <f>_xll.qlCalendarAdvance(Calendar,X519,W520,"f",FALSE)</f>
        <v>42591</v>
      </c>
      <c r="Y520" s="173">
        <f>_xll.qlCalendarAdvance(Calendar,X520,NDays&amp;"D")</f>
        <v>42591</v>
      </c>
      <c r="Z520" s="174">
        <v>6.3045457277421946E-4</v>
      </c>
      <c r="AA520" s="177"/>
    </row>
    <row r="521" spans="22:27" x14ac:dyDescent="0.2">
      <c r="V521" s="163"/>
      <c r="W521" s="158" t="str">
        <f t="shared" si="19"/>
        <v>1D</v>
      </c>
      <c r="X521" s="168">
        <f>_xll.qlCalendarAdvance(Calendar,X520,W521,"f",FALSE)</f>
        <v>42592</v>
      </c>
      <c r="Y521" s="173">
        <f>_xll.qlCalendarAdvance(Calendar,X521,NDays&amp;"D")</f>
        <v>42592</v>
      </c>
      <c r="Z521" s="174">
        <v>6.3084562067383665E-4</v>
      </c>
      <c r="AA521" s="177"/>
    </row>
    <row r="522" spans="22:27" x14ac:dyDescent="0.2">
      <c r="V522" s="163"/>
      <c r="W522" s="158" t="str">
        <f t="shared" si="19"/>
        <v>1D</v>
      </c>
      <c r="X522" s="168">
        <f>_xll.qlCalendarAdvance(Calendar,X521,W522,"f",FALSE)</f>
        <v>42593</v>
      </c>
      <c r="Y522" s="173">
        <f>_xll.qlCalendarAdvance(Calendar,X522,NDays&amp;"D")</f>
        <v>42593</v>
      </c>
      <c r="Z522" s="174">
        <v>6.3123572940915196E-4</v>
      </c>
      <c r="AA522" s="177"/>
    </row>
    <row r="523" spans="22:27" x14ac:dyDescent="0.2">
      <c r="V523" s="163"/>
      <c r="W523" s="158" t="str">
        <f t="shared" si="19"/>
        <v>1D</v>
      </c>
      <c r="X523" s="168">
        <f>_xll.qlCalendarAdvance(Calendar,X522,W523,"f",FALSE)</f>
        <v>42594</v>
      </c>
      <c r="Y523" s="173">
        <f>_xll.qlCalendarAdvance(Calendar,X523,NDays&amp;"D")</f>
        <v>42594</v>
      </c>
      <c r="Z523" s="174">
        <v>6.3201391064600842E-4</v>
      </c>
      <c r="AA523" s="177"/>
    </row>
    <row r="524" spans="22:27" x14ac:dyDescent="0.2">
      <c r="V524" s="163"/>
      <c r="W524" s="158" t="str">
        <f t="shared" si="19"/>
        <v>1D</v>
      </c>
      <c r="X524" s="168">
        <f>_xll.qlCalendarAdvance(Calendar,X523,W524,"f",FALSE)</f>
        <v>42597</v>
      </c>
      <c r="Y524" s="173">
        <f>_xll.qlCalendarAdvance(Calendar,X524,NDays&amp;"D")</f>
        <v>42597</v>
      </c>
      <c r="Z524" s="174">
        <v>6.3278677262634808E-4</v>
      </c>
      <c r="AA524" s="177"/>
    </row>
    <row r="525" spans="22:27" x14ac:dyDescent="0.2">
      <c r="V525" s="163"/>
      <c r="W525" s="158" t="str">
        <f t="shared" ref="W525:W588" si="20">W524</f>
        <v>1D</v>
      </c>
      <c r="X525" s="168">
        <f>_xll.qlCalendarAdvance(Calendar,X524,W525,"f",FALSE)</f>
        <v>42598</v>
      </c>
      <c r="Y525" s="173">
        <f>_xll.qlCalendarAdvance(Calendar,X525,NDays&amp;"D")</f>
        <v>42598</v>
      </c>
      <c r="Z525" s="174">
        <v>6.3317218545910769E-4</v>
      </c>
      <c r="AA525" s="177"/>
    </row>
    <row r="526" spans="22:27" x14ac:dyDescent="0.2">
      <c r="V526" s="163"/>
      <c r="W526" s="158" t="str">
        <f t="shared" si="20"/>
        <v>1D</v>
      </c>
      <c r="X526" s="168">
        <f>_xll.qlCalendarAdvance(Calendar,X525,W526,"f",FALSE)</f>
        <v>42599</v>
      </c>
      <c r="Y526" s="173">
        <f>_xll.qlCalendarAdvance(Calendar,X526,NDays&amp;"D")</f>
        <v>42599</v>
      </c>
      <c r="Z526" s="174">
        <v>6.3355665920861171E-4</v>
      </c>
      <c r="AA526" s="177"/>
    </row>
    <row r="527" spans="22:27" x14ac:dyDescent="0.2">
      <c r="V527" s="163"/>
      <c r="W527" s="158" t="str">
        <f t="shared" si="20"/>
        <v>1D</v>
      </c>
      <c r="X527" s="168">
        <f>_xll.qlCalendarAdvance(Calendar,X526,W527,"f",FALSE)</f>
        <v>42600</v>
      </c>
      <c r="Y527" s="173">
        <f>_xll.qlCalendarAdvance(Calendar,X527,NDays&amp;"D")</f>
        <v>42600</v>
      </c>
      <c r="Z527" s="174">
        <v>6.3394019379381383E-4</v>
      </c>
      <c r="AA527" s="177"/>
    </row>
    <row r="528" spans="22:27" x14ac:dyDescent="0.2">
      <c r="V528" s="163"/>
      <c r="W528" s="158" t="str">
        <f t="shared" si="20"/>
        <v>1D</v>
      </c>
      <c r="X528" s="168">
        <f>_xll.qlCalendarAdvance(Calendar,X527,W528,"f",FALSE)</f>
        <v>42601</v>
      </c>
      <c r="Y528" s="173">
        <f>_xll.qlCalendarAdvance(Calendar,X528,NDays&amp;"D")</f>
        <v>42601</v>
      </c>
      <c r="Z528" s="174">
        <v>6.3470523599673545E-4</v>
      </c>
      <c r="AA528" s="177"/>
    </row>
    <row r="529" spans="22:27" x14ac:dyDescent="0.2">
      <c r="V529" s="163"/>
      <c r="W529" s="158" t="s">
        <v>131</v>
      </c>
      <c r="X529" s="168">
        <f>_xll.qlCalendarAdvance(Calendar,X528,W529,"f",FALSE)</f>
        <v>42608</v>
      </c>
      <c r="Y529" s="173">
        <f>_xll.qlCalendarAdvance(Calendar,X529,NDays&amp;"D")</f>
        <v>42608</v>
      </c>
      <c r="Z529" s="174">
        <v>6.3735054202651586E-4</v>
      </c>
      <c r="AA529" s="177"/>
    </row>
    <row r="530" spans="22:27" x14ac:dyDescent="0.2">
      <c r="V530" s="163"/>
      <c r="W530" s="158" t="str">
        <f t="shared" si="20"/>
        <v>1w</v>
      </c>
      <c r="X530" s="168">
        <f>_xll.qlCalendarAdvance(Calendar,X529,W530,"f",FALSE)</f>
        <v>42615</v>
      </c>
      <c r="Y530" s="173">
        <f>_xll.qlCalendarAdvance(Calendar,X530,NDays&amp;"D")</f>
        <v>42615</v>
      </c>
      <c r="Z530" s="174">
        <v>6.3994982868131889E-4</v>
      </c>
      <c r="AA530" s="177"/>
    </row>
    <row r="531" spans="22:27" x14ac:dyDescent="0.2">
      <c r="V531" s="163"/>
      <c r="W531" s="158" t="str">
        <f t="shared" si="20"/>
        <v>1w</v>
      </c>
      <c r="X531" s="168">
        <f>_xll.qlCalendarAdvance(Calendar,X530,W531,"f",FALSE)</f>
        <v>42622</v>
      </c>
      <c r="Y531" s="173">
        <f>_xll.qlCalendarAdvance(Calendar,X531,NDays&amp;"D")</f>
        <v>42622</v>
      </c>
      <c r="Z531" s="174">
        <v>6.425030960151753E-4</v>
      </c>
      <c r="AA531" s="177"/>
    </row>
    <row r="532" spans="22:27" x14ac:dyDescent="0.2">
      <c r="V532" s="163"/>
      <c r="W532" s="158" t="str">
        <f t="shared" si="20"/>
        <v>1w</v>
      </c>
      <c r="X532" s="168">
        <f>_xll.qlCalendarAdvance(Calendar,X531,W532,"f",FALSE)</f>
        <v>42629</v>
      </c>
      <c r="Y532" s="173">
        <f>_xll.qlCalendarAdvance(Calendar,X532,NDays&amp;"D")</f>
        <v>42629</v>
      </c>
      <c r="Z532" s="174">
        <v>6.4518796848128668E-4</v>
      </c>
      <c r="AA532" s="177"/>
    </row>
    <row r="533" spans="22:27" x14ac:dyDescent="0.2">
      <c r="V533" s="163"/>
      <c r="W533" s="158" t="str">
        <f t="shared" si="20"/>
        <v>1w</v>
      </c>
      <c r="X533" s="168">
        <f>_xll.qlCalendarAdvance(Calendar,X532,W533,"f",FALSE)</f>
        <v>42636</v>
      </c>
      <c r="Y533" s="173">
        <f>_xll.qlCalendarAdvance(Calendar,X533,NDays&amp;"D")</f>
        <v>42636</v>
      </c>
      <c r="Z533" s="174">
        <v>6.4747157261198696E-4</v>
      </c>
      <c r="AA533" s="177"/>
    </row>
    <row r="534" spans="22:27" x14ac:dyDescent="0.2">
      <c r="V534" s="163"/>
      <c r="W534" s="158" t="str">
        <f t="shared" si="20"/>
        <v>1w</v>
      </c>
      <c r="X534" s="168">
        <f>_xll.qlCalendarAdvance(Calendar,X533,W534,"f",FALSE)</f>
        <v>42643</v>
      </c>
      <c r="Y534" s="173">
        <f>_xll.qlCalendarAdvance(Calendar,X534,NDays&amp;"D")</f>
        <v>42643</v>
      </c>
      <c r="Z534" s="174">
        <v>6.498867818749422E-4</v>
      </c>
      <c r="AA534" s="177"/>
    </row>
    <row r="535" spans="22:27" x14ac:dyDescent="0.2">
      <c r="V535" s="163"/>
      <c r="W535" s="158" t="str">
        <f t="shared" si="20"/>
        <v>1w</v>
      </c>
      <c r="X535" s="168">
        <f>_xll.qlCalendarAdvance(Calendar,X534,W535,"f",FALSE)</f>
        <v>42650</v>
      </c>
      <c r="Y535" s="173">
        <f>_xll.qlCalendarAdvance(Calendar,X535,NDays&amp;"D")</f>
        <v>42650</v>
      </c>
      <c r="Z535" s="174">
        <v>6.5242374785029478E-4</v>
      </c>
      <c r="AA535" s="177"/>
    </row>
    <row r="536" spans="22:27" x14ac:dyDescent="0.2">
      <c r="V536" s="163"/>
      <c r="W536" s="158" t="str">
        <f t="shared" si="20"/>
        <v>1w</v>
      </c>
      <c r="X536" s="168">
        <f>_xll.qlCalendarAdvance(Calendar,X535,W536,"f",FALSE)</f>
        <v>42657</v>
      </c>
      <c r="Y536" s="173">
        <f>_xll.qlCalendarAdvance(Calendar,X536,NDays&amp;"D")</f>
        <v>42657</v>
      </c>
      <c r="Z536" s="174">
        <v>6.5457914232995118E-4</v>
      </c>
      <c r="AA536" s="177"/>
    </row>
    <row r="537" spans="22:27" x14ac:dyDescent="0.2">
      <c r="V537" s="163"/>
      <c r="W537" s="158" t="str">
        <f t="shared" si="20"/>
        <v>1w</v>
      </c>
      <c r="X537" s="168">
        <f>_xll.qlCalendarAdvance(Calendar,X536,W537,"f",FALSE)</f>
        <v>42664</v>
      </c>
      <c r="Y537" s="173">
        <f>_xll.qlCalendarAdvance(Calendar,X537,NDays&amp;"D")</f>
        <v>42664</v>
      </c>
      <c r="Z537" s="174">
        <v>6.5685629352200503E-4</v>
      </c>
      <c r="AA537" s="177"/>
    </row>
    <row r="538" spans="22:27" x14ac:dyDescent="0.2">
      <c r="V538" s="163"/>
      <c r="W538" s="158" t="str">
        <f t="shared" si="20"/>
        <v>1w</v>
      </c>
      <c r="X538" s="168">
        <f>_xll.qlCalendarAdvance(Calendar,X537,W538,"f",FALSE)</f>
        <v>42671</v>
      </c>
      <c r="Y538" s="173">
        <f>_xll.qlCalendarAdvance(Calendar,X538,NDays&amp;"D")</f>
        <v>42671</v>
      </c>
      <c r="Z538" s="174">
        <v>6.5908742533908149E-4</v>
      </c>
      <c r="AA538" s="177"/>
    </row>
    <row r="539" spans="22:27" x14ac:dyDescent="0.2">
      <c r="V539" s="163"/>
      <c r="W539" s="158" t="str">
        <f t="shared" si="20"/>
        <v>1w</v>
      </c>
      <c r="X539" s="168">
        <f>_xll.qlCalendarAdvance(Calendar,X538,W539,"f",FALSE)</f>
        <v>42678</v>
      </c>
      <c r="Y539" s="173">
        <f>_xll.qlCalendarAdvance(Calendar,X539,NDays&amp;"D")</f>
        <v>42678</v>
      </c>
      <c r="Z539" s="174">
        <v>6.6127253778118056E-4</v>
      </c>
      <c r="AA539" s="177"/>
    </row>
    <row r="540" spans="22:27" x14ac:dyDescent="0.2">
      <c r="V540" s="163"/>
      <c r="W540" s="158" t="str">
        <f t="shared" si="20"/>
        <v>1w</v>
      </c>
      <c r="X540" s="168">
        <f>_xll.qlCalendarAdvance(Calendar,X539,W540,"f",FALSE)</f>
        <v>42685</v>
      </c>
      <c r="Y540" s="173">
        <f>_xll.qlCalendarAdvance(Calendar,X540,NDays&amp;"D")</f>
        <v>42685</v>
      </c>
      <c r="Z540" s="174">
        <v>6.6341163084830223E-4</v>
      </c>
      <c r="AA540" s="177"/>
    </row>
    <row r="541" spans="22:27" x14ac:dyDescent="0.2">
      <c r="V541" s="163"/>
      <c r="W541" s="158" t="str">
        <f t="shared" si="20"/>
        <v>1w</v>
      </c>
      <c r="X541" s="168">
        <f>_xll.qlCalendarAdvance(Calendar,X540,W541,"f",FALSE)</f>
        <v>42692</v>
      </c>
      <c r="Y541" s="173">
        <f>_xll.qlCalendarAdvance(Calendar,X541,NDays&amp;"D")</f>
        <v>42692</v>
      </c>
      <c r="Z541" s="174">
        <v>6.6550470456746191E-4</v>
      </c>
      <c r="AA541" s="177"/>
    </row>
    <row r="542" spans="22:27" x14ac:dyDescent="0.2">
      <c r="V542" s="163"/>
      <c r="W542" s="158" t="str">
        <f t="shared" si="20"/>
        <v>1w</v>
      </c>
      <c r="X542" s="168">
        <f>_xll.qlCalendarAdvance(Calendar,X541,W542,"f",FALSE)</f>
        <v>42699</v>
      </c>
      <c r="Y542" s="173">
        <f>_xll.qlCalendarAdvance(Calendar,X542,NDays&amp;"D")</f>
        <v>42699</v>
      </c>
      <c r="Z542" s="174">
        <v>6.6755175888462881E-4</v>
      </c>
      <c r="AA542" s="177"/>
    </row>
    <row r="543" spans="22:27" x14ac:dyDescent="0.2">
      <c r="V543" s="163"/>
      <c r="W543" s="158" t="str">
        <f t="shared" si="20"/>
        <v>1w</v>
      </c>
      <c r="X543" s="168">
        <f>_xll.qlCalendarAdvance(Calendar,X542,W543,"f",FALSE)</f>
        <v>42706</v>
      </c>
      <c r="Y543" s="173">
        <f>_xll.qlCalendarAdvance(Calendar,X543,NDays&amp;"D")</f>
        <v>42706</v>
      </c>
      <c r="Z543" s="174">
        <v>6.6955279382681831E-4</v>
      </c>
      <c r="AA543" s="177"/>
    </row>
    <row r="544" spans="22:27" x14ac:dyDescent="0.2">
      <c r="V544" s="163"/>
      <c r="W544" s="158" t="str">
        <f t="shared" si="20"/>
        <v>1w</v>
      </c>
      <c r="X544" s="168">
        <f>_xll.qlCalendarAdvance(Calendar,X543,W544,"f",FALSE)</f>
        <v>42713</v>
      </c>
      <c r="Y544" s="173">
        <f>_xll.qlCalendarAdvance(Calendar,X544,NDays&amp;"D")</f>
        <v>42713</v>
      </c>
      <c r="Z544" s="174">
        <v>6.7150780939403043E-4</v>
      </c>
      <c r="AA544" s="177"/>
    </row>
    <row r="545" spans="22:27" x14ac:dyDescent="0.2">
      <c r="V545" s="163"/>
      <c r="W545" s="158" t="str">
        <f t="shared" si="20"/>
        <v>1w</v>
      </c>
      <c r="X545" s="168">
        <f>_xll.qlCalendarAdvance(Calendar,X544,W545,"f",FALSE)</f>
        <v>42720</v>
      </c>
      <c r="Y545" s="173">
        <f>_xll.qlCalendarAdvance(Calendar,X545,NDays&amp;"D")</f>
        <v>42720</v>
      </c>
      <c r="Z545" s="174">
        <v>6.7341680558626515E-4</v>
      </c>
      <c r="AA545" s="177"/>
    </row>
    <row r="546" spans="22:27" x14ac:dyDescent="0.2">
      <c r="V546" s="163"/>
      <c r="W546" s="158" t="str">
        <f t="shared" si="20"/>
        <v>1w</v>
      </c>
      <c r="X546" s="168">
        <f>_xll.qlCalendarAdvance(Calendar,X545,W546,"f",FALSE)</f>
        <v>42730</v>
      </c>
      <c r="Y546" s="173">
        <f>_xll.qlCalendarAdvance(Calendar,X546,NDays&amp;"D")</f>
        <v>42730</v>
      </c>
      <c r="Z546" s="174">
        <v>6.7580267074651701E-4</v>
      </c>
      <c r="AA546" s="177"/>
    </row>
    <row r="547" spans="22:27" x14ac:dyDescent="0.2">
      <c r="V547" s="163"/>
      <c r="W547" s="158" t="str">
        <f t="shared" si="20"/>
        <v>1w</v>
      </c>
      <c r="X547" s="168">
        <f>_xll.qlCalendarAdvance(Calendar,X546,W547,"f",FALSE)</f>
        <v>42739</v>
      </c>
      <c r="Y547" s="173">
        <f>_xll.qlCalendarAdvance(Calendar,X547,NDays&amp;"D")</f>
        <v>42739</v>
      </c>
      <c r="Z547" s="174">
        <v>6.7811339268586401E-4</v>
      </c>
      <c r="AA547" s="177"/>
    </row>
    <row r="548" spans="22:27" x14ac:dyDescent="0.2">
      <c r="V548" s="163"/>
      <c r="W548" s="158" t="str">
        <f t="shared" si="20"/>
        <v>1w</v>
      </c>
      <c r="X548" s="168">
        <f>_xll.qlCalendarAdvance(Calendar,X547,W548,"f",FALSE)</f>
        <v>42746</v>
      </c>
      <c r="Y548" s="173">
        <f>_xll.qlCalendarAdvance(Calendar,X548,NDays&amp;"D")</f>
        <v>42746</v>
      </c>
      <c r="Z548" s="174">
        <v>6.7985802742587254E-4</v>
      </c>
      <c r="AA548" s="177"/>
    </row>
    <row r="549" spans="22:27" x14ac:dyDescent="0.2">
      <c r="V549" s="163"/>
      <c r="W549" s="158" t="str">
        <f t="shared" si="20"/>
        <v>1w</v>
      </c>
      <c r="X549" s="168">
        <f>_xll.qlCalendarAdvance(Calendar,X548,W549,"f",FALSE)</f>
        <v>42753</v>
      </c>
      <c r="Y549" s="173">
        <f>_xll.qlCalendarAdvance(Calendar,X549,NDays&amp;"D")</f>
        <v>42753</v>
      </c>
      <c r="Z549" s="174">
        <v>6.8155664295299623E-4</v>
      </c>
      <c r="AA549" s="177"/>
    </row>
    <row r="550" spans="22:27" x14ac:dyDescent="0.2">
      <c r="V550" s="163"/>
      <c r="W550" s="158" t="str">
        <f t="shared" si="20"/>
        <v>1w</v>
      </c>
      <c r="X550" s="168">
        <f>_xll.qlCalendarAdvance(Calendar,X549,W550,"f",FALSE)</f>
        <v>42760</v>
      </c>
      <c r="Y550" s="173">
        <f>_xll.qlCalendarAdvance(Calendar,X550,NDays&amp;"D")</f>
        <v>42760</v>
      </c>
      <c r="Z550" s="174">
        <v>6.8320923918618881E-4</v>
      </c>
      <c r="AA550" s="177"/>
    </row>
    <row r="551" spans="22:27" x14ac:dyDescent="0.2">
      <c r="V551" s="163"/>
      <c r="W551" s="158" t="str">
        <f t="shared" si="20"/>
        <v>1w</v>
      </c>
      <c r="X551" s="168">
        <f>_xll.qlCalendarAdvance(Calendar,X550,W551,"f",FALSE)</f>
        <v>42767</v>
      </c>
      <c r="Y551" s="173">
        <f>_xll.qlCalendarAdvance(Calendar,X551,NDays&amp;"D")</f>
        <v>42767</v>
      </c>
      <c r="Z551" s="174">
        <v>6.8481581620649656E-4</v>
      </c>
      <c r="AA551" s="177"/>
    </row>
    <row r="552" spans="22:27" x14ac:dyDescent="0.2">
      <c r="V552" s="163"/>
      <c r="W552" s="158" t="str">
        <f t="shared" si="20"/>
        <v>1w</v>
      </c>
      <c r="X552" s="168">
        <f>_xll.qlCalendarAdvance(Calendar,X551,W552,"f",FALSE)</f>
        <v>42774</v>
      </c>
      <c r="Y552" s="173">
        <f>_xll.qlCalendarAdvance(Calendar,X552,NDays&amp;"D")</f>
        <v>42774</v>
      </c>
      <c r="Z552" s="174">
        <v>6.8637637401391949E-4</v>
      </c>
      <c r="AA552" s="177"/>
    </row>
    <row r="553" spans="22:27" x14ac:dyDescent="0.2">
      <c r="V553" s="163"/>
      <c r="W553" s="158" t="str">
        <f t="shared" si="20"/>
        <v>1w</v>
      </c>
      <c r="X553" s="168">
        <f>_xll.qlCalendarAdvance(Calendar,X552,W553,"f",FALSE)</f>
        <v>42781</v>
      </c>
      <c r="Y553" s="173">
        <f>_xll.qlCalendarAdvance(Calendar,X553,NDays&amp;"D")</f>
        <v>42781</v>
      </c>
      <c r="Z553" s="174">
        <v>6.8789091260845758E-4</v>
      </c>
      <c r="AA553" s="177"/>
    </row>
    <row r="554" spans="22:27" x14ac:dyDescent="0.2">
      <c r="V554" s="163"/>
      <c r="W554" s="158" t="str">
        <f t="shared" si="20"/>
        <v>1w</v>
      </c>
      <c r="X554" s="168">
        <f>_xll.qlCalendarAdvance(Calendar,X553,W554,"f",FALSE)</f>
        <v>42788</v>
      </c>
      <c r="Y554" s="173">
        <f>_xll.qlCalendarAdvance(Calendar,X554,NDays&amp;"D")</f>
        <v>42788</v>
      </c>
      <c r="Z554" s="174">
        <v>6.8935943182801829E-4</v>
      </c>
      <c r="AA554" s="177"/>
    </row>
    <row r="555" spans="22:27" x14ac:dyDescent="0.2">
      <c r="V555" s="163"/>
      <c r="W555" s="158" t="str">
        <f t="shared" si="20"/>
        <v>1w</v>
      </c>
      <c r="X555" s="168">
        <f>_xll.qlCalendarAdvance(Calendar,X554,W555,"f",FALSE)</f>
        <v>42795</v>
      </c>
      <c r="Y555" s="173">
        <f>_xll.qlCalendarAdvance(Calendar,X555,NDays&amp;"D")</f>
        <v>42795</v>
      </c>
      <c r="Z555" s="174">
        <v>6.9078193191574044E-4</v>
      </c>
      <c r="AA555" s="177"/>
    </row>
    <row r="556" spans="22:27" x14ac:dyDescent="0.2">
      <c r="V556" s="163"/>
      <c r="W556" s="158" t="str">
        <f t="shared" si="20"/>
        <v>1w</v>
      </c>
      <c r="X556" s="168">
        <f>_xll.qlCalendarAdvance(Calendar,X555,W556,"f",FALSE)</f>
        <v>42802</v>
      </c>
      <c r="Y556" s="173">
        <f>_xll.qlCalendarAdvance(Calendar,X556,NDays&amp;"D")</f>
        <v>42802</v>
      </c>
      <c r="Z556" s="174">
        <v>6.9215841270953149E-4</v>
      </c>
      <c r="AA556" s="177"/>
    </row>
    <row r="557" spans="22:27" x14ac:dyDescent="0.2">
      <c r="V557" s="163"/>
      <c r="W557" s="158" t="str">
        <f t="shared" si="20"/>
        <v>1w</v>
      </c>
      <c r="X557" s="168">
        <f>_xll.qlCalendarAdvance(Calendar,X556,W557,"f",FALSE)</f>
        <v>42809</v>
      </c>
      <c r="Y557" s="173">
        <f>_xll.qlCalendarAdvance(Calendar,X557,NDays&amp;"D")</f>
        <v>42809</v>
      </c>
      <c r="Z557" s="174">
        <v>6.9348887429043771E-4</v>
      </c>
      <c r="AA557" s="177"/>
    </row>
    <row r="558" spans="22:27" x14ac:dyDescent="0.2">
      <c r="V558" s="163"/>
      <c r="W558" s="158" t="str">
        <f t="shared" si="20"/>
        <v>1w</v>
      </c>
      <c r="X558" s="168">
        <f>_xll.qlCalendarAdvance(Calendar,X557,W558,"f",FALSE)</f>
        <v>42816</v>
      </c>
      <c r="Y558" s="173">
        <f>_xll.qlCalendarAdvance(Calendar,X558,NDays&amp;"D")</f>
        <v>42816</v>
      </c>
      <c r="Z558" s="174">
        <v>6.9477331665845909E-4</v>
      </c>
      <c r="AA558" s="177"/>
    </row>
    <row r="559" spans="22:27" x14ac:dyDescent="0.2">
      <c r="V559" s="163"/>
      <c r="W559" s="158" t="str">
        <f t="shared" si="20"/>
        <v>1w</v>
      </c>
      <c r="X559" s="168">
        <f>_xll.qlCalendarAdvance(Calendar,X558,W559,"f",FALSE)</f>
        <v>42823</v>
      </c>
      <c r="Y559" s="173">
        <f>_xll.qlCalendarAdvance(Calendar,X559,NDays&amp;"D")</f>
        <v>42823</v>
      </c>
      <c r="Z559" s="174">
        <v>6.9601173981359565E-4</v>
      </c>
      <c r="AA559" s="177"/>
    </row>
    <row r="560" spans="22:27" x14ac:dyDescent="0.2">
      <c r="V560" s="163"/>
      <c r="W560" s="158" t="str">
        <f t="shared" si="20"/>
        <v>1w</v>
      </c>
      <c r="X560" s="168">
        <f>_xll.qlCalendarAdvance(Calendar,X559,W560,"f",FALSE)</f>
        <v>42830</v>
      </c>
      <c r="Y560" s="173">
        <f>_xll.qlCalendarAdvance(Calendar,X560,NDays&amp;"D")</f>
        <v>42830</v>
      </c>
      <c r="Z560" s="174">
        <v>6.9720414359375482E-4</v>
      </c>
      <c r="AA560" s="177"/>
    </row>
    <row r="561" spans="22:27" x14ac:dyDescent="0.2">
      <c r="V561" s="163"/>
      <c r="W561" s="158" t="str">
        <f t="shared" si="20"/>
        <v>1w</v>
      </c>
      <c r="X561" s="168">
        <f>_xll.qlCalendarAdvance(Calendar,X560,W561,"f",FALSE)</f>
        <v>42837</v>
      </c>
      <c r="Y561" s="173">
        <f>_xll.qlCalendarAdvance(Calendar,X561,NDays&amp;"D")</f>
        <v>42837</v>
      </c>
      <c r="Z561" s="174">
        <v>6.9835052824207544E-4</v>
      </c>
      <c r="AA561" s="177"/>
    </row>
    <row r="562" spans="22:27" x14ac:dyDescent="0.2">
      <c r="V562" s="163"/>
      <c r="W562" s="158" t="str">
        <f t="shared" si="20"/>
        <v>1w</v>
      </c>
      <c r="X562" s="168">
        <f>_xll.qlCalendarAdvance(Calendar,X561,W562,"f",FALSE)</f>
        <v>42844</v>
      </c>
      <c r="Y562" s="173">
        <f>_xll.qlCalendarAdvance(Calendar,X562,NDays&amp;"D")</f>
        <v>42844</v>
      </c>
      <c r="Z562" s="174">
        <v>6.9945089367751123E-4</v>
      </c>
      <c r="AA562" s="177"/>
    </row>
    <row r="563" spans="22:27" x14ac:dyDescent="0.2">
      <c r="V563" s="163"/>
      <c r="W563" s="158" t="str">
        <f t="shared" si="20"/>
        <v>1w</v>
      </c>
      <c r="X563" s="168">
        <f>_xll.qlCalendarAdvance(Calendar,X562,W563,"f",FALSE)</f>
        <v>42851</v>
      </c>
      <c r="Y563" s="173">
        <f>_xll.qlCalendarAdvance(Calendar,X563,NDays&amp;"D")</f>
        <v>42851</v>
      </c>
      <c r="Z563" s="174">
        <v>7.0050523973796963E-4</v>
      </c>
      <c r="AA563" s="177"/>
    </row>
    <row r="564" spans="22:27" x14ac:dyDescent="0.2">
      <c r="V564" s="163"/>
      <c r="W564" s="158" t="str">
        <f t="shared" si="20"/>
        <v>1w</v>
      </c>
      <c r="X564" s="168">
        <f>_xll.qlCalendarAdvance(Calendar,X563,W564,"f",FALSE)</f>
        <v>42863</v>
      </c>
      <c r="Y564" s="173">
        <f>_xll.qlCalendarAdvance(Calendar,X564,NDays&amp;"D")</f>
        <v>42863</v>
      </c>
      <c r="Z564" s="174">
        <v>7.022056250727271E-4</v>
      </c>
      <c r="AA564" s="177"/>
    </row>
    <row r="565" spans="22:27" x14ac:dyDescent="0.2">
      <c r="V565" s="163"/>
      <c r="W565" s="158" t="str">
        <f t="shared" si="20"/>
        <v>1w</v>
      </c>
      <c r="X565" s="168">
        <f>_xll.qlCalendarAdvance(Calendar,X564,W565,"f",FALSE)</f>
        <v>42870</v>
      </c>
      <c r="Y565" s="173">
        <f>_xll.qlCalendarAdvance(Calendar,X565,NDays&amp;"D")</f>
        <v>42870</v>
      </c>
      <c r="Z565" s="174">
        <v>7.0313506187580366E-4</v>
      </c>
      <c r="AA565" s="177"/>
    </row>
    <row r="566" spans="22:27" x14ac:dyDescent="0.2">
      <c r="V566" s="163"/>
      <c r="W566" s="158" t="str">
        <f t="shared" si="20"/>
        <v>1w</v>
      </c>
      <c r="X566" s="168">
        <f>_xll.qlCalendarAdvance(Calendar,X565,W566,"f",FALSE)</f>
        <v>42877</v>
      </c>
      <c r="Y566" s="173">
        <f>_xll.qlCalendarAdvance(Calendar,X566,NDays&amp;"D")</f>
        <v>42877</v>
      </c>
      <c r="Z566" s="174">
        <v>7.0401847930390282E-4</v>
      </c>
      <c r="AA566" s="177"/>
    </row>
    <row r="567" spans="22:27" x14ac:dyDescent="0.2">
      <c r="V567" s="163"/>
      <c r="W567" s="158" t="str">
        <f t="shared" si="20"/>
        <v>1w</v>
      </c>
      <c r="X567" s="168">
        <f>_xll.qlCalendarAdvance(Calendar,X566,W567,"f",FALSE)</f>
        <v>42884</v>
      </c>
      <c r="Y567" s="173">
        <f>_xll.qlCalendarAdvance(Calendar,X567,NDays&amp;"D")</f>
        <v>42884</v>
      </c>
      <c r="Z567" s="174">
        <v>7.0485587760016344E-4</v>
      </c>
      <c r="AA567" s="177"/>
    </row>
    <row r="568" spans="22:27" x14ac:dyDescent="0.2">
      <c r="V568" s="163"/>
      <c r="W568" s="158" t="str">
        <f t="shared" si="20"/>
        <v>1w</v>
      </c>
      <c r="X568" s="168">
        <f>_xll.qlCalendarAdvance(Calendar,X567,W568,"f",FALSE)</f>
        <v>42891</v>
      </c>
      <c r="Y568" s="173">
        <f>_xll.qlCalendarAdvance(Calendar,X568,NDays&amp;"D")</f>
        <v>42891</v>
      </c>
      <c r="Z568" s="174">
        <v>7.0564725660249294E-4</v>
      </c>
      <c r="AA568" s="177"/>
    </row>
    <row r="569" spans="22:27" x14ac:dyDescent="0.2">
      <c r="V569" s="163"/>
      <c r="W569" s="158" t="str">
        <f t="shared" si="20"/>
        <v>1w</v>
      </c>
      <c r="X569" s="168">
        <f>_xll.qlCalendarAdvance(Calendar,X568,W569,"f",FALSE)</f>
        <v>42898</v>
      </c>
      <c r="Y569" s="173">
        <f>_xll.qlCalendarAdvance(Calendar,X569,NDays&amp;"D")</f>
        <v>42898</v>
      </c>
      <c r="Z569" s="174">
        <v>7.0639261639193762E-4</v>
      </c>
      <c r="AA569" s="177"/>
    </row>
    <row r="570" spans="22:27" x14ac:dyDescent="0.2">
      <c r="V570" s="163"/>
      <c r="W570" s="158" t="str">
        <f t="shared" si="20"/>
        <v>1w</v>
      </c>
      <c r="X570" s="168">
        <f>_xll.qlCalendarAdvance(Calendar,X569,W570,"f",FALSE)</f>
        <v>42905</v>
      </c>
      <c r="Y570" s="173">
        <f>_xll.qlCalendarAdvance(Calendar,X570,NDays&amp;"D")</f>
        <v>42905</v>
      </c>
      <c r="Z570" s="174">
        <v>7.0709195688745119E-4</v>
      </c>
      <c r="AA570" s="177"/>
    </row>
    <row r="571" spans="22:27" x14ac:dyDescent="0.2">
      <c r="V571" s="163"/>
      <c r="W571" s="158" t="str">
        <f t="shared" si="20"/>
        <v>1w</v>
      </c>
      <c r="X571" s="168">
        <f>_xll.qlCalendarAdvance(Calendar,X570,W571,"f",FALSE)</f>
        <v>42912</v>
      </c>
      <c r="Y571" s="173">
        <f>_xll.qlCalendarAdvance(Calendar,X571,NDays&amp;"D")</f>
        <v>42912</v>
      </c>
      <c r="Z571" s="174">
        <v>7.0774527817007993E-4</v>
      </c>
      <c r="AA571" s="177"/>
    </row>
    <row r="572" spans="22:27" x14ac:dyDescent="0.2">
      <c r="V572" s="163"/>
      <c r="W572" s="158" t="str">
        <f t="shared" si="20"/>
        <v>1w</v>
      </c>
      <c r="X572" s="168">
        <f>_xll.qlCalendarAdvance(Calendar,X571,W572,"f",FALSE)</f>
        <v>42919</v>
      </c>
      <c r="Y572" s="173">
        <f>_xll.qlCalendarAdvance(Calendar,X572,NDays&amp;"D")</f>
        <v>42919</v>
      </c>
      <c r="Z572" s="174">
        <v>7.0835258015877756E-4</v>
      </c>
      <c r="AA572" s="177"/>
    </row>
    <row r="573" spans="22:27" x14ac:dyDescent="0.2">
      <c r="V573" s="163"/>
      <c r="W573" s="158" t="str">
        <f t="shared" si="20"/>
        <v>1w</v>
      </c>
      <c r="X573" s="168">
        <f>_xll.qlCalendarAdvance(Calendar,X572,W573,"f",FALSE)</f>
        <v>42926</v>
      </c>
      <c r="Y573" s="173">
        <f>_xll.qlCalendarAdvance(Calendar,X573,NDays&amp;"D")</f>
        <v>42926</v>
      </c>
      <c r="Z573" s="174">
        <v>7.0891386293459036E-4</v>
      </c>
      <c r="AA573" s="177"/>
    </row>
    <row r="574" spans="22:27" x14ac:dyDescent="0.2">
      <c r="V574" s="163"/>
      <c r="W574" s="158" t="str">
        <f t="shared" si="20"/>
        <v>1w</v>
      </c>
      <c r="X574" s="168">
        <f>_xll.qlCalendarAdvance(Calendar,X573,W574,"f",FALSE)</f>
        <v>42934</v>
      </c>
      <c r="Y574" s="173">
        <f>_xll.qlCalendarAdvance(Calendar,X574,NDays&amp;"D")</f>
        <v>42934</v>
      </c>
      <c r="Z574" s="174">
        <v>7.0959887258359444E-4</v>
      </c>
      <c r="AA574" s="177"/>
    </row>
    <row r="575" spans="22:27" x14ac:dyDescent="0.2">
      <c r="V575" s="163"/>
      <c r="W575" s="158" t="str">
        <f t="shared" si="20"/>
        <v>1w</v>
      </c>
      <c r="X575" s="168">
        <f>_xll.qlCalendarAdvance(Calendar,X574,W575,"f",FALSE)</f>
        <v>42941</v>
      </c>
      <c r="Y575" s="173">
        <f>_xll.qlCalendarAdvance(Calendar,X575,NDays&amp;"D")</f>
        <v>42941</v>
      </c>
      <c r="Z575" s="174">
        <v>7.1061177700615374E-4</v>
      </c>
      <c r="AA575" s="177"/>
    </row>
    <row r="576" spans="22:27" x14ac:dyDescent="0.2">
      <c r="V576" s="163"/>
      <c r="W576" s="158" t="str">
        <f t="shared" si="20"/>
        <v>1w</v>
      </c>
      <c r="X576" s="168">
        <f>_xll.qlCalendarAdvance(Calendar,X575,W576,"f",FALSE)</f>
        <v>42948</v>
      </c>
      <c r="Y576" s="173">
        <f>_xll.qlCalendarAdvance(Calendar,X576,NDays&amp;"D")</f>
        <v>42948</v>
      </c>
      <c r="Z576" s="174">
        <v>7.1206011724167517E-4</v>
      </c>
      <c r="AA576" s="177"/>
    </row>
    <row r="577" spans="22:27" x14ac:dyDescent="0.2">
      <c r="V577" s="163"/>
      <c r="W577" s="158" t="str">
        <f t="shared" si="20"/>
        <v>1w</v>
      </c>
      <c r="X577" s="168">
        <f>_xll.qlCalendarAdvance(Calendar,X576,W577,"f",FALSE)</f>
        <v>42955</v>
      </c>
      <c r="Y577" s="173">
        <f>_xll.qlCalendarAdvance(Calendar,X577,NDays&amp;"D")</f>
        <v>42955</v>
      </c>
      <c r="Z577" s="174">
        <v>7.1394389312806616E-4</v>
      </c>
      <c r="AA577" s="177"/>
    </row>
    <row r="578" spans="22:27" x14ac:dyDescent="0.2">
      <c r="V578" s="163"/>
      <c r="W578" s="158" t="str">
        <f t="shared" si="20"/>
        <v>1w</v>
      </c>
      <c r="X578" s="168">
        <f>_xll.qlCalendarAdvance(Calendar,X577,W578,"f",FALSE)</f>
        <v>42962</v>
      </c>
      <c r="Y578" s="173">
        <f>_xll.qlCalendarAdvance(Calendar,X578,NDays&amp;"D")</f>
        <v>42962</v>
      </c>
      <c r="Z578" s="174">
        <v>7.1626310490846556E-4</v>
      </c>
      <c r="AA578" s="177"/>
    </row>
    <row r="579" spans="22:27" x14ac:dyDescent="0.2">
      <c r="V579" s="163"/>
      <c r="W579" s="158" t="str">
        <f t="shared" si="20"/>
        <v>1w</v>
      </c>
      <c r="X579" s="168">
        <f>_xll.qlCalendarAdvance(Calendar,X578,W579,"f",FALSE)</f>
        <v>42969</v>
      </c>
      <c r="Y579" s="173">
        <f>_xll.qlCalendarAdvance(Calendar,X579,NDays&amp;"D")</f>
        <v>42969</v>
      </c>
      <c r="Z579" s="174">
        <v>7.1901775250182709E-4</v>
      </c>
      <c r="AA579" s="177"/>
    </row>
    <row r="580" spans="22:27" x14ac:dyDescent="0.2">
      <c r="V580" s="163"/>
      <c r="W580" s="158" t="str">
        <f t="shared" si="20"/>
        <v>1w</v>
      </c>
      <c r="X580" s="168">
        <f>_xll.qlCalendarAdvance(Calendar,X579,W580,"f",FALSE)</f>
        <v>42976</v>
      </c>
      <c r="Y580" s="173">
        <f>_xll.qlCalendarAdvance(Calendar,X580,NDays&amp;"D")</f>
        <v>42976</v>
      </c>
      <c r="Z580" s="174">
        <v>7.2220783582710446E-4</v>
      </c>
      <c r="AA580" s="177"/>
    </row>
    <row r="581" spans="22:27" x14ac:dyDescent="0.2">
      <c r="V581" s="163"/>
      <c r="W581" s="158" t="str">
        <f t="shared" si="20"/>
        <v>1w</v>
      </c>
      <c r="X581" s="168">
        <f>_xll.qlCalendarAdvance(Calendar,X580,W581,"f",FALSE)</f>
        <v>42983</v>
      </c>
      <c r="Y581" s="173">
        <f>_xll.qlCalendarAdvance(Calendar,X581,NDays&amp;"D")</f>
        <v>42983</v>
      </c>
      <c r="Z581" s="174">
        <v>7.2583335496534396E-4</v>
      </c>
      <c r="AA581" s="177"/>
    </row>
    <row r="582" spans="22:27" x14ac:dyDescent="0.2">
      <c r="V582" s="163"/>
      <c r="W582" s="158" t="str">
        <f t="shared" si="20"/>
        <v>1w</v>
      </c>
      <c r="X582" s="168">
        <f>_xll.qlCalendarAdvance(Calendar,X581,W582,"f",FALSE)</f>
        <v>42990</v>
      </c>
      <c r="Y582" s="173">
        <f>_xll.qlCalendarAdvance(Calendar,X582,NDays&amp;"D")</f>
        <v>42990</v>
      </c>
      <c r="Z582" s="174">
        <v>7.2989430999759186E-4</v>
      </c>
      <c r="AA582" s="177"/>
    </row>
    <row r="583" spans="22:27" x14ac:dyDescent="0.2">
      <c r="V583" s="163"/>
      <c r="W583" s="158" t="str">
        <f t="shared" si="20"/>
        <v>1w</v>
      </c>
      <c r="X583" s="168">
        <f>_xll.qlCalendarAdvance(Calendar,X582,W583,"f",FALSE)</f>
        <v>42997</v>
      </c>
      <c r="Y583" s="173">
        <f>_xll.qlCalendarAdvance(Calendar,X583,NDays&amp;"D")</f>
        <v>42997</v>
      </c>
      <c r="Z583" s="174">
        <v>7.3439070084280189E-4</v>
      </c>
      <c r="AA583" s="177"/>
    </row>
    <row r="584" spans="22:27" x14ac:dyDescent="0.2">
      <c r="V584" s="163"/>
      <c r="W584" s="158" t="str">
        <f t="shared" si="20"/>
        <v>1w</v>
      </c>
      <c r="X584" s="168">
        <f>_xll.qlCalendarAdvance(Calendar,X583,W584,"f",FALSE)</f>
        <v>43004</v>
      </c>
      <c r="Y584" s="173">
        <f>_xll.qlCalendarAdvance(Calendar,X584,NDays&amp;"D")</f>
        <v>43004</v>
      </c>
      <c r="Z584" s="174">
        <v>7.3932252750097405E-4</v>
      </c>
      <c r="AA584" s="177"/>
    </row>
    <row r="585" spans="22:27" x14ac:dyDescent="0.2">
      <c r="V585" s="163"/>
      <c r="W585" s="158" t="str">
        <f t="shared" si="20"/>
        <v>1w</v>
      </c>
      <c r="X585" s="168">
        <f>_xll.qlCalendarAdvance(Calendar,X584,W585,"f",FALSE)</f>
        <v>43011</v>
      </c>
      <c r="Y585" s="173">
        <f>_xll.qlCalendarAdvance(Calendar,X585,NDays&amp;"D")</f>
        <v>43011</v>
      </c>
      <c r="Z585" s="174">
        <v>7.4468979005315461E-4</v>
      </c>
      <c r="AA585" s="177"/>
    </row>
    <row r="586" spans="22:27" x14ac:dyDescent="0.2">
      <c r="V586" s="163"/>
      <c r="W586" s="158" t="str">
        <f t="shared" si="20"/>
        <v>1w</v>
      </c>
      <c r="X586" s="168">
        <f>_xll.qlCalendarAdvance(Calendar,X585,W586,"f",FALSE)</f>
        <v>43018</v>
      </c>
      <c r="Y586" s="173">
        <f>_xll.qlCalendarAdvance(Calendar,X586,NDays&amp;"D")</f>
        <v>43018</v>
      </c>
      <c r="Z586" s="174">
        <v>7.5049248858038986E-4</v>
      </c>
      <c r="AA586" s="177"/>
    </row>
    <row r="587" spans="22:27" x14ac:dyDescent="0.2">
      <c r="V587" s="163"/>
      <c r="W587" s="158" t="str">
        <f t="shared" si="20"/>
        <v>1w</v>
      </c>
      <c r="X587" s="168">
        <f>_xll.qlCalendarAdvance(Calendar,X586,W587,"f",FALSE)</f>
        <v>43025</v>
      </c>
      <c r="Y587" s="173">
        <f>_xll.qlCalendarAdvance(Calendar,X587,NDays&amp;"D")</f>
        <v>43025</v>
      </c>
      <c r="Z587" s="174">
        <v>7.5673062292058724E-4</v>
      </c>
      <c r="AA587" s="177"/>
    </row>
    <row r="588" spans="22:27" x14ac:dyDescent="0.2">
      <c r="V588" s="163"/>
      <c r="W588" s="158" t="str">
        <f t="shared" si="20"/>
        <v>1w</v>
      </c>
      <c r="X588" s="168">
        <f>_xll.qlCalendarAdvance(Calendar,X587,W588,"f",FALSE)</f>
        <v>43032</v>
      </c>
      <c r="Y588" s="173">
        <f>_xll.qlCalendarAdvance(Calendar,X588,NDays&amp;"D")</f>
        <v>43032</v>
      </c>
      <c r="Z588" s="174">
        <v>7.6340419331688558E-4</v>
      </c>
      <c r="AA588" s="177"/>
    </row>
    <row r="589" spans="22:27" x14ac:dyDescent="0.2">
      <c r="V589" s="163"/>
      <c r="W589" s="158" t="str">
        <f t="shared" ref="W589:W652" si="21">W588</f>
        <v>1w</v>
      </c>
      <c r="X589" s="168">
        <f>_xll.qlCalendarAdvance(Calendar,X588,W589,"f",FALSE)</f>
        <v>43039</v>
      </c>
      <c r="Y589" s="173">
        <f>_xll.qlCalendarAdvance(Calendar,X589,NDays&amp;"D")</f>
        <v>43039</v>
      </c>
      <c r="Z589" s="174">
        <v>7.7051319960719233E-4</v>
      </c>
      <c r="AA589" s="177"/>
    </row>
    <row r="590" spans="22:27" x14ac:dyDescent="0.2">
      <c r="V590" s="163"/>
      <c r="W590" s="158" t="str">
        <f t="shared" si="21"/>
        <v>1w</v>
      </c>
      <c r="X590" s="168">
        <f>_xll.qlCalendarAdvance(Calendar,X589,W590,"f",FALSE)</f>
        <v>43046</v>
      </c>
      <c r="Y590" s="173">
        <f>_xll.qlCalendarAdvance(Calendar,X590,NDays&amp;"D")</f>
        <v>43046</v>
      </c>
      <c r="Z590" s="174">
        <v>7.7805764187255377E-4</v>
      </c>
      <c r="AA590" s="177"/>
    </row>
    <row r="591" spans="22:27" x14ac:dyDescent="0.2">
      <c r="V591" s="163"/>
      <c r="W591" s="158" t="str">
        <f t="shared" si="21"/>
        <v>1w</v>
      </c>
      <c r="X591" s="168">
        <f>_xll.qlCalendarAdvance(Calendar,X590,W591,"f",FALSE)</f>
        <v>43053</v>
      </c>
      <c r="Y591" s="173">
        <f>_xll.qlCalendarAdvance(Calendar,X591,NDays&amp;"D")</f>
        <v>43053</v>
      </c>
      <c r="Z591" s="174">
        <v>7.8603752019401618E-4</v>
      </c>
      <c r="AA591" s="177"/>
    </row>
    <row r="592" spans="22:27" x14ac:dyDescent="0.2">
      <c r="V592" s="163"/>
      <c r="W592" s="158" t="str">
        <f t="shared" si="21"/>
        <v>1w</v>
      </c>
      <c r="X592" s="168">
        <f>_xll.qlCalendarAdvance(Calendar,X591,W592,"f",FALSE)</f>
        <v>43060</v>
      </c>
      <c r="Y592" s="173">
        <f>_xll.qlCalendarAdvance(Calendar,X592,NDays&amp;"D")</f>
        <v>43060</v>
      </c>
      <c r="Z592" s="174">
        <v>7.9445283449053328E-4</v>
      </c>
      <c r="AA592" s="177"/>
    </row>
    <row r="593" spans="22:27" x14ac:dyDescent="0.2">
      <c r="V593" s="163"/>
      <c r="W593" s="158" t="str">
        <f t="shared" si="21"/>
        <v>1w</v>
      </c>
      <c r="X593" s="168">
        <f>_xll.qlCalendarAdvance(Calendar,X592,W593,"f",FALSE)</f>
        <v>43067</v>
      </c>
      <c r="Y593" s="173">
        <f>_xll.qlCalendarAdvance(Calendar,X593,NDays&amp;"D")</f>
        <v>43067</v>
      </c>
      <c r="Z593" s="174">
        <v>8.0330358492419762E-4</v>
      </c>
      <c r="AA593" s="177"/>
    </row>
    <row r="594" spans="22:27" x14ac:dyDescent="0.2">
      <c r="V594" s="163"/>
      <c r="W594" s="158" t="str">
        <f t="shared" si="21"/>
        <v>1w</v>
      </c>
      <c r="X594" s="168">
        <f>_xll.qlCalendarAdvance(Calendar,X593,W594,"f",FALSE)</f>
        <v>43074</v>
      </c>
      <c r="Y594" s="173">
        <f>_xll.qlCalendarAdvance(Calendar,X594,NDays&amp;"D")</f>
        <v>43074</v>
      </c>
      <c r="Z594" s="174">
        <v>8.1258977149500922E-4</v>
      </c>
      <c r="AA594" s="177"/>
    </row>
    <row r="595" spans="22:27" x14ac:dyDescent="0.2">
      <c r="V595" s="163"/>
      <c r="W595" s="158" t="str">
        <f t="shared" si="21"/>
        <v>1w</v>
      </c>
      <c r="X595" s="168">
        <f>_xll.qlCalendarAdvance(Calendar,X594,W595,"f",FALSE)</f>
        <v>43081</v>
      </c>
      <c r="Y595" s="173">
        <f>_xll.qlCalendarAdvance(Calendar,X595,NDays&amp;"D")</f>
        <v>43081</v>
      </c>
      <c r="Z595" s="174">
        <v>8.2231139412192178E-4</v>
      </c>
      <c r="AA595" s="177"/>
    </row>
    <row r="596" spans="22:27" x14ac:dyDescent="0.2">
      <c r="V596" s="163"/>
      <c r="W596" s="158" t="str">
        <f t="shared" si="21"/>
        <v>1w</v>
      </c>
      <c r="X596" s="168">
        <f>_xll.qlCalendarAdvance(Calendar,X595,W596,"f",FALSE)</f>
        <v>43088</v>
      </c>
      <c r="Y596" s="173">
        <f>_xll.qlCalendarAdvance(Calendar,X596,NDays&amp;"D")</f>
        <v>43088</v>
      </c>
      <c r="Z596" s="174">
        <v>8.3246845296702787E-4</v>
      </c>
      <c r="AA596" s="177"/>
    </row>
    <row r="597" spans="22:27" x14ac:dyDescent="0.2">
      <c r="V597" s="163"/>
      <c r="W597" s="158" t="str">
        <f t="shared" si="21"/>
        <v>1w</v>
      </c>
      <c r="X597" s="168">
        <f>_xll.qlCalendarAdvance(Calendar,X596,W597,"f",FALSE)</f>
        <v>43095</v>
      </c>
      <c r="Y597" s="173">
        <f>_xll.qlCalendarAdvance(Calendar,X597,NDays&amp;"D")</f>
        <v>43095</v>
      </c>
      <c r="Z597" s="174">
        <v>8.4306094803032749E-4</v>
      </c>
      <c r="AA597" s="177"/>
    </row>
    <row r="598" spans="22:27" x14ac:dyDescent="0.2">
      <c r="V598" s="163"/>
      <c r="W598" s="158" t="str">
        <f t="shared" si="21"/>
        <v>1w</v>
      </c>
      <c r="X598" s="168">
        <f>_xll.qlCalendarAdvance(Calendar,X597,W598,"f",FALSE)</f>
        <v>43104</v>
      </c>
      <c r="Y598" s="173">
        <f>_xll.qlCalendarAdvance(Calendar,X598,NDays&amp;"D")</f>
        <v>43104</v>
      </c>
      <c r="Z598" s="174">
        <v>8.5731969495794758E-4</v>
      </c>
      <c r="AA598" s="177"/>
    </row>
    <row r="599" spans="22:27" x14ac:dyDescent="0.2">
      <c r="V599" s="163"/>
      <c r="W599" s="158" t="str">
        <f t="shared" si="21"/>
        <v>1w</v>
      </c>
      <c r="X599" s="168">
        <f>_xll.qlCalendarAdvance(Calendar,X598,W599,"f",FALSE)</f>
        <v>43111</v>
      </c>
      <c r="Y599" s="173">
        <f>_xll.qlCalendarAdvance(Calendar,X599,NDays&amp;"D")</f>
        <v>43111</v>
      </c>
      <c r="Z599" s="174">
        <v>8.6890747287515779E-4</v>
      </c>
      <c r="AA599" s="177"/>
    </row>
    <row r="600" spans="22:27" x14ac:dyDescent="0.2">
      <c r="V600" s="163"/>
      <c r="W600" s="158" t="str">
        <f t="shared" si="21"/>
        <v>1w</v>
      </c>
      <c r="X600" s="168">
        <f>_xll.qlCalendarAdvance(Calendar,X599,W600,"f",FALSE)</f>
        <v>43118</v>
      </c>
      <c r="Y600" s="173">
        <f>_xll.qlCalendarAdvance(Calendar,X600,NDays&amp;"D")</f>
        <v>43118</v>
      </c>
      <c r="Z600" s="174">
        <v>8.809306871726541E-4</v>
      </c>
      <c r="AA600" s="177"/>
    </row>
    <row r="601" spans="22:27" x14ac:dyDescent="0.2">
      <c r="V601" s="163"/>
      <c r="W601" s="158" t="str">
        <f t="shared" si="21"/>
        <v>1w</v>
      </c>
      <c r="X601" s="168">
        <f>_xll.qlCalendarAdvance(Calendar,X600,W601,"f",FALSE)</f>
        <v>43125</v>
      </c>
      <c r="Y601" s="173">
        <f>_xll.qlCalendarAdvance(Calendar,X601,NDays&amp;"D")</f>
        <v>43125</v>
      </c>
      <c r="Z601" s="174">
        <v>8.9338933793148279E-4</v>
      </c>
      <c r="AA601" s="177"/>
    </row>
    <row r="602" spans="22:27" x14ac:dyDescent="0.2">
      <c r="V602" s="163"/>
      <c r="W602" s="158" t="str">
        <f t="shared" si="21"/>
        <v>1w</v>
      </c>
      <c r="X602" s="168">
        <f>_xll.qlCalendarAdvance(Calendar,X601,W602,"f",FALSE)</f>
        <v>43132</v>
      </c>
      <c r="Y602" s="173">
        <f>_xll.qlCalendarAdvance(Calendar,X602,NDays&amp;"D")</f>
        <v>43132</v>
      </c>
      <c r="Z602" s="174">
        <v>9.0628342498955128E-4</v>
      </c>
      <c r="AA602" s="177"/>
    </row>
    <row r="603" spans="22:27" x14ac:dyDescent="0.2">
      <c r="V603" s="163"/>
      <c r="W603" s="158" t="str">
        <f t="shared" si="21"/>
        <v>1w</v>
      </c>
      <c r="X603" s="168">
        <f>_xll.qlCalendarAdvance(Calendar,X602,W603,"f",FALSE)</f>
        <v>43139</v>
      </c>
      <c r="Y603" s="173">
        <f>_xll.qlCalendarAdvance(Calendar,X603,NDays&amp;"D")</f>
        <v>43139</v>
      </c>
      <c r="Z603" s="174">
        <v>9.1961294858999842E-4</v>
      </c>
      <c r="AA603" s="177"/>
    </row>
    <row r="604" spans="22:27" x14ac:dyDescent="0.2">
      <c r="V604" s="163"/>
      <c r="W604" s="158" t="str">
        <f t="shared" si="21"/>
        <v>1w</v>
      </c>
      <c r="X604" s="168">
        <f>_xll.qlCalendarAdvance(Calendar,X603,W604,"f",FALSE)</f>
        <v>43146</v>
      </c>
      <c r="Y604" s="173">
        <f>_xll.qlCalendarAdvance(Calendar,X604,NDays&amp;"D")</f>
        <v>43146</v>
      </c>
      <c r="Z604" s="174">
        <v>9.3337790873282422E-4</v>
      </c>
      <c r="AA604" s="177"/>
    </row>
    <row r="605" spans="22:27" x14ac:dyDescent="0.2">
      <c r="V605" s="163"/>
      <c r="W605" s="158" t="str">
        <f t="shared" si="21"/>
        <v>1w</v>
      </c>
      <c r="X605" s="168">
        <f>_xll.qlCalendarAdvance(Calendar,X604,W605,"f",FALSE)</f>
        <v>43153</v>
      </c>
      <c r="Y605" s="173">
        <f>_xll.qlCalendarAdvance(Calendar,X605,NDays&amp;"D")</f>
        <v>43153</v>
      </c>
      <c r="Z605" s="174">
        <v>9.4757830541802868E-4</v>
      </c>
      <c r="AA605" s="177"/>
    </row>
    <row r="606" spans="22:27" x14ac:dyDescent="0.2">
      <c r="V606" s="163"/>
      <c r="W606" s="158" t="str">
        <f t="shared" si="21"/>
        <v>1w</v>
      </c>
      <c r="X606" s="168">
        <f>_xll.qlCalendarAdvance(Calendar,X605,W606,"f",FALSE)</f>
        <v>43160</v>
      </c>
      <c r="Y606" s="173">
        <f>_xll.qlCalendarAdvance(Calendar,X606,NDays&amp;"D")</f>
        <v>43160</v>
      </c>
      <c r="Z606" s="174">
        <v>9.6221413872665806E-4</v>
      </c>
      <c r="AA606" s="177"/>
    </row>
    <row r="607" spans="22:27" x14ac:dyDescent="0.2">
      <c r="V607" s="163"/>
      <c r="W607" s="158" t="str">
        <f t="shared" si="21"/>
        <v>1w</v>
      </c>
      <c r="X607" s="168">
        <f>_xll.qlCalendarAdvance(Calendar,X606,W607,"f",FALSE)</f>
        <v>43167</v>
      </c>
      <c r="Y607" s="173">
        <f>_xll.qlCalendarAdvance(Calendar,X607,NDays&amp;"D")</f>
        <v>43167</v>
      </c>
      <c r="Z607" s="174">
        <v>9.7728540873975867E-4</v>
      </c>
      <c r="AA607" s="177"/>
    </row>
    <row r="608" spans="22:27" x14ac:dyDescent="0.2">
      <c r="V608" s="163"/>
      <c r="W608" s="158" t="str">
        <f t="shared" si="21"/>
        <v>1w</v>
      </c>
      <c r="X608" s="168">
        <f>_xll.qlCalendarAdvance(Calendar,X607,W608,"f",FALSE)</f>
        <v>43174</v>
      </c>
      <c r="Y608" s="173">
        <f>_xll.qlCalendarAdvance(Calendar,X608,NDays&amp;"D")</f>
        <v>43174</v>
      </c>
      <c r="Z608" s="174">
        <v>9.9279211545733048E-4</v>
      </c>
      <c r="AA608" s="177"/>
    </row>
    <row r="609" spans="22:27" x14ac:dyDescent="0.2">
      <c r="V609" s="163"/>
      <c r="W609" s="158" t="str">
        <f t="shared" si="21"/>
        <v>1w</v>
      </c>
      <c r="X609" s="168">
        <f>_xll.qlCalendarAdvance(Calendar,X608,W609,"f",FALSE)</f>
        <v>43181</v>
      </c>
      <c r="Y609" s="173">
        <f>_xll.qlCalendarAdvance(Calendar,X609,NDays&amp;"D")</f>
        <v>43181</v>
      </c>
      <c r="Z609" s="174">
        <v>1.0087342589604198E-3</v>
      </c>
      <c r="AA609" s="177"/>
    </row>
    <row r="610" spans="22:27" x14ac:dyDescent="0.2">
      <c r="V610" s="163"/>
      <c r="W610" s="158" t="str">
        <f t="shared" si="21"/>
        <v>1w</v>
      </c>
      <c r="X610" s="168">
        <f>_xll.qlCalendarAdvance(Calendar,X609,W610,"f",FALSE)</f>
        <v>43188</v>
      </c>
      <c r="Y610" s="173">
        <f>_xll.qlCalendarAdvance(Calendar,X610,NDays&amp;"D")</f>
        <v>43188</v>
      </c>
      <c r="Z610" s="174">
        <v>1.0251118393300729E-3</v>
      </c>
      <c r="AA610" s="177"/>
    </row>
    <row r="611" spans="22:27" x14ac:dyDescent="0.2">
      <c r="V611" s="163"/>
      <c r="W611" s="158" t="str">
        <f t="shared" si="21"/>
        <v>1w</v>
      </c>
      <c r="X611" s="168">
        <f>_xll.qlCalendarAdvance(Calendar,X610,W611,"f",FALSE)</f>
        <v>43195</v>
      </c>
      <c r="Y611" s="173">
        <f>_xll.qlCalendarAdvance(Calendar,X611,NDays&amp;"D")</f>
        <v>43195</v>
      </c>
      <c r="Z611" s="174">
        <v>1.0419248565662897E-3</v>
      </c>
      <c r="AA611" s="177"/>
    </row>
    <row r="612" spans="22:27" x14ac:dyDescent="0.2">
      <c r="V612" s="163"/>
      <c r="W612" s="158" t="str">
        <f t="shared" si="21"/>
        <v>1w</v>
      </c>
      <c r="X612" s="168">
        <f>_xll.qlCalendarAdvance(Calendar,X611,W612,"f",FALSE)</f>
        <v>43202</v>
      </c>
      <c r="Y612" s="173">
        <f>_xll.qlCalendarAdvance(Calendar,X612,NDays&amp;"D")</f>
        <v>43202</v>
      </c>
      <c r="Z612" s="174">
        <v>1.0591733107501167E-3</v>
      </c>
      <c r="AA612" s="177"/>
    </row>
    <row r="613" spans="22:27" x14ac:dyDescent="0.2">
      <c r="V613" s="163"/>
      <c r="W613" s="158" t="str">
        <f t="shared" si="21"/>
        <v>1w</v>
      </c>
      <c r="X613" s="168">
        <f>_xll.qlCalendarAdvance(Calendar,X612,W613,"f",FALSE)</f>
        <v>43209</v>
      </c>
      <c r="Y613" s="173">
        <f>_xll.qlCalendarAdvance(Calendar,X613,NDays&amp;"D")</f>
        <v>43209</v>
      </c>
      <c r="Z613" s="174">
        <v>1.0768572019625999E-3</v>
      </c>
      <c r="AA613" s="177"/>
    </row>
    <row r="614" spans="22:27" x14ac:dyDescent="0.2">
      <c r="V614" s="163"/>
      <c r="W614" s="158" t="str">
        <f t="shared" si="21"/>
        <v>1w</v>
      </c>
      <c r="X614" s="168">
        <f>_xll.qlCalendarAdvance(Calendar,X613,W614,"f",FALSE)</f>
        <v>43216</v>
      </c>
      <c r="Y614" s="173">
        <f>_xll.qlCalendarAdvance(Calendar,X614,NDays&amp;"D")</f>
        <v>43216</v>
      </c>
      <c r="Z614" s="174">
        <v>1.0949765302847858E-3</v>
      </c>
      <c r="AA614" s="177"/>
    </row>
    <row r="615" spans="22:27" x14ac:dyDescent="0.2">
      <c r="V615" s="163"/>
      <c r="W615" s="158" t="str">
        <f t="shared" si="21"/>
        <v>1w</v>
      </c>
      <c r="X615" s="168">
        <f>_xll.qlCalendarAdvance(Calendar,X614,W615,"f",FALSE)</f>
        <v>43227</v>
      </c>
      <c r="Y615" s="173">
        <f>_xll.qlCalendarAdvance(Calendar,X615,NDays&amp;"D")</f>
        <v>43227</v>
      </c>
      <c r="Z615" s="174">
        <v>1.1243295213336779E-3</v>
      </c>
      <c r="AA615" s="177"/>
    </row>
    <row r="616" spans="22:27" x14ac:dyDescent="0.2">
      <c r="V616" s="163"/>
      <c r="W616" s="158" t="str">
        <f t="shared" si="21"/>
        <v>1w</v>
      </c>
      <c r="X616" s="168">
        <f>_xll.qlCalendarAdvance(Calendar,X615,W616,"f",FALSE)</f>
        <v>43234</v>
      </c>
      <c r="Y616" s="173">
        <f>_xll.qlCalendarAdvance(Calendar,X616,NDays&amp;"D")</f>
        <v>43234</v>
      </c>
      <c r="Z616" s="174">
        <v>1.1435685452776401E-3</v>
      </c>
      <c r="AA616" s="177"/>
    </row>
    <row r="617" spans="22:27" x14ac:dyDescent="0.2">
      <c r="V617" s="163"/>
      <c r="W617" s="158" t="str">
        <f t="shared" si="21"/>
        <v>1w</v>
      </c>
      <c r="X617" s="168">
        <f>_xll.qlCalendarAdvance(Calendar,X616,W617,"f",FALSE)</f>
        <v>43241</v>
      </c>
      <c r="Y617" s="173">
        <f>_xll.qlCalendarAdvance(Calendar,X617,NDays&amp;"D")</f>
        <v>43241</v>
      </c>
      <c r="Z617" s="174">
        <v>1.1632430065744437E-3</v>
      </c>
      <c r="AA617" s="177"/>
    </row>
    <row r="618" spans="22:27" x14ac:dyDescent="0.2">
      <c r="V618" s="163"/>
      <c r="W618" s="158" t="str">
        <f t="shared" si="21"/>
        <v>1w</v>
      </c>
      <c r="X618" s="168">
        <f>_xll.qlCalendarAdvance(Calendar,X617,W618,"f",FALSE)</f>
        <v>43248</v>
      </c>
      <c r="Y618" s="173">
        <f>_xll.qlCalendarAdvance(Calendar,X618,NDays&amp;"D")</f>
        <v>43248</v>
      </c>
      <c r="Z618" s="174">
        <v>1.183352905305135E-3</v>
      </c>
      <c r="AA618" s="177"/>
    </row>
    <row r="619" spans="22:27" x14ac:dyDescent="0.2">
      <c r="V619" s="163"/>
      <c r="W619" s="158" t="str">
        <f t="shared" si="21"/>
        <v>1w</v>
      </c>
      <c r="X619" s="168">
        <f>_xll.qlCalendarAdvance(Calendar,X618,W619,"f",FALSE)</f>
        <v>43255</v>
      </c>
      <c r="Y619" s="173">
        <f>_xll.qlCalendarAdvance(Calendar,X619,NDays&amp;"D")</f>
        <v>43255</v>
      </c>
      <c r="Z619" s="174">
        <v>1.2038982414697141E-3</v>
      </c>
      <c r="AA619" s="177"/>
    </row>
    <row r="620" spans="22:27" x14ac:dyDescent="0.2">
      <c r="V620" s="163"/>
      <c r="W620" s="158" t="str">
        <f t="shared" si="21"/>
        <v>1w</v>
      </c>
      <c r="X620" s="168">
        <f>_xll.qlCalendarAdvance(Calendar,X619,W620,"f",FALSE)</f>
        <v>43262</v>
      </c>
      <c r="Y620" s="173">
        <f>_xll.qlCalendarAdvance(Calendar,X620,NDays&amp;"D")</f>
        <v>43262</v>
      </c>
      <c r="Z620" s="174">
        <v>1.2248790152302735E-3</v>
      </c>
      <c r="AA620" s="177"/>
    </row>
    <row r="621" spans="22:27" x14ac:dyDescent="0.2">
      <c r="V621" s="163"/>
      <c r="W621" s="158" t="str">
        <f t="shared" si="21"/>
        <v>1w</v>
      </c>
      <c r="X621" s="168">
        <f>_xll.qlCalendarAdvance(Calendar,X620,W621,"f",FALSE)</f>
        <v>43269</v>
      </c>
      <c r="Y621" s="173">
        <f>_xll.qlCalendarAdvance(Calendar,X621,NDays&amp;"D")</f>
        <v>43269</v>
      </c>
      <c r="Z621" s="174">
        <v>1.246295226505767E-3</v>
      </c>
      <c r="AA621" s="177"/>
    </row>
    <row r="622" spans="22:27" x14ac:dyDescent="0.2">
      <c r="V622" s="163"/>
      <c r="W622" s="158" t="str">
        <f t="shared" si="21"/>
        <v>1w</v>
      </c>
      <c r="X622" s="168">
        <f>_xll.qlCalendarAdvance(Calendar,X621,W622,"f",FALSE)</f>
        <v>43276</v>
      </c>
      <c r="Y622" s="173">
        <f>_xll.qlCalendarAdvance(Calendar,X622,NDays&amp;"D")</f>
        <v>43276</v>
      </c>
      <c r="Z622" s="174">
        <v>1.2681468755393333E-3</v>
      </c>
      <c r="AA622" s="177"/>
    </row>
    <row r="623" spans="22:27" x14ac:dyDescent="0.2">
      <c r="V623" s="163"/>
      <c r="W623" s="158" t="str">
        <f t="shared" si="21"/>
        <v>1w</v>
      </c>
      <c r="X623" s="168">
        <f>_xll.qlCalendarAdvance(Calendar,X622,W623,"f",FALSE)</f>
        <v>43283</v>
      </c>
      <c r="Y623" s="173">
        <f>_xll.qlCalendarAdvance(Calendar,X623,NDays&amp;"D")</f>
        <v>43283</v>
      </c>
      <c r="Z623" s="174">
        <v>1.2904339623309724E-3</v>
      </c>
      <c r="AA623" s="177"/>
    </row>
    <row r="624" spans="22:27" x14ac:dyDescent="0.2">
      <c r="V624" s="163"/>
      <c r="W624" s="158" t="str">
        <f t="shared" si="21"/>
        <v>1w</v>
      </c>
      <c r="X624" s="168">
        <f>_xll.qlCalendarAdvance(Calendar,X623,W624,"f",FALSE)</f>
        <v>43290</v>
      </c>
      <c r="Y624" s="173">
        <f>_xll.qlCalendarAdvance(Calendar,X624,NDays&amp;"D")</f>
        <v>43290</v>
      </c>
      <c r="Z624" s="174">
        <v>1.3131564868806844E-3</v>
      </c>
      <c r="AA624" s="177"/>
    </row>
    <row r="625" spans="22:27" x14ac:dyDescent="0.2">
      <c r="V625" s="163"/>
      <c r="W625" s="158" t="str">
        <f t="shared" si="21"/>
        <v>1w</v>
      </c>
      <c r="X625" s="168">
        <f>_xll.qlCalendarAdvance(Calendar,X624,W625,"f",FALSE)</f>
        <v>43298</v>
      </c>
      <c r="Y625" s="173">
        <f>_xll.qlCalendarAdvance(Calendar,X625,NDays&amp;"D")</f>
        <v>43298</v>
      </c>
      <c r="Z625" s="174">
        <v>1.3396568716417256E-3</v>
      </c>
      <c r="AA625" s="177"/>
    </row>
    <row r="626" spans="22:27" x14ac:dyDescent="0.2">
      <c r="V626" s="163"/>
      <c r="W626" s="158" t="str">
        <f t="shared" si="21"/>
        <v>1w</v>
      </c>
      <c r="X626" s="168">
        <f>_xll.qlCalendarAdvance(Calendar,X625,W626,"f",FALSE)</f>
        <v>43305</v>
      </c>
      <c r="Y626" s="173">
        <f>_xll.qlCalendarAdvance(Calendar,X626,NDays&amp;"D")</f>
        <v>43305</v>
      </c>
      <c r="Z626" s="174">
        <v>1.3630765712924209E-3</v>
      </c>
      <c r="AA626" s="177"/>
    </row>
    <row r="627" spans="22:27" x14ac:dyDescent="0.2">
      <c r="V627" s="163"/>
      <c r="W627" s="158" t="str">
        <f t="shared" si="21"/>
        <v>1w</v>
      </c>
      <c r="X627" s="168">
        <f>_xll.qlCalendarAdvance(Calendar,X626,W627,"f",FALSE)</f>
        <v>43312</v>
      </c>
      <c r="Y627" s="173">
        <f>_xll.qlCalendarAdvance(Calendar,X627,NDays&amp;"D")</f>
        <v>43312</v>
      </c>
      <c r="Z627" s="174">
        <v>1.3865188728867661E-3</v>
      </c>
      <c r="AA627" s="177"/>
    </row>
    <row r="628" spans="22:27" x14ac:dyDescent="0.2">
      <c r="V628" s="163"/>
      <c r="W628" s="158" t="str">
        <f t="shared" si="21"/>
        <v>1w</v>
      </c>
      <c r="X628" s="168">
        <f>_xll.qlCalendarAdvance(Calendar,X627,W628,"f",FALSE)</f>
        <v>43319</v>
      </c>
      <c r="Y628" s="173">
        <f>_xll.qlCalendarAdvance(Calendar,X628,NDays&amp;"D")</f>
        <v>43319</v>
      </c>
      <c r="Z628" s="174">
        <v>1.4099837764247614E-3</v>
      </c>
      <c r="AA628" s="177"/>
    </row>
    <row r="629" spans="22:27" x14ac:dyDescent="0.2">
      <c r="V629" s="163"/>
      <c r="W629" s="158" t="str">
        <f t="shared" si="21"/>
        <v>1w</v>
      </c>
      <c r="X629" s="168">
        <f>_xll.qlCalendarAdvance(Calendar,X628,W629,"f",FALSE)</f>
        <v>43326</v>
      </c>
      <c r="Y629" s="173">
        <f>_xll.qlCalendarAdvance(Calendar,X629,NDays&amp;"D")</f>
        <v>43326</v>
      </c>
      <c r="Z629" s="174">
        <v>1.4334712819064066E-3</v>
      </c>
      <c r="AA629" s="177"/>
    </row>
    <row r="630" spans="22:27" x14ac:dyDescent="0.2">
      <c r="V630" s="163"/>
      <c r="W630" s="158" t="str">
        <f t="shared" si="21"/>
        <v>1w</v>
      </c>
      <c r="X630" s="168">
        <f>_xll.qlCalendarAdvance(Calendar,X629,W630,"f",FALSE)</f>
        <v>43333</v>
      </c>
      <c r="Y630" s="173">
        <f>_xll.qlCalendarAdvance(Calendar,X630,NDays&amp;"D")</f>
        <v>43333</v>
      </c>
      <c r="Z630" s="174">
        <v>1.4569813893317018E-3</v>
      </c>
      <c r="AA630" s="177"/>
    </row>
    <row r="631" spans="22:27" x14ac:dyDescent="0.2">
      <c r="V631" s="163"/>
      <c r="W631" s="158" t="str">
        <f t="shared" si="21"/>
        <v>1w</v>
      </c>
      <c r="X631" s="168">
        <f>_xll.qlCalendarAdvance(Calendar,X630,W631,"f",FALSE)</f>
        <v>43340</v>
      </c>
      <c r="Y631" s="173">
        <f>_xll.qlCalendarAdvance(Calendar,X631,NDays&amp;"D")</f>
        <v>43340</v>
      </c>
      <c r="Z631" s="174">
        <v>1.4805140986196008E-3</v>
      </c>
      <c r="AA631" s="177"/>
    </row>
    <row r="632" spans="22:27" x14ac:dyDescent="0.2">
      <c r="V632" s="163"/>
      <c r="W632" s="158" t="str">
        <f t="shared" si="21"/>
        <v>1w</v>
      </c>
      <c r="X632" s="168">
        <f>_xll.qlCalendarAdvance(Calendar,X631,W632,"f",FALSE)</f>
        <v>43347</v>
      </c>
      <c r="Y632" s="173">
        <f>_xll.qlCalendarAdvance(Calendar,X632,NDays&amp;"D")</f>
        <v>43347</v>
      </c>
      <c r="Z632" s="174">
        <v>1.5040694099321961E-3</v>
      </c>
      <c r="AA632" s="177"/>
    </row>
    <row r="633" spans="22:27" x14ac:dyDescent="0.2">
      <c r="V633" s="163"/>
      <c r="W633" s="158" t="str">
        <f t="shared" si="21"/>
        <v>1w</v>
      </c>
      <c r="X633" s="168">
        <f>_xll.qlCalendarAdvance(Calendar,X632,W633,"f",FALSE)</f>
        <v>43354</v>
      </c>
      <c r="Y633" s="173">
        <f>_xll.qlCalendarAdvance(Calendar,X633,NDays&amp;"D")</f>
        <v>43354</v>
      </c>
      <c r="Z633" s="174">
        <v>1.5276473232694876E-3</v>
      </c>
      <c r="AA633" s="177"/>
    </row>
    <row r="634" spans="22:27" x14ac:dyDescent="0.2">
      <c r="V634" s="163"/>
      <c r="W634" s="158" t="str">
        <f t="shared" si="21"/>
        <v>1w</v>
      </c>
      <c r="X634" s="168">
        <f>_xll.qlCalendarAdvance(Calendar,X633,W634,"f",FALSE)</f>
        <v>43361</v>
      </c>
      <c r="Y634" s="173">
        <f>_xll.qlCalendarAdvance(Calendar,X634,NDays&amp;"D")</f>
        <v>43361</v>
      </c>
      <c r="Z634" s="174">
        <v>1.5512478384693829E-3</v>
      </c>
      <c r="AA634" s="177"/>
    </row>
    <row r="635" spans="22:27" x14ac:dyDescent="0.2">
      <c r="V635" s="163"/>
      <c r="W635" s="158" t="str">
        <f t="shared" si="21"/>
        <v>1w</v>
      </c>
      <c r="X635" s="168">
        <f>_xll.qlCalendarAdvance(Calendar,X634,W635,"f",FALSE)</f>
        <v>43368</v>
      </c>
      <c r="Y635" s="173">
        <f>_xll.qlCalendarAdvance(Calendar,X635,NDays&amp;"D")</f>
        <v>43368</v>
      </c>
      <c r="Z635" s="174">
        <v>1.5748709556939744E-3</v>
      </c>
      <c r="AA635" s="177"/>
    </row>
    <row r="636" spans="22:27" x14ac:dyDescent="0.2">
      <c r="V636" s="163"/>
      <c r="W636" s="158" t="str">
        <f t="shared" si="21"/>
        <v>1w</v>
      </c>
      <c r="X636" s="168">
        <f>_xll.qlCalendarAdvance(Calendar,X635,W636,"f",FALSE)</f>
        <v>43375</v>
      </c>
      <c r="Y636" s="173">
        <f>_xll.qlCalendarAdvance(Calendar,X636,NDays&amp;"D")</f>
        <v>43375</v>
      </c>
      <c r="Z636" s="174">
        <v>1.5985166748622159E-3</v>
      </c>
      <c r="AA636" s="177"/>
    </row>
    <row r="637" spans="22:27" x14ac:dyDescent="0.2">
      <c r="V637" s="163"/>
      <c r="W637" s="158" t="str">
        <f t="shared" si="21"/>
        <v>1w</v>
      </c>
      <c r="X637" s="168">
        <f>_xll.qlCalendarAdvance(Calendar,X636,W637,"f",FALSE)</f>
        <v>43382</v>
      </c>
      <c r="Y637" s="173">
        <f>_xll.qlCalendarAdvance(Calendar,X637,NDays&amp;"D")</f>
        <v>43382</v>
      </c>
      <c r="Z637" s="174">
        <v>1.6221849960551538E-3</v>
      </c>
      <c r="AA637" s="177"/>
    </row>
    <row r="638" spans="22:27" x14ac:dyDescent="0.2">
      <c r="V638" s="163"/>
      <c r="W638" s="158" t="str">
        <f t="shared" si="21"/>
        <v>1w</v>
      </c>
      <c r="X638" s="168">
        <f>_xll.qlCalendarAdvance(Calendar,X637,W638,"f",FALSE)</f>
        <v>43389</v>
      </c>
      <c r="Y638" s="173">
        <f>_xll.qlCalendarAdvance(Calendar,X638,NDays&amp;"D")</f>
        <v>43389</v>
      </c>
      <c r="Z638" s="174">
        <v>1.6458759191917416E-3</v>
      </c>
      <c r="AA638" s="177"/>
    </row>
    <row r="639" spans="22:27" x14ac:dyDescent="0.2">
      <c r="V639" s="163"/>
      <c r="W639" s="158" t="str">
        <f t="shared" si="21"/>
        <v>1w</v>
      </c>
      <c r="X639" s="168">
        <f>_xll.qlCalendarAdvance(Calendar,X638,W639,"f",FALSE)</f>
        <v>43396</v>
      </c>
      <c r="Y639" s="173">
        <f>_xll.qlCalendarAdvance(Calendar,X639,NDays&amp;"D")</f>
        <v>43396</v>
      </c>
      <c r="Z639" s="174">
        <v>1.6695894442719794E-3</v>
      </c>
      <c r="AA639" s="177"/>
    </row>
    <row r="640" spans="22:27" x14ac:dyDescent="0.2">
      <c r="V640" s="163"/>
      <c r="W640" s="158" t="str">
        <f t="shared" si="21"/>
        <v>1w</v>
      </c>
      <c r="X640" s="168">
        <f>_xll.qlCalendarAdvance(Calendar,X639,W640,"f",FALSE)</f>
        <v>43403</v>
      </c>
      <c r="Y640" s="173">
        <f>_xll.qlCalendarAdvance(Calendar,X640,NDays&amp;"D")</f>
        <v>43403</v>
      </c>
      <c r="Z640" s="174">
        <v>1.6933255713769135E-3</v>
      </c>
      <c r="AA640" s="177"/>
    </row>
    <row r="641" spans="22:27" x14ac:dyDescent="0.2">
      <c r="V641" s="163"/>
      <c r="W641" s="158" t="str">
        <f t="shared" si="21"/>
        <v>1w</v>
      </c>
      <c r="X641" s="168">
        <f>_xll.qlCalendarAdvance(Calendar,X640,W641,"f",FALSE)</f>
        <v>43410</v>
      </c>
      <c r="Y641" s="173">
        <f>_xll.qlCalendarAdvance(Calendar,X641,NDays&amp;"D")</f>
        <v>43410</v>
      </c>
      <c r="Z641" s="174">
        <v>1.7170843005065439E-3</v>
      </c>
      <c r="AA641" s="177"/>
    </row>
    <row r="642" spans="22:27" x14ac:dyDescent="0.2">
      <c r="V642" s="163"/>
      <c r="W642" s="158" t="str">
        <f t="shared" si="21"/>
        <v>1w</v>
      </c>
      <c r="X642" s="168">
        <f>_xll.qlCalendarAdvance(Calendar,X641,W642,"f",FALSE)</f>
        <v>43417</v>
      </c>
      <c r="Y642" s="173">
        <f>_xll.qlCalendarAdvance(Calendar,X642,NDays&amp;"D")</f>
        <v>43417</v>
      </c>
      <c r="Z642" s="174">
        <v>1.7408656316608706E-3</v>
      </c>
      <c r="AA642" s="177"/>
    </row>
    <row r="643" spans="22:27" x14ac:dyDescent="0.2">
      <c r="V643" s="163"/>
      <c r="W643" s="158" t="str">
        <f t="shared" si="21"/>
        <v>1w</v>
      </c>
      <c r="X643" s="168">
        <f>_xll.qlCalendarAdvance(Calendar,X642,W643,"f",FALSE)</f>
        <v>43424</v>
      </c>
      <c r="Y643" s="173">
        <f>_xll.qlCalendarAdvance(Calendar,X643,NDays&amp;"D")</f>
        <v>43424</v>
      </c>
      <c r="Z643" s="174">
        <v>1.764669564677801E-3</v>
      </c>
      <c r="AA643" s="177"/>
    </row>
    <row r="644" spans="22:27" x14ac:dyDescent="0.2">
      <c r="V644" s="163"/>
      <c r="W644" s="158" t="str">
        <f t="shared" si="21"/>
        <v>1w</v>
      </c>
      <c r="X644" s="168">
        <f>_xll.qlCalendarAdvance(Calendar,X643,W644,"f",FALSE)</f>
        <v>43431</v>
      </c>
      <c r="Y644" s="173">
        <f>_xll.qlCalendarAdvance(Calendar,X644,NDays&amp;"D")</f>
        <v>43431</v>
      </c>
      <c r="Z644" s="174">
        <v>1.7884960998815203E-3</v>
      </c>
      <c r="AA644" s="177"/>
    </row>
    <row r="645" spans="22:27" x14ac:dyDescent="0.2">
      <c r="V645" s="163"/>
      <c r="W645" s="158" t="str">
        <f t="shared" si="21"/>
        <v>1w</v>
      </c>
      <c r="X645" s="168">
        <f>_xll.qlCalendarAdvance(Calendar,X644,W645,"f",FALSE)</f>
        <v>43438</v>
      </c>
      <c r="Y645" s="173">
        <f>_xll.qlCalendarAdvance(Calendar,X645,NDays&amp;"D")</f>
        <v>43438</v>
      </c>
      <c r="Z645" s="174">
        <v>1.8123452370288895E-3</v>
      </c>
      <c r="AA645" s="177"/>
    </row>
    <row r="646" spans="22:27" x14ac:dyDescent="0.2">
      <c r="V646" s="163"/>
      <c r="W646" s="158" t="str">
        <f t="shared" si="21"/>
        <v>1w</v>
      </c>
      <c r="X646" s="168">
        <f>_xll.qlCalendarAdvance(Calendar,X645,W646,"f",FALSE)</f>
        <v>43445</v>
      </c>
      <c r="Y646" s="173">
        <f>_xll.qlCalendarAdvance(Calendar,X646,NDays&amp;"D")</f>
        <v>43445</v>
      </c>
      <c r="Z646" s="174">
        <v>1.8362169761199088E-3</v>
      </c>
      <c r="AA646" s="177"/>
    </row>
    <row r="647" spans="22:27" x14ac:dyDescent="0.2">
      <c r="V647" s="163"/>
      <c r="W647" s="158" t="str">
        <f t="shared" si="21"/>
        <v>1w</v>
      </c>
      <c r="X647" s="168">
        <f>_xll.qlCalendarAdvance(Calendar,X646,W647,"f",FALSE)</f>
        <v>43452</v>
      </c>
      <c r="Y647" s="173">
        <f>_xll.qlCalendarAdvance(Calendar,X647,NDays&amp;"D")</f>
        <v>43452</v>
      </c>
      <c r="Z647" s="174">
        <v>1.8601113172356243E-3</v>
      </c>
      <c r="AA647" s="177"/>
    </row>
    <row r="648" spans="22:27" x14ac:dyDescent="0.2">
      <c r="V648" s="163"/>
      <c r="W648" s="158" t="str">
        <f t="shared" si="21"/>
        <v>1w</v>
      </c>
      <c r="X648" s="168">
        <f>_xll.qlCalendarAdvance(Calendar,X647,W648,"f",FALSE)</f>
        <v>43459</v>
      </c>
      <c r="Y648" s="173">
        <f>_xll.qlCalendarAdvance(Calendar,X648,NDays&amp;"D")</f>
        <v>43459</v>
      </c>
      <c r="Z648" s="174">
        <v>1.8840282604570824E-3</v>
      </c>
      <c r="AA648" s="177"/>
    </row>
    <row r="649" spans="22:27" x14ac:dyDescent="0.2">
      <c r="V649" s="163"/>
      <c r="W649" s="158" t="str">
        <f t="shared" si="21"/>
        <v>1w</v>
      </c>
      <c r="X649" s="168">
        <f>_xll.qlCalendarAdvance(Calendar,X648,W649,"f",FALSE)</f>
        <v>43469</v>
      </c>
      <c r="Y649" s="173">
        <f>_xll.qlCalendarAdvance(Calendar,X649,NDays&amp;"D")</f>
        <v>43469</v>
      </c>
      <c r="Z649" s="174">
        <v>1.9216679645628345E-3</v>
      </c>
      <c r="AA649" s="177"/>
    </row>
    <row r="650" spans="22:27" x14ac:dyDescent="0.2">
      <c r="V650" s="163"/>
      <c r="W650" s="158" t="str">
        <f t="shared" si="21"/>
        <v>1w</v>
      </c>
      <c r="X650" s="168">
        <f>_xll.qlCalendarAdvance(Calendar,X649,W650,"f",FALSE)</f>
        <v>43476</v>
      </c>
      <c r="Y650" s="173">
        <f>_xll.qlCalendarAdvance(Calendar,X650,NDays&amp;"D")</f>
        <v>43476</v>
      </c>
      <c r="Z650" s="174">
        <v>1.9473619982166013E-3</v>
      </c>
      <c r="AA650" s="177"/>
    </row>
    <row r="651" spans="22:27" x14ac:dyDescent="0.2">
      <c r="V651" s="163"/>
      <c r="W651" s="158" t="str">
        <f t="shared" si="21"/>
        <v>1w</v>
      </c>
      <c r="X651" s="168">
        <f>_xll.qlCalendarAdvance(Calendar,X650,W651,"f",FALSE)</f>
        <v>43483</v>
      </c>
      <c r="Y651" s="173">
        <f>_xll.qlCalendarAdvance(Calendar,X651,NDays&amp;"D")</f>
        <v>43483</v>
      </c>
      <c r="Z651" s="174">
        <v>1.969641203439787E-3</v>
      </c>
      <c r="AA651" s="177"/>
    </row>
    <row r="652" spans="22:27" x14ac:dyDescent="0.2">
      <c r="V652" s="163"/>
      <c r="W652" s="158" t="str">
        <f t="shared" si="21"/>
        <v>1w</v>
      </c>
      <c r="X652" s="168">
        <f>_xll.qlCalendarAdvance(Calendar,X651,W652,"f",FALSE)</f>
        <v>43490</v>
      </c>
      <c r="Y652" s="173">
        <f>_xll.qlCalendarAdvance(Calendar,X652,NDays&amp;"D")</f>
        <v>43490</v>
      </c>
      <c r="Z652" s="174">
        <v>1.9936617310482392E-3</v>
      </c>
      <c r="AA652" s="177"/>
    </row>
    <row r="653" spans="22:27" x14ac:dyDescent="0.2">
      <c r="V653" s="163"/>
      <c r="W653" s="158" t="str">
        <f t="shared" ref="W653:W716" si="22">W652</f>
        <v>1w</v>
      </c>
      <c r="X653" s="168">
        <f>_xll.qlCalendarAdvance(Calendar,X652,W653,"f",FALSE)</f>
        <v>43497</v>
      </c>
      <c r="Y653" s="173">
        <f>_xll.qlCalendarAdvance(Calendar,X653,NDays&amp;"D")</f>
        <v>43497</v>
      </c>
      <c r="Z653" s="174">
        <v>2.0177048641123463E-3</v>
      </c>
      <c r="AA653" s="177"/>
    </row>
    <row r="654" spans="22:27" x14ac:dyDescent="0.2">
      <c r="V654" s="163"/>
      <c r="W654" s="158" t="str">
        <f t="shared" si="22"/>
        <v>1w</v>
      </c>
      <c r="X654" s="168">
        <f>_xll.qlCalendarAdvance(Calendar,X653,W654,"f",FALSE)</f>
        <v>43504</v>
      </c>
      <c r="Y654" s="173">
        <f>_xll.qlCalendarAdvance(Calendar,X654,NDays&amp;"D")</f>
        <v>43504</v>
      </c>
      <c r="Z654" s="174">
        <v>2.0434963038262755E-3</v>
      </c>
      <c r="AA654" s="177"/>
    </row>
    <row r="655" spans="22:27" x14ac:dyDescent="0.2">
      <c r="V655" s="163"/>
      <c r="W655" s="158" t="str">
        <f t="shared" si="22"/>
        <v>1w</v>
      </c>
      <c r="X655" s="168">
        <f>_xll.qlCalendarAdvance(Calendar,X654,W655,"f",FALSE)</f>
        <v>43511</v>
      </c>
      <c r="Y655" s="173">
        <f>_xll.qlCalendarAdvance(Calendar,X655,NDays&amp;"D")</f>
        <v>43511</v>
      </c>
      <c r="Z655" s="174">
        <v>2.0658589466615584E-3</v>
      </c>
      <c r="AA655" s="177"/>
    </row>
    <row r="656" spans="22:27" x14ac:dyDescent="0.2">
      <c r="V656" s="163"/>
      <c r="W656" s="158" t="str">
        <f t="shared" si="22"/>
        <v>1w</v>
      </c>
      <c r="X656" s="168">
        <f>_xll.qlCalendarAdvance(Calendar,X655,W656,"f",FALSE)</f>
        <v>43518</v>
      </c>
      <c r="Y656" s="173">
        <f>_xll.qlCalendarAdvance(Calendar,X656,NDays&amp;"D")</f>
        <v>43518</v>
      </c>
      <c r="Z656" s="174">
        <v>2.0899698962006941E-3</v>
      </c>
      <c r="AA656" s="177"/>
    </row>
    <row r="657" spans="22:27" x14ac:dyDescent="0.2">
      <c r="V657" s="163"/>
      <c r="W657" s="158" t="str">
        <f t="shared" si="22"/>
        <v>1w</v>
      </c>
      <c r="X657" s="168">
        <f>_xll.qlCalendarAdvance(Calendar,X656,W657,"f",FALSE)</f>
        <v>43525</v>
      </c>
      <c r="Y657" s="173">
        <f>_xll.qlCalendarAdvance(Calendar,X657,NDays&amp;"D")</f>
        <v>43525</v>
      </c>
      <c r="Z657" s="174">
        <v>2.1141034512225008E-3</v>
      </c>
      <c r="AA657" s="177"/>
    </row>
    <row r="658" spans="22:27" x14ac:dyDescent="0.2">
      <c r="V658" s="163"/>
      <c r="W658" s="158" t="str">
        <f t="shared" si="22"/>
        <v>1w</v>
      </c>
      <c r="X658" s="168">
        <f>_xll.qlCalendarAdvance(Calendar,X657,W658,"f",FALSE)</f>
        <v>43532</v>
      </c>
      <c r="Y658" s="173">
        <f>_xll.qlCalendarAdvance(Calendar,X658,NDays&amp;"D")</f>
        <v>43532</v>
      </c>
      <c r="Z658" s="174">
        <v>2.1382596118080244E-3</v>
      </c>
      <c r="AA658" s="177"/>
    </row>
    <row r="659" spans="22:27" x14ac:dyDescent="0.2">
      <c r="V659" s="163"/>
      <c r="W659" s="158" t="str">
        <f t="shared" si="22"/>
        <v>1w</v>
      </c>
      <c r="X659" s="168">
        <f>_xll.qlCalendarAdvance(Calendar,X658,W659,"f",FALSE)</f>
        <v>43539</v>
      </c>
      <c r="Y659" s="173">
        <f>_xll.qlCalendarAdvance(Calendar,X659,NDays&amp;"D")</f>
        <v>43539</v>
      </c>
      <c r="Z659" s="174">
        <v>2.1624383779032348E-3</v>
      </c>
      <c r="AA659" s="177"/>
    </row>
    <row r="660" spans="22:27" x14ac:dyDescent="0.2">
      <c r="V660" s="163"/>
      <c r="W660" s="158" t="str">
        <f t="shared" si="22"/>
        <v>1w</v>
      </c>
      <c r="X660" s="168">
        <f>_xll.qlCalendarAdvance(Calendar,X659,W660,"f",FALSE)</f>
        <v>43546</v>
      </c>
      <c r="Y660" s="173">
        <f>_xll.qlCalendarAdvance(Calendar,X660,NDays&amp;"D")</f>
        <v>43546</v>
      </c>
      <c r="Z660" s="174">
        <v>2.1866397495621621E-3</v>
      </c>
      <c r="AA660" s="177"/>
    </row>
    <row r="661" spans="22:27" x14ac:dyDescent="0.2">
      <c r="V661" s="163"/>
      <c r="W661" s="158" t="str">
        <f t="shared" si="22"/>
        <v>1w</v>
      </c>
      <c r="X661" s="168">
        <f>_xll.qlCalendarAdvance(Calendar,X660,W661,"f",FALSE)</f>
        <v>43553</v>
      </c>
      <c r="Y661" s="173">
        <f>_xll.qlCalendarAdvance(Calendar,X661,NDays&amp;"D")</f>
        <v>43553</v>
      </c>
      <c r="Z661" s="174">
        <v>2.2108637267848064E-3</v>
      </c>
      <c r="AA661" s="177"/>
    </row>
    <row r="662" spans="22:27" x14ac:dyDescent="0.2">
      <c r="V662" s="163"/>
      <c r="W662" s="158" t="str">
        <f t="shared" si="22"/>
        <v>1w</v>
      </c>
      <c r="X662" s="168">
        <f>_xll.qlCalendarAdvance(Calendar,X661,W662,"f",FALSE)</f>
        <v>43560</v>
      </c>
      <c r="Y662" s="173">
        <f>_xll.qlCalendarAdvance(Calendar,X662,NDays&amp;"D")</f>
        <v>43560</v>
      </c>
      <c r="Z662" s="174">
        <v>2.2351103096251994E-3</v>
      </c>
      <c r="AA662" s="177"/>
    </row>
    <row r="663" spans="22:27" x14ac:dyDescent="0.2">
      <c r="V663" s="163"/>
      <c r="W663" s="158" t="str">
        <f t="shared" si="22"/>
        <v>1w</v>
      </c>
      <c r="X663" s="168">
        <f>_xll.qlCalendarAdvance(Calendar,X662,W663,"f",FALSE)</f>
        <v>43567</v>
      </c>
      <c r="Y663" s="173">
        <f>_xll.qlCalendarAdvance(Calendar,X663,NDays&amp;"D")</f>
        <v>43567</v>
      </c>
      <c r="Z663" s="174">
        <v>2.2593794980293089E-3</v>
      </c>
      <c r="AA663" s="177"/>
    </row>
    <row r="664" spans="22:27" x14ac:dyDescent="0.2">
      <c r="V664" s="163"/>
      <c r="W664" s="158" t="str">
        <f t="shared" si="22"/>
        <v>1w</v>
      </c>
      <c r="X664" s="168">
        <f>_xll.qlCalendarAdvance(Calendar,X663,W664,"f",FALSE)</f>
        <v>43574</v>
      </c>
      <c r="Y664" s="173">
        <f>_xll.qlCalendarAdvance(Calendar,X664,NDays&amp;"D")</f>
        <v>43574</v>
      </c>
      <c r="Z664" s="174">
        <v>2.2836712920241515E-3</v>
      </c>
      <c r="AA664" s="177"/>
    </row>
    <row r="665" spans="22:27" x14ac:dyDescent="0.2">
      <c r="V665" s="163"/>
      <c r="W665" s="158" t="str">
        <f t="shared" si="22"/>
        <v>1w</v>
      </c>
      <c r="X665" s="168">
        <f>_xll.qlCalendarAdvance(Calendar,X664,W665,"f",FALSE)</f>
        <v>43581</v>
      </c>
      <c r="Y665" s="173">
        <f>_xll.qlCalendarAdvance(Calendar,X665,NDays&amp;"D")</f>
        <v>43581</v>
      </c>
      <c r="Z665" s="174">
        <v>2.3097307419955859E-3</v>
      </c>
      <c r="AA665" s="177"/>
    </row>
    <row r="666" spans="22:27" x14ac:dyDescent="0.2">
      <c r="V666" s="163"/>
      <c r="W666" s="158" t="str">
        <f t="shared" si="22"/>
        <v>1w</v>
      </c>
      <c r="X666" s="168">
        <f>_xll.qlCalendarAdvance(Calendar,X665,W666,"f",FALSE)</f>
        <v>43592</v>
      </c>
      <c r="Y666" s="173">
        <f>_xll.qlCalendarAdvance(Calendar,X666,NDays&amp;"D")</f>
        <v>43592</v>
      </c>
      <c r="Z666" s="174">
        <v>2.342744571544042E-3</v>
      </c>
      <c r="AA666" s="177"/>
    </row>
    <row r="667" spans="22:27" x14ac:dyDescent="0.2">
      <c r="V667" s="163"/>
      <c r="W667" s="158" t="str">
        <f t="shared" si="22"/>
        <v>1w</v>
      </c>
      <c r="X667" s="168">
        <f>_xll.qlCalendarAdvance(Calendar,X666,W667,"f",FALSE)</f>
        <v>43599</v>
      </c>
      <c r="Y667" s="173">
        <f>_xll.qlCalendarAdvance(Calendar,X667,NDays&amp;"D")</f>
        <v>43599</v>
      </c>
      <c r="Z667" s="174">
        <v>2.3671135561509349E-3</v>
      </c>
      <c r="AA667" s="177"/>
    </row>
    <row r="668" spans="22:27" x14ac:dyDescent="0.2">
      <c r="V668" s="163"/>
      <c r="W668" s="158" t="str">
        <f t="shared" si="22"/>
        <v>1w</v>
      </c>
      <c r="X668" s="168">
        <f>_xll.qlCalendarAdvance(Calendar,X667,W668,"f",FALSE)</f>
        <v>43606</v>
      </c>
      <c r="Y668" s="173">
        <f>_xll.qlCalendarAdvance(Calendar,X668,NDays&amp;"D")</f>
        <v>43606</v>
      </c>
      <c r="Z668" s="174">
        <v>2.3915051428635703E-3</v>
      </c>
      <c r="AA668" s="177"/>
    </row>
    <row r="669" spans="22:27" x14ac:dyDescent="0.2">
      <c r="V669" s="163"/>
      <c r="W669" s="158" t="str">
        <f t="shared" si="22"/>
        <v>1w</v>
      </c>
      <c r="X669" s="168">
        <f>_xll.qlCalendarAdvance(Calendar,X668,W669,"f",FALSE)</f>
        <v>43613</v>
      </c>
      <c r="Y669" s="173">
        <f>_xll.qlCalendarAdvance(Calendar,X669,NDays&amp;"D")</f>
        <v>43613</v>
      </c>
      <c r="Z669" s="174">
        <v>2.4159193317629946E-3</v>
      </c>
      <c r="AA669" s="177"/>
    </row>
    <row r="670" spans="22:27" x14ac:dyDescent="0.2">
      <c r="V670" s="163"/>
      <c r="W670" s="158" t="str">
        <f t="shared" si="22"/>
        <v>1w</v>
      </c>
      <c r="X670" s="168">
        <f>_xll.qlCalendarAdvance(Calendar,X669,W670,"f",FALSE)</f>
        <v>43620</v>
      </c>
      <c r="Y670" s="173">
        <f>_xll.qlCalendarAdvance(Calendar,X670,NDays&amp;"D")</f>
        <v>43620</v>
      </c>
      <c r="Z670" s="174">
        <v>2.4403561226871151E-3</v>
      </c>
      <c r="AA670" s="177"/>
    </row>
    <row r="671" spans="22:27" x14ac:dyDescent="0.2">
      <c r="V671" s="163"/>
      <c r="W671" s="158" t="str">
        <f t="shared" si="22"/>
        <v>1w</v>
      </c>
      <c r="X671" s="168">
        <f>_xll.qlCalendarAdvance(Calendar,X670,W671,"f",FALSE)</f>
        <v>43627</v>
      </c>
      <c r="Y671" s="173">
        <f>_xll.qlCalendarAdvance(Calendar,X671,NDays&amp;"D")</f>
        <v>43627</v>
      </c>
      <c r="Z671" s="174">
        <v>2.4648155158790708E-3</v>
      </c>
      <c r="AA671" s="177"/>
    </row>
    <row r="672" spans="22:27" x14ac:dyDescent="0.2">
      <c r="V672" s="163"/>
      <c r="W672" s="158" t="str">
        <f t="shared" si="22"/>
        <v>1w</v>
      </c>
      <c r="X672" s="168">
        <f>_xll.qlCalendarAdvance(Calendar,X671,W672,"f",FALSE)</f>
        <v>43634</v>
      </c>
      <c r="Y672" s="173">
        <f>_xll.qlCalendarAdvance(Calendar,X672,NDays&amp;"D")</f>
        <v>43634</v>
      </c>
      <c r="Z672" s="174">
        <v>2.4892975110957227E-3</v>
      </c>
      <c r="AA672" s="177"/>
    </row>
    <row r="673" spans="22:27" x14ac:dyDescent="0.2">
      <c r="V673" s="163"/>
      <c r="W673" s="158" t="str">
        <f t="shared" si="22"/>
        <v>1w</v>
      </c>
      <c r="X673" s="168">
        <f>_xll.qlCalendarAdvance(Calendar,X672,W673,"f",FALSE)</f>
        <v>43641</v>
      </c>
      <c r="Y673" s="173">
        <f>_xll.qlCalendarAdvance(Calendar,X673,NDays&amp;"D")</f>
        <v>43641</v>
      </c>
      <c r="Z673" s="174">
        <v>2.5138021084181172E-3</v>
      </c>
      <c r="AA673" s="177"/>
    </row>
    <row r="674" spans="22:27" x14ac:dyDescent="0.2">
      <c r="V674" s="163"/>
      <c r="W674" s="158" t="str">
        <f t="shared" si="22"/>
        <v>1w</v>
      </c>
      <c r="X674" s="168">
        <f>_xll.qlCalendarAdvance(Calendar,X673,W674,"f",FALSE)</f>
        <v>43648</v>
      </c>
      <c r="Y674" s="173">
        <f>_xll.qlCalendarAdvance(Calendar,X674,NDays&amp;"D")</f>
        <v>43648</v>
      </c>
      <c r="Z674" s="174">
        <v>2.5383293080083469E-3</v>
      </c>
      <c r="AA674" s="177"/>
    </row>
    <row r="675" spans="22:27" x14ac:dyDescent="0.2">
      <c r="V675" s="163"/>
      <c r="W675" s="158" t="str">
        <f t="shared" si="22"/>
        <v>1w</v>
      </c>
      <c r="X675" s="168">
        <f>_xll.qlCalendarAdvance(Calendar,X674,W675,"f",FALSE)</f>
        <v>43655</v>
      </c>
      <c r="Y675" s="173">
        <f>_xll.qlCalendarAdvance(Calendar,X675,NDays&amp;"D")</f>
        <v>43655</v>
      </c>
      <c r="Z675" s="174">
        <v>2.5628791097043191E-3</v>
      </c>
      <c r="AA675" s="177"/>
    </row>
    <row r="676" spans="22:27" x14ac:dyDescent="0.2">
      <c r="V676" s="163"/>
      <c r="W676" s="158" t="str">
        <f t="shared" si="22"/>
        <v>1w</v>
      </c>
      <c r="X676" s="168">
        <f>_xll.qlCalendarAdvance(Calendar,X675,W676,"f",FALSE)</f>
        <v>43662</v>
      </c>
      <c r="Y676" s="173">
        <f>_xll.qlCalendarAdvance(Calendar,X676,NDays&amp;"D")</f>
        <v>43662</v>
      </c>
      <c r="Z676" s="174">
        <v>2.5874536348113875E-3</v>
      </c>
      <c r="AA676" s="177"/>
    </row>
    <row r="677" spans="22:27" x14ac:dyDescent="0.2">
      <c r="V677" s="163"/>
      <c r="W677" s="158" t="str">
        <f t="shared" si="22"/>
        <v>1w</v>
      </c>
      <c r="X677" s="168">
        <f>_xll.qlCalendarAdvance(Calendar,X676,W677,"f",FALSE)</f>
        <v>43669</v>
      </c>
      <c r="Y677" s="173">
        <f>_xll.qlCalendarAdvance(Calendar,X677,NDays&amp;"D")</f>
        <v>43669</v>
      </c>
      <c r="Z677" s="174">
        <v>2.6124050063214277E-3</v>
      </c>
      <c r="AA677" s="177"/>
    </row>
    <row r="678" spans="22:27" x14ac:dyDescent="0.2">
      <c r="V678" s="163"/>
      <c r="W678" s="158" t="str">
        <f t="shared" si="22"/>
        <v>1w</v>
      </c>
      <c r="X678" s="168">
        <f>_xll.qlCalendarAdvance(Calendar,X677,W678,"f",FALSE)</f>
        <v>43676</v>
      </c>
      <c r="Y678" s="173">
        <f>_xll.qlCalendarAdvance(Calendar,X678,NDays&amp;"D")</f>
        <v>43676</v>
      </c>
      <c r="Z678" s="174">
        <v>2.6380026198835616E-3</v>
      </c>
      <c r="AA678" s="177"/>
    </row>
    <row r="679" spans="22:27" x14ac:dyDescent="0.2">
      <c r="V679" s="163"/>
      <c r="W679" s="158" t="str">
        <f t="shared" si="22"/>
        <v>1w</v>
      </c>
      <c r="X679" s="168">
        <f>_xll.qlCalendarAdvance(Calendar,X678,W679,"f",FALSE)</f>
        <v>43683</v>
      </c>
      <c r="Y679" s="173">
        <f>_xll.qlCalendarAdvance(Calendar,X679,NDays&amp;"D")</f>
        <v>43683</v>
      </c>
      <c r="Z679" s="174">
        <v>2.664246475497789E-3</v>
      </c>
      <c r="AA679" s="177"/>
    </row>
    <row r="680" spans="22:27" x14ac:dyDescent="0.2">
      <c r="V680" s="163"/>
      <c r="W680" s="158" t="str">
        <f t="shared" si="22"/>
        <v>1w</v>
      </c>
      <c r="X680" s="168">
        <f>_xll.qlCalendarAdvance(Calendar,X679,W680,"f",FALSE)</f>
        <v>43690</v>
      </c>
      <c r="Y680" s="173">
        <f>_xll.qlCalendarAdvance(Calendar,X680,NDays&amp;"D")</f>
        <v>43690</v>
      </c>
      <c r="Z680" s="174">
        <v>2.691136573407249E-3</v>
      </c>
      <c r="AA680" s="177"/>
    </row>
    <row r="681" spans="22:27" x14ac:dyDescent="0.2">
      <c r="V681" s="163"/>
      <c r="W681" s="158" t="str">
        <f t="shared" si="22"/>
        <v>1w</v>
      </c>
      <c r="X681" s="168">
        <f>_xll.qlCalendarAdvance(Calendar,X680,W681,"f",FALSE)</f>
        <v>43697</v>
      </c>
      <c r="Y681" s="173">
        <f>_xll.qlCalendarAdvance(Calendar,X681,NDays&amp;"D")</f>
        <v>43697</v>
      </c>
      <c r="Z681" s="174">
        <v>2.7186729136929877E-3</v>
      </c>
      <c r="AA681" s="177"/>
    </row>
    <row r="682" spans="22:27" x14ac:dyDescent="0.2">
      <c r="V682" s="163"/>
      <c r="W682" s="158" t="str">
        <f t="shared" si="22"/>
        <v>1w</v>
      </c>
      <c r="X682" s="168">
        <f>_xll.qlCalendarAdvance(Calendar,X681,W682,"f",FALSE)</f>
        <v>43704</v>
      </c>
      <c r="Y682" s="173">
        <f>_xll.qlCalendarAdvance(Calendar,X682,NDays&amp;"D")</f>
        <v>43704</v>
      </c>
      <c r="Z682" s="174">
        <v>2.7468554965170977E-3</v>
      </c>
      <c r="AA682" s="177"/>
    </row>
    <row r="683" spans="22:27" x14ac:dyDescent="0.2">
      <c r="V683" s="163"/>
      <c r="W683" s="158" t="str">
        <f t="shared" si="22"/>
        <v>1w</v>
      </c>
      <c r="X683" s="168">
        <f>_xll.qlCalendarAdvance(Calendar,X682,W683,"f",FALSE)</f>
        <v>43711</v>
      </c>
      <c r="Y683" s="173">
        <f>_xll.qlCalendarAdvance(Calendar,X683,NDays&amp;"D")</f>
        <v>43711</v>
      </c>
      <c r="Z683" s="174">
        <v>2.7756843221227179E-3</v>
      </c>
      <c r="AA683" s="177"/>
    </row>
    <row r="684" spans="22:27" x14ac:dyDescent="0.2">
      <c r="V684" s="163"/>
      <c r="W684" s="158" t="str">
        <f t="shared" si="22"/>
        <v>1w</v>
      </c>
      <c r="X684" s="168">
        <f>_xll.qlCalendarAdvance(Calendar,X683,W684,"f",FALSE)</f>
        <v>43718</v>
      </c>
      <c r="Y684" s="173">
        <f>_xll.qlCalendarAdvance(Calendar,X684,NDays&amp;"D")</f>
        <v>43718</v>
      </c>
      <c r="Z684" s="174">
        <v>2.8051593904288019E-3</v>
      </c>
      <c r="AA684" s="177"/>
    </row>
    <row r="685" spans="22:27" x14ac:dyDescent="0.2">
      <c r="V685" s="163"/>
      <c r="W685" s="158" t="str">
        <f t="shared" si="22"/>
        <v>1w</v>
      </c>
      <c r="X685" s="168">
        <f>_xll.qlCalendarAdvance(Calendar,X684,W685,"f",FALSE)</f>
        <v>43725</v>
      </c>
      <c r="Y685" s="173">
        <f>_xll.qlCalendarAdvance(Calendar,X685,NDays&amp;"D")</f>
        <v>43725</v>
      </c>
      <c r="Z685" s="174">
        <v>2.8352807018405812E-3</v>
      </c>
      <c r="AA685" s="177"/>
    </row>
    <row r="686" spans="22:27" x14ac:dyDescent="0.2">
      <c r="V686" s="163"/>
      <c r="W686" s="158" t="str">
        <f t="shared" si="22"/>
        <v>1w</v>
      </c>
      <c r="X686" s="168">
        <f>_xll.qlCalendarAdvance(Calendar,X685,W686,"f",FALSE)</f>
        <v>43732</v>
      </c>
      <c r="Y686" s="173">
        <f>_xll.qlCalendarAdvance(Calendar,X686,NDays&amp;"D")</f>
        <v>43732</v>
      </c>
      <c r="Z686" s="174">
        <v>2.8660482563580558E-3</v>
      </c>
      <c r="AA686" s="177"/>
    </row>
    <row r="687" spans="22:27" x14ac:dyDescent="0.2">
      <c r="V687" s="163"/>
      <c r="W687" s="158" t="str">
        <f t="shared" si="22"/>
        <v>1w</v>
      </c>
      <c r="X687" s="168">
        <f>_xll.qlCalendarAdvance(Calendar,X686,W687,"f",FALSE)</f>
        <v>43739</v>
      </c>
      <c r="Y687" s="173">
        <f>_xll.qlCalendarAdvance(Calendar,X687,NDays&amp;"D")</f>
        <v>43739</v>
      </c>
      <c r="Z687" s="174">
        <v>2.8974620542243645E-3</v>
      </c>
      <c r="AA687" s="177"/>
    </row>
    <row r="688" spans="22:27" x14ac:dyDescent="0.2">
      <c r="V688" s="163"/>
      <c r="W688" s="158" t="str">
        <f t="shared" si="22"/>
        <v>1w</v>
      </c>
      <c r="X688" s="168">
        <f>_xll.qlCalendarAdvance(Calendar,X687,W688,"f",FALSE)</f>
        <v>43746</v>
      </c>
      <c r="Y688" s="173">
        <f>_xll.qlCalendarAdvance(Calendar,X688,NDays&amp;"D")</f>
        <v>43746</v>
      </c>
      <c r="Z688" s="174">
        <v>2.9295220956015999E-3</v>
      </c>
      <c r="AA688" s="177"/>
    </row>
    <row r="689" spans="22:27" x14ac:dyDescent="0.2">
      <c r="V689" s="163"/>
      <c r="W689" s="158" t="str">
        <f t="shared" si="22"/>
        <v>1w</v>
      </c>
      <c r="X689" s="168">
        <f>_xll.qlCalendarAdvance(Calendar,X688,W689,"f",FALSE)</f>
        <v>43753</v>
      </c>
      <c r="Y689" s="173">
        <f>_xll.qlCalendarAdvance(Calendar,X689,NDays&amp;"D")</f>
        <v>43753</v>
      </c>
      <c r="Z689" s="174">
        <v>2.9622283805708083E-3</v>
      </c>
      <c r="AA689" s="177"/>
    </row>
    <row r="690" spans="22:27" x14ac:dyDescent="0.2">
      <c r="V690" s="163"/>
      <c r="W690" s="158" t="str">
        <f t="shared" si="22"/>
        <v>1w</v>
      </c>
      <c r="X690" s="168">
        <f>_xll.qlCalendarAdvance(Calendar,X689,W690,"f",FALSE)</f>
        <v>43760</v>
      </c>
      <c r="Y690" s="173">
        <f>_xll.qlCalendarAdvance(Calendar,X690,NDays&amp;"D")</f>
        <v>43760</v>
      </c>
      <c r="Z690" s="174">
        <v>2.9955809094561747E-3</v>
      </c>
      <c r="AA690" s="177"/>
    </row>
    <row r="691" spans="22:27" x14ac:dyDescent="0.2">
      <c r="V691" s="163"/>
      <c r="W691" s="158" t="str">
        <f t="shared" si="22"/>
        <v>1w</v>
      </c>
      <c r="X691" s="168">
        <f>_xll.qlCalendarAdvance(Calendar,X690,W691,"f",FALSE)</f>
        <v>43767</v>
      </c>
      <c r="Y691" s="173">
        <f>_xll.qlCalendarAdvance(Calendar,X691,NDays&amp;"D")</f>
        <v>43767</v>
      </c>
      <c r="Z691" s="174">
        <v>3.0295796823387455E-3</v>
      </c>
      <c r="AA691" s="177"/>
    </row>
    <row r="692" spans="22:27" x14ac:dyDescent="0.2">
      <c r="V692" s="163"/>
      <c r="W692" s="158" t="str">
        <f t="shared" si="22"/>
        <v>1w</v>
      </c>
      <c r="X692" s="168">
        <f>_xll.qlCalendarAdvance(Calendar,X691,W692,"f",FALSE)</f>
        <v>43774</v>
      </c>
      <c r="Y692" s="173">
        <f>_xll.qlCalendarAdvance(Calendar,X692,NDays&amp;"D")</f>
        <v>43774</v>
      </c>
      <c r="Z692" s="174">
        <v>3.0642246993806133E-3</v>
      </c>
      <c r="AA692" s="177"/>
    </row>
    <row r="693" spans="22:27" x14ac:dyDescent="0.2">
      <c r="V693" s="163"/>
      <c r="W693" s="158" t="str">
        <f t="shared" si="22"/>
        <v>1w</v>
      </c>
      <c r="X693" s="168">
        <f>_xll.qlCalendarAdvance(Calendar,X692,W693,"f",FALSE)</f>
        <v>43781</v>
      </c>
      <c r="Y693" s="173">
        <f>_xll.qlCalendarAdvance(Calendar,X693,NDays&amp;"D")</f>
        <v>43781</v>
      </c>
      <c r="Z693" s="174">
        <v>3.0995159607438705E-3</v>
      </c>
      <c r="AA693" s="177"/>
    </row>
    <row r="694" spans="22:27" x14ac:dyDescent="0.2">
      <c r="V694" s="163"/>
      <c r="W694" s="158" t="str">
        <f t="shared" si="22"/>
        <v>1w</v>
      </c>
      <c r="X694" s="168">
        <f>_xll.qlCalendarAdvance(Calendar,X693,W694,"f",FALSE)</f>
        <v>43788</v>
      </c>
      <c r="Y694" s="173">
        <f>_xll.qlCalendarAdvance(Calendar,X694,NDays&amp;"D")</f>
        <v>43788</v>
      </c>
      <c r="Z694" s="174">
        <v>3.1354534667527023E-3</v>
      </c>
      <c r="AA694" s="177"/>
    </row>
    <row r="695" spans="22:27" x14ac:dyDescent="0.2">
      <c r="V695" s="163"/>
      <c r="W695" s="158" t="str">
        <f t="shared" si="22"/>
        <v>1w</v>
      </c>
      <c r="X695" s="168">
        <f>_xll.qlCalendarAdvance(Calendar,X694,W695,"f",FALSE)</f>
        <v>43795</v>
      </c>
      <c r="Y695" s="173">
        <f>_xll.qlCalendarAdvance(Calendar,X695,NDays&amp;"D")</f>
        <v>43795</v>
      </c>
      <c r="Z695" s="174">
        <v>3.172037217488155E-3</v>
      </c>
      <c r="AA695" s="177"/>
    </row>
    <row r="696" spans="22:27" x14ac:dyDescent="0.2">
      <c r="V696" s="163"/>
      <c r="W696" s="158" t="str">
        <f t="shared" si="22"/>
        <v>1w</v>
      </c>
      <c r="X696" s="168">
        <f>_xll.qlCalendarAdvance(Calendar,X695,W696,"f",FALSE)</f>
        <v>43802</v>
      </c>
      <c r="Y696" s="173">
        <f>_xll.qlCalendarAdvance(Calendar,X696,NDays&amp;"D")</f>
        <v>43802</v>
      </c>
      <c r="Z696" s="174">
        <v>3.2092672131933675E-3</v>
      </c>
      <c r="AA696" s="177"/>
    </row>
    <row r="697" spans="22:27" x14ac:dyDescent="0.2">
      <c r="V697" s="163"/>
      <c r="W697" s="158" t="str">
        <f t="shared" si="22"/>
        <v>1w</v>
      </c>
      <c r="X697" s="168">
        <f>_xll.qlCalendarAdvance(Calendar,X696,W697,"f",FALSE)</f>
        <v>43809</v>
      </c>
      <c r="Y697" s="173">
        <f>_xll.qlCalendarAdvance(Calendar,X697,NDays&amp;"D")</f>
        <v>43809</v>
      </c>
      <c r="Z697" s="174">
        <v>3.2471434540304323E-3</v>
      </c>
      <c r="AA697" s="177"/>
    </row>
    <row r="698" spans="22:27" x14ac:dyDescent="0.2">
      <c r="V698" s="163"/>
      <c r="W698" s="158" t="str">
        <f t="shared" si="22"/>
        <v>1w</v>
      </c>
      <c r="X698" s="168">
        <f>_xll.qlCalendarAdvance(Calendar,X697,W698,"f",FALSE)</f>
        <v>43816</v>
      </c>
      <c r="Y698" s="173">
        <f>_xll.qlCalendarAdvance(Calendar,X698,NDays&amp;"D")</f>
        <v>43816</v>
      </c>
      <c r="Z698" s="174">
        <v>3.2856659402424881E-3</v>
      </c>
      <c r="AA698" s="177"/>
    </row>
    <row r="699" spans="22:27" x14ac:dyDescent="0.2">
      <c r="V699" s="163"/>
      <c r="W699" s="158" t="str">
        <f t="shared" si="22"/>
        <v>1w</v>
      </c>
      <c r="X699" s="168">
        <f>_xll.qlCalendarAdvance(Calendar,X698,W699,"f",FALSE)</f>
        <v>43823</v>
      </c>
      <c r="Y699" s="173">
        <f>_xll.qlCalendarAdvance(Calendar,X699,NDays&amp;"D")</f>
        <v>43823</v>
      </c>
      <c r="Z699" s="174">
        <v>3.3248346719916277E-3</v>
      </c>
      <c r="AA699" s="177"/>
    </row>
    <row r="700" spans="22:27" x14ac:dyDescent="0.2">
      <c r="V700" s="163"/>
      <c r="W700" s="158" t="str">
        <f t="shared" si="22"/>
        <v>1w</v>
      </c>
      <c r="X700" s="168">
        <f>_xll.qlCalendarAdvance(Calendar,X699,W700,"f",FALSE)</f>
        <v>43836</v>
      </c>
      <c r="Y700" s="173">
        <f>_xll.qlCalendarAdvance(Calendar,X700,NDays&amp;"D")</f>
        <v>43836</v>
      </c>
      <c r="Z700" s="174">
        <v>3.399291132134552E-3</v>
      </c>
      <c r="AA700" s="177"/>
    </row>
    <row r="701" spans="22:27" x14ac:dyDescent="0.2">
      <c r="V701" s="163"/>
      <c r="W701" s="158" t="str">
        <f t="shared" si="22"/>
        <v>1w</v>
      </c>
      <c r="X701" s="168">
        <f>_xll.qlCalendarAdvance(Calendar,X700,W701,"f",FALSE)</f>
        <v>43844</v>
      </c>
      <c r="Y701" s="173">
        <f>_xll.qlCalendarAdvance(Calendar,X701,NDays&amp;"D")</f>
        <v>43844</v>
      </c>
      <c r="Z701" s="174">
        <v>3.4462183426497983E-3</v>
      </c>
      <c r="AA701" s="177"/>
    </row>
    <row r="702" spans="22:27" x14ac:dyDescent="0.2">
      <c r="V702" s="163"/>
      <c r="W702" s="158" t="str">
        <f t="shared" si="22"/>
        <v>1w</v>
      </c>
      <c r="X702" s="168">
        <f>_xll.qlCalendarAdvance(Calendar,X701,W702,"f",FALSE)</f>
        <v>43851</v>
      </c>
      <c r="Y702" s="173">
        <f>_xll.qlCalendarAdvance(Calendar,X702,NDays&amp;"D")</f>
        <v>43851</v>
      </c>
      <c r="Z702" s="174">
        <v>3.4879720587355223E-3</v>
      </c>
      <c r="AA702" s="177"/>
    </row>
    <row r="703" spans="22:27" x14ac:dyDescent="0.2">
      <c r="V703" s="163"/>
      <c r="W703" s="158" t="str">
        <f t="shared" si="22"/>
        <v>1w</v>
      </c>
      <c r="X703" s="168">
        <f>_xll.qlCalendarAdvance(Calendar,X702,W703,"f",FALSE)</f>
        <v>43858</v>
      </c>
      <c r="Y703" s="173">
        <f>_xll.qlCalendarAdvance(Calendar,X703,NDays&amp;"D")</f>
        <v>43858</v>
      </c>
      <c r="Z703" s="174">
        <v>3.5303720214119316E-3</v>
      </c>
      <c r="AA703" s="177"/>
    </row>
    <row r="704" spans="22:27" x14ac:dyDescent="0.2">
      <c r="V704" s="163"/>
      <c r="W704" s="158" t="str">
        <f t="shared" si="22"/>
        <v>1w</v>
      </c>
      <c r="X704" s="168">
        <f>_xll.qlCalendarAdvance(Calendar,X703,W704,"f",FALSE)</f>
        <v>43865</v>
      </c>
      <c r="Y704" s="173">
        <f>_xll.qlCalendarAdvance(Calendar,X704,NDays&amp;"D")</f>
        <v>43865</v>
      </c>
      <c r="Z704" s="174">
        <v>3.5734182310032114E-3</v>
      </c>
      <c r="AA704" s="177"/>
    </row>
    <row r="705" spans="22:27" x14ac:dyDescent="0.2">
      <c r="V705" s="163"/>
      <c r="W705" s="158" t="str">
        <f t="shared" si="22"/>
        <v>1w</v>
      </c>
      <c r="X705" s="168">
        <f>_xll.qlCalendarAdvance(Calendar,X704,W705,"f",FALSE)</f>
        <v>43873</v>
      </c>
      <c r="Y705" s="173">
        <f>_xll.qlCalendarAdvance(Calendar,X705,NDays&amp;"D")</f>
        <v>43873</v>
      </c>
      <c r="Z705" s="174">
        <v>3.6234052220374124E-3</v>
      </c>
      <c r="AA705" s="177"/>
    </row>
    <row r="706" spans="22:27" x14ac:dyDescent="0.2">
      <c r="V706" s="163"/>
      <c r="W706" s="158" t="str">
        <f t="shared" si="22"/>
        <v>1w</v>
      </c>
      <c r="X706" s="168">
        <f>_xll.qlCalendarAdvance(Calendar,X705,W706,"f",FALSE)</f>
        <v>43880</v>
      </c>
      <c r="Y706" s="173">
        <f>_xll.qlCalendarAdvance(Calendar,X706,NDays&amp;"D")</f>
        <v>43880</v>
      </c>
      <c r="Z706" s="174">
        <v>3.6678362469788617E-3</v>
      </c>
      <c r="AA706" s="177"/>
    </row>
    <row r="707" spans="22:27" x14ac:dyDescent="0.2">
      <c r="V707" s="163"/>
      <c r="W707" s="158" t="str">
        <f t="shared" si="22"/>
        <v>1w</v>
      </c>
      <c r="X707" s="168">
        <f>_xll.qlCalendarAdvance(Calendar,X706,W707,"f",FALSE)</f>
        <v>43887</v>
      </c>
      <c r="Y707" s="173">
        <f>_xll.qlCalendarAdvance(Calendar,X707,NDays&amp;"D")</f>
        <v>43887</v>
      </c>
      <c r="Z707" s="174">
        <v>3.7129135196456442E-3</v>
      </c>
      <c r="AA707" s="177"/>
    </row>
    <row r="708" spans="22:27" x14ac:dyDescent="0.2">
      <c r="V708" s="163"/>
      <c r="W708" s="158" t="str">
        <f t="shared" si="22"/>
        <v>1w</v>
      </c>
      <c r="X708" s="168">
        <f>_xll.qlCalendarAdvance(Calendar,X707,W708,"f",FALSE)</f>
        <v>43894</v>
      </c>
      <c r="Y708" s="173">
        <f>_xll.qlCalendarAdvance(Calendar,X708,NDays&amp;"D")</f>
        <v>43894</v>
      </c>
      <c r="Z708" s="174">
        <v>3.75863704003776E-3</v>
      </c>
      <c r="AA708" s="177"/>
    </row>
    <row r="709" spans="22:27" x14ac:dyDescent="0.2">
      <c r="V709" s="163"/>
      <c r="W709" s="158" t="str">
        <f t="shared" si="22"/>
        <v>1w</v>
      </c>
      <c r="X709" s="168">
        <f>_xll.qlCalendarAdvance(Calendar,X708,W709,"f",FALSE)</f>
        <v>43901</v>
      </c>
      <c r="Y709" s="173">
        <f>_xll.qlCalendarAdvance(Calendar,X709,NDays&amp;"D")</f>
        <v>43901</v>
      </c>
      <c r="Z709" s="174">
        <v>3.8050068085604405E-3</v>
      </c>
      <c r="AA709" s="177"/>
    </row>
    <row r="710" spans="22:27" x14ac:dyDescent="0.2">
      <c r="V710" s="163"/>
      <c r="W710" s="158" t="str">
        <f t="shared" si="22"/>
        <v>1w</v>
      </c>
      <c r="X710" s="168">
        <f>_xll.qlCalendarAdvance(Calendar,X709,W710,"f",FALSE)</f>
        <v>43908</v>
      </c>
      <c r="Y710" s="173">
        <f>_xll.qlCalendarAdvance(Calendar,X710,NDays&amp;"D")</f>
        <v>43908</v>
      </c>
      <c r="Z710" s="174">
        <v>3.8520228252947319E-3</v>
      </c>
      <c r="AA710" s="177"/>
    </row>
    <row r="711" spans="22:27" x14ac:dyDescent="0.2">
      <c r="V711" s="163"/>
      <c r="W711" s="158" t="str">
        <f t="shared" si="22"/>
        <v>1w</v>
      </c>
      <c r="X711" s="168">
        <f>_xll.qlCalendarAdvance(Calendar,X710,W711,"f",FALSE)</f>
        <v>43915</v>
      </c>
      <c r="Y711" s="173">
        <f>_xll.qlCalendarAdvance(Calendar,X711,NDays&amp;"D")</f>
        <v>43915</v>
      </c>
      <c r="Z711" s="174">
        <v>3.8996850906458658E-3</v>
      </c>
      <c r="AA711" s="177"/>
    </row>
    <row r="712" spans="22:27" x14ac:dyDescent="0.2">
      <c r="V712" s="163"/>
      <c r="W712" s="158" t="str">
        <f t="shared" si="22"/>
        <v>1w</v>
      </c>
      <c r="X712" s="168">
        <f>_xll.qlCalendarAdvance(Calendar,X711,W712,"f",FALSE)</f>
        <v>43922</v>
      </c>
      <c r="Y712" s="173">
        <f>_xll.qlCalendarAdvance(Calendar,X712,NDays&amp;"D")</f>
        <v>43922</v>
      </c>
      <c r="Z712" s="174">
        <v>3.9479936048569808E-3</v>
      </c>
      <c r="AA712" s="177"/>
    </row>
    <row r="713" spans="22:27" x14ac:dyDescent="0.2">
      <c r="V713" s="163"/>
      <c r="W713" s="158" t="str">
        <f t="shared" si="22"/>
        <v>1w</v>
      </c>
      <c r="X713" s="168">
        <f>_xll.qlCalendarAdvance(Calendar,X712,W713,"f",FALSE)</f>
        <v>43929</v>
      </c>
      <c r="Y713" s="173">
        <f>_xll.qlCalendarAdvance(Calendar,X713,NDays&amp;"D")</f>
        <v>43929</v>
      </c>
      <c r="Z713" s="174">
        <v>3.9969483680901696E-3</v>
      </c>
      <c r="AA713" s="177"/>
    </row>
    <row r="714" spans="22:27" x14ac:dyDescent="0.2">
      <c r="V714" s="163"/>
      <c r="W714" s="158" t="str">
        <f t="shared" si="22"/>
        <v>1w</v>
      </c>
      <c r="X714" s="168">
        <f>_xll.qlCalendarAdvance(Calendar,X713,W714,"f",FALSE)</f>
        <v>43936</v>
      </c>
      <c r="Y714" s="173">
        <f>_xll.qlCalendarAdvance(Calendar,X714,NDays&amp;"D")</f>
        <v>43936</v>
      </c>
      <c r="Z714" s="174">
        <v>4.0465493806696173E-3</v>
      </c>
      <c r="AA714" s="177"/>
    </row>
    <row r="715" spans="22:27" x14ac:dyDescent="0.2">
      <c r="V715" s="163"/>
      <c r="W715" s="158" t="str">
        <f t="shared" si="22"/>
        <v>1w</v>
      </c>
      <c r="X715" s="168">
        <f>_xll.qlCalendarAdvance(Calendar,X714,W715,"f",FALSE)</f>
        <v>43943</v>
      </c>
      <c r="Y715" s="173">
        <f>_xll.qlCalendarAdvance(Calendar,X715,NDays&amp;"D")</f>
        <v>43943</v>
      </c>
      <c r="Z715" s="174">
        <v>4.0967966427574165E-3</v>
      </c>
      <c r="AA715" s="177"/>
    </row>
    <row r="716" spans="22:27" x14ac:dyDescent="0.2">
      <c r="V716" s="163"/>
      <c r="W716" s="158" t="str">
        <f t="shared" si="22"/>
        <v>1w</v>
      </c>
      <c r="X716" s="168">
        <f>_xll.qlCalendarAdvance(Calendar,X715,W716,"f",FALSE)</f>
        <v>43951</v>
      </c>
      <c r="Y716" s="173">
        <f>_xll.qlCalendarAdvance(Calendar,X716,NDays&amp;"D")</f>
        <v>43951</v>
      </c>
      <c r="Z716" s="174">
        <v>4.1550134116741244E-3</v>
      </c>
      <c r="AA716" s="177"/>
    </row>
    <row r="717" spans="22:27" x14ac:dyDescent="0.2">
      <c r="V717" s="163"/>
      <c r="W717" s="158" t="str">
        <f t="shared" ref="W717:W780" si="23">W716</f>
        <v>1w</v>
      </c>
      <c r="X717" s="168">
        <f>_xll.qlCalendarAdvance(Calendar,X716,W717,"f",FALSE)</f>
        <v>43958</v>
      </c>
      <c r="Y717" s="173">
        <f>_xll.qlCalendarAdvance(Calendar,X717,NDays&amp;"D")</f>
        <v>43958</v>
      </c>
      <c r="Z717" s="174">
        <v>4.2066454953526566E-3</v>
      </c>
      <c r="AA717" s="177"/>
    </row>
    <row r="718" spans="22:27" x14ac:dyDescent="0.2">
      <c r="V718" s="163"/>
      <c r="W718" s="158" t="str">
        <f t="shared" si="23"/>
        <v>1w</v>
      </c>
      <c r="X718" s="168">
        <f>_xll.qlCalendarAdvance(Calendar,X717,W718,"f",FALSE)</f>
        <v>43965</v>
      </c>
      <c r="Y718" s="173">
        <f>_xll.qlCalendarAdvance(Calendar,X718,NDays&amp;"D")</f>
        <v>43965</v>
      </c>
      <c r="Z718" s="174">
        <v>4.2589238294310494E-3</v>
      </c>
      <c r="AA718" s="177"/>
    </row>
    <row r="719" spans="22:27" x14ac:dyDescent="0.2">
      <c r="V719" s="163"/>
      <c r="W719" s="158" t="str">
        <f t="shared" si="23"/>
        <v>1w</v>
      </c>
      <c r="X719" s="168">
        <f>_xll.qlCalendarAdvance(Calendar,X718,W719,"f",FALSE)</f>
        <v>43972</v>
      </c>
      <c r="Y719" s="173">
        <f>_xll.qlCalendarAdvance(Calendar,X719,NDays&amp;"D")</f>
        <v>43972</v>
      </c>
      <c r="Z719" s="174">
        <v>4.3118484141524416E-3</v>
      </c>
      <c r="AA719" s="177"/>
    </row>
    <row r="720" spans="22:27" x14ac:dyDescent="0.2">
      <c r="V720" s="163"/>
      <c r="W720" s="158" t="str">
        <f t="shared" si="23"/>
        <v>1w</v>
      </c>
      <c r="X720" s="168">
        <f>_xll.qlCalendarAdvance(Calendar,X719,W720,"f",FALSE)</f>
        <v>43979</v>
      </c>
      <c r="Y720" s="173">
        <f>_xll.qlCalendarAdvance(Calendar,X720,NDays&amp;"D")</f>
        <v>43979</v>
      </c>
      <c r="Z720" s="174">
        <v>4.3654192500031108E-3</v>
      </c>
      <c r="AA720" s="177"/>
    </row>
    <row r="721" spans="22:27" x14ac:dyDescent="0.2">
      <c r="V721" s="163"/>
      <c r="W721" s="158" t="str">
        <f t="shared" si="23"/>
        <v>1w</v>
      </c>
      <c r="X721" s="168">
        <f>_xll.qlCalendarAdvance(Calendar,X720,W721,"f",FALSE)</f>
        <v>43986</v>
      </c>
      <c r="Y721" s="173">
        <f>_xll.qlCalendarAdvance(Calendar,X721,NDays&amp;"D")</f>
        <v>43986</v>
      </c>
      <c r="Z721" s="174">
        <v>4.4196363370641034E-3</v>
      </c>
      <c r="AA721" s="177"/>
    </row>
    <row r="722" spans="22:27" x14ac:dyDescent="0.2">
      <c r="V722" s="163"/>
      <c r="W722" s="158" t="str">
        <f t="shared" si="23"/>
        <v>1w</v>
      </c>
      <c r="X722" s="168">
        <f>_xll.qlCalendarAdvance(Calendar,X721,W722,"f",FALSE)</f>
        <v>43993</v>
      </c>
      <c r="Y722" s="173">
        <f>_xll.qlCalendarAdvance(Calendar,X722,NDays&amp;"D")</f>
        <v>43993</v>
      </c>
      <c r="Z722" s="174">
        <v>4.4744996757406508E-3</v>
      </c>
      <c r="AA722" s="177"/>
    </row>
    <row r="723" spans="22:27" x14ac:dyDescent="0.2">
      <c r="V723" s="163"/>
      <c r="W723" s="158" t="str">
        <f t="shared" si="23"/>
        <v>1w</v>
      </c>
      <c r="X723" s="168">
        <f>_xll.qlCalendarAdvance(Calendar,X722,W723,"f",FALSE)</f>
        <v>44000</v>
      </c>
      <c r="Y723" s="173">
        <f>_xll.qlCalendarAdvance(Calendar,X723,NDays&amp;"D")</f>
        <v>44000</v>
      </c>
      <c r="Z723" s="174">
        <v>4.5300092662758917E-3</v>
      </c>
      <c r="AA723" s="177"/>
    </row>
    <row r="724" spans="22:27" x14ac:dyDescent="0.2">
      <c r="V724" s="163"/>
      <c r="W724" s="158" t="str">
        <f t="shared" si="23"/>
        <v>1w</v>
      </c>
      <c r="X724" s="168">
        <f>_xll.qlCalendarAdvance(Calendar,X723,W724,"f",FALSE)</f>
        <v>44007</v>
      </c>
      <c r="Y724" s="173">
        <f>_xll.qlCalendarAdvance(Calendar,X724,NDays&amp;"D")</f>
        <v>44007</v>
      </c>
      <c r="Z724" s="174">
        <v>4.5861651089940114E-3</v>
      </c>
      <c r="AA724" s="177"/>
    </row>
    <row r="725" spans="22:27" x14ac:dyDescent="0.2">
      <c r="V725" s="163"/>
      <c r="W725" s="158" t="str">
        <f t="shared" si="23"/>
        <v>1w</v>
      </c>
      <c r="X725" s="168">
        <f>_xll.qlCalendarAdvance(Calendar,X724,W725,"f",FALSE)</f>
        <v>44014</v>
      </c>
      <c r="Y725" s="173">
        <f>_xll.qlCalendarAdvance(Calendar,X725,NDays&amp;"D")</f>
        <v>44014</v>
      </c>
      <c r="Z725" s="174">
        <v>4.6429672041381487E-3</v>
      </c>
      <c r="AA725" s="177"/>
    </row>
    <row r="726" spans="22:27" x14ac:dyDescent="0.2">
      <c r="V726" s="163"/>
      <c r="W726" s="158" t="str">
        <f t="shared" si="23"/>
        <v>1w</v>
      </c>
      <c r="X726" s="168">
        <f>_xll.qlCalendarAdvance(Calendar,X725,W726,"f",FALSE)</f>
        <v>44021</v>
      </c>
      <c r="Y726" s="173">
        <f>_xll.qlCalendarAdvance(Calendar,X726,NDays&amp;"D")</f>
        <v>44021</v>
      </c>
      <c r="Z726" s="174">
        <v>4.7004155520324886E-3</v>
      </c>
      <c r="AA726" s="177"/>
    </row>
    <row r="727" spans="22:27" x14ac:dyDescent="0.2">
      <c r="V727" s="163"/>
      <c r="W727" s="158" t="str">
        <f t="shared" si="23"/>
        <v>1w</v>
      </c>
      <c r="X727" s="168">
        <f>_xll.qlCalendarAdvance(Calendar,X726,W727,"f",FALSE)</f>
        <v>44028</v>
      </c>
      <c r="Y727" s="173">
        <f>_xll.qlCalendarAdvance(Calendar,X727,NDays&amp;"D")</f>
        <v>44028</v>
      </c>
      <c r="Z727" s="174">
        <v>4.7584254935151282E-3</v>
      </c>
      <c r="AA727" s="177"/>
    </row>
    <row r="728" spans="22:27" x14ac:dyDescent="0.2">
      <c r="V728" s="163"/>
      <c r="W728" s="158" t="str">
        <f t="shared" si="23"/>
        <v>1w</v>
      </c>
      <c r="X728" s="168">
        <f>_xll.qlCalendarAdvance(Calendar,X727,W728,"f",FALSE)</f>
        <v>44035</v>
      </c>
      <c r="Y728" s="173">
        <f>_xll.qlCalendarAdvance(Calendar,X728,NDays&amp;"D")</f>
        <v>44035</v>
      </c>
      <c r="Z728" s="174">
        <v>4.8160434954269693E-3</v>
      </c>
      <c r="AA728" s="177"/>
    </row>
    <row r="729" spans="22:27" x14ac:dyDescent="0.2">
      <c r="V729" s="163"/>
      <c r="W729" s="158" t="str">
        <f t="shared" si="23"/>
        <v>1w</v>
      </c>
      <c r="X729" s="168">
        <f>_xll.qlCalendarAdvance(Calendar,X728,W729,"f",FALSE)</f>
        <v>44042</v>
      </c>
      <c r="Y729" s="173">
        <f>_xll.qlCalendarAdvance(Calendar,X729,NDays&amp;"D")</f>
        <v>44042</v>
      </c>
      <c r="Z729" s="174">
        <v>4.8729977558548132E-3</v>
      </c>
      <c r="AA729" s="177"/>
    </row>
    <row r="730" spans="22:27" x14ac:dyDescent="0.2">
      <c r="V730" s="163"/>
      <c r="W730" s="158" t="str">
        <f t="shared" si="23"/>
        <v>1w</v>
      </c>
      <c r="X730" s="168">
        <f>_xll.qlCalendarAdvance(Calendar,X729,W730,"f",FALSE)</f>
        <v>44049</v>
      </c>
      <c r="Y730" s="173">
        <f>_xll.qlCalendarAdvance(Calendar,X730,NDays&amp;"D")</f>
        <v>44049</v>
      </c>
      <c r="Z730" s="174">
        <v>4.9292882745555211E-3</v>
      </c>
      <c r="AA730" s="177"/>
    </row>
    <row r="731" spans="22:27" x14ac:dyDescent="0.2">
      <c r="V731" s="163"/>
      <c r="W731" s="158" t="str">
        <f t="shared" si="23"/>
        <v>1w</v>
      </c>
      <c r="X731" s="168">
        <f>_xll.qlCalendarAdvance(Calendar,X730,W731,"f",FALSE)</f>
        <v>44056</v>
      </c>
      <c r="Y731" s="173">
        <f>_xll.qlCalendarAdvance(Calendar,X731,NDays&amp;"D")</f>
        <v>44056</v>
      </c>
      <c r="Z731" s="174">
        <v>4.9849150512049079E-3</v>
      </c>
      <c r="AA731" s="177"/>
    </row>
    <row r="732" spans="22:27" x14ac:dyDescent="0.2">
      <c r="V732" s="163"/>
      <c r="W732" s="158" t="str">
        <f t="shared" si="23"/>
        <v>1w</v>
      </c>
      <c r="X732" s="168">
        <f>_xll.qlCalendarAdvance(Calendar,X731,W732,"f",FALSE)</f>
        <v>44063</v>
      </c>
      <c r="Y732" s="173">
        <f>_xll.qlCalendarAdvance(Calendar,X732,NDays&amp;"D")</f>
        <v>44063</v>
      </c>
      <c r="Z732" s="174">
        <v>5.0398780855598346E-3</v>
      </c>
      <c r="AA732" s="177"/>
    </row>
    <row r="733" spans="22:27" x14ac:dyDescent="0.2">
      <c r="V733" s="163"/>
      <c r="W733" s="158" t="str">
        <f t="shared" si="23"/>
        <v>1w</v>
      </c>
      <c r="X733" s="168">
        <f>_xll.qlCalendarAdvance(Calendar,X732,W733,"f",FALSE)</f>
        <v>44070</v>
      </c>
      <c r="Y733" s="173">
        <f>_xll.qlCalendarAdvance(Calendar,X733,NDays&amp;"D")</f>
        <v>44070</v>
      </c>
      <c r="Z733" s="174">
        <v>5.09417737721507E-3</v>
      </c>
      <c r="AA733" s="177"/>
    </row>
    <row r="734" spans="22:27" x14ac:dyDescent="0.2">
      <c r="V734" s="163"/>
      <c r="W734" s="158" t="str">
        <f t="shared" si="23"/>
        <v>1w</v>
      </c>
      <c r="X734" s="168">
        <f>_xll.qlCalendarAdvance(Calendar,X733,W734,"f",FALSE)</f>
        <v>44077</v>
      </c>
      <c r="Y734" s="173">
        <f>_xll.qlCalendarAdvance(Calendar,X734,NDays&amp;"D")</f>
        <v>44077</v>
      </c>
      <c r="Z734" s="174">
        <v>5.1478129259274752E-3</v>
      </c>
      <c r="AA734" s="177"/>
    </row>
    <row r="735" spans="22:27" x14ac:dyDescent="0.2">
      <c r="V735" s="163"/>
      <c r="W735" s="158" t="str">
        <f t="shared" si="23"/>
        <v>1w</v>
      </c>
      <c r="X735" s="168">
        <f>_xll.qlCalendarAdvance(Calendar,X734,W735,"f",FALSE)</f>
        <v>44084</v>
      </c>
      <c r="Y735" s="173">
        <f>_xll.qlCalendarAdvance(Calendar,X735,NDays&amp;"D")</f>
        <v>44084</v>
      </c>
      <c r="Z735" s="174">
        <v>5.200784731372865E-3</v>
      </c>
      <c r="AA735" s="177"/>
    </row>
    <row r="736" spans="22:27" x14ac:dyDescent="0.2">
      <c r="V736" s="163"/>
      <c r="W736" s="158" t="str">
        <f t="shared" si="23"/>
        <v>1w</v>
      </c>
      <c r="X736" s="168">
        <f>_xll.qlCalendarAdvance(Calendar,X735,W736,"f",FALSE)</f>
        <v>44091</v>
      </c>
      <c r="Y736" s="173">
        <f>_xll.qlCalendarAdvance(Calendar,X736,NDays&amp;"D")</f>
        <v>44091</v>
      </c>
      <c r="Z736" s="174">
        <v>5.2530927933891469E-3</v>
      </c>
      <c r="AA736" s="177"/>
    </row>
    <row r="737" spans="22:27" x14ac:dyDescent="0.2">
      <c r="V737" s="163"/>
      <c r="W737" s="158" t="str">
        <f t="shared" si="23"/>
        <v>1w</v>
      </c>
      <c r="X737" s="168">
        <f>_xll.qlCalendarAdvance(Calendar,X736,W737,"f",FALSE)</f>
        <v>44098</v>
      </c>
      <c r="Y737" s="173">
        <f>_xll.qlCalendarAdvance(Calendar,X737,NDays&amp;"D")</f>
        <v>44098</v>
      </c>
      <c r="Z737" s="174">
        <v>5.3047371114900432E-3</v>
      </c>
      <c r="AA737" s="177"/>
    </row>
    <row r="738" spans="22:27" x14ac:dyDescent="0.2">
      <c r="V738" s="163"/>
      <c r="W738" s="158" t="str">
        <f t="shared" si="23"/>
        <v>1w</v>
      </c>
      <c r="X738" s="168">
        <f>_xll.qlCalendarAdvance(Calendar,X737,W738,"f",FALSE)</f>
        <v>44105</v>
      </c>
      <c r="Y738" s="173">
        <f>_xll.qlCalendarAdvance(Calendar,X738,NDays&amp;"D")</f>
        <v>44105</v>
      </c>
      <c r="Z738" s="174">
        <v>5.3557176855945077E-3</v>
      </c>
      <c r="AA738" s="177"/>
    </row>
    <row r="739" spans="22:27" x14ac:dyDescent="0.2">
      <c r="V739" s="163"/>
      <c r="W739" s="158" t="str">
        <f t="shared" si="23"/>
        <v>1w</v>
      </c>
      <c r="X739" s="168">
        <f>_xll.qlCalendarAdvance(Calendar,X738,W739,"f",FALSE)</f>
        <v>44112</v>
      </c>
      <c r="Y739" s="173">
        <f>_xll.qlCalendarAdvance(Calendar,X739,NDays&amp;"D")</f>
        <v>44112</v>
      </c>
      <c r="Z739" s="174">
        <v>5.4060345152973088E-3</v>
      </c>
      <c r="AA739" s="177"/>
    </row>
    <row r="740" spans="22:27" x14ac:dyDescent="0.2">
      <c r="V740" s="163"/>
      <c r="W740" s="158" t="str">
        <f t="shared" si="23"/>
        <v>1w</v>
      </c>
      <c r="X740" s="168">
        <f>_xll.qlCalendarAdvance(Calendar,X739,W740,"f",FALSE)</f>
        <v>44119</v>
      </c>
      <c r="Y740" s="173">
        <f>_xll.qlCalendarAdvance(Calendar,X740,NDays&amp;"D")</f>
        <v>44119</v>
      </c>
      <c r="Z740" s="174">
        <v>5.4556876002742616E-3</v>
      </c>
      <c r="AA740" s="177"/>
    </row>
    <row r="741" spans="22:27" x14ac:dyDescent="0.2">
      <c r="V741" s="163"/>
      <c r="W741" s="158" t="str">
        <f t="shared" si="23"/>
        <v>1w</v>
      </c>
      <c r="X741" s="168">
        <f>_xll.qlCalendarAdvance(Calendar,X740,W741,"f",FALSE)</f>
        <v>44126</v>
      </c>
      <c r="Y741" s="173">
        <f>_xll.qlCalendarAdvance(Calendar,X741,NDays&amp;"D")</f>
        <v>44126</v>
      </c>
      <c r="Z741" s="174">
        <v>5.5046769404443197E-3</v>
      </c>
      <c r="AA741" s="177"/>
    </row>
    <row r="742" spans="22:27" x14ac:dyDescent="0.2">
      <c r="V742" s="163"/>
      <c r="W742" s="158" t="str">
        <f t="shared" si="23"/>
        <v>1w</v>
      </c>
      <c r="X742" s="168">
        <f>_xll.qlCalendarAdvance(Calendar,X741,W742,"f",FALSE)</f>
        <v>44133</v>
      </c>
      <c r="Y742" s="173">
        <f>_xll.qlCalendarAdvance(Calendar,X742,NDays&amp;"D")</f>
        <v>44133</v>
      </c>
      <c r="Z742" s="174">
        <v>5.5530025353212054E-3</v>
      </c>
      <c r="AA742" s="177"/>
    </row>
    <row r="743" spans="22:27" x14ac:dyDescent="0.2">
      <c r="V743" s="163"/>
      <c r="W743" s="158" t="str">
        <f t="shared" si="23"/>
        <v>1w</v>
      </c>
      <c r="X743" s="168">
        <f>_xll.qlCalendarAdvance(Calendar,X742,W743,"f",FALSE)</f>
        <v>44140</v>
      </c>
      <c r="Y743" s="173">
        <f>_xll.qlCalendarAdvance(Calendar,X743,NDays&amp;"D")</f>
        <v>44140</v>
      </c>
      <c r="Z743" s="174">
        <v>5.6006643848238724E-3</v>
      </c>
      <c r="AA743" s="177"/>
    </row>
    <row r="744" spans="22:27" x14ac:dyDescent="0.2">
      <c r="V744" s="163"/>
      <c r="W744" s="158" t="str">
        <f t="shared" si="23"/>
        <v>1w</v>
      </c>
      <c r="X744" s="168">
        <f>_xll.qlCalendarAdvance(Calendar,X743,W744,"f",FALSE)</f>
        <v>44147</v>
      </c>
      <c r="Y744" s="173">
        <f>_xll.qlCalendarAdvance(Calendar,X744,NDays&amp;"D")</f>
        <v>44147</v>
      </c>
      <c r="Z744" s="174">
        <v>5.6476624885470894E-3</v>
      </c>
      <c r="AA744" s="177"/>
    </row>
    <row r="745" spans="22:27" x14ac:dyDescent="0.2">
      <c r="V745" s="163"/>
      <c r="W745" s="158" t="str">
        <f t="shared" si="23"/>
        <v>1w</v>
      </c>
      <c r="X745" s="168">
        <f>_xll.qlCalendarAdvance(Calendar,X744,W745,"f",FALSE)</f>
        <v>44154</v>
      </c>
      <c r="Y745" s="173">
        <f>_xll.qlCalendarAdvance(Calendar,X745,NDays&amp;"D")</f>
        <v>44154</v>
      </c>
      <c r="Z745" s="174">
        <v>5.6939968464098101E-3</v>
      </c>
      <c r="AA745" s="177"/>
    </row>
    <row r="746" spans="22:27" x14ac:dyDescent="0.2">
      <c r="V746" s="163"/>
      <c r="W746" s="158" t="str">
        <f t="shared" si="23"/>
        <v>1w</v>
      </c>
      <c r="X746" s="168">
        <f>_xll.qlCalendarAdvance(Calendar,X745,W746,"f",FALSE)</f>
        <v>44161</v>
      </c>
      <c r="Y746" s="173">
        <f>_xll.qlCalendarAdvance(Calendar,X746,NDays&amp;"D")</f>
        <v>44161</v>
      </c>
      <c r="Z746" s="174">
        <v>5.739667458006803E-3</v>
      </c>
      <c r="AA746" s="177"/>
    </row>
    <row r="747" spans="22:27" x14ac:dyDescent="0.2">
      <c r="V747" s="163"/>
      <c r="W747" s="158" t="str">
        <f t="shared" si="23"/>
        <v>1w</v>
      </c>
      <c r="X747" s="168">
        <f>_xll.qlCalendarAdvance(Calendar,X746,W747,"f",FALSE)</f>
        <v>44168</v>
      </c>
      <c r="Y747" s="173">
        <f>_xll.qlCalendarAdvance(Calendar,X747,NDays&amp;"D")</f>
        <v>44168</v>
      </c>
      <c r="Z747" s="174">
        <v>5.7846743230949293E-3</v>
      </c>
      <c r="AA747" s="177"/>
    </row>
    <row r="748" spans="22:27" x14ac:dyDescent="0.2">
      <c r="V748" s="163"/>
      <c r="W748" s="158" t="str">
        <f t="shared" si="23"/>
        <v>1w</v>
      </c>
      <c r="X748" s="168">
        <f>_xll.qlCalendarAdvance(Calendar,X747,W748,"f",FALSE)</f>
        <v>44175</v>
      </c>
      <c r="Y748" s="173">
        <f>_xll.qlCalendarAdvance(Calendar,X748,NDays&amp;"D")</f>
        <v>44175</v>
      </c>
      <c r="Z748" s="174">
        <v>5.8290174415120966E-3</v>
      </c>
      <c r="AA748" s="177"/>
    </row>
    <row r="749" spans="22:27" x14ac:dyDescent="0.2">
      <c r="V749" s="163"/>
      <c r="W749" s="158" t="str">
        <f t="shared" si="23"/>
        <v>1w</v>
      </c>
      <c r="X749" s="168">
        <f>_xll.qlCalendarAdvance(Calendar,X748,W749,"f",FALSE)</f>
        <v>44182</v>
      </c>
      <c r="Y749" s="173">
        <f>_xll.qlCalendarAdvance(Calendar,X749,NDays&amp;"D")</f>
        <v>44182</v>
      </c>
      <c r="Z749" s="174">
        <v>5.8726968130151658E-3</v>
      </c>
      <c r="AA749" s="177"/>
    </row>
    <row r="750" spans="22:27" x14ac:dyDescent="0.2">
      <c r="V750" s="163"/>
      <c r="W750" s="158" t="str">
        <f t="shared" si="23"/>
        <v>1w</v>
      </c>
      <c r="X750" s="168">
        <f>_xll.qlCalendarAdvance(Calendar,X749,W750,"f",FALSE)</f>
        <v>44189</v>
      </c>
      <c r="Y750" s="173">
        <f>_xll.qlCalendarAdvance(Calendar,X750,NDays&amp;"D")</f>
        <v>44189</v>
      </c>
      <c r="Z750" s="174">
        <v>5.9157124372799519E-3</v>
      </c>
      <c r="AA750" s="177"/>
    </row>
    <row r="751" spans="22:27" x14ac:dyDescent="0.2">
      <c r="V751" s="163"/>
      <c r="W751" s="158" t="str">
        <f t="shared" si="23"/>
        <v>1w</v>
      </c>
      <c r="X751" s="168">
        <f>_xll.qlCalendarAdvance(Calendar,X750,W751,"f",FALSE)</f>
        <v>44200</v>
      </c>
      <c r="Y751" s="173">
        <f>_xll.qlCalendarAdvance(Calendar,X751,NDays&amp;"D")</f>
        <v>44200</v>
      </c>
      <c r="Z751" s="174">
        <v>5.9819673774608173E-3</v>
      </c>
      <c r="AA751" s="177"/>
    </row>
    <row r="752" spans="22:27" x14ac:dyDescent="0.2">
      <c r="V752" s="163"/>
      <c r="W752" s="158" t="str">
        <f t="shared" si="23"/>
        <v>1w</v>
      </c>
      <c r="X752" s="168">
        <f>_xll.qlCalendarAdvance(Calendar,X751,W752,"f",FALSE)</f>
        <v>44208</v>
      </c>
      <c r="Y752" s="173">
        <f>_xll.qlCalendarAdvance(Calendar,X752,NDays&amp;"D")</f>
        <v>44208</v>
      </c>
      <c r="Z752" s="174">
        <v>6.0291233022014001E-3</v>
      </c>
      <c r="AA752" s="177"/>
    </row>
    <row r="753" spans="22:27" x14ac:dyDescent="0.2">
      <c r="V753" s="163"/>
      <c r="W753" s="158" t="str">
        <f t="shared" si="23"/>
        <v>1w</v>
      </c>
      <c r="X753" s="168">
        <f>_xll.qlCalendarAdvance(Calendar,X752,W753,"f",FALSE)</f>
        <v>44215</v>
      </c>
      <c r="Y753" s="173">
        <f>_xll.qlCalendarAdvance(Calendar,X753,NDays&amp;"D")</f>
        <v>44215</v>
      </c>
      <c r="Z753" s="174">
        <v>6.0696735777054922E-3</v>
      </c>
      <c r="AA753" s="177"/>
    </row>
    <row r="754" spans="22:27" x14ac:dyDescent="0.2">
      <c r="V754" s="163"/>
      <c r="W754" s="158" t="str">
        <f t="shared" si="23"/>
        <v>1w</v>
      </c>
      <c r="X754" s="168">
        <f>_xll.qlCalendarAdvance(Calendar,X753,W754,"f",FALSE)</f>
        <v>44222</v>
      </c>
      <c r="Y754" s="173">
        <f>_xll.qlCalendarAdvance(Calendar,X754,NDays&amp;"D")</f>
        <v>44222</v>
      </c>
      <c r="Z754" s="174">
        <v>6.1095601049987458E-3</v>
      </c>
      <c r="AA754" s="177"/>
    </row>
    <row r="755" spans="22:27" x14ac:dyDescent="0.2">
      <c r="V755" s="163"/>
      <c r="W755" s="158" t="str">
        <f t="shared" si="23"/>
        <v>1w</v>
      </c>
      <c r="X755" s="168">
        <f>_xll.qlCalendarAdvance(Calendar,X754,W755,"f",FALSE)</f>
        <v>44229</v>
      </c>
      <c r="Y755" s="173">
        <f>_xll.qlCalendarAdvance(Calendar,X755,NDays&amp;"D")</f>
        <v>44229</v>
      </c>
      <c r="Z755" s="174">
        <v>6.1487828837569758E-3</v>
      </c>
      <c r="AA755" s="177"/>
    </row>
    <row r="756" spans="22:27" x14ac:dyDescent="0.2">
      <c r="V756" s="163"/>
      <c r="W756" s="158" t="str">
        <f t="shared" si="23"/>
        <v>1w</v>
      </c>
      <c r="X756" s="168">
        <f>_xll.qlCalendarAdvance(Calendar,X755,W756,"f",FALSE)</f>
        <v>44236</v>
      </c>
      <c r="Y756" s="173">
        <f>_xll.qlCalendarAdvance(Calendar,X756,NDays&amp;"D")</f>
        <v>44236</v>
      </c>
      <c r="Z756" s="174">
        <v>6.1873419138180896E-3</v>
      </c>
      <c r="AA756" s="177"/>
    </row>
    <row r="757" spans="22:27" x14ac:dyDescent="0.2">
      <c r="V757" s="163"/>
      <c r="W757" s="158" t="str">
        <f t="shared" si="23"/>
        <v>1w</v>
      </c>
      <c r="X757" s="168">
        <f>_xll.qlCalendarAdvance(Calendar,X756,W757,"f",FALSE)</f>
        <v>44243</v>
      </c>
      <c r="Y757" s="173">
        <f>_xll.qlCalendarAdvance(Calendar,X757,NDays&amp;"D")</f>
        <v>44243</v>
      </c>
      <c r="Z757" s="174">
        <v>6.2252371949389484E-3</v>
      </c>
      <c r="AA757" s="177"/>
    </row>
    <row r="758" spans="22:27" x14ac:dyDescent="0.2">
      <c r="V758" s="163"/>
      <c r="W758" s="158" t="str">
        <f t="shared" si="23"/>
        <v>1w</v>
      </c>
      <c r="X758" s="168">
        <f>_xll.qlCalendarAdvance(Calendar,X757,W758,"f",FALSE)</f>
        <v>44250</v>
      </c>
      <c r="Y758" s="173">
        <f>_xll.qlCalendarAdvance(Calendar,X758,NDays&amp;"D")</f>
        <v>44250</v>
      </c>
      <c r="Z758" s="174">
        <v>6.2624687269574597E-3</v>
      </c>
      <c r="AA758" s="177"/>
    </row>
    <row r="759" spans="22:27" x14ac:dyDescent="0.2">
      <c r="V759" s="163"/>
      <c r="W759" s="158" t="str">
        <f t="shared" si="23"/>
        <v>1w</v>
      </c>
      <c r="X759" s="168">
        <f>_xll.qlCalendarAdvance(Calendar,X758,W759,"f",FALSE)</f>
        <v>44257</v>
      </c>
      <c r="Y759" s="173">
        <f>_xll.qlCalendarAdvance(Calendar,X759,NDays&amp;"D")</f>
        <v>44257</v>
      </c>
      <c r="Z759" s="174">
        <v>6.2990365097925771E-3</v>
      </c>
      <c r="AA759" s="177"/>
    </row>
    <row r="760" spans="22:27" x14ac:dyDescent="0.2">
      <c r="V760" s="163"/>
      <c r="W760" s="158" t="str">
        <f t="shared" si="23"/>
        <v>1w</v>
      </c>
      <c r="X760" s="168">
        <f>_xll.qlCalendarAdvance(Calendar,X759,W760,"f",FALSE)</f>
        <v>44264</v>
      </c>
      <c r="Y760" s="173">
        <f>_xll.qlCalendarAdvance(Calendar,X760,NDays&amp;"D")</f>
        <v>44264</v>
      </c>
      <c r="Z760" s="174">
        <v>6.334940542958023E-3</v>
      </c>
      <c r="AA760" s="177"/>
    </row>
    <row r="761" spans="22:27" x14ac:dyDescent="0.2">
      <c r="V761" s="163"/>
      <c r="W761" s="158" t="str">
        <f t="shared" si="23"/>
        <v>1w</v>
      </c>
      <c r="X761" s="168">
        <f>_xll.qlCalendarAdvance(Calendar,X760,W761,"f",FALSE)</f>
        <v>44271</v>
      </c>
      <c r="Y761" s="173">
        <f>_xll.qlCalendarAdvance(Calendar,X761,NDays&amp;"D")</f>
        <v>44271</v>
      </c>
      <c r="Z761" s="174">
        <v>6.3701808264537974E-3</v>
      </c>
      <c r="AA761" s="177"/>
    </row>
    <row r="762" spans="22:27" x14ac:dyDescent="0.2">
      <c r="V762" s="163"/>
      <c r="W762" s="158" t="str">
        <f t="shared" si="23"/>
        <v>1w</v>
      </c>
      <c r="X762" s="168">
        <f>_xll.qlCalendarAdvance(Calendar,X761,W762,"f",FALSE)</f>
        <v>44278</v>
      </c>
      <c r="Y762" s="173">
        <f>_xll.qlCalendarAdvance(Calendar,X762,NDays&amp;"D")</f>
        <v>44278</v>
      </c>
      <c r="Z762" s="174">
        <v>6.4047573601178076E-3</v>
      </c>
      <c r="AA762" s="177"/>
    </row>
    <row r="763" spans="22:27" x14ac:dyDescent="0.2">
      <c r="V763" s="163"/>
      <c r="W763" s="158" t="str">
        <f t="shared" si="23"/>
        <v>1w</v>
      </c>
      <c r="X763" s="168">
        <f>_xll.qlCalendarAdvance(Calendar,X762,W763,"f",FALSE)</f>
        <v>44285</v>
      </c>
      <c r="Y763" s="173">
        <f>_xll.qlCalendarAdvance(Calendar,X763,NDays&amp;"D")</f>
        <v>44285</v>
      </c>
      <c r="Z763" s="174">
        <v>6.4386701436258686E-3</v>
      </c>
      <c r="AA763" s="177"/>
    </row>
    <row r="764" spans="22:27" x14ac:dyDescent="0.2">
      <c r="V764" s="163"/>
      <c r="W764" s="158" t="str">
        <f t="shared" si="23"/>
        <v>1w</v>
      </c>
      <c r="X764" s="168">
        <f>_xll.qlCalendarAdvance(Calendar,X763,W764,"f",FALSE)</f>
        <v>44292</v>
      </c>
      <c r="Y764" s="173">
        <f>_xll.qlCalendarAdvance(Calendar,X764,NDays&amp;"D")</f>
        <v>44292</v>
      </c>
      <c r="Z764" s="174">
        <v>6.4719191768158879E-3</v>
      </c>
      <c r="AA764" s="177"/>
    </row>
    <row r="765" spans="22:27" x14ac:dyDescent="0.2">
      <c r="V765" s="163"/>
      <c r="W765" s="158" t="str">
        <f t="shared" si="23"/>
        <v>1w</v>
      </c>
      <c r="X765" s="168">
        <f>_xll.qlCalendarAdvance(Calendar,X764,W765,"f",FALSE)</f>
        <v>44299</v>
      </c>
      <c r="Y765" s="173">
        <f>_xll.qlCalendarAdvance(Calendar,X765,NDays&amp;"D")</f>
        <v>44299</v>
      </c>
      <c r="Z765" s="174">
        <v>6.5045044595257728E-3</v>
      </c>
      <c r="AA765" s="177"/>
    </row>
    <row r="766" spans="22:27" x14ac:dyDescent="0.2">
      <c r="V766" s="163"/>
      <c r="W766" s="158" t="str">
        <f t="shared" si="23"/>
        <v>1w</v>
      </c>
      <c r="X766" s="168">
        <f>_xll.qlCalendarAdvance(Calendar,X765,W766,"f",FALSE)</f>
        <v>44306</v>
      </c>
      <c r="Y766" s="173">
        <f>_xll.qlCalendarAdvance(Calendar,X766,NDays&amp;"D")</f>
        <v>44306</v>
      </c>
      <c r="Z766" s="174">
        <v>6.5364259916744771E-3</v>
      </c>
      <c r="AA766" s="177"/>
    </row>
    <row r="767" spans="22:27" x14ac:dyDescent="0.2">
      <c r="V767" s="163"/>
      <c r="W767" s="158" t="str">
        <f t="shared" si="23"/>
        <v>1w</v>
      </c>
      <c r="X767" s="168">
        <f>_xll.qlCalendarAdvance(Calendar,X766,W767,"f",FALSE)</f>
        <v>44313</v>
      </c>
      <c r="Y767" s="173">
        <f>_xll.qlCalendarAdvance(Calendar,X767,NDays&amp;"D")</f>
        <v>44313</v>
      </c>
      <c r="Z767" s="174">
        <v>6.567683773018862E-3</v>
      </c>
      <c r="AA767" s="177"/>
    </row>
    <row r="768" spans="22:27" x14ac:dyDescent="0.2">
      <c r="V768" s="163"/>
      <c r="W768" s="158" t="str">
        <f t="shared" si="23"/>
        <v>1w</v>
      </c>
      <c r="X768" s="168">
        <f>_xll.qlCalendarAdvance(Calendar,X767,W768,"f",FALSE)</f>
        <v>44322</v>
      </c>
      <c r="Y768" s="173">
        <f>_xll.qlCalendarAdvance(Calendar,X768,NDays&amp;"D")</f>
        <v>44322</v>
      </c>
      <c r="Z768" s="174">
        <v>6.6068970413202255E-3</v>
      </c>
      <c r="AA768" s="177"/>
    </row>
    <row r="769" spans="22:27" x14ac:dyDescent="0.2">
      <c r="V769" s="163"/>
      <c r="W769" s="158" t="str">
        <f t="shared" si="23"/>
        <v>1w</v>
      </c>
      <c r="X769" s="168">
        <f>_xll.qlCalendarAdvance(Calendar,X768,W769,"f",FALSE)</f>
        <v>44329</v>
      </c>
      <c r="Y769" s="173">
        <f>_xll.qlCalendarAdvance(Calendar,X769,NDays&amp;"D")</f>
        <v>44329</v>
      </c>
      <c r="Z769" s="174">
        <v>6.6366376772974967E-3</v>
      </c>
      <c r="AA769" s="177"/>
    </row>
    <row r="770" spans="22:27" x14ac:dyDescent="0.2">
      <c r="V770" s="163"/>
      <c r="W770" s="158" t="str">
        <f t="shared" si="23"/>
        <v>1w</v>
      </c>
      <c r="X770" s="168">
        <f>_xll.qlCalendarAdvance(Calendar,X769,W770,"f",FALSE)</f>
        <v>44336</v>
      </c>
      <c r="Y770" s="173">
        <f>_xll.qlCalendarAdvance(Calendar,X770,NDays&amp;"D")</f>
        <v>44336</v>
      </c>
      <c r="Z770" s="174">
        <v>6.6657145619031244E-3</v>
      </c>
      <c r="AA770" s="177"/>
    </row>
    <row r="771" spans="22:27" x14ac:dyDescent="0.2">
      <c r="V771" s="163"/>
      <c r="W771" s="158" t="str">
        <f t="shared" si="23"/>
        <v>1w</v>
      </c>
      <c r="X771" s="168">
        <f>_xll.qlCalendarAdvance(Calendar,X770,W771,"f",FALSE)</f>
        <v>44343</v>
      </c>
      <c r="Y771" s="173">
        <f>_xll.qlCalendarAdvance(Calendar,X771,NDays&amp;"D")</f>
        <v>44343</v>
      </c>
      <c r="Z771" s="174">
        <v>6.6941276949750161E-3</v>
      </c>
      <c r="AA771" s="177"/>
    </row>
    <row r="772" spans="22:27" x14ac:dyDescent="0.2">
      <c r="V772" s="163"/>
      <c r="W772" s="158" t="str">
        <f t="shared" si="23"/>
        <v>1w</v>
      </c>
      <c r="X772" s="168">
        <f>_xll.qlCalendarAdvance(Calendar,X771,W772,"f",FALSE)</f>
        <v>44350</v>
      </c>
      <c r="Y772" s="173">
        <f>_xll.qlCalendarAdvance(Calendar,X772,NDays&amp;"D")</f>
        <v>44350</v>
      </c>
      <c r="Z772" s="174">
        <v>6.7218770764321256E-3</v>
      </c>
      <c r="AA772" s="177"/>
    </row>
    <row r="773" spans="22:27" x14ac:dyDescent="0.2">
      <c r="V773" s="163"/>
      <c r="W773" s="158" t="str">
        <f t="shared" si="23"/>
        <v>1w</v>
      </c>
      <c r="X773" s="168">
        <f>_xll.qlCalendarAdvance(Calendar,X772,W773,"f",FALSE)</f>
        <v>44357</v>
      </c>
      <c r="Y773" s="173">
        <f>_xll.qlCalendarAdvance(Calendar,X773,NDays&amp;"D")</f>
        <v>44357</v>
      </c>
      <c r="Z773" s="174">
        <v>6.7489627059502677E-3</v>
      </c>
      <c r="AA773" s="177"/>
    </row>
    <row r="774" spans="22:27" x14ac:dyDescent="0.2">
      <c r="V774" s="163"/>
      <c r="W774" s="158" t="str">
        <f t="shared" si="23"/>
        <v>1w</v>
      </c>
      <c r="X774" s="168">
        <f>_xll.qlCalendarAdvance(Calendar,X773,W774,"f",FALSE)</f>
        <v>44364</v>
      </c>
      <c r="Y774" s="173">
        <f>_xll.qlCalendarAdvance(Calendar,X774,NDays&amp;"D")</f>
        <v>44364</v>
      </c>
      <c r="Z774" s="174">
        <v>6.7753845835294424E-3</v>
      </c>
      <c r="AA774" s="177"/>
    </row>
    <row r="775" spans="22:27" x14ac:dyDescent="0.2">
      <c r="V775" s="163"/>
      <c r="W775" s="158" t="str">
        <f t="shared" si="23"/>
        <v>1w</v>
      </c>
      <c r="X775" s="168">
        <f>_xll.qlCalendarAdvance(Calendar,X774,W775,"f",FALSE)</f>
        <v>44371</v>
      </c>
      <c r="Y775" s="173">
        <f>_xll.qlCalendarAdvance(Calendar,X775,NDays&amp;"D")</f>
        <v>44371</v>
      </c>
      <c r="Z775" s="174">
        <v>6.8011427090886034E-3</v>
      </c>
      <c r="AA775" s="177"/>
    </row>
    <row r="776" spans="22:27" x14ac:dyDescent="0.2">
      <c r="V776" s="163"/>
      <c r="W776" s="158" t="str">
        <f t="shared" si="23"/>
        <v>1w</v>
      </c>
      <c r="X776" s="168">
        <f>_xll.qlCalendarAdvance(Calendar,X775,W776,"f",FALSE)</f>
        <v>44378</v>
      </c>
      <c r="Y776" s="173">
        <f>_xll.qlCalendarAdvance(Calendar,X776,NDays&amp;"D")</f>
        <v>44378</v>
      </c>
      <c r="Z776" s="174">
        <v>6.8262370823035656E-3</v>
      </c>
      <c r="AA776" s="177"/>
    </row>
    <row r="777" spans="22:27" x14ac:dyDescent="0.2">
      <c r="V777" s="163"/>
      <c r="W777" s="158" t="str">
        <f t="shared" si="23"/>
        <v>1w</v>
      </c>
      <c r="X777" s="168">
        <f>_xll.qlCalendarAdvance(Calendar,X776,W777,"f",FALSE)</f>
        <v>44385</v>
      </c>
      <c r="Y777" s="173">
        <f>_xll.qlCalendarAdvance(Calendar,X777,NDays&amp;"D")</f>
        <v>44385</v>
      </c>
      <c r="Z777" s="174">
        <v>6.850667703174329E-3</v>
      </c>
      <c r="AA777" s="177"/>
    </row>
    <row r="778" spans="22:27" x14ac:dyDescent="0.2">
      <c r="V778" s="163"/>
      <c r="W778" s="158" t="str">
        <f t="shared" si="23"/>
        <v>1w</v>
      </c>
      <c r="X778" s="168">
        <f>_xll.qlCalendarAdvance(Calendar,X777,W778,"f",FALSE)</f>
        <v>44392</v>
      </c>
      <c r="Y778" s="173">
        <f>_xll.qlCalendarAdvance(Calendar,X778,NDays&amp;"D")</f>
        <v>44392</v>
      </c>
      <c r="Z778" s="174">
        <v>6.8744608734072621E-3</v>
      </c>
      <c r="AA778" s="177"/>
    </row>
    <row r="779" spans="22:27" x14ac:dyDescent="0.2">
      <c r="V779" s="163"/>
      <c r="W779" s="158" t="str">
        <f t="shared" si="23"/>
        <v>1w</v>
      </c>
      <c r="X779" s="168">
        <f>_xll.qlCalendarAdvance(Calendar,X778,W779,"f",FALSE)</f>
        <v>44399</v>
      </c>
      <c r="Y779" s="173">
        <f>_xll.qlCalendarAdvance(Calendar,X779,NDays&amp;"D")</f>
        <v>44399</v>
      </c>
      <c r="Z779" s="174">
        <v>6.8983530483179845E-3</v>
      </c>
      <c r="AA779" s="177"/>
    </row>
    <row r="780" spans="22:27" x14ac:dyDescent="0.2">
      <c r="V780" s="163"/>
      <c r="W780" s="158" t="str">
        <f t="shared" si="23"/>
        <v>1w</v>
      </c>
      <c r="X780" s="168">
        <f>_xll.qlCalendarAdvance(Calendar,X779,W780,"f",FALSE)</f>
        <v>44406</v>
      </c>
      <c r="Y780" s="173">
        <f>_xll.qlCalendarAdvance(Calendar,X780,NDays&amp;"D")</f>
        <v>44406</v>
      </c>
      <c r="Z780" s="174">
        <v>6.9226861534932294E-3</v>
      </c>
      <c r="AA780" s="177"/>
    </row>
    <row r="781" spans="22:27" x14ac:dyDescent="0.2">
      <c r="V781" s="163"/>
      <c r="W781" s="158" t="str">
        <f t="shared" ref="W781:W844" si="24">W780</f>
        <v>1w</v>
      </c>
      <c r="X781" s="168">
        <f>_xll.qlCalendarAdvance(Calendar,X780,W781,"f",FALSE)</f>
        <v>44413</v>
      </c>
      <c r="Y781" s="173">
        <f>_xll.qlCalendarAdvance(Calendar,X781,NDays&amp;"D")</f>
        <v>44413</v>
      </c>
      <c r="Z781" s="174">
        <v>6.9474601891761356E-3</v>
      </c>
      <c r="AA781" s="177"/>
    </row>
    <row r="782" spans="22:27" x14ac:dyDescent="0.2">
      <c r="V782" s="163"/>
      <c r="W782" s="158" t="str">
        <f t="shared" si="24"/>
        <v>1w</v>
      </c>
      <c r="X782" s="168">
        <f>_xll.qlCalendarAdvance(Calendar,X781,W782,"f",FALSE)</f>
        <v>44420</v>
      </c>
      <c r="Y782" s="173">
        <f>_xll.qlCalendarAdvance(Calendar,X782,NDays&amp;"D")</f>
        <v>44420</v>
      </c>
      <c r="Z782" s="174">
        <v>6.9726751553667032E-3</v>
      </c>
      <c r="AA782" s="177"/>
    </row>
    <row r="783" spans="22:27" x14ac:dyDescent="0.2">
      <c r="V783" s="163"/>
      <c r="W783" s="158" t="str">
        <f t="shared" si="24"/>
        <v>1w</v>
      </c>
      <c r="X783" s="168">
        <f>_xll.qlCalendarAdvance(Calendar,X782,W783,"f",FALSE)</f>
        <v>44427</v>
      </c>
      <c r="Y783" s="173">
        <f>_xll.qlCalendarAdvance(Calendar,X783,NDays&amp;"D")</f>
        <v>44427</v>
      </c>
      <c r="Z783" s="174">
        <v>6.9983310521459785E-3</v>
      </c>
      <c r="AA783" s="177"/>
    </row>
    <row r="784" spans="22:27" x14ac:dyDescent="0.2">
      <c r="V784" s="163"/>
      <c r="W784" s="158" t="str">
        <f t="shared" si="24"/>
        <v>1w</v>
      </c>
      <c r="X784" s="168">
        <f>_xll.qlCalendarAdvance(Calendar,X783,W784,"f",FALSE)</f>
        <v>44434</v>
      </c>
      <c r="Y784" s="173">
        <f>_xll.qlCalendarAdvance(Calendar,X784,NDays&amp;"D")</f>
        <v>44434</v>
      </c>
      <c r="Z784" s="174">
        <v>7.0244278795139614E-3</v>
      </c>
      <c r="AA784" s="177"/>
    </row>
    <row r="785" spans="22:27" x14ac:dyDescent="0.2">
      <c r="V785" s="163"/>
      <c r="W785" s="158" t="str">
        <f t="shared" si="24"/>
        <v>1w</v>
      </c>
      <c r="X785" s="168">
        <f>_xll.qlCalendarAdvance(Calendar,X784,W785,"f",FALSE)</f>
        <v>44441</v>
      </c>
      <c r="Y785" s="173">
        <f>_xll.qlCalendarAdvance(Calendar,X785,NDays&amp;"D")</f>
        <v>44441</v>
      </c>
      <c r="Z785" s="174">
        <v>7.0509656377948371E-3</v>
      </c>
      <c r="AA785" s="177"/>
    </row>
    <row r="786" spans="22:27" x14ac:dyDescent="0.2">
      <c r="V786" s="163"/>
      <c r="W786" s="158" t="str">
        <f t="shared" si="24"/>
        <v>1w</v>
      </c>
      <c r="X786" s="168">
        <f>_xll.qlCalendarAdvance(Calendar,X785,W786,"f",FALSE)</f>
        <v>44448</v>
      </c>
      <c r="Y786" s="173">
        <f>_xll.qlCalendarAdvance(Calendar,X786,NDays&amp;"D")</f>
        <v>44448</v>
      </c>
      <c r="Z786" s="174">
        <v>7.0779443269075593E-3</v>
      </c>
      <c r="AA786" s="177"/>
    </row>
    <row r="787" spans="22:27" x14ac:dyDescent="0.2">
      <c r="V787" s="163"/>
      <c r="W787" s="158" t="str">
        <f t="shared" si="24"/>
        <v>1w</v>
      </c>
      <c r="X787" s="168">
        <f>_xll.qlCalendarAdvance(Calendar,X786,W787,"f",FALSE)</f>
        <v>44455</v>
      </c>
      <c r="Y787" s="173">
        <f>_xll.qlCalendarAdvance(Calendar,X787,NDays&amp;"D")</f>
        <v>44455</v>
      </c>
      <c r="Z787" s="174">
        <v>7.1053639469331742E-3</v>
      </c>
      <c r="AA787" s="177"/>
    </row>
    <row r="788" spans="22:27" x14ac:dyDescent="0.2">
      <c r="V788" s="163"/>
      <c r="W788" s="158" t="str">
        <f t="shared" si="24"/>
        <v>1w</v>
      </c>
      <c r="X788" s="168">
        <f>_xll.qlCalendarAdvance(Calendar,X787,W788,"f",FALSE)</f>
        <v>44463</v>
      </c>
      <c r="Y788" s="173">
        <f>_xll.qlCalendarAdvance(Calendar,X788,NDays&amp;"D")</f>
        <v>44463</v>
      </c>
      <c r="Z788" s="174">
        <v>7.1414083631982104E-3</v>
      </c>
      <c r="AA788" s="177"/>
    </row>
    <row r="789" spans="22:27" x14ac:dyDescent="0.2">
      <c r="V789" s="163"/>
      <c r="W789" s="158" t="str">
        <f t="shared" si="24"/>
        <v>1w</v>
      </c>
      <c r="X789" s="168">
        <f>_xll.qlCalendarAdvance(Calendar,X788,W789,"f",FALSE)</f>
        <v>44470</v>
      </c>
      <c r="Y789" s="173">
        <f>_xll.qlCalendarAdvance(Calendar,X789,NDays&amp;"D")</f>
        <v>44470</v>
      </c>
      <c r="Z789" s="174">
        <v>7.1698369405034015E-3</v>
      </c>
      <c r="AA789" s="177"/>
    </row>
    <row r="790" spans="22:27" x14ac:dyDescent="0.2">
      <c r="V790" s="163"/>
      <c r="W790" s="158" t="str">
        <f t="shared" si="24"/>
        <v>1w</v>
      </c>
      <c r="X790" s="168">
        <f>_xll.qlCalendarAdvance(Calendar,X789,W790,"f",FALSE)</f>
        <v>44477</v>
      </c>
      <c r="Y790" s="173">
        <f>_xll.qlCalendarAdvance(Calendar,X790,NDays&amp;"D")</f>
        <v>44477</v>
      </c>
      <c r="Z790" s="174">
        <v>7.2008591064573468E-3</v>
      </c>
      <c r="AA790" s="177"/>
    </row>
    <row r="791" spans="22:27" x14ac:dyDescent="0.2">
      <c r="V791" s="163"/>
      <c r="W791" s="158" t="str">
        <f t="shared" si="24"/>
        <v>1w</v>
      </c>
      <c r="X791" s="168">
        <f>_xll.qlCalendarAdvance(Calendar,X790,W791,"f",FALSE)</f>
        <v>44484</v>
      </c>
      <c r="Y791" s="173">
        <f>_xll.qlCalendarAdvance(Calendar,X791,NDays&amp;"D")</f>
        <v>44484</v>
      </c>
      <c r="Z791" s="174">
        <v>7.2280169548507214E-3</v>
      </c>
      <c r="AA791" s="177"/>
    </row>
    <row r="792" spans="22:27" x14ac:dyDescent="0.2">
      <c r="V792" s="163"/>
      <c r="W792" s="158" t="str">
        <f t="shared" si="24"/>
        <v>1w</v>
      </c>
      <c r="X792" s="168">
        <f>_xll.qlCalendarAdvance(Calendar,X791,W792,"f",FALSE)</f>
        <v>44491</v>
      </c>
      <c r="Y792" s="173">
        <f>_xll.qlCalendarAdvance(Calendar,X792,NDays&amp;"D")</f>
        <v>44491</v>
      </c>
      <c r="Z792" s="174">
        <v>7.257768392487189E-3</v>
      </c>
      <c r="AA792" s="177"/>
    </row>
    <row r="793" spans="22:27" x14ac:dyDescent="0.2">
      <c r="V793" s="163"/>
      <c r="W793" s="158" t="str">
        <f t="shared" si="24"/>
        <v>1w</v>
      </c>
      <c r="X793" s="168">
        <f>_xll.qlCalendarAdvance(Calendar,X792,W793,"f",FALSE)</f>
        <v>44498</v>
      </c>
      <c r="Y793" s="173">
        <f>_xll.qlCalendarAdvance(Calendar,X793,NDays&amp;"D")</f>
        <v>44498</v>
      </c>
      <c r="Z793" s="174">
        <v>7.2879607842157865E-3</v>
      </c>
      <c r="AA793" s="177"/>
    </row>
    <row r="794" spans="22:27" x14ac:dyDescent="0.2">
      <c r="V794" s="163"/>
      <c r="W794" s="158" t="str">
        <f t="shared" si="24"/>
        <v>1w</v>
      </c>
      <c r="X794" s="168">
        <f>_xll.qlCalendarAdvance(Calendar,X793,W794,"f",FALSE)</f>
        <v>44505</v>
      </c>
      <c r="Y794" s="173">
        <f>_xll.qlCalendarAdvance(Calendar,X794,NDays&amp;"D")</f>
        <v>44505</v>
      </c>
      <c r="Z794" s="174">
        <v>7.3185941303877131E-3</v>
      </c>
      <c r="AA794" s="177"/>
    </row>
    <row r="795" spans="22:27" x14ac:dyDescent="0.2">
      <c r="V795" s="163"/>
      <c r="W795" s="158" t="str">
        <f t="shared" si="24"/>
        <v>1w</v>
      </c>
      <c r="X795" s="168">
        <f>_xll.qlCalendarAdvance(Calendar,X794,W795,"f",FALSE)</f>
        <v>44512</v>
      </c>
      <c r="Y795" s="173">
        <f>_xll.qlCalendarAdvance(Calendar,X795,NDays&amp;"D")</f>
        <v>44512</v>
      </c>
      <c r="Z795" s="174">
        <v>7.3496684312731233E-3</v>
      </c>
      <c r="AA795" s="177"/>
    </row>
    <row r="796" spans="22:27" x14ac:dyDescent="0.2">
      <c r="V796" s="163"/>
      <c r="W796" s="158" t="str">
        <f t="shared" si="24"/>
        <v>1w</v>
      </c>
      <c r="X796" s="168">
        <f>_xll.qlCalendarAdvance(Calendar,X795,W796,"f",FALSE)</f>
        <v>44519</v>
      </c>
      <c r="Y796" s="173">
        <f>_xll.qlCalendarAdvance(Calendar,X796,NDays&amp;"D")</f>
        <v>44519</v>
      </c>
      <c r="Z796" s="174">
        <v>7.3811836872772494E-3</v>
      </c>
      <c r="AA796" s="177"/>
    </row>
    <row r="797" spans="22:27" x14ac:dyDescent="0.2">
      <c r="V797" s="163"/>
      <c r="W797" s="158" t="str">
        <f t="shared" si="24"/>
        <v>1w</v>
      </c>
      <c r="X797" s="168">
        <f>_xll.qlCalendarAdvance(Calendar,X796,W797,"f",FALSE)</f>
        <v>44526</v>
      </c>
      <c r="Y797" s="173">
        <f>_xll.qlCalendarAdvance(Calendar,X797,NDays&amp;"D")</f>
        <v>44526</v>
      </c>
      <c r="Z797" s="174">
        <v>7.4131398987242756E-3</v>
      </c>
      <c r="AA797" s="177"/>
    </row>
    <row r="798" spans="22:27" x14ac:dyDescent="0.2">
      <c r="V798" s="163"/>
      <c r="W798" s="158" t="str">
        <f t="shared" si="24"/>
        <v>1w</v>
      </c>
      <c r="X798" s="168">
        <f>_xll.qlCalendarAdvance(Calendar,X797,W798,"f",FALSE)</f>
        <v>44533</v>
      </c>
      <c r="Y798" s="173">
        <f>_xll.qlCalendarAdvance(Calendar,X798,NDays&amp;"D")</f>
        <v>44533</v>
      </c>
      <c r="Z798" s="174">
        <v>7.4455370659113722E-3</v>
      </c>
      <c r="AA798" s="177"/>
    </row>
    <row r="799" spans="22:27" x14ac:dyDescent="0.2">
      <c r="V799" s="163"/>
      <c r="W799" s="158" t="str">
        <f t="shared" si="24"/>
        <v>1w</v>
      </c>
      <c r="X799" s="168">
        <f>_xll.qlCalendarAdvance(Calendar,X798,W799,"f",FALSE)</f>
        <v>44540</v>
      </c>
      <c r="Y799" s="173">
        <f>_xll.qlCalendarAdvance(Calendar,X799,NDays&amp;"D")</f>
        <v>44540</v>
      </c>
      <c r="Z799" s="174">
        <v>7.4783751892707855E-3</v>
      </c>
      <c r="AA799" s="177"/>
    </row>
    <row r="800" spans="22:27" x14ac:dyDescent="0.2">
      <c r="V800" s="163"/>
      <c r="W800" s="158" t="str">
        <f t="shared" si="24"/>
        <v>1w</v>
      </c>
      <c r="X800" s="168">
        <f>_xll.qlCalendarAdvance(Calendar,X799,W800,"f",FALSE)</f>
        <v>44547</v>
      </c>
      <c r="Y800" s="173">
        <f>_xll.qlCalendarAdvance(Calendar,X800,NDays&amp;"D")</f>
        <v>44547</v>
      </c>
      <c r="Z800" s="174">
        <v>7.5116542690726699E-3</v>
      </c>
      <c r="AA800" s="177"/>
    </row>
    <row r="801" spans="22:27" x14ac:dyDescent="0.2">
      <c r="V801" s="163"/>
      <c r="W801" s="158" t="str">
        <f t="shared" si="24"/>
        <v>1w</v>
      </c>
      <c r="X801" s="168">
        <f>_xll.qlCalendarAdvance(Calendar,X800,W801,"f",FALSE)</f>
        <v>44554</v>
      </c>
      <c r="Y801" s="173">
        <f>_xll.qlCalendarAdvance(Calendar,X801,NDays&amp;"D")</f>
        <v>44554</v>
      </c>
      <c r="Z801" s="174">
        <v>7.5453743057492719E-3</v>
      </c>
      <c r="AA801" s="177"/>
    </row>
    <row r="802" spans="22:27" x14ac:dyDescent="0.2">
      <c r="V802" s="163"/>
      <c r="W802" s="158" t="str">
        <f t="shared" si="24"/>
        <v>1w</v>
      </c>
      <c r="X802" s="168">
        <f>_xll.qlCalendarAdvance(Calendar,X801,W802,"f",FALSE)</f>
        <v>44565</v>
      </c>
      <c r="Y802" s="173">
        <f>_xll.qlCalendarAdvance(Calendar,X802,NDays&amp;"D")</f>
        <v>44565</v>
      </c>
      <c r="Z802" s="174">
        <v>7.5941497088083398E-3</v>
      </c>
      <c r="AA802" s="177"/>
    </row>
    <row r="803" spans="22:27" x14ac:dyDescent="0.2">
      <c r="V803" s="163"/>
      <c r="W803" s="158" t="str">
        <f t="shared" si="24"/>
        <v>1w</v>
      </c>
      <c r="X803" s="168">
        <f>_xll.qlCalendarAdvance(Calendar,X802,W803,"f",FALSE)</f>
        <v>44572</v>
      </c>
      <c r="Y803" s="173">
        <f>_xll.qlCalendarAdvance(Calendar,X803,NDays&amp;"D")</f>
        <v>44572</v>
      </c>
      <c r="Z803" s="174">
        <v>7.6289391912509608E-3</v>
      </c>
      <c r="AA803" s="177"/>
    </row>
    <row r="804" spans="22:27" x14ac:dyDescent="0.2">
      <c r="V804" s="163"/>
      <c r="W804" s="158" t="str">
        <f t="shared" si="24"/>
        <v>1w</v>
      </c>
      <c r="X804" s="168">
        <f>_xll.qlCalendarAdvance(Calendar,X803,W804,"f",FALSE)</f>
        <v>44579</v>
      </c>
      <c r="Y804" s="173">
        <f>_xll.qlCalendarAdvance(Calendar,X804,NDays&amp;"D")</f>
        <v>44579</v>
      </c>
      <c r="Z804" s="174">
        <v>7.6641696066326315E-3</v>
      </c>
      <c r="AA804" s="177"/>
    </row>
    <row r="805" spans="22:27" x14ac:dyDescent="0.2">
      <c r="V805" s="163"/>
      <c r="W805" s="158" t="str">
        <f t="shared" si="24"/>
        <v>1w</v>
      </c>
      <c r="X805" s="168">
        <f>_xll.qlCalendarAdvance(Calendar,X804,W805,"f",FALSE)</f>
        <v>44586</v>
      </c>
      <c r="Y805" s="173">
        <f>_xll.qlCalendarAdvance(Calendar,X805,NDays&amp;"D")</f>
        <v>44586</v>
      </c>
      <c r="Z805" s="174">
        <v>7.6998409551154445E-3</v>
      </c>
      <c r="AA805" s="177"/>
    </row>
    <row r="806" spans="22:27" x14ac:dyDescent="0.2">
      <c r="V806" s="163"/>
      <c r="W806" s="158" t="str">
        <f t="shared" si="24"/>
        <v>1w</v>
      </c>
      <c r="X806" s="168">
        <f>_xll.qlCalendarAdvance(Calendar,X805,W806,"f",FALSE)</f>
        <v>44593</v>
      </c>
      <c r="Y806" s="173">
        <f>_xll.qlCalendarAdvance(Calendar,X806,NDays&amp;"D")</f>
        <v>44593</v>
      </c>
      <c r="Z806" s="174">
        <v>7.7359532369425388E-3</v>
      </c>
      <c r="AA806" s="177"/>
    </row>
    <row r="807" spans="22:27" x14ac:dyDescent="0.2">
      <c r="V807" s="163"/>
      <c r="W807" s="158" t="str">
        <f t="shared" si="24"/>
        <v>1w</v>
      </c>
      <c r="X807" s="168">
        <f>_xll.qlCalendarAdvance(Calendar,X806,W807,"f",FALSE)</f>
        <v>44600</v>
      </c>
      <c r="Y807" s="173">
        <f>_xll.qlCalendarAdvance(Calendar,X807,NDays&amp;"D")</f>
        <v>44600</v>
      </c>
      <c r="Z807" s="174">
        <v>7.7725064520328679E-3</v>
      </c>
      <c r="AA807" s="177"/>
    </row>
    <row r="808" spans="22:27" x14ac:dyDescent="0.2">
      <c r="V808" s="163"/>
      <c r="W808" s="158" t="str">
        <f t="shared" si="24"/>
        <v>1w</v>
      </c>
      <c r="X808" s="168">
        <f>_xll.qlCalendarAdvance(Calendar,X807,W808,"f",FALSE)</f>
        <v>44607</v>
      </c>
      <c r="Y808" s="173">
        <f>_xll.qlCalendarAdvance(Calendar,X808,NDays&amp;"D")</f>
        <v>44607</v>
      </c>
      <c r="Z808" s="174">
        <v>7.8095006006295709E-3</v>
      </c>
      <c r="AA808" s="177"/>
    </row>
    <row r="809" spans="22:27" x14ac:dyDescent="0.2">
      <c r="V809" s="163"/>
      <c r="W809" s="158" t="str">
        <f t="shared" si="24"/>
        <v>1w</v>
      </c>
      <c r="X809" s="168">
        <f>_xll.qlCalendarAdvance(Calendar,X808,W809,"f",FALSE)</f>
        <v>44614</v>
      </c>
      <c r="Y809" s="173">
        <f>_xll.qlCalendarAdvance(Calendar,X809,NDays&amp;"D")</f>
        <v>44614</v>
      </c>
      <c r="Z809" s="174">
        <v>7.8469356828947401E-3</v>
      </c>
      <c r="AA809" s="177"/>
    </row>
    <row r="810" spans="22:27" x14ac:dyDescent="0.2">
      <c r="V810" s="163"/>
      <c r="W810" s="158" t="str">
        <f t="shared" si="24"/>
        <v>1w</v>
      </c>
      <c r="X810" s="168">
        <f>_xll.qlCalendarAdvance(Calendar,X809,W810,"f",FALSE)</f>
        <v>44621</v>
      </c>
      <c r="Y810" s="173">
        <f>_xll.qlCalendarAdvance(Calendar,X810,NDays&amp;"D")</f>
        <v>44621</v>
      </c>
      <c r="Z810" s="174">
        <v>7.8848116988283756E-3</v>
      </c>
      <c r="AA810" s="177"/>
    </row>
    <row r="811" spans="22:27" x14ac:dyDescent="0.2">
      <c r="V811" s="163"/>
      <c r="W811" s="158" t="str">
        <f t="shared" si="24"/>
        <v>1w</v>
      </c>
      <c r="X811" s="168">
        <f>_xll.qlCalendarAdvance(Calendar,X810,W811,"f",FALSE)</f>
        <v>44628</v>
      </c>
      <c r="Y811" s="173">
        <f>_xll.qlCalendarAdvance(Calendar,X811,NDays&amp;"D")</f>
        <v>44628</v>
      </c>
      <c r="Z811" s="174">
        <v>7.9231286487546626E-3</v>
      </c>
      <c r="AA811" s="177"/>
    </row>
    <row r="812" spans="22:27" x14ac:dyDescent="0.2">
      <c r="V812" s="163"/>
      <c r="W812" s="158" t="str">
        <f t="shared" si="24"/>
        <v>1w</v>
      </c>
      <c r="X812" s="168">
        <f>_xll.qlCalendarAdvance(Calendar,X811,W812,"f",FALSE)</f>
        <v>44635</v>
      </c>
      <c r="Y812" s="173">
        <f>_xll.qlCalendarAdvance(Calendar,X812,NDays&amp;"D")</f>
        <v>44635</v>
      </c>
      <c r="Z812" s="174">
        <v>7.961886532673601E-3</v>
      </c>
      <c r="AA812" s="177"/>
    </row>
    <row r="813" spans="22:27" x14ac:dyDescent="0.2">
      <c r="V813" s="163"/>
      <c r="W813" s="158" t="str">
        <f t="shared" si="24"/>
        <v>1w</v>
      </c>
      <c r="X813" s="168">
        <f>_xll.qlCalendarAdvance(Calendar,X812,W813,"f",FALSE)</f>
        <v>44642</v>
      </c>
      <c r="Y813" s="173">
        <f>_xll.qlCalendarAdvance(Calendar,X813,NDays&amp;"D")</f>
        <v>44642</v>
      </c>
      <c r="Z813" s="174">
        <v>8.0010853508283297E-3</v>
      </c>
      <c r="AA813" s="177"/>
    </row>
    <row r="814" spans="22:27" x14ac:dyDescent="0.2">
      <c r="V814" s="163"/>
      <c r="W814" s="158" t="str">
        <f t="shared" si="24"/>
        <v>1w</v>
      </c>
      <c r="X814" s="168">
        <f>_xll.qlCalendarAdvance(Calendar,X813,W814,"f",FALSE)</f>
        <v>44649</v>
      </c>
      <c r="Y814" s="173">
        <f>_xll.qlCalendarAdvance(Calendar,X814,NDays&amp;"D")</f>
        <v>44649</v>
      </c>
      <c r="Z814" s="174">
        <v>8.040725103299895E-3</v>
      </c>
      <c r="AA814" s="177"/>
    </row>
    <row r="815" spans="22:27" x14ac:dyDescent="0.2">
      <c r="V815" s="163"/>
      <c r="W815" s="158" t="str">
        <f t="shared" si="24"/>
        <v>1w</v>
      </c>
      <c r="X815" s="168">
        <f>_xll.qlCalendarAdvance(Calendar,X814,W815,"f",FALSE)</f>
        <v>44656</v>
      </c>
      <c r="Y815" s="173">
        <f>_xll.qlCalendarAdvance(Calendar,X815,NDays&amp;"D")</f>
        <v>44656</v>
      </c>
      <c r="Z815" s="174">
        <v>8.0808057902503894E-3</v>
      </c>
      <c r="AA815" s="177"/>
    </row>
    <row r="816" spans="22:27" x14ac:dyDescent="0.2">
      <c r="V816" s="163"/>
      <c r="W816" s="158" t="str">
        <f t="shared" si="24"/>
        <v>1w</v>
      </c>
      <c r="X816" s="168">
        <f>_xll.qlCalendarAdvance(Calendar,X815,W816,"f",FALSE)</f>
        <v>44663</v>
      </c>
      <c r="Y816" s="173">
        <f>_xll.qlCalendarAdvance(Calendar,X816,NDays&amp;"D")</f>
        <v>44663</v>
      </c>
      <c r="Z816" s="174">
        <v>8.1213274117608591E-3</v>
      </c>
      <c r="AA816" s="177"/>
    </row>
    <row r="817" spans="22:27" x14ac:dyDescent="0.2">
      <c r="V817" s="163"/>
      <c r="W817" s="158" t="str">
        <f t="shared" si="24"/>
        <v>1w</v>
      </c>
      <c r="X817" s="168">
        <f>_xll.qlCalendarAdvance(Calendar,X816,W817,"f",FALSE)</f>
        <v>44670</v>
      </c>
      <c r="Y817" s="173">
        <f>_xll.qlCalendarAdvance(Calendar,X817,NDays&amp;"D")</f>
        <v>44670</v>
      </c>
      <c r="Z817" s="174">
        <v>8.1622899680744432E-3</v>
      </c>
      <c r="AA817" s="177"/>
    </row>
    <row r="818" spans="22:27" x14ac:dyDescent="0.2">
      <c r="V818" s="163"/>
      <c r="W818" s="158" t="str">
        <f t="shared" si="24"/>
        <v>1w</v>
      </c>
      <c r="X818" s="168">
        <f>_xll.qlCalendarAdvance(Calendar,X817,W818,"f",FALSE)</f>
        <v>44677</v>
      </c>
      <c r="Y818" s="173">
        <f>_xll.qlCalendarAdvance(Calendar,X818,NDays&amp;"D")</f>
        <v>44677</v>
      </c>
      <c r="Z818" s="174">
        <v>8.2036934592721877E-3</v>
      </c>
      <c r="AA818" s="177"/>
    </row>
    <row r="819" spans="22:27" x14ac:dyDescent="0.2">
      <c r="V819" s="163"/>
      <c r="W819" s="158" t="str">
        <f t="shared" si="24"/>
        <v>1w</v>
      </c>
      <c r="X819" s="168">
        <f>_xll.qlCalendarAdvance(Calendar,X818,W819,"f",FALSE)</f>
        <v>44687</v>
      </c>
      <c r="Y819" s="173">
        <f>_xll.qlCalendarAdvance(Calendar,X819,NDays&amp;"D")</f>
        <v>44687</v>
      </c>
      <c r="Z819" s="174">
        <v>8.2698373200951192E-3</v>
      </c>
      <c r="AA819" s="177"/>
    </row>
    <row r="820" spans="22:27" x14ac:dyDescent="0.2">
      <c r="V820" s="163"/>
      <c r="W820" s="158" t="str">
        <f t="shared" si="24"/>
        <v>1w</v>
      </c>
      <c r="X820" s="168">
        <f>_xll.qlCalendarAdvance(Calendar,X819,W820,"f",FALSE)</f>
        <v>44694</v>
      </c>
      <c r="Y820" s="173">
        <f>_xll.qlCalendarAdvance(Calendar,X820,NDays&amp;"D")</f>
        <v>44694</v>
      </c>
      <c r="Z820" s="174">
        <v>8.3123765771223983E-3</v>
      </c>
      <c r="AA820" s="177"/>
    </row>
    <row r="821" spans="22:27" x14ac:dyDescent="0.2">
      <c r="V821" s="163"/>
      <c r="W821" s="158" t="str">
        <f t="shared" si="24"/>
        <v>1w</v>
      </c>
      <c r="X821" s="168">
        <f>_xll.qlCalendarAdvance(Calendar,X820,W821,"f",FALSE)</f>
        <v>44701</v>
      </c>
      <c r="Y821" s="173">
        <f>_xll.qlCalendarAdvance(Calendar,X821,NDays&amp;"D")</f>
        <v>44701</v>
      </c>
      <c r="Z821" s="174">
        <v>8.3553567996963451E-3</v>
      </c>
      <c r="AA821" s="177"/>
    </row>
    <row r="822" spans="22:27" x14ac:dyDescent="0.2">
      <c r="V822" s="163"/>
      <c r="W822" s="158" t="str">
        <f t="shared" si="24"/>
        <v>1w</v>
      </c>
      <c r="X822" s="168">
        <f>_xll.qlCalendarAdvance(Calendar,X821,W822,"f",FALSE)</f>
        <v>44708</v>
      </c>
      <c r="Y822" s="173">
        <f>_xll.qlCalendarAdvance(Calendar,X822,NDays&amp;"D")</f>
        <v>44708</v>
      </c>
      <c r="Z822" s="174">
        <v>8.398777988303241E-3</v>
      </c>
      <c r="AA822" s="177"/>
    </row>
    <row r="823" spans="22:27" x14ac:dyDescent="0.2">
      <c r="V823" s="163"/>
      <c r="W823" s="158" t="str">
        <f t="shared" si="24"/>
        <v>1w</v>
      </c>
      <c r="X823" s="168">
        <f>_xll.qlCalendarAdvance(Calendar,X822,W823,"f",FALSE)</f>
        <v>44715</v>
      </c>
      <c r="Y823" s="173">
        <f>_xll.qlCalendarAdvance(Calendar,X823,NDays&amp;"D")</f>
        <v>44715</v>
      </c>
      <c r="Z823" s="174">
        <v>8.442640143375332E-3</v>
      </c>
      <c r="AA823" s="177"/>
    </row>
    <row r="824" spans="22:27" x14ac:dyDescent="0.2">
      <c r="V824" s="163"/>
      <c r="W824" s="158" t="str">
        <f t="shared" si="24"/>
        <v>1w</v>
      </c>
      <c r="X824" s="168">
        <f>_xll.qlCalendarAdvance(Calendar,X823,W824,"f",FALSE)</f>
        <v>44722</v>
      </c>
      <c r="Y824" s="173">
        <f>_xll.qlCalendarAdvance(Calendar,X824,NDays&amp;"D")</f>
        <v>44722</v>
      </c>
      <c r="Z824" s="174">
        <v>8.4869432654259107E-3</v>
      </c>
      <c r="AA824" s="177"/>
    </row>
    <row r="825" spans="22:27" x14ac:dyDescent="0.2">
      <c r="V825" s="163"/>
      <c r="W825" s="158" t="str">
        <f t="shared" si="24"/>
        <v>1w</v>
      </c>
      <c r="X825" s="168">
        <f>_xll.qlCalendarAdvance(Calendar,X824,W825,"f",FALSE)</f>
        <v>44729</v>
      </c>
      <c r="Y825" s="173">
        <f>_xll.qlCalendarAdvance(Calendar,X825,NDays&amp;"D")</f>
        <v>44729</v>
      </c>
      <c r="Z825" s="174">
        <v>8.5316873549412531E-3</v>
      </c>
      <c r="AA825" s="177"/>
    </row>
    <row r="826" spans="22:27" x14ac:dyDescent="0.2">
      <c r="V826" s="163"/>
      <c r="W826" s="158" t="str">
        <f t="shared" si="24"/>
        <v>1w</v>
      </c>
      <c r="X826" s="168">
        <f>_xll.qlCalendarAdvance(Calendar,X825,W826,"f",FALSE)</f>
        <v>44736</v>
      </c>
      <c r="Y826" s="173">
        <f>_xll.qlCalendarAdvance(Calendar,X826,NDays&amp;"D")</f>
        <v>44736</v>
      </c>
      <c r="Z826" s="174">
        <v>8.5768724124076403E-3</v>
      </c>
      <c r="AA826" s="177"/>
    </row>
    <row r="827" spans="22:27" x14ac:dyDescent="0.2">
      <c r="V827" s="163"/>
      <c r="W827" s="158" t="str">
        <f t="shared" si="24"/>
        <v>1w</v>
      </c>
      <c r="X827" s="168">
        <f>_xll.qlCalendarAdvance(Calendar,X826,W827,"f",FALSE)</f>
        <v>44743</v>
      </c>
      <c r="Y827" s="173">
        <f>_xll.qlCalendarAdvance(Calendar,X827,NDays&amp;"D")</f>
        <v>44743</v>
      </c>
      <c r="Z827" s="174">
        <v>8.6224984382843317E-3</v>
      </c>
      <c r="AA827" s="177"/>
    </row>
    <row r="828" spans="22:27" x14ac:dyDescent="0.2">
      <c r="V828" s="163"/>
      <c r="W828" s="158" t="str">
        <f t="shared" si="24"/>
        <v>1w</v>
      </c>
      <c r="X828" s="168">
        <f>_xll.qlCalendarAdvance(Calendar,X827,W828,"f",FALSE)</f>
        <v>44750</v>
      </c>
      <c r="Y828" s="173">
        <f>_xll.qlCalendarAdvance(Calendar,X828,NDays&amp;"D")</f>
        <v>44750</v>
      </c>
      <c r="Z828" s="174">
        <v>8.6685654330846233E-3</v>
      </c>
      <c r="AA828" s="177"/>
    </row>
    <row r="829" spans="22:27" x14ac:dyDescent="0.2">
      <c r="V829" s="163"/>
      <c r="W829" s="158" t="str">
        <f t="shared" si="24"/>
        <v>1w</v>
      </c>
      <c r="X829" s="168">
        <f>_xll.qlCalendarAdvance(Calendar,X828,W829,"f",FALSE)</f>
        <v>44757</v>
      </c>
      <c r="Y829" s="173">
        <f>_xll.qlCalendarAdvance(Calendar,X829,NDays&amp;"D")</f>
        <v>44757</v>
      </c>
      <c r="Z829" s="174">
        <v>8.7183957643663379E-3</v>
      </c>
      <c r="AA829" s="177"/>
    </row>
    <row r="830" spans="22:27" x14ac:dyDescent="0.2">
      <c r="V830" s="163"/>
      <c r="W830" s="158" t="str">
        <f t="shared" si="24"/>
        <v>1w</v>
      </c>
      <c r="X830" s="168">
        <f>_xll.qlCalendarAdvance(Calendar,X829,W830,"f",FALSE)</f>
        <v>44764</v>
      </c>
      <c r="Y830" s="173">
        <f>_xll.qlCalendarAdvance(Calendar,X830,NDays&amp;"D")</f>
        <v>44764</v>
      </c>
      <c r="Z830" s="174">
        <v>8.7609369476678491E-3</v>
      </c>
      <c r="AA830" s="177"/>
    </row>
    <row r="831" spans="22:27" x14ac:dyDescent="0.2">
      <c r="V831" s="163"/>
      <c r="W831" s="158" t="str">
        <f t="shared" si="24"/>
        <v>1w</v>
      </c>
      <c r="X831" s="168">
        <f>_xll.qlCalendarAdvance(Calendar,X830,W831,"f",FALSE)</f>
        <v>44771</v>
      </c>
      <c r="Y831" s="173">
        <f>_xll.qlCalendarAdvance(Calendar,X831,NDays&amp;"D")</f>
        <v>44771</v>
      </c>
      <c r="Z831" s="174">
        <v>8.8061560833933399E-3</v>
      </c>
      <c r="AA831" s="177"/>
    </row>
    <row r="832" spans="22:27" x14ac:dyDescent="0.2">
      <c r="V832" s="163"/>
      <c r="W832" s="158" t="str">
        <f t="shared" si="24"/>
        <v>1w</v>
      </c>
      <c r="X832" s="168">
        <f>_xll.qlCalendarAdvance(Calendar,X831,W832,"f",FALSE)</f>
        <v>44778</v>
      </c>
      <c r="Y832" s="173">
        <f>_xll.qlCalendarAdvance(Calendar,X832,NDays&amp;"D")</f>
        <v>44778</v>
      </c>
      <c r="Z832" s="174">
        <v>8.8506473126729705E-3</v>
      </c>
      <c r="AA832" s="177"/>
    </row>
    <row r="833" spans="22:27" x14ac:dyDescent="0.2">
      <c r="V833" s="163"/>
      <c r="W833" s="158" t="str">
        <f t="shared" si="24"/>
        <v>1w</v>
      </c>
      <c r="X833" s="168">
        <f>_xll.qlCalendarAdvance(Calendar,X832,W833,"f",FALSE)</f>
        <v>44785</v>
      </c>
      <c r="Y833" s="173">
        <f>_xll.qlCalendarAdvance(Calendar,X833,NDays&amp;"D")</f>
        <v>44785</v>
      </c>
      <c r="Z833" s="174">
        <v>8.8944106346692635E-3</v>
      </c>
      <c r="AA833" s="177"/>
    </row>
    <row r="834" spans="22:27" x14ac:dyDescent="0.2">
      <c r="V834" s="163"/>
      <c r="W834" s="158" t="str">
        <f t="shared" si="24"/>
        <v>1w</v>
      </c>
      <c r="X834" s="168">
        <f>_xll.qlCalendarAdvance(Calendar,X833,W834,"f",FALSE)</f>
        <v>44792</v>
      </c>
      <c r="Y834" s="173">
        <f>_xll.qlCalendarAdvance(Calendar,X834,NDays&amp;"D")</f>
        <v>44792</v>
      </c>
      <c r="Z834" s="174">
        <v>8.9374460486528022E-3</v>
      </c>
      <c r="AA834" s="177"/>
    </row>
    <row r="835" spans="22:27" x14ac:dyDescent="0.2">
      <c r="V835" s="163"/>
      <c r="W835" s="158" t="str">
        <f t="shared" si="24"/>
        <v>1w</v>
      </c>
      <c r="X835" s="168">
        <f>_xll.qlCalendarAdvance(Calendar,X834,W835,"f",FALSE)</f>
        <v>44799</v>
      </c>
      <c r="Y835" s="173">
        <f>_xll.qlCalendarAdvance(Calendar,X835,NDays&amp;"D")</f>
        <v>44799</v>
      </c>
      <c r="Z835" s="174">
        <v>8.9797535538131239E-3</v>
      </c>
      <c r="AA835" s="177"/>
    </row>
    <row r="836" spans="22:27" x14ac:dyDescent="0.2">
      <c r="V836" s="163"/>
      <c r="W836" s="158" t="str">
        <f t="shared" si="24"/>
        <v>1w</v>
      </c>
      <c r="X836" s="168">
        <f>_xll.qlCalendarAdvance(Calendar,X835,W836,"f",FALSE)</f>
        <v>44806</v>
      </c>
      <c r="Y836" s="173">
        <f>_xll.qlCalendarAdvance(Calendar,X836,NDays&amp;"D")</f>
        <v>44806</v>
      </c>
      <c r="Z836" s="174">
        <v>9.0213331493667805E-3</v>
      </c>
      <c r="AA836" s="177"/>
    </row>
    <row r="837" spans="22:27" x14ac:dyDescent="0.2">
      <c r="V837" s="163"/>
      <c r="W837" s="158" t="str">
        <f t="shared" si="24"/>
        <v>1w</v>
      </c>
      <c r="X837" s="168">
        <f>_xll.qlCalendarAdvance(Calendar,X836,W837,"f",FALSE)</f>
        <v>44813</v>
      </c>
      <c r="Y837" s="173">
        <f>_xll.qlCalendarAdvance(Calendar,X837,NDays&amp;"D")</f>
        <v>44813</v>
      </c>
      <c r="Z837" s="174">
        <v>9.0621848346383888E-3</v>
      </c>
      <c r="AA837" s="177"/>
    </row>
    <row r="838" spans="22:27" x14ac:dyDescent="0.2">
      <c r="V838" s="163"/>
      <c r="W838" s="158" t="str">
        <f t="shared" si="24"/>
        <v>1w</v>
      </c>
      <c r="X838" s="168">
        <f>_xll.qlCalendarAdvance(Calendar,X837,W838,"f",FALSE)</f>
        <v>44820</v>
      </c>
      <c r="Y838" s="173">
        <f>_xll.qlCalendarAdvance(Calendar,X838,NDays&amp;"D")</f>
        <v>44820</v>
      </c>
      <c r="Z838" s="174">
        <v>9.1052559707832659E-3</v>
      </c>
      <c r="AA838" s="177"/>
    </row>
    <row r="839" spans="22:27" x14ac:dyDescent="0.2">
      <c r="V839" s="163"/>
      <c r="W839" s="158" t="str">
        <f t="shared" si="24"/>
        <v>1w</v>
      </c>
      <c r="X839" s="168">
        <f>_xll.qlCalendarAdvance(Calendar,X838,W839,"f",FALSE)</f>
        <v>44830</v>
      </c>
      <c r="Y839" s="173">
        <f>_xll.qlCalendarAdvance(Calendar,X839,NDays&amp;"D")</f>
        <v>44830</v>
      </c>
      <c r="Z839" s="174">
        <v>9.1526021765087062E-3</v>
      </c>
      <c r="AA839" s="177"/>
    </row>
    <row r="840" spans="22:27" x14ac:dyDescent="0.2">
      <c r="V840" s="163"/>
      <c r="W840" s="158" t="str">
        <f t="shared" si="24"/>
        <v>1w</v>
      </c>
      <c r="X840" s="168">
        <f>_xll.qlCalendarAdvance(Calendar,X839,W840,"f",FALSE)</f>
        <v>44837</v>
      </c>
      <c r="Y840" s="173">
        <f>_xll.qlCalendarAdvance(Calendar,X840,NDays&amp;"D")</f>
        <v>44837</v>
      </c>
      <c r="Z840" s="174">
        <v>9.191060218527447E-3</v>
      </c>
      <c r="AA840" s="177"/>
    </row>
    <row r="841" spans="22:27" x14ac:dyDescent="0.2">
      <c r="V841" s="163"/>
      <c r="W841" s="158" t="str">
        <f t="shared" si="24"/>
        <v>1w</v>
      </c>
      <c r="X841" s="168">
        <f>_xll.qlCalendarAdvance(Calendar,X840,W841,"f",FALSE)</f>
        <v>44845</v>
      </c>
      <c r="Y841" s="173">
        <f>_xll.qlCalendarAdvance(Calendar,X841,NDays&amp;"D")</f>
        <v>44845</v>
      </c>
      <c r="Z841" s="174">
        <v>9.2341209792490275E-3</v>
      </c>
      <c r="AA841" s="177"/>
    </row>
    <row r="842" spans="22:27" x14ac:dyDescent="0.2">
      <c r="V842" s="163"/>
      <c r="W842" s="158" t="str">
        <f t="shared" si="24"/>
        <v>1w</v>
      </c>
      <c r="X842" s="168">
        <f>_xll.qlCalendarAdvance(Calendar,X841,W842,"f",FALSE)</f>
        <v>44852</v>
      </c>
      <c r="Y842" s="173">
        <f>_xll.qlCalendarAdvance(Calendar,X842,NDays&amp;"D")</f>
        <v>44852</v>
      </c>
      <c r="Z842" s="174">
        <v>9.2710192681688675E-3</v>
      </c>
      <c r="AA842" s="177"/>
    </row>
    <row r="843" spans="22:27" x14ac:dyDescent="0.2">
      <c r="V843" s="163"/>
      <c r="W843" s="158" t="str">
        <f t="shared" si="24"/>
        <v>1w</v>
      </c>
      <c r="X843" s="168">
        <f>_xll.qlCalendarAdvance(Calendar,X842,W843,"f",FALSE)</f>
        <v>44859</v>
      </c>
      <c r="Y843" s="173">
        <f>_xll.qlCalendarAdvance(Calendar,X843,NDays&amp;"D")</f>
        <v>44859</v>
      </c>
      <c r="Z843" s="174">
        <v>9.3071896719310043E-3</v>
      </c>
      <c r="AA843" s="177"/>
    </row>
    <row r="844" spans="22:27" x14ac:dyDescent="0.2">
      <c r="V844" s="163"/>
      <c r="W844" s="158" t="str">
        <f t="shared" si="24"/>
        <v>1w</v>
      </c>
      <c r="X844" s="168">
        <f>_xll.qlCalendarAdvance(Calendar,X843,W844,"f",FALSE)</f>
        <v>44866</v>
      </c>
      <c r="Y844" s="173">
        <f>_xll.qlCalendarAdvance(Calendar,X844,NDays&amp;"D")</f>
        <v>44866</v>
      </c>
      <c r="Z844" s="174">
        <v>9.3426321903733456E-3</v>
      </c>
      <c r="AA844" s="177"/>
    </row>
    <row r="845" spans="22:27" x14ac:dyDescent="0.2">
      <c r="V845" s="163"/>
      <c r="W845" s="158" t="str">
        <f t="shared" ref="W845:W908" si="25">W844</f>
        <v>1w</v>
      </c>
      <c r="X845" s="168">
        <f>_xll.qlCalendarAdvance(Calendar,X844,W845,"f",FALSE)</f>
        <v>44873</v>
      </c>
      <c r="Y845" s="173">
        <f>_xll.qlCalendarAdvance(Calendar,X845,NDays&amp;"D")</f>
        <v>44873</v>
      </c>
      <c r="Z845" s="174">
        <v>9.3773468230906598E-3</v>
      </c>
      <c r="AA845" s="177"/>
    </row>
    <row r="846" spans="22:27" x14ac:dyDescent="0.2">
      <c r="V846" s="163"/>
      <c r="W846" s="158" t="str">
        <f t="shared" si="25"/>
        <v>1w</v>
      </c>
      <c r="X846" s="168">
        <f>_xll.qlCalendarAdvance(Calendar,X845,W846,"f",FALSE)</f>
        <v>44880</v>
      </c>
      <c r="Y846" s="173">
        <f>_xll.qlCalendarAdvance(Calendar,X846,NDays&amp;"D")</f>
        <v>44880</v>
      </c>
      <c r="Z846" s="174">
        <v>9.4113335701639933E-3</v>
      </c>
      <c r="AA846" s="177"/>
    </row>
    <row r="847" spans="22:27" x14ac:dyDescent="0.2">
      <c r="V847" s="163"/>
      <c r="W847" s="158" t="str">
        <f t="shared" si="25"/>
        <v>1w</v>
      </c>
      <c r="X847" s="168">
        <f>_xll.qlCalendarAdvance(Calendar,X846,W847,"f",FALSE)</f>
        <v>44887</v>
      </c>
      <c r="Y847" s="173">
        <f>_xll.qlCalendarAdvance(Calendar,X847,NDays&amp;"D")</f>
        <v>44887</v>
      </c>
      <c r="Z847" s="174">
        <v>9.44706060745093E-3</v>
      </c>
      <c r="AA847" s="177"/>
    </row>
    <row r="848" spans="22:27" x14ac:dyDescent="0.2">
      <c r="V848" s="163"/>
      <c r="W848" s="158" t="str">
        <f t="shared" si="25"/>
        <v>1w</v>
      </c>
      <c r="X848" s="168">
        <f>_xll.qlCalendarAdvance(Calendar,X847,W848,"f",FALSE)</f>
        <v>44894</v>
      </c>
      <c r="Y848" s="173">
        <f>_xll.qlCalendarAdvance(Calendar,X848,NDays&amp;"D")</f>
        <v>44894</v>
      </c>
      <c r="Z848" s="174">
        <v>9.4771234061630238E-3</v>
      </c>
      <c r="AA848" s="177"/>
    </row>
    <row r="849" spans="22:27" x14ac:dyDescent="0.2">
      <c r="V849" s="163"/>
      <c r="W849" s="158" t="str">
        <f t="shared" si="25"/>
        <v>1w</v>
      </c>
      <c r="X849" s="168">
        <f>_xll.qlCalendarAdvance(Calendar,X848,W849,"f",FALSE)</f>
        <v>44901</v>
      </c>
      <c r="Y849" s="173">
        <f>_xll.qlCalendarAdvance(Calendar,X849,NDays&amp;"D")</f>
        <v>44901</v>
      </c>
      <c r="Z849" s="174">
        <v>9.5089264946834895E-3</v>
      </c>
      <c r="AA849" s="177"/>
    </row>
    <row r="850" spans="22:27" x14ac:dyDescent="0.2">
      <c r="V850" s="163"/>
      <c r="W850" s="158" t="str">
        <f t="shared" si="25"/>
        <v>1w</v>
      </c>
      <c r="X850" s="168">
        <f>_xll.qlCalendarAdvance(Calendar,X849,W850,"f",FALSE)</f>
        <v>44908</v>
      </c>
      <c r="Y850" s="173">
        <f>_xll.qlCalendarAdvance(Calendar,X850,NDays&amp;"D")</f>
        <v>44908</v>
      </c>
      <c r="Z850" s="174">
        <v>9.540001696587419E-3</v>
      </c>
      <c r="AA850" s="177"/>
    </row>
    <row r="851" spans="22:27" x14ac:dyDescent="0.2">
      <c r="V851" s="163"/>
      <c r="W851" s="158" t="str">
        <f t="shared" si="25"/>
        <v>1w</v>
      </c>
      <c r="X851" s="168">
        <f>_xll.qlCalendarAdvance(Calendar,X850,W851,"f",FALSE)</f>
        <v>44915</v>
      </c>
      <c r="Y851" s="173">
        <f>_xll.qlCalendarAdvance(Calendar,X851,NDays&amp;"D")</f>
        <v>44915</v>
      </c>
      <c r="Z851" s="174">
        <v>9.5703490117937662E-3</v>
      </c>
      <c r="AA851" s="177"/>
    </row>
    <row r="852" spans="22:27" x14ac:dyDescent="0.2">
      <c r="V852" s="163"/>
      <c r="W852" s="158" t="str">
        <f t="shared" si="25"/>
        <v>1w</v>
      </c>
      <c r="X852" s="168">
        <f>_xll.qlCalendarAdvance(Calendar,X851,W852,"f",FALSE)</f>
        <v>44922</v>
      </c>
      <c r="Y852" s="173">
        <f>_xll.qlCalendarAdvance(Calendar,X852,NDays&amp;"D")</f>
        <v>44922</v>
      </c>
      <c r="Z852" s="174">
        <v>9.5999684399783458E-3</v>
      </c>
      <c r="AA852" s="177"/>
    </row>
    <row r="853" spans="22:27" x14ac:dyDescent="0.2">
      <c r="V853" s="163"/>
      <c r="W853" s="158" t="str">
        <f t="shared" si="25"/>
        <v>1w</v>
      </c>
      <c r="X853" s="168">
        <f>_xll.qlCalendarAdvance(Calendar,X852,W853,"f",FALSE)</f>
        <v>44930</v>
      </c>
      <c r="Y853" s="173">
        <f>_xll.qlCalendarAdvance(Calendar,X853,NDays&amp;"D")</f>
        <v>44930</v>
      </c>
      <c r="Z853" s="174">
        <v>9.632927924794199E-3</v>
      </c>
      <c r="AA853" s="177"/>
    </row>
    <row r="854" spans="22:27" x14ac:dyDescent="0.2">
      <c r="V854" s="163"/>
      <c r="W854" s="158" t="str">
        <f t="shared" si="25"/>
        <v>1w</v>
      </c>
      <c r="X854" s="168">
        <f>_xll.qlCalendarAdvance(Calendar,X853,W854,"f",FALSE)</f>
        <v>44937</v>
      </c>
      <c r="Y854" s="173">
        <f>_xll.qlCalendarAdvance(Calendar,X854,NDays&amp;"D")</f>
        <v>44937</v>
      </c>
      <c r="Z854" s="174">
        <v>9.6609875947739621E-3</v>
      </c>
      <c r="AA854" s="177"/>
    </row>
    <row r="855" spans="22:27" x14ac:dyDescent="0.2">
      <c r="V855" s="163"/>
      <c r="W855" s="158" t="str">
        <f t="shared" si="25"/>
        <v>1w</v>
      </c>
      <c r="X855" s="168">
        <f>_xll.qlCalendarAdvance(Calendar,X854,W855,"f",FALSE)</f>
        <v>44944</v>
      </c>
      <c r="Y855" s="173">
        <f>_xll.qlCalendarAdvance(Calendar,X855,NDays&amp;"D")</f>
        <v>44944</v>
      </c>
      <c r="Z855" s="174">
        <v>9.6883193772456799E-3</v>
      </c>
      <c r="AA855" s="177"/>
    </row>
    <row r="856" spans="22:27" x14ac:dyDescent="0.2">
      <c r="V856" s="163"/>
      <c r="W856" s="158" t="str">
        <f t="shared" si="25"/>
        <v>1w</v>
      </c>
      <c r="X856" s="168">
        <f>_xll.qlCalendarAdvance(Calendar,X855,W856,"f",FALSE)</f>
        <v>44951</v>
      </c>
      <c r="Y856" s="173">
        <f>_xll.qlCalendarAdvance(Calendar,X856,NDays&amp;"D")</f>
        <v>44951</v>
      </c>
      <c r="Z856" s="174">
        <v>9.71492327204726E-3</v>
      </c>
      <c r="AA856" s="177"/>
    </row>
    <row r="857" spans="22:27" x14ac:dyDescent="0.2">
      <c r="V857" s="163"/>
      <c r="W857" s="158" t="str">
        <f t="shared" si="25"/>
        <v>1w</v>
      </c>
      <c r="X857" s="168">
        <f>_xll.qlCalendarAdvance(Calendar,X856,W857,"f",FALSE)</f>
        <v>44958</v>
      </c>
      <c r="Y857" s="173">
        <f>_xll.qlCalendarAdvance(Calendar,X857,NDays&amp;"D")</f>
        <v>44958</v>
      </c>
      <c r="Z857" s="174">
        <v>9.7407992790976561E-3</v>
      </c>
      <c r="AA857" s="177"/>
    </row>
    <row r="858" spans="22:27" x14ac:dyDescent="0.2">
      <c r="V858" s="163"/>
      <c r="W858" s="158" t="str">
        <f t="shared" si="25"/>
        <v>1w</v>
      </c>
      <c r="X858" s="168">
        <f>_xll.qlCalendarAdvance(Calendar,X857,W858,"f",FALSE)</f>
        <v>44965</v>
      </c>
      <c r="Y858" s="173">
        <f>_xll.qlCalendarAdvance(Calendar,X858,NDays&amp;"D")</f>
        <v>44965</v>
      </c>
      <c r="Z858" s="174">
        <v>9.7659473981537293E-3</v>
      </c>
      <c r="AA858" s="177"/>
    </row>
    <row r="859" spans="22:27" x14ac:dyDescent="0.2">
      <c r="V859" s="163"/>
      <c r="W859" s="158" t="str">
        <f t="shared" si="25"/>
        <v>1w</v>
      </c>
      <c r="X859" s="168">
        <f>_xll.qlCalendarAdvance(Calendar,X858,W859,"f",FALSE)</f>
        <v>44972</v>
      </c>
      <c r="Y859" s="173">
        <f>_xll.qlCalendarAdvance(Calendar,X859,NDays&amp;"D")</f>
        <v>44972</v>
      </c>
      <c r="Z859" s="174">
        <v>9.7903676291344333E-3</v>
      </c>
      <c r="AA859" s="177"/>
    </row>
    <row r="860" spans="22:27" x14ac:dyDescent="0.2">
      <c r="V860" s="163"/>
      <c r="W860" s="158" t="str">
        <f t="shared" si="25"/>
        <v>1w</v>
      </c>
      <c r="X860" s="168">
        <f>_xll.qlCalendarAdvance(Calendar,X859,W860,"f",FALSE)</f>
        <v>44979</v>
      </c>
      <c r="Y860" s="173">
        <f>_xll.qlCalendarAdvance(Calendar,X860,NDays&amp;"D")</f>
        <v>44979</v>
      </c>
      <c r="Z860" s="174">
        <v>9.8140599717966293E-3</v>
      </c>
      <c r="AA860" s="177"/>
    </row>
    <row r="861" spans="22:27" x14ac:dyDescent="0.2">
      <c r="V861" s="163"/>
      <c r="W861" s="158" t="str">
        <f t="shared" si="25"/>
        <v>1w</v>
      </c>
      <c r="X861" s="168">
        <f>_xll.qlCalendarAdvance(Calendar,X860,W861,"f",FALSE)</f>
        <v>44986</v>
      </c>
      <c r="Y861" s="173">
        <f>_xll.qlCalendarAdvance(Calendar,X861,NDays&amp;"D")</f>
        <v>44986</v>
      </c>
      <c r="Z861" s="174">
        <v>9.8370244261403172E-3</v>
      </c>
      <c r="AA861" s="177"/>
    </row>
    <row r="862" spans="22:27" x14ac:dyDescent="0.2">
      <c r="V862" s="163"/>
      <c r="W862" s="158" t="str">
        <f t="shared" si="25"/>
        <v>1w</v>
      </c>
      <c r="X862" s="168">
        <f>_xll.qlCalendarAdvance(Calendar,X861,W862,"f",FALSE)</f>
        <v>44993</v>
      </c>
      <c r="Y862" s="173">
        <f>_xll.qlCalendarAdvance(Calendar,X862,NDays&amp;"D")</f>
        <v>44993</v>
      </c>
      <c r="Z862" s="174">
        <v>9.8592609920034047E-3</v>
      </c>
      <c r="AA862" s="177"/>
    </row>
    <row r="863" spans="22:27" x14ac:dyDescent="0.2">
      <c r="V863" s="163"/>
      <c r="W863" s="158" t="str">
        <f t="shared" si="25"/>
        <v>1w</v>
      </c>
      <c r="X863" s="168">
        <f>_xll.qlCalendarAdvance(Calendar,X862,W863,"f",FALSE)</f>
        <v>45000</v>
      </c>
      <c r="Y863" s="173">
        <f>_xll.qlCalendarAdvance(Calendar,X863,NDays&amp;"D")</f>
        <v>45000</v>
      </c>
      <c r="Z863" s="174">
        <v>9.8807696691427527E-3</v>
      </c>
      <c r="AA863" s="177"/>
    </row>
    <row r="864" spans="22:27" x14ac:dyDescent="0.2">
      <c r="V864" s="163"/>
      <c r="W864" s="158" t="str">
        <f t="shared" si="25"/>
        <v>1w</v>
      </c>
      <c r="X864" s="168">
        <f>_xll.qlCalendarAdvance(Calendar,X863,W864,"f",FALSE)</f>
        <v>45007</v>
      </c>
      <c r="Y864" s="173">
        <f>_xll.qlCalendarAdvance(Calendar,X864,NDays&amp;"D")</f>
        <v>45007</v>
      </c>
      <c r="Z864" s="174">
        <v>9.9015504573962687E-3</v>
      </c>
      <c r="AA864" s="177"/>
    </row>
    <row r="865" spans="22:27" x14ac:dyDescent="0.2">
      <c r="V865" s="163"/>
      <c r="W865" s="158" t="str">
        <f t="shared" si="25"/>
        <v>1w</v>
      </c>
      <c r="X865" s="168">
        <f>_xll.qlCalendarAdvance(Calendar,X864,W865,"f",FALSE)</f>
        <v>45014</v>
      </c>
      <c r="Y865" s="173">
        <f>_xll.qlCalendarAdvance(Calendar,X865,NDays&amp;"D")</f>
        <v>45014</v>
      </c>
      <c r="Z865" s="174">
        <v>9.9216033568449991E-3</v>
      </c>
      <c r="AA865" s="177"/>
    </row>
    <row r="866" spans="22:27" x14ac:dyDescent="0.2">
      <c r="V866" s="163"/>
      <c r="W866" s="158" t="str">
        <f t="shared" si="25"/>
        <v>1w</v>
      </c>
      <c r="X866" s="168">
        <f>_xll.qlCalendarAdvance(Calendar,X865,W866,"f",FALSE)</f>
        <v>45021</v>
      </c>
      <c r="Y866" s="173">
        <f>_xll.qlCalendarAdvance(Calendar,X866,NDays&amp;"D")</f>
        <v>45021</v>
      </c>
      <c r="Z866" s="174">
        <v>9.9409283672458049E-3</v>
      </c>
      <c r="AA866" s="177"/>
    </row>
    <row r="867" spans="22:27" x14ac:dyDescent="0.2">
      <c r="V867" s="163"/>
      <c r="W867" s="158" t="str">
        <f t="shared" si="25"/>
        <v>1w</v>
      </c>
      <c r="X867" s="168">
        <f>_xll.qlCalendarAdvance(Calendar,X866,W867,"f",FALSE)</f>
        <v>45028</v>
      </c>
      <c r="Y867" s="173">
        <f>_xll.qlCalendarAdvance(Calendar,X867,NDays&amp;"D")</f>
        <v>45028</v>
      </c>
      <c r="Z867" s="174">
        <v>9.9595254885176399E-3</v>
      </c>
      <c r="AA867" s="177"/>
    </row>
    <row r="868" spans="22:27" x14ac:dyDescent="0.2">
      <c r="V868" s="163"/>
      <c r="W868" s="158" t="str">
        <f t="shared" si="25"/>
        <v>1w</v>
      </c>
      <c r="X868" s="168">
        <f>_xll.qlCalendarAdvance(Calendar,X867,W868,"f",FALSE)</f>
        <v>45035</v>
      </c>
      <c r="Y868" s="173">
        <f>_xll.qlCalendarAdvance(Calendar,X868,NDays&amp;"D")</f>
        <v>45035</v>
      </c>
      <c r="Z868" s="174">
        <v>9.9773947204173652E-3</v>
      </c>
      <c r="AA868" s="177"/>
    </row>
    <row r="869" spans="22:27" x14ac:dyDescent="0.2">
      <c r="V869" s="163"/>
      <c r="W869" s="158" t="str">
        <f t="shared" si="25"/>
        <v>1w</v>
      </c>
      <c r="X869" s="168">
        <f>_xll.qlCalendarAdvance(Calendar,X868,W869,"f",FALSE)</f>
        <v>45042</v>
      </c>
      <c r="Y869" s="173">
        <f>_xll.qlCalendarAdvance(Calendar,X869,NDays&amp;"D")</f>
        <v>45042</v>
      </c>
      <c r="Z869" s="174">
        <v>9.9945360630260272E-3</v>
      </c>
      <c r="AA869" s="177"/>
    </row>
    <row r="870" spans="22:27" x14ac:dyDescent="0.2">
      <c r="V870" s="163"/>
      <c r="W870" s="158" t="str">
        <f t="shared" si="25"/>
        <v>1w</v>
      </c>
      <c r="X870" s="168">
        <f>_xll.qlCalendarAdvance(Calendar,X869,W870,"f",FALSE)</f>
        <v>45054</v>
      </c>
      <c r="Y870" s="173">
        <f>_xll.qlCalendarAdvance(Calendar,X870,NDays&amp;"D")</f>
        <v>45054</v>
      </c>
      <c r="Z870" s="174">
        <v>1.0022227764655556E-2</v>
      </c>
      <c r="AA870" s="177"/>
    </row>
    <row r="871" spans="22:27" x14ac:dyDescent="0.2">
      <c r="V871" s="163"/>
      <c r="W871" s="158" t="str">
        <f t="shared" si="25"/>
        <v>1w</v>
      </c>
      <c r="X871" s="168">
        <f>_xll.qlCalendarAdvance(Calendar,X870,W871,"f",FALSE)</f>
        <v>45061</v>
      </c>
      <c r="Y871" s="173">
        <f>_xll.qlCalendarAdvance(Calendar,X871,NDays&amp;"D")</f>
        <v>45061</v>
      </c>
      <c r="Z871" s="174">
        <v>1.0037393406984174E-2</v>
      </c>
      <c r="AA871" s="177"/>
    </row>
    <row r="872" spans="22:27" x14ac:dyDescent="0.2">
      <c r="V872" s="163"/>
      <c r="W872" s="158" t="str">
        <f t="shared" si="25"/>
        <v>1w</v>
      </c>
      <c r="X872" s="168">
        <f>_xll.qlCalendarAdvance(Calendar,X871,W872,"f",FALSE)</f>
        <v>45068</v>
      </c>
      <c r="Y872" s="173">
        <f>_xll.qlCalendarAdvance(Calendar,X872,NDays&amp;"D")</f>
        <v>45068</v>
      </c>
      <c r="Z872" s="174">
        <v>1.0051831159697544E-2</v>
      </c>
      <c r="AA872" s="177"/>
    </row>
    <row r="873" spans="22:27" x14ac:dyDescent="0.2">
      <c r="V873" s="163"/>
      <c r="W873" s="158" t="str">
        <f t="shared" si="25"/>
        <v>1w</v>
      </c>
      <c r="X873" s="168">
        <f>_xll.qlCalendarAdvance(Calendar,X872,W873,"f",FALSE)</f>
        <v>45075</v>
      </c>
      <c r="Y873" s="173">
        <f>_xll.qlCalendarAdvance(Calendar,X873,NDays&amp;"D")</f>
        <v>45075</v>
      </c>
      <c r="Z873" s="174">
        <v>1.006554102247148E-2</v>
      </c>
      <c r="AA873" s="177"/>
    </row>
    <row r="874" spans="22:27" x14ac:dyDescent="0.2">
      <c r="V874" s="163"/>
      <c r="W874" s="158" t="str">
        <f t="shared" si="25"/>
        <v>1w</v>
      </c>
      <c r="X874" s="168">
        <f>_xll.qlCalendarAdvance(Calendar,X873,W874,"f",FALSE)</f>
        <v>45082</v>
      </c>
      <c r="Y874" s="173">
        <f>_xll.qlCalendarAdvance(Calendar,X874,NDays&amp;"D")</f>
        <v>45082</v>
      </c>
      <c r="Z874" s="174">
        <v>1.0078522995468076E-2</v>
      </c>
      <c r="AA874" s="177"/>
    </row>
    <row r="875" spans="22:27" x14ac:dyDescent="0.2">
      <c r="V875" s="163"/>
      <c r="W875" s="158" t="str">
        <f t="shared" si="25"/>
        <v>1w</v>
      </c>
      <c r="X875" s="168">
        <f>_xll.qlCalendarAdvance(Calendar,X874,W875,"f",FALSE)</f>
        <v>45089</v>
      </c>
      <c r="Y875" s="173">
        <f>_xll.qlCalendarAdvance(Calendar,X875,NDays&amp;"D")</f>
        <v>45089</v>
      </c>
      <c r="Z875" s="174">
        <v>1.0090777078444191E-2</v>
      </c>
      <c r="AA875" s="177"/>
    </row>
    <row r="876" spans="22:27" x14ac:dyDescent="0.2">
      <c r="V876" s="163"/>
      <c r="W876" s="158" t="str">
        <f t="shared" si="25"/>
        <v>1w</v>
      </c>
      <c r="X876" s="168">
        <f>_xll.qlCalendarAdvance(Calendar,X875,W876,"f",FALSE)</f>
        <v>45096</v>
      </c>
      <c r="Y876" s="173">
        <f>_xll.qlCalendarAdvance(Calendar,X876,NDays&amp;"D")</f>
        <v>45096</v>
      </c>
      <c r="Z876" s="174">
        <v>1.010230327131878E-2</v>
      </c>
      <c r="AA876" s="177"/>
    </row>
    <row r="877" spans="22:27" x14ac:dyDescent="0.2">
      <c r="V877" s="163"/>
      <c r="W877" s="158" t="str">
        <f t="shared" si="25"/>
        <v>1w</v>
      </c>
      <c r="X877" s="168">
        <f>_xll.qlCalendarAdvance(Calendar,X876,W877,"f",FALSE)</f>
        <v>45103</v>
      </c>
      <c r="Y877" s="173">
        <f>_xll.qlCalendarAdvance(Calendar,X877,NDays&amp;"D")</f>
        <v>45103</v>
      </c>
      <c r="Z877" s="174">
        <v>1.0113101574091843E-2</v>
      </c>
      <c r="AA877" s="177"/>
    </row>
    <row r="878" spans="22:27" x14ac:dyDescent="0.2">
      <c r="V878" s="163"/>
      <c r="W878" s="158" t="str">
        <f t="shared" si="25"/>
        <v>1w</v>
      </c>
      <c r="X878" s="168">
        <f>_xll.qlCalendarAdvance(Calendar,X877,W878,"f",FALSE)</f>
        <v>45110</v>
      </c>
      <c r="Y878" s="173">
        <f>_xll.qlCalendarAdvance(Calendar,X878,NDays&amp;"D")</f>
        <v>45110</v>
      </c>
      <c r="Z878" s="174">
        <v>1.012317198676338E-2</v>
      </c>
      <c r="AA878" s="177"/>
    </row>
    <row r="879" spans="22:27" x14ac:dyDescent="0.2">
      <c r="V879" s="163"/>
      <c r="W879" s="158" t="str">
        <f t="shared" si="25"/>
        <v>1w</v>
      </c>
      <c r="X879" s="168">
        <f>_xll.qlCalendarAdvance(Calendar,X878,W879,"f",FALSE)</f>
        <v>45117</v>
      </c>
      <c r="Y879" s="173">
        <f>_xll.qlCalendarAdvance(Calendar,X879,NDays&amp;"D")</f>
        <v>45117</v>
      </c>
      <c r="Z879" s="174">
        <v>1.0132514509171298E-2</v>
      </c>
      <c r="AA879" s="177"/>
    </row>
    <row r="880" spans="22:27" x14ac:dyDescent="0.2">
      <c r="V880" s="163"/>
      <c r="W880" s="158" t="str">
        <f t="shared" si="25"/>
        <v>1w</v>
      </c>
      <c r="X880" s="168">
        <f>_xll.qlCalendarAdvance(Calendar,X879,W880,"f",FALSE)</f>
        <v>45125</v>
      </c>
      <c r="Y880" s="173">
        <f>_xll.qlCalendarAdvance(Calendar,X880,NDays&amp;"D")</f>
        <v>45125</v>
      </c>
      <c r="Z880" s="174">
        <v>1.0142662669864189E-2</v>
      </c>
      <c r="AA880" s="177"/>
    </row>
    <row r="881" spans="22:27" x14ac:dyDescent="0.2">
      <c r="V881" s="163"/>
      <c r="W881" s="158" t="str">
        <f t="shared" si="25"/>
        <v>1w</v>
      </c>
      <c r="X881" s="168">
        <f>_xll.qlCalendarAdvance(Calendar,X880,W881,"f",FALSE)</f>
        <v>45132</v>
      </c>
      <c r="Y881" s="173">
        <f>_xll.qlCalendarAdvance(Calendar,X881,NDays&amp;"D")</f>
        <v>45132</v>
      </c>
      <c r="Z881" s="174">
        <v>1.015244097301804E-2</v>
      </c>
      <c r="AA881" s="177"/>
    </row>
    <row r="882" spans="22:27" x14ac:dyDescent="0.2">
      <c r="V882" s="163"/>
      <c r="W882" s="158" t="str">
        <f t="shared" si="25"/>
        <v>1w</v>
      </c>
      <c r="X882" s="168">
        <f>_xll.qlCalendarAdvance(Calendar,X881,W882,"f",FALSE)</f>
        <v>45139</v>
      </c>
      <c r="Y882" s="173">
        <f>_xll.qlCalendarAdvance(Calendar,X882,NDays&amp;"D")</f>
        <v>45139</v>
      </c>
      <c r="Z882" s="174">
        <v>1.0163237488477472E-2</v>
      </c>
      <c r="AA882" s="177"/>
    </row>
    <row r="883" spans="22:27" x14ac:dyDescent="0.2">
      <c r="V883" s="163"/>
      <c r="W883" s="158" t="str">
        <f t="shared" si="25"/>
        <v>1w</v>
      </c>
      <c r="X883" s="168">
        <f>_xll.qlCalendarAdvance(Calendar,X882,W883,"f",FALSE)</f>
        <v>45146</v>
      </c>
      <c r="Y883" s="173">
        <f>_xll.qlCalendarAdvance(Calendar,X883,NDays&amp;"D")</f>
        <v>45146</v>
      </c>
      <c r="Z883" s="174">
        <v>1.0175052216242486E-2</v>
      </c>
      <c r="AA883" s="177"/>
    </row>
    <row r="884" spans="22:27" x14ac:dyDescent="0.2">
      <c r="V884" s="163"/>
      <c r="W884" s="158" t="str">
        <f t="shared" si="25"/>
        <v>1w</v>
      </c>
      <c r="X884" s="168">
        <f>_xll.qlCalendarAdvance(Calendar,X883,W884,"f",FALSE)</f>
        <v>45153</v>
      </c>
      <c r="Y884" s="173">
        <f>_xll.qlCalendarAdvance(Calendar,X884,NDays&amp;"D")</f>
        <v>45153</v>
      </c>
      <c r="Z884" s="174">
        <v>1.0187885156475174E-2</v>
      </c>
      <c r="AA884" s="177"/>
    </row>
    <row r="885" spans="22:27" x14ac:dyDescent="0.2">
      <c r="V885" s="163"/>
      <c r="W885" s="158" t="str">
        <f t="shared" si="25"/>
        <v>1w</v>
      </c>
      <c r="X885" s="168">
        <f>_xll.qlCalendarAdvance(Calendar,X884,W885,"f",FALSE)</f>
        <v>45160</v>
      </c>
      <c r="Y885" s="173">
        <f>_xll.qlCalendarAdvance(Calendar,X885,NDays&amp;"D")</f>
        <v>45160</v>
      </c>
      <c r="Z885" s="174">
        <v>1.0201736309256582E-2</v>
      </c>
      <c r="AA885" s="177"/>
    </row>
    <row r="886" spans="22:27" x14ac:dyDescent="0.2">
      <c r="V886" s="163"/>
      <c r="W886" s="158" t="str">
        <f t="shared" si="25"/>
        <v>1w</v>
      </c>
      <c r="X886" s="168">
        <f>_xll.qlCalendarAdvance(Calendar,X885,W886,"f",FALSE)</f>
        <v>45167</v>
      </c>
      <c r="Y886" s="173">
        <f>_xll.qlCalendarAdvance(Calendar,X886,NDays&amp;"D")</f>
        <v>45167</v>
      </c>
      <c r="Z886" s="174">
        <v>1.0216605674667756E-2</v>
      </c>
      <c r="AA886" s="177"/>
    </row>
    <row r="887" spans="22:27" x14ac:dyDescent="0.2">
      <c r="V887" s="163"/>
      <c r="W887" s="158" t="str">
        <f t="shared" si="25"/>
        <v>1w</v>
      </c>
      <c r="X887" s="168">
        <f>_xll.qlCalendarAdvance(Calendar,X886,W887,"f",FALSE)</f>
        <v>45174</v>
      </c>
      <c r="Y887" s="173">
        <f>_xll.qlCalendarAdvance(Calendar,X887,NDays&amp;"D")</f>
        <v>45174</v>
      </c>
      <c r="Z887" s="174">
        <v>1.0232493252951835E-2</v>
      </c>
      <c r="AA887" s="177"/>
    </row>
    <row r="888" spans="22:27" x14ac:dyDescent="0.2">
      <c r="V888" s="163"/>
      <c r="W888" s="158" t="str">
        <f t="shared" si="25"/>
        <v>1w</v>
      </c>
      <c r="X888" s="168">
        <f>_xll.qlCalendarAdvance(Calendar,X887,W888,"f",FALSE)</f>
        <v>45181</v>
      </c>
      <c r="Y888" s="173">
        <f>_xll.qlCalendarAdvance(Calendar,X888,NDays&amp;"D")</f>
        <v>45181</v>
      </c>
      <c r="Z888" s="174">
        <v>1.024939904410882E-2</v>
      </c>
      <c r="AA888" s="177"/>
    </row>
    <row r="889" spans="22:27" x14ac:dyDescent="0.2">
      <c r="V889" s="163"/>
      <c r="W889" s="158" t="str">
        <f t="shared" si="25"/>
        <v>1w</v>
      </c>
      <c r="X889" s="168">
        <f>_xll.qlCalendarAdvance(Calendar,X888,W889,"f",FALSE)</f>
        <v>45188</v>
      </c>
      <c r="Y889" s="173">
        <f>_xll.qlCalendarAdvance(Calendar,X889,NDays&amp;"D")</f>
        <v>45188</v>
      </c>
      <c r="Z889" s="174">
        <v>1.0267323048381849E-2</v>
      </c>
      <c r="AA889" s="177"/>
    </row>
    <row r="890" spans="22:27" x14ac:dyDescent="0.2">
      <c r="V890" s="163"/>
      <c r="W890" s="158" t="str">
        <f t="shared" si="25"/>
        <v>1w</v>
      </c>
      <c r="X890" s="168">
        <f>_xll.qlCalendarAdvance(Calendar,X889,W890,"f",FALSE)</f>
        <v>45195</v>
      </c>
      <c r="Y890" s="173">
        <f>_xll.qlCalendarAdvance(Calendar,X890,NDays&amp;"D")</f>
        <v>45195</v>
      </c>
      <c r="Z890" s="174">
        <v>1.0286265265851968E-2</v>
      </c>
      <c r="AA890" s="177"/>
    </row>
    <row r="891" spans="22:27" x14ac:dyDescent="0.2">
      <c r="V891" s="163"/>
      <c r="W891" s="158" t="str">
        <f t="shared" si="25"/>
        <v>1w</v>
      </c>
      <c r="X891" s="168">
        <f>_xll.qlCalendarAdvance(Calendar,X890,W891,"f",FALSE)</f>
        <v>45202</v>
      </c>
      <c r="Y891" s="173">
        <f>_xll.qlCalendarAdvance(Calendar,X891,NDays&amp;"D")</f>
        <v>45202</v>
      </c>
      <c r="Z891" s="174">
        <v>1.0306225696762317E-2</v>
      </c>
      <c r="AA891" s="177"/>
    </row>
    <row r="892" spans="22:27" x14ac:dyDescent="0.2">
      <c r="V892" s="163"/>
      <c r="W892" s="158" t="str">
        <f t="shared" si="25"/>
        <v>1w</v>
      </c>
      <c r="X892" s="168">
        <f>_xll.qlCalendarAdvance(Calendar,X891,W892,"f",FALSE)</f>
        <v>45209</v>
      </c>
      <c r="Y892" s="173">
        <f>_xll.qlCalendarAdvance(Calendar,X892,NDays&amp;"D")</f>
        <v>45209</v>
      </c>
      <c r="Z892" s="174">
        <v>1.0327204341112894E-2</v>
      </c>
      <c r="AA892" s="177"/>
    </row>
    <row r="893" spans="22:27" x14ac:dyDescent="0.2">
      <c r="V893" s="163"/>
      <c r="W893" s="158" t="str">
        <f t="shared" si="25"/>
        <v>1w</v>
      </c>
      <c r="X893" s="168">
        <f>_xll.qlCalendarAdvance(Calendar,X892,W893,"f",FALSE)</f>
        <v>45216</v>
      </c>
      <c r="Y893" s="173">
        <f>_xll.qlCalendarAdvance(Calendar,X893,NDays&amp;"D")</f>
        <v>45216</v>
      </c>
      <c r="Z893" s="174">
        <v>1.0349201199308933E-2</v>
      </c>
      <c r="AA893" s="177"/>
    </row>
    <row r="894" spans="22:27" x14ac:dyDescent="0.2">
      <c r="V894" s="163"/>
      <c r="W894" s="158" t="str">
        <f t="shared" si="25"/>
        <v>1w</v>
      </c>
      <c r="X894" s="168">
        <f>_xll.qlCalendarAdvance(Calendar,X893,W894,"f",FALSE)</f>
        <v>45223</v>
      </c>
      <c r="Y894" s="173">
        <f>_xll.qlCalendarAdvance(Calendar,X894,NDays&amp;"D")</f>
        <v>45223</v>
      </c>
      <c r="Z894" s="174">
        <v>1.0372216271350432E-2</v>
      </c>
      <c r="AA894" s="177"/>
    </row>
    <row r="895" spans="22:27" x14ac:dyDescent="0.2">
      <c r="V895" s="163"/>
      <c r="W895" s="158" t="str">
        <f t="shared" si="25"/>
        <v>1w</v>
      </c>
      <c r="X895" s="168">
        <f>_xll.qlCalendarAdvance(Calendar,X894,W895,"f",FALSE)</f>
        <v>45230</v>
      </c>
      <c r="Y895" s="173">
        <f>_xll.qlCalendarAdvance(Calendar,X895,NDays&amp;"D")</f>
        <v>45230</v>
      </c>
      <c r="Z895" s="174">
        <v>1.0396249557561577E-2</v>
      </c>
      <c r="AA895" s="177"/>
    </row>
    <row r="896" spans="22:27" x14ac:dyDescent="0.2">
      <c r="V896" s="163"/>
      <c r="W896" s="158" t="str">
        <f t="shared" si="25"/>
        <v>1w</v>
      </c>
      <c r="X896" s="168">
        <f>_xll.qlCalendarAdvance(Calendar,X895,W896,"f",FALSE)</f>
        <v>45237</v>
      </c>
      <c r="Y896" s="173">
        <f>_xll.qlCalendarAdvance(Calendar,X896,NDays&amp;"D")</f>
        <v>45237</v>
      </c>
      <c r="Z896" s="174">
        <v>1.0421301058023413E-2</v>
      </c>
      <c r="AA896" s="177"/>
    </row>
    <row r="897" spans="22:27" x14ac:dyDescent="0.2">
      <c r="V897" s="163"/>
      <c r="W897" s="158" t="str">
        <f t="shared" si="25"/>
        <v>1w</v>
      </c>
      <c r="X897" s="168">
        <f>_xll.qlCalendarAdvance(Calendar,X896,W897,"f",FALSE)</f>
        <v>45244</v>
      </c>
      <c r="Y897" s="173">
        <f>_xll.qlCalendarAdvance(Calendar,X897,NDays&amp;"D")</f>
        <v>45244</v>
      </c>
      <c r="Z897" s="174">
        <v>1.0447370772979081E-2</v>
      </c>
      <c r="AA897" s="177"/>
    </row>
    <row r="898" spans="22:27" x14ac:dyDescent="0.2">
      <c r="V898" s="163"/>
      <c r="W898" s="158" t="str">
        <f t="shared" si="25"/>
        <v>1w</v>
      </c>
      <c r="X898" s="168">
        <f>_xll.qlCalendarAdvance(Calendar,X897,W898,"f",FALSE)</f>
        <v>45251</v>
      </c>
      <c r="Y898" s="173">
        <f>_xll.qlCalendarAdvance(Calendar,X898,NDays&amp;"D")</f>
        <v>45251</v>
      </c>
      <c r="Z898" s="174">
        <v>1.0474458702671718E-2</v>
      </c>
      <c r="AA898" s="177"/>
    </row>
    <row r="899" spans="22:27" x14ac:dyDescent="0.2">
      <c r="V899" s="163"/>
      <c r="W899" s="158" t="str">
        <f t="shared" si="25"/>
        <v>1w</v>
      </c>
      <c r="X899" s="168">
        <f>_xll.qlCalendarAdvance(Calendar,X898,W899,"f",FALSE)</f>
        <v>45258</v>
      </c>
      <c r="Y899" s="173">
        <f>_xll.qlCalendarAdvance(Calendar,X899,NDays&amp;"D")</f>
        <v>45258</v>
      </c>
      <c r="Z899" s="174">
        <v>1.0502564847344464E-2</v>
      </c>
      <c r="AA899" s="177"/>
    </row>
    <row r="900" spans="22:27" x14ac:dyDescent="0.2">
      <c r="V900" s="163"/>
      <c r="W900" s="158" t="str">
        <f t="shared" si="25"/>
        <v>1w</v>
      </c>
      <c r="X900" s="168">
        <f>_xll.qlCalendarAdvance(Calendar,X899,W900,"f",FALSE)</f>
        <v>45265</v>
      </c>
      <c r="Y900" s="173">
        <f>_xll.qlCalendarAdvance(Calendar,X900,NDays&amp;"D")</f>
        <v>45265</v>
      </c>
      <c r="Z900" s="174">
        <v>1.0531689207159411E-2</v>
      </c>
      <c r="AA900" s="177"/>
    </row>
    <row r="901" spans="22:27" x14ac:dyDescent="0.2">
      <c r="V901" s="163"/>
      <c r="W901" s="158" t="str">
        <f t="shared" si="25"/>
        <v>1w</v>
      </c>
      <c r="X901" s="168">
        <f>_xll.qlCalendarAdvance(Calendar,X900,W901,"f",FALSE)</f>
        <v>45272</v>
      </c>
      <c r="Y901" s="173">
        <f>_xll.qlCalendarAdvance(Calendar,X901,NDays&amp;"D")</f>
        <v>45272</v>
      </c>
      <c r="Z901" s="174">
        <v>1.0561831782521791E-2</v>
      </c>
      <c r="AA901" s="177"/>
    </row>
    <row r="902" spans="22:27" x14ac:dyDescent="0.2">
      <c r="V902" s="163"/>
      <c r="W902" s="158" t="str">
        <f t="shared" si="25"/>
        <v>1w</v>
      </c>
      <c r="X902" s="168">
        <f>_xll.qlCalendarAdvance(Calendar,X901,W902,"f",FALSE)</f>
        <v>45279</v>
      </c>
      <c r="Y902" s="173">
        <f>_xll.qlCalendarAdvance(Calendar,X902,NDays&amp;"D")</f>
        <v>45279</v>
      </c>
      <c r="Z902" s="174">
        <v>1.059299257351265E-2</v>
      </c>
      <c r="AA902" s="177"/>
    </row>
    <row r="903" spans="22:27" x14ac:dyDescent="0.2">
      <c r="V903" s="163"/>
      <c r="W903" s="158" t="str">
        <f t="shared" si="25"/>
        <v>1w</v>
      </c>
      <c r="X903" s="168">
        <f>_xll.qlCalendarAdvance(Calendar,X902,W903,"f",FALSE)</f>
        <v>45286</v>
      </c>
      <c r="Y903" s="173">
        <f>_xll.qlCalendarAdvance(Calendar,X903,NDays&amp;"D")</f>
        <v>45286</v>
      </c>
      <c r="Z903" s="174">
        <v>1.0625171580456172E-2</v>
      </c>
      <c r="AA903" s="177"/>
    </row>
    <row r="904" spans="22:27" x14ac:dyDescent="0.2">
      <c r="V904" s="163"/>
      <c r="W904" s="158" t="str">
        <f t="shared" si="25"/>
        <v>1w</v>
      </c>
      <c r="X904" s="168">
        <f>_xll.qlCalendarAdvance(Calendar,X903,W904,"f",FALSE)</f>
        <v>45295</v>
      </c>
      <c r="Y904" s="173">
        <f>_xll.qlCalendarAdvance(Calendar,X904,NDays&amp;"D")</f>
        <v>45295</v>
      </c>
      <c r="Z904" s="174">
        <v>1.0668040743879725E-2</v>
      </c>
      <c r="AA904" s="177"/>
    </row>
    <row r="905" spans="22:27" x14ac:dyDescent="0.2">
      <c r="V905" s="163"/>
      <c r="W905" s="158" t="str">
        <f t="shared" si="25"/>
        <v>1w</v>
      </c>
      <c r="X905" s="168">
        <f>_xll.qlCalendarAdvance(Calendar,X904,W905,"f",FALSE)</f>
        <v>45302</v>
      </c>
      <c r="Y905" s="173">
        <f>_xll.qlCalendarAdvance(Calendar,X905,NDays&amp;"D")</f>
        <v>45302</v>
      </c>
      <c r="Z905" s="174">
        <v>1.0702547102567905E-2</v>
      </c>
      <c r="AA905" s="177"/>
    </row>
    <row r="906" spans="22:27" x14ac:dyDescent="0.2">
      <c r="V906" s="163"/>
      <c r="W906" s="158" t="str">
        <f t="shared" si="25"/>
        <v>1w</v>
      </c>
      <c r="X906" s="168">
        <f>_xll.qlCalendarAdvance(Calendar,X905,W906,"f",FALSE)</f>
        <v>45309</v>
      </c>
      <c r="Y906" s="173">
        <f>_xll.qlCalendarAdvance(Calendar,X906,NDays&amp;"D")</f>
        <v>45309</v>
      </c>
      <c r="Z906" s="174">
        <v>1.0738071678100258E-2</v>
      </c>
      <c r="AA906" s="177"/>
    </row>
    <row r="907" spans="22:27" x14ac:dyDescent="0.2">
      <c r="V907" s="163"/>
      <c r="W907" s="158" t="str">
        <f t="shared" si="25"/>
        <v>1w</v>
      </c>
      <c r="X907" s="168">
        <f>_xll.qlCalendarAdvance(Calendar,X906,W907,"f",FALSE)</f>
        <v>45316</v>
      </c>
      <c r="Y907" s="173">
        <f>_xll.qlCalendarAdvance(Calendar,X907,NDays&amp;"D")</f>
        <v>45316</v>
      </c>
      <c r="Z907" s="174">
        <v>1.0774614470882016E-2</v>
      </c>
      <c r="AA907" s="177"/>
    </row>
    <row r="908" spans="22:27" x14ac:dyDescent="0.2">
      <c r="V908" s="163"/>
      <c r="W908" s="158" t="str">
        <f t="shared" si="25"/>
        <v>1w</v>
      </c>
      <c r="X908" s="168">
        <f>_xll.qlCalendarAdvance(Calendar,X907,W908,"f",FALSE)</f>
        <v>45323</v>
      </c>
      <c r="Y908" s="173">
        <f>_xll.qlCalendarAdvance(Calendar,X908,NDays&amp;"D")</f>
        <v>45323</v>
      </c>
      <c r="Z908" s="174">
        <v>1.081217548107527E-2</v>
      </c>
      <c r="AA908" s="177"/>
    </row>
    <row r="909" spans="22:27" x14ac:dyDescent="0.2">
      <c r="V909" s="163"/>
      <c r="W909" s="158" t="str">
        <f t="shared" ref="W909:W972" si="26">W908</f>
        <v>1w</v>
      </c>
      <c r="X909" s="168">
        <f>_xll.qlCalendarAdvance(Calendar,X908,W909,"f",FALSE)</f>
        <v>45330</v>
      </c>
      <c r="Y909" s="173">
        <f>_xll.qlCalendarAdvance(Calendar,X909,NDays&amp;"D")</f>
        <v>45330</v>
      </c>
      <c r="Z909" s="174">
        <v>1.0850754709085253E-2</v>
      </c>
      <c r="AA909" s="177"/>
    </row>
    <row r="910" spans="22:27" x14ac:dyDescent="0.2">
      <c r="V910" s="163"/>
      <c r="W910" s="158" t="str">
        <f t="shared" si="26"/>
        <v>1w</v>
      </c>
      <c r="X910" s="168">
        <f>_xll.qlCalendarAdvance(Calendar,X909,W910,"f",FALSE)</f>
        <v>45337</v>
      </c>
      <c r="Y910" s="173">
        <f>_xll.qlCalendarAdvance(Calendar,X910,NDays&amp;"D")</f>
        <v>45337</v>
      </c>
      <c r="Z910" s="174">
        <v>1.0890352155236149E-2</v>
      </c>
      <c r="AA910" s="177"/>
    </row>
    <row r="911" spans="22:27" x14ac:dyDescent="0.2">
      <c r="V911" s="163"/>
      <c r="W911" s="158" t="str">
        <f t="shared" si="26"/>
        <v>1w</v>
      </c>
      <c r="X911" s="168">
        <f>_xll.qlCalendarAdvance(Calendar,X910,W911,"f",FALSE)</f>
        <v>45344</v>
      </c>
      <c r="Y911" s="173">
        <f>_xll.qlCalendarAdvance(Calendar,X911,NDays&amp;"D")</f>
        <v>45344</v>
      </c>
      <c r="Z911" s="174">
        <v>1.0930967819771098E-2</v>
      </c>
      <c r="AA911" s="177"/>
    </row>
    <row r="912" spans="22:27" x14ac:dyDescent="0.2">
      <c r="V912" s="163"/>
      <c r="W912" s="158" t="str">
        <f t="shared" si="26"/>
        <v>1w</v>
      </c>
      <c r="X912" s="168">
        <f>_xll.qlCalendarAdvance(Calendar,X911,W912,"f",FALSE)</f>
        <v>45351</v>
      </c>
      <c r="Y912" s="173">
        <f>_xll.qlCalendarAdvance(Calendar,X912,NDays&amp;"D")</f>
        <v>45351</v>
      </c>
      <c r="Z912" s="174">
        <v>1.0972601703014284E-2</v>
      </c>
      <c r="AA912" s="177"/>
    </row>
    <row r="913" spans="22:27" x14ac:dyDescent="0.2">
      <c r="V913" s="163"/>
      <c r="W913" s="158" t="str">
        <f t="shared" si="26"/>
        <v>1w</v>
      </c>
      <c r="X913" s="168">
        <f>_xll.qlCalendarAdvance(Calendar,X912,W913,"f",FALSE)</f>
        <v>45358</v>
      </c>
      <c r="Y913" s="173">
        <f>_xll.qlCalendarAdvance(Calendar,X913,NDays&amp;"D")</f>
        <v>45358</v>
      </c>
      <c r="Z913" s="174">
        <v>1.1015253805451986E-2</v>
      </c>
      <c r="AA913" s="177"/>
    </row>
    <row r="914" spans="22:27" x14ac:dyDescent="0.2">
      <c r="V914" s="163"/>
      <c r="W914" s="158" t="str">
        <f t="shared" si="26"/>
        <v>1w</v>
      </c>
      <c r="X914" s="168">
        <f>_xll.qlCalendarAdvance(Calendar,X913,W914,"f",FALSE)</f>
        <v>45365</v>
      </c>
      <c r="Y914" s="173">
        <f>_xll.qlCalendarAdvance(Calendar,X914,NDays&amp;"D")</f>
        <v>45365</v>
      </c>
      <c r="Z914" s="174">
        <v>1.1058924127408387E-2</v>
      </c>
      <c r="AA914" s="177"/>
    </row>
    <row r="915" spans="22:27" x14ac:dyDescent="0.2">
      <c r="V915" s="163"/>
      <c r="W915" s="158" t="str">
        <f t="shared" si="26"/>
        <v>1w</v>
      </c>
      <c r="X915" s="168">
        <f>_xll.qlCalendarAdvance(Calendar,X914,W915,"f",FALSE)</f>
        <v>45372</v>
      </c>
      <c r="Y915" s="173">
        <f>_xll.qlCalendarAdvance(Calendar,X915,NDays&amp;"D")</f>
        <v>45372</v>
      </c>
      <c r="Z915" s="174">
        <v>1.110361266928872E-2</v>
      </c>
      <c r="AA915" s="177"/>
    </row>
    <row r="916" spans="22:27" x14ac:dyDescent="0.2">
      <c r="V916" s="163"/>
      <c r="W916" s="158" t="str">
        <f t="shared" si="26"/>
        <v>1w</v>
      </c>
      <c r="X916" s="168">
        <f>_xll.qlCalendarAdvance(Calendar,X915,W916,"f",FALSE)</f>
        <v>45379</v>
      </c>
      <c r="Y916" s="173">
        <f>_xll.qlCalendarAdvance(Calendar,X916,NDays&amp;"D")</f>
        <v>45379</v>
      </c>
      <c r="Z916" s="174">
        <v>1.1149319431255078E-2</v>
      </c>
      <c r="AA916" s="177"/>
    </row>
    <row r="917" spans="22:27" x14ac:dyDescent="0.2">
      <c r="V917" s="163"/>
      <c r="W917" s="158" t="str">
        <f t="shared" si="26"/>
        <v>1w</v>
      </c>
      <c r="X917" s="168">
        <f>_xll.qlCalendarAdvance(Calendar,X916,W917,"f",FALSE)</f>
        <v>45386</v>
      </c>
      <c r="Y917" s="173">
        <f>_xll.qlCalendarAdvance(Calendar,X917,NDays&amp;"D")</f>
        <v>45386</v>
      </c>
      <c r="Z917" s="174">
        <v>1.1196044413874784E-2</v>
      </c>
      <c r="AA917" s="177"/>
    </row>
    <row r="918" spans="22:27" x14ac:dyDescent="0.2">
      <c r="V918" s="163"/>
      <c r="W918" s="158" t="str">
        <f t="shared" si="26"/>
        <v>1w</v>
      </c>
      <c r="X918" s="168">
        <f>_xll.qlCalendarAdvance(Calendar,X917,W918,"f",FALSE)</f>
        <v>45393</v>
      </c>
      <c r="Y918" s="173">
        <f>_xll.qlCalendarAdvance(Calendar,X918,NDays&amp;"D")</f>
        <v>45393</v>
      </c>
      <c r="Z918" s="174">
        <v>1.1243787617472023E-2</v>
      </c>
      <c r="AA918" s="177"/>
    </row>
    <row r="919" spans="22:27" x14ac:dyDescent="0.2">
      <c r="V919" s="163"/>
      <c r="W919" s="158" t="str">
        <f t="shared" si="26"/>
        <v>1w</v>
      </c>
      <c r="X919" s="168">
        <f>_xll.qlCalendarAdvance(Calendar,X918,W919,"f",FALSE)</f>
        <v>45400</v>
      </c>
      <c r="Y919" s="173">
        <f>_xll.qlCalendarAdvance(Calendar,X919,NDays&amp;"D")</f>
        <v>45400</v>
      </c>
      <c r="Z919" s="174">
        <v>1.1292549042452027E-2</v>
      </c>
      <c r="AA919" s="177"/>
    </row>
    <row r="920" spans="22:27" x14ac:dyDescent="0.2">
      <c r="V920" s="163"/>
      <c r="W920" s="158" t="str">
        <f t="shared" si="26"/>
        <v>1w</v>
      </c>
      <c r="X920" s="168">
        <f>_xll.qlCalendarAdvance(Calendar,X919,W920,"f",FALSE)</f>
        <v>45407</v>
      </c>
      <c r="Y920" s="173">
        <f>_xll.qlCalendarAdvance(Calendar,X920,NDays&amp;"D")</f>
        <v>45407</v>
      </c>
      <c r="Z920" s="174">
        <v>1.1342328689220027E-2</v>
      </c>
      <c r="AA920" s="177"/>
    </row>
    <row r="921" spans="22:27" x14ac:dyDescent="0.2">
      <c r="V921" s="163"/>
      <c r="W921" s="158" t="str">
        <f t="shared" si="26"/>
        <v>1w</v>
      </c>
      <c r="X921" s="168">
        <f>_xll.qlCalendarAdvance(Calendar,X920,W921,"f",FALSE)</f>
        <v>45414</v>
      </c>
      <c r="Y921" s="173">
        <f>_xll.qlCalendarAdvance(Calendar,X921,NDays&amp;"D")</f>
        <v>45414</v>
      </c>
      <c r="Z921" s="174">
        <v>1.140856114823241E-2</v>
      </c>
      <c r="AA921" s="177"/>
    </row>
    <row r="922" spans="22:27" x14ac:dyDescent="0.2">
      <c r="V922" s="163"/>
      <c r="W922" s="158" t="str">
        <f t="shared" si="26"/>
        <v>1w</v>
      </c>
      <c r="X922" s="168">
        <f>_xll.qlCalendarAdvance(Calendar,X921,W922,"f",FALSE)</f>
        <v>45421</v>
      </c>
      <c r="Y922" s="173">
        <f>_xll.qlCalendarAdvance(Calendar,X922,NDays&amp;"D")</f>
        <v>45421</v>
      </c>
      <c r="Z922" s="174">
        <v>1.144494264998408E-2</v>
      </c>
      <c r="AA922" s="177"/>
    </row>
    <row r="923" spans="22:27" x14ac:dyDescent="0.2">
      <c r="V923" s="163"/>
      <c r="W923" s="158" t="str">
        <f t="shared" si="26"/>
        <v>1w</v>
      </c>
      <c r="X923" s="168">
        <f>_xll.qlCalendarAdvance(Calendar,X922,W923,"f",FALSE)</f>
        <v>45428</v>
      </c>
      <c r="Y923" s="173">
        <f>_xll.qlCalendarAdvance(Calendar,X923,NDays&amp;"D")</f>
        <v>45428</v>
      </c>
      <c r="Z923" s="174">
        <v>1.1497776964790596E-2</v>
      </c>
      <c r="AA923" s="177"/>
    </row>
    <row r="924" spans="22:27" x14ac:dyDescent="0.2">
      <c r="V924" s="163"/>
      <c r="W924" s="158" t="str">
        <f t="shared" si="26"/>
        <v>1w</v>
      </c>
      <c r="X924" s="168">
        <f>_xll.qlCalendarAdvance(Calendar,X923,W924,"f",FALSE)</f>
        <v>45435</v>
      </c>
      <c r="Y924" s="173">
        <f>_xll.qlCalendarAdvance(Calendar,X924,NDays&amp;"D")</f>
        <v>45435</v>
      </c>
      <c r="Z924" s="174">
        <v>1.1551629503006033E-2</v>
      </c>
      <c r="AA924" s="177"/>
    </row>
    <row r="925" spans="22:27" x14ac:dyDescent="0.2">
      <c r="V925" s="163"/>
      <c r="W925" s="158" t="str">
        <f t="shared" si="26"/>
        <v>1w</v>
      </c>
      <c r="X925" s="168">
        <f>_xll.qlCalendarAdvance(Calendar,X924,W925,"f",FALSE)</f>
        <v>45442</v>
      </c>
      <c r="Y925" s="173">
        <f>_xll.qlCalendarAdvance(Calendar,X925,NDays&amp;"D")</f>
        <v>45442</v>
      </c>
      <c r="Z925" s="174">
        <v>1.1606500265278763E-2</v>
      </c>
      <c r="AA925" s="177"/>
    </row>
    <row r="926" spans="22:27" x14ac:dyDescent="0.2">
      <c r="V926" s="163"/>
      <c r="W926" s="158" t="str">
        <f t="shared" si="26"/>
        <v>1w</v>
      </c>
      <c r="X926" s="168">
        <f>_xll.qlCalendarAdvance(Calendar,X925,W926,"f",FALSE)</f>
        <v>45449</v>
      </c>
      <c r="Y926" s="173">
        <f>_xll.qlCalendarAdvance(Calendar,X926,NDays&amp;"D")</f>
        <v>45449</v>
      </c>
      <c r="Z926" s="174">
        <v>1.1662389252014016E-2</v>
      </c>
      <c r="AA926" s="177"/>
    </row>
    <row r="927" spans="22:27" x14ac:dyDescent="0.2">
      <c r="V927" s="163"/>
      <c r="W927" s="158" t="str">
        <f t="shared" si="26"/>
        <v>1w</v>
      </c>
      <c r="X927" s="168">
        <f>_xll.qlCalendarAdvance(Calendar,X926,W927,"f",FALSE)</f>
        <v>45456</v>
      </c>
      <c r="Y927" s="173">
        <f>_xll.qlCalendarAdvance(Calendar,X927,NDays&amp;"D")</f>
        <v>45456</v>
      </c>
      <c r="Z927" s="174">
        <v>1.1719296463535978E-2</v>
      </c>
      <c r="AA927" s="177"/>
    </row>
    <row r="928" spans="22:27" x14ac:dyDescent="0.2">
      <c r="V928" s="163"/>
      <c r="W928" s="158" t="str">
        <f t="shared" si="26"/>
        <v>1w</v>
      </c>
      <c r="X928" s="168">
        <f>_xll.qlCalendarAdvance(Calendar,X927,W928,"f",FALSE)</f>
        <v>45463</v>
      </c>
      <c r="Y928" s="173">
        <f>_xll.qlCalendarAdvance(Calendar,X928,NDays&amp;"D")</f>
        <v>45463</v>
      </c>
      <c r="Z928" s="174">
        <v>1.1777221900493018E-2</v>
      </c>
      <c r="AA928" s="177"/>
    </row>
    <row r="929" spans="22:27" x14ac:dyDescent="0.2">
      <c r="V929" s="163"/>
      <c r="W929" s="158" t="str">
        <f t="shared" si="26"/>
        <v>1w</v>
      </c>
      <c r="X929" s="168">
        <f>_xll.qlCalendarAdvance(Calendar,X928,W929,"f",FALSE)</f>
        <v>45470</v>
      </c>
      <c r="Y929" s="173">
        <f>_xll.qlCalendarAdvance(Calendar,X929,NDays&amp;"D")</f>
        <v>45470</v>
      </c>
      <c r="Z929" s="174">
        <v>1.1836165563371415E-2</v>
      </c>
      <c r="AA929" s="177"/>
    </row>
    <row r="930" spans="22:27" x14ac:dyDescent="0.2">
      <c r="V930" s="163"/>
      <c r="W930" s="158" t="str">
        <f t="shared" si="26"/>
        <v>1w</v>
      </c>
      <c r="X930" s="168">
        <f>_xll.qlCalendarAdvance(Calendar,X929,W930,"f",FALSE)</f>
        <v>45477</v>
      </c>
      <c r="Y930" s="173">
        <f>_xll.qlCalendarAdvance(Calendar,X930,NDays&amp;"D")</f>
        <v>45477</v>
      </c>
      <c r="Z930" s="174">
        <v>1.1896127452495353E-2</v>
      </c>
      <c r="AA930" s="177"/>
    </row>
    <row r="931" spans="22:27" x14ac:dyDescent="0.2">
      <c r="V931" s="163"/>
      <c r="W931" s="158" t="str">
        <f t="shared" si="26"/>
        <v>1w</v>
      </c>
      <c r="X931" s="168">
        <f>_xll.qlCalendarAdvance(Calendar,X930,W931,"f",FALSE)</f>
        <v>45484</v>
      </c>
      <c r="Y931" s="173">
        <f>_xll.qlCalendarAdvance(Calendar,X931,NDays&amp;"D")</f>
        <v>45484</v>
      </c>
      <c r="Z931" s="174">
        <v>1.195710756859425E-2</v>
      </c>
      <c r="AA931" s="177"/>
    </row>
    <row r="932" spans="22:27" x14ac:dyDescent="0.2">
      <c r="V932" s="163"/>
      <c r="W932" s="158" t="str">
        <f t="shared" si="26"/>
        <v>1w</v>
      </c>
      <c r="X932" s="168">
        <f>_xll.qlCalendarAdvance(Calendar,X931,W932,"f",FALSE)</f>
        <v>45491</v>
      </c>
      <c r="Y932" s="173">
        <f>_xll.qlCalendarAdvance(Calendar,X932,NDays&amp;"D")</f>
        <v>45491</v>
      </c>
      <c r="Z932" s="174">
        <v>1.2019024098851583E-2</v>
      </c>
      <c r="AA932" s="177"/>
    </row>
    <row r="933" spans="22:27" x14ac:dyDescent="0.2">
      <c r="V933" s="163"/>
      <c r="W933" s="158" t="str">
        <f t="shared" si="26"/>
        <v>1w</v>
      </c>
      <c r="X933" s="168">
        <f>_xll.qlCalendarAdvance(Calendar,X932,W933,"f",FALSE)</f>
        <v>45498</v>
      </c>
      <c r="Y933" s="173">
        <f>_xll.qlCalendarAdvance(Calendar,X933,NDays&amp;"D")</f>
        <v>45498</v>
      </c>
      <c r="Z933" s="174">
        <v>1.2080955569180318E-2</v>
      </c>
      <c r="AA933" s="177"/>
    </row>
    <row r="934" spans="22:27" x14ac:dyDescent="0.2">
      <c r="V934" s="163"/>
      <c r="W934" s="158" t="str">
        <f t="shared" si="26"/>
        <v>1w</v>
      </c>
      <c r="X934" s="168">
        <f>_xll.qlCalendarAdvance(Calendar,X933,W934,"f",FALSE)</f>
        <v>45505</v>
      </c>
      <c r="Y934" s="173">
        <f>_xll.qlCalendarAdvance(Calendar,X934,NDays&amp;"D")</f>
        <v>45505</v>
      </c>
      <c r="Z934" s="174">
        <v>1.2142639316202741E-2</v>
      </c>
      <c r="AA934" s="177"/>
    </row>
    <row r="935" spans="22:27" x14ac:dyDescent="0.2">
      <c r="V935" s="163"/>
      <c r="W935" s="158" t="str">
        <f t="shared" si="26"/>
        <v>1w</v>
      </c>
      <c r="X935" s="168">
        <f>_xll.qlCalendarAdvance(Calendar,X934,W935,"f",FALSE)</f>
        <v>45512</v>
      </c>
      <c r="Y935" s="173">
        <f>_xll.qlCalendarAdvance(Calendar,X935,NDays&amp;"D")</f>
        <v>45512</v>
      </c>
      <c r="Z935" s="174">
        <v>1.2204075339918852E-2</v>
      </c>
      <c r="AA935" s="177"/>
    </row>
    <row r="936" spans="22:27" x14ac:dyDescent="0.2">
      <c r="V936" s="163"/>
      <c r="W936" s="158" t="str">
        <f t="shared" si="26"/>
        <v>1w</v>
      </c>
      <c r="X936" s="168">
        <f>_xll.qlCalendarAdvance(Calendar,X935,W936,"f",FALSE)</f>
        <v>45519</v>
      </c>
      <c r="Y936" s="173">
        <f>_xll.qlCalendarAdvance(Calendar,X936,NDays&amp;"D")</f>
        <v>45519</v>
      </c>
      <c r="Z936" s="174">
        <v>1.2265263640004465E-2</v>
      </c>
      <c r="AA936" s="177"/>
    </row>
    <row r="937" spans="22:27" x14ac:dyDescent="0.2">
      <c r="V937" s="163"/>
      <c r="W937" s="158" t="str">
        <f t="shared" si="26"/>
        <v>1w</v>
      </c>
      <c r="X937" s="168">
        <f>_xll.qlCalendarAdvance(Calendar,X936,W937,"f",FALSE)</f>
        <v>45526</v>
      </c>
      <c r="Y937" s="173">
        <f>_xll.qlCalendarAdvance(Calendar,X937,NDays&amp;"D")</f>
        <v>45526</v>
      </c>
      <c r="Z937" s="174">
        <v>1.232620421645958E-2</v>
      </c>
      <c r="AA937" s="177"/>
    </row>
    <row r="938" spans="22:27" x14ac:dyDescent="0.2">
      <c r="V938" s="163"/>
      <c r="W938" s="158" t="str">
        <f t="shared" si="26"/>
        <v>1w</v>
      </c>
      <c r="X938" s="168">
        <f>_xll.qlCalendarAdvance(Calendar,X937,W938,"f",FALSE)</f>
        <v>45533</v>
      </c>
      <c r="Y938" s="173">
        <f>_xll.qlCalendarAdvance(Calendar,X938,NDays&amp;"D")</f>
        <v>45533</v>
      </c>
      <c r="Z938" s="174">
        <v>1.2386897069122105E-2</v>
      </c>
      <c r="AA938" s="177"/>
    </row>
    <row r="939" spans="22:27" x14ac:dyDescent="0.2">
      <c r="V939" s="163"/>
      <c r="W939" s="158" t="str">
        <f t="shared" si="26"/>
        <v>1w</v>
      </c>
      <c r="X939" s="168">
        <f>_xll.qlCalendarAdvance(Calendar,X938,W939,"f",FALSE)</f>
        <v>45540</v>
      </c>
      <c r="Y939" s="173">
        <f>_xll.qlCalendarAdvance(Calendar,X939,NDays&amp;"D")</f>
        <v>45540</v>
      </c>
      <c r="Z939" s="174">
        <v>1.244734219799204E-2</v>
      </c>
      <c r="AA939" s="177"/>
    </row>
    <row r="940" spans="22:27" x14ac:dyDescent="0.2">
      <c r="V940" s="163"/>
      <c r="W940" s="158" t="str">
        <f t="shared" si="26"/>
        <v>1w</v>
      </c>
      <c r="X940" s="168">
        <f>_xll.qlCalendarAdvance(Calendar,X939,W940,"f",FALSE)</f>
        <v>45547</v>
      </c>
      <c r="Y940" s="173">
        <f>_xll.qlCalendarAdvance(Calendar,X940,NDays&amp;"D")</f>
        <v>45547</v>
      </c>
      <c r="Z940" s="174">
        <v>1.2507539602745199E-2</v>
      </c>
      <c r="AA940" s="177"/>
    </row>
    <row r="941" spans="22:27" x14ac:dyDescent="0.2">
      <c r="V941" s="163"/>
      <c r="W941" s="158" t="str">
        <f t="shared" si="26"/>
        <v>1w</v>
      </c>
      <c r="X941" s="168">
        <f>_xll.qlCalendarAdvance(Calendar,X940,W941,"f",FALSE)</f>
        <v>45554</v>
      </c>
      <c r="Y941" s="173">
        <f>_xll.qlCalendarAdvance(Calendar,X941,NDays&amp;"D")</f>
        <v>45554</v>
      </c>
      <c r="Z941" s="174">
        <v>1.2567489283381583E-2</v>
      </c>
      <c r="AA941" s="177"/>
    </row>
    <row r="942" spans="22:27" x14ac:dyDescent="0.2">
      <c r="V942" s="163"/>
      <c r="W942" s="158" t="str">
        <f t="shared" si="26"/>
        <v>1w</v>
      </c>
      <c r="X942" s="168">
        <f>_xll.qlCalendarAdvance(Calendar,X941,W942,"f",FALSE)</f>
        <v>45561</v>
      </c>
      <c r="Y942" s="173">
        <f>_xll.qlCalendarAdvance(Calendar,X942,NDays&amp;"D")</f>
        <v>45561</v>
      </c>
      <c r="Z942" s="174">
        <v>1.26271912397391E-2</v>
      </c>
      <c r="AA942" s="177"/>
    </row>
    <row r="943" spans="22:27" x14ac:dyDescent="0.2">
      <c r="V943" s="163"/>
      <c r="W943" s="158" t="str">
        <f t="shared" si="26"/>
        <v>1w</v>
      </c>
      <c r="X943" s="168">
        <f>_xll.qlCalendarAdvance(Calendar,X942,W943,"f",FALSE)</f>
        <v>45568</v>
      </c>
      <c r="Y943" s="173">
        <f>_xll.qlCalendarAdvance(Calendar,X943,NDays&amp;"D")</f>
        <v>45568</v>
      </c>
      <c r="Z943" s="174">
        <v>1.2686645471736702E-2</v>
      </c>
      <c r="AA943" s="177"/>
    </row>
    <row r="944" spans="22:27" x14ac:dyDescent="0.2">
      <c r="V944" s="163"/>
      <c r="W944" s="158" t="str">
        <f t="shared" si="26"/>
        <v>1w</v>
      </c>
      <c r="X944" s="168">
        <f>_xll.qlCalendarAdvance(Calendar,X943,W944,"f",FALSE)</f>
        <v>45575</v>
      </c>
      <c r="Y944" s="173">
        <f>_xll.qlCalendarAdvance(Calendar,X944,NDays&amp;"D")</f>
        <v>45575</v>
      </c>
      <c r="Z944" s="174">
        <v>1.2745851979131251E-2</v>
      </c>
      <c r="AA944" s="177"/>
    </row>
    <row r="945" spans="22:27" x14ac:dyDescent="0.2">
      <c r="V945" s="163"/>
      <c r="W945" s="158" t="str">
        <f t="shared" si="26"/>
        <v>1w</v>
      </c>
      <c r="X945" s="168">
        <f>_xll.qlCalendarAdvance(Calendar,X944,W945,"f",FALSE)</f>
        <v>45582</v>
      </c>
      <c r="Y945" s="173">
        <f>_xll.qlCalendarAdvance(Calendar,X945,NDays&amp;"D")</f>
        <v>45582</v>
      </c>
      <c r="Z945" s="174">
        <v>1.2804810762003793E-2</v>
      </c>
      <c r="AA945" s="177"/>
    </row>
    <row r="946" spans="22:27" x14ac:dyDescent="0.2">
      <c r="V946" s="163"/>
      <c r="W946" s="158" t="str">
        <f t="shared" si="26"/>
        <v>1w</v>
      </c>
      <c r="X946" s="168">
        <f>_xll.qlCalendarAdvance(Calendar,X945,W946,"f",FALSE)</f>
        <v>45589</v>
      </c>
      <c r="Y946" s="173">
        <f>_xll.qlCalendarAdvance(Calendar,X946,NDays&amp;"D")</f>
        <v>45589</v>
      </c>
      <c r="Z946" s="174">
        <v>1.2863521820030144E-2</v>
      </c>
      <c r="AA946" s="177"/>
    </row>
    <row r="947" spans="22:27" x14ac:dyDescent="0.2">
      <c r="V947" s="163"/>
      <c r="W947" s="158" t="str">
        <f t="shared" si="26"/>
        <v>1w</v>
      </c>
      <c r="X947" s="168">
        <f>_xll.qlCalendarAdvance(Calendar,X946,W947,"f",FALSE)</f>
        <v>45596</v>
      </c>
      <c r="Y947" s="173">
        <f>_xll.qlCalendarAdvance(Calendar,X947,NDays&amp;"D")</f>
        <v>45596</v>
      </c>
      <c r="Z947" s="174">
        <v>1.2921985153291349E-2</v>
      </c>
      <c r="AA947" s="177"/>
    </row>
    <row r="948" spans="22:27" x14ac:dyDescent="0.2">
      <c r="V948" s="163"/>
      <c r="W948" s="158" t="str">
        <f t="shared" si="26"/>
        <v>1w</v>
      </c>
      <c r="X948" s="168">
        <f>_xll.qlCalendarAdvance(Calendar,X947,W948,"f",FALSE)</f>
        <v>45603</v>
      </c>
      <c r="Y948" s="173">
        <f>_xll.qlCalendarAdvance(Calendar,X948,NDays&amp;"D")</f>
        <v>45603</v>
      </c>
      <c r="Z948" s="174">
        <v>1.2980200761544269E-2</v>
      </c>
      <c r="AA948" s="177"/>
    </row>
    <row r="949" spans="22:27" x14ac:dyDescent="0.2">
      <c r="V949" s="163"/>
      <c r="W949" s="158" t="str">
        <f t="shared" si="26"/>
        <v>1w</v>
      </c>
      <c r="X949" s="168">
        <f>_xll.qlCalendarAdvance(Calendar,X948,W949,"f",FALSE)</f>
        <v>45610</v>
      </c>
      <c r="Y949" s="173">
        <f>_xll.qlCalendarAdvance(Calendar,X949,NDays&amp;"D")</f>
        <v>45610</v>
      </c>
      <c r="Z949" s="174">
        <v>1.3038168644626813E-2</v>
      </c>
      <c r="AA949" s="177"/>
    </row>
    <row r="950" spans="22:27" x14ac:dyDescent="0.2">
      <c r="V950" s="163"/>
      <c r="W950" s="158" t="str">
        <f t="shared" si="26"/>
        <v>1w</v>
      </c>
      <c r="X950" s="168">
        <f>_xll.qlCalendarAdvance(Calendar,X949,W950,"f",FALSE)</f>
        <v>45617</v>
      </c>
      <c r="Y950" s="173">
        <f>_xll.qlCalendarAdvance(Calendar,X950,NDays&amp;"D")</f>
        <v>45617</v>
      </c>
      <c r="Z950" s="174">
        <v>1.309588880253898E-2</v>
      </c>
      <c r="AA950" s="177"/>
    </row>
    <row r="951" spans="22:27" x14ac:dyDescent="0.2">
      <c r="V951" s="163"/>
      <c r="W951" s="158" t="str">
        <f t="shared" si="26"/>
        <v>1w</v>
      </c>
      <c r="X951" s="168">
        <f>_xll.qlCalendarAdvance(Calendar,X950,W951,"f",FALSE)</f>
        <v>45624</v>
      </c>
      <c r="Y951" s="173">
        <f>_xll.qlCalendarAdvance(Calendar,X951,NDays&amp;"D")</f>
        <v>45624</v>
      </c>
      <c r="Z951" s="174">
        <v>1.3153361235037631E-2</v>
      </c>
      <c r="AA951" s="177"/>
    </row>
    <row r="952" spans="22:27" x14ac:dyDescent="0.2">
      <c r="V952" s="163"/>
      <c r="W952" s="158" t="str">
        <f t="shared" si="26"/>
        <v>1w</v>
      </c>
      <c r="X952" s="168">
        <f>_xll.qlCalendarAdvance(Calendar,X951,W952,"f",FALSE)</f>
        <v>45631</v>
      </c>
      <c r="Y952" s="173">
        <f>_xll.qlCalendarAdvance(Calendar,X952,NDays&amp;"D")</f>
        <v>45631</v>
      </c>
      <c r="Z952" s="174">
        <v>1.3210585942203812E-2</v>
      </c>
      <c r="AA952" s="177"/>
    </row>
    <row r="953" spans="22:27" x14ac:dyDescent="0.2">
      <c r="V953" s="163"/>
      <c r="W953" s="158" t="str">
        <f t="shared" si="26"/>
        <v>1w</v>
      </c>
      <c r="X953" s="168">
        <f>_xll.qlCalendarAdvance(Calendar,X952,W953,"f",FALSE)</f>
        <v>45638</v>
      </c>
      <c r="Y953" s="173">
        <f>_xll.qlCalendarAdvance(Calendar,X953,NDays&amp;"D")</f>
        <v>45638</v>
      </c>
      <c r="Z953" s="174">
        <v>1.3267562923713339E-2</v>
      </c>
      <c r="AA953" s="177"/>
    </row>
    <row r="954" spans="22:27" x14ac:dyDescent="0.2">
      <c r="V954" s="163"/>
      <c r="W954" s="158" t="str">
        <f t="shared" si="26"/>
        <v>1w</v>
      </c>
      <c r="X954" s="168">
        <f>_xll.qlCalendarAdvance(Calendar,X953,W954,"f",FALSE)</f>
        <v>45645</v>
      </c>
      <c r="Y954" s="173">
        <f>_xll.qlCalendarAdvance(Calendar,X954,NDays&amp;"D")</f>
        <v>45645</v>
      </c>
      <c r="Z954" s="174">
        <v>1.3324292179485164E-2</v>
      </c>
      <c r="AA954" s="177"/>
    </row>
    <row r="955" spans="22:27" x14ac:dyDescent="0.2">
      <c r="V955" s="163"/>
      <c r="W955" s="158" t="str">
        <f t="shared" si="26"/>
        <v>1w</v>
      </c>
      <c r="X955" s="168">
        <f>_xll.qlCalendarAdvance(Calendar,X954,W955,"f",FALSE)</f>
        <v>45652</v>
      </c>
      <c r="Y955" s="173">
        <f>_xll.qlCalendarAdvance(Calendar,X955,NDays&amp;"D")</f>
        <v>45652</v>
      </c>
      <c r="Z955" s="174">
        <v>1.3380773709519289E-2</v>
      </c>
      <c r="AA955" s="177"/>
    </row>
    <row r="956" spans="22:27" x14ac:dyDescent="0.2">
      <c r="V956" s="163"/>
      <c r="W956" s="158" t="str">
        <f t="shared" si="26"/>
        <v>1w</v>
      </c>
      <c r="X956" s="168">
        <f>_xll.qlCalendarAdvance(Calendar,X955,W956,"f",FALSE)</f>
        <v>45663</v>
      </c>
      <c r="Y956" s="173">
        <f>_xll.qlCalendarAdvance(Calendar,X956,NDays&amp;"D")</f>
        <v>45663</v>
      </c>
      <c r="Z956" s="174">
        <v>1.3469029892013706E-2</v>
      </c>
      <c r="AA956" s="177"/>
    </row>
    <row r="957" spans="22:27" x14ac:dyDescent="0.2">
      <c r="V957" s="163"/>
      <c r="W957" s="158" t="str">
        <f t="shared" si="26"/>
        <v>1w</v>
      </c>
      <c r="X957" s="168">
        <f>_xll.qlCalendarAdvance(Calendar,X956,W957,"f",FALSE)</f>
        <v>45671</v>
      </c>
      <c r="Y957" s="173">
        <f>_xll.qlCalendarAdvance(Calendar,X957,NDays&amp;"D")</f>
        <v>45671</v>
      </c>
      <c r="Z957" s="174">
        <v>1.3532831978338988E-2</v>
      </c>
      <c r="AA957" s="177"/>
    </row>
    <row r="958" spans="22:27" x14ac:dyDescent="0.2">
      <c r="V958" s="163"/>
      <c r="W958" s="158" t="str">
        <f t="shared" si="26"/>
        <v>1w</v>
      </c>
      <c r="X958" s="168">
        <f>_xll.qlCalendarAdvance(Calendar,X957,W958,"f",FALSE)</f>
        <v>45678</v>
      </c>
      <c r="Y958" s="173">
        <f>_xll.qlCalendarAdvance(Calendar,X958,NDays&amp;"D")</f>
        <v>45678</v>
      </c>
      <c r="Z958" s="174">
        <v>1.3588393382896191E-2</v>
      </c>
      <c r="AA958" s="177"/>
    </row>
    <row r="959" spans="22:27" x14ac:dyDescent="0.2">
      <c r="V959" s="163"/>
      <c r="W959" s="158" t="str">
        <f t="shared" si="26"/>
        <v>1w</v>
      </c>
      <c r="X959" s="168">
        <f>_xll.qlCalendarAdvance(Calendar,X958,W959,"f",FALSE)</f>
        <v>45685</v>
      </c>
      <c r="Y959" s="173">
        <f>_xll.qlCalendarAdvance(Calendar,X959,NDays&amp;"D")</f>
        <v>45685</v>
      </c>
      <c r="Z959" s="174">
        <v>1.3643707061148369E-2</v>
      </c>
      <c r="AA959" s="177"/>
    </row>
    <row r="960" spans="22:27" x14ac:dyDescent="0.2">
      <c r="V960" s="163"/>
      <c r="W960" s="158" t="str">
        <f t="shared" si="26"/>
        <v>1w</v>
      </c>
      <c r="X960" s="168">
        <f>_xll.qlCalendarAdvance(Calendar,X959,W960,"f",FALSE)</f>
        <v>45692</v>
      </c>
      <c r="Y960" s="173">
        <f>_xll.qlCalendarAdvance(Calendar,X960,NDays&amp;"D")</f>
        <v>45692</v>
      </c>
      <c r="Z960" s="174">
        <v>1.369877301293343E-2</v>
      </c>
      <c r="AA960" s="177"/>
    </row>
    <row r="961" spans="22:27" x14ac:dyDescent="0.2">
      <c r="V961" s="163"/>
      <c r="W961" s="158" t="str">
        <f t="shared" si="26"/>
        <v>1w</v>
      </c>
      <c r="X961" s="168">
        <f>_xll.qlCalendarAdvance(Calendar,X960,W961,"f",FALSE)</f>
        <v>45700</v>
      </c>
      <c r="Y961" s="173">
        <f>_xll.qlCalendarAdvance(Calendar,X961,NDays&amp;"D")</f>
        <v>45700</v>
      </c>
      <c r="Z961" s="174">
        <v>1.3761402190594074E-2</v>
      </c>
      <c r="AA961" s="177"/>
    </row>
    <row r="962" spans="22:27" x14ac:dyDescent="0.2">
      <c r="V962" s="163"/>
      <c r="W962" s="158" t="str">
        <f t="shared" si="26"/>
        <v>1w</v>
      </c>
      <c r="X962" s="168">
        <f>_xll.qlCalendarAdvance(Calendar,X961,W962,"f",FALSE)</f>
        <v>45707</v>
      </c>
      <c r="Y962" s="173">
        <f>_xll.qlCalendarAdvance(Calendar,X962,NDays&amp;"D")</f>
        <v>45707</v>
      </c>
      <c r="Z962" s="174">
        <v>1.3815937299532788E-2</v>
      </c>
      <c r="AA962" s="177"/>
    </row>
    <row r="963" spans="22:27" x14ac:dyDescent="0.2">
      <c r="V963" s="163"/>
      <c r="W963" s="158" t="str">
        <f t="shared" si="26"/>
        <v>1w</v>
      </c>
      <c r="X963" s="168">
        <f>_xll.qlCalendarAdvance(Calendar,X962,W963,"f",FALSE)</f>
        <v>45714</v>
      </c>
      <c r="Y963" s="173">
        <f>_xll.qlCalendarAdvance(Calendar,X963,NDays&amp;"D")</f>
        <v>45714</v>
      </c>
      <c r="Z963" s="174">
        <v>1.3870224681761245E-2</v>
      </c>
      <c r="AA963" s="177"/>
    </row>
    <row r="964" spans="22:27" x14ac:dyDescent="0.2">
      <c r="V964" s="163"/>
      <c r="W964" s="158" t="str">
        <f t="shared" si="26"/>
        <v>1w</v>
      </c>
      <c r="X964" s="168">
        <f>_xll.qlCalendarAdvance(Calendar,X963,W964,"f",FALSE)</f>
        <v>45721</v>
      </c>
      <c r="Y964" s="173">
        <f>_xll.qlCalendarAdvance(Calendar,X964,NDays&amp;"D")</f>
        <v>45721</v>
      </c>
      <c r="Z964" s="174">
        <v>1.3924264336955261E-2</v>
      </c>
      <c r="AA964" s="177"/>
    </row>
    <row r="965" spans="22:27" x14ac:dyDescent="0.2">
      <c r="V965" s="163"/>
      <c r="W965" s="158" t="str">
        <f t="shared" si="26"/>
        <v>1w</v>
      </c>
      <c r="X965" s="168">
        <f>_xll.qlCalendarAdvance(Calendar,X964,W965,"f",FALSE)</f>
        <v>45728</v>
      </c>
      <c r="Y965" s="173">
        <f>_xll.qlCalendarAdvance(Calendar,X965,NDays&amp;"D")</f>
        <v>45728</v>
      </c>
      <c r="Z965" s="174">
        <v>1.3978056265195882E-2</v>
      </c>
      <c r="AA965" s="177"/>
    </row>
    <row r="966" spans="22:27" x14ac:dyDescent="0.2">
      <c r="V966" s="163"/>
      <c r="W966" s="158" t="str">
        <f t="shared" si="26"/>
        <v>1w</v>
      </c>
      <c r="X966" s="168">
        <f>_xll.qlCalendarAdvance(Calendar,X965,W966,"f",FALSE)</f>
        <v>45735</v>
      </c>
      <c r="Y966" s="173">
        <f>_xll.qlCalendarAdvance(Calendar,X966,NDays&amp;"D")</f>
        <v>45735</v>
      </c>
      <c r="Z966" s="174">
        <v>1.403568479400652E-2</v>
      </c>
      <c r="AA966" s="177"/>
    </row>
    <row r="967" spans="22:27" x14ac:dyDescent="0.2">
      <c r="V967" s="163"/>
      <c r="W967" s="158" t="str">
        <f t="shared" si="26"/>
        <v>1w</v>
      </c>
      <c r="X967" s="168">
        <f>_xll.qlCalendarAdvance(Calendar,X966,W967,"f",FALSE)</f>
        <v>45742</v>
      </c>
      <c r="Y967" s="173">
        <f>_xll.qlCalendarAdvance(Calendar,X967,NDays&amp;"D")</f>
        <v>45742</v>
      </c>
      <c r="Z967" s="174">
        <v>1.4084896940168568E-2</v>
      </c>
      <c r="AA967" s="177"/>
    </row>
    <row r="968" spans="22:27" x14ac:dyDescent="0.2">
      <c r="V968" s="163"/>
      <c r="W968" s="158" t="str">
        <f t="shared" si="26"/>
        <v>1w</v>
      </c>
      <c r="X968" s="168">
        <f>_xll.qlCalendarAdvance(Calendar,X967,W968,"f",FALSE)</f>
        <v>45749</v>
      </c>
      <c r="Y968" s="173">
        <f>_xll.qlCalendarAdvance(Calendar,X968,NDays&amp;"D")</f>
        <v>45749</v>
      </c>
      <c r="Z968" s="174">
        <v>1.4137945686657494E-2</v>
      </c>
      <c r="AA968" s="177"/>
    </row>
    <row r="969" spans="22:27" x14ac:dyDescent="0.2">
      <c r="V969" s="163"/>
      <c r="W969" s="158" t="str">
        <f t="shared" si="26"/>
        <v>1w</v>
      </c>
      <c r="X969" s="168">
        <f>_xll.qlCalendarAdvance(Calendar,X968,W969,"f",FALSE)</f>
        <v>45756</v>
      </c>
      <c r="Y969" s="173">
        <f>_xll.qlCalendarAdvance(Calendar,X969,NDays&amp;"D")</f>
        <v>45756</v>
      </c>
      <c r="Z969" s="174">
        <v>1.4190746705625701E-2</v>
      </c>
      <c r="AA969" s="177"/>
    </row>
    <row r="970" spans="22:27" x14ac:dyDescent="0.2">
      <c r="V970" s="163"/>
      <c r="W970" s="158" t="str">
        <f t="shared" si="26"/>
        <v>1w</v>
      </c>
      <c r="X970" s="168">
        <f>_xll.qlCalendarAdvance(Calendar,X969,W970,"f",FALSE)</f>
        <v>45763</v>
      </c>
      <c r="Y970" s="173">
        <f>_xll.qlCalendarAdvance(Calendar,X970,NDays&amp;"D")</f>
        <v>45763</v>
      </c>
      <c r="Z970" s="174">
        <v>1.4243299997073189E-2</v>
      </c>
      <c r="AA970" s="177"/>
    </row>
    <row r="971" spans="22:27" x14ac:dyDescent="0.2">
      <c r="V971" s="163"/>
      <c r="W971" s="158" t="str">
        <f t="shared" si="26"/>
        <v>1w</v>
      </c>
      <c r="X971" s="168">
        <f>_xll.qlCalendarAdvance(Calendar,X970,W971,"f",FALSE)</f>
        <v>45770</v>
      </c>
      <c r="Y971" s="173">
        <f>_xll.qlCalendarAdvance(Calendar,X971,NDays&amp;"D")</f>
        <v>45770</v>
      </c>
      <c r="Z971" s="174">
        <v>1.4295605560837865E-2</v>
      </c>
      <c r="AA971" s="177"/>
    </row>
    <row r="972" spans="22:27" x14ac:dyDescent="0.2">
      <c r="V972" s="163"/>
      <c r="W972" s="158" t="str">
        <f t="shared" si="26"/>
        <v>1w</v>
      </c>
      <c r="X972" s="168">
        <f>_xll.qlCalendarAdvance(Calendar,X971,W972,"f",FALSE)</f>
        <v>45777</v>
      </c>
      <c r="Y972" s="173">
        <f>_xll.qlCalendarAdvance(Calendar,X972,NDays&amp;"D")</f>
        <v>45777</v>
      </c>
      <c r="Z972" s="174">
        <v>1.4347663396838684E-2</v>
      </c>
      <c r="AA972" s="177"/>
    </row>
    <row r="973" spans="22:27" x14ac:dyDescent="0.2">
      <c r="V973" s="163"/>
      <c r="W973" s="158" t="str">
        <f t="shared" ref="W973:W1036" si="27">W972</f>
        <v>1w</v>
      </c>
      <c r="X973" s="168">
        <f>_xll.qlCalendarAdvance(Calendar,X972,W973,"f",FALSE)</f>
        <v>45784</v>
      </c>
      <c r="Y973" s="173">
        <f>_xll.qlCalendarAdvance(Calendar,X973,NDays&amp;"D")</f>
        <v>45784</v>
      </c>
      <c r="Z973" s="174">
        <v>1.4399473504913551E-2</v>
      </c>
      <c r="AA973" s="177"/>
    </row>
    <row r="974" spans="22:27" x14ac:dyDescent="0.2">
      <c r="V974" s="163"/>
      <c r="W974" s="158" t="str">
        <f t="shared" si="27"/>
        <v>1w</v>
      </c>
      <c r="X974" s="168">
        <f>_xll.qlCalendarAdvance(Calendar,X973,W974,"f",FALSE)</f>
        <v>45791</v>
      </c>
      <c r="Y974" s="173">
        <f>_xll.qlCalendarAdvance(Calendar,X974,NDays&amp;"D")</f>
        <v>45791</v>
      </c>
      <c r="Z974" s="174">
        <v>1.4451035885062469E-2</v>
      </c>
      <c r="AA974" s="177"/>
    </row>
    <row r="975" spans="22:27" x14ac:dyDescent="0.2">
      <c r="V975" s="163"/>
      <c r="W975" s="158" t="str">
        <f t="shared" si="27"/>
        <v>1w</v>
      </c>
      <c r="X975" s="168">
        <f>_xll.qlCalendarAdvance(Calendar,X974,W975,"f",FALSE)</f>
        <v>45798</v>
      </c>
      <c r="Y975" s="173">
        <f>_xll.qlCalendarAdvance(Calendar,X975,NDays&amp;"D")</f>
        <v>45798</v>
      </c>
      <c r="Z975" s="174">
        <v>1.450235053696125E-2</v>
      </c>
      <c r="AA975" s="177"/>
    </row>
    <row r="976" spans="22:27" x14ac:dyDescent="0.2">
      <c r="V976" s="163"/>
      <c r="W976" s="158" t="str">
        <f t="shared" si="27"/>
        <v>1w</v>
      </c>
      <c r="X976" s="168">
        <f>_xll.qlCalendarAdvance(Calendar,X975,W976,"f",FALSE)</f>
        <v>45805</v>
      </c>
      <c r="Y976" s="173">
        <f>_xll.qlCalendarAdvance(Calendar,X976,NDays&amp;"D")</f>
        <v>45805</v>
      </c>
      <c r="Z976" s="174">
        <v>1.4553417460771989E-2</v>
      </c>
      <c r="AA976" s="177"/>
    </row>
    <row r="977" spans="22:27" x14ac:dyDescent="0.2">
      <c r="V977" s="163"/>
      <c r="W977" s="158" t="str">
        <f t="shared" si="27"/>
        <v>1w</v>
      </c>
      <c r="X977" s="168">
        <f>_xll.qlCalendarAdvance(Calendar,X976,W977,"f",FALSE)</f>
        <v>45812</v>
      </c>
      <c r="Y977" s="173">
        <f>_xll.qlCalendarAdvance(Calendar,X977,NDays&amp;"D")</f>
        <v>45812</v>
      </c>
      <c r="Z977" s="174">
        <v>1.4604236656332592E-2</v>
      </c>
      <c r="AA977" s="177"/>
    </row>
    <row r="978" spans="22:27" x14ac:dyDescent="0.2">
      <c r="V978" s="163"/>
      <c r="W978" s="158" t="str">
        <f t="shared" si="27"/>
        <v>1w</v>
      </c>
      <c r="X978" s="168">
        <f>_xll.qlCalendarAdvance(Calendar,X977,W978,"f",FALSE)</f>
        <v>45819</v>
      </c>
      <c r="Y978" s="173">
        <f>_xll.qlCalendarAdvance(Calendar,X978,NDays&amp;"D")</f>
        <v>45819</v>
      </c>
      <c r="Z978" s="174">
        <v>1.4654808123318874E-2</v>
      </c>
      <c r="AA978" s="177"/>
    </row>
    <row r="979" spans="22:27" x14ac:dyDescent="0.2">
      <c r="V979" s="163"/>
      <c r="W979" s="158" t="str">
        <f t="shared" si="27"/>
        <v>1w</v>
      </c>
      <c r="X979" s="168">
        <f>_xll.qlCalendarAdvance(Calendar,X978,W979,"f",FALSE)</f>
        <v>45826</v>
      </c>
      <c r="Y979" s="173">
        <f>_xll.qlCalendarAdvance(Calendar,X979,NDays&amp;"D")</f>
        <v>45826</v>
      </c>
      <c r="Z979" s="174">
        <v>1.4705131861892928E-2</v>
      </c>
      <c r="AA979" s="177"/>
    </row>
    <row r="980" spans="22:27" x14ac:dyDescent="0.2">
      <c r="V980" s="163"/>
      <c r="W980" s="158" t="str">
        <f t="shared" si="27"/>
        <v>1w</v>
      </c>
      <c r="X980" s="168">
        <f>_xll.qlCalendarAdvance(Calendar,X979,W980,"f",FALSE)</f>
        <v>45833</v>
      </c>
      <c r="Y980" s="173">
        <f>_xll.qlCalendarAdvance(Calendar,X980,NDays&amp;"D")</f>
        <v>45833</v>
      </c>
      <c r="Z980" s="174">
        <v>1.4755207871730569E-2</v>
      </c>
      <c r="AA980" s="177"/>
    </row>
    <row r="981" spans="22:27" x14ac:dyDescent="0.2">
      <c r="V981" s="163"/>
      <c r="W981" s="158" t="str">
        <f t="shared" si="27"/>
        <v>1w</v>
      </c>
      <c r="X981" s="168">
        <f>_xll.qlCalendarAdvance(Calendar,X980,W981,"f",FALSE)</f>
        <v>45840</v>
      </c>
      <c r="Y981" s="173">
        <f>_xll.qlCalendarAdvance(Calendar,X981,NDays&amp;"D")</f>
        <v>45840</v>
      </c>
      <c r="Z981" s="174">
        <v>1.4805036152993889E-2</v>
      </c>
      <c r="AA981" s="177"/>
    </row>
    <row r="982" spans="22:27" x14ac:dyDescent="0.2">
      <c r="V982" s="163"/>
      <c r="W982" s="158" t="str">
        <f t="shared" si="27"/>
        <v>1w</v>
      </c>
      <c r="X982" s="168">
        <f>_xll.qlCalendarAdvance(Calendar,X981,W982,"f",FALSE)</f>
        <v>45847</v>
      </c>
      <c r="Y982" s="173">
        <f>_xll.qlCalendarAdvance(Calendar,X982,NDays&amp;"D")</f>
        <v>45847</v>
      </c>
      <c r="Z982" s="174">
        <v>1.4854616705358703E-2</v>
      </c>
      <c r="AA982" s="177"/>
    </row>
    <row r="983" spans="22:27" x14ac:dyDescent="0.2">
      <c r="V983" s="163"/>
      <c r="W983" s="158" t="str">
        <f t="shared" si="27"/>
        <v>1w</v>
      </c>
      <c r="X983" s="168">
        <f>_xll.qlCalendarAdvance(Calendar,X982,W983,"f",FALSE)</f>
        <v>45854</v>
      </c>
      <c r="Y983" s="173">
        <f>_xll.qlCalendarAdvance(Calendar,X983,NDays&amp;"D")</f>
        <v>45854</v>
      </c>
      <c r="Z983" s="174">
        <v>1.4903949528825011E-2</v>
      </c>
      <c r="AA983" s="177"/>
    </row>
    <row r="984" spans="22:27" x14ac:dyDescent="0.2">
      <c r="V984" s="163"/>
      <c r="W984" s="158" t="str">
        <f t="shared" si="27"/>
        <v>1w</v>
      </c>
      <c r="X984" s="168">
        <f>_xll.qlCalendarAdvance(Calendar,X983,W984,"f",FALSE)</f>
        <v>45861</v>
      </c>
      <c r="Y984" s="173">
        <f>_xll.qlCalendarAdvance(Calendar,X984,NDays&amp;"D")</f>
        <v>45861</v>
      </c>
      <c r="Z984" s="174">
        <v>1.4953034623230721E-2</v>
      </c>
      <c r="AA984" s="177"/>
    </row>
    <row r="985" spans="22:27" x14ac:dyDescent="0.2">
      <c r="V985" s="163"/>
      <c r="W985" s="158" t="str">
        <f t="shared" si="27"/>
        <v>1w</v>
      </c>
      <c r="X985" s="168">
        <f>_xll.qlCalendarAdvance(Calendar,X984,W985,"f",FALSE)</f>
        <v>45868</v>
      </c>
      <c r="Y985" s="173">
        <f>_xll.qlCalendarAdvance(Calendar,X985,NDays&amp;"D")</f>
        <v>45868</v>
      </c>
      <c r="Z985" s="174">
        <v>1.5001871988494786E-2</v>
      </c>
      <c r="AA985" s="177"/>
    </row>
    <row r="986" spans="22:27" x14ac:dyDescent="0.2">
      <c r="V986" s="163"/>
      <c r="W986" s="158" t="str">
        <f t="shared" si="27"/>
        <v>1w</v>
      </c>
      <c r="X986" s="168">
        <f>_xll.qlCalendarAdvance(Calendar,X985,W986,"f",FALSE)</f>
        <v>45875</v>
      </c>
      <c r="Y986" s="173">
        <f>_xll.qlCalendarAdvance(Calendar,X986,NDays&amp;"D")</f>
        <v>45875</v>
      </c>
      <c r="Z986" s="174">
        <v>1.5050461624617206E-2</v>
      </c>
      <c r="AA986" s="177"/>
    </row>
    <row r="987" spans="22:27" x14ac:dyDescent="0.2">
      <c r="V987" s="163"/>
      <c r="W987" s="158" t="str">
        <f t="shared" si="27"/>
        <v>1w</v>
      </c>
      <c r="X987" s="168">
        <f>_xll.qlCalendarAdvance(Calendar,X986,W987,"f",FALSE)</f>
        <v>45882</v>
      </c>
      <c r="Y987" s="173">
        <f>_xll.qlCalendarAdvance(Calendar,X987,NDays&amp;"D")</f>
        <v>45882</v>
      </c>
      <c r="Z987" s="174">
        <v>1.5098803531354843E-2</v>
      </c>
      <c r="AA987" s="177"/>
    </row>
    <row r="988" spans="22:27" x14ac:dyDescent="0.2">
      <c r="V988" s="163"/>
      <c r="W988" s="158" t="str">
        <f t="shared" si="27"/>
        <v>1w</v>
      </c>
      <c r="X988" s="168">
        <f>_xll.qlCalendarAdvance(Calendar,X987,W988,"f",FALSE)</f>
        <v>45889</v>
      </c>
      <c r="Y988" s="173">
        <f>_xll.qlCalendarAdvance(Calendar,X988,NDays&amp;"D")</f>
        <v>45889</v>
      </c>
      <c r="Z988" s="174">
        <v>1.5146897708707696E-2</v>
      </c>
      <c r="AA988" s="177"/>
    </row>
    <row r="989" spans="22:27" x14ac:dyDescent="0.2">
      <c r="V989" s="163"/>
      <c r="W989" s="158" t="str">
        <f t="shared" si="27"/>
        <v>1w</v>
      </c>
      <c r="X989" s="168">
        <f>_xll.qlCalendarAdvance(Calendar,X988,W989,"f",FALSE)</f>
        <v>45896</v>
      </c>
      <c r="Y989" s="173">
        <f>_xll.qlCalendarAdvance(Calendar,X989,NDays&amp;"D")</f>
        <v>45896</v>
      </c>
      <c r="Z989" s="174">
        <v>1.5194744156513673E-2</v>
      </c>
      <c r="AA989" s="177"/>
    </row>
    <row r="990" spans="22:27" x14ac:dyDescent="0.2">
      <c r="V990" s="163"/>
      <c r="W990" s="158" t="str">
        <f t="shared" si="27"/>
        <v>1w</v>
      </c>
      <c r="X990" s="168">
        <f>_xll.qlCalendarAdvance(Calendar,X989,W990,"f",FALSE)</f>
        <v>45903</v>
      </c>
      <c r="Y990" s="173">
        <f>_xll.qlCalendarAdvance(Calendar,X990,NDays&amp;"D")</f>
        <v>45903</v>
      </c>
      <c r="Z990" s="174">
        <v>1.5242342874691728E-2</v>
      </c>
      <c r="AA990" s="177"/>
    </row>
    <row r="991" spans="22:27" x14ac:dyDescent="0.2">
      <c r="V991" s="163"/>
      <c r="W991" s="158" t="str">
        <f t="shared" si="27"/>
        <v>1w</v>
      </c>
      <c r="X991" s="168">
        <f>_xll.qlCalendarAdvance(Calendar,X990,W991,"f",FALSE)</f>
        <v>45910</v>
      </c>
      <c r="Y991" s="173">
        <f>_xll.qlCalendarAdvance(Calendar,X991,NDays&amp;"D")</f>
        <v>45910</v>
      </c>
      <c r="Z991" s="174">
        <v>1.5289693863160814E-2</v>
      </c>
      <c r="AA991" s="177"/>
    </row>
    <row r="992" spans="22:27" x14ac:dyDescent="0.2">
      <c r="V992" s="163"/>
      <c r="W992" s="158" t="str">
        <f t="shared" si="27"/>
        <v>1w</v>
      </c>
      <c r="X992" s="168">
        <f>_xll.qlCalendarAdvance(Calendar,X991,W992,"f",FALSE)</f>
        <v>45917</v>
      </c>
      <c r="Y992" s="173">
        <f>_xll.qlCalendarAdvance(Calendar,X992,NDays&amp;"D")</f>
        <v>45917</v>
      </c>
      <c r="Z992" s="174">
        <v>1.5336797121839885E-2</v>
      </c>
      <c r="AA992" s="177"/>
    </row>
    <row r="993" spans="22:27" x14ac:dyDescent="0.2">
      <c r="V993" s="163"/>
      <c r="W993" s="158" t="str">
        <f t="shared" si="27"/>
        <v>1w</v>
      </c>
      <c r="X993" s="168">
        <f>_xll.qlCalendarAdvance(Calendar,X992,W993,"f",FALSE)</f>
        <v>45924</v>
      </c>
      <c r="Y993" s="173">
        <f>_xll.qlCalendarAdvance(Calendar,X993,NDays&amp;"D")</f>
        <v>45924</v>
      </c>
      <c r="Z993" s="174">
        <v>1.5383652650728941E-2</v>
      </c>
      <c r="AA993" s="177"/>
    </row>
    <row r="994" spans="22:27" x14ac:dyDescent="0.2">
      <c r="V994" s="163"/>
      <c r="W994" s="158" t="str">
        <f t="shared" si="27"/>
        <v>1w</v>
      </c>
      <c r="X994" s="168">
        <f>_xll.qlCalendarAdvance(Calendar,X993,W994,"f",FALSE)</f>
        <v>45931</v>
      </c>
      <c r="Y994" s="173">
        <f>_xll.qlCalendarAdvance(Calendar,X994,NDays&amp;"D")</f>
        <v>45931</v>
      </c>
      <c r="Z994" s="174">
        <v>1.543026044942275E-2</v>
      </c>
      <c r="AA994" s="177"/>
    </row>
    <row r="995" spans="22:27" x14ac:dyDescent="0.2">
      <c r="V995" s="163"/>
      <c r="W995" s="158" t="str">
        <f t="shared" si="27"/>
        <v>1w</v>
      </c>
      <c r="X995" s="168">
        <f>_xll.qlCalendarAdvance(Calendar,X994,W995,"f",FALSE)</f>
        <v>45938</v>
      </c>
      <c r="Y995" s="173">
        <f>_xll.qlCalendarAdvance(Calendar,X995,NDays&amp;"D")</f>
        <v>45938</v>
      </c>
      <c r="Z995" s="174">
        <v>1.5476620518083406E-2</v>
      </c>
      <c r="AA995" s="177"/>
    </row>
    <row r="996" spans="22:27" x14ac:dyDescent="0.2">
      <c r="V996" s="163"/>
      <c r="W996" s="158" t="str">
        <f t="shared" si="27"/>
        <v>1w</v>
      </c>
      <c r="X996" s="168">
        <f>_xll.qlCalendarAdvance(Calendar,X995,W996,"f",FALSE)</f>
        <v>45945</v>
      </c>
      <c r="Y996" s="173">
        <f>_xll.qlCalendarAdvance(Calendar,X996,NDays&amp;"D")</f>
        <v>45945</v>
      </c>
      <c r="Z996" s="174">
        <v>1.5522732856629862E-2</v>
      </c>
      <c r="AA996" s="177"/>
    </row>
    <row r="997" spans="22:27" x14ac:dyDescent="0.2">
      <c r="V997" s="163"/>
      <c r="W997" s="158" t="str">
        <f t="shared" si="27"/>
        <v>1w</v>
      </c>
      <c r="X997" s="168">
        <f>_xll.qlCalendarAdvance(Calendar,X996,W997,"f",FALSE)</f>
        <v>45952</v>
      </c>
      <c r="Y997" s="173">
        <f>_xll.qlCalendarAdvance(Calendar,X997,NDays&amp;"D")</f>
        <v>45952</v>
      </c>
      <c r="Z997" s="174">
        <v>1.5568597464737932E-2</v>
      </c>
      <c r="AA997" s="177"/>
    </row>
    <row r="998" spans="22:27" x14ac:dyDescent="0.2">
      <c r="V998" s="163"/>
      <c r="W998" s="158" t="str">
        <f t="shared" si="27"/>
        <v>1w</v>
      </c>
      <c r="X998" s="168">
        <f>_xll.qlCalendarAdvance(Calendar,X997,W998,"f",FALSE)</f>
        <v>45959</v>
      </c>
      <c r="Y998" s="173">
        <f>_xll.qlCalendarAdvance(Calendar,X998,NDays&amp;"D")</f>
        <v>45959</v>
      </c>
      <c r="Z998" s="174">
        <v>1.561421434256971E-2</v>
      </c>
      <c r="AA998" s="177"/>
    </row>
    <row r="999" spans="22:27" x14ac:dyDescent="0.2">
      <c r="V999" s="163"/>
      <c r="W999" s="158" t="str">
        <f t="shared" si="27"/>
        <v>1w</v>
      </c>
      <c r="X999" s="168">
        <f>_xll.qlCalendarAdvance(Calendar,X998,W999,"f",FALSE)</f>
        <v>45966</v>
      </c>
      <c r="Y999" s="173">
        <f>_xll.qlCalendarAdvance(Calendar,X999,NDays&amp;"D")</f>
        <v>45966</v>
      </c>
      <c r="Z999" s="174">
        <v>1.5659583489963103E-2</v>
      </c>
      <c r="AA999" s="177"/>
    </row>
    <row r="1000" spans="22:27" x14ac:dyDescent="0.2">
      <c r="V1000" s="163"/>
      <c r="W1000" s="158" t="str">
        <f t="shared" si="27"/>
        <v>1w</v>
      </c>
      <c r="X1000" s="168">
        <f>_xll.qlCalendarAdvance(Calendar,X999,W1000,"f",FALSE)</f>
        <v>45973</v>
      </c>
      <c r="Y1000" s="173">
        <f>_xll.qlCalendarAdvance(Calendar,X1000,NDays&amp;"D")</f>
        <v>45973</v>
      </c>
      <c r="Z1000" s="174">
        <v>1.5704704906756017E-2</v>
      </c>
      <c r="AA1000" s="177"/>
    </row>
    <row r="1001" spans="22:27" x14ac:dyDescent="0.2">
      <c r="V1001" s="163"/>
      <c r="W1001" s="158" t="str">
        <f t="shared" si="27"/>
        <v>1w</v>
      </c>
      <c r="X1001" s="168">
        <f>_xll.qlCalendarAdvance(Calendar,X1000,W1001,"f",FALSE)</f>
        <v>45980</v>
      </c>
      <c r="Y1001" s="173">
        <f>_xll.qlCalendarAdvance(Calendar,X1001,NDays&amp;"D")</f>
        <v>45980</v>
      </c>
      <c r="Z1001" s="174">
        <v>1.5749578592867408E-2</v>
      </c>
      <c r="AA1001" s="177"/>
    </row>
    <row r="1002" spans="22:27" x14ac:dyDescent="0.2">
      <c r="V1002" s="163"/>
      <c r="W1002" s="158" t="str">
        <f t="shared" si="27"/>
        <v>1w</v>
      </c>
      <c r="X1002" s="168">
        <f>_xll.qlCalendarAdvance(Calendar,X1001,W1002,"f",FALSE)</f>
        <v>45987</v>
      </c>
      <c r="Y1002" s="173">
        <f>_xll.qlCalendarAdvance(Calendar,X1002,NDays&amp;"D")</f>
        <v>45987</v>
      </c>
      <c r="Z1002" s="174">
        <v>1.5794204548297275E-2</v>
      </c>
      <c r="AA1002" s="177"/>
    </row>
    <row r="1003" spans="22:27" x14ac:dyDescent="0.2">
      <c r="V1003" s="163"/>
      <c r="W1003" s="158" t="str">
        <f t="shared" si="27"/>
        <v>1w</v>
      </c>
      <c r="X1003" s="168">
        <f>_xll.qlCalendarAdvance(Calendar,X1002,W1003,"f",FALSE)</f>
        <v>45994</v>
      </c>
      <c r="Y1003" s="173">
        <f>_xll.qlCalendarAdvance(Calendar,X1003,NDays&amp;"D")</f>
        <v>45994</v>
      </c>
      <c r="Z1003" s="174">
        <v>1.5838582772802479E-2</v>
      </c>
      <c r="AA1003" s="177"/>
    </row>
    <row r="1004" spans="22:27" x14ac:dyDescent="0.2">
      <c r="V1004" s="163"/>
      <c r="W1004" s="158" t="str">
        <f t="shared" si="27"/>
        <v>1w</v>
      </c>
      <c r="X1004" s="168">
        <f>_xll.qlCalendarAdvance(Calendar,X1003,W1004,"f",FALSE)</f>
        <v>46001</v>
      </c>
      <c r="Y1004" s="173">
        <f>_xll.qlCalendarAdvance(Calendar,X1004,NDays&amp;"D")</f>
        <v>46001</v>
      </c>
      <c r="Z1004" s="174">
        <v>1.5882713266464066E-2</v>
      </c>
      <c r="AA1004" s="177"/>
    </row>
    <row r="1005" spans="22:27" x14ac:dyDescent="0.2">
      <c r="V1005" s="163"/>
      <c r="W1005" s="158" t="str">
        <f t="shared" si="27"/>
        <v>1w</v>
      </c>
      <c r="X1005" s="168">
        <f>_xll.qlCalendarAdvance(Calendar,X1004,W1005,"f",FALSE)</f>
        <v>46008</v>
      </c>
      <c r="Y1005" s="173">
        <f>_xll.qlCalendarAdvance(Calendar,X1005,NDays&amp;"D")</f>
        <v>46008</v>
      </c>
      <c r="Z1005" s="174">
        <v>1.5926596029038897E-2</v>
      </c>
      <c r="AA1005" s="177"/>
    </row>
    <row r="1006" spans="22:27" x14ac:dyDescent="0.2">
      <c r="V1006" s="163"/>
      <c r="W1006" s="158" t="str">
        <f t="shared" si="27"/>
        <v>1w</v>
      </c>
      <c r="X1006" s="168">
        <f>_xll.qlCalendarAdvance(Calendar,X1005,W1006,"f",FALSE)</f>
        <v>46015</v>
      </c>
      <c r="Y1006" s="173">
        <f>_xll.qlCalendarAdvance(Calendar,X1006,NDays&amp;"D")</f>
        <v>46015</v>
      </c>
      <c r="Z1006" s="174">
        <v>1.5970231060526974E-2</v>
      </c>
      <c r="AA1006" s="177"/>
    </row>
    <row r="1007" spans="22:27" x14ac:dyDescent="0.2">
      <c r="V1007" s="163"/>
      <c r="W1007" s="158" t="str">
        <f t="shared" si="27"/>
        <v>1w</v>
      </c>
      <c r="X1007" s="168">
        <f>_xll.qlCalendarAdvance(Calendar,X1006,W1007,"f",FALSE)</f>
        <v>46027</v>
      </c>
      <c r="Y1007" s="173">
        <f>_xll.qlCalendarAdvance(Calendar,X1007,NDays&amp;"D")</f>
        <v>46027</v>
      </c>
      <c r="Z1007" s="174">
        <v>1.6044457617414576E-2</v>
      </c>
      <c r="AA1007" s="177"/>
    </row>
    <row r="1008" spans="22:27" x14ac:dyDescent="0.2">
      <c r="V1008" s="163"/>
      <c r="W1008" s="158" t="str">
        <f t="shared" si="27"/>
        <v>1w</v>
      </c>
      <c r="X1008" s="168">
        <f>_xll.qlCalendarAdvance(Calendar,X1007,W1008,"f",FALSE)</f>
        <v>46035</v>
      </c>
      <c r="Y1008" s="173">
        <f>_xll.qlCalendarAdvance(Calendar,X1008,NDays&amp;"D")</f>
        <v>46035</v>
      </c>
      <c r="Z1008" s="174">
        <v>1.6093537529396906E-2</v>
      </c>
      <c r="AA1008" s="177"/>
    </row>
    <row r="1009" spans="22:27" x14ac:dyDescent="0.2">
      <c r="V1009" s="163"/>
      <c r="W1009" s="158" t="str">
        <f t="shared" si="27"/>
        <v>1w</v>
      </c>
      <c r="X1009" s="168">
        <f>_xll.qlCalendarAdvance(Calendar,X1008,W1009,"f",FALSE)</f>
        <v>46042</v>
      </c>
      <c r="Y1009" s="173">
        <f>_xll.qlCalendarAdvance(Calendar,X1009,NDays&amp;"D")</f>
        <v>46042</v>
      </c>
      <c r="Z1009" s="174">
        <v>1.6136217025801702E-2</v>
      </c>
      <c r="AA1009" s="177"/>
    </row>
    <row r="1010" spans="22:27" x14ac:dyDescent="0.2">
      <c r="V1010" s="163"/>
      <c r="W1010" s="158" t="str">
        <f t="shared" si="27"/>
        <v>1w</v>
      </c>
      <c r="X1010" s="168">
        <f>_xll.qlCalendarAdvance(Calendar,X1009,W1010,"f",FALSE)</f>
        <v>46049</v>
      </c>
      <c r="Y1010" s="173">
        <f>_xll.qlCalendarAdvance(Calendar,X1010,NDays&amp;"D")</f>
        <v>46049</v>
      </c>
      <c r="Z1010" s="174">
        <v>1.6178648790633465E-2</v>
      </c>
      <c r="AA1010" s="177"/>
    </row>
    <row r="1011" spans="22:27" x14ac:dyDescent="0.2">
      <c r="V1011" s="163"/>
      <c r="W1011" s="158" t="str">
        <f t="shared" si="27"/>
        <v>1w</v>
      </c>
      <c r="X1011" s="168">
        <f>_xll.qlCalendarAdvance(Calendar,X1010,W1011,"f",FALSE)</f>
        <v>46056</v>
      </c>
      <c r="Y1011" s="173">
        <f>_xll.qlCalendarAdvance(Calendar,X1011,NDays&amp;"D")</f>
        <v>46056</v>
      </c>
      <c r="Z1011" s="174">
        <v>1.6220832823811149E-2</v>
      </c>
      <c r="AA1011" s="177"/>
    </row>
    <row r="1012" spans="22:27" x14ac:dyDescent="0.2">
      <c r="V1012" s="163"/>
      <c r="W1012" s="158" t="str">
        <f t="shared" si="27"/>
        <v>1w</v>
      </c>
      <c r="X1012" s="168">
        <f>_xll.qlCalendarAdvance(Calendar,X1011,W1012,"f",FALSE)</f>
        <v>46063</v>
      </c>
      <c r="Y1012" s="173">
        <f>_xll.qlCalendarAdvance(Calendar,X1012,NDays&amp;"D")</f>
        <v>46063</v>
      </c>
      <c r="Z1012" s="174">
        <v>1.6266116895181093E-2</v>
      </c>
      <c r="AA1012" s="177"/>
    </row>
    <row r="1013" spans="22:27" x14ac:dyDescent="0.2">
      <c r="V1013" s="163"/>
      <c r="W1013" s="158" t="str">
        <f t="shared" si="27"/>
        <v>1w</v>
      </c>
      <c r="X1013" s="168">
        <f>_xll.qlCalendarAdvance(Calendar,X1012,W1013,"f",FALSE)</f>
        <v>46070</v>
      </c>
      <c r="Y1013" s="173">
        <f>_xll.qlCalendarAdvance(Calendar,X1013,NDays&amp;"D")</f>
        <v>46070</v>
      </c>
      <c r="Z1013" s="174">
        <v>1.6304457695204277E-2</v>
      </c>
      <c r="AA1013" s="177"/>
    </row>
    <row r="1014" spans="22:27" x14ac:dyDescent="0.2">
      <c r="V1014" s="163"/>
      <c r="W1014" s="158" t="str">
        <f t="shared" si="27"/>
        <v>1w</v>
      </c>
      <c r="X1014" s="168">
        <f>_xll.qlCalendarAdvance(Calendar,X1013,W1014,"f",FALSE)</f>
        <v>46077</v>
      </c>
      <c r="Y1014" s="173">
        <f>_xll.qlCalendarAdvance(Calendar,X1014,NDays&amp;"D")</f>
        <v>46077</v>
      </c>
      <c r="Z1014" s="174">
        <v>1.6345898533014491E-2</v>
      </c>
      <c r="AA1014" s="177"/>
    </row>
    <row r="1015" spans="22:27" x14ac:dyDescent="0.2">
      <c r="V1015" s="163"/>
      <c r="W1015" s="158" t="str">
        <f t="shared" si="27"/>
        <v>1w</v>
      </c>
      <c r="X1015" s="168">
        <f>_xll.qlCalendarAdvance(Calendar,X1014,W1015,"f",FALSE)</f>
        <v>46084</v>
      </c>
      <c r="Y1015" s="173">
        <f>_xll.qlCalendarAdvance(Calendar,X1015,NDays&amp;"D")</f>
        <v>46084</v>
      </c>
      <c r="Z1015" s="174">
        <v>1.6387091638927487E-2</v>
      </c>
      <c r="AA1015" s="177"/>
    </row>
    <row r="1016" spans="22:27" x14ac:dyDescent="0.2">
      <c r="V1016" s="163"/>
      <c r="W1016" s="158" t="str">
        <f t="shared" si="27"/>
        <v>1w</v>
      </c>
      <c r="X1016" s="168">
        <f>_xll.qlCalendarAdvance(Calendar,X1015,W1016,"f",FALSE)</f>
        <v>46091</v>
      </c>
      <c r="Y1016" s="173">
        <f>_xll.qlCalendarAdvance(Calendar,X1016,NDays&amp;"D")</f>
        <v>46091</v>
      </c>
      <c r="Z1016" s="174">
        <v>1.6428037012862218E-2</v>
      </c>
      <c r="AA1016" s="177"/>
    </row>
    <row r="1017" spans="22:27" x14ac:dyDescent="0.2">
      <c r="V1017" s="163"/>
      <c r="W1017" s="158" t="str">
        <f t="shared" si="27"/>
        <v>1w</v>
      </c>
      <c r="X1017" s="168">
        <f>_xll.qlCalendarAdvance(Calendar,X1016,W1017,"f",FALSE)</f>
        <v>46098</v>
      </c>
      <c r="Y1017" s="173">
        <f>_xll.qlCalendarAdvance(Calendar,X1017,NDays&amp;"D")</f>
        <v>46098</v>
      </c>
      <c r="Z1017" s="174">
        <v>1.6468734654575545E-2</v>
      </c>
      <c r="AA1017" s="177"/>
    </row>
    <row r="1018" spans="22:27" x14ac:dyDescent="0.2">
      <c r="V1018" s="163"/>
      <c r="W1018" s="158" t="str">
        <f t="shared" si="27"/>
        <v>1w</v>
      </c>
      <c r="X1018" s="168">
        <f>_xll.qlCalendarAdvance(Calendar,X1017,W1018,"f",FALSE)</f>
        <v>46105</v>
      </c>
      <c r="Y1018" s="173">
        <f>_xll.qlCalendarAdvance(Calendar,X1018,NDays&amp;"D")</f>
        <v>46105</v>
      </c>
      <c r="Z1018" s="174">
        <v>1.6509184564067469E-2</v>
      </c>
      <c r="AA1018" s="177"/>
    </row>
    <row r="1019" spans="22:27" x14ac:dyDescent="0.2">
      <c r="V1019" s="163"/>
      <c r="W1019" s="158" t="str">
        <f t="shared" si="27"/>
        <v>1w</v>
      </c>
      <c r="X1019" s="168">
        <f>_xll.qlCalendarAdvance(Calendar,X1018,W1019,"f",FALSE)</f>
        <v>46112</v>
      </c>
      <c r="Y1019" s="173">
        <f>_xll.qlCalendarAdvance(Calendar,X1019,NDays&amp;"D")</f>
        <v>46112</v>
      </c>
      <c r="Z1019" s="174">
        <v>1.654938674133799E-2</v>
      </c>
      <c r="AA1019" s="177"/>
    </row>
    <row r="1020" spans="22:27" x14ac:dyDescent="0.2">
      <c r="V1020" s="163"/>
      <c r="W1020" s="158" t="str">
        <f t="shared" si="27"/>
        <v>1w</v>
      </c>
      <c r="X1020" s="168">
        <f>_xll.qlCalendarAdvance(Calendar,X1019,W1020,"f",FALSE)</f>
        <v>46119</v>
      </c>
      <c r="Y1020" s="173">
        <f>_xll.qlCalendarAdvance(Calendar,X1020,NDays&amp;"D")</f>
        <v>46119</v>
      </c>
      <c r="Z1020" s="174">
        <v>1.6589341186225015E-2</v>
      </c>
      <c r="AA1020" s="177"/>
    </row>
    <row r="1021" spans="22:27" x14ac:dyDescent="0.2">
      <c r="V1021" s="163"/>
      <c r="W1021" s="158" t="str">
        <f t="shared" si="27"/>
        <v>1w</v>
      </c>
      <c r="X1021" s="168">
        <f>_xll.qlCalendarAdvance(Calendar,X1020,W1021,"f",FALSE)</f>
        <v>46126</v>
      </c>
      <c r="Y1021" s="173">
        <f>_xll.qlCalendarAdvance(Calendar,X1021,NDays&amp;"D")</f>
        <v>46126</v>
      </c>
      <c r="Z1021" s="174">
        <v>1.6629047898647498E-2</v>
      </c>
      <c r="AA1021" s="177"/>
    </row>
    <row r="1022" spans="22:27" x14ac:dyDescent="0.2">
      <c r="V1022" s="163"/>
      <c r="W1022" s="158" t="str">
        <f t="shared" si="27"/>
        <v>1w</v>
      </c>
      <c r="X1022" s="168">
        <f>_xll.qlCalendarAdvance(Calendar,X1021,W1022,"f",FALSE)</f>
        <v>46133</v>
      </c>
      <c r="Y1022" s="173">
        <f>_xll.qlCalendarAdvance(Calendar,X1022,NDays&amp;"D")</f>
        <v>46133</v>
      </c>
      <c r="Z1022" s="174">
        <v>1.6668506878443345E-2</v>
      </c>
      <c r="AA1022" s="177"/>
    </row>
    <row r="1023" spans="22:27" x14ac:dyDescent="0.2">
      <c r="V1023" s="163"/>
      <c r="W1023" s="158" t="str">
        <f t="shared" si="27"/>
        <v>1w</v>
      </c>
      <c r="X1023" s="168">
        <f>_xll.qlCalendarAdvance(Calendar,X1022,W1023,"f",FALSE)</f>
        <v>46140</v>
      </c>
      <c r="Y1023" s="173">
        <f>_xll.qlCalendarAdvance(Calendar,X1023,NDays&amp;"D")</f>
        <v>46140</v>
      </c>
      <c r="Z1023" s="174">
        <v>1.6710891339600242E-2</v>
      </c>
      <c r="AA1023" s="177"/>
    </row>
    <row r="1024" spans="22:27" x14ac:dyDescent="0.2">
      <c r="V1024" s="163"/>
      <c r="W1024" s="158" t="str">
        <f t="shared" si="27"/>
        <v>1w</v>
      </c>
      <c r="X1024" s="168">
        <f>_xll.qlCalendarAdvance(Calendar,X1023,W1024,"f",FALSE)</f>
        <v>46149</v>
      </c>
      <c r="Y1024" s="173">
        <f>_xll.qlCalendarAdvance(Calendar,X1024,NDays&amp;"D")</f>
        <v>46149</v>
      </c>
      <c r="Z1024" s="174">
        <v>1.6757768571102893E-2</v>
      </c>
      <c r="AA1024" s="177"/>
    </row>
    <row r="1025" spans="22:27" x14ac:dyDescent="0.2">
      <c r="V1025" s="163"/>
      <c r="W1025" s="158" t="str">
        <f t="shared" si="27"/>
        <v>1w</v>
      </c>
      <c r="X1025" s="168">
        <f>_xll.qlCalendarAdvance(Calendar,X1024,W1025,"f",FALSE)</f>
        <v>46156</v>
      </c>
      <c r="Y1025" s="173">
        <f>_xll.qlCalendarAdvance(Calendar,X1025,NDays&amp;"D")</f>
        <v>46156</v>
      </c>
      <c r="Z1025" s="174">
        <v>1.6796413572059965E-2</v>
      </c>
      <c r="AA1025" s="177"/>
    </row>
    <row r="1026" spans="22:27" x14ac:dyDescent="0.2">
      <c r="V1026" s="163"/>
      <c r="W1026" s="158" t="str">
        <f t="shared" si="27"/>
        <v>1w</v>
      </c>
      <c r="X1026" s="168">
        <f>_xll.qlCalendarAdvance(Calendar,X1025,W1026,"f",FALSE)</f>
        <v>46163</v>
      </c>
      <c r="Y1026" s="173">
        <f>_xll.qlCalendarAdvance(Calendar,X1026,NDays&amp;"D")</f>
        <v>46163</v>
      </c>
      <c r="Z1026" s="174">
        <v>1.6834810840147263E-2</v>
      </c>
      <c r="AA1026" s="177"/>
    </row>
    <row r="1027" spans="22:27" x14ac:dyDescent="0.2">
      <c r="V1027" s="163"/>
      <c r="W1027" s="158" t="str">
        <f t="shared" si="27"/>
        <v>1w</v>
      </c>
      <c r="X1027" s="168">
        <f>_xll.qlCalendarAdvance(Calendar,X1026,W1027,"f",FALSE)</f>
        <v>46170</v>
      </c>
      <c r="Y1027" s="173">
        <f>_xll.qlCalendarAdvance(Calendar,X1027,NDays&amp;"D")</f>
        <v>46170</v>
      </c>
      <c r="Z1027" s="174">
        <v>1.6872960375283741E-2</v>
      </c>
      <c r="AA1027" s="177"/>
    </row>
    <row r="1028" spans="22:27" x14ac:dyDescent="0.2">
      <c r="V1028" s="163"/>
      <c r="W1028" s="158" t="str">
        <f t="shared" si="27"/>
        <v>1w</v>
      </c>
      <c r="X1028" s="168">
        <f>_xll.qlCalendarAdvance(Calendar,X1027,W1028,"f",FALSE)</f>
        <v>46177</v>
      </c>
      <c r="Y1028" s="173">
        <f>_xll.qlCalendarAdvance(Calendar,X1028,NDays&amp;"D")</f>
        <v>46177</v>
      </c>
      <c r="Z1028" s="174">
        <v>1.6910862177388353E-2</v>
      </c>
      <c r="AA1028" s="177"/>
    </row>
    <row r="1029" spans="22:27" x14ac:dyDescent="0.2">
      <c r="V1029" s="163"/>
      <c r="W1029" s="158" t="str">
        <f t="shared" si="27"/>
        <v>1w</v>
      </c>
      <c r="X1029" s="168">
        <f>_xll.qlCalendarAdvance(Calendar,X1028,W1029,"f",FALSE)</f>
        <v>46184</v>
      </c>
      <c r="Y1029" s="173">
        <f>_xll.qlCalendarAdvance(Calendar,X1029,NDays&amp;"D")</f>
        <v>46184</v>
      </c>
      <c r="Z1029" s="174">
        <v>1.6948516246461098E-2</v>
      </c>
      <c r="AA1029" s="177"/>
    </row>
    <row r="1030" spans="22:27" x14ac:dyDescent="0.2">
      <c r="V1030" s="163"/>
      <c r="W1030" s="158" t="str">
        <f t="shared" si="27"/>
        <v>1w</v>
      </c>
      <c r="X1030" s="168">
        <f>_xll.qlCalendarAdvance(Calendar,X1029,W1030,"f",FALSE)</f>
        <v>46191</v>
      </c>
      <c r="Y1030" s="173">
        <f>_xll.qlCalendarAdvance(Calendar,X1030,NDays&amp;"D")</f>
        <v>46191</v>
      </c>
      <c r="Z1030" s="174">
        <v>1.6985922582177793E-2</v>
      </c>
      <c r="AA1030" s="177"/>
    </row>
    <row r="1031" spans="22:27" x14ac:dyDescent="0.2">
      <c r="V1031" s="163"/>
      <c r="W1031" s="158" t="str">
        <f t="shared" si="27"/>
        <v>1w</v>
      </c>
      <c r="X1031" s="168">
        <f>_xll.qlCalendarAdvance(Calendar,X1030,W1031,"f",FALSE)</f>
        <v>46198</v>
      </c>
      <c r="Y1031" s="173">
        <f>_xll.qlCalendarAdvance(Calendar,X1031,NDays&amp;"D")</f>
        <v>46198</v>
      </c>
      <c r="Z1031" s="174">
        <v>1.7023081184781574E-2</v>
      </c>
      <c r="AA1031" s="177"/>
    </row>
    <row r="1032" spans="22:27" x14ac:dyDescent="0.2">
      <c r="V1032" s="163"/>
      <c r="W1032" s="158" t="str">
        <f t="shared" si="27"/>
        <v>1w</v>
      </c>
      <c r="X1032" s="168">
        <f>_xll.qlCalendarAdvance(Calendar,X1031,W1032,"f",FALSE)</f>
        <v>46205</v>
      </c>
      <c r="Y1032" s="173">
        <f>_xll.qlCalendarAdvance(Calendar,X1032,NDays&amp;"D")</f>
        <v>46205</v>
      </c>
      <c r="Z1032" s="174">
        <v>1.7059992053948259E-2</v>
      </c>
      <c r="AA1032" s="177"/>
    </row>
    <row r="1033" spans="22:27" x14ac:dyDescent="0.2">
      <c r="V1033" s="163"/>
      <c r="W1033" s="158" t="str">
        <f t="shared" si="27"/>
        <v>1w</v>
      </c>
      <c r="X1033" s="168">
        <f>_xll.qlCalendarAdvance(Calendar,X1032,W1033,"f",FALSE)</f>
        <v>46212</v>
      </c>
      <c r="Y1033" s="173">
        <f>_xll.qlCalendarAdvance(Calendar,X1033,NDays&amp;"D")</f>
        <v>46212</v>
      </c>
      <c r="Z1033" s="174">
        <v>1.7096655189758891E-2</v>
      </c>
      <c r="AA1033" s="177"/>
    </row>
    <row r="1034" spans="22:27" x14ac:dyDescent="0.2">
      <c r="V1034" s="163"/>
      <c r="W1034" s="158" t="str">
        <f t="shared" si="27"/>
        <v>1w</v>
      </c>
      <c r="X1034" s="168">
        <f>_xll.qlCalendarAdvance(Calendar,X1033,W1034,"f",FALSE)</f>
        <v>46219</v>
      </c>
      <c r="Y1034" s="173">
        <f>_xll.qlCalendarAdvance(Calendar,X1034,NDays&amp;"D")</f>
        <v>46219</v>
      </c>
      <c r="Z1034" s="174">
        <v>1.7133079517921423E-2</v>
      </c>
      <c r="AA1034" s="177"/>
    </row>
    <row r="1035" spans="22:27" x14ac:dyDescent="0.2">
      <c r="V1035" s="163"/>
      <c r="W1035" s="158" t="str">
        <f t="shared" si="27"/>
        <v>1w</v>
      </c>
      <c r="X1035" s="168">
        <f>_xll.qlCalendarAdvance(Calendar,X1034,W1035,"f",FALSE)</f>
        <v>46226</v>
      </c>
      <c r="Y1035" s="173">
        <f>_xll.qlCalendarAdvance(Calendar,X1035,NDays&amp;"D")</f>
        <v>46226</v>
      </c>
      <c r="Z1035" s="174">
        <v>1.71693655716465E-2</v>
      </c>
      <c r="AA1035" s="177"/>
    </row>
    <row r="1036" spans="22:27" x14ac:dyDescent="0.2">
      <c r="V1036" s="163"/>
      <c r="W1036" s="158" t="str">
        <f t="shared" si="27"/>
        <v>1w</v>
      </c>
      <c r="X1036" s="168">
        <f>_xll.qlCalendarAdvance(Calendar,X1035,W1036,"f",FALSE)</f>
        <v>46233</v>
      </c>
      <c r="Y1036" s="173">
        <f>_xll.qlCalendarAdvance(Calendar,X1036,NDays&amp;"D")</f>
        <v>46233</v>
      </c>
      <c r="Z1036" s="174">
        <v>1.7205542007683317E-2</v>
      </c>
      <c r="AA1036" s="177"/>
    </row>
    <row r="1037" spans="22:27" x14ac:dyDescent="0.2">
      <c r="V1037" s="163"/>
      <c r="W1037" s="158" t="str">
        <f t="shared" ref="W1037:W1100" si="28">W1036</f>
        <v>1w</v>
      </c>
      <c r="X1037" s="168">
        <f>_xll.qlCalendarAdvance(Calendar,X1036,W1037,"f",FALSE)</f>
        <v>46240</v>
      </c>
      <c r="Y1037" s="173">
        <f>_xll.qlCalendarAdvance(Calendar,X1037,NDays&amp;"D")</f>
        <v>46240</v>
      </c>
      <c r="Z1037" s="174">
        <v>1.7241608825950827E-2</v>
      </c>
      <c r="AA1037" s="177"/>
    </row>
    <row r="1038" spans="22:27" x14ac:dyDescent="0.2">
      <c r="V1038" s="163"/>
      <c r="W1038" s="158" t="str">
        <f t="shared" si="28"/>
        <v>1w</v>
      </c>
      <c r="X1038" s="168">
        <f>_xll.qlCalendarAdvance(Calendar,X1037,W1038,"f",FALSE)</f>
        <v>46247</v>
      </c>
      <c r="Y1038" s="173">
        <f>_xll.qlCalendarAdvance(Calendar,X1038,NDays&amp;"D")</f>
        <v>46247</v>
      </c>
      <c r="Z1038" s="174">
        <v>1.7277566026530078E-2</v>
      </c>
      <c r="AA1038" s="177"/>
    </row>
    <row r="1039" spans="22:27" x14ac:dyDescent="0.2">
      <c r="V1039" s="163"/>
      <c r="W1039" s="158" t="str">
        <f t="shared" si="28"/>
        <v>1w</v>
      </c>
      <c r="X1039" s="168">
        <f>_xll.qlCalendarAdvance(Calendar,X1038,W1039,"f",FALSE)</f>
        <v>46254</v>
      </c>
      <c r="Y1039" s="173">
        <f>_xll.qlCalendarAdvance(Calendar,X1039,NDays&amp;"D")</f>
        <v>46254</v>
      </c>
      <c r="Z1039" s="174">
        <v>1.7313413609096884E-2</v>
      </c>
      <c r="AA1039" s="177"/>
    </row>
    <row r="1040" spans="22:27" x14ac:dyDescent="0.2">
      <c r="V1040" s="163"/>
      <c r="W1040" s="158" t="str">
        <f t="shared" si="28"/>
        <v>1w</v>
      </c>
      <c r="X1040" s="168">
        <f>_xll.qlCalendarAdvance(Calendar,X1039,W1040,"f",FALSE)</f>
        <v>46261</v>
      </c>
      <c r="Y1040" s="173">
        <f>_xll.qlCalendarAdvance(Calendar,X1040,NDays&amp;"D")</f>
        <v>46261</v>
      </c>
      <c r="Z1040" s="174">
        <v>1.734915157397543E-2</v>
      </c>
      <c r="AA1040" s="177"/>
    </row>
    <row r="1041" spans="22:27" x14ac:dyDescent="0.2">
      <c r="V1041" s="163"/>
      <c r="W1041" s="158" t="str">
        <f t="shared" si="28"/>
        <v>1w</v>
      </c>
      <c r="X1041" s="168">
        <f>_xll.qlCalendarAdvance(Calendar,X1040,W1041,"f",FALSE)</f>
        <v>46268</v>
      </c>
      <c r="Y1041" s="173">
        <f>_xll.qlCalendarAdvance(Calendar,X1041,NDays&amp;"D")</f>
        <v>46268</v>
      </c>
      <c r="Z1041" s="174">
        <v>1.7384779920922577E-2</v>
      </c>
      <c r="AA1041" s="177"/>
    </row>
    <row r="1042" spans="22:27" x14ac:dyDescent="0.2">
      <c r="V1042" s="163"/>
      <c r="W1042" s="158" t="str">
        <f t="shared" si="28"/>
        <v>1w</v>
      </c>
      <c r="X1042" s="168">
        <f>_xll.qlCalendarAdvance(Calendar,X1041,W1042,"f",FALSE)</f>
        <v>46275</v>
      </c>
      <c r="Y1042" s="173">
        <f>_xll.qlCalendarAdvance(Calendar,X1042,NDays&amp;"D")</f>
        <v>46275</v>
      </c>
      <c r="Z1042" s="174">
        <v>1.7420298649938326E-2</v>
      </c>
      <c r="AA1042" s="177"/>
    </row>
    <row r="1043" spans="22:27" x14ac:dyDescent="0.2">
      <c r="V1043" s="163"/>
      <c r="W1043" s="158" t="str">
        <f t="shared" si="28"/>
        <v>1w</v>
      </c>
      <c r="X1043" s="168">
        <f>_xll.qlCalendarAdvance(Calendar,X1042,W1043,"f",FALSE)</f>
        <v>46282</v>
      </c>
      <c r="Y1043" s="173">
        <f>_xll.qlCalendarAdvance(Calendar,X1043,NDays&amp;"D")</f>
        <v>46282</v>
      </c>
      <c r="Z1043" s="174">
        <v>1.745570776094163E-2</v>
      </c>
      <c r="AA1043" s="177"/>
    </row>
    <row r="1044" spans="22:27" x14ac:dyDescent="0.2">
      <c r="V1044" s="163"/>
      <c r="W1044" s="158" t="str">
        <f t="shared" si="28"/>
        <v>1w</v>
      </c>
      <c r="X1044" s="168">
        <f>_xll.qlCalendarAdvance(Calendar,X1043,W1044,"f",FALSE)</f>
        <v>46289</v>
      </c>
      <c r="Y1044" s="173">
        <f>_xll.qlCalendarAdvance(Calendar,X1044,NDays&amp;"D")</f>
        <v>46289</v>
      </c>
      <c r="Z1044" s="174">
        <v>1.7491007254094582E-2</v>
      </c>
      <c r="AA1044" s="177"/>
    </row>
    <row r="1045" spans="22:27" x14ac:dyDescent="0.2">
      <c r="V1045" s="163"/>
      <c r="W1045" s="158" t="str">
        <f t="shared" si="28"/>
        <v>1w</v>
      </c>
      <c r="X1045" s="168">
        <f>_xll.qlCalendarAdvance(Calendar,X1044,W1045,"f",FALSE)</f>
        <v>46296</v>
      </c>
      <c r="Y1045" s="173">
        <f>_xll.qlCalendarAdvance(Calendar,X1045,NDays&amp;"D")</f>
        <v>46296</v>
      </c>
      <c r="Z1045" s="174">
        <v>1.7526197129154042E-2</v>
      </c>
      <c r="AA1045" s="177"/>
    </row>
    <row r="1046" spans="22:27" x14ac:dyDescent="0.2">
      <c r="V1046" s="163"/>
      <c r="W1046" s="158" t="str">
        <f t="shared" si="28"/>
        <v>1w</v>
      </c>
      <c r="X1046" s="168">
        <f>_xll.qlCalendarAdvance(Calendar,X1045,W1046,"f",FALSE)</f>
        <v>46303</v>
      </c>
      <c r="Y1046" s="173">
        <f>_xll.qlCalendarAdvance(Calendar,X1046,NDays&amp;"D")</f>
        <v>46303</v>
      </c>
      <c r="Z1046" s="174">
        <v>1.7561277386120011E-2</v>
      </c>
      <c r="AA1046" s="177"/>
    </row>
    <row r="1047" spans="22:27" x14ac:dyDescent="0.2">
      <c r="V1047" s="163"/>
      <c r="W1047" s="158" t="str">
        <f t="shared" si="28"/>
        <v>1w</v>
      </c>
      <c r="X1047" s="168">
        <f>_xll.qlCalendarAdvance(Calendar,X1046,W1047,"f",FALSE)</f>
        <v>46310</v>
      </c>
      <c r="Y1047" s="173">
        <f>_xll.qlCalendarAdvance(Calendar,X1047,NDays&amp;"D")</f>
        <v>46310</v>
      </c>
      <c r="Z1047" s="174">
        <v>1.7596248024992489E-2</v>
      </c>
      <c r="AA1047" s="177"/>
    </row>
    <row r="1048" spans="22:27" x14ac:dyDescent="0.2">
      <c r="V1048" s="163"/>
      <c r="W1048" s="158" t="str">
        <f t="shared" si="28"/>
        <v>1w</v>
      </c>
      <c r="X1048" s="168">
        <f>_xll.qlCalendarAdvance(Calendar,X1047,W1048,"f",FALSE)</f>
        <v>46317</v>
      </c>
      <c r="Y1048" s="173">
        <f>_xll.qlCalendarAdvance(Calendar,X1048,NDays&amp;"D")</f>
        <v>46317</v>
      </c>
      <c r="Z1048" s="174">
        <v>1.7631109045852522E-2</v>
      </c>
      <c r="AA1048" s="177"/>
    </row>
    <row r="1049" spans="22:27" x14ac:dyDescent="0.2">
      <c r="V1049" s="163"/>
      <c r="W1049" s="158" t="str">
        <f t="shared" si="28"/>
        <v>1w</v>
      </c>
      <c r="X1049" s="168">
        <f>_xll.qlCalendarAdvance(Calendar,X1048,W1049,"f",FALSE)</f>
        <v>46324</v>
      </c>
      <c r="Y1049" s="173">
        <f>_xll.qlCalendarAdvance(Calendar,X1049,NDays&amp;"D")</f>
        <v>46324</v>
      </c>
      <c r="Z1049" s="174">
        <v>1.7665860448456971E-2</v>
      </c>
      <c r="AA1049" s="177"/>
    </row>
    <row r="1050" spans="22:27" x14ac:dyDescent="0.2">
      <c r="V1050" s="163"/>
      <c r="W1050" s="158" t="str">
        <f t="shared" si="28"/>
        <v>1w</v>
      </c>
      <c r="X1050" s="168">
        <f>_xll.qlCalendarAdvance(Calendar,X1049,W1050,"f",FALSE)</f>
        <v>46331</v>
      </c>
      <c r="Y1050" s="173">
        <f>_xll.qlCalendarAdvance(Calendar,X1050,NDays&amp;"D")</f>
        <v>46331</v>
      </c>
      <c r="Z1050" s="174">
        <v>1.770050223296793E-2</v>
      </c>
      <c r="AA1050" s="177"/>
    </row>
    <row r="1051" spans="22:27" x14ac:dyDescent="0.2">
      <c r="V1051" s="163"/>
      <c r="W1051" s="158" t="str">
        <f t="shared" si="28"/>
        <v>1w</v>
      </c>
      <c r="X1051" s="168">
        <f>_xll.qlCalendarAdvance(Calendar,X1050,W1051,"f",FALSE)</f>
        <v>46338</v>
      </c>
      <c r="Y1051" s="173">
        <f>_xll.qlCalendarAdvance(Calendar,X1051,NDays&amp;"D")</f>
        <v>46338</v>
      </c>
      <c r="Z1051" s="174">
        <v>1.7735034399223304E-2</v>
      </c>
      <c r="AA1051" s="177"/>
    </row>
    <row r="1052" spans="22:27" x14ac:dyDescent="0.2">
      <c r="V1052" s="163"/>
      <c r="W1052" s="158" t="str">
        <f t="shared" si="28"/>
        <v>1w</v>
      </c>
      <c r="X1052" s="168">
        <f>_xll.qlCalendarAdvance(Calendar,X1051,W1052,"f",FALSE)</f>
        <v>46345</v>
      </c>
      <c r="Y1052" s="173">
        <f>_xll.qlCalendarAdvance(Calendar,X1052,NDays&amp;"D")</f>
        <v>46345</v>
      </c>
      <c r="Z1052" s="174">
        <v>1.7769456947304141E-2</v>
      </c>
      <c r="AA1052" s="177"/>
    </row>
    <row r="1053" spans="22:27" x14ac:dyDescent="0.2">
      <c r="V1053" s="163"/>
      <c r="W1053" s="158" t="str">
        <f t="shared" si="28"/>
        <v>1w</v>
      </c>
      <c r="X1053" s="168">
        <f>_xll.qlCalendarAdvance(Calendar,X1052,W1053,"f",FALSE)</f>
        <v>46352</v>
      </c>
      <c r="Y1053" s="173">
        <f>_xll.qlCalendarAdvance(Calendar,X1053,NDays&amp;"D")</f>
        <v>46352</v>
      </c>
      <c r="Z1053" s="174">
        <v>1.7803769877129394E-2</v>
      </c>
      <c r="AA1053" s="177"/>
    </row>
    <row r="1054" spans="22:27" x14ac:dyDescent="0.2">
      <c r="V1054" s="163"/>
      <c r="W1054" s="158" t="str">
        <f t="shared" si="28"/>
        <v>1w</v>
      </c>
      <c r="X1054" s="168">
        <f>_xll.qlCalendarAdvance(Calendar,X1053,W1054,"f",FALSE)</f>
        <v>46359</v>
      </c>
      <c r="Y1054" s="173">
        <f>_xll.qlCalendarAdvance(Calendar,X1054,NDays&amp;"D")</f>
        <v>46359</v>
      </c>
      <c r="Z1054" s="174">
        <v>1.7837973188618017E-2</v>
      </c>
      <c r="AA1054" s="177"/>
    </row>
    <row r="1055" spans="22:27" x14ac:dyDescent="0.2">
      <c r="V1055" s="163"/>
      <c r="W1055" s="158" t="str">
        <f t="shared" si="28"/>
        <v>1w</v>
      </c>
      <c r="X1055" s="168">
        <f>_xll.qlCalendarAdvance(Calendar,X1054,W1055,"f",FALSE)</f>
        <v>46366</v>
      </c>
      <c r="Y1055" s="173">
        <f>_xll.qlCalendarAdvance(Calendar,X1055,NDays&amp;"D")</f>
        <v>46366</v>
      </c>
      <c r="Z1055" s="174">
        <v>1.787206688177001E-2</v>
      </c>
      <c r="AA1055" s="177"/>
    </row>
    <row r="1056" spans="22:27" x14ac:dyDescent="0.2">
      <c r="V1056" s="163"/>
      <c r="W1056" s="158" t="str">
        <f t="shared" si="28"/>
        <v>1w</v>
      </c>
      <c r="X1056" s="168">
        <f>_xll.qlCalendarAdvance(Calendar,X1055,W1056,"f",FALSE)</f>
        <v>46373</v>
      </c>
      <c r="Y1056" s="173">
        <f>_xll.qlCalendarAdvance(Calendar,X1056,NDays&amp;"D")</f>
        <v>46373</v>
      </c>
      <c r="Z1056" s="174">
        <v>1.7906050956585373E-2</v>
      </c>
      <c r="AA1056" s="177"/>
    </row>
    <row r="1057" spans="22:27" x14ac:dyDescent="0.2">
      <c r="V1057" s="163"/>
      <c r="W1057" s="158" t="str">
        <f t="shared" si="28"/>
        <v>1w</v>
      </c>
      <c r="X1057" s="168">
        <f>_xll.qlCalendarAdvance(Calendar,X1056,W1057,"f",FALSE)</f>
        <v>46380</v>
      </c>
      <c r="Y1057" s="173">
        <f>_xll.qlCalendarAdvance(Calendar,X1057,NDays&amp;"D")</f>
        <v>46380</v>
      </c>
      <c r="Z1057" s="174">
        <v>1.7939925412902014E-2</v>
      </c>
      <c r="AA1057" s="177"/>
    </row>
    <row r="1058" spans="22:27" x14ac:dyDescent="0.2">
      <c r="V1058" s="163"/>
      <c r="W1058" s="158" t="str">
        <f t="shared" si="28"/>
        <v>1w</v>
      </c>
      <c r="X1058" s="168">
        <f>_xll.qlCalendarAdvance(Calendar,X1057,W1058,"f",FALSE)</f>
        <v>46391</v>
      </c>
      <c r="Y1058" s="173">
        <f>_xll.qlCalendarAdvance(Calendar,X1058,NDays&amp;"D")</f>
        <v>46391</v>
      </c>
      <c r="Z1058" s="174">
        <v>1.7992935227594264E-2</v>
      </c>
      <c r="AA1058" s="177"/>
    </row>
    <row r="1059" spans="22:27" x14ac:dyDescent="0.2">
      <c r="V1059" s="163"/>
      <c r="W1059" s="158" t="str">
        <f t="shared" si="28"/>
        <v>1w</v>
      </c>
      <c r="X1059" s="168">
        <f>_xll.qlCalendarAdvance(Calendar,X1058,W1059,"f",FALSE)</f>
        <v>46399</v>
      </c>
      <c r="Y1059" s="173">
        <f>_xll.qlCalendarAdvance(Calendar,X1059,NDays&amp;"D")</f>
        <v>46399</v>
      </c>
      <c r="Z1059" s="174">
        <v>1.8031317799559465E-2</v>
      </c>
      <c r="AA1059" s="177"/>
    </row>
    <row r="1060" spans="22:27" x14ac:dyDescent="0.2">
      <c r="V1060" s="163"/>
      <c r="W1060" s="158" t="str">
        <f t="shared" si="28"/>
        <v>1w</v>
      </c>
      <c r="X1060" s="168">
        <f>_xll.qlCalendarAdvance(Calendar,X1059,W1060,"f",FALSE)</f>
        <v>46406</v>
      </c>
      <c r="Y1060" s="173">
        <f>_xll.qlCalendarAdvance(Calendar,X1060,NDays&amp;"D")</f>
        <v>46406</v>
      </c>
      <c r="Z1060" s="174">
        <v>1.8064785101730152E-2</v>
      </c>
      <c r="AA1060" s="177"/>
    </row>
    <row r="1061" spans="22:27" x14ac:dyDescent="0.2">
      <c r="V1061" s="163"/>
      <c r="W1061" s="158" t="str">
        <f t="shared" si="28"/>
        <v>1w</v>
      </c>
      <c r="X1061" s="168">
        <f>_xll.qlCalendarAdvance(Calendar,X1060,W1061,"f",FALSE)</f>
        <v>46413</v>
      </c>
      <c r="Y1061" s="173">
        <f>_xll.qlCalendarAdvance(Calendar,X1061,NDays&amp;"D")</f>
        <v>46413</v>
      </c>
      <c r="Z1061" s="174">
        <v>1.809814278532107E-2</v>
      </c>
      <c r="AA1061" s="177"/>
    </row>
    <row r="1062" spans="22:27" x14ac:dyDescent="0.2">
      <c r="V1062" s="163"/>
      <c r="W1062" s="158" t="str">
        <f t="shared" si="28"/>
        <v>1w</v>
      </c>
      <c r="X1062" s="168">
        <f>_xll.qlCalendarAdvance(Calendar,X1061,W1062,"f",FALSE)</f>
        <v>46420</v>
      </c>
      <c r="Y1062" s="173">
        <f>_xll.qlCalendarAdvance(Calendar,X1062,NDays&amp;"D")</f>
        <v>46420</v>
      </c>
      <c r="Z1062" s="174">
        <v>1.8131390850332219E-2</v>
      </c>
      <c r="AA1062" s="177"/>
    </row>
    <row r="1063" spans="22:27" x14ac:dyDescent="0.2">
      <c r="V1063" s="163"/>
      <c r="W1063" s="158" t="str">
        <f t="shared" si="28"/>
        <v>1w</v>
      </c>
      <c r="X1063" s="168">
        <f>_xll.qlCalendarAdvance(Calendar,X1062,W1063,"f",FALSE)</f>
        <v>46427</v>
      </c>
      <c r="Y1063" s="173">
        <f>_xll.qlCalendarAdvance(Calendar,X1063,NDays&amp;"D")</f>
        <v>46427</v>
      </c>
      <c r="Z1063" s="174">
        <v>1.8164529296763599E-2</v>
      </c>
      <c r="AA1063" s="177"/>
    </row>
    <row r="1064" spans="22:27" x14ac:dyDescent="0.2">
      <c r="V1064" s="163"/>
      <c r="W1064" s="158" t="str">
        <f t="shared" si="28"/>
        <v>1w</v>
      </c>
      <c r="X1064" s="168">
        <f>_xll.qlCalendarAdvance(Calendar,X1063,W1064,"f",FALSE)</f>
        <v>46434</v>
      </c>
      <c r="Y1064" s="173">
        <f>_xll.qlCalendarAdvance(Calendar,X1064,NDays&amp;"D")</f>
        <v>46434</v>
      </c>
      <c r="Z1064" s="174">
        <v>1.8197558124534163E-2</v>
      </c>
      <c r="AA1064" s="177"/>
    </row>
    <row r="1065" spans="22:27" x14ac:dyDescent="0.2">
      <c r="V1065" s="163"/>
      <c r="W1065" s="158" t="str">
        <f t="shared" si="28"/>
        <v>1w</v>
      </c>
      <c r="X1065" s="168">
        <f>_xll.qlCalendarAdvance(Calendar,X1064,W1065,"f",FALSE)</f>
        <v>46441</v>
      </c>
      <c r="Y1065" s="173">
        <f>_xll.qlCalendarAdvance(Calendar,X1065,NDays&amp;"D")</f>
        <v>46441</v>
      </c>
      <c r="Z1065" s="174">
        <v>1.8230477333724959E-2</v>
      </c>
      <c r="AA1065" s="177"/>
    </row>
    <row r="1066" spans="22:27" x14ac:dyDescent="0.2">
      <c r="V1066" s="163"/>
      <c r="W1066" s="158" t="str">
        <f t="shared" si="28"/>
        <v>1w</v>
      </c>
      <c r="X1066" s="168">
        <f>_xll.qlCalendarAdvance(Calendar,X1065,W1066,"f",FALSE)</f>
        <v>46448</v>
      </c>
      <c r="Y1066" s="173">
        <f>_xll.qlCalendarAdvance(Calendar,X1066,NDays&amp;"D")</f>
        <v>46448</v>
      </c>
      <c r="Z1066" s="174">
        <v>1.8263286924173894E-2</v>
      </c>
      <c r="AA1066" s="177"/>
    </row>
    <row r="1067" spans="22:27" x14ac:dyDescent="0.2">
      <c r="V1067" s="163"/>
      <c r="W1067" s="158" t="str">
        <f t="shared" si="28"/>
        <v>1w</v>
      </c>
      <c r="X1067" s="168">
        <f>_xll.qlCalendarAdvance(Calendar,X1066,W1067,"f",FALSE)</f>
        <v>46455</v>
      </c>
      <c r="Y1067" s="173">
        <f>_xll.qlCalendarAdvance(Calendar,X1067,NDays&amp;"D")</f>
        <v>46455</v>
      </c>
      <c r="Z1067" s="174">
        <v>1.8295986895880967E-2</v>
      </c>
      <c r="AA1067" s="177"/>
    </row>
    <row r="1068" spans="22:27" x14ac:dyDescent="0.2">
      <c r="V1068" s="163"/>
      <c r="W1068" s="158" t="str">
        <f t="shared" si="28"/>
        <v>1w</v>
      </c>
      <c r="X1068" s="168">
        <f>_xll.qlCalendarAdvance(Calendar,X1067,W1068,"f",FALSE)</f>
        <v>46462</v>
      </c>
      <c r="Y1068" s="173">
        <f>_xll.qlCalendarAdvance(Calendar,X1068,NDays&amp;"D")</f>
        <v>46462</v>
      </c>
      <c r="Z1068" s="174">
        <v>1.8328577248927225E-2</v>
      </c>
      <c r="AA1068" s="177"/>
    </row>
    <row r="1069" spans="22:27" x14ac:dyDescent="0.2">
      <c r="V1069" s="163"/>
      <c r="W1069" s="158" t="str">
        <f t="shared" si="28"/>
        <v>1w</v>
      </c>
      <c r="X1069" s="168">
        <f>_xll.qlCalendarAdvance(Calendar,X1068,W1069,"f",FALSE)</f>
        <v>46469</v>
      </c>
      <c r="Y1069" s="173">
        <f>_xll.qlCalendarAdvance(Calendar,X1069,NDays&amp;"D")</f>
        <v>46469</v>
      </c>
      <c r="Z1069" s="174">
        <v>1.8361057983150575E-2</v>
      </c>
      <c r="AA1069" s="177"/>
    </row>
    <row r="1070" spans="22:27" x14ac:dyDescent="0.2">
      <c r="V1070" s="163"/>
      <c r="W1070" s="158" t="str">
        <f t="shared" si="28"/>
        <v>1w</v>
      </c>
      <c r="X1070" s="168">
        <f>_xll.qlCalendarAdvance(Calendar,X1069,W1070,"f",FALSE)</f>
        <v>46476</v>
      </c>
      <c r="Y1070" s="173">
        <f>_xll.qlCalendarAdvance(Calendar,X1070,NDays&amp;"D")</f>
        <v>46476</v>
      </c>
      <c r="Z1070" s="174">
        <v>1.8393429098632064E-2</v>
      </c>
      <c r="AA1070" s="177"/>
    </row>
    <row r="1071" spans="22:27" x14ac:dyDescent="0.2">
      <c r="V1071" s="163"/>
      <c r="W1071" s="158" t="str">
        <f t="shared" si="28"/>
        <v>1w</v>
      </c>
      <c r="X1071" s="168">
        <f>_xll.qlCalendarAdvance(Calendar,X1070,W1071,"f",FALSE)</f>
        <v>46483</v>
      </c>
      <c r="Y1071" s="173">
        <f>_xll.qlCalendarAdvance(Calendar,X1071,NDays&amp;"D")</f>
        <v>46483</v>
      </c>
      <c r="Z1071" s="174">
        <v>1.8425690595209598E-2</v>
      </c>
      <c r="AA1071" s="177"/>
    </row>
    <row r="1072" spans="22:27" x14ac:dyDescent="0.2">
      <c r="V1072" s="163"/>
      <c r="W1072" s="158" t="str">
        <f t="shared" si="28"/>
        <v>1w</v>
      </c>
      <c r="X1072" s="168">
        <f>_xll.qlCalendarAdvance(Calendar,X1071,W1072,"f",FALSE)</f>
        <v>46490</v>
      </c>
      <c r="Y1072" s="173">
        <f>_xll.qlCalendarAdvance(Calendar,X1072,NDays&amp;"D")</f>
        <v>46490</v>
      </c>
      <c r="Z1072" s="174">
        <v>1.8457842472964225E-2</v>
      </c>
      <c r="AA1072" s="177"/>
    </row>
    <row r="1073" spans="22:27" x14ac:dyDescent="0.2">
      <c r="V1073" s="163"/>
      <c r="W1073" s="158" t="str">
        <f t="shared" si="28"/>
        <v>1w</v>
      </c>
      <c r="X1073" s="168">
        <f>_xll.qlCalendarAdvance(Calendar,X1072,W1073,"f",FALSE)</f>
        <v>46497</v>
      </c>
      <c r="Y1073" s="173">
        <f>_xll.qlCalendarAdvance(Calendar,X1073,NDays&amp;"D")</f>
        <v>46497</v>
      </c>
      <c r="Z1073" s="174">
        <v>1.8489884731814898E-2</v>
      </c>
      <c r="AA1073" s="177"/>
    </row>
    <row r="1074" spans="22:27" x14ac:dyDescent="0.2">
      <c r="V1074" s="163"/>
      <c r="W1074" s="158" t="str">
        <f t="shared" si="28"/>
        <v>1w</v>
      </c>
      <c r="X1074" s="168">
        <f>_xll.qlCalendarAdvance(Calendar,X1073,W1074,"f",FALSE)</f>
        <v>46504</v>
      </c>
      <c r="Y1074" s="173">
        <f>_xll.qlCalendarAdvance(Calendar,X1074,NDays&amp;"D")</f>
        <v>46504</v>
      </c>
      <c r="Z1074" s="174">
        <v>1.8521817371761617E-2</v>
      </c>
      <c r="AA1074" s="177"/>
    </row>
    <row r="1075" spans="22:27" x14ac:dyDescent="0.2">
      <c r="V1075" s="163"/>
      <c r="W1075" s="158" t="str">
        <f t="shared" si="28"/>
        <v>1w</v>
      </c>
      <c r="X1075" s="168">
        <f>_xll.qlCalendarAdvance(Calendar,X1074,W1075,"f",FALSE)</f>
        <v>46513</v>
      </c>
      <c r="Y1075" s="173">
        <f>_xll.qlCalendarAdvance(Calendar,X1075,NDays&amp;"D")</f>
        <v>46513</v>
      </c>
      <c r="Z1075" s="174">
        <v>1.8562712550411753E-2</v>
      </c>
      <c r="AA1075" s="177"/>
    </row>
    <row r="1076" spans="22:27" x14ac:dyDescent="0.2">
      <c r="V1076" s="163"/>
      <c r="W1076" s="158" t="str">
        <f t="shared" si="28"/>
        <v>1w</v>
      </c>
      <c r="X1076" s="168">
        <f>_xll.qlCalendarAdvance(Calendar,X1075,W1076,"f",FALSE)</f>
        <v>46520</v>
      </c>
      <c r="Y1076" s="173">
        <f>_xll.qlCalendarAdvance(Calendar,X1076,NDays&amp;"D")</f>
        <v>46520</v>
      </c>
      <c r="Z1076" s="174">
        <v>1.8594394632701627E-2</v>
      </c>
      <c r="AA1076" s="177"/>
    </row>
    <row r="1077" spans="22:27" x14ac:dyDescent="0.2">
      <c r="V1077" s="163"/>
      <c r="W1077" s="158" t="str">
        <f t="shared" si="28"/>
        <v>1w</v>
      </c>
      <c r="X1077" s="168">
        <f>_xll.qlCalendarAdvance(Calendar,X1076,W1077,"f",FALSE)</f>
        <v>46527</v>
      </c>
      <c r="Y1077" s="173">
        <f>_xll.qlCalendarAdvance(Calendar,X1077,NDays&amp;"D")</f>
        <v>46527</v>
      </c>
      <c r="Z1077" s="174">
        <v>1.8625967096006502E-2</v>
      </c>
      <c r="AA1077" s="177"/>
    </row>
    <row r="1078" spans="22:27" x14ac:dyDescent="0.2">
      <c r="V1078" s="163"/>
      <c r="W1078" s="158" t="str">
        <f t="shared" si="28"/>
        <v>1w</v>
      </c>
      <c r="X1078" s="168">
        <f>_xll.qlCalendarAdvance(Calendar,X1077,W1078,"f",FALSE)</f>
        <v>46534</v>
      </c>
      <c r="Y1078" s="173">
        <f>_xll.qlCalendarAdvance(Calendar,X1078,NDays&amp;"D")</f>
        <v>46534</v>
      </c>
      <c r="Z1078" s="174">
        <v>1.8657429940245329E-2</v>
      </c>
      <c r="AA1078" s="177"/>
    </row>
    <row r="1079" spans="22:27" x14ac:dyDescent="0.2">
      <c r="V1079" s="163"/>
      <c r="W1079" s="158" t="str">
        <f t="shared" si="28"/>
        <v>1w</v>
      </c>
      <c r="X1079" s="168">
        <f>_xll.qlCalendarAdvance(Calendar,X1078,W1079,"f",FALSE)</f>
        <v>46541</v>
      </c>
      <c r="Y1079" s="173">
        <f>_xll.qlCalendarAdvance(Calendar,X1079,NDays&amp;"D")</f>
        <v>46541</v>
      </c>
      <c r="Z1079" s="174">
        <v>1.868878316541811E-2</v>
      </c>
      <c r="AA1079" s="177"/>
    </row>
    <row r="1080" spans="22:27" x14ac:dyDescent="0.2">
      <c r="V1080" s="163"/>
      <c r="W1080" s="158" t="str">
        <f t="shared" si="28"/>
        <v>1w</v>
      </c>
      <c r="X1080" s="168">
        <f>_xll.qlCalendarAdvance(Calendar,X1079,W1080,"f",FALSE)</f>
        <v>46548</v>
      </c>
      <c r="Y1080" s="173">
        <f>_xll.qlCalendarAdvance(Calendar,X1080,NDays&amp;"D")</f>
        <v>46548</v>
      </c>
      <c r="Z1080" s="174">
        <v>1.8720026771524845E-2</v>
      </c>
      <c r="AA1080" s="177"/>
    </row>
    <row r="1081" spans="22:27" x14ac:dyDescent="0.2">
      <c r="V1081" s="163"/>
      <c r="W1081" s="158" t="str">
        <f t="shared" si="28"/>
        <v>1w</v>
      </c>
      <c r="X1081" s="168">
        <f>_xll.qlCalendarAdvance(Calendar,X1080,W1081,"f",FALSE)</f>
        <v>46555</v>
      </c>
      <c r="Y1081" s="173">
        <f>_xll.qlCalendarAdvance(Calendar,X1081,NDays&amp;"D")</f>
        <v>46555</v>
      </c>
      <c r="Z1081" s="174">
        <v>1.8751160758484486E-2</v>
      </c>
      <c r="AA1081" s="177"/>
    </row>
    <row r="1082" spans="22:27" x14ac:dyDescent="0.2">
      <c r="V1082" s="163"/>
      <c r="W1082" s="158" t="str">
        <f t="shared" si="28"/>
        <v>1w</v>
      </c>
      <c r="X1082" s="168">
        <f>_xll.qlCalendarAdvance(Calendar,X1081,W1082,"f",FALSE)</f>
        <v>46562</v>
      </c>
      <c r="Y1082" s="173">
        <f>_xll.qlCalendarAdvance(Calendar,X1082,NDays&amp;"D")</f>
        <v>46562</v>
      </c>
      <c r="Z1082" s="174">
        <v>1.8782185126378081E-2</v>
      </c>
      <c r="AA1082" s="177"/>
    </row>
    <row r="1083" spans="22:27" x14ac:dyDescent="0.2">
      <c r="V1083" s="163"/>
      <c r="W1083" s="158" t="str">
        <f t="shared" si="28"/>
        <v>1w</v>
      </c>
      <c r="X1083" s="168">
        <f>_xll.qlCalendarAdvance(Calendar,X1082,W1083,"f",FALSE)</f>
        <v>46569</v>
      </c>
      <c r="Y1083" s="173">
        <f>_xll.qlCalendarAdvance(Calendar,X1083,NDays&amp;"D")</f>
        <v>46569</v>
      </c>
      <c r="Z1083" s="174">
        <v>1.8813099874962491E-2</v>
      </c>
      <c r="AA1083" s="177"/>
    </row>
    <row r="1084" spans="22:27" x14ac:dyDescent="0.2">
      <c r="V1084" s="163"/>
      <c r="W1084" s="158" t="str">
        <f t="shared" si="28"/>
        <v>1w</v>
      </c>
      <c r="X1084" s="168">
        <f>_xll.qlCalendarAdvance(Calendar,X1083,W1084,"f",FALSE)</f>
        <v>46576</v>
      </c>
      <c r="Y1084" s="173">
        <f>_xll.qlCalendarAdvance(Calendar,X1084,NDays&amp;"D")</f>
        <v>46576</v>
      </c>
      <c r="Z1084" s="174">
        <v>1.8843905004399808E-2</v>
      </c>
      <c r="AA1084" s="177"/>
    </row>
    <row r="1085" spans="22:27" x14ac:dyDescent="0.2">
      <c r="V1085" s="163"/>
      <c r="W1085" s="158" t="str">
        <f t="shared" si="28"/>
        <v>1w</v>
      </c>
      <c r="X1085" s="168">
        <f>_xll.qlCalendarAdvance(Calendar,X1084,W1085,"f",FALSE)</f>
        <v>46583</v>
      </c>
      <c r="Y1085" s="173">
        <f>_xll.qlCalendarAdvance(Calendar,X1085,NDays&amp;"D")</f>
        <v>46583</v>
      </c>
      <c r="Z1085" s="174">
        <v>1.8874600514608986E-2</v>
      </c>
      <c r="AA1085" s="177"/>
    </row>
    <row r="1086" spans="22:27" x14ac:dyDescent="0.2">
      <c r="V1086" s="163"/>
      <c r="W1086" s="158" t="str">
        <f t="shared" si="28"/>
        <v>1w</v>
      </c>
      <c r="X1086" s="168">
        <f>_xll.qlCalendarAdvance(Calendar,X1085,W1086,"f",FALSE)</f>
        <v>46590</v>
      </c>
      <c r="Y1086" s="173">
        <f>_xll.qlCalendarAdvance(Calendar,X1086,NDays&amp;"D")</f>
        <v>46590</v>
      </c>
      <c r="Z1086" s="174">
        <v>1.8905186405508978E-2</v>
      </c>
      <c r="AA1086" s="177"/>
    </row>
    <row r="1087" spans="22:27" x14ac:dyDescent="0.2">
      <c r="V1087" s="163"/>
      <c r="W1087" s="158" t="str">
        <f t="shared" si="28"/>
        <v>1w</v>
      </c>
      <c r="X1087" s="168">
        <f>_xll.qlCalendarAdvance(Calendar,X1086,W1087,"f",FALSE)</f>
        <v>46597</v>
      </c>
      <c r="Y1087" s="173">
        <f>_xll.qlCalendarAdvance(Calendar,X1087,NDays&amp;"D")</f>
        <v>46597</v>
      </c>
      <c r="Z1087" s="174">
        <v>1.8935662677180831E-2</v>
      </c>
      <c r="AA1087" s="177"/>
    </row>
    <row r="1088" spans="22:27" x14ac:dyDescent="0.2">
      <c r="V1088" s="163"/>
      <c r="W1088" s="158" t="str">
        <f t="shared" si="28"/>
        <v>1w</v>
      </c>
      <c r="X1088" s="168">
        <f>_xll.qlCalendarAdvance(Calendar,X1087,W1088,"f",FALSE)</f>
        <v>46604</v>
      </c>
      <c r="Y1088" s="173">
        <f>_xll.qlCalendarAdvance(Calendar,X1088,NDays&amp;"D")</f>
        <v>46604</v>
      </c>
      <c r="Z1088" s="174">
        <v>1.8966029329462453E-2</v>
      </c>
      <c r="AA1088" s="177"/>
    </row>
    <row r="1089" spans="22:27" x14ac:dyDescent="0.2">
      <c r="V1089" s="163"/>
      <c r="W1089" s="158" t="str">
        <f t="shared" si="28"/>
        <v>1w</v>
      </c>
      <c r="X1089" s="168">
        <f>_xll.qlCalendarAdvance(Calendar,X1088,W1089,"f",FALSE)</f>
        <v>46611</v>
      </c>
      <c r="Y1089" s="173">
        <f>_xll.qlCalendarAdvance(Calendar,X1089,NDays&amp;"D")</f>
        <v>46611</v>
      </c>
      <c r="Z1089" s="174">
        <v>1.8996286362434889E-2</v>
      </c>
      <c r="AA1089" s="177"/>
    </row>
    <row r="1090" spans="22:27" x14ac:dyDescent="0.2">
      <c r="V1090" s="163"/>
      <c r="W1090" s="158" t="str">
        <f t="shared" si="28"/>
        <v>1w</v>
      </c>
      <c r="X1090" s="168">
        <f>_xll.qlCalendarAdvance(Calendar,X1089,W1090,"f",FALSE)</f>
        <v>46618</v>
      </c>
      <c r="Y1090" s="173">
        <f>_xll.qlCalendarAdvance(Calendar,X1090,NDays&amp;"D")</f>
        <v>46618</v>
      </c>
      <c r="Z1090" s="174">
        <v>1.9026433776179186E-2</v>
      </c>
      <c r="AA1090" s="177"/>
    </row>
    <row r="1091" spans="22:27" x14ac:dyDescent="0.2">
      <c r="V1091" s="163"/>
      <c r="W1091" s="158" t="str">
        <f t="shared" si="28"/>
        <v>1w</v>
      </c>
      <c r="X1091" s="168">
        <f>_xll.qlCalendarAdvance(Calendar,X1090,W1091,"f",FALSE)</f>
        <v>46625</v>
      </c>
      <c r="Y1091" s="173">
        <f>_xll.qlCalendarAdvance(Calendar,X1091,NDays&amp;"D")</f>
        <v>46625</v>
      </c>
      <c r="Z1091" s="174">
        <v>1.9056471570290112E-2</v>
      </c>
      <c r="AA1091" s="177"/>
    </row>
    <row r="1092" spans="22:27" x14ac:dyDescent="0.2">
      <c r="V1092" s="163"/>
      <c r="W1092" s="158" t="str">
        <f t="shared" si="28"/>
        <v>1w</v>
      </c>
      <c r="X1092" s="168">
        <f>_xll.qlCalendarAdvance(Calendar,X1091,W1092,"f",FALSE)</f>
        <v>46632</v>
      </c>
      <c r="Y1092" s="173">
        <f>_xll.qlCalendarAdvance(Calendar,X1092,NDays&amp;"D")</f>
        <v>46632</v>
      </c>
      <c r="Z1092" s="174">
        <v>1.9086399745091853E-2</v>
      </c>
      <c r="AA1092" s="177"/>
    </row>
    <row r="1093" spans="22:27" x14ac:dyDescent="0.2">
      <c r="V1093" s="163"/>
      <c r="W1093" s="158" t="str">
        <f t="shared" si="28"/>
        <v>1w</v>
      </c>
      <c r="X1093" s="168">
        <f>_xll.qlCalendarAdvance(Calendar,X1092,W1093,"f",FALSE)</f>
        <v>46639</v>
      </c>
      <c r="Y1093" s="173">
        <f>_xll.qlCalendarAdvance(Calendar,X1093,NDays&amp;"D")</f>
        <v>46639</v>
      </c>
      <c r="Z1093" s="174">
        <v>1.9116218300422316E-2</v>
      </c>
      <c r="AA1093" s="177"/>
    </row>
    <row r="1094" spans="22:27" x14ac:dyDescent="0.2">
      <c r="V1094" s="163"/>
      <c r="W1094" s="158" t="str">
        <f t="shared" si="28"/>
        <v>1w</v>
      </c>
      <c r="X1094" s="168">
        <f>_xll.qlCalendarAdvance(Calendar,X1093,W1094,"f",FALSE)</f>
        <v>46646</v>
      </c>
      <c r="Y1094" s="173">
        <f>_xll.qlCalendarAdvance(Calendar,X1094,NDays&amp;"D")</f>
        <v>46646</v>
      </c>
      <c r="Z1094" s="174">
        <v>1.9145927236281501E-2</v>
      </c>
      <c r="AA1094" s="177"/>
    </row>
    <row r="1095" spans="22:27" x14ac:dyDescent="0.2">
      <c r="V1095" s="163"/>
      <c r="W1095" s="158" t="str">
        <f t="shared" si="28"/>
        <v>1w</v>
      </c>
      <c r="X1095" s="168">
        <f>_xll.qlCalendarAdvance(Calendar,X1094,W1095,"f",FALSE)</f>
        <v>46654</v>
      </c>
      <c r="Y1095" s="173">
        <f>_xll.qlCalendarAdvance(Calendar,X1095,NDays&amp;"D")</f>
        <v>46654</v>
      </c>
      <c r="Z1095" s="174">
        <v>1.9184970923939264E-2</v>
      </c>
      <c r="AA1095" s="177"/>
    </row>
    <row r="1096" spans="22:27" x14ac:dyDescent="0.2">
      <c r="V1096" s="163"/>
      <c r="W1096" s="158" t="str">
        <f t="shared" si="28"/>
        <v>1w</v>
      </c>
      <c r="X1096" s="168">
        <f>_xll.qlCalendarAdvance(Calendar,X1095,W1096,"f",FALSE)</f>
        <v>46661</v>
      </c>
      <c r="Y1096" s="173">
        <f>_xll.qlCalendarAdvance(Calendar,X1096,NDays&amp;"D")</f>
        <v>46661</v>
      </c>
      <c r="Z1096" s="174">
        <v>1.9214432399919566E-2</v>
      </c>
      <c r="AA1096" s="177"/>
    </row>
    <row r="1097" spans="22:27" x14ac:dyDescent="0.2">
      <c r="V1097" s="163"/>
      <c r="W1097" s="158" t="str">
        <f t="shared" si="28"/>
        <v>1w</v>
      </c>
      <c r="X1097" s="168">
        <f>_xll.qlCalendarAdvance(Calendar,X1096,W1097,"f",FALSE)</f>
        <v>46668</v>
      </c>
      <c r="Y1097" s="173">
        <f>_xll.qlCalendarAdvance(Calendar,X1097,NDays&amp;"D")</f>
        <v>46668</v>
      </c>
      <c r="Z1097" s="174">
        <v>1.9246383347295837E-2</v>
      </c>
      <c r="AA1097" s="177"/>
    </row>
    <row r="1098" spans="22:27" x14ac:dyDescent="0.2">
      <c r="V1098" s="163"/>
      <c r="W1098" s="158" t="str">
        <f t="shared" si="28"/>
        <v>1w</v>
      </c>
      <c r="X1098" s="168">
        <f>_xll.qlCalendarAdvance(Calendar,X1097,W1098,"f",FALSE)</f>
        <v>46675</v>
      </c>
      <c r="Y1098" s="173">
        <f>_xll.qlCalendarAdvance(Calendar,X1098,NDays&amp;"D")</f>
        <v>46675</v>
      </c>
      <c r="Z1098" s="174">
        <v>1.9273026472718485E-2</v>
      </c>
      <c r="AA1098" s="177"/>
    </row>
    <row r="1099" spans="22:27" x14ac:dyDescent="0.2">
      <c r="V1099" s="163"/>
      <c r="W1099" s="158" t="str">
        <f t="shared" si="28"/>
        <v>1w</v>
      </c>
      <c r="X1099" s="168">
        <f>_xll.qlCalendarAdvance(Calendar,X1098,W1099,"f",FALSE)</f>
        <v>46682</v>
      </c>
      <c r="Y1099" s="173">
        <f>_xll.qlCalendarAdvance(Calendar,X1099,NDays&amp;"D")</f>
        <v>46682</v>
      </c>
      <c r="Z1099" s="174">
        <v>1.9302159069320982E-2</v>
      </c>
      <c r="AA1099" s="177"/>
    </row>
    <row r="1100" spans="22:27" x14ac:dyDescent="0.2">
      <c r="V1100" s="163"/>
      <c r="W1100" s="158" t="str">
        <f t="shared" si="28"/>
        <v>1w</v>
      </c>
      <c r="X1100" s="168">
        <f>_xll.qlCalendarAdvance(Calendar,X1099,W1100,"f",FALSE)</f>
        <v>46689</v>
      </c>
      <c r="Y1100" s="173">
        <f>_xll.qlCalendarAdvance(Calendar,X1100,NDays&amp;"D")</f>
        <v>46689</v>
      </c>
      <c r="Z1100" s="174">
        <v>1.9331182039347142E-2</v>
      </c>
      <c r="AA1100" s="177"/>
    </row>
    <row r="1101" spans="22:27" x14ac:dyDescent="0.2">
      <c r="V1101" s="163"/>
      <c r="W1101" s="158" t="str">
        <f t="shared" ref="W1101:W1164" si="29">W1100</f>
        <v>1w</v>
      </c>
      <c r="X1101" s="168">
        <f>_xll.qlCalendarAdvance(Calendar,X1100,W1101,"f",FALSE)</f>
        <v>46696</v>
      </c>
      <c r="Y1101" s="173">
        <f>_xll.qlCalendarAdvance(Calendar,X1101,NDays&amp;"D")</f>
        <v>46696</v>
      </c>
      <c r="Z1101" s="174">
        <v>1.9360095382688906E-2</v>
      </c>
      <c r="AA1101" s="177"/>
    </row>
    <row r="1102" spans="22:27" x14ac:dyDescent="0.2">
      <c r="V1102" s="163"/>
      <c r="W1102" s="158" t="str">
        <f t="shared" si="29"/>
        <v>1w</v>
      </c>
      <c r="X1102" s="168">
        <f>_xll.qlCalendarAdvance(Calendar,X1101,W1102,"f",FALSE)</f>
        <v>46703</v>
      </c>
      <c r="Y1102" s="173">
        <f>_xll.qlCalendarAdvance(Calendar,X1102,NDays&amp;"D")</f>
        <v>46703</v>
      </c>
      <c r="Z1102" s="174">
        <v>1.9388899099265226E-2</v>
      </c>
      <c r="AA1102" s="177"/>
    </row>
    <row r="1103" spans="22:27" x14ac:dyDescent="0.2">
      <c r="V1103" s="163"/>
      <c r="W1103" s="158" t="str">
        <f t="shared" si="29"/>
        <v>1w</v>
      </c>
      <c r="X1103" s="168">
        <f>_xll.qlCalendarAdvance(Calendar,X1102,W1103,"f",FALSE)</f>
        <v>46710</v>
      </c>
      <c r="Y1103" s="173">
        <f>_xll.qlCalendarAdvance(Calendar,X1103,NDays&amp;"D")</f>
        <v>46710</v>
      </c>
      <c r="Z1103" s="174">
        <v>1.9417593188968039E-2</v>
      </c>
      <c r="AA1103" s="177"/>
    </row>
    <row r="1104" spans="22:27" x14ac:dyDescent="0.2">
      <c r="V1104" s="163"/>
      <c r="W1104" s="158" t="str">
        <f t="shared" si="29"/>
        <v>1w</v>
      </c>
      <c r="X1104" s="168">
        <f>_xll.qlCalendarAdvance(Calendar,X1103,W1104,"f",FALSE)</f>
        <v>46717</v>
      </c>
      <c r="Y1104" s="173">
        <f>_xll.qlCalendarAdvance(Calendar,X1104,NDays&amp;"D")</f>
        <v>46717</v>
      </c>
      <c r="Z1104" s="174">
        <v>1.9446177651770334E-2</v>
      </c>
      <c r="AA1104" s="177"/>
    </row>
    <row r="1105" spans="22:27" x14ac:dyDescent="0.2">
      <c r="V1105" s="163"/>
      <c r="W1105" s="158" t="str">
        <f t="shared" si="29"/>
        <v>1w</v>
      </c>
      <c r="X1105" s="168">
        <f>_xll.qlCalendarAdvance(Calendar,X1104,W1105,"f",FALSE)</f>
        <v>46724</v>
      </c>
      <c r="Y1105" s="173">
        <f>_xll.qlCalendarAdvance(Calendar,X1105,NDays&amp;"D")</f>
        <v>46724</v>
      </c>
      <c r="Z1105" s="174">
        <v>1.9474652487564047E-2</v>
      </c>
      <c r="AA1105" s="177"/>
    </row>
    <row r="1106" spans="22:27" x14ac:dyDescent="0.2">
      <c r="V1106" s="163"/>
      <c r="W1106" s="158" t="str">
        <f t="shared" si="29"/>
        <v>1w</v>
      </c>
      <c r="X1106" s="168">
        <f>_xll.qlCalendarAdvance(Calendar,X1105,W1106,"f",FALSE)</f>
        <v>46731</v>
      </c>
      <c r="Y1106" s="173">
        <f>_xll.qlCalendarAdvance(Calendar,X1106,NDays&amp;"D")</f>
        <v>46731</v>
      </c>
      <c r="Z1106" s="174">
        <v>1.9503017696322161E-2</v>
      </c>
      <c r="AA1106" s="177"/>
    </row>
    <row r="1107" spans="22:27" x14ac:dyDescent="0.2">
      <c r="V1107" s="163"/>
      <c r="W1107" s="158" t="str">
        <f t="shared" si="29"/>
        <v>1w</v>
      </c>
      <c r="X1107" s="168">
        <f>_xll.qlCalendarAdvance(Calendar,X1106,W1107,"f",FALSE)</f>
        <v>46738</v>
      </c>
      <c r="Y1107" s="173">
        <f>_xll.qlCalendarAdvance(Calendar,X1107,NDays&amp;"D")</f>
        <v>46738</v>
      </c>
      <c r="Z1107" s="174">
        <v>1.9531273277909603E-2</v>
      </c>
      <c r="AA1107" s="177"/>
    </row>
    <row r="1108" spans="22:27" x14ac:dyDescent="0.2">
      <c r="V1108" s="163"/>
      <c r="W1108" s="158" t="str">
        <f t="shared" si="29"/>
        <v>1w</v>
      </c>
      <c r="X1108" s="168">
        <f>_xll.qlCalendarAdvance(Calendar,X1107,W1108,"f",FALSE)</f>
        <v>46745</v>
      </c>
      <c r="Y1108" s="173">
        <f>_xll.qlCalendarAdvance(Calendar,X1108,NDays&amp;"D")</f>
        <v>46745</v>
      </c>
      <c r="Z1108" s="174">
        <v>1.9559419232272338E-2</v>
      </c>
      <c r="AA1108" s="177"/>
    </row>
    <row r="1109" spans="22:27" x14ac:dyDescent="0.2">
      <c r="V1109" s="163"/>
      <c r="W1109" s="158" t="str">
        <f t="shared" si="29"/>
        <v>1w</v>
      </c>
      <c r="X1109" s="168">
        <f>_xll.qlCalendarAdvance(Calendar,X1108,W1109,"f",FALSE)</f>
        <v>46756</v>
      </c>
      <c r="Y1109" s="173">
        <f>_xll.qlCalendarAdvance(Calendar,X1109,NDays&amp;"D")</f>
        <v>46756</v>
      </c>
      <c r="Z1109" s="174">
        <v>1.9598385975779786E-2</v>
      </c>
      <c r="AA1109" s="177"/>
    </row>
    <row r="1110" spans="22:27" x14ac:dyDescent="0.2">
      <c r="V1110" s="163"/>
      <c r="W1110" s="158" t="str">
        <f t="shared" si="29"/>
        <v>1w</v>
      </c>
      <c r="X1110" s="168">
        <f>_xll.qlCalendarAdvance(Calendar,X1109,W1110,"f",FALSE)</f>
        <v>46763</v>
      </c>
      <c r="Y1110" s="173">
        <f>_xll.qlCalendarAdvance(Calendar,X1110,NDays&amp;"D")</f>
        <v>46763</v>
      </c>
      <c r="Z1110" s="174">
        <v>1.9626262696423868E-2</v>
      </c>
      <c r="AA1110" s="177"/>
    </row>
    <row r="1111" spans="22:27" x14ac:dyDescent="0.2">
      <c r="V1111" s="163"/>
      <c r="W1111" s="158" t="str">
        <f t="shared" si="29"/>
        <v>1w</v>
      </c>
      <c r="X1111" s="168">
        <f>_xll.qlCalendarAdvance(Calendar,X1110,W1111,"f",FALSE)</f>
        <v>46770</v>
      </c>
      <c r="Y1111" s="173">
        <f>_xll.qlCalendarAdvance(Calendar,X1111,NDays&amp;"D")</f>
        <v>46770</v>
      </c>
      <c r="Z1111" s="174">
        <v>1.9654029797110395E-2</v>
      </c>
      <c r="AA1111" s="177"/>
    </row>
    <row r="1112" spans="22:27" x14ac:dyDescent="0.2">
      <c r="V1112" s="163"/>
      <c r="W1112" s="158" t="str">
        <f t="shared" si="29"/>
        <v>1w</v>
      </c>
      <c r="X1112" s="168">
        <f>_xll.qlCalendarAdvance(Calendar,X1111,W1112,"f",FALSE)</f>
        <v>46777</v>
      </c>
      <c r="Y1112" s="173">
        <f>_xll.qlCalendarAdvance(Calendar,X1112,NDays&amp;"D")</f>
        <v>46777</v>
      </c>
      <c r="Z1112" s="174">
        <v>1.9681687277839366E-2</v>
      </c>
      <c r="AA1112" s="177"/>
    </row>
    <row r="1113" spans="22:27" x14ac:dyDescent="0.2">
      <c r="V1113" s="163"/>
      <c r="W1113" s="158" t="str">
        <f t="shared" si="29"/>
        <v>1w</v>
      </c>
      <c r="X1113" s="168">
        <f>_xll.qlCalendarAdvance(Calendar,X1112,W1113,"f",FALSE)</f>
        <v>46784</v>
      </c>
      <c r="Y1113" s="173">
        <f>_xll.qlCalendarAdvance(Calendar,X1113,NDays&amp;"D")</f>
        <v>46784</v>
      </c>
      <c r="Z1113" s="174">
        <v>1.9709235138610781E-2</v>
      </c>
      <c r="AA1113" s="177"/>
    </row>
    <row r="1114" spans="22:27" x14ac:dyDescent="0.2">
      <c r="V1114" s="163"/>
      <c r="W1114" s="158" t="str">
        <f t="shared" si="29"/>
        <v>1w</v>
      </c>
      <c r="X1114" s="168">
        <f>_xll.qlCalendarAdvance(Calendar,X1113,W1114,"f",FALSE)</f>
        <v>46791</v>
      </c>
      <c r="Y1114" s="173">
        <f>_xll.qlCalendarAdvance(Calendar,X1114,NDays&amp;"D")</f>
        <v>46791</v>
      </c>
      <c r="Z1114" s="174">
        <v>1.9736673379262548E-2</v>
      </c>
      <c r="AA1114" s="177"/>
    </row>
    <row r="1115" spans="22:27" x14ac:dyDescent="0.2">
      <c r="V1115" s="163"/>
      <c r="W1115" s="158" t="str">
        <f t="shared" si="29"/>
        <v>1w</v>
      </c>
      <c r="X1115" s="168">
        <f>_xll.qlCalendarAdvance(Calendar,X1114,W1115,"f",FALSE)</f>
        <v>46798</v>
      </c>
      <c r="Y1115" s="173">
        <f>_xll.qlCalendarAdvance(Calendar,X1115,NDays&amp;"D")</f>
        <v>46798</v>
      </c>
      <c r="Z1115" s="174">
        <v>1.976400199995676E-2</v>
      </c>
      <c r="AA1115" s="177"/>
    </row>
    <row r="1116" spans="22:27" x14ac:dyDescent="0.2">
      <c r="V1116" s="163"/>
      <c r="W1116" s="158" t="str">
        <f t="shared" si="29"/>
        <v>1w</v>
      </c>
      <c r="X1116" s="168">
        <f>_xll.qlCalendarAdvance(Calendar,X1115,W1116,"f",FALSE)</f>
        <v>46805</v>
      </c>
      <c r="Y1116" s="173">
        <f>_xll.qlCalendarAdvance(Calendar,X1116,NDays&amp;"D")</f>
        <v>46805</v>
      </c>
      <c r="Z1116" s="174">
        <v>1.9791221000612369E-2</v>
      </c>
      <c r="AA1116" s="177"/>
    </row>
    <row r="1117" spans="22:27" x14ac:dyDescent="0.2">
      <c r="V1117" s="163"/>
      <c r="W1117" s="158" t="str">
        <f t="shared" si="29"/>
        <v>1w</v>
      </c>
      <c r="X1117" s="168">
        <f>_xll.qlCalendarAdvance(Calendar,X1116,W1117,"f",FALSE)</f>
        <v>46812</v>
      </c>
      <c r="Y1117" s="173">
        <f>_xll.qlCalendarAdvance(Calendar,X1117,NDays&amp;"D")</f>
        <v>46812</v>
      </c>
      <c r="Z1117" s="174">
        <v>1.9818330381067284E-2</v>
      </c>
      <c r="AA1117" s="177"/>
    </row>
    <row r="1118" spans="22:27" x14ac:dyDescent="0.2">
      <c r="V1118" s="163"/>
      <c r="W1118" s="158" t="str">
        <f t="shared" si="29"/>
        <v>1w</v>
      </c>
      <c r="X1118" s="168">
        <f>_xll.qlCalendarAdvance(Calendar,X1117,W1118,"f",FALSE)</f>
        <v>46819</v>
      </c>
      <c r="Y1118" s="173">
        <f>_xll.qlCalendarAdvance(Calendar,X1118,NDays&amp;"D")</f>
        <v>46819</v>
      </c>
      <c r="Z1118" s="174">
        <v>1.9845330141564643E-2</v>
      </c>
      <c r="AA1118" s="177"/>
    </row>
    <row r="1119" spans="22:27" x14ac:dyDescent="0.2">
      <c r="V1119" s="163"/>
      <c r="W1119" s="158" t="str">
        <f t="shared" si="29"/>
        <v>1w</v>
      </c>
      <c r="X1119" s="168">
        <f>_xll.qlCalendarAdvance(Calendar,X1118,W1119,"f",FALSE)</f>
        <v>46826</v>
      </c>
      <c r="Y1119" s="173">
        <f>_xll.qlCalendarAdvance(Calendar,X1119,NDays&amp;"D")</f>
        <v>46826</v>
      </c>
      <c r="Z1119" s="174">
        <v>1.9872220281780262E-2</v>
      </c>
      <c r="AA1119" s="177"/>
    </row>
    <row r="1120" spans="22:27" x14ac:dyDescent="0.2">
      <c r="V1120" s="163"/>
      <c r="W1120" s="158" t="str">
        <f t="shared" si="29"/>
        <v>1w</v>
      </c>
      <c r="X1120" s="168">
        <f>_xll.qlCalendarAdvance(Calendar,X1119,W1120,"f",FALSE)</f>
        <v>46833</v>
      </c>
      <c r="Y1120" s="173">
        <f>_xll.qlCalendarAdvance(Calendar,X1120,NDays&amp;"D")</f>
        <v>46833</v>
      </c>
      <c r="Z1120" s="174">
        <v>1.9899000801957278E-2</v>
      </c>
      <c r="AA1120" s="177"/>
    </row>
    <row r="1121" spans="22:27" x14ac:dyDescent="0.2">
      <c r="V1121" s="163"/>
      <c r="W1121" s="158" t="str">
        <f t="shared" si="29"/>
        <v>1w</v>
      </c>
      <c r="X1121" s="168">
        <f>_xll.qlCalendarAdvance(Calendar,X1120,W1121,"f",FALSE)</f>
        <v>46840</v>
      </c>
      <c r="Y1121" s="173">
        <f>_xll.qlCalendarAdvance(Calendar,X1121,NDays&amp;"D")</f>
        <v>46840</v>
      </c>
      <c r="Z1121" s="174">
        <v>1.9925671701852554E-2</v>
      </c>
      <c r="AA1121" s="177"/>
    </row>
    <row r="1122" spans="22:27" x14ac:dyDescent="0.2">
      <c r="V1122" s="163"/>
      <c r="W1122" s="158" t="str">
        <f t="shared" si="29"/>
        <v>1w</v>
      </c>
      <c r="X1122" s="168">
        <f>_xll.qlCalendarAdvance(Calendar,X1121,W1122,"f",FALSE)</f>
        <v>46847</v>
      </c>
      <c r="Y1122" s="173">
        <f>_xll.qlCalendarAdvance(Calendar,X1122,NDays&amp;"D")</f>
        <v>46847</v>
      </c>
      <c r="Z1122" s="174">
        <v>1.9952232981547136E-2</v>
      </c>
      <c r="AA1122" s="177"/>
    </row>
    <row r="1123" spans="22:27" x14ac:dyDescent="0.2">
      <c r="V1123" s="163"/>
      <c r="W1123" s="158" t="str">
        <f t="shared" si="29"/>
        <v>1w</v>
      </c>
      <c r="X1123" s="168">
        <f>_xll.qlCalendarAdvance(Calendar,X1122,W1123,"f",FALSE)</f>
        <v>46854</v>
      </c>
      <c r="Y1123" s="173">
        <f>_xll.qlCalendarAdvance(Calendar,X1123,NDays&amp;"D")</f>
        <v>46854</v>
      </c>
      <c r="Z1123" s="174">
        <v>1.9978684641041022E-2</v>
      </c>
      <c r="AA1123" s="177"/>
    </row>
    <row r="1124" spans="22:27" x14ac:dyDescent="0.2">
      <c r="V1124" s="163"/>
      <c r="W1124" s="158" t="str">
        <f t="shared" si="29"/>
        <v>1w</v>
      </c>
      <c r="X1124" s="168">
        <f>_xll.qlCalendarAdvance(Calendar,X1123,W1124,"f",FALSE)</f>
        <v>46861</v>
      </c>
      <c r="Y1124" s="173">
        <f>_xll.qlCalendarAdvance(Calendar,X1124,NDays&amp;"D")</f>
        <v>46861</v>
      </c>
      <c r="Z1124" s="174">
        <v>2.0005026680253168E-2</v>
      </c>
      <c r="AA1124" s="177"/>
    </row>
    <row r="1125" spans="22:27" x14ac:dyDescent="0.2">
      <c r="V1125" s="163"/>
      <c r="W1125" s="158" t="str">
        <f t="shared" si="29"/>
        <v>1w</v>
      </c>
      <c r="X1125" s="168">
        <f>_xll.qlCalendarAdvance(Calendar,X1124,W1125,"f",FALSE)</f>
        <v>46868</v>
      </c>
      <c r="Y1125" s="173">
        <f>_xll.qlCalendarAdvance(Calendar,X1125,NDays&amp;"D")</f>
        <v>46868</v>
      </c>
      <c r="Z1125" s="174">
        <v>2.0031259099183574E-2</v>
      </c>
      <c r="AA1125" s="177"/>
    </row>
    <row r="1126" spans="22:27" x14ac:dyDescent="0.2">
      <c r="V1126" s="163"/>
      <c r="W1126" s="158" t="str">
        <f t="shared" si="29"/>
        <v>1w</v>
      </c>
      <c r="X1126" s="168">
        <f>_xll.qlCalendarAdvance(Calendar,X1125,W1126,"f",FALSE)</f>
        <v>46875</v>
      </c>
      <c r="Y1126" s="173">
        <f>_xll.qlCalendarAdvance(Calendar,X1126,NDays&amp;"D")</f>
        <v>46875</v>
      </c>
      <c r="Z1126" s="174">
        <v>2.0069439867706117E-2</v>
      </c>
      <c r="AA1126" s="177"/>
    </row>
    <row r="1127" spans="22:27" x14ac:dyDescent="0.2">
      <c r="V1127" s="163"/>
      <c r="W1127" s="158" t="str">
        <f t="shared" si="29"/>
        <v>1w</v>
      </c>
      <c r="X1127" s="168">
        <f>_xll.qlCalendarAdvance(Calendar,X1126,W1127,"f",FALSE)</f>
        <v>46882</v>
      </c>
      <c r="Y1127" s="173">
        <f>_xll.qlCalendarAdvance(Calendar,X1127,NDays&amp;"D")</f>
        <v>46882</v>
      </c>
      <c r="Z1127" s="174">
        <v>2.0083395076199162E-2</v>
      </c>
      <c r="AA1127" s="177"/>
    </row>
    <row r="1128" spans="22:27" x14ac:dyDescent="0.2">
      <c r="V1128" s="163"/>
      <c r="W1128" s="158" t="str">
        <f t="shared" si="29"/>
        <v>1w</v>
      </c>
      <c r="X1128" s="168">
        <f>_xll.qlCalendarAdvance(Calendar,X1127,W1128,"f",FALSE)</f>
        <v>46889</v>
      </c>
      <c r="Y1128" s="173">
        <f>_xll.qlCalendarAdvance(Calendar,X1128,NDays&amp;"D")</f>
        <v>46889</v>
      </c>
      <c r="Z1128" s="174">
        <v>2.0109298634122252E-2</v>
      </c>
      <c r="AA1128" s="177"/>
    </row>
    <row r="1129" spans="22:27" x14ac:dyDescent="0.2">
      <c r="V1129" s="163"/>
      <c r="W1129" s="158" t="str">
        <f t="shared" si="29"/>
        <v>1w</v>
      </c>
      <c r="X1129" s="168">
        <f>_xll.qlCalendarAdvance(Calendar,X1128,W1129,"f",FALSE)</f>
        <v>46896</v>
      </c>
      <c r="Y1129" s="173">
        <f>_xll.qlCalendarAdvance(Calendar,X1129,NDays&amp;"D")</f>
        <v>46896</v>
      </c>
      <c r="Z1129" s="174">
        <v>2.0135092571763602E-2</v>
      </c>
      <c r="AA1129" s="177"/>
    </row>
    <row r="1130" spans="22:27" x14ac:dyDescent="0.2">
      <c r="V1130" s="163"/>
      <c r="W1130" s="158" t="str">
        <f t="shared" si="29"/>
        <v>1w</v>
      </c>
      <c r="X1130" s="168">
        <f>_xll.qlCalendarAdvance(Calendar,X1129,W1130,"f",FALSE)</f>
        <v>46903</v>
      </c>
      <c r="Y1130" s="173">
        <f>_xll.qlCalendarAdvance(Calendar,X1130,NDays&amp;"D")</f>
        <v>46903</v>
      </c>
      <c r="Z1130" s="174">
        <v>2.0160776888880072E-2</v>
      </c>
      <c r="AA1130" s="177"/>
    </row>
    <row r="1131" spans="22:27" x14ac:dyDescent="0.2">
      <c r="V1131" s="163"/>
      <c r="W1131" s="158" t="str">
        <f t="shared" si="29"/>
        <v>1w</v>
      </c>
      <c r="X1131" s="168">
        <f>_xll.qlCalendarAdvance(Calendar,X1130,W1131,"f",FALSE)</f>
        <v>46910</v>
      </c>
      <c r="Y1131" s="173">
        <f>_xll.qlCalendarAdvance(Calendar,X1131,NDays&amp;"D")</f>
        <v>46910</v>
      </c>
      <c r="Z1131" s="174">
        <v>2.0186351585714801E-2</v>
      </c>
      <c r="AA1131" s="177"/>
    </row>
    <row r="1132" spans="22:27" x14ac:dyDescent="0.2">
      <c r="V1132" s="163"/>
      <c r="W1132" s="158" t="str">
        <f t="shared" si="29"/>
        <v>1w</v>
      </c>
      <c r="X1132" s="168">
        <f>_xll.qlCalendarAdvance(Calendar,X1131,W1132,"f",FALSE)</f>
        <v>46917</v>
      </c>
      <c r="Y1132" s="173">
        <f>_xll.qlCalendarAdvance(Calendar,X1132,NDays&amp;"D")</f>
        <v>46917</v>
      </c>
      <c r="Z1132" s="174">
        <v>2.0211816661943605E-2</v>
      </c>
      <c r="AA1132" s="177"/>
    </row>
    <row r="1133" spans="22:27" x14ac:dyDescent="0.2">
      <c r="V1133" s="163"/>
      <c r="W1133" s="158" t="str">
        <f t="shared" si="29"/>
        <v>1w</v>
      </c>
      <c r="X1133" s="168">
        <f>_xll.qlCalendarAdvance(Calendar,X1132,W1133,"f",FALSE)</f>
        <v>46924</v>
      </c>
      <c r="Y1133" s="173">
        <f>_xll.qlCalendarAdvance(Calendar,X1133,NDays&amp;"D")</f>
        <v>46924</v>
      </c>
      <c r="Z1133" s="174">
        <v>2.0237172117809621E-2</v>
      </c>
      <c r="AA1133" s="177"/>
    </row>
    <row r="1134" spans="22:27" x14ac:dyDescent="0.2">
      <c r="V1134" s="163"/>
      <c r="W1134" s="158" t="str">
        <f t="shared" si="29"/>
        <v>1w</v>
      </c>
      <c r="X1134" s="168">
        <f>_xll.qlCalendarAdvance(Calendar,X1133,W1134,"f",FALSE)</f>
        <v>46931</v>
      </c>
      <c r="Y1134" s="173">
        <f>_xll.qlCalendarAdvance(Calendar,X1134,NDays&amp;"D")</f>
        <v>46931</v>
      </c>
      <c r="Z1134" s="174">
        <v>2.0262417953150758E-2</v>
      </c>
      <c r="AA1134" s="177"/>
    </row>
    <row r="1135" spans="22:27" x14ac:dyDescent="0.2">
      <c r="V1135" s="163"/>
      <c r="W1135" s="158" t="str">
        <f t="shared" si="29"/>
        <v>1w</v>
      </c>
      <c r="X1135" s="168">
        <f>_xll.qlCalendarAdvance(Calendar,X1134,W1135,"f",FALSE)</f>
        <v>46938</v>
      </c>
      <c r="Y1135" s="173">
        <f>_xll.qlCalendarAdvance(Calendar,X1135,NDays&amp;"D")</f>
        <v>46938</v>
      </c>
      <c r="Z1135" s="174">
        <v>2.0287554167967015E-2</v>
      </c>
      <c r="AA1135" s="177"/>
    </row>
    <row r="1136" spans="22:27" x14ac:dyDescent="0.2">
      <c r="V1136" s="163"/>
      <c r="W1136" s="158" t="str">
        <f t="shared" si="29"/>
        <v>1w</v>
      </c>
      <c r="X1136" s="168">
        <f>_xll.qlCalendarAdvance(Calendar,X1135,W1136,"f",FALSE)</f>
        <v>46945</v>
      </c>
      <c r="Y1136" s="173">
        <f>_xll.qlCalendarAdvance(Calendar,X1136,NDays&amp;"D")</f>
        <v>46945</v>
      </c>
      <c r="Z1136" s="174">
        <v>2.0312580762339438E-2</v>
      </c>
      <c r="AA1136" s="177"/>
    </row>
    <row r="1137" spans="22:27" x14ac:dyDescent="0.2">
      <c r="V1137" s="163"/>
      <c r="W1137" s="158" t="str">
        <f t="shared" si="29"/>
        <v>1w</v>
      </c>
      <c r="X1137" s="168">
        <f>_xll.qlCalendarAdvance(Calendar,X1136,W1137,"f",FALSE)</f>
        <v>46952</v>
      </c>
      <c r="Y1137" s="173">
        <f>_xll.qlCalendarAdvance(Calendar,X1137,NDays&amp;"D")</f>
        <v>46952</v>
      </c>
      <c r="Z1137" s="174">
        <v>2.0337497736105936E-2</v>
      </c>
      <c r="AA1137" s="177"/>
    </row>
    <row r="1138" spans="22:27" x14ac:dyDescent="0.2">
      <c r="V1138" s="163"/>
      <c r="W1138" s="158" t="str">
        <f t="shared" si="29"/>
        <v>1w</v>
      </c>
      <c r="X1138" s="168">
        <f>_xll.qlCalendarAdvance(Calendar,X1137,W1138,"f",FALSE)</f>
        <v>46959</v>
      </c>
      <c r="Y1138" s="173">
        <f>_xll.qlCalendarAdvance(Calendar,X1138,NDays&amp;"D")</f>
        <v>46959</v>
      </c>
      <c r="Z1138" s="174">
        <v>2.0362305089266508E-2</v>
      </c>
      <c r="AA1138" s="177"/>
    </row>
    <row r="1139" spans="22:27" x14ac:dyDescent="0.2">
      <c r="V1139" s="163"/>
      <c r="W1139" s="158" t="str">
        <f t="shared" si="29"/>
        <v>1w</v>
      </c>
      <c r="X1139" s="168">
        <f>_xll.qlCalendarAdvance(Calendar,X1138,W1139,"f",FALSE)</f>
        <v>46966</v>
      </c>
      <c r="Y1139" s="173">
        <f>_xll.qlCalendarAdvance(Calendar,X1139,NDays&amp;"D")</f>
        <v>46966</v>
      </c>
      <c r="Z1139" s="174">
        <v>2.0387002821821154E-2</v>
      </c>
      <c r="AA1139" s="177"/>
    </row>
    <row r="1140" spans="22:27" x14ac:dyDescent="0.2">
      <c r="V1140" s="163"/>
      <c r="W1140" s="158" t="str">
        <f t="shared" si="29"/>
        <v>1w</v>
      </c>
      <c r="X1140" s="168">
        <f>_xll.qlCalendarAdvance(Calendar,X1139,W1140,"f",FALSE)</f>
        <v>46973</v>
      </c>
      <c r="Y1140" s="173">
        <f>_xll.qlCalendarAdvance(Calendar,X1140,NDays&amp;"D")</f>
        <v>46973</v>
      </c>
      <c r="Z1140" s="174">
        <v>2.0411590933769874E-2</v>
      </c>
      <c r="AA1140" s="177"/>
    </row>
    <row r="1141" spans="22:27" x14ac:dyDescent="0.2">
      <c r="V1141" s="163"/>
      <c r="W1141" s="158" t="str">
        <f t="shared" si="29"/>
        <v>1w</v>
      </c>
      <c r="X1141" s="168">
        <f>_xll.qlCalendarAdvance(Calendar,X1140,W1141,"f",FALSE)</f>
        <v>46980</v>
      </c>
      <c r="Y1141" s="173">
        <f>_xll.qlCalendarAdvance(Calendar,X1141,NDays&amp;"D")</f>
        <v>46980</v>
      </c>
      <c r="Z1141" s="174">
        <v>2.0436069425031622E-2</v>
      </c>
      <c r="AA1141" s="177"/>
    </row>
    <row r="1142" spans="22:27" x14ac:dyDescent="0.2">
      <c r="V1142" s="163"/>
      <c r="W1142" s="158" t="str">
        <f t="shared" si="29"/>
        <v>1w</v>
      </c>
      <c r="X1142" s="168">
        <f>_xll.qlCalendarAdvance(Calendar,X1141,W1142,"f",FALSE)</f>
        <v>46987</v>
      </c>
      <c r="Y1142" s="173">
        <f>_xll.qlCalendarAdvance(Calendar,X1142,NDays&amp;"D")</f>
        <v>46987</v>
      </c>
      <c r="Z1142" s="174">
        <v>2.0460438295687444E-2</v>
      </c>
      <c r="AA1142" s="177"/>
    </row>
    <row r="1143" spans="22:27" x14ac:dyDescent="0.2">
      <c r="V1143" s="163"/>
      <c r="W1143" s="158" t="str">
        <f t="shared" si="29"/>
        <v>1w</v>
      </c>
      <c r="X1143" s="168">
        <f>_xll.qlCalendarAdvance(Calendar,X1142,W1143,"f",FALSE)</f>
        <v>46994</v>
      </c>
      <c r="Y1143" s="173">
        <f>_xll.qlCalendarAdvance(Calendar,X1143,NDays&amp;"D")</f>
        <v>46994</v>
      </c>
      <c r="Z1143" s="174">
        <v>2.0484697545575248E-2</v>
      </c>
      <c r="AA1143" s="177"/>
    </row>
    <row r="1144" spans="22:27" x14ac:dyDescent="0.2">
      <c r="V1144" s="163"/>
      <c r="W1144" s="158" t="str">
        <f t="shared" si="29"/>
        <v>1w</v>
      </c>
      <c r="X1144" s="168">
        <f>_xll.qlCalendarAdvance(Calendar,X1143,W1144,"f",FALSE)</f>
        <v>47001</v>
      </c>
      <c r="Y1144" s="173">
        <f>_xll.qlCalendarAdvance(Calendar,X1144,NDays&amp;"D")</f>
        <v>47001</v>
      </c>
      <c r="Z1144" s="174">
        <v>2.0508847174776079E-2</v>
      </c>
      <c r="AA1144" s="177"/>
    </row>
    <row r="1145" spans="22:27" x14ac:dyDescent="0.2">
      <c r="V1145" s="163"/>
      <c r="W1145" s="158" t="str">
        <f t="shared" si="29"/>
        <v>1w</v>
      </c>
      <c r="X1145" s="168">
        <f>_xll.qlCalendarAdvance(Calendar,X1144,W1145,"f",FALSE)</f>
        <v>47008</v>
      </c>
      <c r="Y1145" s="173">
        <f>_xll.qlCalendarAdvance(Calendar,X1145,NDays&amp;"D")</f>
        <v>47008</v>
      </c>
      <c r="Z1145" s="174">
        <v>2.0532887183208892E-2</v>
      </c>
      <c r="AA1145" s="177"/>
    </row>
    <row r="1146" spans="22:27" x14ac:dyDescent="0.2">
      <c r="V1146" s="163"/>
      <c r="W1146" s="158" t="str">
        <f t="shared" si="29"/>
        <v>1w</v>
      </c>
      <c r="X1146" s="168">
        <f>_xll.qlCalendarAdvance(Calendar,X1145,W1146,"f",FALSE)</f>
        <v>47015</v>
      </c>
      <c r="Y1146" s="173">
        <f>_xll.qlCalendarAdvance(Calendar,X1146,NDays&amp;"D")</f>
        <v>47015</v>
      </c>
      <c r="Z1146" s="174">
        <v>2.0556817571035779E-2</v>
      </c>
      <c r="AA1146" s="177"/>
    </row>
    <row r="1147" spans="22:27" x14ac:dyDescent="0.2">
      <c r="V1147" s="163"/>
      <c r="W1147" s="158" t="str">
        <f t="shared" si="29"/>
        <v>1w</v>
      </c>
      <c r="X1147" s="168">
        <f>_xll.qlCalendarAdvance(Calendar,X1146,W1147,"f",FALSE)</f>
        <v>47022</v>
      </c>
      <c r="Y1147" s="173">
        <f>_xll.qlCalendarAdvance(Calendar,X1147,NDays&amp;"D")</f>
        <v>47022</v>
      </c>
      <c r="Z1147" s="174">
        <v>2.0580638337932555E-2</v>
      </c>
      <c r="AA1147" s="177"/>
    </row>
    <row r="1148" spans="22:27" x14ac:dyDescent="0.2">
      <c r="V1148" s="163"/>
      <c r="W1148" s="158" t="str">
        <f t="shared" si="29"/>
        <v>1w</v>
      </c>
      <c r="X1148" s="168">
        <f>_xll.qlCalendarAdvance(Calendar,X1147,W1148,"f",FALSE)</f>
        <v>47029</v>
      </c>
      <c r="Y1148" s="173">
        <f>_xll.qlCalendarAdvance(Calendar,X1148,NDays&amp;"D")</f>
        <v>47029</v>
      </c>
      <c r="Z1148" s="174">
        <v>2.0604349484061313E-2</v>
      </c>
      <c r="AA1148" s="177"/>
    </row>
    <row r="1149" spans="22:27" x14ac:dyDescent="0.2">
      <c r="V1149" s="163"/>
      <c r="W1149" s="158" t="str">
        <f t="shared" si="29"/>
        <v>1w</v>
      </c>
      <c r="X1149" s="168">
        <f>_xll.qlCalendarAdvance(Calendar,X1148,W1149,"f",FALSE)</f>
        <v>47036</v>
      </c>
      <c r="Y1149" s="173">
        <f>_xll.qlCalendarAdvance(Calendar,X1149,NDays&amp;"D")</f>
        <v>47036</v>
      </c>
      <c r="Z1149" s="174">
        <v>2.0627951009422052E-2</v>
      </c>
      <c r="AA1149" s="177"/>
    </row>
    <row r="1150" spans="22:27" x14ac:dyDescent="0.2">
      <c r="V1150" s="163"/>
      <c r="W1150" s="158" t="str">
        <f t="shared" si="29"/>
        <v>1w</v>
      </c>
      <c r="X1150" s="168">
        <f>_xll.qlCalendarAdvance(Calendar,X1149,W1150,"f",FALSE)</f>
        <v>47043</v>
      </c>
      <c r="Y1150" s="173">
        <f>_xll.qlCalendarAdvance(Calendar,X1150,NDays&amp;"D")</f>
        <v>47043</v>
      </c>
      <c r="Z1150" s="174">
        <v>2.065144291385268E-2</v>
      </c>
      <c r="AA1150" s="177"/>
    </row>
    <row r="1151" spans="22:27" x14ac:dyDescent="0.2">
      <c r="V1151" s="163"/>
      <c r="W1151" s="158" t="str">
        <f t="shared" si="29"/>
        <v>1w</v>
      </c>
      <c r="X1151" s="168">
        <f>_xll.qlCalendarAdvance(Calendar,X1150,W1151,"f",FALSE)</f>
        <v>47050</v>
      </c>
      <c r="Y1151" s="173">
        <f>_xll.qlCalendarAdvance(Calendar,X1151,NDays&amp;"D")</f>
        <v>47050</v>
      </c>
      <c r="Z1151" s="174">
        <v>2.0674825197434243E-2</v>
      </c>
      <c r="AA1151" s="177"/>
    </row>
    <row r="1152" spans="22:27" x14ac:dyDescent="0.2">
      <c r="V1152" s="163"/>
      <c r="W1152" s="158" t="str">
        <f t="shared" si="29"/>
        <v>1w</v>
      </c>
      <c r="X1152" s="168">
        <f>_xll.qlCalendarAdvance(Calendar,X1151,W1152,"f",FALSE)</f>
        <v>47057</v>
      </c>
      <c r="Y1152" s="173">
        <f>_xll.qlCalendarAdvance(Calendar,X1152,NDays&amp;"D")</f>
        <v>47057</v>
      </c>
      <c r="Z1152" s="174">
        <v>2.0698097860247788E-2</v>
      </c>
      <c r="AA1152" s="177"/>
    </row>
    <row r="1153" spans="22:27" x14ac:dyDescent="0.2">
      <c r="V1153" s="163"/>
      <c r="W1153" s="158" t="str">
        <f t="shared" si="29"/>
        <v>1w</v>
      </c>
      <c r="X1153" s="168">
        <f>_xll.qlCalendarAdvance(Calendar,X1152,W1153,"f",FALSE)</f>
        <v>47064</v>
      </c>
      <c r="Y1153" s="173">
        <f>_xll.qlCalendarAdvance(Calendar,X1153,NDays&amp;"D")</f>
        <v>47064</v>
      </c>
      <c r="Z1153" s="174">
        <v>2.0721260902050176E-2</v>
      </c>
      <c r="AA1153" s="177"/>
    </row>
    <row r="1154" spans="22:27" x14ac:dyDescent="0.2">
      <c r="V1154" s="163"/>
      <c r="W1154" s="158" t="str">
        <f t="shared" si="29"/>
        <v>1w</v>
      </c>
      <c r="X1154" s="168">
        <f>_xll.qlCalendarAdvance(Calendar,X1153,W1154,"f",FALSE)</f>
        <v>47071</v>
      </c>
      <c r="Y1154" s="173">
        <f>_xll.qlCalendarAdvance(Calendar,X1154,NDays&amp;"D")</f>
        <v>47071</v>
      </c>
      <c r="Z1154" s="174">
        <v>2.0744314322922452E-2</v>
      </c>
      <c r="AA1154" s="177"/>
    </row>
    <row r="1155" spans="22:27" x14ac:dyDescent="0.2">
      <c r="V1155" s="163"/>
      <c r="W1155" s="158" t="str">
        <f t="shared" si="29"/>
        <v>1w</v>
      </c>
      <c r="X1155" s="168">
        <f>_xll.qlCalendarAdvance(Calendar,X1154,W1155,"f",FALSE)</f>
        <v>47078</v>
      </c>
      <c r="Y1155" s="173">
        <f>_xll.qlCalendarAdvance(Calendar,X1155,NDays&amp;"D")</f>
        <v>47078</v>
      </c>
      <c r="Z1155" s="174">
        <v>2.0767258122864618E-2</v>
      </c>
      <c r="AA1155" s="177"/>
    </row>
    <row r="1156" spans="22:27" x14ac:dyDescent="0.2">
      <c r="V1156" s="163"/>
      <c r="W1156" s="158" t="str">
        <f t="shared" si="29"/>
        <v>1w</v>
      </c>
      <c r="X1156" s="168">
        <f>_xll.qlCalendarAdvance(Calendar,X1155,W1156,"f",FALSE)</f>
        <v>47085</v>
      </c>
      <c r="Y1156" s="173">
        <f>_xll.qlCalendarAdvance(Calendar,X1156,NDays&amp;"D")</f>
        <v>47085</v>
      </c>
      <c r="Z1156" s="174">
        <v>2.0790092301876673E-2</v>
      </c>
      <c r="AA1156" s="177"/>
    </row>
    <row r="1157" spans="22:27" x14ac:dyDescent="0.2">
      <c r="V1157" s="163"/>
      <c r="W1157" s="158" t="str">
        <f t="shared" si="29"/>
        <v>1w</v>
      </c>
      <c r="X1157" s="168">
        <f>_xll.qlCalendarAdvance(Calendar,X1156,W1157,"f",FALSE)</f>
        <v>47092</v>
      </c>
      <c r="Y1157" s="173">
        <f>_xll.qlCalendarAdvance(Calendar,X1157,NDays&amp;"D")</f>
        <v>47092</v>
      </c>
      <c r="Z1157" s="174">
        <v>2.0812816859796524E-2</v>
      </c>
      <c r="AA1157" s="177"/>
    </row>
    <row r="1158" spans="22:27" x14ac:dyDescent="0.2">
      <c r="V1158" s="163"/>
      <c r="W1158" s="158" t="str">
        <f t="shared" si="29"/>
        <v>1w</v>
      </c>
      <c r="X1158" s="168">
        <f>_xll.qlCalendarAdvance(Calendar,X1157,W1158,"f",FALSE)</f>
        <v>47099</v>
      </c>
      <c r="Y1158" s="173">
        <f>_xll.qlCalendarAdvance(Calendar,X1158,NDays&amp;"D")</f>
        <v>47099</v>
      </c>
      <c r="Z1158" s="174">
        <v>2.0835431796786263E-2</v>
      </c>
      <c r="AA1158" s="177"/>
    </row>
    <row r="1159" spans="22:27" x14ac:dyDescent="0.2">
      <c r="V1159" s="163"/>
      <c r="W1159" s="158" t="str">
        <f t="shared" si="29"/>
        <v>1w</v>
      </c>
      <c r="X1159" s="168">
        <f>_xll.qlCalendarAdvance(Calendar,X1158,W1159,"f",FALSE)</f>
        <v>47106</v>
      </c>
      <c r="Y1159" s="173">
        <f>_xll.qlCalendarAdvance(Calendar,X1159,NDays&amp;"D")</f>
        <v>47106</v>
      </c>
      <c r="Z1159" s="174">
        <v>2.0857937112764846E-2</v>
      </c>
      <c r="AA1159" s="177"/>
    </row>
    <row r="1160" spans="22:27" x14ac:dyDescent="0.2">
      <c r="V1160" s="163"/>
      <c r="W1160" s="158" t="str">
        <f t="shared" si="29"/>
        <v>1w</v>
      </c>
      <c r="X1160" s="168">
        <f>_xll.qlCalendarAdvance(Calendar,X1159,W1160,"f",FALSE)</f>
        <v>47113</v>
      </c>
      <c r="Y1160" s="173">
        <f>_xll.qlCalendarAdvance(Calendar,X1160,NDays&amp;"D")</f>
        <v>47113</v>
      </c>
      <c r="Z1160" s="174">
        <v>2.0880332807651225E-2</v>
      </c>
      <c r="AA1160" s="177"/>
    </row>
    <row r="1161" spans="22:27" x14ac:dyDescent="0.2">
      <c r="V1161" s="163"/>
      <c r="W1161" s="158" t="str">
        <f t="shared" si="29"/>
        <v>1w</v>
      </c>
      <c r="X1161" s="168">
        <f>_xll.qlCalendarAdvance(Calendar,X1160,W1161,"f",FALSE)</f>
        <v>47122</v>
      </c>
      <c r="Y1161" s="173">
        <f>_xll.qlCalendarAdvance(Calendar,X1161,NDays&amp;"D")</f>
        <v>47122</v>
      </c>
      <c r="Z1161" s="174">
        <v>2.0908966196634404E-2</v>
      </c>
      <c r="AA1161" s="177"/>
    </row>
    <row r="1162" spans="22:27" x14ac:dyDescent="0.2">
      <c r="V1162" s="163"/>
      <c r="W1162" s="158" t="str">
        <f t="shared" si="29"/>
        <v>1w</v>
      </c>
      <c r="X1162" s="168">
        <f>_xll.qlCalendarAdvance(Calendar,X1161,W1162,"f",FALSE)</f>
        <v>47129</v>
      </c>
      <c r="Y1162" s="173">
        <f>_xll.qlCalendarAdvance(Calendar,X1162,NDays&amp;"D")</f>
        <v>47129</v>
      </c>
      <c r="Z1162" s="174">
        <v>2.0931111329082208E-2</v>
      </c>
      <c r="AA1162" s="177"/>
    </row>
    <row r="1163" spans="22:27" x14ac:dyDescent="0.2">
      <c r="V1163" s="163"/>
      <c r="W1163" s="158" t="str">
        <f t="shared" si="29"/>
        <v>1w</v>
      </c>
      <c r="X1163" s="168">
        <f>_xll.qlCalendarAdvance(Calendar,X1162,W1163,"f",FALSE)</f>
        <v>47136</v>
      </c>
      <c r="Y1163" s="173">
        <f>_xll.qlCalendarAdvance(Calendar,X1163,NDays&amp;"D")</f>
        <v>47136</v>
      </c>
      <c r="Z1163" s="174">
        <v>2.0953146840356762E-2</v>
      </c>
      <c r="AA1163" s="177"/>
    </row>
    <row r="1164" spans="22:27" x14ac:dyDescent="0.2">
      <c r="V1164" s="163"/>
      <c r="W1164" s="158" t="str">
        <f t="shared" si="29"/>
        <v>1w</v>
      </c>
      <c r="X1164" s="168">
        <f>_xll.qlCalendarAdvance(Calendar,X1163,W1164,"f",FALSE)</f>
        <v>47143</v>
      </c>
      <c r="Y1164" s="173">
        <f>_xll.qlCalendarAdvance(Calendar,X1164,NDays&amp;"D")</f>
        <v>47143</v>
      </c>
      <c r="Z1164" s="174">
        <v>2.0975072730539113E-2</v>
      </c>
      <c r="AA1164" s="177"/>
    </row>
    <row r="1165" spans="22:27" x14ac:dyDescent="0.2">
      <c r="V1165" s="163"/>
      <c r="W1165" s="158" t="str">
        <f t="shared" ref="W1165:W1228" si="30">W1164</f>
        <v>1w</v>
      </c>
      <c r="X1165" s="168">
        <f>_xll.qlCalendarAdvance(Calendar,X1164,W1165,"f",FALSE)</f>
        <v>47150</v>
      </c>
      <c r="Y1165" s="173">
        <f>_xll.qlCalendarAdvance(Calendar,X1165,NDays&amp;"D")</f>
        <v>47150</v>
      </c>
      <c r="Z1165" s="174">
        <v>2.0996888999548213E-2</v>
      </c>
      <c r="AA1165" s="177"/>
    </row>
    <row r="1166" spans="22:27" x14ac:dyDescent="0.2">
      <c r="V1166" s="163"/>
      <c r="W1166" s="158" t="str">
        <f t="shared" si="30"/>
        <v>1w</v>
      </c>
      <c r="X1166" s="168">
        <f>_xll.qlCalendarAdvance(Calendar,X1165,W1166,"f",FALSE)</f>
        <v>47157</v>
      </c>
      <c r="Y1166" s="173">
        <f>_xll.qlCalendarAdvance(Calendar,X1166,NDays&amp;"D")</f>
        <v>47157</v>
      </c>
      <c r="Z1166" s="174">
        <v>2.101859564746511E-2</v>
      </c>
      <c r="AA1166" s="177"/>
    </row>
    <row r="1167" spans="22:27" x14ac:dyDescent="0.2">
      <c r="V1167" s="163"/>
      <c r="W1167" s="158" t="str">
        <f t="shared" si="30"/>
        <v>1w</v>
      </c>
      <c r="X1167" s="168">
        <f>_xll.qlCalendarAdvance(Calendar,X1166,W1167,"f",FALSE)</f>
        <v>47164</v>
      </c>
      <c r="Y1167" s="173">
        <f>_xll.qlCalendarAdvance(Calendar,X1167,NDays&amp;"D")</f>
        <v>47164</v>
      </c>
      <c r="Z1167" s="174">
        <v>2.1040192674046665E-2</v>
      </c>
      <c r="AA1167" s="177"/>
    </row>
    <row r="1168" spans="22:27" x14ac:dyDescent="0.2">
      <c r="V1168" s="163"/>
      <c r="W1168" s="158" t="str">
        <f t="shared" si="30"/>
        <v>1w</v>
      </c>
      <c r="X1168" s="168">
        <f>_xll.qlCalendarAdvance(Calendar,X1167,W1168,"f",FALSE)</f>
        <v>47171</v>
      </c>
      <c r="Y1168" s="173">
        <f>_xll.qlCalendarAdvance(Calendar,X1168,NDays&amp;"D")</f>
        <v>47171</v>
      </c>
      <c r="Z1168" s="174">
        <v>2.1061680079536016E-2</v>
      </c>
      <c r="AA1168" s="177"/>
    </row>
    <row r="1169" spans="22:27" x14ac:dyDescent="0.2">
      <c r="V1169" s="163"/>
      <c r="W1169" s="158" t="str">
        <f t="shared" si="30"/>
        <v>1w</v>
      </c>
      <c r="X1169" s="168">
        <f>_xll.qlCalendarAdvance(Calendar,X1168,W1169,"f",FALSE)</f>
        <v>47178</v>
      </c>
      <c r="Y1169" s="173">
        <f>_xll.qlCalendarAdvance(Calendar,X1169,NDays&amp;"D")</f>
        <v>47178</v>
      </c>
      <c r="Z1169" s="174">
        <v>2.1083057863690025E-2</v>
      </c>
      <c r="AA1169" s="177"/>
    </row>
    <row r="1170" spans="22:27" x14ac:dyDescent="0.2">
      <c r="V1170" s="163"/>
      <c r="W1170" s="158" t="str">
        <f t="shared" si="30"/>
        <v>1w</v>
      </c>
      <c r="X1170" s="168">
        <f>_xll.qlCalendarAdvance(Calendar,X1169,W1170,"f",FALSE)</f>
        <v>47185</v>
      </c>
      <c r="Y1170" s="173">
        <f>_xll.qlCalendarAdvance(Calendar,X1170,NDays&amp;"D")</f>
        <v>47185</v>
      </c>
      <c r="Z1170" s="174">
        <v>2.1104326026589737E-2</v>
      </c>
      <c r="AA1170" s="177"/>
    </row>
    <row r="1171" spans="22:27" x14ac:dyDescent="0.2">
      <c r="V1171" s="163"/>
      <c r="W1171" s="158" t="str">
        <f t="shared" si="30"/>
        <v>1w</v>
      </c>
      <c r="X1171" s="168">
        <f>_xll.qlCalendarAdvance(Calendar,X1170,W1171,"f",FALSE)</f>
        <v>47192</v>
      </c>
      <c r="Y1171" s="173">
        <f>_xll.qlCalendarAdvance(Calendar,X1171,NDays&amp;"D")</f>
        <v>47192</v>
      </c>
      <c r="Z1171" s="174">
        <v>2.1125484568235153E-2</v>
      </c>
      <c r="AA1171" s="177"/>
    </row>
    <row r="1172" spans="22:27" x14ac:dyDescent="0.2">
      <c r="V1172" s="163"/>
      <c r="W1172" s="158" t="str">
        <f t="shared" si="30"/>
        <v>1w</v>
      </c>
      <c r="X1172" s="168">
        <f>_xll.qlCalendarAdvance(Calendar,X1171,W1172,"f",FALSE)</f>
        <v>47199</v>
      </c>
      <c r="Y1172" s="173">
        <f>_xll.qlCalendarAdvance(Calendar,X1172,NDays&amp;"D")</f>
        <v>47199</v>
      </c>
      <c r="Z1172" s="174">
        <v>2.1146533488626273E-2</v>
      </c>
      <c r="AA1172" s="177"/>
    </row>
    <row r="1173" spans="22:27" x14ac:dyDescent="0.2">
      <c r="V1173" s="163"/>
      <c r="W1173" s="158" t="str">
        <f t="shared" si="30"/>
        <v>1w</v>
      </c>
      <c r="X1173" s="168">
        <f>_xll.qlCalendarAdvance(Calendar,X1172,W1173,"f",FALSE)</f>
        <v>47206</v>
      </c>
      <c r="Y1173" s="173">
        <f>_xll.qlCalendarAdvance(Calendar,X1173,NDays&amp;"D")</f>
        <v>47206</v>
      </c>
      <c r="Z1173" s="174">
        <v>2.1167472787763097E-2</v>
      </c>
      <c r="AA1173" s="177"/>
    </row>
    <row r="1174" spans="22:27" x14ac:dyDescent="0.2">
      <c r="V1174" s="163"/>
      <c r="W1174" s="158" t="str">
        <f t="shared" si="30"/>
        <v>1w</v>
      </c>
      <c r="X1174" s="168">
        <f>_xll.qlCalendarAdvance(Calendar,X1173,W1174,"f",FALSE)</f>
        <v>47213</v>
      </c>
      <c r="Y1174" s="173">
        <f>_xll.qlCalendarAdvance(Calendar,X1174,NDays&amp;"D")</f>
        <v>47213</v>
      </c>
      <c r="Z1174" s="174">
        <v>2.1188302465564579E-2</v>
      </c>
      <c r="AA1174" s="177"/>
    </row>
    <row r="1175" spans="22:27" x14ac:dyDescent="0.2">
      <c r="V1175" s="163"/>
      <c r="W1175" s="158" t="str">
        <f t="shared" si="30"/>
        <v>1w</v>
      </c>
      <c r="X1175" s="168">
        <f>_xll.qlCalendarAdvance(Calendar,X1174,W1175,"f",FALSE)</f>
        <v>47220</v>
      </c>
      <c r="Y1175" s="173">
        <f>_xll.qlCalendarAdvance(Calendar,X1175,NDays&amp;"D")</f>
        <v>47220</v>
      </c>
      <c r="Z1175" s="174">
        <v>2.1209022521868626E-2</v>
      </c>
      <c r="AA1175" s="177"/>
    </row>
    <row r="1176" spans="22:27" x14ac:dyDescent="0.2">
      <c r="V1176" s="163"/>
      <c r="W1176" s="158" t="str">
        <f t="shared" si="30"/>
        <v>1w</v>
      </c>
      <c r="X1176" s="168">
        <f>_xll.qlCalendarAdvance(Calendar,X1175,W1176,"f",FALSE)</f>
        <v>47227</v>
      </c>
      <c r="Y1176" s="173">
        <f>_xll.qlCalendarAdvance(Calendar,X1176,NDays&amp;"D")</f>
        <v>47227</v>
      </c>
      <c r="Z1176" s="174">
        <v>2.1229632956918376E-2</v>
      </c>
      <c r="AA1176" s="177"/>
    </row>
    <row r="1177" spans="22:27" x14ac:dyDescent="0.2">
      <c r="V1177" s="163"/>
      <c r="W1177" s="158" t="str">
        <f t="shared" si="30"/>
        <v>1w</v>
      </c>
      <c r="X1177" s="168">
        <f>_xll.qlCalendarAdvance(Calendar,X1176,W1177,"f",FALSE)</f>
        <v>47234</v>
      </c>
      <c r="Y1177" s="173">
        <f>_xll.qlCalendarAdvance(Calendar,X1177,NDays&amp;"D")</f>
        <v>47234</v>
      </c>
      <c r="Z1177" s="174">
        <v>2.1250133770551738E-2</v>
      </c>
      <c r="AA1177" s="177"/>
    </row>
    <row r="1178" spans="22:27" x14ac:dyDescent="0.2">
      <c r="V1178" s="163"/>
      <c r="W1178" s="158" t="str">
        <f t="shared" si="30"/>
        <v>1w</v>
      </c>
      <c r="X1178" s="168">
        <f>_xll.qlCalendarAdvance(Calendar,X1177,W1178,"f",FALSE)</f>
        <v>47245</v>
      </c>
      <c r="Y1178" s="173">
        <f>_xll.qlCalendarAdvance(Calendar,X1178,NDays&amp;"D")</f>
        <v>47245</v>
      </c>
      <c r="Z1178" s="174">
        <v>2.1282127854844735E-2</v>
      </c>
      <c r="AA1178" s="177"/>
    </row>
    <row r="1179" spans="22:27" x14ac:dyDescent="0.2">
      <c r="V1179" s="163"/>
      <c r="W1179" s="158" t="str">
        <f t="shared" si="30"/>
        <v>1w</v>
      </c>
      <c r="X1179" s="168">
        <f>_xll.qlCalendarAdvance(Calendar,X1178,W1179,"f",FALSE)</f>
        <v>47252</v>
      </c>
      <c r="Y1179" s="173">
        <f>_xll.qlCalendarAdvance(Calendar,X1179,NDays&amp;"D")</f>
        <v>47252</v>
      </c>
      <c r="Z1179" s="174">
        <v>2.1302346784812798E-2</v>
      </c>
      <c r="AA1179" s="177"/>
    </row>
    <row r="1180" spans="22:27" x14ac:dyDescent="0.2">
      <c r="V1180" s="163"/>
      <c r="W1180" s="158" t="str">
        <f t="shared" si="30"/>
        <v>1w</v>
      </c>
      <c r="X1180" s="168">
        <f>_xll.qlCalendarAdvance(Calendar,X1179,W1180,"f",FALSE)</f>
        <v>47259</v>
      </c>
      <c r="Y1180" s="173">
        <f>_xll.qlCalendarAdvance(Calendar,X1180,NDays&amp;"D")</f>
        <v>47259</v>
      </c>
      <c r="Z1180" s="174">
        <v>2.1322456093364472E-2</v>
      </c>
      <c r="AA1180" s="177"/>
    </row>
    <row r="1181" spans="22:27" x14ac:dyDescent="0.2">
      <c r="V1181" s="163"/>
      <c r="W1181" s="158" t="str">
        <f t="shared" si="30"/>
        <v>1w</v>
      </c>
      <c r="X1181" s="168">
        <f>_xll.qlCalendarAdvance(Calendar,X1180,W1181,"f",FALSE)</f>
        <v>47266</v>
      </c>
      <c r="Y1181" s="173">
        <f>_xll.qlCalendarAdvance(Calendar,X1181,NDays&amp;"D")</f>
        <v>47266</v>
      </c>
      <c r="Z1181" s="174">
        <v>2.1342455780418712E-2</v>
      </c>
      <c r="AA1181" s="177"/>
    </row>
    <row r="1182" spans="22:27" x14ac:dyDescent="0.2">
      <c r="V1182" s="163"/>
      <c r="W1182" s="158" t="str">
        <f t="shared" si="30"/>
        <v>1w</v>
      </c>
      <c r="X1182" s="168">
        <f>_xll.qlCalendarAdvance(Calendar,X1181,W1182,"f",FALSE)</f>
        <v>47273</v>
      </c>
      <c r="Y1182" s="173">
        <f>_xll.qlCalendarAdvance(Calendar,X1182,NDays&amp;"D")</f>
        <v>47273</v>
      </c>
      <c r="Z1182" s="174">
        <v>2.1362345846056563E-2</v>
      </c>
      <c r="AA1182" s="177"/>
    </row>
    <row r="1183" spans="22:27" x14ac:dyDescent="0.2">
      <c r="V1183" s="163"/>
      <c r="W1183" s="158" t="str">
        <f t="shared" si="30"/>
        <v>1w</v>
      </c>
      <c r="X1183" s="168">
        <f>_xll.qlCalendarAdvance(Calendar,X1182,W1183,"f",FALSE)</f>
        <v>47280</v>
      </c>
      <c r="Y1183" s="173">
        <f>_xll.qlCalendarAdvance(Calendar,X1183,NDays&amp;"D")</f>
        <v>47280</v>
      </c>
      <c r="Z1183" s="174">
        <v>2.1382126290115933E-2</v>
      </c>
      <c r="AA1183" s="177"/>
    </row>
    <row r="1184" spans="22:27" x14ac:dyDescent="0.2">
      <c r="V1184" s="163"/>
      <c r="W1184" s="158" t="str">
        <f t="shared" si="30"/>
        <v>1w</v>
      </c>
      <c r="X1184" s="168">
        <f>_xll.qlCalendarAdvance(Calendar,X1183,W1184,"f",FALSE)</f>
        <v>47287</v>
      </c>
      <c r="Y1184" s="173">
        <f>_xll.qlCalendarAdvance(Calendar,X1184,NDays&amp;"D")</f>
        <v>47287</v>
      </c>
      <c r="Z1184" s="174">
        <v>2.1401797112677867E-2</v>
      </c>
      <c r="AA1184" s="177"/>
    </row>
    <row r="1185" spans="22:27" x14ac:dyDescent="0.2">
      <c r="V1185" s="163"/>
      <c r="W1185" s="158" t="str">
        <f t="shared" si="30"/>
        <v>1w</v>
      </c>
      <c r="X1185" s="168">
        <f>_xll.qlCalendarAdvance(Calendar,X1184,W1185,"f",FALSE)</f>
        <v>47294</v>
      </c>
      <c r="Y1185" s="173">
        <f>_xll.qlCalendarAdvance(Calendar,X1185,NDays&amp;"D")</f>
        <v>47294</v>
      </c>
      <c r="Z1185" s="174">
        <v>2.1421358313742367E-2</v>
      </c>
      <c r="AA1185" s="177"/>
    </row>
    <row r="1186" spans="22:27" x14ac:dyDescent="0.2">
      <c r="V1186" s="163"/>
      <c r="W1186" s="158" t="str">
        <f t="shared" si="30"/>
        <v>1w</v>
      </c>
      <c r="X1186" s="168">
        <f>_xll.qlCalendarAdvance(Calendar,X1185,W1186,"f",FALSE)</f>
        <v>47301</v>
      </c>
      <c r="Y1186" s="173">
        <f>_xll.qlCalendarAdvance(Calendar,X1186,NDays&amp;"D")</f>
        <v>47301</v>
      </c>
      <c r="Z1186" s="174">
        <v>2.1440809893228385E-2</v>
      </c>
      <c r="AA1186" s="177"/>
    </row>
    <row r="1187" spans="22:27" x14ac:dyDescent="0.2">
      <c r="V1187" s="163"/>
      <c r="W1187" s="158" t="str">
        <f t="shared" si="30"/>
        <v>1w</v>
      </c>
      <c r="X1187" s="168">
        <f>_xll.qlCalendarAdvance(Calendar,X1186,W1187,"f",FALSE)</f>
        <v>47308</v>
      </c>
      <c r="Y1187" s="173">
        <f>_xll.qlCalendarAdvance(Calendar,X1187,NDays&amp;"D")</f>
        <v>47308</v>
      </c>
      <c r="Z1187" s="174">
        <v>2.1460151851054876E-2</v>
      </c>
      <c r="AA1187" s="177"/>
    </row>
    <row r="1188" spans="22:27" x14ac:dyDescent="0.2">
      <c r="V1188" s="163"/>
      <c r="W1188" s="158" t="str">
        <f t="shared" si="30"/>
        <v>1w</v>
      </c>
      <c r="X1188" s="168">
        <f>_xll.qlCalendarAdvance(Calendar,X1187,W1188,"f",FALSE)</f>
        <v>47316</v>
      </c>
      <c r="Y1188" s="173">
        <f>_xll.qlCalendarAdvance(Calendar,X1188,NDays&amp;"D")</f>
        <v>47316</v>
      </c>
      <c r="Z1188" s="174">
        <v>2.1482122707821016E-2</v>
      </c>
      <c r="AA1188" s="177"/>
    </row>
    <row r="1189" spans="22:27" x14ac:dyDescent="0.2">
      <c r="V1189" s="163"/>
      <c r="W1189" s="158" t="str">
        <f t="shared" si="30"/>
        <v>1w</v>
      </c>
      <c r="X1189" s="168">
        <f>_xll.qlCalendarAdvance(Calendar,X1188,W1189,"f",FALSE)</f>
        <v>47323</v>
      </c>
      <c r="Y1189" s="173">
        <f>_xll.qlCalendarAdvance(Calendar,X1189,NDays&amp;"D")</f>
        <v>47323</v>
      </c>
      <c r="Z1189" s="174">
        <v>2.1501228507726511E-2</v>
      </c>
      <c r="AA1189" s="177"/>
    </row>
    <row r="1190" spans="22:27" x14ac:dyDescent="0.2">
      <c r="V1190" s="163"/>
      <c r="W1190" s="158" t="str">
        <f t="shared" si="30"/>
        <v>1w</v>
      </c>
      <c r="X1190" s="168">
        <f>_xll.qlCalendarAdvance(Calendar,X1189,W1190,"f",FALSE)</f>
        <v>47330</v>
      </c>
      <c r="Y1190" s="173">
        <f>_xll.qlCalendarAdvance(Calendar,X1190,NDays&amp;"D")</f>
        <v>47330</v>
      </c>
      <c r="Z1190" s="174">
        <v>2.1520222490590823E-2</v>
      </c>
      <c r="AA1190" s="177"/>
    </row>
    <row r="1191" spans="22:27" x14ac:dyDescent="0.2">
      <c r="V1191" s="163"/>
      <c r="W1191" s="158" t="str">
        <f t="shared" si="30"/>
        <v>1w</v>
      </c>
      <c r="X1191" s="168">
        <f>_xll.qlCalendarAdvance(Calendar,X1190,W1191,"f",FALSE)</f>
        <v>47337</v>
      </c>
      <c r="Y1191" s="173">
        <f>_xll.qlCalendarAdvance(Calendar,X1191,NDays&amp;"D")</f>
        <v>47337</v>
      </c>
      <c r="Z1191" s="174">
        <v>2.1539104656413954E-2</v>
      </c>
      <c r="AA1191" s="177"/>
    </row>
    <row r="1192" spans="22:27" x14ac:dyDescent="0.2">
      <c r="V1192" s="163"/>
      <c r="W1192" s="158" t="str">
        <f t="shared" si="30"/>
        <v>1w</v>
      </c>
      <c r="X1192" s="168">
        <f>_xll.qlCalendarAdvance(Calendar,X1191,W1192,"f",FALSE)</f>
        <v>47344</v>
      </c>
      <c r="Y1192" s="173">
        <f>_xll.qlCalendarAdvance(Calendar,X1192,NDays&amp;"D")</f>
        <v>47344</v>
      </c>
      <c r="Z1192" s="174">
        <v>2.1557875005114857E-2</v>
      </c>
      <c r="AA1192" s="177"/>
    </row>
    <row r="1193" spans="22:27" x14ac:dyDescent="0.2">
      <c r="V1193" s="163"/>
      <c r="W1193" s="158" t="str">
        <f t="shared" si="30"/>
        <v>1w</v>
      </c>
      <c r="X1193" s="168">
        <f>_xll.qlCalendarAdvance(Calendar,X1192,W1193,"f",FALSE)</f>
        <v>47351</v>
      </c>
      <c r="Y1193" s="173">
        <f>_xll.qlCalendarAdvance(Calendar,X1193,NDays&amp;"D")</f>
        <v>47351</v>
      </c>
      <c r="Z1193" s="174">
        <v>2.1576533536774578E-2</v>
      </c>
      <c r="AA1193" s="177"/>
    </row>
    <row r="1194" spans="22:27" x14ac:dyDescent="0.2">
      <c r="V1194" s="163"/>
      <c r="W1194" s="158" t="str">
        <f t="shared" si="30"/>
        <v>1w</v>
      </c>
      <c r="X1194" s="168">
        <f>_xll.qlCalendarAdvance(Calendar,X1193,W1194,"f",FALSE)</f>
        <v>47358</v>
      </c>
      <c r="Y1194" s="173">
        <f>_xll.qlCalendarAdvance(Calendar,X1194,NDays&amp;"D")</f>
        <v>47358</v>
      </c>
      <c r="Z1194" s="174">
        <v>2.1595080251231025E-2</v>
      </c>
      <c r="AA1194" s="177"/>
    </row>
    <row r="1195" spans="22:27" x14ac:dyDescent="0.2">
      <c r="V1195" s="163"/>
      <c r="W1195" s="158" t="str">
        <f t="shared" si="30"/>
        <v>1w</v>
      </c>
      <c r="X1195" s="168">
        <f>_xll.qlCalendarAdvance(Calendar,X1194,W1195,"f",FALSE)</f>
        <v>47365</v>
      </c>
      <c r="Y1195" s="173">
        <f>_xll.qlCalendarAdvance(Calendar,X1195,NDays&amp;"D")</f>
        <v>47365</v>
      </c>
      <c r="Z1195" s="174">
        <v>2.1613515148565243E-2</v>
      </c>
      <c r="AA1195" s="177"/>
    </row>
    <row r="1196" spans="22:27" x14ac:dyDescent="0.2">
      <c r="V1196" s="163"/>
      <c r="W1196" s="158" t="str">
        <f t="shared" si="30"/>
        <v>1w</v>
      </c>
      <c r="X1196" s="168">
        <f>_xll.qlCalendarAdvance(Calendar,X1195,W1196,"f",FALSE)</f>
        <v>47372</v>
      </c>
      <c r="Y1196" s="173">
        <f>_xll.qlCalendarAdvance(Calendar,X1196,NDays&amp;"D")</f>
        <v>47372</v>
      </c>
      <c r="Z1196" s="174">
        <v>2.1631838228777234E-2</v>
      </c>
      <c r="AA1196" s="177"/>
    </row>
    <row r="1197" spans="22:27" x14ac:dyDescent="0.2">
      <c r="V1197" s="163"/>
      <c r="W1197" s="158" t="str">
        <f t="shared" si="30"/>
        <v>1w</v>
      </c>
      <c r="X1197" s="168">
        <f>_xll.qlCalendarAdvance(Calendar,X1196,W1197,"f",FALSE)</f>
        <v>47379</v>
      </c>
      <c r="Y1197" s="173">
        <f>_xll.qlCalendarAdvance(Calendar,X1197,NDays&amp;"D")</f>
        <v>47379</v>
      </c>
      <c r="Z1197" s="174">
        <v>2.1650049491704904E-2</v>
      </c>
      <c r="AA1197" s="177"/>
    </row>
    <row r="1198" spans="22:27" x14ac:dyDescent="0.2">
      <c r="V1198" s="163"/>
      <c r="W1198" s="158" t="str">
        <f t="shared" si="30"/>
        <v>1w</v>
      </c>
      <c r="X1198" s="168">
        <f>_xll.qlCalendarAdvance(Calendar,X1197,W1198,"f",FALSE)</f>
        <v>47386</v>
      </c>
      <c r="Y1198" s="173">
        <f>_xll.qlCalendarAdvance(Calendar,X1198,NDays&amp;"D")</f>
        <v>47386</v>
      </c>
      <c r="Z1198" s="174">
        <v>2.1668148937591392E-2</v>
      </c>
      <c r="AA1198" s="177"/>
    </row>
    <row r="1199" spans="22:27" x14ac:dyDescent="0.2">
      <c r="V1199" s="163"/>
      <c r="W1199" s="158" t="str">
        <f t="shared" si="30"/>
        <v>1w</v>
      </c>
      <c r="X1199" s="168">
        <f>_xll.qlCalendarAdvance(Calendar,X1198,W1199,"f",FALSE)</f>
        <v>47393</v>
      </c>
      <c r="Y1199" s="173">
        <f>_xll.qlCalendarAdvance(Calendar,X1199,NDays&amp;"D")</f>
        <v>47393</v>
      </c>
      <c r="Z1199" s="174">
        <v>2.1686136566193559E-2</v>
      </c>
      <c r="AA1199" s="177"/>
    </row>
    <row r="1200" spans="22:27" x14ac:dyDescent="0.2">
      <c r="V1200" s="163"/>
      <c r="W1200" s="158" t="str">
        <f t="shared" si="30"/>
        <v>1w</v>
      </c>
      <c r="X1200" s="168">
        <f>_xll.qlCalendarAdvance(Calendar,X1199,W1200,"f",FALSE)</f>
        <v>47400</v>
      </c>
      <c r="Y1200" s="173">
        <f>_xll.qlCalendarAdvance(Calendar,X1200,NDays&amp;"D")</f>
        <v>47400</v>
      </c>
      <c r="Z1200" s="174">
        <v>2.1704012377592452E-2</v>
      </c>
      <c r="AA1200" s="177"/>
    </row>
    <row r="1201" spans="22:27" x14ac:dyDescent="0.2">
      <c r="V1201" s="163"/>
      <c r="W1201" s="158" t="str">
        <f t="shared" si="30"/>
        <v>1w</v>
      </c>
      <c r="X1201" s="168">
        <f>_xll.qlCalendarAdvance(Calendar,X1200,W1201,"f",FALSE)</f>
        <v>47407</v>
      </c>
      <c r="Y1201" s="173">
        <f>_xll.qlCalendarAdvance(Calendar,X1201,NDays&amp;"D")</f>
        <v>47407</v>
      </c>
      <c r="Z1201" s="174">
        <v>2.1721776371707024E-2</v>
      </c>
      <c r="AA1201" s="177"/>
    </row>
    <row r="1202" spans="22:27" x14ac:dyDescent="0.2">
      <c r="V1202" s="163"/>
      <c r="W1202" s="158" t="str">
        <f t="shared" si="30"/>
        <v>1w</v>
      </c>
      <c r="X1202" s="168">
        <f>_xll.qlCalendarAdvance(Calendar,X1201,W1202,"f",FALSE)</f>
        <v>47414</v>
      </c>
      <c r="Y1202" s="173">
        <f>_xll.qlCalendarAdvance(Calendar,X1202,NDays&amp;"D")</f>
        <v>47414</v>
      </c>
      <c r="Z1202" s="174">
        <v>2.1739428548618323E-2</v>
      </c>
      <c r="AA1202" s="177"/>
    </row>
    <row r="1203" spans="22:27" x14ac:dyDescent="0.2">
      <c r="V1203" s="163"/>
      <c r="W1203" s="158" t="str">
        <f t="shared" si="30"/>
        <v>1w</v>
      </c>
      <c r="X1203" s="168">
        <f>_xll.qlCalendarAdvance(Calendar,X1202,W1203,"f",FALSE)</f>
        <v>47421</v>
      </c>
      <c r="Y1203" s="173">
        <f>_xll.qlCalendarAdvance(Calendar,X1203,NDays&amp;"D")</f>
        <v>47421</v>
      </c>
      <c r="Z1203" s="174">
        <v>2.17569689082453E-2</v>
      </c>
      <c r="AA1203" s="177"/>
    </row>
    <row r="1204" spans="22:27" x14ac:dyDescent="0.2">
      <c r="V1204" s="163"/>
      <c r="W1204" s="158" t="str">
        <f t="shared" si="30"/>
        <v>1w</v>
      </c>
      <c r="X1204" s="168">
        <f>_xll.qlCalendarAdvance(Calendar,X1203,W1204,"f",FALSE)</f>
        <v>47428</v>
      </c>
      <c r="Y1204" s="173">
        <f>_xll.qlCalendarAdvance(Calendar,X1204,NDays&amp;"D")</f>
        <v>47428</v>
      </c>
      <c r="Z1204" s="174">
        <v>2.1774397450587957E-2</v>
      </c>
      <c r="AA1204" s="177"/>
    </row>
    <row r="1205" spans="22:27" x14ac:dyDescent="0.2">
      <c r="V1205" s="163"/>
      <c r="W1205" s="158" t="str">
        <f t="shared" si="30"/>
        <v>1w</v>
      </c>
      <c r="X1205" s="168">
        <f>_xll.qlCalendarAdvance(Calendar,X1204,W1205,"f",FALSE)</f>
        <v>47435</v>
      </c>
      <c r="Y1205" s="173">
        <f>_xll.qlCalendarAdvance(Calendar,X1205,NDays&amp;"D")</f>
        <v>47435</v>
      </c>
      <c r="Z1205" s="174">
        <v>2.1791714175646293E-2</v>
      </c>
      <c r="AA1205" s="177"/>
    </row>
    <row r="1206" spans="22:27" x14ac:dyDescent="0.2">
      <c r="V1206" s="163"/>
      <c r="W1206" s="158" t="str">
        <f t="shared" si="30"/>
        <v>1w</v>
      </c>
      <c r="X1206" s="168">
        <f>_xll.qlCalendarAdvance(Calendar,X1205,W1206,"f",FALSE)</f>
        <v>47442</v>
      </c>
      <c r="Y1206" s="173">
        <f>_xll.qlCalendarAdvance(Calendar,X1206,NDays&amp;"D")</f>
        <v>47442</v>
      </c>
      <c r="Z1206" s="174">
        <v>2.1808919083258216E-2</v>
      </c>
      <c r="AA1206" s="177"/>
    </row>
    <row r="1207" spans="22:27" x14ac:dyDescent="0.2">
      <c r="V1207" s="163"/>
      <c r="W1207" s="158" t="str">
        <f t="shared" si="30"/>
        <v>1w</v>
      </c>
      <c r="X1207" s="168">
        <f>_xll.qlCalendarAdvance(Calendar,X1206,W1207,"f",FALSE)</f>
        <v>47449</v>
      </c>
      <c r="Y1207" s="173">
        <f>_xll.qlCalendarAdvance(Calendar,X1207,NDays&amp;"D")</f>
        <v>47449</v>
      </c>
      <c r="Z1207" s="174">
        <v>2.1826012173666864E-2</v>
      </c>
      <c r="AA1207" s="177"/>
    </row>
    <row r="1208" spans="22:27" x14ac:dyDescent="0.2">
      <c r="V1208" s="163"/>
      <c r="W1208" s="158" t="str">
        <f t="shared" si="30"/>
        <v>1w</v>
      </c>
      <c r="X1208" s="168">
        <f>_xll.qlCalendarAdvance(Calendar,X1207,W1208,"f",FALSE)</f>
        <v>47456</v>
      </c>
      <c r="Y1208" s="173">
        <f>_xll.qlCalendarAdvance(Calendar,X1208,NDays&amp;"D")</f>
        <v>47456</v>
      </c>
      <c r="Z1208" s="174">
        <v>2.18429934466291E-2</v>
      </c>
      <c r="AA1208" s="177"/>
    </row>
    <row r="1209" spans="22:27" x14ac:dyDescent="0.2">
      <c r="V1209" s="163"/>
      <c r="W1209" s="158" t="str">
        <f t="shared" si="30"/>
        <v>1w</v>
      </c>
      <c r="X1209" s="168">
        <f>_xll.qlCalendarAdvance(Calendar,X1208,W1209,"f",FALSE)</f>
        <v>47463</v>
      </c>
      <c r="Y1209" s="173">
        <f>_xll.qlCalendarAdvance(Calendar,X1209,NDays&amp;"D")</f>
        <v>47463</v>
      </c>
      <c r="Z1209" s="174">
        <v>2.1859862902307015E-2</v>
      </c>
      <c r="AA1209" s="177"/>
    </row>
    <row r="1210" spans="22:27" x14ac:dyDescent="0.2">
      <c r="V1210" s="163"/>
      <c r="W1210" s="158" t="str">
        <f t="shared" si="30"/>
        <v>1w</v>
      </c>
      <c r="X1210" s="168">
        <f>_xll.qlCalendarAdvance(Calendar,X1209,W1210,"f",FALSE)</f>
        <v>47470</v>
      </c>
      <c r="Y1210" s="173">
        <f>_xll.qlCalendarAdvance(Calendar,X1210,NDays&amp;"D")</f>
        <v>47470</v>
      </c>
      <c r="Z1210" s="174">
        <v>2.1876620540619562E-2</v>
      </c>
      <c r="AA1210" s="177"/>
    </row>
    <row r="1211" spans="22:27" x14ac:dyDescent="0.2">
      <c r="V1211" s="163"/>
      <c r="W1211" s="158" t="str">
        <f t="shared" si="30"/>
        <v>1w</v>
      </c>
      <c r="X1211" s="168">
        <f>_xll.qlCalendarAdvance(Calendar,X1210,W1211,"f",FALSE)</f>
        <v>47477</v>
      </c>
      <c r="Y1211" s="173">
        <f>_xll.qlCalendarAdvance(Calendar,X1211,NDays&amp;"D")</f>
        <v>47477</v>
      </c>
      <c r="Z1211" s="174">
        <v>2.1893266361485697E-2</v>
      </c>
      <c r="AA1211" s="177"/>
    </row>
    <row r="1212" spans="22:27" x14ac:dyDescent="0.2">
      <c r="V1212" s="163"/>
      <c r="W1212" s="158" t="str">
        <f t="shared" si="30"/>
        <v>1w</v>
      </c>
      <c r="X1212" s="168">
        <f>_xll.qlCalendarAdvance(Calendar,X1211,W1212,"f",FALSE)</f>
        <v>47487</v>
      </c>
      <c r="Y1212" s="173">
        <f>_xll.qlCalendarAdvance(Calendar,X1212,NDays&amp;"D")</f>
        <v>47487</v>
      </c>
      <c r="Z1212" s="174">
        <v>2.1920513733499535E-2</v>
      </c>
      <c r="AA1212" s="177"/>
    </row>
    <row r="1213" spans="22:27" x14ac:dyDescent="0.2">
      <c r="V1213" s="163"/>
      <c r="W1213" s="158" t="str">
        <f t="shared" si="30"/>
        <v>1w</v>
      </c>
      <c r="X1213" s="168">
        <f>_xll.qlCalendarAdvance(Calendar,X1212,W1213,"f",FALSE)</f>
        <v>47494</v>
      </c>
      <c r="Y1213" s="173">
        <f>_xll.qlCalendarAdvance(Calendar,X1213,NDays&amp;"D")</f>
        <v>47494</v>
      </c>
      <c r="Z1213" s="174">
        <v>2.1938696892035425E-2</v>
      </c>
      <c r="AA1213" s="177"/>
    </row>
    <row r="1214" spans="22:27" x14ac:dyDescent="0.2">
      <c r="V1214" s="163"/>
      <c r="W1214" s="158" t="str">
        <f t="shared" si="30"/>
        <v>1w</v>
      </c>
      <c r="X1214" s="168">
        <f>_xll.qlCalendarAdvance(Calendar,X1213,W1214,"f",FALSE)</f>
        <v>47501</v>
      </c>
      <c r="Y1214" s="173">
        <f>_xll.qlCalendarAdvance(Calendar,X1214,NDays&amp;"D")</f>
        <v>47501</v>
      </c>
      <c r="Z1214" s="174">
        <v>2.1953122415756535E-2</v>
      </c>
      <c r="AA1214" s="177"/>
    </row>
    <row r="1215" spans="22:27" x14ac:dyDescent="0.2">
      <c r="V1215" s="163"/>
      <c r="W1215" s="158" t="str">
        <f t="shared" si="30"/>
        <v>1w</v>
      </c>
      <c r="X1215" s="168">
        <f>_xll.qlCalendarAdvance(Calendar,X1214,W1215,"f",FALSE)</f>
        <v>47508</v>
      </c>
      <c r="Y1215" s="173">
        <f>_xll.qlCalendarAdvance(Calendar,X1215,NDays&amp;"D")</f>
        <v>47508</v>
      </c>
      <c r="Z1215" s="174">
        <v>2.1969259012682617E-2</v>
      </c>
      <c r="AA1215" s="177"/>
    </row>
    <row r="1216" spans="22:27" x14ac:dyDescent="0.2">
      <c r="V1216" s="163"/>
      <c r="W1216" s="158" t="str">
        <f t="shared" si="30"/>
        <v>1w</v>
      </c>
      <c r="X1216" s="168">
        <f>_xll.qlCalendarAdvance(Calendar,X1215,W1216,"f",FALSE)</f>
        <v>47515</v>
      </c>
      <c r="Y1216" s="173">
        <f>_xll.qlCalendarAdvance(Calendar,X1216,NDays&amp;"D")</f>
        <v>47515</v>
      </c>
      <c r="Z1216" s="174">
        <v>2.1985283780113406E-2</v>
      </c>
      <c r="AA1216" s="177"/>
    </row>
    <row r="1217" spans="22:27" x14ac:dyDescent="0.2">
      <c r="V1217" s="163"/>
      <c r="W1217" s="158" t="str">
        <f t="shared" si="30"/>
        <v>1w</v>
      </c>
      <c r="X1217" s="168">
        <f>_xll.qlCalendarAdvance(Calendar,X1216,W1217,"f",FALSE)</f>
        <v>47522</v>
      </c>
      <c r="Y1217" s="173">
        <f>_xll.qlCalendarAdvance(Calendar,X1217,NDays&amp;"D")</f>
        <v>47522</v>
      </c>
      <c r="Z1217" s="174">
        <v>2.2002991538895011E-2</v>
      </c>
      <c r="AA1217" s="177"/>
    </row>
    <row r="1218" spans="22:27" x14ac:dyDescent="0.2">
      <c r="V1218" s="163"/>
      <c r="W1218" s="158" t="str">
        <f t="shared" si="30"/>
        <v>1w</v>
      </c>
      <c r="X1218" s="168">
        <f>_xll.qlCalendarAdvance(Calendar,X1217,W1218,"f",FALSE)</f>
        <v>47529</v>
      </c>
      <c r="Y1218" s="173">
        <f>_xll.qlCalendarAdvance(Calendar,X1218,NDays&amp;"D")</f>
        <v>47529</v>
      </c>
      <c r="Z1218" s="174">
        <v>2.2016997826137901E-2</v>
      </c>
      <c r="AA1218" s="177"/>
    </row>
    <row r="1219" spans="22:27" x14ac:dyDescent="0.2">
      <c r="V1219" s="163"/>
      <c r="W1219" s="158" t="str">
        <f t="shared" si="30"/>
        <v>1w</v>
      </c>
      <c r="X1219" s="168">
        <f>_xll.qlCalendarAdvance(Calendar,X1218,W1219,"f",FALSE)</f>
        <v>47536</v>
      </c>
      <c r="Y1219" s="173">
        <f>_xll.qlCalendarAdvance(Calendar,X1219,NDays&amp;"D")</f>
        <v>47536</v>
      </c>
      <c r="Z1219" s="174">
        <v>2.2032687104677578E-2</v>
      </c>
      <c r="AA1219" s="177"/>
    </row>
    <row r="1220" spans="22:27" x14ac:dyDescent="0.2">
      <c r="V1220" s="163"/>
      <c r="W1220" s="158" t="str">
        <f t="shared" si="30"/>
        <v>1w</v>
      </c>
      <c r="X1220" s="168">
        <f>_xll.qlCalendarAdvance(Calendar,X1219,W1220,"f",FALSE)</f>
        <v>47543</v>
      </c>
      <c r="Y1220" s="173">
        <f>_xll.qlCalendarAdvance(Calendar,X1220,NDays&amp;"D")</f>
        <v>47543</v>
      </c>
      <c r="Z1220" s="174">
        <v>2.204826455355987E-2</v>
      </c>
      <c r="AA1220" s="177"/>
    </row>
    <row r="1221" spans="22:27" x14ac:dyDescent="0.2">
      <c r="V1221" s="163"/>
      <c r="W1221" s="158" t="str">
        <f t="shared" si="30"/>
        <v>1w</v>
      </c>
      <c r="X1221" s="168">
        <f>_xll.qlCalendarAdvance(Calendar,X1220,W1221,"f",FALSE)</f>
        <v>47550</v>
      </c>
      <c r="Y1221" s="173">
        <f>_xll.qlCalendarAdvance(Calendar,X1221,NDays&amp;"D")</f>
        <v>47550</v>
      </c>
      <c r="Z1221" s="174">
        <v>2.2063730172676713E-2</v>
      </c>
      <c r="AA1221" s="177"/>
    </row>
    <row r="1222" spans="22:27" x14ac:dyDescent="0.2">
      <c r="V1222" s="163"/>
      <c r="W1222" s="158" t="str">
        <f t="shared" si="30"/>
        <v>1w</v>
      </c>
      <c r="X1222" s="168">
        <f>_xll.qlCalendarAdvance(Calendar,X1221,W1222,"f",FALSE)</f>
        <v>47557</v>
      </c>
      <c r="Y1222" s="173">
        <f>_xll.qlCalendarAdvance(Calendar,X1222,NDays&amp;"D")</f>
        <v>47557</v>
      </c>
      <c r="Z1222" s="174">
        <v>2.2079083962001093E-2</v>
      </c>
      <c r="AA1222" s="177"/>
    </row>
    <row r="1223" spans="22:27" x14ac:dyDescent="0.2">
      <c r="V1223" s="163"/>
      <c r="W1223" s="158" t="str">
        <f t="shared" si="30"/>
        <v>1w</v>
      </c>
      <c r="X1223" s="168">
        <f>_xll.qlCalendarAdvance(Calendar,X1222,W1223,"f",FALSE)</f>
        <v>47564</v>
      </c>
      <c r="Y1223" s="173">
        <f>_xll.qlCalendarAdvance(Calendar,X1223,NDays&amp;"D")</f>
        <v>47564</v>
      </c>
      <c r="Z1223" s="174">
        <v>2.2094325921505991E-2</v>
      </c>
      <c r="AA1223" s="177"/>
    </row>
    <row r="1224" spans="22:27" x14ac:dyDescent="0.2">
      <c r="V1224" s="163"/>
      <c r="W1224" s="158" t="str">
        <f t="shared" si="30"/>
        <v>1w</v>
      </c>
      <c r="X1224" s="168">
        <f>_xll.qlCalendarAdvance(Calendar,X1223,W1224,"f",FALSE)</f>
        <v>47571</v>
      </c>
      <c r="Y1224" s="173">
        <f>_xll.qlCalendarAdvance(Calendar,X1224,NDays&amp;"D")</f>
        <v>47571</v>
      </c>
      <c r="Z1224" s="174">
        <v>2.2109456051137382E-2</v>
      </c>
      <c r="AA1224" s="177"/>
    </row>
    <row r="1225" spans="22:27" x14ac:dyDescent="0.2">
      <c r="V1225" s="163"/>
      <c r="W1225" s="158" t="str">
        <f t="shared" si="30"/>
        <v>1w</v>
      </c>
      <c r="X1225" s="168">
        <f>_xll.qlCalendarAdvance(Calendar,X1224,W1225,"f",FALSE)</f>
        <v>47578</v>
      </c>
      <c r="Y1225" s="173">
        <f>_xll.qlCalendarAdvance(Calendar,X1225,NDays&amp;"D")</f>
        <v>47578</v>
      </c>
      <c r="Z1225" s="174">
        <v>2.2124474350841233E-2</v>
      </c>
      <c r="AA1225" s="177"/>
    </row>
    <row r="1226" spans="22:27" x14ac:dyDescent="0.2">
      <c r="V1226" s="163"/>
      <c r="W1226" s="158" t="str">
        <f t="shared" si="30"/>
        <v>1w</v>
      </c>
      <c r="X1226" s="168">
        <f>_xll.qlCalendarAdvance(Calendar,X1225,W1226,"f",FALSE)</f>
        <v>47585</v>
      </c>
      <c r="Y1226" s="173">
        <f>_xll.qlCalendarAdvance(Calendar,X1226,NDays&amp;"D")</f>
        <v>47585</v>
      </c>
      <c r="Z1226" s="174">
        <v>2.2139380820617543E-2</v>
      </c>
      <c r="AA1226" s="177"/>
    </row>
    <row r="1227" spans="22:27" x14ac:dyDescent="0.2">
      <c r="V1227" s="163"/>
      <c r="W1227" s="158" t="str">
        <f t="shared" si="30"/>
        <v>1w</v>
      </c>
      <c r="X1227" s="168">
        <f>_xll.qlCalendarAdvance(Calendar,X1226,W1227,"f",FALSE)</f>
        <v>47592</v>
      </c>
      <c r="Y1227" s="173">
        <f>_xll.qlCalendarAdvance(Calendar,X1227,NDays&amp;"D")</f>
        <v>47592</v>
      </c>
      <c r="Z1227" s="174">
        <v>2.2154175460358253E-2</v>
      </c>
      <c r="AA1227" s="177"/>
    </row>
    <row r="1228" spans="22:27" x14ac:dyDescent="0.2">
      <c r="V1228" s="163"/>
      <c r="W1228" s="158" t="str">
        <f t="shared" si="30"/>
        <v>1w</v>
      </c>
      <c r="X1228" s="168">
        <f>_xll.qlCalendarAdvance(Calendar,X1227,W1228,"f",FALSE)</f>
        <v>47599</v>
      </c>
      <c r="Y1228" s="173">
        <f>_xll.qlCalendarAdvance(Calendar,X1228,NDays&amp;"D")</f>
        <v>47599</v>
      </c>
      <c r="Z1228" s="174">
        <v>2.2170575363993916E-2</v>
      </c>
      <c r="AA1228" s="177"/>
    </row>
    <row r="1229" spans="22:27" x14ac:dyDescent="0.2">
      <c r="V1229" s="163"/>
      <c r="W1229" s="158" t="str">
        <f t="shared" ref="W1229:W1292" si="31">W1228</f>
        <v>1w</v>
      </c>
      <c r="X1229" s="168">
        <f>_xll.qlCalendarAdvance(Calendar,X1228,W1229,"f",FALSE)</f>
        <v>47610</v>
      </c>
      <c r="Y1229" s="173">
        <f>_xll.qlCalendarAdvance(Calendar,X1229,NDays&amp;"D")</f>
        <v>47610</v>
      </c>
      <c r="Z1229" s="174">
        <v>2.2188291632344592E-2</v>
      </c>
      <c r="AA1229" s="177"/>
    </row>
    <row r="1230" spans="22:27" x14ac:dyDescent="0.2">
      <c r="V1230" s="163"/>
      <c r="W1230" s="158" t="str">
        <f t="shared" si="31"/>
        <v>1w</v>
      </c>
      <c r="X1230" s="168">
        <f>_xll.qlCalendarAdvance(Calendar,X1229,W1230,"f",FALSE)</f>
        <v>47617</v>
      </c>
      <c r="Y1230" s="173">
        <f>_xll.qlCalendarAdvance(Calendar,X1230,NDays&amp;"D")</f>
        <v>47617</v>
      </c>
      <c r="Z1230" s="174">
        <v>2.2202701102094213E-2</v>
      </c>
      <c r="AA1230" s="177"/>
    </row>
    <row r="1231" spans="22:27" x14ac:dyDescent="0.2">
      <c r="V1231" s="163"/>
      <c r="W1231" s="158" t="str">
        <f t="shared" si="31"/>
        <v>1w</v>
      </c>
      <c r="X1231" s="168">
        <f>_xll.qlCalendarAdvance(Calendar,X1230,W1231,"f",FALSE)</f>
        <v>47624</v>
      </c>
      <c r="Y1231" s="173">
        <f>_xll.qlCalendarAdvance(Calendar,X1231,NDays&amp;"D")</f>
        <v>47624</v>
      </c>
      <c r="Z1231" s="174">
        <v>2.2216998754235329E-2</v>
      </c>
      <c r="AA1231" s="177"/>
    </row>
    <row r="1232" spans="22:27" x14ac:dyDescent="0.2">
      <c r="V1232" s="163"/>
      <c r="W1232" s="158" t="str">
        <f t="shared" si="31"/>
        <v>1w</v>
      </c>
      <c r="X1232" s="168">
        <f>_xll.qlCalendarAdvance(Calendar,X1231,W1232,"f",FALSE)</f>
        <v>47631</v>
      </c>
      <c r="Y1232" s="173">
        <f>_xll.qlCalendarAdvance(Calendar,X1232,NDays&amp;"D")</f>
        <v>47631</v>
      </c>
      <c r="Z1232" s="174">
        <v>2.2231184588605846E-2</v>
      </c>
      <c r="AA1232" s="177"/>
    </row>
    <row r="1233" spans="22:27" x14ac:dyDescent="0.2">
      <c r="V1233" s="163"/>
      <c r="W1233" s="158" t="str">
        <f t="shared" si="31"/>
        <v>1w</v>
      </c>
      <c r="X1233" s="168">
        <f>_xll.qlCalendarAdvance(Calendar,X1232,W1233,"f",FALSE)</f>
        <v>47638</v>
      </c>
      <c r="Y1233" s="173">
        <f>_xll.qlCalendarAdvance(Calendar,X1233,NDays&amp;"D")</f>
        <v>47638</v>
      </c>
      <c r="Z1233" s="174">
        <v>2.2245258605286811E-2</v>
      </c>
      <c r="AA1233" s="177"/>
    </row>
    <row r="1234" spans="22:27" x14ac:dyDescent="0.2">
      <c r="V1234" s="163"/>
      <c r="W1234" s="158" t="str">
        <f t="shared" si="31"/>
        <v>1w</v>
      </c>
      <c r="X1234" s="168">
        <f>_xll.qlCalendarAdvance(Calendar,X1233,W1234,"f",FALSE)</f>
        <v>47645</v>
      </c>
      <c r="Y1234" s="173">
        <f>_xll.qlCalendarAdvance(Calendar,X1234,NDays&amp;"D")</f>
        <v>47645</v>
      </c>
      <c r="Z1234" s="174">
        <v>2.2259220804197177E-2</v>
      </c>
      <c r="AA1234" s="177"/>
    </row>
    <row r="1235" spans="22:27" x14ac:dyDescent="0.2">
      <c r="V1235" s="163"/>
      <c r="W1235" s="158" t="str">
        <f t="shared" si="31"/>
        <v>1w</v>
      </c>
      <c r="X1235" s="168">
        <f>_xll.qlCalendarAdvance(Calendar,X1234,W1235,"f",FALSE)</f>
        <v>47652</v>
      </c>
      <c r="Y1235" s="173">
        <f>_xll.qlCalendarAdvance(Calendar,X1235,NDays&amp;"D")</f>
        <v>47652</v>
      </c>
      <c r="Z1235" s="174">
        <v>2.2273071185417992E-2</v>
      </c>
      <c r="AA1235" s="177"/>
    </row>
    <row r="1236" spans="22:27" x14ac:dyDescent="0.2">
      <c r="V1236" s="163"/>
      <c r="W1236" s="158" t="str">
        <f t="shared" si="31"/>
        <v>1w</v>
      </c>
      <c r="X1236" s="168">
        <f>_xll.qlCalendarAdvance(Calendar,X1235,W1236,"f",FALSE)</f>
        <v>47659</v>
      </c>
      <c r="Y1236" s="173">
        <f>_xll.qlCalendarAdvance(Calendar,X1236,NDays&amp;"D")</f>
        <v>47659</v>
      </c>
      <c r="Z1236" s="174">
        <v>2.2286809748949254E-2</v>
      </c>
      <c r="AA1236" s="177"/>
    </row>
    <row r="1237" spans="22:27" x14ac:dyDescent="0.2">
      <c r="V1237" s="163"/>
      <c r="W1237" s="158" t="str">
        <f t="shared" si="31"/>
        <v>1w</v>
      </c>
      <c r="X1237" s="168">
        <f>_xll.qlCalendarAdvance(Calendar,X1236,W1237,"f",FALSE)</f>
        <v>47666</v>
      </c>
      <c r="Y1237" s="173">
        <f>_xll.qlCalendarAdvance(Calendar,X1237,NDays&amp;"D")</f>
        <v>47666</v>
      </c>
      <c r="Z1237" s="174">
        <v>2.230043649446678E-2</v>
      </c>
      <c r="AA1237" s="177"/>
    </row>
    <row r="1238" spans="22:27" x14ac:dyDescent="0.2">
      <c r="V1238" s="163"/>
      <c r="W1238" s="158" t="str">
        <f t="shared" si="31"/>
        <v>1w</v>
      </c>
      <c r="X1238" s="168">
        <f>_xll.qlCalendarAdvance(Calendar,X1237,W1238,"f",FALSE)</f>
        <v>47673</v>
      </c>
      <c r="Y1238" s="173">
        <f>_xll.qlCalendarAdvance(Calendar,X1238,NDays&amp;"D")</f>
        <v>47673</v>
      </c>
      <c r="Z1238" s="174">
        <v>2.23139514223758E-2</v>
      </c>
      <c r="AA1238" s="177"/>
    </row>
    <row r="1239" spans="22:27" x14ac:dyDescent="0.2">
      <c r="V1239" s="163"/>
      <c r="W1239" s="158" t="str">
        <f t="shared" si="31"/>
        <v>1w</v>
      </c>
      <c r="X1239" s="168">
        <f>_xll.qlCalendarAdvance(Calendar,X1238,W1239,"f",FALSE)</f>
        <v>47680</v>
      </c>
      <c r="Y1239" s="173">
        <f>_xll.qlCalendarAdvance(Calendar,X1239,NDays&amp;"D")</f>
        <v>47680</v>
      </c>
      <c r="Z1239" s="174">
        <v>2.2327354532433175E-2</v>
      </c>
      <c r="AA1239" s="177"/>
    </row>
    <row r="1240" spans="22:27" x14ac:dyDescent="0.2">
      <c r="V1240" s="163"/>
      <c r="W1240" s="158" t="str">
        <f t="shared" si="31"/>
        <v>1w</v>
      </c>
      <c r="X1240" s="168">
        <f>_xll.qlCalendarAdvance(Calendar,X1239,W1240,"f",FALSE)</f>
        <v>47687</v>
      </c>
      <c r="Y1240" s="173">
        <f>_xll.qlCalendarAdvance(Calendar,X1240,NDays&amp;"D")</f>
        <v>47687</v>
      </c>
      <c r="Z1240" s="174">
        <v>2.2340645824638905E-2</v>
      </c>
      <c r="AA1240" s="177"/>
    </row>
    <row r="1241" spans="22:27" x14ac:dyDescent="0.2">
      <c r="V1241" s="163"/>
      <c r="W1241" s="158" t="str">
        <f t="shared" si="31"/>
        <v>1w</v>
      </c>
      <c r="X1241" s="168">
        <f>_xll.qlCalendarAdvance(Calendar,X1240,W1241,"f",FALSE)</f>
        <v>47694</v>
      </c>
      <c r="Y1241" s="173">
        <f>_xll.qlCalendarAdvance(Calendar,X1241,NDays&amp;"D")</f>
        <v>47694</v>
      </c>
      <c r="Z1241" s="174">
        <v>2.2353825299074037E-2</v>
      </c>
      <c r="AA1241" s="177"/>
    </row>
    <row r="1242" spans="22:27" x14ac:dyDescent="0.2">
      <c r="V1242" s="163"/>
      <c r="W1242" s="158" t="str">
        <f t="shared" si="31"/>
        <v>1w</v>
      </c>
      <c r="X1242" s="168">
        <f>_xll.qlCalendarAdvance(Calendar,X1241,W1242,"f",FALSE)</f>
        <v>47701</v>
      </c>
      <c r="Y1242" s="173">
        <f>_xll.qlCalendarAdvance(Calendar,X1242,NDays&amp;"D")</f>
        <v>47701</v>
      </c>
      <c r="Z1242" s="174">
        <v>2.2366892955657525E-2</v>
      </c>
      <c r="AA1242" s="177"/>
    </row>
    <row r="1243" spans="22:27" x14ac:dyDescent="0.2">
      <c r="V1243" s="163"/>
      <c r="W1243" s="158" t="str">
        <f t="shared" si="31"/>
        <v>1w</v>
      </c>
      <c r="X1243" s="168">
        <f>_xll.qlCalendarAdvance(Calendar,X1242,W1243,"f",FALSE)</f>
        <v>47708</v>
      </c>
      <c r="Y1243" s="173">
        <f>_xll.qlCalendarAdvance(Calendar,X1243,NDays&amp;"D")</f>
        <v>47708</v>
      </c>
      <c r="Z1243" s="174">
        <v>2.2379848794389368E-2</v>
      </c>
      <c r="AA1243" s="177"/>
    </row>
    <row r="1244" spans="22:27" x14ac:dyDescent="0.2">
      <c r="V1244" s="163"/>
      <c r="W1244" s="158" t="str">
        <f t="shared" si="31"/>
        <v>1w</v>
      </c>
      <c r="X1244" s="168">
        <f>_xll.qlCalendarAdvance(Calendar,X1243,W1244,"f",FALSE)</f>
        <v>47715</v>
      </c>
      <c r="Y1244" s="173">
        <f>_xll.qlCalendarAdvance(Calendar,X1244,NDays&amp;"D")</f>
        <v>47715</v>
      </c>
      <c r="Z1244" s="174">
        <v>2.2392692815269566E-2</v>
      </c>
      <c r="AA1244" s="177"/>
    </row>
    <row r="1245" spans="22:27" x14ac:dyDescent="0.2">
      <c r="V1245" s="163"/>
      <c r="W1245" s="158" t="str">
        <f t="shared" si="31"/>
        <v>1w</v>
      </c>
      <c r="X1245" s="168">
        <f>_xll.qlCalendarAdvance(Calendar,X1244,W1245,"f",FALSE)</f>
        <v>47722</v>
      </c>
      <c r="Y1245" s="173">
        <f>_xll.qlCalendarAdvance(Calendar,X1245,NDays&amp;"D")</f>
        <v>47722</v>
      </c>
      <c r="Z1245" s="174">
        <v>2.2405425018217073E-2</v>
      </c>
      <c r="AA1245" s="177"/>
    </row>
    <row r="1246" spans="22:27" x14ac:dyDescent="0.2">
      <c r="V1246" s="163"/>
      <c r="W1246" s="158" t="str">
        <f t="shared" si="31"/>
        <v>1w</v>
      </c>
      <c r="X1246" s="168">
        <f>_xll.qlCalendarAdvance(Calendar,X1245,W1246,"f",FALSE)</f>
        <v>47729</v>
      </c>
      <c r="Y1246" s="173">
        <f>_xll.qlCalendarAdvance(Calendar,X1246,NDays&amp;"D")</f>
        <v>47729</v>
      </c>
      <c r="Z1246" s="174">
        <v>2.2418045403393982E-2</v>
      </c>
      <c r="AA1246" s="177"/>
    </row>
    <row r="1247" spans="22:27" x14ac:dyDescent="0.2">
      <c r="V1247" s="163"/>
      <c r="W1247" s="158" t="str">
        <f t="shared" si="31"/>
        <v>1w</v>
      </c>
      <c r="X1247" s="168">
        <f>_xll.qlCalendarAdvance(Calendar,X1246,W1247,"f",FALSE)</f>
        <v>47736</v>
      </c>
      <c r="Y1247" s="173">
        <f>_xll.qlCalendarAdvance(Calendar,X1247,NDays&amp;"D")</f>
        <v>47736</v>
      </c>
      <c r="Z1247" s="174">
        <v>2.2430553970557154E-2</v>
      </c>
      <c r="AA1247" s="177"/>
    </row>
    <row r="1248" spans="22:27" x14ac:dyDescent="0.2">
      <c r="V1248" s="163"/>
      <c r="W1248" s="158" t="str">
        <f t="shared" si="31"/>
        <v>1w</v>
      </c>
      <c r="X1248" s="168">
        <f>_xll.qlCalendarAdvance(Calendar,X1247,W1248,"f",FALSE)</f>
        <v>47743</v>
      </c>
      <c r="Y1248" s="173">
        <f>_xll.qlCalendarAdvance(Calendar,X1248,NDays&amp;"D")</f>
        <v>47743</v>
      </c>
      <c r="Z1248" s="174">
        <v>2.2442950719868682E-2</v>
      </c>
      <c r="AA1248" s="177"/>
    </row>
    <row r="1249" spans="22:27" x14ac:dyDescent="0.2">
      <c r="V1249" s="163"/>
      <c r="W1249" s="158" t="str">
        <f t="shared" si="31"/>
        <v>1w</v>
      </c>
      <c r="X1249" s="168">
        <f>_xll.qlCalendarAdvance(Calendar,X1248,W1249,"f",FALSE)</f>
        <v>47750</v>
      </c>
      <c r="Y1249" s="173">
        <f>_xll.qlCalendarAdvance(Calendar,X1249,NDays&amp;"D")</f>
        <v>47750</v>
      </c>
      <c r="Z1249" s="174">
        <v>2.2455235651247518E-2</v>
      </c>
      <c r="AA1249" s="177"/>
    </row>
    <row r="1250" spans="22:27" x14ac:dyDescent="0.2">
      <c r="V1250" s="163"/>
      <c r="W1250" s="158" t="str">
        <f t="shared" si="31"/>
        <v>1w</v>
      </c>
      <c r="X1250" s="168">
        <f>_xll.qlCalendarAdvance(Calendar,X1249,W1250,"f",FALSE)</f>
        <v>47757</v>
      </c>
      <c r="Y1250" s="173">
        <f>_xll.qlCalendarAdvance(Calendar,X1250,NDays&amp;"D")</f>
        <v>47757</v>
      </c>
      <c r="Z1250" s="174">
        <v>2.246740876477471E-2</v>
      </c>
      <c r="AA1250" s="177"/>
    </row>
    <row r="1251" spans="22:27" x14ac:dyDescent="0.2">
      <c r="V1251" s="163"/>
      <c r="W1251" s="158" t="str">
        <f t="shared" si="31"/>
        <v>1w</v>
      </c>
      <c r="X1251" s="168">
        <f>_xll.qlCalendarAdvance(Calendar,X1250,W1251,"f",FALSE)</f>
        <v>47764</v>
      </c>
      <c r="Y1251" s="173">
        <f>_xll.qlCalendarAdvance(Calendar,X1251,NDays&amp;"D")</f>
        <v>47764</v>
      </c>
      <c r="Z1251" s="174">
        <v>2.2479470060288165E-2</v>
      </c>
      <c r="AA1251" s="177"/>
    </row>
    <row r="1252" spans="22:27" x14ac:dyDescent="0.2">
      <c r="V1252" s="163"/>
      <c r="W1252" s="158" t="str">
        <f t="shared" si="31"/>
        <v>1w</v>
      </c>
      <c r="X1252" s="168">
        <f>_xll.qlCalendarAdvance(Calendar,X1251,W1252,"f",FALSE)</f>
        <v>47771</v>
      </c>
      <c r="Y1252" s="173">
        <f>_xll.qlCalendarAdvance(Calendar,X1252,NDays&amp;"D")</f>
        <v>47771</v>
      </c>
      <c r="Z1252" s="174">
        <v>2.2491419537868929E-2</v>
      </c>
      <c r="AA1252" s="177"/>
    </row>
    <row r="1253" spans="22:27" x14ac:dyDescent="0.2">
      <c r="V1253" s="163"/>
      <c r="W1253" s="158" t="str">
        <f t="shared" si="31"/>
        <v>1w</v>
      </c>
      <c r="X1253" s="168">
        <f>_xll.qlCalendarAdvance(Calendar,X1252,W1253,"f",FALSE)</f>
        <v>47778</v>
      </c>
      <c r="Y1253" s="173">
        <f>_xll.qlCalendarAdvance(Calendar,X1253,NDays&amp;"D")</f>
        <v>47778</v>
      </c>
      <c r="Z1253" s="174">
        <v>2.2503257197435955E-2</v>
      </c>
      <c r="AA1253" s="177"/>
    </row>
    <row r="1254" spans="22:27" x14ac:dyDescent="0.2">
      <c r="V1254" s="163"/>
      <c r="W1254" s="158" t="str">
        <f t="shared" si="31"/>
        <v>1w</v>
      </c>
      <c r="X1254" s="168">
        <f>_xll.qlCalendarAdvance(Calendar,X1253,W1254,"f",FALSE)</f>
        <v>47785</v>
      </c>
      <c r="Y1254" s="173">
        <f>_xll.qlCalendarAdvance(Calendar,X1254,NDays&amp;"D")</f>
        <v>47785</v>
      </c>
      <c r="Z1254" s="174">
        <v>2.2514983039070291E-2</v>
      </c>
      <c r="AA1254" s="177"/>
    </row>
    <row r="1255" spans="22:27" x14ac:dyDescent="0.2">
      <c r="V1255" s="163"/>
      <c r="W1255" s="158" t="str">
        <f t="shared" si="31"/>
        <v>1w</v>
      </c>
      <c r="X1255" s="168">
        <f>_xll.qlCalendarAdvance(Calendar,X1254,W1255,"f",FALSE)</f>
        <v>47792</v>
      </c>
      <c r="Y1255" s="173">
        <f>_xll.qlCalendarAdvance(Calendar,X1255,NDays&amp;"D")</f>
        <v>47792</v>
      </c>
      <c r="Z1255" s="174">
        <v>2.252659706269089E-2</v>
      </c>
      <c r="AA1255" s="177"/>
    </row>
    <row r="1256" spans="22:27" x14ac:dyDescent="0.2">
      <c r="V1256" s="163"/>
      <c r="W1256" s="158" t="str">
        <f t="shared" si="31"/>
        <v>1w</v>
      </c>
      <c r="X1256" s="168">
        <f>_xll.qlCalendarAdvance(Calendar,X1255,W1256,"f",FALSE)</f>
        <v>47799</v>
      </c>
      <c r="Y1256" s="173">
        <f>_xll.qlCalendarAdvance(Calendar,X1256,NDays&amp;"D")</f>
        <v>47799</v>
      </c>
      <c r="Z1256" s="174">
        <v>2.2538099268297751E-2</v>
      </c>
      <c r="AA1256" s="177"/>
    </row>
    <row r="1257" spans="22:27" x14ac:dyDescent="0.2">
      <c r="V1257" s="163"/>
      <c r="W1257" s="158" t="str">
        <f t="shared" si="31"/>
        <v>1w</v>
      </c>
      <c r="X1257" s="168">
        <f>_xll.qlCalendarAdvance(Calendar,X1256,W1257,"f",FALSE)</f>
        <v>47806</v>
      </c>
      <c r="Y1257" s="173">
        <f>_xll.qlCalendarAdvance(Calendar,X1257,NDays&amp;"D")</f>
        <v>47806</v>
      </c>
      <c r="Z1257" s="174">
        <v>2.2549489655890875E-2</v>
      </c>
      <c r="AA1257" s="177"/>
    </row>
    <row r="1258" spans="22:27" x14ac:dyDescent="0.2">
      <c r="V1258" s="163"/>
      <c r="W1258" s="158" t="str">
        <f t="shared" si="31"/>
        <v>1w</v>
      </c>
      <c r="X1258" s="168">
        <f>_xll.qlCalendarAdvance(Calendar,X1257,W1258,"f",FALSE)</f>
        <v>47813</v>
      </c>
      <c r="Y1258" s="173">
        <f>_xll.qlCalendarAdvance(Calendar,X1258,NDays&amp;"D")</f>
        <v>47813</v>
      </c>
      <c r="Z1258" s="174">
        <v>2.2560768225551309E-2</v>
      </c>
      <c r="AA1258" s="177"/>
    </row>
    <row r="1259" spans="22:27" x14ac:dyDescent="0.2">
      <c r="V1259" s="163"/>
      <c r="W1259" s="158" t="str">
        <f t="shared" si="31"/>
        <v>1w</v>
      </c>
      <c r="X1259" s="168">
        <f>_xll.qlCalendarAdvance(Calendar,X1258,W1259,"f",FALSE)</f>
        <v>47820</v>
      </c>
      <c r="Y1259" s="173">
        <f>_xll.qlCalendarAdvance(Calendar,X1259,NDays&amp;"D")</f>
        <v>47820</v>
      </c>
      <c r="Z1259" s="174">
        <v>2.2571934977198005E-2</v>
      </c>
      <c r="AA1259" s="177"/>
    </row>
    <row r="1260" spans="22:27" x14ac:dyDescent="0.2">
      <c r="V1260" s="163"/>
      <c r="W1260" s="158" t="str">
        <f t="shared" si="31"/>
        <v>1w</v>
      </c>
      <c r="X1260" s="168">
        <f>_xll.qlCalendarAdvance(Calendar,X1259,W1260,"f",FALSE)</f>
        <v>47827</v>
      </c>
      <c r="Y1260" s="173">
        <f>_xll.qlCalendarAdvance(Calendar,X1260,NDays&amp;"D")</f>
        <v>47827</v>
      </c>
      <c r="Z1260" s="174">
        <v>2.2582989910668871E-2</v>
      </c>
      <c r="AA1260" s="177"/>
    </row>
    <row r="1261" spans="22:27" x14ac:dyDescent="0.2">
      <c r="V1261" s="163"/>
      <c r="W1261" s="158" t="str">
        <f t="shared" si="31"/>
        <v>1w</v>
      </c>
      <c r="X1261" s="168">
        <f>_xll.qlCalendarAdvance(Calendar,X1260,W1261,"f",FALSE)</f>
        <v>47834</v>
      </c>
      <c r="Y1261" s="173">
        <f>_xll.qlCalendarAdvance(Calendar,X1261,NDays&amp;"D")</f>
        <v>47834</v>
      </c>
      <c r="Z1261" s="174">
        <v>2.2593933026207047E-2</v>
      </c>
      <c r="AA1261" s="177"/>
    </row>
    <row r="1262" spans="22:27" x14ac:dyDescent="0.2">
      <c r="V1262" s="163"/>
      <c r="W1262" s="158" t="str">
        <f t="shared" si="31"/>
        <v>1w</v>
      </c>
      <c r="X1262" s="168">
        <f>_xll.qlCalendarAdvance(Calendar,X1261,W1262,"f",FALSE)</f>
        <v>47841</v>
      </c>
      <c r="Y1262" s="173">
        <f>_xll.qlCalendarAdvance(Calendar,X1262,NDays&amp;"D")</f>
        <v>47841</v>
      </c>
      <c r="Z1262" s="174">
        <v>2.2604764323650439E-2</v>
      </c>
      <c r="AA1262" s="177"/>
    </row>
    <row r="1263" spans="22:27" x14ac:dyDescent="0.2">
      <c r="V1263" s="163"/>
      <c r="W1263" s="158" t="str">
        <f t="shared" si="31"/>
        <v>1w</v>
      </c>
      <c r="X1263" s="168">
        <f>_xll.qlCalendarAdvance(Calendar,X1262,W1263,"f",FALSE)</f>
        <v>47854</v>
      </c>
      <c r="Y1263" s="173">
        <f>_xll.qlCalendarAdvance(Calendar,X1263,NDays&amp;"D")</f>
        <v>47854</v>
      </c>
      <c r="Z1263" s="174">
        <v>2.2624582930134141E-2</v>
      </c>
      <c r="AA1263" s="177"/>
    </row>
    <row r="1264" spans="22:27" x14ac:dyDescent="0.2">
      <c r="V1264" s="163"/>
      <c r="W1264" s="158" t="str">
        <f t="shared" si="31"/>
        <v>1w</v>
      </c>
      <c r="X1264" s="168">
        <f>_xll.qlCalendarAdvance(Calendar,X1263,W1264,"f",FALSE)</f>
        <v>47862</v>
      </c>
      <c r="Y1264" s="173">
        <f>_xll.qlCalendarAdvance(Calendar,X1264,NDays&amp;"D")</f>
        <v>47862</v>
      </c>
      <c r="Z1264" s="174">
        <v>2.2636587307574008E-2</v>
      </c>
      <c r="AA1264" s="177"/>
    </row>
    <row r="1265" spans="22:27" x14ac:dyDescent="0.2">
      <c r="V1265" s="163"/>
      <c r="W1265" s="158" t="str">
        <f t="shared" si="31"/>
        <v>1w</v>
      </c>
      <c r="X1265" s="168">
        <f>_xll.qlCalendarAdvance(Calendar,X1264,W1265,"f",FALSE)</f>
        <v>47869</v>
      </c>
      <c r="Y1265" s="173">
        <f>_xll.qlCalendarAdvance(Calendar,X1265,NDays&amp;"D")</f>
        <v>47869</v>
      </c>
      <c r="Z1265" s="174">
        <v>2.2646971332638266E-2</v>
      </c>
      <c r="AA1265" s="177"/>
    </row>
    <row r="1266" spans="22:27" x14ac:dyDescent="0.2">
      <c r="V1266" s="163"/>
      <c r="W1266" s="158" t="str">
        <f t="shared" si="31"/>
        <v>1w</v>
      </c>
      <c r="X1266" s="168">
        <f>_xll.qlCalendarAdvance(Calendar,X1265,W1266,"f",FALSE)</f>
        <v>47876</v>
      </c>
      <c r="Y1266" s="173">
        <f>_xll.qlCalendarAdvance(Calendar,X1266,NDays&amp;"D")</f>
        <v>47876</v>
      </c>
      <c r="Z1266" s="174">
        <v>2.2657243539688787E-2</v>
      </c>
      <c r="AA1266" s="177"/>
    </row>
    <row r="1267" spans="22:27" x14ac:dyDescent="0.2">
      <c r="V1267" s="163"/>
      <c r="W1267" s="158" t="str">
        <f t="shared" si="31"/>
        <v>1w</v>
      </c>
      <c r="X1267" s="168">
        <f>_xll.qlCalendarAdvance(Calendar,X1266,W1267,"f",FALSE)</f>
        <v>47883</v>
      </c>
      <c r="Y1267" s="173">
        <f>_xll.qlCalendarAdvance(Calendar,X1267,NDays&amp;"D")</f>
        <v>47883</v>
      </c>
      <c r="Z1267" s="174">
        <v>2.2667403928563479E-2</v>
      </c>
      <c r="AA1267" s="177"/>
    </row>
    <row r="1268" spans="22:27" x14ac:dyDescent="0.2">
      <c r="V1268" s="163"/>
      <c r="W1268" s="158" t="str">
        <f t="shared" si="31"/>
        <v>1w</v>
      </c>
      <c r="X1268" s="168">
        <f>_xll.qlCalendarAdvance(Calendar,X1267,W1268,"f",FALSE)</f>
        <v>47891</v>
      </c>
      <c r="Y1268" s="173">
        <f>_xll.qlCalendarAdvance(Calendar,X1268,NDays&amp;"D")</f>
        <v>47891</v>
      </c>
      <c r="Z1268" s="174">
        <v>2.2678878881385867E-2</v>
      </c>
      <c r="AA1268" s="177"/>
    </row>
    <row r="1269" spans="22:27" x14ac:dyDescent="0.2">
      <c r="V1269" s="163"/>
      <c r="W1269" s="158" t="str">
        <f t="shared" si="31"/>
        <v>1w</v>
      </c>
      <c r="X1269" s="168">
        <f>_xll.qlCalendarAdvance(Calendar,X1268,W1269,"f",FALSE)</f>
        <v>47898</v>
      </c>
      <c r="Y1269" s="173">
        <f>_xll.qlCalendarAdvance(Calendar,X1269,NDays&amp;"D")</f>
        <v>47898</v>
      </c>
      <c r="Z1269" s="174">
        <v>2.2688799660011139E-2</v>
      </c>
      <c r="AA1269" s="177"/>
    </row>
    <row r="1270" spans="22:27" x14ac:dyDescent="0.2">
      <c r="V1270" s="163"/>
      <c r="W1270" s="158" t="str">
        <f t="shared" si="31"/>
        <v>1w</v>
      </c>
      <c r="X1270" s="168">
        <f>_xll.qlCalendarAdvance(Calendar,X1269,W1270,"f",FALSE)</f>
        <v>47905</v>
      </c>
      <c r="Y1270" s="173">
        <f>_xll.qlCalendarAdvance(Calendar,X1270,NDays&amp;"D")</f>
        <v>47905</v>
      </c>
      <c r="Z1270" s="174">
        <v>2.2698608620460581E-2</v>
      </c>
      <c r="AA1270" s="177"/>
    </row>
    <row r="1271" spans="22:27" x14ac:dyDescent="0.2">
      <c r="V1271" s="163"/>
      <c r="W1271" s="158" t="str">
        <f t="shared" si="31"/>
        <v>1w</v>
      </c>
      <c r="X1271" s="168">
        <f>_xll.qlCalendarAdvance(Calendar,X1270,W1271,"f",FALSE)</f>
        <v>47912</v>
      </c>
      <c r="Y1271" s="173">
        <f>_xll.qlCalendarAdvance(Calendar,X1271,NDays&amp;"D")</f>
        <v>47912</v>
      </c>
      <c r="Z1271" s="174">
        <v>2.270830576281524E-2</v>
      </c>
      <c r="AA1271" s="177"/>
    </row>
    <row r="1272" spans="22:27" x14ac:dyDescent="0.2">
      <c r="V1272" s="163"/>
      <c r="W1272" s="158" t="str">
        <f t="shared" si="31"/>
        <v>1w</v>
      </c>
      <c r="X1272" s="168">
        <f>_xll.qlCalendarAdvance(Calendar,X1271,W1272,"f",FALSE)</f>
        <v>47919</v>
      </c>
      <c r="Y1272" s="173">
        <f>_xll.qlCalendarAdvance(Calendar,X1272,NDays&amp;"D")</f>
        <v>47919</v>
      </c>
      <c r="Z1272" s="174">
        <v>2.2717891086913022E-2</v>
      </c>
      <c r="AA1272" s="177"/>
    </row>
    <row r="1273" spans="22:27" x14ac:dyDescent="0.2">
      <c r="V1273" s="163"/>
      <c r="W1273" s="158" t="str">
        <f t="shared" si="31"/>
        <v>1w</v>
      </c>
      <c r="X1273" s="168">
        <f>_xll.qlCalendarAdvance(Calendar,X1272,W1273,"f",FALSE)</f>
        <v>47926</v>
      </c>
      <c r="Y1273" s="173">
        <f>_xll.qlCalendarAdvance(Calendar,X1273,NDays&amp;"D")</f>
        <v>47926</v>
      </c>
      <c r="Z1273" s="174">
        <v>2.2727364592916022E-2</v>
      </c>
      <c r="AA1273" s="177"/>
    </row>
    <row r="1274" spans="22:27" x14ac:dyDescent="0.2">
      <c r="V1274" s="163"/>
      <c r="W1274" s="158" t="str">
        <f t="shared" si="31"/>
        <v>1w</v>
      </c>
      <c r="X1274" s="168">
        <f>_xll.qlCalendarAdvance(Calendar,X1273,W1274,"f",FALSE)</f>
        <v>47933</v>
      </c>
      <c r="Y1274" s="173">
        <f>_xll.qlCalendarAdvance(Calendar,X1274,NDays&amp;"D")</f>
        <v>47933</v>
      </c>
      <c r="Z1274" s="174">
        <v>2.2736726280743191E-2</v>
      </c>
      <c r="AA1274" s="177"/>
    </row>
    <row r="1275" spans="22:27" x14ac:dyDescent="0.2">
      <c r="V1275" s="163"/>
      <c r="W1275" s="158" t="str">
        <f t="shared" si="31"/>
        <v>1w</v>
      </c>
      <c r="X1275" s="168">
        <f>_xll.qlCalendarAdvance(Calendar,X1274,W1275,"f",FALSE)</f>
        <v>47940</v>
      </c>
      <c r="Y1275" s="173">
        <f>_xll.qlCalendarAdvance(Calendar,X1275,NDays&amp;"D")</f>
        <v>47940</v>
      </c>
      <c r="Z1275" s="174">
        <v>2.2745976150313485E-2</v>
      </c>
      <c r="AA1275" s="177"/>
    </row>
    <row r="1276" spans="22:27" x14ac:dyDescent="0.2">
      <c r="V1276" s="163"/>
      <c r="W1276" s="158" t="str">
        <f t="shared" si="31"/>
        <v>1w</v>
      </c>
      <c r="X1276" s="168">
        <f>_xll.qlCalendarAdvance(Calendar,X1275,W1276,"f",FALSE)</f>
        <v>47947</v>
      </c>
      <c r="Y1276" s="173">
        <f>_xll.qlCalendarAdvance(Calendar,X1276,NDays&amp;"D")</f>
        <v>47947</v>
      </c>
      <c r="Z1276" s="174">
        <v>2.2755114201788995E-2</v>
      </c>
      <c r="AA1276" s="177"/>
    </row>
    <row r="1277" spans="22:27" x14ac:dyDescent="0.2">
      <c r="V1277" s="163"/>
      <c r="W1277" s="158" t="str">
        <f t="shared" si="31"/>
        <v>1w</v>
      </c>
      <c r="X1277" s="168">
        <f>_xll.qlCalendarAdvance(Calendar,X1276,W1277,"f",FALSE)</f>
        <v>47954</v>
      </c>
      <c r="Y1277" s="173">
        <f>_xll.qlCalendarAdvance(Calendar,X1277,NDays&amp;"D")</f>
        <v>47954</v>
      </c>
      <c r="Z1277" s="174">
        <v>2.2764140435007629E-2</v>
      </c>
      <c r="AA1277" s="177"/>
    </row>
    <row r="1278" spans="22:27" x14ac:dyDescent="0.2">
      <c r="V1278" s="163"/>
      <c r="W1278" s="158" t="str">
        <f t="shared" si="31"/>
        <v>1w</v>
      </c>
      <c r="X1278" s="168">
        <f>_xll.qlCalendarAdvance(Calendar,X1277,W1278,"f",FALSE)</f>
        <v>47961</v>
      </c>
      <c r="Y1278" s="173">
        <f>_xll.qlCalendarAdvance(Calendar,X1278,NDays&amp;"D")</f>
        <v>47961</v>
      </c>
      <c r="Z1278" s="174">
        <v>2.2773054849888341E-2</v>
      </c>
      <c r="AA1278" s="177"/>
    </row>
    <row r="1279" spans="22:27" x14ac:dyDescent="0.2">
      <c r="V1279" s="163"/>
      <c r="W1279" s="158" t="str">
        <f t="shared" si="31"/>
        <v>1w</v>
      </c>
      <c r="X1279" s="168">
        <f>_xll.qlCalendarAdvance(Calendar,X1278,W1279,"f",FALSE)</f>
        <v>47968</v>
      </c>
      <c r="Y1279" s="173">
        <f>_xll.qlCalendarAdvance(Calendar,X1279,NDays&amp;"D")</f>
        <v>47968</v>
      </c>
      <c r="Z1279" s="174">
        <v>2.278185744667427E-2</v>
      </c>
      <c r="AA1279" s="177"/>
    </row>
    <row r="1280" spans="22:27" x14ac:dyDescent="0.2">
      <c r="V1280" s="163"/>
      <c r="W1280" s="158" t="str">
        <f t="shared" si="31"/>
        <v>1w</v>
      </c>
      <c r="X1280" s="168">
        <f>_xll.qlCalendarAdvance(Calendar,X1279,W1280,"f",FALSE)</f>
        <v>47975</v>
      </c>
      <c r="Y1280" s="173">
        <f>_xll.qlCalendarAdvance(Calendar,X1280,NDays&amp;"D")</f>
        <v>47975</v>
      </c>
      <c r="Z1280" s="174">
        <v>2.2790548225203322E-2</v>
      </c>
      <c r="AA1280" s="177"/>
    </row>
    <row r="1281" spans="22:27" x14ac:dyDescent="0.2">
      <c r="V1281" s="163"/>
      <c r="W1281" s="158" t="str">
        <f t="shared" si="31"/>
        <v>1w</v>
      </c>
      <c r="X1281" s="168">
        <f>_xll.qlCalendarAdvance(Calendar,X1280,W1281,"f",FALSE)</f>
        <v>47982</v>
      </c>
      <c r="Y1281" s="173">
        <f>_xll.qlCalendarAdvance(Calendar,X1281,NDays&amp;"D")</f>
        <v>47982</v>
      </c>
      <c r="Z1281" s="174">
        <v>2.2799127185475498E-2</v>
      </c>
      <c r="AA1281" s="177"/>
    </row>
    <row r="1282" spans="22:27" x14ac:dyDescent="0.2">
      <c r="V1282" s="163"/>
      <c r="W1282" s="158" t="str">
        <f t="shared" si="31"/>
        <v>1w</v>
      </c>
      <c r="X1282" s="168">
        <f>_xll.qlCalendarAdvance(Calendar,X1281,W1282,"f",FALSE)</f>
        <v>47989</v>
      </c>
      <c r="Y1282" s="173">
        <f>_xll.qlCalendarAdvance(Calendar,X1282,NDays&amp;"D")</f>
        <v>47989</v>
      </c>
      <c r="Z1282" s="174">
        <v>2.2807594327571845E-2</v>
      </c>
      <c r="AA1282" s="177"/>
    </row>
    <row r="1283" spans="22:27" x14ac:dyDescent="0.2">
      <c r="V1283" s="163"/>
      <c r="W1283" s="158" t="str">
        <f t="shared" si="31"/>
        <v>1w</v>
      </c>
      <c r="X1283" s="168">
        <f>_xll.qlCalendarAdvance(Calendar,X1282,W1283,"f",FALSE)</f>
        <v>47996</v>
      </c>
      <c r="Y1283" s="173">
        <f>_xll.qlCalendarAdvance(Calendar,X1283,NDays&amp;"D")</f>
        <v>47996</v>
      </c>
      <c r="Z1283" s="174">
        <v>2.281594965133027E-2</v>
      </c>
      <c r="AA1283" s="177"/>
    </row>
    <row r="1284" spans="22:27" x14ac:dyDescent="0.2">
      <c r="V1284" s="163"/>
      <c r="W1284" s="158" t="str">
        <f t="shared" si="31"/>
        <v>1w</v>
      </c>
      <c r="X1284" s="168">
        <f>_xll.qlCalendarAdvance(Calendar,X1283,W1284,"f",FALSE)</f>
        <v>48003</v>
      </c>
      <c r="Y1284" s="173">
        <f>_xll.qlCalendarAdvance(Calendar,X1284,NDays&amp;"D")</f>
        <v>48003</v>
      </c>
      <c r="Z1284" s="174">
        <v>2.2824193156912864E-2</v>
      </c>
      <c r="AA1284" s="177"/>
    </row>
    <row r="1285" spans="22:27" x14ac:dyDescent="0.2">
      <c r="V1285" s="163"/>
      <c r="W1285" s="158" t="str">
        <f t="shared" si="31"/>
        <v>1w</v>
      </c>
      <c r="X1285" s="168">
        <f>_xll.qlCalendarAdvance(Calendar,X1284,W1285,"f",FALSE)</f>
        <v>48010</v>
      </c>
      <c r="Y1285" s="173">
        <f>_xll.qlCalendarAdvance(Calendar,X1285,NDays&amp;"D")</f>
        <v>48010</v>
      </c>
      <c r="Z1285" s="174">
        <v>2.2832324844157537E-2</v>
      </c>
      <c r="AA1285" s="177"/>
    </row>
    <row r="1286" spans="22:27" x14ac:dyDescent="0.2">
      <c r="V1286" s="163"/>
      <c r="W1286" s="158" t="str">
        <f t="shared" si="31"/>
        <v>1w</v>
      </c>
      <c r="X1286" s="168">
        <f>_xll.qlCalendarAdvance(Calendar,X1285,W1286,"f",FALSE)</f>
        <v>48017</v>
      </c>
      <c r="Y1286" s="173">
        <f>_xll.qlCalendarAdvance(Calendar,X1286,NDays&amp;"D")</f>
        <v>48017</v>
      </c>
      <c r="Z1286" s="174">
        <v>2.2840344713145333E-2</v>
      </c>
      <c r="AA1286" s="177"/>
    </row>
    <row r="1287" spans="22:27" x14ac:dyDescent="0.2">
      <c r="V1287" s="163"/>
      <c r="W1287" s="158" t="str">
        <f t="shared" si="31"/>
        <v>1w</v>
      </c>
      <c r="X1287" s="168">
        <f>_xll.qlCalendarAdvance(Calendar,X1286,W1287,"f",FALSE)</f>
        <v>48024</v>
      </c>
      <c r="Y1287" s="173">
        <f>_xll.qlCalendarAdvance(Calendar,X1287,NDays&amp;"D")</f>
        <v>48024</v>
      </c>
      <c r="Z1287" s="174">
        <v>2.2848252763795207E-2</v>
      </c>
      <c r="AA1287" s="177"/>
    </row>
    <row r="1288" spans="22:27" x14ac:dyDescent="0.2">
      <c r="V1288" s="163"/>
      <c r="W1288" s="158" t="str">
        <f t="shared" si="31"/>
        <v>1w</v>
      </c>
      <c r="X1288" s="168">
        <f>_xll.qlCalendarAdvance(Calendar,X1287,W1288,"f",FALSE)</f>
        <v>48031</v>
      </c>
      <c r="Y1288" s="173">
        <f>_xll.qlCalendarAdvance(Calendar,X1288,NDays&amp;"D")</f>
        <v>48031</v>
      </c>
      <c r="Z1288" s="174">
        <v>2.2856048996269251E-2</v>
      </c>
      <c r="AA1288" s="177"/>
    </row>
    <row r="1289" spans="22:27" x14ac:dyDescent="0.2">
      <c r="V1289" s="163"/>
      <c r="W1289" s="158" t="str">
        <f t="shared" si="31"/>
        <v>1w</v>
      </c>
      <c r="X1289" s="168">
        <f>_xll.qlCalendarAdvance(Calendar,X1288,W1289,"f",FALSE)</f>
        <v>48038</v>
      </c>
      <c r="Y1289" s="173">
        <f>_xll.qlCalendarAdvance(Calendar,X1289,NDays&amp;"D")</f>
        <v>48038</v>
      </c>
      <c r="Z1289" s="174">
        <v>2.2863733410324327E-2</v>
      </c>
      <c r="AA1289" s="177"/>
    </row>
    <row r="1290" spans="22:27" x14ac:dyDescent="0.2">
      <c r="V1290" s="163"/>
      <c r="W1290" s="158" t="str">
        <f t="shared" si="31"/>
        <v>1w</v>
      </c>
      <c r="X1290" s="168">
        <f>_xll.qlCalendarAdvance(Calendar,X1289,W1290,"f",FALSE)</f>
        <v>48045</v>
      </c>
      <c r="Y1290" s="173">
        <f>_xll.qlCalendarAdvance(Calendar,X1290,NDays&amp;"D")</f>
        <v>48045</v>
      </c>
      <c r="Z1290" s="174">
        <v>2.2871306006122527E-2</v>
      </c>
      <c r="AA1290" s="177"/>
    </row>
    <row r="1291" spans="22:27" x14ac:dyDescent="0.2">
      <c r="V1291" s="163"/>
      <c r="W1291" s="158" t="str">
        <f t="shared" si="31"/>
        <v>1w</v>
      </c>
      <c r="X1291" s="168">
        <f>_xll.qlCalendarAdvance(Calendar,X1290,W1291,"f",FALSE)</f>
        <v>48052</v>
      </c>
      <c r="Y1291" s="173">
        <f>_xll.qlCalendarAdvance(Calendar,X1291,NDays&amp;"D")</f>
        <v>48052</v>
      </c>
      <c r="Z1291" s="174">
        <v>2.2878766783663851E-2</v>
      </c>
      <c r="AA1291" s="177"/>
    </row>
    <row r="1292" spans="22:27" x14ac:dyDescent="0.2">
      <c r="V1292" s="163"/>
      <c r="W1292" s="158" t="str">
        <f t="shared" si="31"/>
        <v>1w</v>
      </c>
      <c r="X1292" s="168">
        <f>_xll.qlCalendarAdvance(Calendar,X1291,W1292,"f",FALSE)</f>
        <v>48059</v>
      </c>
      <c r="Y1292" s="173">
        <f>_xll.qlCalendarAdvance(Calendar,X1292,NDays&amp;"D")</f>
        <v>48059</v>
      </c>
      <c r="Z1292" s="174">
        <v>2.2886115742786206E-2</v>
      </c>
      <c r="AA1292" s="177"/>
    </row>
    <row r="1293" spans="22:27" x14ac:dyDescent="0.2">
      <c r="V1293" s="163"/>
      <c r="W1293" s="158" t="str">
        <f t="shared" ref="W1293:W1356" si="32">W1292</f>
        <v>1w</v>
      </c>
      <c r="X1293" s="168">
        <f>_xll.qlCalendarAdvance(Calendar,X1292,W1293,"f",FALSE)</f>
        <v>48066</v>
      </c>
      <c r="Y1293" s="173">
        <f>_xll.qlCalendarAdvance(Calendar,X1293,NDays&amp;"D")</f>
        <v>48066</v>
      </c>
      <c r="Z1293" s="174">
        <v>2.2893352883570639E-2</v>
      </c>
      <c r="AA1293" s="177"/>
    </row>
    <row r="1294" spans="22:27" x14ac:dyDescent="0.2">
      <c r="V1294" s="163"/>
      <c r="W1294" s="158" t="str">
        <f t="shared" si="32"/>
        <v>1w</v>
      </c>
      <c r="X1294" s="168">
        <f>_xll.qlCalendarAdvance(Calendar,X1293,W1294,"f",FALSE)</f>
        <v>48073</v>
      </c>
      <c r="Y1294" s="173">
        <f>_xll.qlCalendarAdvance(Calendar,X1294,NDays&amp;"D")</f>
        <v>48073</v>
      </c>
      <c r="Z1294" s="174">
        <v>2.2900478206179242E-2</v>
      </c>
      <c r="AA1294" s="177"/>
    </row>
    <row r="1295" spans="22:27" x14ac:dyDescent="0.2">
      <c r="V1295" s="163"/>
      <c r="W1295" s="158" t="str">
        <f t="shared" si="32"/>
        <v>1w</v>
      </c>
      <c r="X1295" s="168">
        <f>_xll.qlCalendarAdvance(Calendar,X1294,W1295,"f",FALSE)</f>
        <v>48080</v>
      </c>
      <c r="Y1295" s="173">
        <f>_xll.qlCalendarAdvance(Calendar,X1295,NDays&amp;"D")</f>
        <v>48080</v>
      </c>
      <c r="Z1295" s="174">
        <v>2.2907491710287831E-2</v>
      </c>
      <c r="AA1295" s="177"/>
    </row>
    <row r="1296" spans="22:27" x14ac:dyDescent="0.2">
      <c r="V1296" s="163"/>
      <c r="W1296" s="158" t="str">
        <f t="shared" si="32"/>
        <v>1w</v>
      </c>
      <c r="X1296" s="168">
        <f>_xll.qlCalendarAdvance(Calendar,X1295,W1296,"f",FALSE)</f>
        <v>48087</v>
      </c>
      <c r="Y1296" s="173">
        <f>_xll.qlCalendarAdvance(Calendar,X1296,NDays&amp;"D")</f>
        <v>48087</v>
      </c>
      <c r="Z1296" s="174">
        <v>2.2914393396058497E-2</v>
      </c>
      <c r="AA1296" s="177"/>
    </row>
    <row r="1297" spans="22:27" x14ac:dyDescent="0.2">
      <c r="V1297" s="163"/>
      <c r="W1297" s="158" t="str">
        <f t="shared" si="32"/>
        <v>1w</v>
      </c>
      <c r="X1297" s="168">
        <f>_xll.qlCalendarAdvance(Calendar,X1296,W1297,"f",FALSE)</f>
        <v>48094</v>
      </c>
      <c r="Y1297" s="173">
        <f>_xll.qlCalendarAdvance(Calendar,X1297,NDays&amp;"D")</f>
        <v>48094</v>
      </c>
      <c r="Z1297" s="174">
        <v>2.2921183263572287E-2</v>
      </c>
      <c r="AA1297" s="177"/>
    </row>
    <row r="1298" spans="22:27" x14ac:dyDescent="0.2">
      <c r="V1298" s="163"/>
      <c r="W1298" s="158" t="str">
        <f t="shared" si="32"/>
        <v>1w</v>
      </c>
      <c r="X1298" s="168">
        <f>_xll.qlCalendarAdvance(Calendar,X1297,W1298,"f",FALSE)</f>
        <v>48101</v>
      </c>
      <c r="Y1298" s="173">
        <f>_xll.qlCalendarAdvance(Calendar,X1298,NDays&amp;"D")</f>
        <v>48101</v>
      </c>
      <c r="Z1298" s="174">
        <v>2.2927861312667108E-2</v>
      </c>
      <c r="AA1298" s="177"/>
    </row>
    <row r="1299" spans="22:27" x14ac:dyDescent="0.2">
      <c r="V1299" s="163"/>
      <c r="W1299" s="158" t="str">
        <f t="shared" si="32"/>
        <v>1w</v>
      </c>
      <c r="X1299" s="168">
        <f>_xll.qlCalendarAdvance(Calendar,X1298,W1299,"f",FALSE)</f>
        <v>48108</v>
      </c>
      <c r="Y1299" s="173">
        <f>_xll.qlCalendarAdvance(Calendar,X1299,NDays&amp;"D")</f>
        <v>48108</v>
      </c>
      <c r="Z1299" s="174">
        <v>2.2934427543424007E-2</v>
      </c>
      <c r="AA1299" s="177"/>
    </row>
    <row r="1300" spans="22:27" x14ac:dyDescent="0.2">
      <c r="V1300" s="163"/>
      <c r="W1300" s="158" t="str">
        <f t="shared" si="32"/>
        <v>1w</v>
      </c>
      <c r="X1300" s="168">
        <f>_xll.qlCalendarAdvance(Calendar,X1299,W1300,"f",FALSE)</f>
        <v>48115</v>
      </c>
      <c r="Y1300" s="173">
        <f>_xll.qlCalendarAdvance(Calendar,X1300,NDays&amp;"D")</f>
        <v>48115</v>
      </c>
      <c r="Z1300" s="174">
        <v>2.2940881955842984E-2</v>
      </c>
      <c r="AA1300" s="177"/>
    </row>
    <row r="1301" spans="22:27" x14ac:dyDescent="0.2">
      <c r="V1301" s="163"/>
      <c r="W1301" s="158" t="str">
        <f t="shared" si="32"/>
        <v>1w</v>
      </c>
      <c r="X1301" s="168">
        <f>_xll.qlCalendarAdvance(Calendar,X1300,W1301,"f",FALSE)</f>
        <v>48122</v>
      </c>
      <c r="Y1301" s="173">
        <f>_xll.qlCalendarAdvance(Calendar,X1301,NDays&amp;"D")</f>
        <v>48122</v>
      </c>
      <c r="Z1301" s="174">
        <v>2.2947224549842993E-2</v>
      </c>
      <c r="AA1301" s="177"/>
    </row>
    <row r="1302" spans="22:27" x14ac:dyDescent="0.2">
      <c r="V1302" s="163"/>
      <c r="W1302" s="158" t="str">
        <f t="shared" si="32"/>
        <v>1w</v>
      </c>
      <c r="X1302" s="168">
        <f>_xll.qlCalendarAdvance(Calendar,X1301,W1302,"f",FALSE)</f>
        <v>48129</v>
      </c>
      <c r="Y1302" s="173">
        <f>_xll.qlCalendarAdvance(Calendar,X1302,NDays&amp;"D")</f>
        <v>48129</v>
      </c>
      <c r="Z1302" s="174">
        <v>2.2953455325424033E-2</v>
      </c>
      <c r="AA1302" s="177"/>
    </row>
    <row r="1303" spans="22:27" x14ac:dyDescent="0.2">
      <c r="V1303" s="163"/>
      <c r="W1303" s="158" t="str">
        <f t="shared" si="32"/>
        <v>1w</v>
      </c>
      <c r="X1303" s="168">
        <f>_xll.qlCalendarAdvance(Calendar,X1302,W1303,"f",FALSE)</f>
        <v>48136</v>
      </c>
      <c r="Y1303" s="173">
        <f>_xll.qlCalendarAdvance(Calendar,X1303,NDays&amp;"D")</f>
        <v>48136</v>
      </c>
      <c r="Z1303" s="174">
        <v>2.295957428266715E-2</v>
      </c>
      <c r="AA1303" s="177"/>
    </row>
    <row r="1304" spans="22:27" x14ac:dyDescent="0.2">
      <c r="V1304" s="163"/>
      <c r="W1304" s="158" t="str">
        <f t="shared" si="32"/>
        <v>1w</v>
      </c>
      <c r="X1304" s="168">
        <f>_xll.qlCalendarAdvance(Calendar,X1303,W1304,"f",FALSE)</f>
        <v>48143</v>
      </c>
      <c r="Y1304" s="173">
        <f>_xll.qlCalendarAdvance(Calendar,X1304,NDays&amp;"D")</f>
        <v>48143</v>
      </c>
      <c r="Z1304" s="174">
        <v>2.2965581421491299E-2</v>
      </c>
      <c r="AA1304" s="177"/>
    </row>
    <row r="1305" spans="22:27" x14ac:dyDescent="0.2">
      <c r="V1305" s="163"/>
      <c r="W1305" s="158" t="str">
        <f t="shared" si="32"/>
        <v>1w</v>
      </c>
      <c r="X1305" s="168">
        <f>_xll.qlCalendarAdvance(Calendar,X1304,W1305,"f",FALSE)</f>
        <v>48150</v>
      </c>
      <c r="Y1305" s="173">
        <f>_xll.qlCalendarAdvance(Calendar,X1305,NDays&amp;"D")</f>
        <v>48150</v>
      </c>
      <c r="Z1305" s="174">
        <v>2.2971476741896479E-2</v>
      </c>
      <c r="AA1305" s="177"/>
    </row>
    <row r="1306" spans="22:27" x14ac:dyDescent="0.2">
      <c r="V1306" s="163"/>
      <c r="W1306" s="158" t="str">
        <f t="shared" si="32"/>
        <v>1w</v>
      </c>
      <c r="X1306" s="168">
        <f>_xll.qlCalendarAdvance(Calendar,X1305,W1306,"f",FALSE)</f>
        <v>48157</v>
      </c>
      <c r="Y1306" s="173">
        <f>_xll.qlCalendarAdvance(Calendar,X1306,NDays&amp;"D")</f>
        <v>48157</v>
      </c>
      <c r="Z1306" s="174">
        <v>2.2977260243963737E-2</v>
      </c>
      <c r="AA1306" s="177"/>
    </row>
    <row r="1307" spans="22:27" x14ac:dyDescent="0.2">
      <c r="V1307" s="163"/>
      <c r="W1307" s="158" t="str">
        <f t="shared" si="32"/>
        <v>1w</v>
      </c>
      <c r="X1307" s="168">
        <f>_xll.qlCalendarAdvance(Calendar,X1306,W1307,"f",FALSE)</f>
        <v>48164</v>
      </c>
      <c r="Y1307" s="173">
        <f>_xll.qlCalendarAdvance(Calendar,X1307,NDays&amp;"D")</f>
        <v>48164</v>
      </c>
      <c r="Z1307" s="174">
        <v>2.2982931927530981E-2</v>
      </c>
      <c r="AA1307" s="177"/>
    </row>
    <row r="1308" spans="22:27" x14ac:dyDescent="0.2">
      <c r="V1308" s="163"/>
      <c r="W1308" s="158" t="str">
        <f t="shared" si="32"/>
        <v>1w</v>
      </c>
      <c r="X1308" s="168">
        <f>_xll.qlCalendarAdvance(Calendar,X1307,W1308,"f",FALSE)</f>
        <v>48171</v>
      </c>
      <c r="Y1308" s="173">
        <f>_xll.qlCalendarAdvance(Calendar,X1308,NDays&amp;"D")</f>
        <v>48171</v>
      </c>
      <c r="Z1308" s="174">
        <v>2.2988491792760302E-2</v>
      </c>
      <c r="AA1308" s="177"/>
    </row>
    <row r="1309" spans="22:27" x14ac:dyDescent="0.2">
      <c r="V1309" s="163"/>
      <c r="W1309" s="158" t="str">
        <f t="shared" si="32"/>
        <v>1w</v>
      </c>
      <c r="X1309" s="168">
        <f>_xll.qlCalendarAdvance(Calendar,X1308,W1309,"f",FALSE)</f>
        <v>48178</v>
      </c>
      <c r="Y1309" s="173">
        <f>_xll.qlCalendarAdvance(Calendar,X1309,NDays&amp;"D")</f>
        <v>48178</v>
      </c>
      <c r="Z1309" s="174">
        <v>2.2993939839489608E-2</v>
      </c>
      <c r="AA1309" s="177"/>
    </row>
    <row r="1310" spans="22:27" x14ac:dyDescent="0.2">
      <c r="V1310" s="163"/>
      <c r="W1310" s="158" t="str">
        <f t="shared" si="32"/>
        <v>1w</v>
      </c>
      <c r="X1310" s="168">
        <f>_xll.qlCalendarAdvance(Calendar,X1309,W1310,"f",FALSE)</f>
        <v>48185</v>
      </c>
      <c r="Y1310" s="173">
        <f>_xll.qlCalendarAdvance(Calendar,X1310,NDays&amp;"D")</f>
        <v>48185</v>
      </c>
      <c r="Z1310" s="174">
        <v>2.2999276067880992E-2</v>
      </c>
      <c r="AA1310" s="177"/>
    </row>
    <row r="1311" spans="22:27" x14ac:dyDescent="0.2">
      <c r="V1311" s="163"/>
      <c r="W1311" s="158" t="str">
        <f t="shared" si="32"/>
        <v>1w</v>
      </c>
      <c r="X1311" s="168">
        <f>_xll.qlCalendarAdvance(Calendar,X1310,W1311,"f",FALSE)</f>
        <v>48192</v>
      </c>
      <c r="Y1311" s="173">
        <f>_xll.qlCalendarAdvance(Calendar,X1311,NDays&amp;"D")</f>
        <v>48192</v>
      </c>
      <c r="Z1311" s="174">
        <v>2.3004500477772361E-2</v>
      </c>
      <c r="AA1311" s="177"/>
    </row>
    <row r="1312" spans="22:27" x14ac:dyDescent="0.2">
      <c r="V1312" s="163"/>
      <c r="W1312" s="158" t="str">
        <f t="shared" si="32"/>
        <v>1w</v>
      </c>
      <c r="X1312" s="168">
        <f>_xll.qlCalendarAdvance(Calendar,X1311,W1312,"f",FALSE)</f>
        <v>48199</v>
      </c>
      <c r="Y1312" s="173">
        <f>_xll.qlCalendarAdvance(Calendar,X1312,NDays&amp;"D")</f>
        <v>48199</v>
      </c>
      <c r="Z1312" s="174">
        <v>2.3009613069325807E-2</v>
      </c>
      <c r="AA1312" s="177"/>
    </row>
    <row r="1313" spans="22:27" x14ac:dyDescent="0.2">
      <c r="V1313" s="163"/>
      <c r="W1313" s="158" t="str">
        <f t="shared" si="32"/>
        <v>1w</v>
      </c>
      <c r="X1313" s="168">
        <f>_xll.qlCalendarAdvance(Calendar,X1312,W1313,"f",FALSE)</f>
        <v>48206</v>
      </c>
      <c r="Y1313" s="173">
        <f>_xll.qlCalendarAdvance(Calendar,X1313,NDays&amp;"D")</f>
        <v>48206</v>
      </c>
      <c r="Z1313" s="174">
        <v>2.3014613842298193E-2</v>
      </c>
      <c r="AA1313" s="177"/>
    </row>
    <row r="1314" spans="22:27" x14ac:dyDescent="0.2">
      <c r="V1314" s="163"/>
      <c r="W1314" s="158" t="str">
        <f t="shared" si="32"/>
        <v>1w</v>
      </c>
      <c r="X1314" s="168">
        <f>_xll.qlCalendarAdvance(Calendar,X1313,W1314,"f",FALSE)</f>
        <v>48218</v>
      </c>
      <c r="Y1314" s="173">
        <f>_xll.qlCalendarAdvance(Calendar,X1314,NDays&amp;"D")</f>
        <v>48218</v>
      </c>
      <c r="Z1314" s="174">
        <v>2.3022926447129333E-2</v>
      </c>
      <c r="AA1314" s="177"/>
    </row>
    <row r="1315" spans="22:27" x14ac:dyDescent="0.2">
      <c r="V1315" s="163"/>
      <c r="W1315" s="158" t="str">
        <f t="shared" si="32"/>
        <v>1w</v>
      </c>
      <c r="X1315" s="168">
        <f>_xll.qlCalendarAdvance(Calendar,X1314,W1315,"f",FALSE)</f>
        <v>48226</v>
      </c>
      <c r="Y1315" s="173">
        <f>_xll.qlCalendarAdvance(Calendar,X1315,NDays&amp;"D")</f>
        <v>48226</v>
      </c>
      <c r="Z1315" s="174">
        <v>2.3028285622883615E-2</v>
      </c>
      <c r="AA1315" s="177"/>
    </row>
    <row r="1316" spans="22:27" x14ac:dyDescent="0.2">
      <c r="V1316" s="163"/>
      <c r="W1316" s="158" t="str">
        <f t="shared" si="32"/>
        <v>1w</v>
      </c>
      <c r="X1316" s="168">
        <f>_xll.qlCalendarAdvance(Calendar,X1315,W1316,"f",FALSE)</f>
        <v>48233</v>
      </c>
      <c r="Y1316" s="173">
        <f>_xll.qlCalendarAdvance(Calendar,X1316,NDays&amp;"D")</f>
        <v>48233</v>
      </c>
      <c r="Z1316" s="174">
        <v>2.3032855096158933E-2</v>
      </c>
      <c r="AA1316" s="177"/>
    </row>
    <row r="1317" spans="22:27" x14ac:dyDescent="0.2">
      <c r="V1317" s="163"/>
      <c r="W1317" s="158" t="str">
        <f t="shared" si="32"/>
        <v>1w</v>
      </c>
      <c r="X1317" s="168">
        <f>_xll.qlCalendarAdvance(Calendar,X1316,W1317,"f",FALSE)</f>
        <v>48240</v>
      </c>
      <c r="Y1317" s="173">
        <f>_xll.qlCalendarAdvance(Calendar,X1317,NDays&amp;"D")</f>
        <v>48240</v>
      </c>
      <c r="Z1317" s="174">
        <v>2.3037312751015282E-2</v>
      </c>
      <c r="AA1317" s="177"/>
    </row>
    <row r="1318" spans="22:27" x14ac:dyDescent="0.2">
      <c r="V1318" s="163"/>
      <c r="W1318" s="158" t="str">
        <f t="shared" si="32"/>
        <v>1w</v>
      </c>
      <c r="X1318" s="168">
        <f>_xll.qlCalendarAdvance(Calendar,X1317,W1318,"f",FALSE)</f>
        <v>48247</v>
      </c>
      <c r="Y1318" s="173">
        <f>_xll.qlCalendarAdvance(Calendar,X1318,NDays&amp;"D")</f>
        <v>48247</v>
      </c>
      <c r="Z1318" s="174">
        <v>2.3041658587371616E-2</v>
      </c>
      <c r="AA1318" s="177"/>
    </row>
    <row r="1319" spans="22:27" x14ac:dyDescent="0.2">
      <c r="V1319" s="163"/>
      <c r="W1319" s="158" t="str">
        <f t="shared" si="32"/>
        <v>1w</v>
      </c>
      <c r="X1319" s="168">
        <f>_xll.qlCalendarAdvance(Calendar,X1318,W1319,"f",FALSE)</f>
        <v>48254</v>
      </c>
      <c r="Y1319" s="173">
        <f>_xll.qlCalendarAdvance(Calendar,X1319,NDays&amp;"D")</f>
        <v>48254</v>
      </c>
      <c r="Z1319" s="174">
        <v>2.3046918042242126E-2</v>
      </c>
      <c r="AA1319" s="177"/>
    </row>
    <row r="1320" spans="22:27" x14ac:dyDescent="0.2">
      <c r="V1320" s="163"/>
      <c r="W1320" s="158" t="str">
        <f t="shared" si="32"/>
        <v>1w</v>
      </c>
      <c r="X1320" s="168">
        <f>_xll.qlCalendarAdvance(Calendar,X1319,W1320,"f",FALSE)</f>
        <v>48261</v>
      </c>
      <c r="Y1320" s="173">
        <f>_xll.qlCalendarAdvance(Calendar,X1320,NDays&amp;"D")</f>
        <v>48261</v>
      </c>
      <c r="Z1320" s="174">
        <v>2.3050014804746333E-2</v>
      </c>
      <c r="AA1320" s="177"/>
    </row>
    <row r="1321" spans="22:27" x14ac:dyDescent="0.2">
      <c r="V1321" s="163"/>
      <c r="W1321" s="158" t="str">
        <f t="shared" si="32"/>
        <v>1w</v>
      </c>
      <c r="X1321" s="168">
        <f>_xll.qlCalendarAdvance(Calendar,X1320,W1321,"f",FALSE)</f>
        <v>48268</v>
      </c>
      <c r="Y1321" s="173">
        <f>_xll.qlCalendarAdvance(Calendar,X1321,NDays&amp;"D")</f>
        <v>48268</v>
      </c>
      <c r="Z1321" s="174">
        <v>2.3054025185683669E-2</v>
      </c>
      <c r="AA1321" s="177"/>
    </row>
    <row r="1322" spans="22:27" x14ac:dyDescent="0.2">
      <c r="V1322" s="163"/>
      <c r="W1322" s="158" t="str">
        <f t="shared" si="32"/>
        <v>1w</v>
      </c>
      <c r="X1322" s="168">
        <f>_xll.qlCalendarAdvance(Calendar,X1321,W1322,"f",FALSE)</f>
        <v>48275</v>
      </c>
      <c r="Y1322" s="173">
        <f>_xll.qlCalendarAdvance(Calendar,X1322,NDays&amp;"D")</f>
        <v>48275</v>
      </c>
      <c r="Z1322" s="174">
        <v>2.3057923748202036E-2</v>
      </c>
      <c r="AA1322" s="177"/>
    </row>
    <row r="1323" spans="22:27" x14ac:dyDescent="0.2">
      <c r="V1323" s="163"/>
      <c r="W1323" s="158" t="str">
        <f t="shared" si="32"/>
        <v>1w</v>
      </c>
      <c r="X1323" s="168">
        <f>_xll.qlCalendarAdvance(Calendar,X1322,W1323,"f",FALSE)</f>
        <v>48282</v>
      </c>
      <c r="Y1323" s="173">
        <f>_xll.qlCalendarAdvance(Calendar,X1323,NDays&amp;"D")</f>
        <v>48282</v>
      </c>
      <c r="Z1323" s="174">
        <v>2.3061710492220389E-2</v>
      </c>
      <c r="AA1323" s="177"/>
    </row>
    <row r="1324" spans="22:27" x14ac:dyDescent="0.2">
      <c r="V1324" s="163"/>
      <c r="W1324" s="158" t="str">
        <f t="shared" si="32"/>
        <v>1w</v>
      </c>
      <c r="X1324" s="168">
        <f>_xll.qlCalendarAdvance(Calendar,X1323,W1324,"f",FALSE)</f>
        <v>48289</v>
      </c>
      <c r="Y1324" s="173">
        <f>_xll.qlCalendarAdvance(Calendar,X1324,NDays&amp;"D")</f>
        <v>48289</v>
      </c>
      <c r="Z1324" s="174">
        <v>2.306538541765768E-2</v>
      </c>
      <c r="AA1324" s="177"/>
    </row>
    <row r="1325" spans="22:27" x14ac:dyDescent="0.2">
      <c r="V1325" s="163"/>
      <c r="W1325" s="158" t="str">
        <f t="shared" si="32"/>
        <v>1w</v>
      </c>
      <c r="X1325" s="168">
        <f>_xll.qlCalendarAdvance(Calendar,X1324,W1325,"f",FALSE)</f>
        <v>48296</v>
      </c>
      <c r="Y1325" s="173">
        <f>_xll.qlCalendarAdvance(Calendar,X1325,NDays&amp;"D")</f>
        <v>48296</v>
      </c>
      <c r="Z1325" s="174">
        <v>2.3068948524757049E-2</v>
      </c>
      <c r="AA1325" s="177"/>
    </row>
    <row r="1326" spans="22:27" x14ac:dyDescent="0.2">
      <c r="V1326" s="163"/>
      <c r="W1326" s="158" t="str">
        <f t="shared" si="32"/>
        <v>1w</v>
      </c>
      <c r="X1326" s="168">
        <f>_xll.qlCalendarAdvance(Calendar,X1325,W1326,"f",FALSE)</f>
        <v>48303</v>
      </c>
      <c r="Y1326" s="173">
        <f>_xll.qlCalendarAdvance(Calendar,X1326,NDays&amp;"D")</f>
        <v>48303</v>
      </c>
      <c r="Z1326" s="174">
        <v>2.3072399813275357E-2</v>
      </c>
      <c r="AA1326" s="177"/>
    </row>
    <row r="1327" spans="22:27" x14ac:dyDescent="0.2">
      <c r="V1327" s="163"/>
      <c r="W1327" s="158" t="str">
        <f t="shared" si="32"/>
        <v>1w</v>
      </c>
      <c r="X1327" s="168">
        <f>_xll.qlCalendarAdvance(Calendar,X1326,W1327,"f",FALSE)</f>
        <v>48310</v>
      </c>
      <c r="Y1327" s="173">
        <f>_xll.qlCalendarAdvance(Calendar,X1327,NDays&amp;"D")</f>
        <v>48310</v>
      </c>
      <c r="Z1327" s="174">
        <v>2.3075739283212604E-2</v>
      </c>
      <c r="AA1327" s="177"/>
    </row>
    <row r="1328" spans="22:27" x14ac:dyDescent="0.2">
      <c r="V1328" s="163"/>
      <c r="W1328" s="158" t="str">
        <f t="shared" si="32"/>
        <v>1w</v>
      </c>
      <c r="X1328" s="168">
        <f>_xll.qlCalendarAdvance(Calendar,X1327,W1328,"f",FALSE)</f>
        <v>48317</v>
      </c>
      <c r="Y1328" s="173">
        <f>_xll.qlCalendarAdvance(Calendar,X1328,NDays&amp;"D")</f>
        <v>48317</v>
      </c>
      <c r="Z1328" s="174">
        <v>2.3078966934730882E-2</v>
      </c>
      <c r="AA1328" s="177"/>
    </row>
    <row r="1329" spans="22:27" x14ac:dyDescent="0.2">
      <c r="V1329" s="163"/>
      <c r="W1329" s="158" t="str">
        <f t="shared" si="32"/>
        <v>1w</v>
      </c>
      <c r="X1329" s="168">
        <f>_xll.qlCalendarAdvance(Calendar,X1328,W1329,"f",FALSE)</f>
        <v>48324</v>
      </c>
      <c r="Y1329" s="173">
        <f>_xll.qlCalendarAdvance(Calendar,X1329,NDays&amp;"D")</f>
        <v>48324</v>
      </c>
      <c r="Z1329" s="174">
        <v>2.3082082767830192E-2</v>
      </c>
      <c r="AA1329" s="177"/>
    </row>
    <row r="1330" spans="22:27" x14ac:dyDescent="0.2">
      <c r="V1330" s="163"/>
      <c r="W1330" s="158" t="str">
        <f t="shared" si="32"/>
        <v>1w</v>
      </c>
      <c r="X1330" s="168">
        <f>_xll.qlCalendarAdvance(Calendar,X1329,W1330,"f",FALSE)</f>
        <v>48331</v>
      </c>
      <c r="Y1330" s="173">
        <f>_xll.qlCalendarAdvance(Calendar,X1330,NDays&amp;"D")</f>
        <v>48331</v>
      </c>
      <c r="Z1330" s="174">
        <v>2.3085086782267394E-2</v>
      </c>
      <c r="AA1330" s="177"/>
    </row>
    <row r="1331" spans="22:27" x14ac:dyDescent="0.2">
      <c r="V1331" s="163"/>
      <c r="W1331" s="158" t="str">
        <f t="shared" si="32"/>
        <v>1w</v>
      </c>
      <c r="X1331" s="168">
        <f>_xll.qlCalendarAdvance(Calendar,X1330,W1331,"f",FALSE)</f>
        <v>48340</v>
      </c>
      <c r="Y1331" s="173">
        <f>_xll.qlCalendarAdvance(Calendar,X1331,NDays&amp;"D")</f>
        <v>48340</v>
      </c>
      <c r="Z1331" s="174">
        <v>2.3088784781905014E-2</v>
      </c>
      <c r="AA1331" s="177"/>
    </row>
    <row r="1332" spans="22:27" x14ac:dyDescent="0.2">
      <c r="V1332" s="163"/>
      <c r="W1332" s="158" t="str">
        <f t="shared" si="32"/>
        <v>1w</v>
      </c>
      <c r="X1332" s="168">
        <f>_xll.qlCalendarAdvance(Calendar,X1331,W1332,"f",FALSE)</f>
        <v>48347</v>
      </c>
      <c r="Y1332" s="173">
        <f>_xll.qlCalendarAdvance(Calendar,X1332,NDays&amp;"D")</f>
        <v>48347</v>
      </c>
      <c r="Z1332" s="174">
        <v>2.3091533211303528E-2</v>
      </c>
      <c r="AA1332" s="177"/>
    </row>
    <row r="1333" spans="22:27" x14ac:dyDescent="0.2">
      <c r="V1333" s="163"/>
      <c r="W1333" s="158" t="str">
        <f t="shared" si="32"/>
        <v>1w</v>
      </c>
      <c r="X1333" s="168">
        <f>_xll.qlCalendarAdvance(Calendar,X1332,W1333,"f",FALSE)</f>
        <v>48354</v>
      </c>
      <c r="Y1333" s="173">
        <f>_xll.qlCalendarAdvance(Calendar,X1333,NDays&amp;"D")</f>
        <v>48354</v>
      </c>
      <c r="Z1333" s="174">
        <v>2.3094169822039934E-2</v>
      </c>
      <c r="AA1333" s="177"/>
    </row>
    <row r="1334" spans="22:27" x14ac:dyDescent="0.2">
      <c r="V1334" s="163"/>
      <c r="W1334" s="158" t="str">
        <f t="shared" si="32"/>
        <v>1w</v>
      </c>
      <c r="X1334" s="168">
        <f>_xll.qlCalendarAdvance(Calendar,X1333,W1334,"f",FALSE)</f>
        <v>48361</v>
      </c>
      <c r="Y1334" s="173">
        <f>_xll.qlCalendarAdvance(Calendar,X1334,NDays&amp;"D")</f>
        <v>48361</v>
      </c>
      <c r="Z1334" s="174">
        <v>2.3096694614357371E-2</v>
      </c>
      <c r="AA1334" s="177"/>
    </row>
    <row r="1335" spans="22:27" x14ac:dyDescent="0.2">
      <c r="V1335" s="163"/>
      <c r="W1335" s="158" t="str">
        <f t="shared" si="32"/>
        <v>1w</v>
      </c>
      <c r="X1335" s="168">
        <f>_xll.qlCalendarAdvance(Calendar,X1334,W1335,"f",FALSE)</f>
        <v>48368</v>
      </c>
      <c r="Y1335" s="173">
        <f>_xll.qlCalendarAdvance(Calendar,X1335,NDays&amp;"D")</f>
        <v>48368</v>
      </c>
      <c r="Z1335" s="174">
        <v>2.3099107588174794E-2</v>
      </c>
      <c r="AA1335" s="177"/>
    </row>
    <row r="1336" spans="22:27" x14ac:dyDescent="0.2">
      <c r="V1336" s="163"/>
      <c r="W1336" s="158" t="str">
        <f t="shared" si="32"/>
        <v>1w</v>
      </c>
      <c r="X1336" s="168">
        <f>_xll.qlCalendarAdvance(Calendar,X1335,W1336,"f",FALSE)</f>
        <v>48375</v>
      </c>
      <c r="Y1336" s="173">
        <f>_xll.qlCalendarAdvance(Calendar,X1336,NDays&amp;"D")</f>
        <v>48375</v>
      </c>
      <c r="Z1336" s="174">
        <v>2.3101408743411156E-2</v>
      </c>
      <c r="AA1336" s="177"/>
    </row>
    <row r="1337" spans="22:27" x14ac:dyDescent="0.2">
      <c r="V1337" s="163"/>
      <c r="W1337" s="158" t="str">
        <f t="shared" si="32"/>
        <v>1w</v>
      </c>
      <c r="X1337" s="168">
        <f>_xll.qlCalendarAdvance(Calendar,X1336,W1337,"f",FALSE)</f>
        <v>48382</v>
      </c>
      <c r="Y1337" s="173">
        <f>_xll.qlCalendarAdvance(Calendar,X1337,NDays&amp;"D")</f>
        <v>48382</v>
      </c>
      <c r="Z1337" s="174">
        <v>2.3103598080228549E-2</v>
      </c>
      <c r="AA1337" s="177"/>
    </row>
    <row r="1338" spans="22:27" x14ac:dyDescent="0.2">
      <c r="V1338" s="163"/>
      <c r="W1338" s="158" t="str">
        <f t="shared" si="32"/>
        <v>1w</v>
      </c>
      <c r="X1338" s="168">
        <f>_xll.qlCalendarAdvance(Calendar,X1337,W1338,"f",FALSE)</f>
        <v>48389</v>
      </c>
      <c r="Y1338" s="173">
        <f>_xll.qlCalendarAdvance(Calendar,X1338,NDays&amp;"D")</f>
        <v>48389</v>
      </c>
      <c r="Z1338" s="174">
        <v>2.3105675598383835E-2</v>
      </c>
      <c r="AA1338" s="177"/>
    </row>
    <row r="1339" spans="22:27" x14ac:dyDescent="0.2">
      <c r="V1339" s="163"/>
      <c r="W1339" s="158" t="str">
        <f t="shared" si="32"/>
        <v>1w</v>
      </c>
      <c r="X1339" s="168">
        <f>_xll.qlCalendarAdvance(Calendar,X1338,W1339,"f",FALSE)</f>
        <v>48396</v>
      </c>
      <c r="Y1339" s="173">
        <f>_xll.qlCalendarAdvance(Calendar,X1339,NDays&amp;"D")</f>
        <v>48396</v>
      </c>
      <c r="Z1339" s="174">
        <v>2.3107641298039105E-2</v>
      </c>
      <c r="AA1339" s="177"/>
    </row>
    <row r="1340" spans="22:27" x14ac:dyDescent="0.2">
      <c r="V1340" s="163"/>
      <c r="W1340" s="158" t="str">
        <f t="shared" si="32"/>
        <v>1w</v>
      </c>
      <c r="X1340" s="168">
        <f>_xll.qlCalendarAdvance(Calendar,X1339,W1340,"f",FALSE)</f>
        <v>48403</v>
      </c>
      <c r="Y1340" s="173">
        <f>_xll.qlCalendarAdvance(Calendar,X1340,NDays&amp;"D")</f>
        <v>48403</v>
      </c>
      <c r="Z1340" s="174">
        <v>2.3109495179275408E-2</v>
      </c>
      <c r="AA1340" s="177"/>
    </row>
    <row r="1341" spans="22:27" x14ac:dyDescent="0.2">
      <c r="V1341" s="163"/>
      <c r="W1341" s="158" t="str">
        <f t="shared" si="32"/>
        <v>1w</v>
      </c>
      <c r="X1341" s="168">
        <f>_xll.qlCalendarAdvance(Calendar,X1340,W1341,"f",FALSE)</f>
        <v>48410</v>
      </c>
      <c r="Y1341" s="173">
        <f>_xll.qlCalendarAdvance(Calendar,X1341,NDays&amp;"D")</f>
        <v>48410</v>
      </c>
      <c r="Z1341" s="174">
        <v>2.3111237241849603E-2</v>
      </c>
      <c r="AA1341" s="177"/>
    </row>
    <row r="1342" spans="22:27" x14ac:dyDescent="0.2">
      <c r="V1342" s="163"/>
      <c r="W1342" s="158" t="str">
        <f t="shared" si="32"/>
        <v>1w</v>
      </c>
      <c r="X1342" s="168">
        <f>_xll.qlCalendarAdvance(Calendar,X1341,W1342,"f",FALSE)</f>
        <v>48417</v>
      </c>
      <c r="Y1342" s="173">
        <f>_xll.qlCalendarAdvance(Calendar,X1342,NDays&amp;"D")</f>
        <v>48417</v>
      </c>
      <c r="Z1342" s="174">
        <v>2.3112867485923783E-2</v>
      </c>
      <c r="AA1342" s="177"/>
    </row>
    <row r="1343" spans="22:27" x14ac:dyDescent="0.2">
      <c r="V1343" s="163"/>
      <c r="W1343" s="158" t="str">
        <f t="shared" si="32"/>
        <v>1w</v>
      </c>
      <c r="X1343" s="168">
        <f>_xll.qlCalendarAdvance(Calendar,X1342,W1343,"f",FALSE)</f>
        <v>48424</v>
      </c>
      <c r="Y1343" s="173">
        <f>_xll.qlCalendarAdvance(Calendar,X1343,NDays&amp;"D")</f>
        <v>48424</v>
      </c>
      <c r="Z1343" s="174">
        <v>2.3114385911497948E-2</v>
      </c>
      <c r="AA1343" s="177"/>
    </row>
    <row r="1344" spans="22:27" x14ac:dyDescent="0.2">
      <c r="V1344" s="163"/>
      <c r="W1344" s="158" t="str">
        <f t="shared" si="32"/>
        <v>1w</v>
      </c>
      <c r="X1344" s="168">
        <f>_xll.qlCalendarAdvance(Calendar,X1343,W1344,"f",FALSE)</f>
        <v>48431</v>
      </c>
      <c r="Y1344" s="173">
        <f>_xll.qlCalendarAdvance(Calendar,X1344,NDays&amp;"D")</f>
        <v>48431</v>
      </c>
      <c r="Z1344" s="174">
        <v>2.3115792518491052E-2</v>
      </c>
      <c r="AA1344" s="177"/>
    </row>
    <row r="1345" spans="22:27" x14ac:dyDescent="0.2">
      <c r="V1345" s="163"/>
      <c r="W1345" s="158" t="str">
        <f t="shared" si="32"/>
        <v>1w</v>
      </c>
      <c r="X1345" s="168">
        <f>_xll.qlCalendarAdvance(Calendar,X1344,W1345,"f",FALSE)</f>
        <v>48438</v>
      </c>
      <c r="Y1345" s="173">
        <f>_xll.qlCalendarAdvance(Calendar,X1345,NDays&amp;"D")</f>
        <v>48438</v>
      </c>
      <c r="Z1345" s="174">
        <v>2.3117087306984141E-2</v>
      </c>
      <c r="AA1345" s="177"/>
    </row>
    <row r="1346" spans="22:27" x14ac:dyDescent="0.2">
      <c r="V1346" s="163"/>
      <c r="W1346" s="158" t="str">
        <f t="shared" si="32"/>
        <v>1w</v>
      </c>
      <c r="X1346" s="168">
        <f>_xll.qlCalendarAdvance(Calendar,X1345,W1346,"f",FALSE)</f>
        <v>48445</v>
      </c>
      <c r="Y1346" s="173">
        <f>_xll.qlCalendarAdvance(Calendar,X1346,NDays&amp;"D")</f>
        <v>48445</v>
      </c>
      <c r="Z1346" s="174">
        <v>2.3118270276977215E-2</v>
      </c>
      <c r="AA1346" s="177"/>
    </row>
    <row r="1347" spans="22:27" x14ac:dyDescent="0.2">
      <c r="V1347" s="163"/>
      <c r="W1347" s="158" t="str">
        <f t="shared" si="32"/>
        <v>1w</v>
      </c>
      <c r="X1347" s="168">
        <f>_xll.qlCalendarAdvance(Calendar,X1346,W1347,"f",FALSE)</f>
        <v>48452</v>
      </c>
      <c r="Y1347" s="173">
        <f>_xll.qlCalendarAdvance(Calendar,X1347,NDays&amp;"D")</f>
        <v>48452</v>
      </c>
      <c r="Z1347" s="174">
        <v>2.3119341428308182E-2</v>
      </c>
      <c r="AA1347" s="177"/>
    </row>
    <row r="1348" spans="22:27" x14ac:dyDescent="0.2">
      <c r="V1348" s="163"/>
      <c r="W1348" s="158" t="str">
        <f t="shared" si="32"/>
        <v>1w</v>
      </c>
      <c r="X1348" s="168">
        <f>_xll.qlCalendarAdvance(Calendar,X1347,W1348,"f",FALSE)</f>
        <v>48459</v>
      </c>
      <c r="Y1348" s="173">
        <f>_xll.qlCalendarAdvance(Calendar,X1348,NDays&amp;"D")</f>
        <v>48459</v>
      </c>
      <c r="Z1348" s="174">
        <v>2.3120300761220181E-2</v>
      </c>
      <c r="AA1348" s="177"/>
    </row>
    <row r="1349" spans="22:27" x14ac:dyDescent="0.2">
      <c r="V1349" s="163"/>
      <c r="W1349" s="158" t="str">
        <f t="shared" si="32"/>
        <v>1w</v>
      </c>
      <c r="X1349" s="168">
        <f>_xll.qlCalendarAdvance(Calendar,X1348,W1349,"f",FALSE)</f>
        <v>48466</v>
      </c>
      <c r="Y1349" s="173">
        <f>_xll.qlCalendarAdvance(Calendar,X1349,NDays&amp;"D")</f>
        <v>48466</v>
      </c>
      <c r="Z1349" s="174">
        <v>2.3121148275551118E-2</v>
      </c>
      <c r="AA1349" s="177"/>
    </row>
    <row r="1350" spans="22:27" x14ac:dyDescent="0.2">
      <c r="V1350" s="163"/>
      <c r="W1350" s="158" t="str">
        <f t="shared" si="32"/>
        <v>1w</v>
      </c>
      <c r="X1350" s="168">
        <f>_xll.qlCalendarAdvance(Calendar,X1349,W1350,"f",FALSE)</f>
        <v>48473</v>
      </c>
      <c r="Y1350" s="173">
        <f>_xll.qlCalendarAdvance(Calendar,X1350,NDays&amp;"D")</f>
        <v>48473</v>
      </c>
      <c r="Z1350" s="174">
        <v>2.3121883971300994E-2</v>
      </c>
      <c r="AA1350" s="177"/>
    </row>
    <row r="1351" spans="22:27" x14ac:dyDescent="0.2">
      <c r="V1351" s="163"/>
      <c r="W1351" s="158" t="str">
        <f t="shared" si="32"/>
        <v>1w</v>
      </c>
      <c r="X1351" s="168">
        <f>_xll.qlCalendarAdvance(Calendar,X1350,W1351,"f",FALSE)</f>
        <v>48480</v>
      </c>
      <c r="Y1351" s="173">
        <f>_xll.qlCalendarAdvance(Calendar,X1351,NDays&amp;"D")</f>
        <v>48480</v>
      </c>
      <c r="Z1351" s="174">
        <v>2.3122507848469809E-2</v>
      </c>
      <c r="AA1351" s="177"/>
    </row>
    <row r="1352" spans="22:27" x14ac:dyDescent="0.2">
      <c r="V1352" s="163"/>
      <c r="W1352" s="158" t="str">
        <f t="shared" si="32"/>
        <v>1w</v>
      </c>
      <c r="X1352" s="168">
        <f>_xll.qlCalendarAdvance(Calendar,X1351,W1352,"f",FALSE)</f>
        <v>48487</v>
      </c>
      <c r="Y1352" s="173">
        <f>_xll.qlCalendarAdvance(Calendar,X1352,NDays&amp;"D")</f>
        <v>48487</v>
      </c>
      <c r="Z1352" s="174">
        <v>2.3123019907219655E-2</v>
      </c>
      <c r="AA1352" s="177"/>
    </row>
    <row r="1353" spans="22:27" x14ac:dyDescent="0.2">
      <c r="V1353" s="163"/>
      <c r="W1353" s="158" t="str">
        <f t="shared" si="32"/>
        <v>1w</v>
      </c>
      <c r="X1353" s="168">
        <f>_xll.qlCalendarAdvance(Calendar,X1352,W1353,"f",FALSE)</f>
        <v>48494</v>
      </c>
      <c r="Y1353" s="173">
        <f>_xll.qlCalendarAdvance(Calendar,X1353,NDays&amp;"D")</f>
        <v>48494</v>
      </c>
      <c r="Z1353" s="174">
        <v>2.3123420147307394E-2</v>
      </c>
      <c r="AA1353" s="177"/>
    </row>
    <row r="1354" spans="22:27" x14ac:dyDescent="0.2">
      <c r="V1354" s="163"/>
      <c r="W1354" s="158" t="str">
        <f t="shared" si="32"/>
        <v>1w</v>
      </c>
      <c r="X1354" s="168">
        <f>_xll.qlCalendarAdvance(Calendar,X1353,W1354,"f",FALSE)</f>
        <v>48501</v>
      </c>
      <c r="Y1354" s="173">
        <f>_xll.qlCalendarAdvance(Calendar,X1354,NDays&amp;"D")</f>
        <v>48501</v>
      </c>
      <c r="Z1354" s="174">
        <v>2.3123708568976165E-2</v>
      </c>
      <c r="AA1354" s="177"/>
    </row>
    <row r="1355" spans="22:27" x14ac:dyDescent="0.2">
      <c r="V1355" s="163"/>
      <c r="W1355" s="158" t="str">
        <f t="shared" si="32"/>
        <v>1w</v>
      </c>
      <c r="X1355" s="168">
        <f>_xll.qlCalendarAdvance(Calendar,X1354,W1355,"f",FALSE)</f>
        <v>48508</v>
      </c>
      <c r="Y1355" s="173">
        <f>_xll.qlCalendarAdvance(Calendar,X1355,NDays&amp;"D")</f>
        <v>48508</v>
      </c>
      <c r="Z1355" s="174">
        <v>2.3123885171982828E-2</v>
      </c>
      <c r="AA1355" s="177"/>
    </row>
    <row r="1356" spans="22:27" x14ac:dyDescent="0.2">
      <c r="V1356" s="163"/>
      <c r="W1356" s="158" t="str">
        <f t="shared" si="32"/>
        <v>1w</v>
      </c>
      <c r="X1356" s="168">
        <f>_xll.qlCalendarAdvance(Calendar,X1355,W1356,"f",FALSE)</f>
        <v>48515</v>
      </c>
      <c r="Y1356" s="173">
        <f>_xll.qlCalendarAdvance(Calendar,X1356,NDays&amp;"D")</f>
        <v>48515</v>
      </c>
      <c r="Z1356" s="174">
        <v>2.3123949956489476E-2</v>
      </c>
      <c r="AA1356" s="177"/>
    </row>
    <row r="1357" spans="22:27" x14ac:dyDescent="0.2">
      <c r="V1357" s="163"/>
      <c r="W1357" s="158" t="str">
        <f t="shared" ref="W1357:W1420" si="33">W1356</f>
        <v>1w</v>
      </c>
      <c r="X1357" s="168">
        <f>_xll.qlCalendarAdvance(Calendar,X1356,W1357,"f",FALSE)</f>
        <v>48522</v>
      </c>
      <c r="Y1357" s="173">
        <f>_xll.qlCalendarAdvance(Calendar,X1357,NDays&amp;"D")</f>
        <v>48522</v>
      </c>
      <c r="Z1357" s="174">
        <v>2.3123902922496109E-2</v>
      </c>
      <c r="AA1357" s="177"/>
    </row>
    <row r="1358" spans="22:27" x14ac:dyDescent="0.2">
      <c r="V1358" s="163"/>
      <c r="W1358" s="158" t="str">
        <f t="shared" si="33"/>
        <v>1w</v>
      </c>
      <c r="X1358" s="168">
        <f>_xll.qlCalendarAdvance(Calendar,X1357,W1358,"f",FALSE)</f>
        <v>48529</v>
      </c>
      <c r="Y1358" s="173">
        <f>_xll.qlCalendarAdvance(Calendar,X1358,NDays&amp;"D")</f>
        <v>48529</v>
      </c>
      <c r="Z1358" s="174">
        <v>2.3123744069921681E-2</v>
      </c>
      <c r="AA1358" s="177"/>
    </row>
    <row r="1359" spans="22:27" x14ac:dyDescent="0.2">
      <c r="V1359" s="163"/>
      <c r="W1359" s="158" t="str">
        <f t="shared" si="33"/>
        <v>1w</v>
      </c>
      <c r="X1359" s="168">
        <f>_xll.qlCalendarAdvance(Calendar,X1358,W1359,"f",FALSE)</f>
        <v>48536</v>
      </c>
      <c r="Y1359" s="173">
        <f>_xll.qlCalendarAdvance(Calendar,X1359,NDays&amp;"D")</f>
        <v>48536</v>
      </c>
      <c r="Z1359" s="174">
        <v>2.3123473398766192E-2</v>
      </c>
      <c r="AA1359" s="177"/>
    </row>
    <row r="1360" spans="22:27" x14ac:dyDescent="0.2">
      <c r="V1360" s="163"/>
      <c r="W1360" s="158" t="str">
        <f t="shared" si="33"/>
        <v>1w</v>
      </c>
      <c r="X1360" s="168">
        <f>_xll.qlCalendarAdvance(Calendar,X1359,W1360,"f",FALSE)</f>
        <v>48543</v>
      </c>
      <c r="Y1360" s="173">
        <f>_xll.qlCalendarAdvance(Calendar,X1360,NDays&amp;"D")</f>
        <v>48543</v>
      </c>
      <c r="Z1360" s="174">
        <v>2.3123090909110688E-2</v>
      </c>
      <c r="AA1360" s="177"/>
    </row>
    <row r="1361" spans="22:27" x14ac:dyDescent="0.2">
      <c r="V1361" s="163"/>
      <c r="W1361" s="158" t="str">
        <f t="shared" si="33"/>
        <v>1w</v>
      </c>
      <c r="X1361" s="168">
        <f>_xll.qlCalendarAdvance(Calendar,X1360,W1361,"f",FALSE)</f>
        <v>48550</v>
      </c>
      <c r="Y1361" s="173">
        <f>_xll.qlCalendarAdvance(Calendar,X1361,NDays&amp;"D")</f>
        <v>48550</v>
      </c>
      <c r="Z1361" s="174">
        <v>2.3122596600874123E-2</v>
      </c>
      <c r="AA1361" s="177"/>
    </row>
    <row r="1362" spans="22:27" x14ac:dyDescent="0.2">
      <c r="V1362" s="163"/>
      <c r="W1362" s="158" t="str">
        <f t="shared" si="33"/>
        <v>1w</v>
      </c>
      <c r="X1362" s="168">
        <f>_xll.qlCalendarAdvance(Calendar,X1361,W1362,"f",FALSE)</f>
        <v>48557</v>
      </c>
      <c r="Y1362" s="173">
        <f>_xll.qlCalendarAdvance(Calendar,X1362,NDays&amp;"D")</f>
        <v>48557</v>
      </c>
      <c r="Z1362" s="174">
        <v>2.3121990474137544E-2</v>
      </c>
      <c r="AA1362" s="177"/>
    </row>
    <row r="1363" spans="22:27" x14ac:dyDescent="0.2">
      <c r="V1363" s="163"/>
      <c r="W1363" s="158" t="str">
        <f t="shared" si="33"/>
        <v>1w</v>
      </c>
      <c r="X1363" s="168">
        <f>_xll.qlCalendarAdvance(Calendar,X1362,W1363,"f",FALSE)</f>
        <v>48564</v>
      </c>
      <c r="Y1363" s="173">
        <f>_xll.qlCalendarAdvance(Calendar,X1363,NDays&amp;"D")</f>
        <v>48564</v>
      </c>
      <c r="Z1363" s="174">
        <v>2.3121272528819903E-2</v>
      </c>
      <c r="AA1363" s="177"/>
    </row>
    <row r="1364" spans="22:27" x14ac:dyDescent="0.2">
      <c r="V1364" s="163"/>
      <c r="W1364" s="158" t="str">
        <f t="shared" si="33"/>
        <v>1w</v>
      </c>
      <c r="X1364" s="168">
        <f>_xll.qlCalendarAdvance(Calendar,X1363,W1364,"f",FALSE)</f>
        <v>48572</v>
      </c>
      <c r="Y1364" s="173">
        <f>_xll.qlCalendarAdvance(Calendar,X1364,NDays&amp;"D")</f>
        <v>48572</v>
      </c>
      <c r="Z1364" s="174">
        <v>2.3121648922930598E-2</v>
      </c>
      <c r="AA1364" s="177"/>
    </row>
    <row r="1365" spans="22:27" x14ac:dyDescent="0.2">
      <c r="V1365" s="163"/>
      <c r="W1365" s="158" t="str">
        <f t="shared" si="33"/>
        <v>1w</v>
      </c>
      <c r="X1365" s="168">
        <f>_xll.qlCalendarAdvance(Calendar,X1364,W1365,"f",FALSE)</f>
        <v>48583</v>
      </c>
      <c r="Y1365" s="173">
        <f>_xll.qlCalendarAdvance(Calendar,X1365,NDays&amp;"D")</f>
        <v>48583</v>
      </c>
      <c r="Z1365" s="174">
        <v>2.3118760163409746E-2</v>
      </c>
      <c r="AA1365" s="177"/>
    </row>
    <row r="1366" spans="22:27" x14ac:dyDescent="0.2">
      <c r="V1366" s="163"/>
      <c r="W1366" s="158" t="str">
        <f t="shared" si="33"/>
        <v>1w</v>
      </c>
      <c r="X1366" s="168">
        <f>_xll.qlCalendarAdvance(Calendar,X1365,W1366,"f",FALSE)</f>
        <v>48590</v>
      </c>
      <c r="Y1366" s="173">
        <f>_xll.qlCalendarAdvance(Calendar,X1366,NDays&amp;"D")</f>
        <v>48590</v>
      </c>
      <c r="Z1366" s="174">
        <v>2.3117626892130705E-2</v>
      </c>
      <c r="AA1366" s="177"/>
    </row>
    <row r="1367" spans="22:27" x14ac:dyDescent="0.2">
      <c r="V1367" s="163"/>
      <c r="W1367" s="158" t="str">
        <f t="shared" si="33"/>
        <v>1w</v>
      </c>
      <c r="X1367" s="168">
        <f>_xll.qlCalendarAdvance(Calendar,X1366,W1367,"f",FALSE)</f>
        <v>48597</v>
      </c>
      <c r="Y1367" s="173">
        <f>_xll.qlCalendarAdvance(Calendar,X1367,NDays&amp;"D")</f>
        <v>48597</v>
      </c>
      <c r="Z1367" s="174">
        <v>2.3116381802270602E-2</v>
      </c>
      <c r="AA1367" s="177"/>
    </row>
    <row r="1368" spans="22:27" x14ac:dyDescent="0.2">
      <c r="V1368" s="163"/>
      <c r="W1368" s="158" t="str">
        <f t="shared" si="33"/>
        <v>1w</v>
      </c>
      <c r="X1368" s="168">
        <f>_xll.qlCalendarAdvance(Calendar,X1367,W1368,"f",FALSE)</f>
        <v>48604</v>
      </c>
      <c r="Y1368" s="173">
        <f>_xll.qlCalendarAdvance(Calendar,X1368,NDays&amp;"D")</f>
        <v>48604</v>
      </c>
      <c r="Z1368" s="174">
        <v>2.3115024893829439E-2</v>
      </c>
      <c r="AA1368" s="177"/>
    </row>
    <row r="1369" spans="22:27" x14ac:dyDescent="0.2">
      <c r="V1369" s="163"/>
      <c r="W1369" s="158" t="str">
        <f t="shared" si="33"/>
        <v>1w</v>
      </c>
      <c r="X1369" s="168">
        <f>_xll.qlCalendarAdvance(Calendar,X1368,W1369,"f",FALSE)</f>
        <v>48611</v>
      </c>
      <c r="Y1369" s="173">
        <f>_xll.qlCalendarAdvance(Calendar,X1369,NDays&amp;"D")</f>
        <v>48611</v>
      </c>
      <c r="Z1369" s="174">
        <v>2.3113556166969307E-2</v>
      </c>
      <c r="AA1369" s="177"/>
    </row>
    <row r="1370" spans="22:27" x14ac:dyDescent="0.2">
      <c r="V1370" s="163"/>
      <c r="W1370" s="158" t="str">
        <f t="shared" si="33"/>
        <v>1w</v>
      </c>
      <c r="X1370" s="168">
        <f>_xll.qlCalendarAdvance(Calendar,X1369,W1370,"f",FALSE)</f>
        <v>48618</v>
      </c>
      <c r="Y1370" s="173">
        <f>_xll.qlCalendarAdvance(Calendar,X1370,NDays&amp;"D")</f>
        <v>48618</v>
      </c>
      <c r="Z1370" s="174">
        <v>2.3111975621447067E-2</v>
      </c>
      <c r="AA1370" s="177"/>
    </row>
    <row r="1371" spans="22:27" x14ac:dyDescent="0.2">
      <c r="V1371" s="163"/>
      <c r="W1371" s="158" t="str">
        <f t="shared" si="33"/>
        <v>1w</v>
      </c>
      <c r="X1371" s="168">
        <f>_xll.qlCalendarAdvance(Calendar,X1370,W1371,"f",FALSE)</f>
        <v>48625</v>
      </c>
      <c r="Y1371" s="173">
        <f>_xll.qlCalendarAdvance(Calendar,X1371,NDays&amp;"D")</f>
        <v>48625</v>
      </c>
      <c r="Z1371" s="174">
        <v>2.3110283257424813E-2</v>
      </c>
      <c r="AA1371" s="177"/>
    </row>
    <row r="1372" spans="22:27" x14ac:dyDescent="0.2">
      <c r="V1372" s="163"/>
      <c r="W1372" s="158" t="str">
        <f t="shared" si="33"/>
        <v>1w</v>
      </c>
      <c r="X1372" s="168">
        <f>_xll.qlCalendarAdvance(Calendar,X1371,W1372,"f",FALSE)</f>
        <v>48632</v>
      </c>
      <c r="Y1372" s="173">
        <f>_xll.qlCalendarAdvance(Calendar,X1372,NDays&amp;"D")</f>
        <v>48632</v>
      </c>
      <c r="Z1372" s="174">
        <v>2.3108479074902544E-2</v>
      </c>
      <c r="AA1372" s="177"/>
    </row>
    <row r="1373" spans="22:27" x14ac:dyDescent="0.2">
      <c r="V1373" s="163"/>
      <c r="W1373" s="158" t="str">
        <f t="shared" si="33"/>
        <v>1w</v>
      </c>
      <c r="X1373" s="168">
        <f>_xll.qlCalendarAdvance(Calendar,X1372,W1373,"f",FALSE)</f>
        <v>48639</v>
      </c>
      <c r="Y1373" s="173">
        <f>_xll.qlCalendarAdvance(Calendar,X1373,NDays&amp;"D")</f>
        <v>48639</v>
      </c>
      <c r="Z1373" s="174">
        <v>2.310656307388026E-2</v>
      </c>
      <c r="AA1373" s="177"/>
    </row>
    <row r="1374" spans="22:27" x14ac:dyDescent="0.2">
      <c r="V1374" s="163"/>
      <c r="W1374" s="158" t="str">
        <f t="shared" si="33"/>
        <v>1w</v>
      </c>
      <c r="X1374" s="168">
        <f>_xll.qlCalendarAdvance(Calendar,X1373,W1374,"f",FALSE)</f>
        <v>48646</v>
      </c>
      <c r="Y1374" s="173">
        <f>_xll.qlCalendarAdvance(Calendar,X1374,NDays&amp;"D")</f>
        <v>48646</v>
      </c>
      <c r="Z1374" s="174">
        <v>2.3104535254276914E-2</v>
      </c>
      <c r="AA1374" s="177"/>
    </row>
    <row r="1375" spans="22:27" x14ac:dyDescent="0.2">
      <c r="V1375" s="163"/>
      <c r="W1375" s="158" t="str">
        <f t="shared" si="33"/>
        <v>1w</v>
      </c>
      <c r="X1375" s="168">
        <f>_xll.qlCalendarAdvance(Calendar,X1374,W1375,"f",FALSE)</f>
        <v>48653</v>
      </c>
      <c r="Y1375" s="173">
        <f>_xll.qlCalendarAdvance(Calendar,X1375,NDays&amp;"D")</f>
        <v>48653</v>
      </c>
      <c r="Z1375" s="174">
        <v>2.3102395616173554E-2</v>
      </c>
      <c r="AA1375" s="177"/>
    </row>
    <row r="1376" spans="22:27" x14ac:dyDescent="0.2">
      <c r="V1376" s="163"/>
      <c r="W1376" s="158" t="str">
        <f t="shared" si="33"/>
        <v>1w</v>
      </c>
      <c r="X1376" s="168">
        <f>_xll.qlCalendarAdvance(Calendar,X1375,W1376,"f",FALSE)</f>
        <v>48660</v>
      </c>
      <c r="Y1376" s="173">
        <f>_xll.qlCalendarAdvance(Calendar,X1376,NDays&amp;"D")</f>
        <v>48660</v>
      </c>
      <c r="Z1376" s="174">
        <v>2.3100144159489133E-2</v>
      </c>
      <c r="AA1376" s="177"/>
    </row>
    <row r="1377" spans="22:27" x14ac:dyDescent="0.2">
      <c r="V1377" s="163"/>
      <c r="W1377" s="158" t="str">
        <f t="shared" si="33"/>
        <v>1w</v>
      </c>
      <c r="X1377" s="168">
        <f>_xll.qlCalendarAdvance(Calendar,X1376,W1377,"f",FALSE)</f>
        <v>48667</v>
      </c>
      <c r="Y1377" s="173">
        <f>_xll.qlCalendarAdvance(Calendar,X1377,NDays&amp;"D")</f>
        <v>48667</v>
      </c>
      <c r="Z1377" s="174">
        <v>2.3097780884304697E-2</v>
      </c>
      <c r="AA1377" s="177"/>
    </row>
    <row r="1378" spans="22:27" x14ac:dyDescent="0.2">
      <c r="V1378" s="163"/>
      <c r="W1378" s="158" t="str">
        <f t="shared" si="33"/>
        <v>1w</v>
      </c>
      <c r="X1378" s="168">
        <f>_xll.qlCalendarAdvance(Calendar,X1377,W1378,"f",FALSE)</f>
        <v>48674</v>
      </c>
      <c r="Y1378" s="173">
        <f>_xll.qlCalendarAdvance(Calendar,X1378,NDays&amp;"D")</f>
        <v>48674</v>
      </c>
      <c r="Z1378" s="174">
        <v>2.3095305790701293E-2</v>
      </c>
      <c r="AA1378" s="177"/>
    </row>
    <row r="1379" spans="22:27" x14ac:dyDescent="0.2">
      <c r="V1379" s="163"/>
      <c r="W1379" s="158" t="str">
        <f t="shared" si="33"/>
        <v>1w</v>
      </c>
      <c r="X1379" s="168">
        <f>_xll.qlCalendarAdvance(Calendar,X1378,W1379,"f",FALSE)</f>
        <v>48681</v>
      </c>
      <c r="Y1379" s="173">
        <f>_xll.qlCalendarAdvance(Calendar,X1379,NDays&amp;"D")</f>
        <v>48681</v>
      </c>
      <c r="Z1379" s="174">
        <v>2.3092718878435781E-2</v>
      </c>
      <c r="AA1379" s="177"/>
    </row>
    <row r="1380" spans="22:27" x14ac:dyDescent="0.2">
      <c r="V1380" s="163"/>
      <c r="W1380" s="158" t="str">
        <f t="shared" si="33"/>
        <v>1w</v>
      </c>
      <c r="X1380" s="168">
        <f>_xll.qlCalendarAdvance(Calendar,X1379,W1380,"f",FALSE)</f>
        <v>48688</v>
      </c>
      <c r="Y1380" s="173">
        <f>_xll.qlCalendarAdvance(Calendar,X1380,NDays&amp;"D")</f>
        <v>48688</v>
      </c>
      <c r="Z1380" s="174">
        <v>2.3090020147670254E-2</v>
      </c>
      <c r="AA1380" s="177"/>
    </row>
    <row r="1381" spans="22:27" x14ac:dyDescent="0.2">
      <c r="V1381" s="163"/>
      <c r="W1381" s="158" t="str">
        <f t="shared" si="33"/>
        <v>1w</v>
      </c>
      <c r="X1381" s="168">
        <f>_xll.qlCalendarAdvance(Calendar,X1380,W1381,"f",FALSE)</f>
        <v>48695</v>
      </c>
      <c r="Y1381" s="173">
        <f>_xll.qlCalendarAdvance(Calendar,X1381,NDays&amp;"D")</f>
        <v>48695</v>
      </c>
      <c r="Z1381" s="174">
        <v>2.3087209598485758E-2</v>
      </c>
      <c r="AA1381" s="177"/>
    </row>
    <row r="1382" spans="22:27" x14ac:dyDescent="0.2">
      <c r="V1382" s="163"/>
      <c r="W1382" s="158" t="str">
        <f t="shared" si="33"/>
        <v>1w</v>
      </c>
      <c r="X1382" s="168">
        <f>_xll.qlCalendarAdvance(Calendar,X1381,W1382,"f",FALSE)</f>
        <v>48705</v>
      </c>
      <c r="Y1382" s="173">
        <f>_xll.qlCalendarAdvance(Calendar,X1382,NDays&amp;"D")</f>
        <v>48705</v>
      </c>
      <c r="Z1382" s="174">
        <v>2.3084026111544292E-2</v>
      </c>
      <c r="AA1382" s="177"/>
    </row>
    <row r="1383" spans="22:27" x14ac:dyDescent="0.2">
      <c r="V1383" s="163"/>
      <c r="W1383" s="158" t="str">
        <f t="shared" si="33"/>
        <v>1w</v>
      </c>
      <c r="X1383" s="168">
        <f>_xll.qlCalendarAdvance(Calendar,X1382,W1383,"f",FALSE)</f>
        <v>48712</v>
      </c>
      <c r="Y1383" s="173">
        <f>_xll.qlCalendarAdvance(Calendar,X1383,NDays&amp;"D")</f>
        <v>48712</v>
      </c>
      <c r="Z1383" s="174">
        <v>2.3080927637153529E-2</v>
      </c>
      <c r="AA1383" s="177"/>
    </row>
    <row r="1384" spans="22:27" x14ac:dyDescent="0.2">
      <c r="V1384" s="163"/>
      <c r="W1384" s="158" t="str">
        <f t="shared" si="33"/>
        <v>1w</v>
      </c>
      <c r="X1384" s="168">
        <f>_xll.qlCalendarAdvance(Calendar,X1383,W1384,"f",FALSE)</f>
        <v>48719</v>
      </c>
      <c r="Y1384" s="173">
        <f>_xll.qlCalendarAdvance(Calendar,X1384,NDays&amp;"D")</f>
        <v>48719</v>
      </c>
      <c r="Z1384" s="174">
        <v>2.3077717330187712E-2</v>
      </c>
      <c r="AA1384" s="177"/>
    </row>
    <row r="1385" spans="22:27" x14ac:dyDescent="0.2">
      <c r="V1385" s="163"/>
      <c r="W1385" s="158" t="str">
        <f t="shared" si="33"/>
        <v>1w</v>
      </c>
      <c r="X1385" s="168">
        <f>_xll.qlCalendarAdvance(Calendar,X1384,W1385,"f",FALSE)</f>
        <v>48726</v>
      </c>
      <c r="Y1385" s="173">
        <f>_xll.qlCalendarAdvance(Calendar,X1385,NDays&amp;"D")</f>
        <v>48726</v>
      </c>
      <c r="Z1385" s="174">
        <v>2.3074395190619826E-2</v>
      </c>
      <c r="AA1385" s="177"/>
    </row>
    <row r="1386" spans="22:27" x14ac:dyDescent="0.2">
      <c r="V1386" s="163"/>
      <c r="W1386" s="158" t="str">
        <f t="shared" si="33"/>
        <v>1w</v>
      </c>
      <c r="X1386" s="168">
        <f>_xll.qlCalendarAdvance(Calendar,X1385,W1386,"f",FALSE)</f>
        <v>48733</v>
      </c>
      <c r="Y1386" s="173">
        <f>_xll.qlCalendarAdvance(Calendar,X1386,NDays&amp;"D")</f>
        <v>48733</v>
      </c>
      <c r="Z1386" s="174">
        <v>2.3070961218503903E-2</v>
      </c>
      <c r="AA1386" s="177"/>
    </row>
    <row r="1387" spans="22:27" x14ac:dyDescent="0.2">
      <c r="V1387" s="163"/>
      <c r="W1387" s="158" t="str">
        <f t="shared" si="33"/>
        <v>1w</v>
      </c>
      <c r="X1387" s="168">
        <f>_xll.qlCalendarAdvance(Calendar,X1386,W1387,"f",FALSE)</f>
        <v>48740</v>
      </c>
      <c r="Y1387" s="173">
        <f>_xll.qlCalendarAdvance(Calendar,X1387,NDays&amp;"D")</f>
        <v>48740</v>
      </c>
      <c r="Z1387" s="174">
        <v>2.3067415413812929E-2</v>
      </c>
      <c r="AA1387" s="177"/>
    </row>
    <row r="1388" spans="22:27" x14ac:dyDescent="0.2">
      <c r="V1388" s="163"/>
      <c r="W1388" s="158" t="str">
        <f t="shared" si="33"/>
        <v>1w</v>
      </c>
      <c r="X1388" s="168">
        <f>_xll.qlCalendarAdvance(Calendar,X1387,W1388,"f",FALSE)</f>
        <v>48747</v>
      </c>
      <c r="Y1388" s="173">
        <f>_xll.qlCalendarAdvance(Calendar,X1388,NDays&amp;"D")</f>
        <v>48747</v>
      </c>
      <c r="Z1388" s="174">
        <v>2.3063757776573917E-2</v>
      </c>
      <c r="AA1388" s="177"/>
    </row>
    <row r="1389" spans="22:27" x14ac:dyDescent="0.2">
      <c r="V1389" s="163"/>
      <c r="W1389" s="158" t="str">
        <f t="shared" si="33"/>
        <v>1w</v>
      </c>
      <c r="X1389" s="168">
        <f>_xll.qlCalendarAdvance(Calendar,X1388,W1389,"f",FALSE)</f>
        <v>48754</v>
      </c>
      <c r="Y1389" s="173">
        <f>_xll.qlCalendarAdvance(Calendar,X1389,NDays&amp;"D")</f>
        <v>48754</v>
      </c>
      <c r="Z1389" s="174">
        <v>2.3059988306759854E-2</v>
      </c>
      <c r="AA1389" s="177"/>
    </row>
    <row r="1390" spans="22:27" x14ac:dyDescent="0.2">
      <c r="V1390" s="163"/>
      <c r="W1390" s="158" t="str">
        <f t="shared" si="33"/>
        <v>1w</v>
      </c>
      <c r="X1390" s="168">
        <f>_xll.qlCalendarAdvance(Calendar,X1389,W1390,"f",FALSE)</f>
        <v>48761</v>
      </c>
      <c r="Y1390" s="173">
        <f>_xll.qlCalendarAdvance(Calendar,X1390,NDays&amp;"D")</f>
        <v>48761</v>
      </c>
      <c r="Z1390" s="174">
        <v>2.3056107004451785E-2</v>
      </c>
      <c r="AA1390" s="177"/>
    </row>
    <row r="1391" spans="22:27" x14ac:dyDescent="0.2">
      <c r="V1391" s="163"/>
      <c r="W1391" s="158" t="str">
        <f t="shared" si="33"/>
        <v>1w</v>
      </c>
      <c r="X1391" s="168">
        <f>_xll.qlCalendarAdvance(Calendar,X1390,W1391,"f",FALSE)</f>
        <v>48768</v>
      </c>
      <c r="Y1391" s="173">
        <f>_xll.qlCalendarAdvance(Calendar,X1391,NDays&amp;"D")</f>
        <v>48768</v>
      </c>
      <c r="Z1391" s="174">
        <v>2.3052113869595679E-2</v>
      </c>
      <c r="AA1391" s="177"/>
    </row>
    <row r="1392" spans="22:27" x14ac:dyDescent="0.2">
      <c r="V1392" s="163"/>
      <c r="W1392" s="158" t="str">
        <f t="shared" si="33"/>
        <v>1w</v>
      </c>
      <c r="X1392" s="168">
        <f>_xll.qlCalendarAdvance(Calendar,X1391,W1392,"f",FALSE)</f>
        <v>48775</v>
      </c>
      <c r="Y1392" s="173">
        <f>_xll.qlCalendarAdvance(Calendar,X1392,NDays&amp;"D")</f>
        <v>48775</v>
      </c>
      <c r="Z1392" s="174">
        <v>2.3048438381764735E-2</v>
      </c>
      <c r="AA1392" s="177"/>
    </row>
    <row r="1393" spans="22:27" x14ac:dyDescent="0.2">
      <c r="V1393" s="163"/>
      <c r="W1393" s="158" t="str">
        <f t="shared" si="33"/>
        <v>1w</v>
      </c>
      <c r="X1393" s="168">
        <f>_xll.qlCalendarAdvance(Calendar,X1392,W1393,"f",FALSE)</f>
        <v>48782</v>
      </c>
      <c r="Y1393" s="173">
        <f>_xll.qlCalendarAdvance(Calendar,X1393,NDays&amp;"D")</f>
        <v>48782</v>
      </c>
      <c r="Z1393" s="174">
        <v>2.3043792102374432E-2</v>
      </c>
      <c r="AA1393" s="177"/>
    </row>
    <row r="1394" spans="22:27" x14ac:dyDescent="0.2">
      <c r="V1394" s="163"/>
      <c r="W1394" s="158" t="str">
        <f t="shared" si="33"/>
        <v>1w</v>
      </c>
      <c r="X1394" s="168">
        <f>_xll.qlCalendarAdvance(Calendar,X1393,W1394,"f",FALSE)</f>
        <v>48789</v>
      </c>
      <c r="Y1394" s="173">
        <f>_xll.qlCalendarAdvance(Calendar,X1394,NDays&amp;"D")</f>
        <v>48789</v>
      </c>
      <c r="Z1394" s="174">
        <v>2.3039463470036308E-2</v>
      </c>
      <c r="AA1394" s="177"/>
    </row>
    <row r="1395" spans="22:27" x14ac:dyDescent="0.2">
      <c r="V1395" s="163"/>
      <c r="W1395" s="158" t="str">
        <f t="shared" si="33"/>
        <v>1w</v>
      </c>
      <c r="X1395" s="168">
        <f>_xll.qlCalendarAdvance(Calendar,X1394,W1395,"f",FALSE)</f>
        <v>48796</v>
      </c>
      <c r="Y1395" s="173">
        <f>_xll.qlCalendarAdvance(Calendar,X1395,NDays&amp;"D")</f>
        <v>48796</v>
      </c>
      <c r="Z1395" s="174">
        <v>2.3035023005231196E-2</v>
      </c>
      <c r="AA1395" s="177"/>
    </row>
    <row r="1396" spans="22:27" x14ac:dyDescent="0.2">
      <c r="V1396" s="163"/>
      <c r="W1396" s="158" t="str">
        <f t="shared" si="33"/>
        <v>1w</v>
      </c>
      <c r="X1396" s="168">
        <f>_xll.qlCalendarAdvance(Calendar,X1395,W1396,"f",FALSE)</f>
        <v>48803</v>
      </c>
      <c r="Y1396" s="173">
        <f>_xll.qlCalendarAdvance(Calendar,X1396,NDays&amp;"D")</f>
        <v>48803</v>
      </c>
      <c r="Z1396" s="174">
        <v>2.3030470707932075E-2</v>
      </c>
      <c r="AA1396" s="177"/>
    </row>
    <row r="1397" spans="22:27" x14ac:dyDescent="0.2">
      <c r="V1397" s="163"/>
      <c r="W1397" s="158" t="str">
        <f t="shared" si="33"/>
        <v>1w</v>
      </c>
      <c r="X1397" s="168">
        <f>_xll.qlCalendarAdvance(Calendar,X1396,W1397,"f",FALSE)</f>
        <v>48810</v>
      </c>
      <c r="Y1397" s="173">
        <f>_xll.qlCalendarAdvance(Calendar,X1397,NDays&amp;"D")</f>
        <v>48810</v>
      </c>
      <c r="Z1397" s="174">
        <v>2.3025806578192979E-2</v>
      </c>
      <c r="AA1397" s="177"/>
    </row>
    <row r="1398" spans="22:27" x14ac:dyDescent="0.2">
      <c r="V1398" s="163"/>
      <c r="W1398" s="158" t="str">
        <f t="shared" si="33"/>
        <v>1w</v>
      </c>
      <c r="X1398" s="168">
        <f>_xll.qlCalendarAdvance(Calendar,X1397,W1398,"f",FALSE)</f>
        <v>48817</v>
      </c>
      <c r="Y1398" s="173">
        <f>_xll.qlCalendarAdvance(Calendar,X1398,NDays&amp;"D")</f>
        <v>48817</v>
      </c>
      <c r="Z1398" s="174">
        <v>2.3021030615986891E-2</v>
      </c>
      <c r="AA1398" s="177"/>
    </row>
    <row r="1399" spans="22:27" x14ac:dyDescent="0.2">
      <c r="V1399" s="163"/>
      <c r="W1399" s="158" t="str">
        <f t="shared" si="33"/>
        <v>1w</v>
      </c>
      <c r="X1399" s="168">
        <f>_xll.qlCalendarAdvance(Calendar,X1398,W1399,"f",FALSE)</f>
        <v>48824</v>
      </c>
      <c r="Y1399" s="173">
        <f>_xll.qlCalendarAdvance(Calendar,X1399,NDays&amp;"D")</f>
        <v>48824</v>
      </c>
      <c r="Z1399" s="174">
        <v>2.3016142821421875E-2</v>
      </c>
      <c r="AA1399" s="177"/>
    </row>
    <row r="1400" spans="22:27" x14ac:dyDescent="0.2">
      <c r="V1400" s="163"/>
      <c r="W1400" s="158" t="str">
        <f t="shared" si="33"/>
        <v>1w</v>
      </c>
      <c r="X1400" s="168">
        <f>_xll.qlCalendarAdvance(Calendar,X1399,W1400,"f",FALSE)</f>
        <v>48831</v>
      </c>
      <c r="Y1400" s="173">
        <f>_xll.qlCalendarAdvance(Calendar,X1400,NDays&amp;"D")</f>
        <v>48831</v>
      </c>
      <c r="Z1400" s="174">
        <v>2.301114319438987E-2</v>
      </c>
      <c r="AA1400" s="177"/>
    </row>
    <row r="1401" spans="22:27" x14ac:dyDescent="0.2">
      <c r="V1401" s="163"/>
      <c r="W1401" s="158" t="str">
        <f t="shared" si="33"/>
        <v>1w</v>
      </c>
      <c r="X1401" s="168">
        <f>_xll.qlCalendarAdvance(Calendar,X1400,W1401,"f",FALSE)</f>
        <v>48838</v>
      </c>
      <c r="Y1401" s="173">
        <f>_xll.qlCalendarAdvance(Calendar,X1401,NDays&amp;"D")</f>
        <v>48838</v>
      </c>
      <c r="Z1401" s="174">
        <v>2.3006386669648382E-2</v>
      </c>
      <c r="AA1401" s="177"/>
    </row>
    <row r="1402" spans="22:27" x14ac:dyDescent="0.2">
      <c r="V1402" s="163"/>
      <c r="W1402" s="158" t="str">
        <f t="shared" si="33"/>
        <v>1w</v>
      </c>
      <c r="X1402" s="168">
        <f>_xll.qlCalendarAdvance(Calendar,X1401,W1402,"f",FALSE)</f>
        <v>48848</v>
      </c>
      <c r="Y1402" s="173">
        <f>_xll.qlCalendarAdvance(Calendar,X1402,NDays&amp;"D")</f>
        <v>48848</v>
      </c>
      <c r="Z1402" s="174">
        <v>2.2997847220005418E-2</v>
      </c>
      <c r="AA1402" s="177"/>
    </row>
    <row r="1403" spans="22:27" x14ac:dyDescent="0.2">
      <c r="V1403" s="163"/>
      <c r="W1403" s="158" t="str">
        <f t="shared" si="33"/>
        <v>1w</v>
      </c>
      <c r="X1403" s="168">
        <f>_xll.qlCalendarAdvance(Calendar,X1402,W1403,"f",FALSE)</f>
        <v>48855</v>
      </c>
      <c r="Y1403" s="173">
        <f>_xll.qlCalendarAdvance(Calendar,X1403,NDays&amp;"D")</f>
        <v>48855</v>
      </c>
      <c r="Z1403" s="174">
        <v>2.2992480819947758E-2</v>
      </c>
      <c r="AA1403" s="177"/>
    </row>
    <row r="1404" spans="22:27" x14ac:dyDescent="0.2">
      <c r="V1404" s="163"/>
      <c r="W1404" s="158" t="str">
        <f t="shared" si="33"/>
        <v>1w</v>
      </c>
      <c r="X1404" s="168">
        <f>_xll.qlCalendarAdvance(Calendar,X1403,W1404,"f",FALSE)</f>
        <v>48863</v>
      </c>
      <c r="Y1404" s="173">
        <f>_xll.qlCalendarAdvance(Calendar,X1404,NDays&amp;"D")</f>
        <v>48863</v>
      </c>
      <c r="Z1404" s="174">
        <v>2.2986210870808987E-2</v>
      </c>
      <c r="AA1404" s="177"/>
    </row>
    <row r="1405" spans="22:27" x14ac:dyDescent="0.2">
      <c r="V1405" s="163"/>
      <c r="W1405" s="158" t="str">
        <f t="shared" si="33"/>
        <v>1w</v>
      </c>
      <c r="X1405" s="168">
        <f>_xll.qlCalendarAdvance(Calendar,X1404,W1405,"f",FALSE)</f>
        <v>48870</v>
      </c>
      <c r="Y1405" s="173">
        <f>_xll.qlCalendarAdvance(Calendar,X1405,NDays&amp;"D")</f>
        <v>48870</v>
      </c>
      <c r="Z1405" s="174">
        <v>2.2980604859772491E-2</v>
      </c>
      <c r="AA1405" s="177"/>
    </row>
    <row r="1406" spans="22:27" x14ac:dyDescent="0.2">
      <c r="V1406" s="163"/>
      <c r="W1406" s="158" t="str">
        <f t="shared" si="33"/>
        <v>1w</v>
      </c>
      <c r="X1406" s="168">
        <f>_xll.qlCalendarAdvance(Calendar,X1405,W1406,"f",FALSE)</f>
        <v>48877</v>
      </c>
      <c r="Y1406" s="173">
        <f>_xll.qlCalendarAdvance(Calendar,X1406,NDays&amp;"D")</f>
        <v>48877</v>
      </c>
      <c r="Z1406" s="174">
        <v>2.2974887030317026E-2</v>
      </c>
      <c r="AA1406" s="177"/>
    </row>
    <row r="1407" spans="22:27" x14ac:dyDescent="0.2">
      <c r="V1407" s="163"/>
      <c r="W1407" s="158" t="str">
        <f t="shared" si="33"/>
        <v>1w</v>
      </c>
      <c r="X1407" s="168">
        <f>_xll.qlCalendarAdvance(Calendar,X1406,W1407,"f",FALSE)</f>
        <v>48884</v>
      </c>
      <c r="Y1407" s="173">
        <f>_xll.qlCalendarAdvance(Calendar,X1407,NDays&amp;"D")</f>
        <v>48884</v>
      </c>
      <c r="Z1407" s="174">
        <v>2.2969057382523639E-2</v>
      </c>
      <c r="AA1407" s="177"/>
    </row>
    <row r="1408" spans="22:27" x14ac:dyDescent="0.2">
      <c r="V1408" s="163"/>
      <c r="W1408" s="158" t="str">
        <f t="shared" si="33"/>
        <v>1w</v>
      </c>
      <c r="X1408" s="168">
        <f>_xll.qlCalendarAdvance(Calendar,X1407,W1408,"f",FALSE)</f>
        <v>48891</v>
      </c>
      <c r="Y1408" s="173">
        <f>_xll.qlCalendarAdvance(Calendar,X1408,NDays&amp;"D")</f>
        <v>48891</v>
      </c>
      <c r="Z1408" s="174">
        <v>2.2963115916392329E-2</v>
      </c>
      <c r="AA1408" s="177"/>
    </row>
    <row r="1409" spans="22:27" x14ac:dyDescent="0.2">
      <c r="V1409" s="163"/>
      <c r="W1409" s="158" t="str">
        <f t="shared" si="33"/>
        <v>1w</v>
      </c>
      <c r="X1409" s="168">
        <f>_xll.qlCalendarAdvance(Calendar,X1408,W1409,"f",FALSE)</f>
        <v>48898</v>
      </c>
      <c r="Y1409" s="173">
        <f>_xll.qlCalendarAdvance(Calendar,X1409,NDays&amp;"D")</f>
        <v>48898</v>
      </c>
      <c r="Z1409" s="174">
        <v>2.2957062631761005E-2</v>
      </c>
      <c r="AA1409" s="177"/>
    </row>
    <row r="1410" spans="22:27" x14ac:dyDescent="0.2">
      <c r="V1410" s="163"/>
      <c r="W1410" s="158" t="str">
        <f t="shared" si="33"/>
        <v>1w</v>
      </c>
      <c r="X1410" s="168">
        <f>_xll.qlCalendarAdvance(Calendar,X1409,W1410,"f",FALSE)</f>
        <v>48905</v>
      </c>
      <c r="Y1410" s="173">
        <f>_xll.qlCalendarAdvance(Calendar,X1410,NDays&amp;"D")</f>
        <v>48905</v>
      </c>
      <c r="Z1410" s="174">
        <v>2.2951174138937658E-2</v>
      </c>
      <c r="AA1410" s="177"/>
    </row>
    <row r="1411" spans="22:27" x14ac:dyDescent="0.2">
      <c r="V1411" s="163"/>
      <c r="W1411" s="158" t="str">
        <f t="shared" si="33"/>
        <v>1w</v>
      </c>
      <c r="X1411" s="168">
        <f>_xll.qlCalendarAdvance(Calendar,X1410,W1411,"f",FALSE)</f>
        <v>48912</v>
      </c>
      <c r="Y1411" s="173">
        <f>_xll.qlCalendarAdvance(Calendar,X1411,NDays&amp;"D")</f>
        <v>48912</v>
      </c>
      <c r="Z1411" s="174">
        <v>2.2944620607322497E-2</v>
      </c>
      <c r="AA1411" s="177"/>
    </row>
    <row r="1412" spans="22:27" x14ac:dyDescent="0.2">
      <c r="V1412" s="163"/>
      <c r="W1412" s="158" t="str">
        <f t="shared" si="33"/>
        <v>1w</v>
      </c>
      <c r="X1412" s="168">
        <f>_xll.qlCalendarAdvance(Calendar,X1411,W1412,"f",FALSE)</f>
        <v>48919</v>
      </c>
      <c r="Y1412" s="173">
        <f>_xll.qlCalendarAdvance(Calendar,X1412,NDays&amp;"D")</f>
        <v>48919</v>
      </c>
      <c r="Z1412" s="174">
        <v>2.2938231867596359E-2</v>
      </c>
      <c r="AA1412" s="177"/>
    </row>
    <row r="1413" spans="22:27" x14ac:dyDescent="0.2">
      <c r="V1413" s="163"/>
      <c r="W1413" s="158" t="str">
        <f t="shared" si="33"/>
        <v>1w</v>
      </c>
      <c r="X1413" s="168">
        <f>_xll.qlCalendarAdvance(Calendar,X1412,W1413,"f",FALSE)</f>
        <v>48926</v>
      </c>
      <c r="Y1413" s="173">
        <f>_xll.qlCalendarAdvance(Calendar,X1413,NDays&amp;"D")</f>
        <v>48926</v>
      </c>
      <c r="Z1413" s="174">
        <v>2.2931731309451253E-2</v>
      </c>
      <c r="AA1413" s="177"/>
    </row>
    <row r="1414" spans="22:27" x14ac:dyDescent="0.2">
      <c r="V1414" s="163"/>
      <c r="W1414" s="158" t="str">
        <f t="shared" si="33"/>
        <v>1w</v>
      </c>
      <c r="X1414" s="168">
        <f>_xll.qlCalendarAdvance(Calendar,X1413,W1414,"f",FALSE)</f>
        <v>48933</v>
      </c>
      <c r="Y1414" s="173">
        <f>_xll.qlCalendarAdvance(Calendar,X1414,NDays&amp;"D")</f>
        <v>48933</v>
      </c>
      <c r="Z1414" s="174">
        <v>2.2925118932968225E-2</v>
      </c>
      <c r="AA1414" s="177"/>
    </row>
    <row r="1415" spans="22:27" x14ac:dyDescent="0.2">
      <c r="V1415" s="163"/>
      <c r="W1415" s="158" t="str">
        <f t="shared" si="33"/>
        <v>1w</v>
      </c>
      <c r="X1415" s="168">
        <f>_xll.qlCalendarAdvance(Calendar,X1414,W1415,"f",FALSE)</f>
        <v>48940</v>
      </c>
      <c r="Y1415" s="173">
        <f>_xll.qlCalendarAdvance(Calendar,X1415,NDays&amp;"D")</f>
        <v>48940</v>
      </c>
      <c r="Z1415" s="174">
        <v>2.2918394738066228E-2</v>
      </c>
      <c r="AA1415" s="177"/>
    </row>
    <row r="1416" spans="22:27" x14ac:dyDescent="0.2">
      <c r="V1416" s="163"/>
      <c r="W1416" s="158" t="str">
        <f t="shared" si="33"/>
        <v>1w</v>
      </c>
      <c r="X1416" s="168">
        <f>_xll.qlCalendarAdvance(Calendar,X1415,W1416,"f",FALSE)</f>
        <v>48948</v>
      </c>
      <c r="Y1416" s="173">
        <f>_xll.qlCalendarAdvance(Calendar,X1416,NDays&amp;"D")</f>
        <v>48948</v>
      </c>
      <c r="Z1416" s="174">
        <v>2.2910573023425806E-2</v>
      </c>
      <c r="AA1416" s="177"/>
    </row>
    <row r="1417" spans="22:27" x14ac:dyDescent="0.2">
      <c r="V1417" s="163"/>
      <c r="W1417" s="158" t="str">
        <f t="shared" si="33"/>
        <v>1w</v>
      </c>
      <c r="X1417" s="168">
        <f>_xll.qlCalendarAdvance(Calendar,X1416,W1417,"f",FALSE)</f>
        <v>48955</v>
      </c>
      <c r="Y1417" s="173">
        <f>_xll.qlCalendarAdvance(Calendar,X1417,NDays&amp;"D")</f>
        <v>48955</v>
      </c>
      <c r="Z1417" s="174">
        <v>2.2903609217788112E-2</v>
      </c>
      <c r="AA1417" s="177"/>
    </row>
    <row r="1418" spans="22:27" x14ac:dyDescent="0.2">
      <c r="V1418" s="163"/>
      <c r="W1418" s="158" t="str">
        <f t="shared" si="33"/>
        <v>1w</v>
      </c>
      <c r="X1418" s="168">
        <f>_xll.qlCalendarAdvance(Calendar,X1417,W1418,"f",FALSE)</f>
        <v>48962</v>
      </c>
      <c r="Y1418" s="173">
        <f>_xll.qlCalendarAdvance(Calendar,X1418,NDays&amp;"D")</f>
        <v>48962</v>
      </c>
      <c r="Z1418" s="174">
        <v>2.2896533593812496E-2</v>
      </c>
      <c r="AA1418" s="177"/>
    </row>
    <row r="1419" spans="22:27" x14ac:dyDescent="0.2">
      <c r="V1419" s="163"/>
      <c r="W1419" s="158" t="str">
        <f t="shared" si="33"/>
        <v>1w</v>
      </c>
      <c r="X1419" s="168">
        <f>_xll.qlCalendarAdvance(Calendar,X1418,W1419,"f",FALSE)</f>
        <v>48969</v>
      </c>
      <c r="Y1419" s="173">
        <f>_xll.qlCalendarAdvance(Calendar,X1419,NDays&amp;"D")</f>
        <v>48969</v>
      </c>
      <c r="Z1419" s="174">
        <v>2.2889346151498957E-2</v>
      </c>
      <c r="AA1419" s="177"/>
    </row>
    <row r="1420" spans="22:27" x14ac:dyDescent="0.2">
      <c r="V1420" s="163"/>
      <c r="W1420" s="158" t="str">
        <f t="shared" si="33"/>
        <v>1w</v>
      </c>
      <c r="X1420" s="168">
        <f>_xll.qlCalendarAdvance(Calendar,X1419,W1420,"f",FALSE)</f>
        <v>48976</v>
      </c>
      <c r="Y1420" s="173">
        <f>_xll.qlCalendarAdvance(Calendar,X1420,NDays&amp;"D")</f>
        <v>48976</v>
      </c>
      <c r="Z1420" s="174">
        <v>2.2882046890928542E-2</v>
      </c>
      <c r="AA1420" s="177"/>
    </row>
    <row r="1421" spans="22:27" x14ac:dyDescent="0.2">
      <c r="V1421" s="163"/>
      <c r="W1421" s="158" t="str">
        <f t="shared" ref="W1421:W1484" si="34">W1420</f>
        <v>1w</v>
      </c>
      <c r="X1421" s="168">
        <f>_xll.qlCalendarAdvance(Calendar,X1420,W1421,"f",FALSE)</f>
        <v>48983</v>
      </c>
      <c r="Y1421" s="173">
        <f>_xll.qlCalendarAdvance(Calendar,X1421,NDays&amp;"D")</f>
        <v>48983</v>
      </c>
      <c r="Z1421" s="174">
        <v>2.2874635812020205E-2</v>
      </c>
      <c r="AA1421" s="177"/>
    </row>
    <row r="1422" spans="22:27" x14ac:dyDescent="0.2">
      <c r="V1422" s="163"/>
      <c r="W1422" s="158" t="str">
        <f t="shared" si="34"/>
        <v>1w</v>
      </c>
      <c r="X1422" s="168">
        <f>_xll.qlCalendarAdvance(Calendar,X1421,W1422,"f",FALSE)</f>
        <v>48990</v>
      </c>
      <c r="Y1422" s="173">
        <f>_xll.qlCalendarAdvance(Calendar,X1422,NDays&amp;"D")</f>
        <v>48990</v>
      </c>
      <c r="Z1422" s="174">
        <v>2.28671129146929E-2</v>
      </c>
      <c r="AA1422" s="177"/>
    </row>
    <row r="1423" spans="22:27" x14ac:dyDescent="0.2">
      <c r="V1423" s="163"/>
      <c r="W1423" s="158" t="str">
        <f t="shared" si="34"/>
        <v>1w</v>
      </c>
      <c r="X1423" s="168">
        <f>_xll.qlCalendarAdvance(Calendar,X1422,W1423,"f",FALSE)</f>
        <v>48997</v>
      </c>
      <c r="Y1423" s="173">
        <f>_xll.qlCalendarAdvance(Calendar,X1423,NDays&amp;"D")</f>
        <v>48997</v>
      </c>
      <c r="Z1423" s="174">
        <v>2.2859478199189764E-2</v>
      </c>
      <c r="AA1423" s="177"/>
    </row>
    <row r="1424" spans="22:27" x14ac:dyDescent="0.2">
      <c r="V1424" s="163"/>
      <c r="W1424" s="158" t="str">
        <f t="shared" si="34"/>
        <v>1w</v>
      </c>
      <c r="X1424" s="168">
        <f>_xll.qlCalendarAdvance(Calendar,X1423,W1424,"f",FALSE)</f>
        <v>49004</v>
      </c>
      <c r="Y1424" s="173">
        <f>_xll.qlCalendarAdvance(Calendar,X1424,NDays&amp;"D")</f>
        <v>49004</v>
      </c>
      <c r="Z1424" s="174">
        <v>2.2851731665186614E-2</v>
      </c>
      <c r="AA1424" s="177"/>
    </row>
    <row r="1425" spans="22:27" x14ac:dyDescent="0.2">
      <c r="V1425" s="163"/>
      <c r="W1425" s="158" t="str">
        <f t="shared" si="34"/>
        <v>1w</v>
      </c>
      <c r="X1425" s="168">
        <f>_xll.qlCalendarAdvance(Calendar,X1424,W1425,"f",FALSE)</f>
        <v>49011</v>
      </c>
      <c r="Y1425" s="173">
        <f>_xll.qlCalendarAdvance(Calendar,X1425,NDays&amp;"D")</f>
        <v>49011</v>
      </c>
      <c r="Z1425" s="174">
        <v>2.2843873313007634E-2</v>
      </c>
      <c r="AA1425" s="177"/>
    </row>
    <row r="1426" spans="22:27" x14ac:dyDescent="0.2">
      <c r="V1426" s="163"/>
      <c r="W1426" s="158" t="str">
        <f t="shared" si="34"/>
        <v>1w</v>
      </c>
      <c r="X1426" s="168">
        <f>_xll.qlCalendarAdvance(Calendar,X1425,W1426,"f",FALSE)</f>
        <v>49018</v>
      </c>
      <c r="Y1426" s="173">
        <f>_xll.qlCalendarAdvance(Calendar,X1426,NDays&amp;"D")</f>
        <v>49018</v>
      </c>
      <c r="Z1426" s="174">
        <v>2.2835903142571778E-2</v>
      </c>
      <c r="AA1426" s="177"/>
    </row>
    <row r="1427" spans="22:27" x14ac:dyDescent="0.2">
      <c r="V1427" s="163"/>
      <c r="W1427" s="158" t="str">
        <f t="shared" si="34"/>
        <v>1w</v>
      </c>
      <c r="X1427" s="168">
        <f>_xll.qlCalendarAdvance(Calendar,X1426,W1427,"f",FALSE)</f>
        <v>49025</v>
      </c>
      <c r="Y1427" s="173">
        <f>_xll.qlCalendarAdvance(Calendar,X1427,NDays&amp;"D")</f>
        <v>49025</v>
      </c>
      <c r="Z1427" s="174">
        <v>2.2827821153798E-2</v>
      </c>
      <c r="AA1427" s="177"/>
    </row>
    <row r="1428" spans="22:27" x14ac:dyDescent="0.2">
      <c r="V1428" s="163"/>
      <c r="W1428" s="158" t="str">
        <f t="shared" si="34"/>
        <v>1w</v>
      </c>
      <c r="X1428" s="168">
        <f>_xll.qlCalendarAdvance(Calendar,X1427,W1428,"f",FALSE)</f>
        <v>49032</v>
      </c>
      <c r="Y1428" s="173">
        <f>_xll.qlCalendarAdvance(Calendar,X1428,NDays&amp;"D")</f>
        <v>49032</v>
      </c>
      <c r="Z1428" s="174">
        <v>2.2819627346767346E-2</v>
      </c>
      <c r="AA1428" s="177"/>
    </row>
    <row r="1429" spans="22:27" x14ac:dyDescent="0.2">
      <c r="V1429" s="163"/>
      <c r="W1429" s="158" t="str">
        <f t="shared" si="34"/>
        <v>1w</v>
      </c>
      <c r="X1429" s="168">
        <f>_xll.qlCalendarAdvance(Calendar,X1428,W1429,"f",FALSE)</f>
        <v>49039</v>
      </c>
      <c r="Y1429" s="173">
        <f>_xll.qlCalendarAdvance(Calendar,X1429,NDays&amp;"D")</f>
        <v>49039</v>
      </c>
      <c r="Z1429" s="174">
        <v>2.2811321721479816E-2</v>
      </c>
      <c r="AA1429" s="177"/>
    </row>
    <row r="1430" spans="22:27" x14ac:dyDescent="0.2">
      <c r="V1430" s="163"/>
      <c r="W1430" s="158" t="str">
        <f t="shared" si="34"/>
        <v>1w</v>
      </c>
      <c r="X1430" s="168">
        <f>_xll.qlCalendarAdvance(Calendar,X1429,W1430,"f",FALSE)</f>
        <v>49046</v>
      </c>
      <c r="Y1430" s="173">
        <f>_xll.qlCalendarAdvance(Calendar,X1430,NDays&amp;"D")</f>
        <v>49046</v>
      </c>
      <c r="Z1430" s="174">
        <v>2.280290427793541E-2</v>
      </c>
      <c r="AA1430" s="177"/>
    </row>
    <row r="1431" spans="22:27" x14ac:dyDescent="0.2">
      <c r="V1431" s="163"/>
      <c r="W1431" s="158" t="str">
        <f t="shared" si="34"/>
        <v>1w</v>
      </c>
      <c r="X1431" s="168">
        <f>_xll.qlCalendarAdvance(Calendar,X1430,W1431,"f",FALSE)</f>
        <v>49053</v>
      </c>
      <c r="Y1431" s="173">
        <f>_xll.qlCalendarAdvance(Calendar,X1431,NDays&amp;"D")</f>
        <v>49053</v>
      </c>
      <c r="Z1431" s="174">
        <v>2.2794375016134127E-2</v>
      </c>
      <c r="AA1431" s="177"/>
    </row>
    <row r="1432" spans="22:27" x14ac:dyDescent="0.2">
      <c r="V1432" s="163"/>
      <c r="W1432" s="158" t="str">
        <f t="shared" si="34"/>
        <v>1w</v>
      </c>
      <c r="X1432" s="168">
        <f>_xll.qlCalendarAdvance(Calendar,X1431,W1432,"f",FALSE)</f>
        <v>49060</v>
      </c>
      <c r="Y1432" s="173">
        <f>_xll.qlCalendarAdvance(Calendar,X1432,NDays&amp;"D")</f>
        <v>49060</v>
      </c>
      <c r="Z1432" s="174">
        <v>2.2785733936157015E-2</v>
      </c>
      <c r="AA1432" s="177"/>
    </row>
    <row r="1433" spans="22:27" x14ac:dyDescent="0.2">
      <c r="V1433" s="163"/>
      <c r="W1433" s="158" t="str">
        <f t="shared" si="34"/>
        <v>1w</v>
      </c>
      <c r="X1433" s="168">
        <f>_xll.qlCalendarAdvance(Calendar,X1432,W1433,"f",FALSE)</f>
        <v>49072</v>
      </c>
      <c r="Y1433" s="173">
        <f>_xll.qlCalendarAdvance(Calendar,X1433,NDays&amp;"D")</f>
        <v>49072</v>
      </c>
      <c r="Z1433" s="174">
        <v>2.2770660507557272E-2</v>
      </c>
      <c r="AA1433" s="177"/>
    </row>
    <row r="1434" spans="22:27" x14ac:dyDescent="0.2">
      <c r="V1434" s="163"/>
      <c r="W1434" s="158" t="str">
        <f t="shared" si="34"/>
        <v>1w</v>
      </c>
      <c r="X1434" s="168">
        <f>_xll.qlCalendarAdvance(Calendar,X1433,W1434,"f",FALSE)</f>
        <v>49079</v>
      </c>
      <c r="Y1434" s="173">
        <f>_xll.qlCalendarAdvance(Calendar,X1434,NDays&amp;"D")</f>
        <v>49079</v>
      </c>
      <c r="Z1434" s="174">
        <v>2.2761715920848191E-2</v>
      </c>
      <c r="AA1434" s="177"/>
    </row>
    <row r="1435" spans="22:27" x14ac:dyDescent="0.2">
      <c r="V1435" s="163"/>
      <c r="W1435" s="158" t="str">
        <f t="shared" si="34"/>
        <v>1w</v>
      </c>
      <c r="X1435" s="168">
        <f>_xll.qlCalendarAdvance(Calendar,X1434,W1435,"f",FALSE)</f>
        <v>49086</v>
      </c>
      <c r="Y1435" s="173">
        <f>_xll.qlCalendarAdvance(Calendar,X1435,NDays&amp;"D")</f>
        <v>49086</v>
      </c>
      <c r="Z1435" s="174">
        <v>2.2752659515963281E-2</v>
      </c>
      <c r="AA1435" s="177"/>
    </row>
    <row r="1436" spans="22:27" x14ac:dyDescent="0.2">
      <c r="V1436" s="163"/>
      <c r="W1436" s="158" t="str">
        <f t="shared" si="34"/>
        <v>1w</v>
      </c>
      <c r="X1436" s="168">
        <f>_xll.qlCalendarAdvance(Calendar,X1435,W1436,"f",FALSE)</f>
        <v>49093</v>
      </c>
      <c r="Y1436" s="173">
        <f>_xll.qlCalendarAdvance(Calendar,X1436,NDays&amp;"D")</f>
        <v>49093</v>
      </c>
      <c r="Z1436" s="174">
        <v>2.274349129290254E-2</v>
      </c>
      <c r="AA1436" s="177"/>
    </row>
    <row r="1437" spans="22:27" x14ac:dyDescent="0.2">
      <c r="V1437" s="163"/>
      <c r="W1437" s="158" t="str">
        <f t="shared" si="34"/>
        <v>1w</v>
      </c>
      <c r="X1437" s="168">
        <f>_xll.qlCalendarAdvance(Calendar,X1436,W1437,"f",FALSE)</f>
        <v>49100</v>
      </c>
      <c r="Y1437" s="173">
        <f>_xll.qlCalendarAdvance(Calendar,X1437,NDays&amp;"D")</f>
        <v>49100</v>
      </c>
      <c r="Z1437" s="174">
        <v>2.273421125166597E-2</v>
      </c>
      <c r="AA1437" s="177"/>
    </row>
    <row r="1438" spans="22:27" x14ac:dyDescent="0.2">
      <c r="V1438" s="163"/>
      <c r="W1438" s="158" t="str">
        <f t="shared" si="34"/>
        <v>1w</v>
      </c>
      <c r="X1438" s="168">
        <f>_xll.qlCalendarAdvance(Calendar,X1437,W1438,"f",FALSE)</f>
        <v>49107</v>
      </c>
      <c r="Y1438" s="173">
        <f>_xll.qlCalendarAdvance(Calendar,X1438,NDays&amp;"D")</f>
        <v>49107</v>
      </c>
      <c r="Z1438" s="174">
        <v>2.272481939225357E-2</v>
      </c>
      <c r="AA1438" s="177"/>
    </row>
    <row r="1439" spans="22:27" x14ac:dyDescent="0.2">
      <c r="V1439" s="163"/>
      <c r="W1439" s="158" t="str">
        <f t="shared" si="34"/>
        <v>1w</v>
      </c>
      <c r="X1439" s="168">
        <f>_xll.qlCalendarAdvance(Calendar,X1438,W1439,"f",FALSE)</f>
        <v>49114</v>
      </c>
      <c r="Y1439" s="173">
        <f>_xll.qlCalendarAdvance(Calendar,X1439,NDays&amp;"D")</f>
        <v>49114</v>
      </c>
      <c r="Z1439" s="174">
        <v>2.2715315714584294E-2</v>
      </c>
      <c r="AA1439" s="177"/>
    </row>
    <row r="1440" spans="22:27" x14ac:dyDescent="0.2">
      <c r="V1440" s="163"/>
      <c r="W1440" s="158" t="str">
        <f t="shared" si="34"/>
        <v>1w</v>
      </c>
      <c r="X1440" s="168">
        <f>_xll.qlCalendarAdvance(Calendar,X1439,W1440,"f",FALSE)</f>
        <v>49121</v>
      </c>
      <c r="Y1440" s="173">
        <f>_xll.qlCalendarAdvance(Calendar,X1440,NDays&amp;"D")</f>
        <v>49121</v>
      </c>
      <c r="Z1440" s="174">
        <v>2.2705700218739189E-2</v>
      </c>
      <c r="AA1440" s="177"/>
    </row>
    <row r="1441" spans="22:27" x14ac:dyDescent="0.2">
      <c r="V1441" s="163"/>
      <c r="W1441" s="158" t="str">
        <f t="shared" si="34"/>
        <v>1w</v>
      </c>
      <c r="X1441" s="168">
        <f>_xll.qlCalendarAdvance(Calendar,X1440,W1441,"f",FALSE)</f>
        <v>49128</v>
      </c>
      <c r="Y1441" s="173">
        <f>_xll.qlCalendarAdvance(Calendar,X1441,NDays&amp;"D")</f>
        <v>49128</v>
      </c>
      <c r="Z1441" s="174">
        <v>2.2695972904718253E-2</v>
      </c>
      <c r="AA1441" s="177"/>
    </row>
    <row r="1442" spans="22:27" x14ac:dyDescent="0.2">
      <c r="V1442" s="163"/>
      <c r="W1442" s="158" t="str">
        <f t="shared" si="34"/>
        <v>1w</v>
      </c>
      <c r="X1442" s="168">
        <f>_xll.qlCalendarAdvance(Calendar,X1441,W1442,"f",FALSE)</f>
        <v>49135</v>
      </c>
      <c r="Y1442" s="173">
        <f>_xll.qlCalendarAdvance(Calendar,X1442,NDays&amp;"D")</f>
        <v>49135</v>
      </c>
      <c r="Z1442" s="174">
        <v>2.2686133772683581E-2</v>
      </c>
      <c r="AA1442" s="177"/>
    </row>
    <row r="1443" spans="22:27" x14ac:dyDescent="0.2">
      <c r="V1443" s="163"/>
      <c r="W1443" s="158" t="str">
        <f t="shared" si="34"/>
        <v>1w</v>
      </c>
      <c r="X1443" s="168">
        <f>_xll.qlCalendarAdvance(Calendar,X1442,W1443,"f",FALSE)</f>
        <v>49143</v>
      </c>
      <c r="Y1443" s="173">
        <f>_xll.qlCalendarAdvance(Calendar,X1443,NDays&amp;"D")</f>
        <v>49143</v>
      </c>
      <c r="Z1443" s="174">
        <v>2.2674781396282429E-2</v>
      </c>
      <c r="AA1443" s="177"/>
    </row>
    <row r="1444" spans="22:27" x14ac:dyDescent="0.2">
      <c r="V1444" s="163"/>
      <c r="W1444" s="158" t="str">
        <f t="shared" si="34"/>
        <v>1w</v>
      </c>
      <c r="X1444" s="168">
        <f>_xll.qlCalendarAdvance(Calendar,X1443,W1444,"f",FALSE)</f>
        <v>49150</v>
      </c>
      <c r="Y1444" s="173">
        <f>_xll.qlCalendarAdvance(Calendar,X1444,NDays&amp;"D")</f>
        <v>49150</v>
      </c>
      <c r="Z1444" s="174">
        <v>2.2664863857806417E-2</v>
      </c>
      <c r="AA1444" s="177"/>
    </row>
    <row r="1445" spans="22:27" x14ac:dyDescent="0.2">
      <c r="V1445" s="163"/>
      <c r="W1445" s="158" t="str">
        <f t="shared" si="34"/>
        <v>1w</v>
      </c>
      <c r="X1445" s="168">
        <f>_xll.qlCalendarAdvance(Calendar,X1444,W1445,"f",FALSE)</f>
        <v>49157</v>
      </c>
      <c r="Y1445" s="173">
        <f>_xll.qlCalendarAdvance(Calendar,X1445,NDays&amp;"D")</f>
        <v>49157</v>
      </c>
      <c r="Z1445" s="174">
        <v>2.2654975554668999E-2</v>
      </c>
      <c r="AA1445" s="177"/>
    </row>
    <row r="1446" spans="22:27" x14ac:dyDescent="0.2">
      <c r="V1446" s="163"/>
      <c r="W1446" s="158" t="str">
        <f t="shared" si="34"/>
        <v>1w</v>
      </c>
      <c r="X1446" s="168">
        <f>_xll.qlCalendarAdvance(Calendar,X1445,W1446,"f",FALSE)</f>
        <v>49164</v>
      </c>
      <c r="Y1446" s="173">
        <f>_xll.qlCalendarAdvance(Calendar,X1446,NDays&amp;"D")</f>
        <v>49164</v>
      </c>
      <c r="Z1446" s="174">
        <v>2.264511648678913E-2</v>
      </c>
      <c r="AA1446" s="177"/>
    </row>
    <row r="1447" spans="22:27" x14ac:dyDescent="0.2">
      <c r="V1447" s="163"/>
      <c r="W1447" s="158" t="str">
        <f t="shared" si="34"/>
        <v>1w</v>
      </c>
      <c r="X1447" s="168">
        <f>_xll.qlCalendarAdvance(Calendar,X1446,W1447,"f",FALSE)</f>
        <v>49171</v>
      </c>
      <c r="Y1447" s="173">
        <f>_xll.qlCalendarAdvance(Calendar,X1447,NDays&amp;"D")</f>
        <v>49171</v>
      </c>
      <c r="Z1447" s="174">
        <v>2.2635286654166809E-2</v>
      </c>
      <c r="AA1447" s="177"/>
    </row>
    <row r="1448" spans="22:27" x14ac:dyDescent="0.2">
      <c r="V1448" s="163"/>
      <c r="W1448" s="158" t="str">
        <f t="shared" si="34"/>
        <v>1w</v>
      </c>
      <c r="X1448" s="168">
        <f>_xll.qlCalendarAdvance(Calendar,X1447,W1448,"f",FALSE)</f>
        <v>49178</v>
      </c>
      <c r="Y1448" s="173">
        <f>_xll.qlCalendarAdvance(Calendar,X1448,NDays&amp;"D")</f>
        <v>49178</v>
      </c>
      <c r="Z1448" s="174">
        <v>2.2625486056964128E-2</v>
      </c>
      <c r="AA1448" s="177"/>
    </row>
    <row r="1449" spans="22:27" x14ac:dyDescent="0.2">
      <c r="V1449" s="163"/>
      <c r="W1449" s="158" t="str">
        <f t="shared" si="34"/>
        <v>1w</v>
      </c>
      <c r="X1449" s="168">
        <f>_xll.qlCalendarAdvance(Calendar,X1448,W1449,"f",FALSE)</f>
        <v>49185</v>
      </c>
      <c r="Y1449" s="173">
        <f>_xll.qlCalendarAdvance(Calendar,X1449,NDays&amp;"D")</f>
        <v>49185</v>
      </c>
      <c r="Z1449" s="174">
        <v>2.261571469493795E-2</v>
      </c>
      <c r="AA1449" s="177"/>
    </row>
    <row r="1450" spans="22:27" x14ac:dyDescent="0.2">
      <c r="V1450" s="163"/>
      <c r="W1450" s="158" t="str">
        <f t="shared" si="34"/>
        <v>1w</v>
      </c>
      <c r="X1450" s="168">
        <f>_xll.qlCalendarAdvance(Calendar,X1449,W1450,"f",FALSE)</f>
        <v>49192</v>
      </c>
      <c r="Y1450" s="173">
        <f>_xll.qlCalendarAdvance(Calendar,X1450,NDays&amp;"D")</f>
        <v>49192</v>
      </c>
      <c r="Z1450" s="174">
        <v>2.2605972568250365E-2</v>
      </c>
      <c r="AA1450" s="177"/>
    </row>
    <row r="1451" spans="22:27" x14ac:dyDescent="0.2">
      <c r="V1451" s="163"/>
      <c r="W1451" s="158" t="str">
        <f t="shared" si="34"/>
        <v>1w</v>
      </c>
      <c r="X1451" s="168">
        <f>_xll.qlCalendarAdvance(Calendar,X1450,W1451,"f",FALSE)</f>
        <v>49199</v>
      </c>
      <c r="Y1451" s="173">
        <f>_xll.qlCalendarAdvance(Calendar,X1451,NDays&amp;"D")</f>
        <v>49199</v>
      </c>
      <c r="Z1451" s="174">
        <v>2.2596259676982422E-2</v>
      </c>
      <c r="AA1451" s="177"/>
    </row>
    <row r="1452" spans="22:27" x14ac:dyDescent="0.2">
      <c r="V1452" s="163"/>
      <c r="W1452" s="158" t="str">
        <f t="shared" si="34"/>
        <v>1w</v>
      </c>
      <c r="X1452" s="168">
        <f>_xll.qlCalendarAdvance(Calendar,X1451,W1452,"f",FALSE)</f>
        <v>49206</v>
      </c>
      <c r="Y1452" s="173">
        <f>_xll.qlCalendarAdvance(Calendar,X1452,NDays&amp;"D")</f>
        <v>49206</v>
      </c>
      <c r="Z1452" s="174">
        <v>2.2586576020809934E-2</v>
      </c>
      <c r="AA1452" s="177"/>
    </row>
    <row r="1453" spans="22:27" x14ac:dyDescent="0.2">
      <c r="V1453" s="163"/>
      <c r="W1453" s="158" t="str">
        <f t="shared" si="34"/>
        <v>1w</v>
      </c>
      <c r="X1453" s="168">
        <f>_xll.qlCalendarAdvance(Calendar,X1452,W1453,"f",FALSE)</f>
        <v>49213</v>
      </c>
      <c r="Y1453" s="173">
        <f>_xll.qlCalendarAdvance(Calendar,X1453,NDays&amp;"D")</f>
        <v>49213</v>
      </c>
      <c r="Z1453" s="174">
        <v>2.2576921600057087E-2</v>
      </c>
      <c r="AA1453" s="177"/>
    </row>
    <row r="1454" spans="22:27" x14ac:dyDescent="0.2">
      <c r="V1454" s="163"/>
      <c r="W1454" s="158" t="str">
        <f t="shared" si="34"/>
        <v>1w</v>
      </c>
      <c r="X1454" s="168">
        <f>_xll.qlCalendarAdvance(Calendar,X1453,W1454,"f",FALSE)</f>
        <v>49220</v>
      </c>
      <c r="Y1454" s="173">
        <f>_xll.qlCalendarAdvance(Calendar,X1454,NDays&amp;"D")</f>
        <v>49220</v>
      </c>
      <c r="Z1454" s="174">
        <v>2.2567296414561788E-2</v>
      </c>
      <c r="AA1454" s="177"/>
    </row>
    <row r="1455" spans="22:27" x14ac:dyDescent="0.2">
      <c r="V1455" s="163"/>
      <c r="W1455" s="158" t="str">
        <f t="shared" si="34"/>
        <v>1w</v>
      </c>
      <c r="X1455" s="168">
        <f>_xll.qlCalendarAdvance(Calendar,X1454,W1455,"f",FALSE)</f>
        <v>49227</v>
      </c>
      <c r="Y1455" s="173">
        <f>_xll.qlCalendarAdvance(Calendar,X1455,NDays&amp;"D")</f>
        <v>49227</v>
      </c>
      <c r="Z1455" s="174">
        <v>2.2557700464242991E-2</v>
      </c>
      <c r="AA1455" s="177"/>
    </row>
    <row r="1456" spans="22:27" x14ac:dyDescent="0.2">
      <c r="V1456" s="163"/>
      <c r="W1456" s="158" t="str">
        <f t="shared" si="34"/>
        <v>1w</v>
      </c>
      <c r="X1456" s="168">
        <f>_xll.qlCalendarAdvance(Calendar,X1455,W1456,"f",FALSE)</f>
        <v>49234</v>
      </c>
      <c r="Y1456" s="173">
        <f>_xll.qlCalendarAdvance(Calendar,X1456,NDays&amp;"D")</f>
        <v>49234</v>
      </c>
      <c r="Z1456" s="174">
        <v>2.2548133749343835E-2</v>
      </c>
      <c r="AA1456" s="177"/>
    </row>
    <row r="1457" spans="22:27" x14ac:dyDescent="0.2">
      <c r="V1457" s="163"/>
      <c r="W1457" s="158" t="str">
        <f t="shared" si="34"/>
        <v>1w</v>
      </c>
      <c r="X1457" s="168">
        <f>_xll.qlCalendarAdvance(Calendar,X1456,W1457,"f",FALSE)</f>
        <v>49241</v>
      </c>
      <c r="Y1457" s="173">
        <f>_xll.qlCalendarAdvance(Calendar,X1457,NDays&amp;"D")</f>
        <v>49241</v>
      </c>
      <c r="Z1457" s="174">
        <v>2.2538596269702227E-2</v>
      </c>
      <c r="AA1457" s="177"/>
    </row>
    <row r="1458" spans="22:27" x14ac:dyDescent="0.2">
      <c r="V1458" s="163"/>
      <c r="W1458" s="158" t="str">
        <f t="shared" si="34"/>
        <v>1w</v>
      </c>
      <c r="X1458" s="168">
        <f>_xll.qlCalendarAdvance(Calendar,X1457,W1458,"f",FALSE)</f>
        <v>49248</v>
      </c>
      <c r="Y1458" s="173">
        <f>_xll.qlCalendarAdvance(Calendar,X1458,NDays&amp;"D")</f>
        <v>49248</v>
      </c>
      <c r="Z1458" s="174">
        <v>2.2529088025318167E-2</v>
      </c>
      <c r="AA1458" s="177"/>
    </row>
    <row r="1459" spans="22:27" x14ac:dyDescent="0.2">
      <c r="V1459" s="163"/>
      <c r="W1459" s="158" t="str">
        <f t="shared" si="34"/>
        <v>1w</v>
      </c>
      <c r="X1459" s="168">
        <f>_xll.qlCalendarAdvance(Calendar,X1458,W1459,"f",FALSE)</f>
        <v>49255</v>
      </c>
      <c r="Y1459" s="173">
        <f>_xll.qlCalendarAdvance(Calendar,X1459,NDays&amp;"D")</f>
        <v>49255</v>
      </c>
      <c r="Z1459" s="174">
        <v>2.2519609016191655E-2</v>
      </c>
      <c r="AA1459" s="177"/>
    </row>
    <row r="1460" spans="22:27" x14ac:dyDescent="0.2">
      <c r="V1460" s="163"/>
      <c r="W1460" s="158" t="str">
        <f t="shared" si="34"/>
        <v>1w</v>
      </c>
      <c r="X1460" s="168">
        <f>_xll.qlCalendarAdvance(Calendar,X1459,W1460,"f",FALSE)</f>
        <v>49262</v>
      </c>
      <c r="Y1460" s="173">
        <f>_xll.qlCalendarAdvance(Calendar,X1460,NDays&amp;"D")</f>
        <v>49262</v>
      </c>
      <c r="Z1460" s="174">
        <v>2.2510159242403738E-2</v>
      </c>
      <c r="AA1460" s="177"/>
    </row>
    <row r="1461" spans="22:27" x14ac:dyDescent="0.2">
      <c r="V1461" s="163"/>
      <c r="W1461" s="158" t="str">
        <f t="shared" si="34"/>
        <v>1w</v>
      </c>
      <c r="X1461" s="168">
        <f>_xll.qlCalendarAdvance(Calendar,X1460,W1461,"f",FALSE)</f>
        <v>49269</v>
      </c>
      <c r="Y1461" s="173">
        <f>_xll.qlCalendarAdvance(Calendar,X1461,NDays&amp;"D")</f>
        <v>49269</v>
      </c>
      <c r="Z1461" s="174">
        <v>2.2500738703792322E-2</v>
      </c>
      <c r="AA1461" s="177"/>
    </row>
    <row r="1462" spans="22:27" x14ac:dyDescent="0.2">
      <c r="V1462" s="163"/>
      <c r="W1462" s="158" t="str">
        <f t="shared" si="34"/>
        <v>1w</v>
      </c>
      <c r="X1462" s="168">
        <f>_xll.qlCalendarAdvance(Calendar,X1461,W1462,"f",FALSE)</f>
        <v>49276</v>
      </c>
      <c r="Y1462" s="173">
        <f>_xll.qlCalendarAdvance(Calendar,X1462,NDays&amp;"D")</f>
        <v>49276</v>
      </c>
      <c r="Z1462" s="174">
        <v>2.2491347400519501E-2</v>
      </c>
      <c r="AA1462" s="177"/>
    </row>
    <row r="1463" spans="22:27" x14ac:dyDescent="0.2">
      <c r="V1463" s="163"/>
      <c r="W1463" s="158" t="str">
        <f t="shared" si="34"/>
        <v>1w</v>
      </c>
      <c r="X1463" s="168">
        <f>_xll.qlCalendarAdvance(Calendar,X1462,W1463,"f",FALSE)</f>
        <v>49283</v>
      </c>
      <c r="Y1463" s="173">
        <f>_xll.qlCalendarAdvance(Calendar,X1463,NDays&amp;"D")</f>
        <v>49283</v>
      </c>
      <c r="Z1463" s="174">
        <v>2.2481985332504228E-2</v>
      </c>
      <c r="AA1463" s="177"/>
    </row>
    <row r="1464" spans="22:27" x14ac:dyDescent="0.2">
      <c r="V1464" s="163"/>
      <c r="W1464" s="158" t="str">
        <f t="shared" si="34"/>
        <v>1w</v>
      </c>
      <c r="X1464" s="168">
        <f>_xll.qlCalendarAdvance(Calendar,X1463,W1464,"f",FALSE)</f>
        <v>49290</v>
      </c>
      <c r="Y1464" s="173">
        <f>_xll.qlCalendarAdvance(Calendar,X1464,NDays&amp;"D")</f>
        <v>49290</v>
      </c>
      <c r="Z1464" s="174">
        <v>2.2472652499665458E-2</v>
      </c>
      <c r="AA1464" s="177"/>
    </row>
    <row r="1465" spans="22:27" x14ac:dyDescent="0.2">
      <c r="V1465" s="163"/>
      <c r="W1465" s="158" t="str">
        <f t="shared" si="34"/>
        <v>1w</v>
      </c>
      <c r="X1465" s="168">
        <f>_xll.qlCalendarAdvance(Calendar,X1464,W1465,"f",FALSE)</f>
        <v>49297</v>
      </c>
      <c r="Y1465" s="173">
        <f>_xll.qlCalendarAdvance(Calendar,X1465,NDays&amp;"D")</f>
        <v>49297</v>
      </c>
      <c r="Z1465" s="174">
        <v>2.2463348902165281E-2</v>
      </c>
      <c r="AA1465" s="177"/>
    </row>
    <row r="1466" spans="22:27" x14ac:dyDescent="0.2">
      <c r="V1466" s="163"/>
      <c r="W1466" s="158" t="str">
        <f t="shared" si="34"/>
        <v>1w</v>
      </c>
      <c r="X1466" s="168">
        <f>_xll.qlCalendarAdvance(Calendar,X1465,W1466,"f",FALSE)</f>
        <v>49304</v>
      </c>
      <c r="Y1466" s="173">
        <f>_xll.qlCalendarAdvance(Calendar,X1466,NDays&amp;"D")</f>
        <v>49304</v>
      </c>
      <c r="Z1466" s="174">
        <v>2.2454074539922653E-2</v>
      </c>
      <c r="AA1466" s="177"/>
    </row>
    <row r="1467" spans="22:27" x14ac:dyDescent="0.2">
      <c r="V1467" s="163"/>
      <c r="W1467" s="158" t="str">
        <f t="shared" si="34"/>
        <v>1w</v>
      </c>
      <c r="X1467" s="168">
        <f>_xll.qlCalendarAdvance(Calendar,X1466,W1467,"f",FALSE)</f>
        <v>49313</v>
      </c>
      <c r="Y1467" s="173">
        <f>_xll.qlCalendarAdvance(Calendar,X1467,NDays&amp;"D")</f>
        <v>49313</v>
      </c>
      <c r="Z1467" s="174">
        <v>2.2442193317817605E-2</v>
      </c>
      <c r="AA1467" s="177"/>
    </row>
    <row r="1468" spans="22:27" x14ac:dyDescent="0.2">
      <c r="V1468" s="163"/>
      <c r="W1468" s="158" t="str">
        <f t="shared" si="34"/>
        <v>1w</v>
      </c>
      <c r="X1468" s="168">
        <f>_xll.qlCalendarAdvance(Calendar,X1467,W1468,"f",FALSE)</f>
        <v>49320</v>
      </c>
      <c r="Y1468" s="173">
        <f>_xll.qlCalendarAdvance(Calendar,X1468,NDays&amp;"D")</f>
        <v>49320</v>
      </c>
      <c r="Z1468" s="174">
        <v>2.2432985778962911E-2</v>
      </c>
      <c r="AA1468" s="177"/>
    </row>
    <row r="1469" spans="22:27" x14ac:dyDescent="0.2">
      <c r="V1469" s="163"/>
      <c r="W1469" s="158" t="str">
        <f t="shared" si="34"/>
        <v>1w</v>
      </c>
      <c r="X1469" s="168">
        <f>_xll.qlCalendarAdvance(Calendar,X1468,W1469,"f",FALSE)</f>
        <v>49327</v>
      </c>
      <c r="Y1469" s="173">
        <f>_xll.qlCalendarAdvance(Calendar,X1469,NDays&amp;"D")</f>
        <v>49327</v>
      </c>
      <c r="Z1469" s="174">
        <v>2.2423807475446811E-2</v>
      </c>
      <c r="AA1469" s="177"/>
    </row>
    <row r="1470" spans="22:27" x14ac:dyDescent="0.2">
      <c r="V1470" s="163"/>
      <c r="W1470" s="158" t="str">
        <f t="shared" si="34"/>
        <v>1w</v>
      </c>
      <c r="X1470" s="168">
        <f>_xll.qlCalendarAdvance(Calendar,X1469,W1470,"f",FALSE)</f>
        <v>49334</v>
      </c>
      <c r="Y1470" s="173">
        <f>_xll.qlCalendarAdvance(Calendar,X1470,NDays&amp;"D")</f>
        <v>49334</v>
      </c>
      <c r="Z1470" s="174">
        <v>2.2414658407107213E-2</v>
      </c>
      <c r="AA1470" s="177"/>
    </row>
    <row r="1471" spans="22:27" x14ac:dyDescent="0.2">
      <c r="V1471" s="163"/>
      <c r="W1471" s="158" t="str">
        <f t="shared" si="34"/>
        <v>1w</v>
      </c>
      <c r="X1471" s="168">
        <f>_xll.qlCalendarAdvance(Calendar,X1470,W1471,"f",FALSE)</f>
        <v>49341</v>
      </c>
      <c r="Y1471" s="173">
        <f>_xll.qlCalendarAdvance(Calendar,X1471,NDays&amp;"D")</f>
        <v>49341</v>
      </c>
      <c r="Z1471" s="174">
        <v>2.240553857410621E-2</v>
      </c>
      <c r="AA1471" s="177"/>
    </row>
    <row r="1472" spans="22:27" x14ac:dyDescent="0.2">
      <c r="V1472" s="163"/>
      <c r="W1472" s="158" t="str">
        <f t="shared" si="34"/>
        <v>1w</v>
      </c>
      <c r="X1472" s="168">
        <f>_xll.qlCalendarAdvance(Calendar,X1471,W1472,"f",FALSE)</f>
        <v>49348</v>
      </c>
      <c r="Y1472" s="173">
        <f>_xll.qlCalendarAdvance(Calendar,X1472,NDays&amp;"D")</f>
        <v>49348</v>
      </c>
      <c r="Z1472" s="174">
        <v>2.2396447976281708E-2</v>
      </c>
      <c r="AA1472" s="177"/>
    </row>
    <row r="1473" spans="22:27" x14ac:dyDescent="0.2">
      <c r="V1473" s="163"/>
      <c r="W1473" s="158" t="str">
        <f t="shared" si="34"/>
        <v>1w</v>
      </c>
      <c r="X1473" s="168">
        <f>_xll.qlCalendarAdvance(Calendar,X1472,W1473,"f",FALSE)</f>
        <v>49355</v>
      </c>
      <c r="Y1473" s="173">
        <f>_xll.qlCalendarAdvance(Calendar,X1473,NDays&amp;"D")</f>
        <v>49355</v>
      </c>
      <c r="Z1473" s="174">
        <v>2.2387386613714755E-2</v>
      </c>
      <c r="AA1473" s="177"/>
    </row>
    <row r="1474" spans="22:27" x14ac:dyDescent="0.2">
      <c r="V1474" s="163"/>
      <c r="W1474" s="158" t="str">
        <f t="shared" si="34"/>
        <v>1w</v>
      </c>
      <c r="X1474" s="168">
        <f>_xll.qlCalendarAdvance(Calendar,X1473,W1474,"f",FALSE)</f>
        <v>49362</v>
      </c>
      <c r="Y1474" s="173">
        <f>_xll.qlCalendarAdvance(Calendar,X1474,NDays&amp;"D")</f>
        <v>49362</v>
      </c>
      <c r="Z1474" s="174">
        <v>2.237835448640535E-2</v>
      </c>
      <c r="AA1474" s="177"/>
    </row>
    <row r="1475" spans="22:27" x14ac:dyDescent="0.2">
      <c r="V1475" s="163"/>
      <c r="W1475" s="158" t="str">
        <f t="shared" si="34"/>
        <v>1w</v>
      </c>
      <c r="X1475" s="168">
        <f>_xll.qlCalendarAdvance(Calendar,X1474,W1475,"f",FALSE)</f>
        <v>49369</v>
      </c>
      <c r="Y1475" s="173">
        <f>_xll.qlCalendarAdvance(Calendar,X1475,NDays&amp;"D")</f>
        <v>49369</v>
      </c>
      <c r="Z1475" s="174">
        <v>2.2369351594272446E-2</v>
      </c>
      <c r="AA1475" s="177"/>
    </row>
    <row r="1476" spans="22:27" x14ac:dyDescent="0.2">
      <c r="V1476" s="163"/>
      <c r="W1476" s="158" t="str">
        <f t="shared" si="34"/>
        <v>1w</v>
      </c>
      <c r="X1476" s="168">
        <f>_xll.qlCalendarAdvance(Calendar,X1475,W1476,"f",FALSE)</f>
        <v>49376</v>
      </c>
      <c r="Y1476" s="173">
        <f>_xll.qlCalendarAdvance(Calendar,X1476,NDays&amp;"D")</f>
        <v>49376</v>
      </c>
      <c r="Z1476" s="174">
        <v>2.2360377937397091E-2</v>
      </c>
      <c r="AA1476" s="177"/>
    </row>
    <row r="1477" spans="22:27" x14ac:dyDescent="0.2">
      <c r="V1477" s="163"/>
      <c r="W1477" s="158" t="str">
        <f t="shared" si="34"/>
        <v>1w</v>
      </c>
      <c r="X1477" s="168">
        <f>_xll.qlCalendarAdvance(Calendar,X1476,W1477,"f",FALSE)</f>
        <v>49383</v>
      </c>
      <c r="Y1477" s="173">
        <f>_xll.qlCalendarAdvance(Calendar,X1477,NDays&amp;"D")</f>
        <v>49383</v>
      </c>
      <c r="Z1477" s="174">
        <v>2.2351433515779284E-2</v>
      </c>
      <c r="AA1477" s="177"/>
    </row>
    <row r="1478" spans="22:27" x14ac:dyDescent="0.2">
      <c r="V1478" s="163"/>
      <c r="W1478" s="158" t="str">
        <f t="shared" si="34"/>
        <v>1w</v>
      </c>
      <c r="X1478" s="168">
        <f>_xll.qlCalendarAdvance(Calendar,X1477,W1478,"f",FALSE)</f>
        <v>49390</v>
      </c>
      <c r="Y1478" s="173">
        <f>_xll.qlCalendarAdvance(Calendar,X1478,NDays&amp;"D")</f>
        <v>49390</v>
      </c>
      <c r="Z1478" s="174">
        <v>2.2342518329419025E-2</v>
      </c>
      <c r="AA1478" s="177"/>
    </row>
    <row r="1479" spans="22:27" x14ac:dyDescent="0.2">
      <c r="V1479" s="163"/>
      <c r="W1479" s="158" t="str">
        <f t="shared" si="34"/>
        <v>1w</v>
      </c>
      <c r="X1479" s="168">
        <f>_xll.qlCalendarAdvance(Calendar,X1478,W1479,"f",FALSE)</f>
        <v>49397</v>
      </c>
      <c r="Y1479" s="173">
        <f>_xll.qlCalendarAdvance(Calendar,X1479,NDays&amp;"D")</f>
        <v>49397</v>
      </c>
      <c r="Z1479" s="174">
        <v>2.2333632378154222E-2</v>
      </c>
      <c r="AA1479" s="177"/>
    </row>
    <row r="1480" spans="22:27" x14ac:dyDescent="0.2">
      <c r="V1480" s="163"/>
      <c r="W1480" s="158" t="str">
        <f t="shared" si="34"/>
        <v>1w</v>
      </c>
      <c r="X1480" s="168">
        <f>_xll.qlCalendarAdvance(Calendar,X1479,W1480,"f",FALSE)</f>
        <v>49404</v>
      </c>
      <c r="Y1480" s="173">
        <f>_xll.qlCalendarAdvance(Calendar,X1480,NDays&amp;"D")</f>
        <v>49404</v>
      </c>
      <c r="Z1480" s="174">
        <v>2.232477566230906E-2</v>
      </c>
      <c r="AA1480" s="177"/>
    </row>
    <row r="1481" spans="22:27" x14ac:dyDescent="0.2">
      <c r="V1481" s="163"/>
      <c r="W1481" s="158" t="str">
        <f t="shared" si="34"/>
        <v>1w</v>
      </c>
      <c r="X1481" s="168">
        <f>_xll.qlCalendarAdvance(Calendar,X1480,W1481,"f",FALSE)</f>
        <v>49411</v>
      </c>
      <c r="Y1481" s="173">
        <f>_xll.qlCalendarAdvance(Calendar,X1481,NDays&amp;"D")</f>
        <v>49411</v>
      </c>
      <c r="Z1481" s="174">
        <v>2.2315948181640399E-2</v>
      </c>
      <c r="AA1481" s="177"/>
    </row>
    <row r="1482" spans="22:27" x14ac:dyDescent="0.2">
      <c r="V1482" s="163"/>
      <c r="W1482" s="158" t="str">
        <f t="shared" si="34"/>
        <v>1w</v>
      </c>
      <c r="X1482" s="168">
        <f>_xll.qlCalendarAdvance(Calendar,X1481,W1482,"f",FALSE)</f>
        <v>49418</v>
      </c>
      <c r="Y1482" s="173">
        <f>_xll.qlCalendarAdvance(Calendar,X1482,NDays&amp;"D")</f>
        <v>49418</v>
      </c>
      <c r="Z1482" s="174">
        <v>2.2307149936067194E-2</v>
      </c>
      <c r="AA1482" s="177"/>
    </row>
    <row r="1483" spans="22:27" x14ac:dyDescent="0.2">
      <c r="V1483" s="163"/>
      <c r="W1483" s="158" t="str">
        <f t="shared" si="34"/>
        <v>1w</v>
      </c>
      <c r="X1483" s="168">
        <f>_xll.qlCalendarAdvance(Calendar,X1482,W1483,"f",FALSE)</f>
        <v>49425</v>
      </c>
      <c r="Y1483" s="173">
        <f>_xll.qlCalendarAdvance(Calendar,X1483,NDays&amp;"D")</f>
        <v>49425</v>
      </c>
      <c r="Z1483" s="174">
        <v>2.229838092591363E-2</v>
      </c>
      <c r="AA1483" s="177"/>
    </row>
    <row r="1484" spans="22:27" x14ac:dyDescent="0.2">
      <c r="V1484" s="163"/>
      <c r="W1484" s="158" t="str">
        <f t="shared" si="34"/>
        <v>1w</v>
      </c>
      <c r="X1484" s="168">
        <f>_xll.qlCalendarAdvance(Calendar,X1483,W1484,"f",FALSE)</f>
        <v>49436</v>
      </c>
      <c r="Y1484" s="173">
        <f>_xll.qlCalendarAdvance(Calendar,X1484,NDays&amp;"D")</f>
        <v>49436</v>
      </c>
      <c r="Z1484" s="174">
        <v>2.228466011962249E-2</v>
      </c>
      <c r="AA1484" s="177"/>
    </row>
    <row r="1485" spans="22:27" x14ac:dyDescent="0.2">
      <c r="V1485" s="163"/>
      <c r="W1485" s="158" t="str">
        <f t="shared" ref="W1485:W1548" si="35">W1484</f>
        <v>1w</v>
      </c>
      <c r="X1485" s="168">
        <f>_xll.qlCalendarAdvance(Calendar,X1484,W1485,"f",FALSE)</f>
        <v>49443</v>
      </c>
      <c r="Y1485" s="173">
        <f>_xll.qlCalendarAdvance(Calendar,X1485,NDays&amp;"D")</f>
        <v>49443</v>
      </c>
      <c r="Z1485" s="174">
        <v>2.2275966285729698E-2</v>
      </c>
      <c r="AA1485" s="177"/>
    </row>
    <row r="1486" spans="22:27" x14ac:dyDescent="0.2">
      <c r="V1486" s="163"/>
      <c r="W1486" s="158" t="str">
        <f t="shared" si="35"/>
        <v>1w</v>
      </c>
      <c r="X1486" s="168">
        <f>_xll.qlCalendarAdvance(Calendar,X1485,W1486,"f",FALSE)</f>
        <v>49450</v>
      </c>
      <c r="Y1486" s="173">
        <f>_xll.qlCalendarAdvance(Calendar,X1486,NDays&amp;"D")</f>
        <v>49450</v>
      </c>
      <c r="Z1486" s="174">
        <v>2.2267301686851315E-2</v>
      </c>
      <c r="AA1486" s="177"/>
    </row>
    <row r="1487" spans="22:27" x14ac:dyDescent="0.2">
      <c r="V1487" s="163"/>
      <c r="W1487" s="158" t="str">
        <f t="shared" si="35"/>
        <v>1w</v>
      </c>
      <c r="X1487" s="168">
        <f>_xll.qlCalendarAdvance(Calendar,X1486,W1487,"f",FALSE)</f>
        <v>49457</v>
      </c>
      <c r="Y1487" s="173">
        <f>_xll.qlCalendarAdvance(Calendar,X1487,NDays&amp;"D")</f>
        <v>49457</v>
      </c>
      <c r="Z1487" s="174">
        <v>2.2258666323311527E-2</v>
      </c>
      <c r="AA1487" s="177"/>
    </row>
    <row r="1488" spans="22:27" x14ac:dyDescent="0.2">
      <c r="V1488" s="163"/>
      <c r="W1488" s="158" t="str">
        <f t="shared" si="35"/>
        <v>1w</v>
      </c>
      <c r="X1488" s="168">
        <f>_xll.qlCalendarAdvance(Calendar,X1487,W1488,"f",FALSE)</f>
        <v>49464</v>
      </c>
      <c r="Y1488" s="173">
        <f>_xll.qlCalendarAdvance(Calendar,X1488,NDays&amp;"D")</f>
        <v>49464</v>
      </c>
      <c r="Z1488" s="174">
        <v>2.2250060195029286E-2</v>
      </c>
      <c r="AA1488" s="177"/>
    </row>
    <row r="1489" spans="22:27" x14ac:dyDescent="0.2">
      <c r="V1489" s="163"/>
      <c r="W1489" s="158" t="str">
        <f t="shared" si="35"/>
        <v>1w</v>
      </c>
      <c r="X1489" s="168">
        <f>_xll.qlCalendarAdvance(Calendar,X1488,W1489,"f",FALSE)</f>
        <v>49471</v>
      </c>
      <c r="Y1489" s="173">
        <f>_xll.qlCalendarAdvance(Calendar,X1489,NDays&amp;"D")</f>
        <v>49471</v>
      </c>
      <c r="Z1489" s="174">
        <v>2.2241483301842502E-2</v>
      </c>
      <c r="AA1489" s="177"/>
    </row>
    <row r="1490" spans="22:27" x14ac:dyDescent="0.2">
      <c r="V1490" s="163"/>
      <c r="W1490" s="158" t="str">
        <f t="shared" si="35"/>
        <v>1w</v>
      </c>
      <c r="X1490" s="168">
        <f>_xll.qlCalendarAdvance(Calendar,X1489,W1490,"f",FALSE)</f>
        <v>49478</v>
      </c>
      <c r="Y1490" s="173">
        <f>_xll.qlCalendarAdvance(Calendar,X1490,NDays&amp;"D")</f>
        <v>49478</v>
      </c>
      <c r="Z1490" s="174">
        <v>2.2232935643913265E-2</v>
      </c>
      <c r="AA1490" s="177"/>
    </row>
    <row r="1491" spans="22:27" x14ac:dyDescent="0.2">
      <c r="V1491" s="163"/>
      <c r="W1491" s="158" t="str">
        <f t="shared" si="35"/>
        <v>1w</v>
      </c>
      <c r="X1491" s="168">
        <f>_xll.qlCalendarAdvance(Calendar,X1490,W1491,"f",FALSE)</f>
        <v>49485</v>
      </c>
      <c r="Y1491" s="173">
        <f>_xll.qlCalendarAdvance(Calendar,X1491,NDays&amp;"D")</f>
        <v>49485</v>
      </c>
      <c r="Z1491" s="174">
        <v>2.2224417221160531E-2</v>
      </c>
      <c r="AA1491" s="177"/>
    </row>
    <row r="1492" spans="22:27" x14ac:dyDescent="0.2">
      <c r="V1492" s="163"/>
      <c r="W1492" s="158" t="str">
        <f t="shared" si="35"/>
        <v>1w</v>
      </c>
      <c r="X1492" s="168">
        <f>_xll.qlCalendarAdvance(Calendar,X1491,W1492,"f",FALSE)</f>
        <v>49492</v>
      </c>
      <c r="Y1492" s="173">
        <f>_xll.qlCalendarAdvance(Calendar,X1492,NDays&amp;"D")</f>
        <v>49492</v>
      </c>
      <c r="Z1492" s="174">
        <v>2.2215928033665344E-2</v>
      </c>
      <c r="AA1492" s="177"/>
    </row>
    <row r="1493" spans="22:27" x14ac:dyDescent="0.2">
      <c r="V1493" s="163"/>
      <c r="W1493" s="158" t="str">
        <f t="shared" si="35"/>
        <v>1w</v>
      </c>
      <c r="X1493" s="168">
        <f>_xll.qlCalendarAdvance(Calendar,X1492,W1493,"f",FALSE)</f>
        <v>49499</v>
      </c>
      <c r="Y1493" s="173">
        <f>_xll.qlCalendarAdvance(Calendar,X1493,NDays&amp;"D")</f>
        <v>49499</v>
      </c>
      <c r="Z1493" s="174">
        <v>2.2207468081265613E-2</v>
      </c>
      <c r="AA1493" s="177"/>
    </row>
    <row r="1494" spans="22:27" x14ac:dyDescent="0.2">
      <c r="V1494" s="163"/>
      <c r="W1494" s="158" t="str">
        <f t="shared" si="35"/>
        <v>1w</v>
      </c>
      <c r="X1494" s="168">
        <f>_xll.qlCalendarAdvance(Calendar,X1493,W1494,"f",FALSE)</f>
        <v>49507</v>
      </c>
      <c r="Y1494" s="173">
        <f>_xll.qlCalendarAdvance(Calendar,X1494,NDays&amp;"D")</f>
        <v>49507</v>
      </c>
      <c r="Z1494" s="174">
        <v>2.2197835362599561E-2</v>
      </c>
      <c r="AA1494" s="177"/>
    </row>
    <row r="1495" spans="22:27" x14ac:dyDescent="0.2">
      <c r="V1495" s="163"/>
      <c r="W1495" s="158" t="str">
        <f t="shared" si="35"/>
        <v>1w</v>
      </c>
      <c r="X1495" s="168">
        <f>_xll.qlCalendarAdvance(Calendar,X1494,W1495,"f",FALSE)</f>
        <v>49514</v>
      </c>
      <c r="Y1495" s="173">
        <f>_xll.qlCalendarAdvance(Calendar,X1495,NDays&amp;"D")</f>
        <v>49514</v>
      </c>
      <c r="Z1495" s="174">
        <v>2.2189438057110822E-2</v>
      </c>
      <c r="AA1495" s="177"/>
    </row>
    <row r="1496" spans="22:27" x14ac:dyDescent="0.2">
      <c r="V1496" s="163"/>
      <c r="W1496" s="158" t="str">
        <f t="shared" si="35"/>
        <v>1w</v>
      </c>
      <c r="X1496" s="168">
        <f>_xll.qlCalendarAdvance(Calendar,X1495,W1496,"f",FALSE)</f>
        <v>49521</v>
      </c>
      <c r="Y1496" s="173">
        <f>_xll.qlCalendarAdvance(Calendar,X1496,NDays&amp;"D")</f>
        <v>49521</v>
      </c>
      <c r="Z1496" s="174">
        <v>2.2181069986717539E-2</v>
      </c>
      <c r="AA1496" s="177"/>
    </row>
    <row r="1497" spans="22:27" x14ac:dyDescent="0.2">
      <c r="V1497" s="163"/>
      <c r="W1497" s="158" t="str">
        <f t="shared" si="35"/>
        <v>1w</v>
      </c>
      <c r="X1497" s="168">
        <f>_xll.qlCalendarAdvance(Calendar,X1496,W1497,"f",FALSE)</f>
        <v>49528</v>
      </c>
      <c r="Y1497" s="173">
        <f>_xll.qlCalendarAdvance(Calendar,X1497,NDays&amp;"D")</f>
        <v>49528</v>
      </c>
      <c r="Z1497" s="174">
        <v>2.2172731151743896E-2</v>
      </c>
      <c r="AA1497" s="177"/>
    </row>
    <row r="1498" spans="22:27" x14ac:dyDescent="0.2">
      <c r="V1498" s="163"/>
      <c r="W1498" s="158" t="str">
        <f t="shared" si="35"/>
        <v>1w</v>
      </c>
      <c r="X1498" s="168">
        <f>_xll.qlCalendarAdvance(Calendar,X1497,W1498,"f",FALSE)</f>
        <v>49535</v>
      </c>
      <c r="Y1498" s="173">
        <f>_xll.qlCalendarAdvance(Calendar,X1498,NDays&amp;"D")</f>
        <v>49535</v>
      </c>
      <c r="Z1498" s="174">
        <v>2.2164421551784663E-2</v>
      </c>
      <c r="AA1498" s="177"/>
    </row>
    <row r="1499" spans="22:27" x14ac:dyDescent="0.2">
      <c r="V1499" s="163"/>
      <c r="W1499" s="158" t="str">
        <f t="shared" si="35"/>
        <v>1w</v>
      </c>
      <c r="X1499" s="168">
        <f>_xll.qlCalendarAdvance(Calendar,X1498,W1499,"f",FALSE)</f>
        <v>49542</v>
      </c>
      <c r="Y1499" s="173">
        <f>_xll.qlCalendarAdvance(Calendar,X1499,NDays&amp;"D")</f>
        <v>49542</v>
      </c>
      <c r="Z1499" s="174">
        <v>2.2156141187082978E-2</v>
      </c>
      <c r="AA1499" s="177"/>
    </row>
    <row r="1500" spans="22:27" x14ac:dyDescent="0.2">
      <c r="V1500" s="163"/>
      <c r="W1500" s="158" t="str">
        <f t="shared" si="35"/>
        <v>1w</v>
      </c>
      <c r="X1500" s="168">
        <f>_xll.qlCalendarAdvance(Calendar,X1499,W1500,"f",FALSE)</f>
        <v>49549</v>
      </c>
      <c r="Y1500" s="173">
        <f>_xll.qlCalendarAdvance(Calendar,X1500,NDays&amp;"D")</f>
        <v>49549</v>
      </c>
      <c r="Z1500" s="174">
        <v>2.2147890057557795E-2</v>
      </c>
      <c r="AA1500" s="177"/>
    </row>
    <row r="1501" spans="22:27" x14ac:dyDescent="0.2">
      <c r="V1501" s="163"/>
      <c r="W1501" s="158" t="str">
        <f t="shared" si="35"/>
        <v>1w</v>
      </c>
      <c r="X1501" s="168">
        <f>_xll.qlCalendarAdvance(Calendar,X1500,W1501,"f",FALSE)</f>
        <v>49556</v>
      </c>
      <c r="Y1501" s="173">
        <f>_xll.qlCalendarAdvance(Calendar,X1501,NDays&amp;"D")</f>
        <v>49556</v>
      </c>
      <c r="Z1501" s="174">
        <v>2.2139668163128068E-2</v>
      </c>
      <c r="AA1501" s="177"/>
    </row>
    <row r="1502" spans="22:27" x14ac:dyDescent="0.2">
      <c r="V1502" s="163"/>
      <c r="W1502" s="158" t="str">
        <f t="shared" si="35"/>
        <v>1w</v>
      </c>
      <c r="X1502" s="168">
        <f>_xll.qlCalendarAdvance(Calendar,X1501,W1502,"f",FALSE)</f>
        <v>49563</v>
      </c>
      <c r="Y1502" s="173">
        <f>_xll.qlCalendarAdvance(Calendar,X1502,NDays&amp;"D")</f>
        <v>49563</v>
      </c>
      <c r="Z1502" s="174">
        <v>2.2131475504036935E-2</v>
      </c>
      <c r="AA1502" s="177"/>
    </row>
    <row r="1503" spans="22:27" x14ac:dyDescent="0.2">
      <c r="V1503" s="163"/>
      <c r="W1503" s="158" t="str">
        <f t="shared" si="35"/>
        <v>1w</v>
      </c>
      <c r="X1503" s="168">
        <f>_xll.qlCalendarAdvance(Calendar,X1502,W1503,"f",FALSE)</f>
        <v>49570</v>
      </c>
      <c r="Y1503" s="173">
        <f>_xll.qlCalendarAdvance(Calendar,X1503,NDays&amp;"D")</f>
        <v>49570</v>
      </c>
      <c r="Z1503" s="174">
        <v>2.2123312079960211E-2</v>
      </c>
      <c r="AA1503" s="177"/>
    </row>
    <row r="1504" spans="22:27" x14ac:dyDescent="0.2">
      <c r="V1504" s="163"/>
      <c r="W1504" s="158" t="str">
        <f t="shared" si="35"/>
        <v>1w</v>
      </c>
      <c r="X1504" s="168">
        <f>_xll.qlCalendarAdvance(Calendar,X1503,W1504,"f",FALSE)</f>
        <v>49577</v>
      </c>
      <c r="Y1504" s="173">
        <f>_xll.qlCalendarAdvance(Calendar,X1504,NDays&amp;"D")</f>
        <v>49577</v>
      </c>
      <c r="Z1504" s="174">
        <v>2.2115177891222082E-2</v>
      </c>
      <c r="AA1504" s="177"/>
    </row>
    <row r="1505" spans="22:27" x14ac:dyDescent="0.2">
      <c r="V1505" s="163"/>
      <c r="W1505" s="158" t="str">
        <f t="shared" si="35"/>
        <v>1w</v>
      </c>
      <c r="X1505" s="168">
        <f>_xll.qlCalendarAdvance(Calendar,X1504,W1505,"f",FALSE)</f>
        <v>49584</v>
      </c>
      <c r="Y1505" s="173">
        <f>_xll.qlCalendarAdvance(Calendar,X1505,NDays&amp;"D")</f>
        <v>49584</v>
      </c>
      <c r="Z1505" s="174">
        <v>2.2107072937579408E-2</v>
      </c>
      <c r="AA1505" s="177"/>
    </row>
    <row r="1506" spans="22:27" x14ac:dyDescent="0.2">
      <c r="V1506" s="163"/>
      <c r="W1506" s="158" t="str">
        <f t="shared" si="35"/>
        <v>1w</v>
      </c>
      <c r="X1506" s="168">
        <f>_xll.qlCalendarAdvance(Calendar,X1505,W1506,"f",FALSE)</f>
        <v>49591</v>
      </c>
      <c r="Y1506" s="173">
        <f>_xll.qlCalendarAdvance(Calendar,X1506,NDays&amp;"D")</f>
        <v>49591</v>
      </c>
      <c r="Z1506" s="174">
        <v>2.2098997219194283E-2</v>
      </c>
      <c r="AA1506" s="177"/>
    </row>
    <row r="1507" spans="22:27" x14ac:dyDescent="0.2">
      <c r="V1507" s="163"/>
      <c r="W1507" s="158" t="str">
        <f t="shared" si="35"/>
        <v>1w</v>
      </c>
      <c r="X1507" s="168">
        <f>_xll.qlCalendarAdvance(Calendar,X1506,W1507,"f",FALSE)</f>
        <v>49598</v>
      </c>
      <c r="Y1507" s="173">
        <f>_xll.qlCalendarAdvance(Calendar,X1507,NDays&amp;"D")</f>
        <v>49598</v>
      </c>
      <c r="Z1507" s="174">
        <v>2.2090950735742521E-2</v>
      </c>
      <c r="AA1507" s="177"/>
    </row>
    <row r="1508" spans="22:27" x14ac:dyDescent="0.2">
      <c r="V1508" s="163"/>
      <c r="W1508" s="158" t="str">
        <f t="shared" si="35"/>
        <v>1w</v>
      </c>
      <c r="X1508" s="168">
        <f>_xll.qlCalendarAdvance(Calendar,X1507,W1508,"f",FALSE)</f>
        <v>49605</v>
      </c>
      <c r="Y1508" s="173">
        <f>_xll.qlCalendarAdvance(Calendar,X1508,NDays&amp;"D")</f>
        <v>49605</v>
      </c>
      <c r="Z1508" s="174">
        <v>2.2082933487710399E-2</v>
      </c>
      <c r="AA1508" s="177"/>
    </row>
    <row r="1509" spans="22:27" x14ac:dyDescent="0.2">
      <c r="V1509" s="163"/>
      <c r="W1509" s="158" t="str">
        <f t="shared" si="35"/>
        <v>1w</v>
      </c>
      <c r="X1509" s="168">
        <f>_xll.qlCalendarAdvance(Calendar,X1508,W1509,"f",FALSE)</f>
        <v>49612</v>
      </c>
      <c r="Y1509" s="173">
        <f>_xll.qlCalendarAdvance(Calendar,X1509,NDays&amp;"D")</f>
        <v>49612</v>
      </c>
      <c r="Z1509" s="174">
        <v>2.2074945474773733E-2</v>
      </c>
      <c r="AA1509" s="177"/>
    </row>
    <row r="1510" spans="22:27" x14ac:dyDescent="0.2">
      <c r="V1510" s="163"/>
      <c r="W1510" s="158" t="str">
        <f t="shared" si="35"/>
        <v>1w</v>
      </c>
      <c r="X1510" s="168">
        <f>_xll.qlCalendarAdvance(Calendar,X1509,W1510,"f",FALSE)</f>
        <v>49619</v>
      </c>
      <c r="Y1510" s="173">
        <f>_xll.qlCalendarAdvance(Calendar,X1510,NDays&amp;"D")</f>
        <v>49619</v>
      </c>
      <c r="Z1510" s="174">
        <v>2.2066986696932522E-2</v>
      </c>
      <c r="AA1510" s="177"/>
    </row>
    <row r="1511" spans="22:27" x14ac:dyDescent="0.2">
      <c r="V1511" s="163"/>
      <c r="W1511" s="158" t="str">
        <f t="shared" si="35"/>
        <v>1w</v>
      </c>
      <c r="X1511" s="168">
        <f>_xll.qlCalendarAdvance(Calendar,X1510,W1511,"f",FALSE)</f>
        <v>49626</v>
      </c>
      <c r="Y1511" s="173">
        <f>_xll.qlCalendarAdvance(Calendar,X1511,NDays&amp;"D")</f>
        <v>49626</v>
      </c>
      <c r="Z1511" s="174">
        <v>2.2059057154267814E-2</v>
      </c>
      <c r="AA1511" s="177"/>
    </row>
    <row r="1512" spans="22:27" x14ac:dyDescent="0.2">
      <c r="V1512" s="163"/>
      <c r="W1512" s="158" t="str">
        <f t="shared" si="35"/>
        <v>1w</v>
      </c>
      <c r="X1512" s="168">
        <f>_xll.qlCalendarAdvance(Calendar,X1511,W1512,"f",FALSE)</f>
        <v>49633</v>
      </c>
      <c r="Y1512" s="173">
        <f>_xll.qlCalendarAdvance(Calendar,X1512,NDays&amp;"D")</f>
        <v>49633</v>
      </c>
      <c r="Z1512" s="174">
        <v>2.2051156846860653E-2</v>
      </c>
      <c r="AA1512" s="177"/>
    </row>
    <row r="1513" spans="22:27" x14ac:dyDescent="0.2">
      <c r="V1513" s="163"/>
      <c r="W1513" s="158" t="str">
        <f t="shared" si="35"/>
        <v>1w</v>
      </c>
      <c r="X1513" s="168">
        <f>_xll.qlCalendarAdvance(Calendar,X1512,W1513,"f",FALSE)</f>
        <v>49640</v>
      </c>
      <c r="Y1513" s="173">
        <f>_xll.qlCalendarAdvance(Calendar,X1513,NDays&amp;"D")</f>
        <v>49640</v>
      </c>
      <c r="Z1513" s="174">
        <v>2.2043285774548949E-2</v>
      </c>
      <c r="AA1513" s="177"/>
    </row>
    <row r="1514" spans="22:27" x14ac:dyDescent="0.2">
      <c r="V1514" s="163"/>
      <c r="W1514" s="158" t="str">
        <f t="shared" si="35"/>
        <v>1w</v>
      </c>
      <c r="X1514" s="168">
        <f>_xll.qlCalendarAdvance(Calendar,X1513,W1514,"f",FALSE)</f>
        <v>49647</v>
      </c>
      <c r="Y1514" s="173">
        <f>_xll.qlCalendarAdvance(Calendar,X1514,NDays&amp;"D")</f>
        <v>49647</v>
      </c>
      <c r="Z1514" s="174">
        <v>2.2035443937413746E-2</v>
      </c>
      <c r="AA1514" s="177"/>
    </row>
    <row r="1515" spans="22:27" x14ac:dyDescent="0.2">
      <c r="V1515" s="163"/>
      <c r="W1515" s="158" t="str">
        <f t="shared" si="35"/>
        <v>1w</v>
      </c>
      <c r="X1515" s="168">
        <f>_xll.qlCalendarAdvance(Calendar,X1514,W1515,"f",FALSE)</f>
        <v>49654</v>
      </c>
      <c r="Y1515" s="173">
        <f>_xll.qlCalendarAdvance(Calendar,X1515,NDays&amp;"D")</f>
        <v>49654</v>
      </c>
      <c r="Z1515" s="174">
        <v>2.2027631335455045E-2</v>
      </c>
      <c r="AA1515" s="177"/>
    </row>
    <row r="1516" spans="22:27" x14ac:dyDescent="0.2">
      <c r="V1516" s="163"/>
      <c r="W1516" s="158" t="str">
        <f t="shared" si="35"/>
        <v>1w</v>
      </c>
      <c r="X1516" s="168">
        <f>_xll.qlCalendarAdvance(Calendar,X1515,W1516,"f",FALSE)</f>
        <v>49661</v>
      </c>
      <c r="Y1516" s="173">
        <f>_xll.qlCalendarAdvance(Calendar,X1516,NDays&amp;"D")</f>
        <v>49661</v>
      </c>
      <c r="Z1516" s="174">
        <v>2.2019847968591799E-2</v>
      </c>
      <c r="AA1516" s="177"/>
    </row>
    <row r="1517" spans="22:27" x14ac:dyDescent="0.2">
      <c r="V1517" s="163"/>
      <c r="W1517" s="158" t="str">
        <f t="shared" si="35"/>
        <v>1w</v>
      </c>
      <c r="X1517" s="168">
        <f>_xll.qlCalendarAdvance(Calendar,X1516,W1517,"f",FALSE)</f>
        <v>49668</v>
      </c>
      <c r="Y1517" s="173">
        <f>_xll.qlCalendarAdvance(Calendar,X1517,NDays&amp;"D")</f>
        <v>49668</v>
      </c>
      <c r="Z1517" s="174">
        <v>2.2012093836905056E-2</v>
      </c>
      <c r="AA1517" s="177"/>
    </row>
    <row r="1518" spans="22:27" x14ac:dyDescent="0.2">
      <c r="V1518" s="163"/>
      <c r="W1518" s="158" t="str">
        <f t="shared" si="35"/>
        <v>1w</v>
      </c>
      <c r="X1518" s="168">
        <f>_xll.qlCalendarAdvance(Calendar,X1517,W1518,"f",FALSE)</f>
        <v>49678</v>
      </c>
      <c r="Y1518" s="173">
        <f>_xll.qlCalendarAdvance(Calendar,X1518,NDays&amp;"D")</f>
        <v>49678</v>
      </c>
      <c r="Z1518" s="174">
        <v>2.2001294088806654E-2</v>
      </c>
      <c r="AA1518" s="177"/>
    </row>
    <row r="1519" spans="22:27" x14ac:dyDescent="0.2">
      <c r="V1519" s="163"/>
      <c r="W1519" s="158" t="str">
        <f t="shared" si="35"/>
        <v>1w</v>
      </c>
      <c r="X1519" s="168">
        <f>_xll.qlCalendarAdvance(Calendar,X1518,W1519,"f",FALSE)</f>
        <v>49685</v>
      </c>
      <c r="Y1519" s="173">
        <f>_xll.qlCalendarAdvance(Calendar,X1519,NDays&amp;"D")</f>
        <v>49685</v>
      </c>
      <c r="Z1519" s="174">
        <v>2.1993729506891713E-2</v>
      </c>
      <c r="AA1519" s="177"/>
    </row>
    <row r="1520" spans="22:27" x14ac:dyDescent="0.2">
      <c r="V1520" s="163"/>
      <c r="W1520" s="158" t="str">
        <f t="shared" si="35"/>
        <v>1w</v>
      </c>
      <c r="X1520" s="168">
        <f>_xll.qlCalendarAdvance(Calendar,X1519,W1520,"f",FALSE)</f>
        <v>49692</v>
      </c>
      <c r="Y1520" s="173">
        <f>_xll.qlCalendarAdvance(Calendar,X1520,NDays&amp;"D")</f>
        <v>49692</v>
      </c>
      <c r="Z1520" s="174">
        <v>2.1985963565546166E-2</v>
      </c>
      <c r="AA1520" s="177"/>
    </row>
    <row r="1521" spans="22:27" x14ac:dyDescent="0.2">
      <c r="V1521" s="163"/>
      <c r="W1521" s="158" t="str">
        <f t="shared" si="35"/>
        <v>1w</v>
      </c>
      <c r="X1521" s="168">
        <f>_xll.qlCalendarAdvance(Calendar,X1520,W1521,"f",FALSE)</f>
        <v>49699</v>
      </c>
      <c r="Y1521" s="173">
        <f>_xll.qlCalendarAdvance(Calendar,X1521,NDays&amp;"D")</f>
        <v>49699</v>
      </c>
      <c r="Z1521" s="174">
        <v>2.197834216238093E-2</v>
      </c>
      <c r="AA1521" s="177"/>
    </row>
    <row r="1522" spans="22:27" x14ac:dyDescent="0.2">
      <c r="V1522" s="163"/>
      <c r="W1522" s="158" t="str">
        <f t="shared" si="35"/>
        <v>1w</v>
      </c>
      <c r="X1522" s="168">
        <f>_xll.qlCalendarAdvance(Calendar,X1521,W1522,"f",FALSE)</f>
        <v>49706</v>
      </c>
      <c r="Y1522" s="173">
        <f>_xll.qlCalendarAdvance(Calendar,X1522,NDays&amp;"D")</f>
        <v>49706</v>
      </c>
      <c r="Z1522" s="174">
        <v>2.197074999820137E-2</v>
      </c>
      <c r="AA1522" s="177"/>
    </row>
    <row r="1523" spans="22:27" x14ac:dyDescent="0.2">
      <c r="V1523" s="163"/>
      <c r="W1523" s="158" t="str">
        <f t="shared" si="35"/>
        <v>1w</v>
      </c>
      <c r="X1523" s="168">
        <f>_xll.qlCalendarAdvance(Calendar,X1522,W1523,"f",FALSE)</f>
        <v>49713</v>
      </c>
      <c r="Y1523" s="173">
        <f>_xll.qlCalendarAdvance(Calendar,X1523,NDays&amp;"D")</f>
        <v>49713</v>
      </c>
      <c r="Z1523" s="174">
        <v>2.1963308894705491E-2</v>
      </c>
      <c r="AA1523" s="177"/>
    </row>
    <row r="1524" spans="22:27" x14ac:dyDescent="0.2">
      <c r="V1524" s="163"/>
      <c r="W1524" s="158" t="str">
        <f t="shared" si="35"/>
        <v>1w</v>
      </c>
      <c r="X1524" s="168">
        <f>_xll.qlCalendarAdvance(Calendar,X1523,W1524,"f",FALSE)</f>
        <v>49720</v>
      </c>
      <c r="Y1524" s="173">
        <f>_xll.qlCalendarAdvance(Calendar,X1524,NDays&amp;"D")</f>
        <v>49720</v>
      </c>
      <c r="Z1524" s="174">
        <v>2.1955653386772266E-2</v>
      </c>
      <c r="AA1524" s="177"/>
    </row>
    <row r="1525" spans="22:27" x14ac:dyDescent="0.2">
      <c r="V1525" s="163"/>
      <c r="W1525" s="158" t="str">
        <f t="shared" si="35"/>
        <v>1w</v>
      </c>
      <c r="X1525" s="168">
        <f>_xll.qlCalendarAdvance(Calendar,X1524,W1525,"f",FALSE)</f>
        <v>49727</v>
      </c>
      <c r="Y1525" s="173">
        <f>_xll.qlCalendarAdvance(Calendar,X1525,NDays&amp;"D")</f>
        <v>49727</v>
      </c>
      <c r="Z1525" s="174">
        <v>2.1948148939522721E-2</v>
      </c>
      <c r="AA1525" s="177"/>
    </row>
    <row r="1526" spans="22:27" x14ac:dyDescent="0.2">
      <c r="V1526" s="163"/>
      <c r="W1526" s="158" t="str">
        <f t="shared" si="35"/>
        <v>1w</v>
      </c>
      <c r="X1526" s="168">
        <f>_xll.qlCalendarAdvance(Calendar,X1525,W1526,"f",FALSE)</f>
        <v>49734</v>
      </c>
      <c r="Y1526" s="173">
        <f>_xll.qlCalendarAdvance(Calendar,X1526,NDays&amp;"D")</f>
        <v>49734</v>
      </c>
      <c r="Z1526" s="174">
        <v>2.1940673731204823E-2</v>
      </c>
      <c r="AA1526" s="177"/>
    </row>
    <row r="1527" spans="22:27" x14ac:dyDescent="0.2">
      <c r="V1527" s="163"/>
      <c r="W1527" s="158" t="str">
        <f t="shared" si="35"/>
        <v>1w</v>
      </c>
      <c r="X1527" s="168">
        <f>_xll.qlCalendarAdvance(Calendar,X1526,W1527,"f",FALSE)</f>
        <v>49741</v>
      </c>
      <c r="Y1527" s="173">
        <f>_xll.qlCalendarAdvance(Calendar,X1527,NDays&amp;"D")</f>
        <v>49741</v>
      </c>
      <c r="Z1527" s="174">
        <v>2.193322776184559E-2</v>
      </c>
      <c r="AA1527" s="177"/>
    </row>
    <row r="1528" spans="22:27" x14ac:dyDescent="0.2">
      <c r="V1528" s="163"/>
      <c r="W1528" s="158" t="str">
        <f t="shared" si="35"/>
        <v>1w</v>
      </c>
      <c r="X1528" s="168">
        <f>_xll.qlCalendarAdvance(Calendar,X1527,W1528,"f",FALSE)</f>
        <v>49748</v>
      </c>
      <c r="Y1528" s="173">
        <f>_xll.qlCalendarAdvance(Calendar,X1528,NDays&amp;"D")</f>
        <v>49748</v>
      </c>
      <c r="Z1528" s="174">
        <v>2.1925811031418E-2</v>
      </c>
      <c r="AA1528" s="177"/>
    </row>
    <row r="1529" spans="22:27" x14ac:dyDescent="0.2">
      <c r="V1529" s="163"/>
      <c r="W1529" s="158" t="str">
        <f t="shared" si="35"/>
        <v>1w</v>
      </c>
      <c r="X1529" s="168">
        <f>_xll.qlCalendarAdvance(Calendar,X1528,W1529,"f",FALSE)</f>
        <v>49755</v>
      </c>
      <c r="Y1529" s="173">
        <f>_xll.qlCalendarAdvance(Calendar,X1529,NDays&amp;"D")</f>
        <v>49755</v>
      </c>
      <c r="Z1529" s="174">
        <v>2.1918423539976088E-2</v>
      </c>
      <c r="AA1529" s="177"/>
    </row>
    <row r="1530" spans="22:27" x14ac:dyDescent="0.2">
      <c r="V1530" s="163"/>
      <c r="W1530" s="158" t="str">
        <f t="shared" si="35"/>
        <v>1w</v>
      </c>
      <c r="X1530" s="168">
        <f>_xll.qlCalendarAdvance(Calendar,X1529,W1530,"f",FALSE)</f>
        <v>49762</v>
      </c>
      <c r="Y1530" s="173">
        <f>_xll.qlCalendarAdvance(Calendar,X1530,NDays&amp;"D")</f>
        <v>49762</v>
      </c>
      <c r="Z1530" s="174">
        <v>2.1911065287438806E-2</v>
      </c>
      <c r="AA1530" s="177"/>
    </row>
    <row r="1531" spans="22:27" x14ac:dyDescent="0.2">
      <c r="V1531" s="163"/>
      <c r="W1531" s="158" t="str">
        <f t="shared" si="35"/>
        <v>1w</v>
      </c>
      <c r="X1531" s="168">
        <f>_xll.qlCalendarAdvance(Calendar,X1530,W1531,"f",FALSE)</f>
        <v>49769</v>
      </c>
      <c r="Y1531" s="173">
        <f>_xll.qlCalendarAdvance(Calendar,X1531,NDays&amp;"D")</f>
        <v>49769</v>
      </c>
      <c r="Z1531" s="174">
        <v>2.1903736273806155E-2</v>
      </c>
      <c r="AA1531" s="177"/>
    </row>
    <row r="1532" spans="22:27" x14ac:dyDescent="0.2">
      <c r="V1532" s="163"/>
      <c r="W1532" s="158" t="str">
        <f t="shared" si="35"/>
        <v>1w</v>
      </c>
      <c r="X1532" s="168">
        <f>_xll.qlCalendarAdvance(Calendar,X1531,W1532,"f",FALSE)</f>
        <v>49776</v>
      </c>
      <c r="Y1532" s="173">
        <f>_xll.qlCalendarAdvance(Calendar,X1532,NDays&amp;"D")</f>
        <v>49776</v>
      </c>
      <c r="Z1532" s="174">
        <v>2.1896436499159181E-2</v>
      </c>
      <c r="AA1532" s="177"/>
    </row>
    <row r="1533" spans="22:27" x14ac:dyDescent="0.2">
      <c r="V1533" s="163"/>
      <c r="W1533" s="158" t="str">
        <f t="shared" si="35"/>
        <v>1w</v>
      </c>
      <c r="X1533" s="168">
        <f>_xll.qlCalendarAdvance(Calendar,X1532,W1533,"f",FALSE)</f>
        <v>49783</v>
      </c>
      <c r="Y1533" s="173">
        <f>_xll.qlCalendarAdvance(Calendar,X1533,NDays&amp;"D")</f>
        <v>49783</v>
      </c>
      <c r="Z1533" s="174">
        <v>2.1889165963389821E-2</v>
      </c>
      <c r="AA1533" s="177"/>
    </row>
    <row r="1534" spans="22:27" x14ac:dyDescent="0.2">
      <c r="V1534" s="163"/>
      <c r="W1534" s="158" t="str">
        <f t="shared" si="35"/>
        <v>1w</v>
      </c>
      <c r="X1534" s="168">
        <f>_xll.qlCalendarAdvance(Calendar,X1533,W1534,"f",FALSE)</f>
        <v>49790</v>
      </c>
      <c r="Y1534" s="173">
        <f>_xll.qlCalendarAdvance(Calendar,X1534,NDays&amp;"D")</f>
        <v>49790</v>
      </c>
      <c r="Z1534" s="174">
        <v>2.1881924666579126E-2</v>
      </c>
      <c r="AA1534" s="177"/>
    </row>
    <row r="1535" spans="22:27" x14ac:dyDescent="0.2">
      <c r="V1535" s="163"/>
      <c r="W1535" s="158" t="str">
        <f t="shared" si="35"/>
        <v>1w</v>
      </c>
      <c r="X1535" s="168">
        <f>_xll.qlCalendarAdvance(Calendar,X1534,W1535,"f",FALSE)</f>
        <v>49797</v>
      </c>
      <c r="Y1535" s="173">
        <f>_xll.qlCalendarAdvance(Calendar,X1535,NDays&amp;"D")</f>
        <v>49797</v>
      </c>
      <c r="Z1535" s="174">
        <v>2.1874995917218421E-2</v>
      </c>
      <c r="AA1535" s="177"/>
    </row>
    <row r="1536" spans="22:27" x14ac:dyDescent="0.2">
      <c r="V1536" s="163"/>
      <c r="W1536" s="158" t="str">
        <f t="shared" si="35"/>
        <v>1w</v>
      </c>
      <c r="X1536" s="168">
        <f>_xll.qlCalendarAdvance(Calendar,X1535,W1536,"f",FALSE)</f>
        <v>49804</v>
      </c>
      <c r="Y1536" s="173">
        <f>_xll.qlCalendarAdvance(Calendar,X1536,NDays&amp;"D")</f>
        <v>49804</v>
      </c>
      <c r="Z1536" s="174">
        <v>2.1867529789617594E-2</v>
      </c>
      <c r="AA1536" s="177"/>
    </row>
    <row r="1537" spans="22:27" x14ac:dyDescent="0.2">
      <c r="V1537" s="163"/>
      <c r="W1537" s="158" t="str">
        <f t="shared" si="35"/>
        <v>1w</v>
      </c>
      <c r="X1537" s="168">
        <f>_xll.qlCalendarAdvance(Calendar,X1536,W1537,"f",FALSE)</f>
        <v>49811</v>
      </c>
      <c r="Y1537" s="173">
        <f>_xll.qlCalendarAdvance(Calendar,X1537,NDays&amp;"D")</f>
        <v>49811</v>
      </c>
      <c r="Z1537" s="174">
        <v>2.1860376209493774E-2</v>
      </c>
      <c r="AA1537" s="177"/>
    </row>
    <row r="1538" spans="22:27" x14ac:dyDescent="0.2">
      <c r="V1538" s="163"/>
      <c r="W1538" s="158" t="str">
        <f t="shared" si="35"/>
        <v>1w</v>
      </c>
      <c r="X1538" s="168">
        <f>_xll.qlCalendarAdvance(Calendar,X1537,W1538,"f",FALSE)</f>
        <v>49818</v>
      </c>
      <c r="Y1538" s="173">
        <f>_xll.qlCalendarAdvance(Calendar,X1538,NDays&amp;"D")</f>
        <v>49818</v>
      </c>
      <c r="Z1538" s="174">
        <v>2.1853251868274585E-2</v>
      </c>
      <c r="AA1538" s="177"/>
    </row>
    <row r="1539" spans="22:27" x14ac:dyDescent="0.2">
      <c r="V1539" s="163"/>
      <c r="W1539" s="158" t="str">
        <f t="shared" si="35"/>
        <v>1w</v>
      </c>
      <c r="X1539" s="168">
        <f>_xll.qlCalendarAdvance(Calendar,X1538,W1539,"f",FALSE)</f>
        <v>49825</v>
      </c>
      <c r="Y1539" s="173">
        <f>_xll.qlCalendarAdvance(Calendar,X1539,NDays&amp;"D")</f>
        <v>49825</v>
      </c>
      <c r="Z1539" s="174">
        <v>2.184615676593301E-2</v>
      </c>
      <c r="AA1539" s="177"/>
    </row>
    <row r="1540" spans="22:27" x14ac:dyDescent="0.2">
      <c r="V1540" s="163"/>
      <c r="W1540" s="158" t="str">
        <f t="shared" si="35"/>
        <v>1w</v>
      </c>
      <c r="X1540" s="168">
        <f>_xll.qlCalendarAdvance(Calendar,X1539,W1540,"f",FALSE)</f>
        <v>49832</v>
      </c>
      <c r="Y1540" s="173">
        <f>_xll.qlCalendarAdvance(Calendar,X1540,NDays&amp;"D")</f>
        <v>49832</v>
      </c>
      <c r="Z1540" s="174">
        <v>2.1839090902469053E-2</v>
      </c>
      <c r="AA1540" s="177"/>
    </row>
    <row r="1541" spans="22:27" x14ac:dyDescent="0.2">
      <c r="V1541" s="163"/>
      <c r="W1541" s="158" t="str">
        <f t="shared" si="35"/>
        <v>1w</v>
      </c>
      <c r="X1541" s="168">
        <f>_xll.qlCalendarAdvance(Calendar,X1540,W1541,"f",FALSE)</f>
        <v>49839</v>
      </c>
      <c r="Y1541" s="173">
        <f>_xll.qlCalendarAdvance(Calendar,X1541,NDays&amp;"D")</f>
        <v>49839</v>
      </c>
      <c r="Z1541" s="174">
        <v>2.183205427788271E-2</v>
      </c>
      <c r="AA1541" s="177"/>
    </row>
    <row r="1542" spans="22:27" x14ac:dyDescent="0.2">
      <c r="V1542" s="163"/>
      <c r="W1542" s="158" t="str">
        <f t="shared" si="35"/>
        <v>1w</v>
      </c>
      <c r="X1542" s="168">
        <f>_xll.qlCalendarAdvance(Calendar,X1541,W1542,"f",FALSE)</f>
        <v>49846</v>
      </c>
      <c r="Y1542" s="173">
        <f>_xll.qlCalendarAdvance(Calendar,X1542,NDays&amp;"D")</f>
        <v>49846</v>
      </c>
      <c r="Z1542" s="174">
        <v>2.1825046892200998E-2</v>
      </c>
      <c r="AA1542" s="177"/>
    </row>
    <row r="1543" spans="22:27" x14ac:dyDescent="0.2">
      <c r="V1543" s="163"/>
      <c r="W1543" s="158" t="str">
        <f t="shared" si="35"/>
        <v>1w</v>
      </c>
      <c r="X1543" s="168">
        <f>_xll.qlCalendarAdvance(Calendar,X1542,W1543,"f",FALSE)</f>
        <v>49853</v>
      </c>
      <c r="Y1543" s="173">
        <f>_xll.qlCalendarAdvance(Calendar,X1543,NDays&amp;"D")</f>
        <v>49853</v>
      </c>
      <c r="Z1543" s="174">
        <v>2.1818068745369883E-2</v>
      </c>
      <c r="AA1543" s="177"/>
    </row>
    <row r="1544" spans="22:27" x14ac:dyDescent="0.2">
      <c r="V1544" s="163"/>
      <c r="W1544" s="158" t="str">
        <f t="shared" si="35"/>
        <v>1w</v>
      </c>
      <c r="X1544" s="168">
        <f>_xll.qlCalendarAdvance(Calendar,X1543,W1544,"f",FALSE)</f>
        <v>49860</v>
      </c>
      <c r="Y1544" s="173">
        <f>_xll.qlCalendarAdvance(Calendar,X1544,NDays&amp;"D")</f>
        <v>49860</v>
      </c>
      <c r="Z1544" s="174">
        <v>2.1811119837416387E-2</v>
      </c>
      <c r="AA1544" s="177"/>
    </row>
    <row r="1545" spans="22:27" x14ac:dyDescent="0.2">
      <c r="V1545" s="163"/>
      <c r="W1545" s="158" t="str">
        <f t="shared" si="35"/>
        <v>1w</v>
      </c>
      <c r="X1545" s="168">
        <f>_xll.qlCalendarAdvance(Calendar,X1544,W1545,"f",FALSE)</f>
        <v>49867</v>
      </c>
      <c r="Y1545" s="173">
        <f>_xll.qlCalendarAdvance(Calendar,X1545,NDays&amp;"D")</f>
        <v>49867</v>
      </c>
      <c r="Z1545" s="174">
        <v>2.1804200168313491E-2</v>
      </c>
      <c r="AA1545" s="177"/>
    </row>
    <row r="1546" spans="22:27" x14ac:dyDescent="0.2">
      <c r="V1546" s="163"/>
      <c r="W1546" s="158" t="str">
        <f t="shared" si="35"/>
        <v>1w</v>
      </c>
      <c r="X1546" s="168">
        <f>_xll.qlCalendarAdvance(Calendar,X1545,W1546,"f",FALSE)</f>
        <v>49874</v>
      </c>
      <c r="Y1546" s="173">
        <f>_xll.qlCalendarAdvance(Calendar,X1546,NDays&amp;"D")</f>
        <v>49874</v>
      </c>
      <c r="Z1546" s="174">
        <v>2.1797469655151502E-2</v>
      </c>
      <c r="AA1546" s="177"/>
    </row>
    <row r="1547" spans="22:27" x14ac:dyDescent="0.2">
      <c r="V1547" s="163"/>
      <c r="W1547" s="158" t="str">
        <f t="shared" si="35"/>
        <v>1w</v>
      </c>
      <c r="X1547" s="168">
        <f>_xll.qlCalendarAdvance(Calendar,X1546,W1547,"f",FALSE)</f>
        <v>49881</v>
      </c>
      <c r="Y1547" s="173">
        <f>_xll.qlCalendarAdvance(Calendar,X1547,NDays&amp;"D")</f>
        <v>49881</v>
      </c>
      <c r="Z1547" s="174">
        <v>2.1790448546632483E-2</v>
      </c>
      <c r="AA1547" s="177"/>
    </row>
    <row r="1548" spans="22:27" x14ac:dyDescent="0.2">
      <c r="V1548" s="163"/>
      <c r="W1548" s="158" t="str">
        <f t="shared" si="35"/>
        <v>1w</v>
      </c>
      <c r="X1548" s="168">
        <f>_xll.qlCalendarAdvance(Calendar,X1547,W1548,"f",FALSE)</f>
        <v>49888</v>
      </c>
      <c r="Y1548" s="173">
        <f>_xll.qlCalendarAdvance(Calendar,X1548,NDays&amp;"D")</f>
        <v>49888</v>
      </c>
      <c r="Z1548" s="174">
        <v>2.17836165941084E-2</v>
      </c>
      <c r="AA1548" s="177"/>
    </row>
    <row r="1549" spans="22:27" x14ac:dyDescent="0.2">
      <c r="V1549" s="163"/>
      <c r="W1549" s="158" t="str">
        <f t="shared" ref="W1549:W1612" si="36">W1548</f>
        <v>1w</v>
      </c>
      <c r="X1549" s="168">
        <f>_xll.qlCalendarAdvance(Calendar,X1548,W1549,"f",FALSE)</f>
        <v>49895</v>
      </c>
      <c r="Y1549" s="173">
        <f>_xll.qlCalendarAdvance(Calendar,X1549,NDays&amp;"D")</f>
        <v>49895</v>
      </c>
      <c r="Z1549" s="174">
        <v>2.1776813880353872E-2</v>
      </c>
      <c r="AA1549" s="177"/>
    </row>
    <row r="1550" spans="22:27" x14ac:dyDescent="0.2">
      <c r="V1550" s="163"/>
      <c r="W1550" s="158" t="str">
        <f t="shared" si="36"/>
        <v>1w</v>
      </c>
      <c r="X1550" s="168">
        <f>_xll.qlCalendarAdvance(Calendar,X1549,W1550,"f",FALSE)</f>
        <v>49902</v>
      </c>
      <c r="Y1550" s="173">
        <f>_xll.qlCalendarAdvance(Calendar,X1550,NDays&amp;"D")</f>
        <v>49902</v>
      </c>
      <c r="Z1550" s="174">
        <v>2.1770040405503975E-2</v>
      </c>
      <c r="AA1550" s="177"/>
    </row>
    <row r="1551" spans="22:27" x14ac:dyDescent="0.2">
      <c r="V1551" s="163"/>
      <c r="W1551" s="158" t="str">
        <f t="shared" si="36"/>
        <v>1w</v>
      </c>
      <c r="X1551" s="168">
        <f>_xll.qlCalendarAdvance(Calendar,X1550,W1551,"f",FALSE)</f>
        <v>49909</v>
      </c>
      <c r="Y1551" s="173">
        <f>_xll.qlCalendarAdvance(Calendar,X1551,NDays&amp;"D")</f>
        <v>49909</v>
      </c>
      <c r="Z1551" s="174">
        <v>2.1763296169423633E-2</v>
      </c>
      <c r="AA1551" s="177"/>
    </row>
    <row r="1552" spans="22:27" x14ac:dyDescent="0.2">
      <c r="V1552" s="163"/>
      <c r="W1552" s="158" t="str">
        <f t="shared" si="36"/>
        <v>1w</v>
      </c>
      <c r="X1552" s="168">
        <f>_xll.qlCalendarAdvance(Calendar,X1551,W1552,"f",FALSE)</f>
        <v>49916</v>
      </c>
      <c r="Y1552" s="173">
        <f>_xll.qlCalendarAdvance(Calendar,X1552,NDays&amp;"D")</f>
        <v>49916</v>
      </c>
      <c r="Z1552" s="174">
        <v>2.1756581172220905E-2</v>
      </c>
      <c r="AA1552" s="177"/>
    </row>
    <row r="1553" spans="22:27" x14ac:dyDescent="0.2">
      <c r="V1553" s="163"/>
      <c r="W1553" s="158" t="str">
        <f t="shared" si="36"/>
        <v>1w</v>
      </c>
      <c r="X1553" s="168">
        <f>_xll.qlCalendarAdvance(Calendar,X1552,W1553,"f",FALSE)</f>
        <v>49923</v>
      </c>
      <c r="Y1553" s="173">
        <f>_xll.qlCalendarAdvance(Calendar,X1553,NDays&amp;"D")</f>
        <v>49923</v>
      </c>
      <c r="Z1553" s="174">
        <v>2.1749895413814745E-2</v>
      </c>
      <c r="AA1553" s="177"/>
    </row>
    <row r="1554" spans="22:27" x14ac:dyDescent="0.2">
      <c r="V1554" s="163"/>
      <c r="W1554" s="158" t="str">
        <f t="shared" si="36"/>
        <v>1w</v>
      </c>
      <c r="X1554" s="168">
        <f>_xll.qlCalendarAdvance(Calendar,X1553,W1554,"f",FALSE)</f>
        <v>49930</v>
      </c>
      <c r="Y1554" s="173">
        <f>_xll.qlCalendarAdvance(Calendar,X1554,NDays&amp;"D")</f>
        <v>49930</v>
      </c>
      <c r="Z1554" s="174">
        <v>2.1743412295437969E-2</v>
      </c>
      <c r="AA1554" s="177"/>
    </row>
    <row r="1555" spans="22:27" x14ac:dyDescent="0.2">
      <c r="V1555" s="163"/>
      <c r="W1555" s="158" t="str">
        <f t="shared" si="36"/>
        <v>1w</v>
      </c>
      <c r="X1555" s="168">
        <f>_xll.qlCalendarAdvance(Calendar,X1554,W1555,"f",FALSE)</f>
        <v>49937</v>
      </c>
      <c r="Y1555" s="173">
        <f>_xll.qlCalendarAdvance(Calendar,X1555,NDays&amp;"D")</f>
        <v>49937</v>
      </c>
      <c r="Z1555" s="174">
        <v>2.1736786708573264E-2</v>
      </c>
      <c r="AA1555" s="177"/>
    </row>
    <row r="1556" spans="22:27" x14ac:dyDescent="0.2">
      <c r="V1556" s="163"/>
      <c r="W1556" s="158" t="str">
        <f t="shared" si="36"/>
        <v>1w</v>
      </c>
      <c r="X1556" s="168">
        <f>_xll.qlCalendarAdvance(Calendar,X1555,W1556,"f",FALSE)</f>
        <v>49944</v>
      </c>
      <c r="Y1556" s="173">
        <f>_xll.qlCalendarAdvance(Calendar,X1556,NDays&amp;"D")</f>
        <v>49944</v>
      </c>
      <c r="Z1556" s="174">
        <v>2.1730013571456729E-2</v>
      </c>
      <c r="AA1556" s="177"/>
    </row>
    <row r="1557" spans="22:27" x14ac:dyDescent="0.2">
      <c r="V1557" s="163"/>
      <c r="W1557" s="158" t="str">
        <f t="shared" si="36"/>
        <v>1w</v>
      </c>
      <c r="X1557" s="168">
        <f>_xll.qlCalendarAdvance(Calendar,X1556,W1557,"f",FALSE)</f>
        <v>49951</v>
      </c>
      <c r="Y1557" s="173">
        <f>_xll.qlCalendarAdvance(Calendar,X1557,NDays&amp;"D")</f>
        <v>49951</v>
      </c>
      <c r="Z1557" s="174">
        <v>2.1723444768290877E-2</v>
      </c>
      <c r="AA1557" s="177"/>
    </row>
    <row r="1558" spans="22:27" x14ac:dyDescent="0.2">
      <c r="V1558" s="163"/>
      <c r="W1558" s="158" t="str">
        <f t="shared" si="36"/>
        <v>1w</v>
      </c>
      <c r="X1558" s="168">
        <f>_xll.qlCalendarAdvance(Calendar,X1557,W1558,"f",FALSE)</f>
        <v>49958</v>
      </c>
      <c r="Y1558" s="173">
        <f>_xll.qlCalendarAdvance(Calendar,X1558,NDays&amp;"D")</f>
        <v>49958</v>
      </c>
      <c r="Z1558" s="174">
        <v>2.1717085391942947E-2</v>
      </c>
      <c r="AA1558" s="177"/>
    </row>
    <row r="1559" spans="22:27" x14ac:dyDescent="0.2">
      <c r="V1559" s="163"/>
      <c r="W1559" s="158" t="str">
        <f t="shared" si="36"/>
        <v>1w</v>
      </c>
      <c r="X1559" s="168">
        <f>_xll.qlCalendarAdvance(Calendar,X1558,W1559,"f",FALSE)</f>
        <v>49965</v>
      </c>
      <c r="Y1559" s="173">
        <f>_xll.qlCalendarAdvance(Calendar,X1559,NDays&amp;"D")</f>
        <v>49965</v>
      </c>
      <c r="Z1559" s="174">
        <v>2.1710394878294851E-2</v>
      </c>
      <c r="AA1559" s="177"/>
    </row>
    <row r="1560" spans="22:27" x14ac:dyDescent="0.2">
      <c r="V1560" s="163"/>
      <c r="W1560" s="158" t="str">
        <f t="shared" si="36"/>
        <v>1w</v>
      </c>
      <c r="X1560" s="168">
        <f>_xll.qlCalendarAdvance(Calendar,X1559,W1560,"f",FALSE)</f>
        <v>49972</v>
      </c>
      <c r="Y1560" s="173">
        <f>_xll.qlCalendarAdvance(Calendar,X1560,NDays&amp;"D")</f>
        <v>49972</v>
      </c>
      <c r="Z1560" s="174">
        <v>2.1703913791518707E-2</v>
      </c>
      <c r="AA1560" s="177"/>
    </row>
    <row r="1561" spans="22:27" x14ac:dyDescent="0.2">
      <c r="V1561" s="163"/>
      <c r="W1561" s="158" t="str">
        <f t="shared" si="36"/>
        <v>1w</v>
      </c>
      <c r="X1561" s="168">
        <f>_xll.qlCalendarAdvance(Calendar,X1560,W1561,"f",FALSE)</f>
        <v>49979</v>
      </c>
      <c r="Y1561" s="173">
        <f>_xll.qlCalendarAdvance(Calendar,X1561,NDays&amp;"D")</f>
        <v>49979</v>
      </c>
      <c r="Z1561" s="174">
        <v>2.1697647241116502E-2</v>
      </c>
      <c r="AA1561" s="177"/>
    </row>
    <row r="1562" spans="22:27" x14ac:dyDescent="0.2">
      <c r="V1562" s="163"/>
      <c r="W1562" s="158" t="str">
        <f t="shared" si="36"/>
        <v>1w</v>
      </c>
      <c r="X1562" s="168">
        <f>_xll.qlCalendarAdvance(Calendar,X1561,W1562,"f",FALSE)</f>
        <v>49986</v>
      </c>
      <c r="Y1562" s="173">
        <f>_xll.qlCalendarAdvance(Calendar,X1562,NDays&amp;"D")</f>
        <v>49986</v>
      </c>
      <c r="Z1562" s="174">
        <v>2.1691039334248062E-2</v>
      </c>
      <c r="AA1562" s="177"/>
    </row>
    <row r="1563" spans="22:27" x14ac:dyDescent="0.2">
      <c r="V1563" s="163"/>
      <c r="W1563" s="158" t="str">
        <f t="shared" si="36"/>
        <v>1w</v>
      </c>
      <c r="X1563" s="168">
        <f>_xll.qlCalendarAdvance(Calendar,X1562,W1563,"f",FALSE)</f>
        <v>49993</v>
      </c>
      <c r="Y1563" s="173">
        <f>_xll.qlCalendarAdvance(Calendar,X1563,NDays&amp;"D")</f>
        <v>49993</v>
      </c>
      <c r="Z1563" s="174">
        <v>2.1684645963753562E-2</v>
      </c>
      <c r="AA1563" s="177"/>
    </row>
    <row r="1564" spans="22:27" x14ac:dyDescent="0.2">
      <c r="V1564" s="163"/>
      <c r="W1564" s="158" t="str">
        <f t="shared" si="36"/>
        <v>1w</v>
      </c>
      <c r="X1564" s="168">
        <f>_xll.qlCalendarAdvance(Calendar,X1563,W1564,"f",FALSE)</f>
        <v>50000</v>
      </c>
      <c r="Y1564" s="173">
        <f>_xll.qlCalendarAdvance(Calendar,X1564,NDays&amp;"D")</f>
        <v>50000</v>
      </c>
      <c r="Z1564" s="174">
        <v>2.1678472255952097E-2</v>
      </c>
      <c r="AA1564" s="177"/>
    </row>
    <row r="1565" spans="22:27" x14ac:dyDescent="0.2">
      <c r="V1565" s="163"/>
      <c r="W1565" s="158" t="str">
        <f t="shared" si="36"/>
        <v>1w</v>
      </c>
      <c r="X1565" s="168">
        <f>_xll.qlCalendarAdvance(Calendar,X1564,W1565,"f",FALSE)</f>
        <v>50007</v>
      </c>
      <c r="Y1565" s="173">
        <f>_xll.qlCalendarAdvance(Calendar,X1565,NDays&amp;"D")</f>
        <v>50007</v>
      </c>
      <c r="Z1565" s="174">
        <v>2.1671946939127256E-2</v>
      </c>
      <c r="AA1565" s="177"/>
    </row>
    <row r="1566" spans="22:27" x14ac:dyDescent="0.2">
      <c r="V1566" s="163"/>
      <c r="W1566" s="158" t="str">
        <f t="shared" si="36"/>
        <v>1w</v>
      </c>
      <c r="X1566" s="168">
        <f>_xll.qlCalendarAdvance(Calendar,X1565,W1566,"f",FALSE)</f>
        <v>50014</v>
      </c>
      <c r="Y1566" s="173">
        <f>_xll.qlCalendarAdvance(Calendar,X1566,NDays&amp;"D")</f>
        <v>50014</v>
      </c>
      <c r="Z1566" s="174">
        <v>2.1665641284968434E-2</v>
      </c>
      <c r="AA1566" s="177"/>
    </row>
    <row r="1567" spans="22:27" x14ac:dyDescent="0.2">
      <c r="V1567" s="163"/>
      <c r="W1567" s="158" t="str">
        <f t="shared" si="36"/>
        <v>1w</v>
      </c>
      <c r="X1567" s="168">
        <f>_xll.qlCalendarAdvance(Calendar,X1566,W1567,"f",FALSE)</f>
        <v>50021</v>
      </c>
      <c r="Y1567" s="173">
        <f>_xll.qlCalendarAdvance(Calendar,X1567,NDays&amp;"D")</f>
        <v>50021</v>
      </c>
      <c r="Z1567" s="174">
        <v>2.1659364869525136E-2</v>
      </c>
      <c r="AA1567" s="177"/>
    </row>
    <row r="1568" spans="22:27" x14ac:dyDescent="0.2">
      <c r="V1568" s="163"/>
      <c r="W1568" s="158" t="str">
        <f t="shared" si="36"/>
        <v>1w</v>
      </c>
      <c r="X1568" s="168">
        <f>_xll.qlCalendarAdvance(Calendar,X1567,W1568,"f",FALSE)</f>
        <v>50028</v>
      </c>
      <c r="Y1568" s="173">
        <f>_xll.qlCalendarAdvance(Calendar,X1568,NDays&amp;"D")</f>
        <v>50028</v>
      </c>
      <c r="Z1568" s="174">
        <v>2.1653117692878403E-2</v>
      </c>
      <c r="AA1568" s="177"/>
    </row>
    <row r="1569" spans="22:27" x14ac:dyDescent="0.2">
      <c r="V1569" s="163"/>
      <c r="W1569" s="158" t="str">
        <f t="shared" si="36"/>
        <v>1w</v>
      </c>
      <c r="X1569" s="168">
        <f>_xll.qlCalendarAdvance(Calendar,X1568,W1569,"f",FALSE)</f>
        <v>50035</v>
      </c>
      <c r="Y1569" s="173">
        <f>_xll.qlCalendarAdvance(Calendar,X1569,NDays&amp;"D")</f>
        <v>50035</v>
      </c>
      <c r="Z1569" s="174">
        <v>2.1646899754947196E-2</v>
      </c>
      <c r="AA1569" s="177"/>
    </row>
    <row r="1570" spans="22:27" x14ac:dyDescent="0.2">
      <c r="V1570" s="163"/>
      <c r="W1570" s="158" t="str">
        <f t="shared" si="36"/>
        <v>1w</v>
      </c>
      <c r="X1570" s="168">
        <f>_xll.qlCalendarAdvance(Calendar,X1569,W1570,"f",FALSE)</f>
        <v>50045</v>
      </c>
      <c r="Y1570" s="173">
        <f>_xll.qlCalendarAdvance(Calendar,X1570,NDays&amp;"D")</f>
        <v>50045</v>
      </c>
      <c r="Z1570" s="174">
        <v>2.1637665293787745E-2</v>
      </c>
      <c r="AA1570" s="177"/>
    </row>
    <row r="1571" spans="22:27" x14ac:dyDescent="0.2">
      <c r="V1571" s="163"/>
      <c r="W1571" s="158" t="str">
        <f t="shared" si="36"/>
        <v>1w</v>
      </c>
      <c r="X1571" s="168">
        <f>_xll.qlCalendarAdvance(Calendar,X1570,W1571,"f",FALSE)</f>
        <v>50053</v>
      </c>
      <c r="Y1571" s="173">
        <f>_xll.qlCalendarAdvance(Calendar,X1571,NDays&amp;"D")</f>
        <v>50053</v>
      </c>
      <c r="Z1571" s="174">
        <v>2.1630638677525571E-2</v>
      </c>
      <c r="AA1571" s="177"/>
    </row>
    <row r="1572" spans="22:27" x14ac:dyDescent="0.2">
      <c r="V1572" s="163"/>
      <c r="W1572" s="158" t="str">
        <f t="shared" si="36"/>
        <v>1w</v>
      </c>
      <c r="X1572" s="168">
        <f>_xll.qlCalendarAdvance(Calendar,X1571,W1572,"f",FALSE)</f>
        <v>50060</v>
      </c>
      <c r="Y1572" s="173">
        <f>_xll.qlCalendarAdvance(Calendar,X1572,NDays&amp;"D")</f>
        <v>50060</v>
      </c>
      <c r="Z1572" s="174">
        <v>2.1624521711589573E-2</v>
      </c>
      <c r="AA1572" s="177"/>
    </row>
    <row r="1573" spans="22:27" x14ac:dyDescent="0.2">
      <c r="V1573" s="163"/>
      <c r="W1573" s="158" t="str">
        <f t="shared" si="36"/>
        <v>1w</v>
      </c>
      <c r="X1573" s="168">
        <f>_xll.qlCalendarAdvance(Calendar,X1572,W1573,"f",FALSE)</f>
        <v>50067</v>
      </c>
      <c r="Y1573" s="173">
        <f>_xll.qlCalendarAdvance(Calendar,X1573,NDays&amp;"D")</f>
        <v>50067</v>
      </c>
      <c r="Z1573" s="174">
        <v>2.161843398074903E-2</v>
      </c>
      <c r="AA1573" s="177"/>
    </row>
    <row r="1574" spans="22:27" x14ac:dyDescent="0.2">
      <c r="V1574" s="163"/>
      <c r="W1574" s="158" t="str">
        <f t="shared" si="36"/>
        <v>1w</v>
      </c>
      <c r="X1574" s="168">
        <f>_xll.qlCalendarAdvance(Calendar,X1573,W1574,"f",FALSE)</f>
        <v>50074</v>
      </c>
      <c r="Y1574" s="173">
        <f>_xll.qlCalendarAdvance(Calendar,X1574,NDays&amp;"D")</f>
        <v>50074</v>
      </c>
      <c r="Z1574" s="174">
        <v>2.1612375485003943E-2</v>
      </c>
      <c r="AA1574" s="177"/>
    </row>
    <row r="1575" spans="22:27" x14ac:dyDescent="0.2">
      <c r="V1575" s="163"/>
      <c r="W1575" s="158" t="str">
        <f t="shared" si="36"/>
        <v>1w</v>
      </c>
      <c r="X1575" s="168">
        <f>_xll.qlCalendarAdvance(Calendar,X1574,W1575,"f",FALSE)</f>
        <v>50081</v>
      </c>
      <c r="Y1575" s="173">
        <f>_xll.qlCalendarAdvance(Calendar,X1575,NDays&amp;"D")</f>
        <v>50081</v>
      </c>
      <c r="Z1575" s="174">
        <v>2.160655622949148E-2</v>
      </c>
      <c r="AA1575" s="177"/>
    </row>
    <row r="1576" spans="22:27" x14ac:dyDescent="0.2">
      <c r="V1576" s="163"/>
      <c r="W1576" s="158" t="str">
        <f t="shared" si="36"/>
        <v>1w</v>
      </c>
      <c r="X1576" s="168">
        <f>_xll.qlCalendarAdvance(Calendar,X1575,W1576,"f",FALSE)</f>
        <v>50088</v>
      </c>
      <c r="Y1576" s="173">
        <f>_xll.qlCalendarAdvance(Calendar,X1576,NDays&amp;"D")</f>
        <v>50088</v>
      </c>
      <c r="Z1576" s="174">
        <v>2.160034619847595E-2</v>
      </c>
      <c r="AA1576" s="177"/>
    </row>
    <row r="1577" spans="22:27" x14ac:dyDescent="0.2">
      <c r="V1577" s="163"/>
      <c r="W1577" s="158" t="str">
        <f t="shared" si="36"/>
        <v>1w</v>
      </c>
      <c r="X1577" s="168">
        <f>_xll.qlCalendarAdvance(Calendar,X1576,W1577,"f",FALSE)</f>
        <v>50095</v>
      </c>
      <c r="Y1577" s="173">
        <f>_xll.qlCalendarAdvance(Calendar,X1577,NDays&amp;"D")</f>
        <v>50095</v>
      </c>
      <c r="Z1577" s="174">
        <v>2.1594375407855138E-2</v>
      </c>
      <c r="AA1577" s="177"/>
    </row>
    <row r="1578" spans="22:27" x14ac:dyDescent="0.2">
      <c r="V1578" s="163"/>
      <c r="W1578" s="158" t="str">
        <f t="shared" si="36"/>
        <v>1w</v>
      </c>
      <c r="X1578" s="168">
        <f>_xll.qlCalendarAdvance(Calendar,X1577,W1578,"f",FALSE)</f>
        <v>50102</v>
      </c>
      <c r="Y1578" s="173">
        <f>_xll.qlCalendarAdvance(Calendar,X1578,NDays&amp;"D")</f>
        <v>50102</v>
      </c>
      <c r="Z1578" s="174">
        <v>2.158843385232978E-2</v>
      </c>
      <c r="AA1578" s="177"/>
    </row>
    <row r="1579" spans="22:27" x14ac:dyDescent="0.2">
      <c r="V1579" s="163"/>
      <c r="W1579" s="158" t="str">
        <f t="shared" si="36"/>
        <v>1w</v>
      </c>
      <c r="X1579" s="168">
        <f>_xll.qlCalendarAdvance(Calendar,X1578,W1579,"f",FALSE)</f>
        <v>50109</v>
      </c>
      <c r="Y1579" s="173">
        <f>_xll.qlCalendarAdvance(Calendar,X1579,NDays&amp;"D")</f>
        <v>50109</v>
      </c>
      <c r="Z1579" s="174">
        <v>2.1582521531818832E-2</v>
      </c>
      <c r="AA1579" s="177"/>
    </row>
    <row r="1580" spans="22:27" x14ac:dyDescent="0.2">
      <c r="V1580" s="163"/>
      <c r="W1580" s="158" t="str">
        <f t="shared" si="36"/>
        <v>1w</v>
      </c>
      <c r="X1580" s="168">
        <f>_xll.qlCalendarAdvance(Calendar,X1579,W1580,"f",FALSE)</f>
        <v>50116</v>
      </c>
      <c r="Y1580" s="173">
        <f>_xll.qlCalendarAdvance(Calendar,X1580,NDays&amp;"D")</f>
        <v>50116</v>
      </c>
      <c r="Z1580" s="174">
        <v>2.1576638446322294E-2</v>
      </c>
      <c r="AA1580" s="177"/>
    </row>
    <row r="1581" spans="22:27" x14ac:dyDescent="0.2">
      <c r="V1581" s="163"/>
      <c r="W1581" s="158" t="str">
        <f t="shared" si="36"/>
        <v>1w</v>
      </c>
      <c r="X1581" s="168">
        <f>_xll.qlCalendarAdvance(Calendar,X1580,W1581,"f",FALSE)</f>
        <v>50123</v>
      </c>
      <c r="Y1581" s="173">
        <f>_xll.qlCalendarAdvance(Calendar,X1581,NDays&amp;"D")</f>
        <v>50123</v>
      </c>
      <c r="Z1581" s="174">
        <v>2.1570784595921211E-2</v>
      </c>
      <c r="AA1581" s="177"/>
    </row>
    <row r="1582" spans="22:27" x14ac:dyDescent="0.2">
      <c r="V1582" s="163"/>
      <c r="W1582" s="158" t="str">
        <f t="shared" si="36"/>
        <v>1w</v>
      </c>
      <c r="X1582" s="168">
        <f>_xll.qlCalendarAdvance(Calendar,X1581,W1582,"f",FALSE)</f>
        <v>50130</v>
      </c>
      <c r="Y1582" s="173">
        <f>_xll.qlCalendarAdvance(Calendar,X1582,NDays&amp;"D")</f>
        <v>50130</v>
      </c>
      <c r="Z1582" s="174">
        <v>2.1564959980453491E-2</v>
      </c>
      <c r="AA1582" s="177"/>
    </row>
    <row r="1583" spans="22:27" x14ac:dyDescent="0.2">
      <c r="V1583" s="163"/>
      <c r="W1583" s="158" t="str">
        <f t="shared" si="36"/>
        <v>1w</v>
      </c>
      <c r="X1583" s="168">
        <f>_xll.qlCalendarAdvance(Calendar,X1582,W1583,"f",FALSE)</f>
        <v>50137</v>
      </c>
      <c r="Y1583" s="173">
        <f>_xll.qlCalendarAdvance(Calendar,X1583,NDays&amp;"D")</f>
        <v>50137</v>
      </c>
      <c r="Z1583" s="174">
        <v>2.1559164600162273E-2</v>
      </c>
      <c r="AA1583" s="177"/>
    </row>
    <row r="1584" spans="22:27" x14ac:dyDescent="0.2">
      <c r="V1584" s="163"/>
      <c r="W1584" s="158" t="str">
        <f t="shared" si="36"/>
        <v>1w</v>
      </c>
      <c r="X1584" s="168">
        <f>_xll.qlCalendarAdvance(Calendar,X1583,W1584,"f",FALSE)</f>
        <v>50144</v>
      </c>
      <c r="Y1584" s="173">
        <f>_xll.qlCalendarAdvance(Calendar,X1584,NDays&amp;"D")</f>
        <v>50144</v>
      </c>
      <c r="Z1584" s="174">
        <v>2.1553398454804418E-2</v>
      </c>
      <c r="AA1584" s="177"/>
    </row>
    <row r="1585" spans="22:27" x14ac:dyDescent="0.2">
      <c r="V1585" s="163"/>
      <c r="W1585" s="158" t="str">
        <f t="shared" si="36"/>
        <v>1w</v>
      </c>
      <c r="X1585" s="168">
        <f>_xll.qlCalendarAdvance(Calendar,X1584,W1585,"f",FALSE)</f>
        <v>50151</v>
      </c>
      <c r="Y1585" s="173">
        <f>_xll.qlCalendarAdvance(Calendar,X1585,NDays&amp;"D")</f>
        <v>50151</v>
      </c>
      <c r="Z1585" s="174">
        <v>2.1547661544542018E-2</v>
      </c>
      <c r="AA1585" s="177"/>
    </row>
    <row r="1586" spans="22:27" x14ac:dyDescent="0.2">
      <c r="V1586" s="163"/>
      <c r="W1586" s="158" t="str">
        <f t="shared" si="36"/>
        <v>1w</v>
      </c>
      <c r="X1586" s="168">
        <f>_xll.qlCalendarAdvance(Calendar,X1585,W1586,"f",FALSE)</f>
        <v>50158</v>
      </c>
      <c r="Y1586" s="173">
        <f>_xll.qlCalendarAdvance(Calendar,X1586,NDays&amp;"D")</f>
        <v>50158</v>
      </c>
      <c r="Z1586" s="174">
        <v>2.1542183040336726E-2</v>
      </c>
      <c r="AA1586" s="177"/>
    </row>
    <row r="1587" spans="22:27" x14ac:dyDescent="0.2">
      <c r="V1587" s="163"/>
      <c r="W1587" s="158" t="str">
        <f t="shared" si="36"/>
        <v>1w</v>
      </c>
      <c r="X1587" s="168">
        <f>_xll.qlCalendarAdvance(Calendar,X1586,W1587,"f",FALSE)</f>
        <v>50167</v>
      </c>
      <c r="Y1587" s="173">
        <f>_xll.qlCalendarAdvance(Calendar,X1587,NDays&amp;"D")</f>
        <v>50167</v>
      </c>
      <c r="Z1587" s="174">
        <v>2.1534658387263317E-2</v>
      </c>
      <c r="AA1587" s="177"/>
    </row>
    <row r="1588" spans="22:27" x14ac:dyDescent="0.2">
      <c r="V1588" s="163"/>
      <c r="W1588" s="158" t="str">
        <f t="shared" si="36"/>
        <v>1w</v>
      </c>
      <c r="X1588" s="168">
        <f>_xll.qlCalendarAdvance(Calendar,X1587,W1588,"f",FALSE)</f>
        <v>50174</v>
      </c>
      <c r="Y1588" s="173">
        <f>_xll.qlCalendarAdvance(Calendar,X1588,NDays&amp;"D")</f>
        <v>50174</v>
      </c>
      <c r="Z1588" s="174">
        <v>2.152901753499803E-2</v>
      </c>
      <c r="AA1588" s="177"/>
    </row>
    <row r="1589" spans="22:27" x14ac:dyDescent="0.2">
      <c r="V1589" s="163"/>
      <c r="W1589" s="158" t="str">
        <f t="shared" si="36"/>
        <v>1w</v>
      </c>
      <c r="X1589" s="168">
        <f>_xll.qlCalendarAdvance(Calendar,X1588,W1589,"f",FALSE)</f>
        <v>50181</v>
      </c>
      <c r="Y1589" s="173">
        <f>_xll.qlCalendarAdvance(Calendar,X1589,NDays&amp;"D")</f>
        <v>50181</v>
      </c>
      <c r="Z1589" s="174">
        <v>2.1523405917747152E-2</v>
      </c>
      <c r="AA1589" s="177"/>
    </row>
    <row r="1590" spans="22:27" x14ac:dyDescent="0.2">
      <c r="V1590" s="163"/>
      <c r="W1590" s="158" t="str">
        <f t="shared" si="36"/>
        <v>1w</v>
      </c>
      <c r="X1590" s="168">
        <f>_xll.qlCalendarAdvance(Calendar,X1589,W1590,"f",FALSE)</f>
        <v>50188</v>
      </c>
      <c r="Y1590" s="173">
        <f>_xll.qlCalendarAdvance(Calendar,X1590,NDays&amp;"D")</f>
        <v>50188</v>
      </c>
      <c r="Z1590" s="174">
        <v>2.1517823535510683E-2</v>
      </c>
      <c r="AA1590" s="177"/>
    </row>
    <row r="1591" spans="22:27" x14ac:dyDescent="0.2">
      <c r="V1591" s="163"/>
      <c r="W1591" s="158" t="str">
        <f t="shared" si="36"/>
        <v>1w</v>
      </c>
      <c r="X1591" s="168">
        <f>_xll.qlCalendarAdvance(Calendar,X1590,W1591,"f",FALSE)</f>
        <v>50195</v>
      </c>
      <c r="Y1591" s="173">
        <f>_xll.qlCalendarAdvance(Calendar,X1591,NDays&amp;"D")</f>
        <v>50195</v>
      </c>
      <c r="Z1591" s="174">
        <v>2.151227038836967E-2</v>
      </c>
      <c r="AA1591" s="177"/>
    </row>
    <row r="1592" spans="22:27" x14ac:dyDescent="0.2">
      <c r="V1592" s="163"/>
      <c r="W1592" s="158" t="str">
        <f t="shared" si="36"/>
        <v>1w</v>
      </c>
      <c r="X1592" s="168">
        <f>_xll.qlCalendarAdvance(Calendar,X1591,W1592,"f",FALSE)</f>
        <v>50202</v>
      </c>
      <c r="Y1592" s="173">
        <f>_xll.qlCalendarAdvance(Calendar,X1592,NDays&amp;"D")</f>
        <v>50202</v>
      </c>
      <c r="Z1592" s="174">
        <v>2.150674647616202E-2</v>
      </c>
      <c r="AA1592" s="177"/>
    </row>
    <row r="1593" spans="22:27" x14ac:dyDescent="0.2">
      <c r="V1593" s="163"/>
      <c r="W1593" s="158" t="str">
        <f t="shared" si="36"/>
        <v>1w</v>
      </c>
      <c r="X1593" s="168">
        <f>_xll.qlCalendarAdvance(Calendar,X1592,W1593,"f",FALSE)</f>
        <v>50209</v>
      </c>
      <c r="Y1593" s="173">
        <f>_xll.qlCalendarAdvance(Calendar,X1593,NDays&amp;"D")</f>
        <v>50209</v>
      </c>
      <c r="Z1593" s="174">
        <v>2.1501251799049825E-2</v>
      </c>
      <c r="AA1593" s="177"/>
    </row>
    <row r="1594" spans="22:27" x14ac:dyDescent="0.2">
      <c r="V1594" s="163"/>
      <c r="W1594" s="158" t="str">
        <f t="shared" si="36"/>
        <v>1w</v>
      </c>
      <c r="X1594" s="168">
        <f>_xll.qlCalendarAdvance(Calendar,X1593,W1594,"f",FALSE)</f>
        <v>50216</v>
      </c>
      <c r="Y1594" s="173">
        <f>_xll.qlCalendarAdvance(Calendar,X1594,NDays&amp;"D")</f>
        <v>50216</v>
      </c>
      <c r="Z1594" s="174">
        <v>2.149578635695204E-2</v>
      </c>
      <c r="AA1594" s="177"/>
    </row>
    <row r="1595" spans="22:27" x14ac:dyDescent="0.2">
      <c r="V1595" s="163"/>
      <c r="W1595" s="158" t="str">
        <f t="shared" si="36"/>
        <v>1w</v>
      </c>
      <c r="X1595" s="168">
        <f>_xll.qlCalendarAdvance(Calendar,X1594,W1595,"f",FALSE)</f>
        <v>50223</v>
      </c>
      <c r="Y1595" s="173">
        <f>_xll.qlCalendarAdvance(Calendar,X1595,NDays&amp;"D")</f>
        <v>50223</v>
      </c>
      <c r="Z1595" s="174">
        <v>2.1490350149868664E-2</v>
      </c>
      <c r="AA1595" s="177"/>
    </row>
    <row r="1596" spans="22:27" x14ac:dyDescent="0.2">
      <c r="V1596" s="163"/>
      <c r="W1596" s="158" t="str">
        <f t="shared" si="36"/>
        <v>1w</v>
      </c>
      <c r="X1596" s="168">
        <f>_xll.qlCalendarAdvance(Calendar,X1595,W1596,"f",FALSE)</f>
        <v>50230</v>
      </c>
      <c r="Y1596" s="173">
        <f>_xll.qlCalendarAdvance(Calendar,X1596,NDays&amp;"D")</f>
        <v>50230</v>
      </c>
      <c r="Z1596" s="174">
        <v>2.1484943177799698E-2</v>
      </c>
      <c r="AA1596" s="177"/>
    </row>
    <row r="1597" spans="22:27" x14ac:dyDescent="0.2">
      <c r="V1597" s="163"/>
      <c r="W1597" s="158" t="str">
        <f t="shared" si="36"/>
        <v>1w</v>
      </c>
      <c r="X1597" s="168">
        <f>_xll.qlCalendarAdvance(Calendar,X1596,W1597,"f",FALSE)</f>
        <v>50237</v>
      </c>
      <c r="Y1597" s="173">
        <f>_xll.qlCalendarAdvance(Calendar,X1597,NDays&amp;"D")</f>
        <v>50237</v>
      </c>
      <c r="Z1597" s="174">
        <v>2.1479565440745141E-2</v>
      </c>
      <c r="AA1597" s="177"/>
    </row>
    <row r="1598" spans="22:27" x14ac:dyDescent="0.2">
      <c r="V1598" s="163"/>
      <c r="W1598" s="158" t="str">
        <f t="shared" si="36"/>
        <v>1w</v>
      </c>
      <c r="X1598" s="168">
        <f>_xll.qlCalendarAdvance(Calendar,X1597,W1598,"f",FALSE)</f>
        <v>50244</v>
      </c>
      <c r="Y1598" s="173">
        <f>_xll.qlCalendarAdvance(Calendar,X1598,NDays&amp;"D")</f>
        <v>50244</v>
      </c>
      <c r="Z1598" s="174">
        <v>2.1474216938786039E-2</v>
      </c>
      <c r="AA1598" s="177"/>
    </row>
    <row r="1599" spans="22:27" x14ac:dyDescent="0.2">
      <c r="V1599" s="163"/>
      <c r="W1599" s="158" t="str">
        <f t="shared" si="36"/>
        <v>1w</v>
      </c>
      <c r="X1599" s="168">
        <f>_xll.qlCalendarAdvance(Calendar,X1598,W1599,"f",FALSE)</f>
        <v>50251</v>
      </c>
      <c r="Y1599" s="173">
        <f>_xll.qlCalendarAdvance(Calendar,X1599,NDays&amp;"D")</f>
        <v>50251</v>
      </c>
      <c r="Z1599" s="174">
        <v>2.1468897671841347E-2</v>
      </c>
      <c r="AA1599" s="177"/>
    </row>
    <row r="1600" spans="22:27" x14ac:dyDescent="0.2">
      <c r="V1600" s="163"/>
      <c r="W1600" s="158" t="str">
        <f t="shared" si="36"/>
        <v>1w</v>
      </c>
      <c r="X1600" s="168">
        <f>_xll.qlCalendarAdvance(Calendar,X1599,W1600,"f",FALSE)</f>
        <v>50258</v>
      </c>
      <c r="Y1600" s="173">
        <f>_xll.qlCalendarAdvance(Calendar,X1600,NDays&amp;"D")</f>
        <v>50258</v>
      </c>
      <c r="Z1600" s="174">
        <v>2.1463607639911064E-2</v>
      </c>
      <c r="AA1600" s="177"/>
    </row>
    <row r="1601" spans="22:27" x14ac:dyDescent="0.2">
      <c r="V1601" s="163"/>
      <c r="W1601" s="158" t="str">
        <f t="shared" si="36"/>
        <v>1w</v>
      </c>
      <c r="X1601" s="168">
        <f>_xll.qlCalendarAdvance(Calendar,X1600,W1601,"f",FALSE)</f>
        <v>50265</v>
      </c>
      <c r="Y1601" s="173">
        <f>_xll.qlCalendarAdvance(Calendar,X1601,NDays&amp;"D")</f>
        <v>50265</v>
      </c>
      <c r="Z1601" s="174">
        <v>2.1458346842914144E-2</v>
      </c>
      <c r="AA1601" s="177"/>
    </row>
    <row r="1602" spans="22:27" x14ac:dyDescent="0.2">
      <c r="V1602" s="163"/>
      <c r="W1602" s="158" t="str">
        <f t="shared" si="36"/>
        <v>1w</v>
      </c>
      <c r="X1602" s="168">
        <f>_xll.qlCalendarAdvance(Calendar,X1601,W1602,"f",FALSE)</f>
        <v>50272</v>
      </c>
      <c r="Y1602" s="173">
        <f>_xll.qlCalendarAdvance(Calendar,X1602,NDays&amp;"D")</f>
        <v>50272</v>
      </c>
      <c r="Z1602" s="174">
        <v>2.1453115280931634E-2</v>
      </c>
      <c r="AA1602" s="177"/>
    </row>
    <row r="1603" spans="22:27" x14ac:dyDescent="0.2">
      <c r="V1603" s="163"/>
      <c r="W1603" s="158" t="str">
        <f t="shared" si="36"/>
        <v>1w</v>
      </c>
      <c r="X1603" s="168">
        <f>_xll.qlCalendarAdvance(Calendar,X1602,W1603,"f",FALSE)</f>
        <v>50279</v>
      </c>
      <c r="Y1603" s="173">
        <f>_xll.qlCalendarAdvance(Calendar,X1603,NDays&amp;"D")</f>
        <v>50279</v>
      </c>
      <c r="Z1603" s="174">
        <v>2.1447912954044579E-2</v>
      </c>
      <c r="AA1603" s="177"/>
    </row>
    <row r="1604" spans="22:27" x14ac:dyDescent="0.2">
      <c r="V1604" s="163"/>
      <c r="W1604" s="158" t="str">
        <f t="shared" si="36"/>
        <v>1w</v>
      </c>
      <c r="X1604" s="168">
        <f>_xll.qlCalendarAdvance(Calendar,X1603,W1604,"f",FALSE)</f>
        <v>50286</v>
      </c>
      <c r="Y1604" s="173">
        <f>_xll.qlCalendarAdvance(Calendar,X1604,NDays&amp;"D")</f>
        <v>50286</v>
      </c>
      <c r="Z1604" s="174">
        <v>2.1442739862171933E-2</v>
      </c>
      <c r="AA1604" s="177"/>
    </row>
    <row r="1605" spans="22:27" x14ac:dyDescent="0.2">
      <c r="V1605" s="163"/>
      <c r="W1605" s="158" t="str">
        <f t="shared" si="36"/>
        <v>1w</v>
      </c>
      <c r="X1605" s="168">
        <f>_xll.qlCalendarAdvance(Calendar,X1604,W1605,"f",FALSE)</f>
        <v>50293</v>
      </c>
      <c r="Y1605" s="173">
        <f>_xll.qlCalendarAdvance(Calendar,X1605,NDays&amp;"D")</f>
        <v>50293</v>
      </c>
      <c r="Z1605" s="174">
        <v>2.1437596005313697E-2</v>
      </c>
      <c r="AA1605" s="177"/>
    </row>
    <row r="1606" spans="22:27" x14ac:dyDescent="0.2">
      <c r="V1606" s="163"/>
      <c r="W1606" s="158" t="str">
        <f t="shared" si="36"/>
        <v>1w</v>
      </c>
      <c r="X1606" s="168">
        <f>_xll.qlCalendarAdvance(Calendar,X1605,W1606,"f",FALSE)</f>
        <v>50300</v>
      </c>
      <c r="Y1606" s="173">
        <f>_xll.qlCalendarAdvance(Calendar,X1606,NDays&amp;"D")</f>
        <v>50300</v>
      </c>
      <c r="Z1606" s="174">
        <v>2.143248138346987E-2</v>
      </c>
      <c r="AA1606" s="177"/>
    </row>
    <row r="1607" spans="22:27" x14ac:dyDescent="0.2">
      <c r="V1607" s="163"/>
      <c r="W1607" s="158" t="str">
        <f t="shared" si="36"/>
        <v>1w</v>
      </c>
      <c r="X1607" s="168">
        <f>_xll.qlCalendarAdvance(Calendar,X1606,W1607,"f",FALSE)</f>
        <v>50307</v>
      </c>
      <c r="Y1607" s="173">
        <f>_xll.qlCalendarAdvance(Calendar,X1607,NDays&amp;"D")</f>
        <v>50307</v>
      </c>
      <c r="Z1607" s="174">
        <v>2.1427395996559406E-2</v>
      </c>
      <c r="AA1607" s="177"/>
    </row>
    <row r="1608" spans="22:27" x14ac:dyDescent="0.2">
      <c r="V1608" s="163"/>
      <c r="W1608" s="158" t="str">
        <f t="shared" si="36"/>
        <v>1w</v>
      </c>
      <c r="X1608" s="168">
        <f>_xll.qlCalendarAdvance(Calendar,X1607,W1608,"f",FALSE)</f>
        <v>50314</v>
      </c>
      <c r="Y1608" s="173">
        <f>_xll.qlCalendarAdvance(Calendar,X1608,NDays&amp;"D")</f>
        <v>50314</v>
      </c>
      <c r="Z1608" s="174">
        <v>2.1422339844744398E-2</v>
      </c>
      <c r="AA1608" s="177"/>
    </row>
    <row r="1609" spans="22:27" x14ac:dyDescent="0.2">
      <c r="V1609" s="163"/>
      <c r="W1609" s="158" t="str">
        <f t="shared" si="36"/>
        <v>1w</v>
      </c>
      <c r="X1609" s="168">
        <f>_xll.qlCalendarAdvance(Calendar,X1608,W1609,"f",FALSE)</f>
        <v>50321</v>
      </c>
      <c r="Y1609" s="173">
        <f>_xll.qlCalendarAdvance(Calendar,X1609,NDays&amp;"D")</f>
        <v>50321</v>
      </c>
      <c r="Z1609" s="174">
        <v>2.1417312927862753E-2</v>
      </c>
      <c r="AA1609" s="177"/>
    </row>
    <row r="1610" spans="22:27" x14ac:dyDescent="0.2">
      <c r="V1610" s="163"/>
      <c r="W1610" s="158" t="str">
        <f t="shared" si="36"/>
        <v>1w</v>
      </c>
      <c r="X1610" s="168">
        <f>_xll.qlCalendarAdvance(Calendar,X1609,W1610,"f",FALSE)</f>
        <v>50328</v>
      </c>
      <c r="Y1610" s="173">
        <f>_xll.qlCalendarAdvance(Calendar,X1610,NDays&amp;"D")</f>
        <v>50328</v>
      </c>
      <c r="Z1610" s="174">
        <v>2.1412315246076563E-2</v>
      </c>
      <c r="AA1610" s="177"/>
    </row>
    <row r="1611" spans="22:27" x14ac:dyDescent="0.2">
      <c r="V1611" s="163"/>
      <c r="W1611" s="158" t="str">
        <f t="shared" si="36"/>
        <v>1w</v>
      </c>
      <c r="X1611" s="168">
        <f>_xll.qlCalendarAdvance(Calendar,X1610,W1611,"f",FALSE)</f>
        <v>50335</v>
      </c>
      <c r="Y1611" s="173">
        <f>_xll.qlCalendarAdvance(Calendar,X1611,NDays&amp;"D")</f>
        <v>50335</v>
      </c>
      <c r="Z1611" s="174">
        <v>2.1407346799223737E-2</v>
      </c>
      <c r="AA1611" s="177"/>
    </row>
    <row r="1612" spans="22:27" x14ac:dyDescent="0.2">
      <c r="V1612" s="163"/>
      <c r="W1612" s="158" t="str">
        <f t="shared" si="36"/>
        <v>1w</v>
      </c>
      <c r="X1612" s="168">
        <f>_xll.qlCalendarAdvance(Calendar,X1611,W1612,"f",FALSE)</f>
        <v>50342</v>
      </c>
      <c r="Y1612" s="173">
        <f>_xll.qlCalendarAdvance(Calendar,X1612,NDays&amp;"D")</f>
        <v>50342</v>
      </c>
      <c r="Z1612" s="174">
        <v>2.1402407587466366E-2</v>
      </c>
      <c r="AA1612" s="177"/>
    </row>
    <row r="1613" spans="22:27" x14ac:dyDescent="0.2">
      <c r="V1613" s="163"/>
      <c r="W1613" s="158" t="str">
        <f t="shared" ref="W1613:W1676" si="37">W1612</f>
        <v>1w</v>
      </c>
      <c r="X1613" s="168">
        <f>_xll.qlCalendarAdvance(Calendar,X1612,W1613,"f",FALSE)</f>
        <v>50349</v>
      </c>
      <c r="Y1613" s="173">
        <f>_xll.qlCalendarAdvance(Calendar,X1613,NDays&amp;"D")</f>
        <v>50349</v>
      </c>
      <c r="Z1613" s="174">
        <v>2.1397497610561311E-2</v>
      </c>
      <c r="AA1613" s="177"/>
    </row>
    <row r="1614" spans="22:27" x14ac:dyDescent="0.2">
      <c r="V1614" s="163"/>
      <c r="W1614" s="158" t="str">
        <f t="shared" si="37"/>
        <v>1w</v>
      </c>
      <c r="X1614" s="168">
        <f>_xll.qlCalendarAdvance(Calendar,X1613,W1614,"f",FALSE)</f>
        <v>50356</v>
      </c>
      <c r="Y1614" s="173">
        <f>_xll.qlCalendarAdvance(Calendar,X1614,NDays&amp;"D")</f>
        <v>50356</v>
      </c>
      <c r="Z1614" s="174">
        <v>2.1392616868751713E-2</v>
      </c>
      <c r="AA1614" s="177"/>
    </row>
    <row r="1615" spans="22:27" x14ac:dyDescent="0.2">
      <c r="V1615" s="163"/>
      <c r="W1615" s="158" t="str">
        <f t="shared" si="37"/>
        <v>1w</v>
      </c>
      <c r="X1615" s="168">
        <f>_xll.qlCalendarAdvance(Calendar,X1614,W1615,"f",FALSE)</f>
        <v>50363</v>
      </c>
      <c r="Y1615" s="173">
        <f>_xll.qlCalendarAdvance(Calendar,X1615,NDays&amp;"D")</f>
        <v>50363</v>
      </c>
      <c r="Z1615" s="174">
        <v>2.1387765361956523E-2</v>
      </c>
      <c r="AA1615" s="177"/>
    </row>
    <row r="1616" spans="22:27" x14ac:dyDescent="0.2">
      <c r="V1616" s="163"/>
      <c r="W1616" s="158" t="str">
        <f t="shared" si="37"/>
        <v>1w</v>
      </c>
      <c r="X1616" s="168">
        <f>_xll.qlCalendarAdvance(Calendar,X1615,W1616,"f",FALSE)</f>
        <v>50370</v>
      </c>
      <c r="Y1616" s="173">
        <f>_xll.qlCalendarAdvance(Calendar,X1616,NDays&amp;"D")</f>
        <v>50370</v>
      </c>
      <c r="Z1616" s="174">
        <v>2.1382943090175743E-2</v>
      </c>
      <c r="AA1616" s="177"/>
    </row>
    <row r="1617" spans="22:27" x14ac:dyDescent="0.2">
      <c r="V1617" s="163"/>
      <c r="W1617" s="158" t="str">
        <f t="shared" si="37"/>
        <v>1w</v>
      </c>
      <c r="X1617" s="168">
        <f>_xll.qlCalendarAdvance(Calendar,X1616,W1617,"f",FALSE)</f>
        <v>50377</v>
      </c>
      <c r="Y1617" s="173">
        <f>_xll.qlCalendarAdvance(Calendar,X1617,NDays&amp;"D")</f>
        <v>50377</v>
      </c>
      <c r="Z1617" s="174">
        <v>2.1378150053328326E-2</v>
      </c>
      <c r="AA1617" s="177"/>
    </row>
    <row r="1618" spans="22:27" x14ac:dyDescent="0.2">
      <c r="V1618" s="163"/>
      <c r="W1618" s="158" t="str">
        <f t="shared" si="37"/>
        <v>1w</v>
      </c>
      <c r="X1618" s="168">
        <f>_xll.qlCalendarAdvance(Calendar,X1617,W1618,"f",FALSE)</f>
        <v>50384</v>
      </c>
      <c r="Y1618" s="173">
        <f>_xll.qlCalendarAdvance(Calendar,X1618,NDays&amp;"D")</f>
        <v>50384</v>
      </c>
      <c r="Z1618" s="174">
        <v>2.1373386251576365E-2</v>
      </c>
      <c r="AA1618" s="177"/>
    </row>
    <row r="1619" spans="22:27" x14ac:dyDescent="0.2">
      <c r="V1619" s="163"/>
      <c r="W1619" s="158" t="str">
        <f t="shared" si="37"/>
        <v>1w</v>
      </c>
      <c r="X1619" s="168">
        <f>_xll.qlCalendarAdvance(Calendar,X1618,W1619,"f",FALSE)</f>
        <v>50391</v>
      </c>
      <c r="Y1619" s="173">
        <f>_xll.qlCalendarAdvance(Calendar,X1619,NDays&amp;"D")</f>
        <v>50391</v>
      </c>
      <c r="Z1619" s="174">
        <v>2.1368651684757767E-2</v>
      </c>
      <c r="AA1619" s="177"/>
    </row>
    <row r="1620" spans="22:27" x14ac:dyDescent="0.2">
      <c r="V1620" s="163"/>
      <c r="W1620" s="158" t="str">
        <f t="shared" si="37"/>
        <v>1w</v>
      </c>
      <c r="X1620" s="168">
        <f>_xll.qlCalendarAdvance(Calendar,X1619,W1620,"f",FALSE)</f>
        <v>50398</v>
      </c>
      <c r="Y1620" s="173">
        <f>_xll.qlCalendarAdvance(Calendar,X1620,NDays&amp;"D")</f>
        <v>50398</v>
      </c>
      <c r="Z1620" s="174">
        <v>2.1363946352872532E-2</v>
      </c>
      <c r="AA1620" s="177"/>
    </row>
    <row r="1621" spans="22:27" x14ac:dyDescent="0.2">
      <c r="V1621" s="163"/>
      <c r="W1621" s="158" t="str">
        <f t="shared" si="37"/>
        <v>1w</v>
      </c>
      <c r="X1621" s="168">
        <f>_xll.qlCalendarAdvance(Calendar,X1620,W1621,"f",FALSE)</f>
        <v>50409</v>
      </c>
      <c r="Y1621" s="173">
        <f>_xll.qlCalendarAdvance(Calendar,X1621,NDays&amp;"D")</f>
        <v>50409</v>
      </c>
      <c r="Z1621" s="174">
        <v>2.1356611326659447E-2</v>
      </c>
      <c r="AA1621" s="177"/>
    </row>
    <row r="1622" spans="22:27" x14ac:dyDescent="0.2">
      <c r="V1622" s="163"/>
      <c r="W1622" s="158" t="str">
        <f t="shared" si="37"/>
        <v>1w</v>
      </c>
      <c r="X1622" s="168">
        <f>_xll.qlCalendarAdvance(Calendar,X1621,W1622,"f",FALSE)</f>
        <v>50417</v>
      </c>
      <c r="Y1622" s="173">
        <f>_xll.qlCalendarAdvance(Calendar,X1622,NDays&amp;"D")</f>
        <v>50417</v>
      </c>
      <c r="Z1622" s="174">
        <v>2.1351322106245574E-2</v>
      </c>
      <c r="AA1622" s="177"/>
    </row>
    <row r="1623" spans="22:27" x14ac:dyDescent="0.2">
      <c r="V1623" s="163"/>
      <c r="W1623" s="158" t="str">
        <f t="shared" si="37"/>
        <v>1w</v>
      </c>
      <c r="X1623" s="168">
        <f>_xll.qlCalendarAdvance(Calendar,X1622,W1623,"f",FALSE)</f>
        <v>50424</v>
      </c>
      <c r="Y1623" s="173">
        <f>_xll.qlCalendarAdvance(Calendar,X1623,NDays&amp;"D")</f>
        <v>50424</v>
      </c>
      <c r="Z1623" s="174">
        <v>2.1346725361545138E-2</v>
      </c>
      <c r="AA1623" s="177"/>
    </row>
    <row r="1624" spans="22:27" x14ac:dyDescent="0.2">
      <c r="V1624" s="163"/>
      <c r="W1624" s="158" t="str">
        <f t="shared" si="37"/>
        <v>1w</v>
      </c>
      <c r="X1624" s="168">
        <f>_xll.qlCalendarAdvance(Calendar,X1623,W1624,"f",FALSE)</f>
        <v>50431</v>
      </c>
      <c r="Y1624" s="173">
        <f>_xll.qlCalendarAdvance(Calendar,X1624,NDays&amp;"D")</f>
        <v>50431</v>
      </c>
      <c r="Z1624" s="174">
        <v>2.1342157851778065E-2</v>
      </c>
      <c r="AA1624" s="177"/>
    </row>
    <row r="1625" spans="22:27" x14ac:dyDescent="0.2">
      <c r="V1625" s="163"/>
      <c r="W1625" s="158" t="str">
        <f t="shared" si="37"/>
        <v>1w</v>
      </c>
      <c r="X1625" s="168">
        <f>_xll.qlCalendarAdvance(Calendar,X1624,W1625,"f",FALSE)</f>
        <v>50438</v>
      </c>
      <c r="Y1625" s="173">
        <f>_xll.qlCalendarAdvance(Calendar,X1625,NDays&amp;"D")</f>
        <v>50438</v>
      </c>
      <c r="Z1625" s="174">
        <v>2.1337619577106448E-2</v>
      </c>
      <c r="AA1625" s="177"/>
    </row>
    <row r="1626" spans="22:27" x14ac:dyDescent="0.2">
      <c r="V1626" s="163"/>
      <c r="W1626" s="158" t="str">
        <f t="shared" si="37"/>
        <v>1w</v>
      </c>
      <c r="X1626" s="168">
        <f>_xll.qlCalendarAdvance(Calendar,X1625,W1626,"f",FALSE)</f>
        <v>50445</v>
      </c>
      <c r="Y1626" s="173">
        <f>_xll.qlCalendarAdvance(Calendar,X1626,NDays&amp;"D")</f>
        <v>50445</v>
      </c>
      <c r="Z1626" s="174">
        <v>2.1333110537368194E-2</v>
      </c>
      <c r="AA1626" s="177"/>
    </row>
    <row r="1627" spans="22:27" x14ac:dyDescent="0.2">
      <c r="V1627" s="163"/>
      <c r="W1627" s="158" t="str">
        <f t="shared" si="37"/>
        <v>1w</v>
      </c>
      <c r="X1627" s="168">
        <f>_xll.qlCalendarAdvance(Calendar,X1626,W1627,"f",FALSE)</f>
        <v>50452</v>
      </c>
      <c r="Y1627" s="173">
        <f>_xll.qlCalendarAdvance(Calendar,X1627,NDays&amp;"D")</f>
        <v>50452</v>
      </c>
      <c r="Z1627" s="174">
        <v>2.1328630732644349E-2</v>
      </c>
      <c r="AA1627" s="177"/>
    </row>
    <row r="1628" spans="22:27" x14ac:dyDescent="0.2">
      <c r="V1628" s="163"/>
      <c r="W1628" s="158" t="str">
        <f t="shared" si="37"/>
        <v>1w</v>
      </c>
      <c r="X1628" s="168">
        <f>_xll.qlCalendarAdvance(Calendar,X1627,W1628,"f",FALSE)</f>
        <v>50459</v>
      </c>
      <c r="Y1628" s="173">
        <f>_xll.qlCalendarAdvance(Calendar,X1628,NDays&amp;"D")</f>
        <v>50459</v>
      </c>
      <c r="Z1628" s="174">
        <v>2.1324180162853867E-2</v>
      </c>
      <c r="AA1628" s="177"/>
    </row>
    <row r="1629" spans="22:27" x14ac:dyDescent="0.2">
      <c r="V1629" s="163"/>
      <c r="W1629" s="158" t="str">
        <f t="shared" si="37"/>
        <v>1w</v>
      </c>
      <c r="X1629" s="168">
        <f>_xll.qlCalendarAdvance(Calendar,X1628,W1629,"f",FALSE)</f>
        <v>50466</v>
      </c>
      <c r="Y1629" s="173">
        <f>_xll.qlCalendarAdvance(Calendar,X1629,NDays&amp;"D")</f>
        <v>50466</v>
      </c>
      <c r="Z1629" s="174">
        <v>2.1319758828158841E-2</v>
      </c>
      <c r="AA1629" s="177"/>
    </row>
    <row r="1630" spans="22:27" x14ac:dyDescent="0.2">
      <c r="V1630" s="163"/>
      <c r="W1630" s="158" t="str">
        <f t="shared" si="37"/>
        <v>1w</v>
      </c>
      <c r="X1630" s="168">
        <f>_xll.qlCalendarAdvance(Calendar,X1629,W1630,"f",FALSE)</f>
        <v>50473</v>
      </c>
      <c r="Y1630" s="173">
        <f>_xll.qlCalendarAdvance(Calendar,X1630,NDays&amp;"D")</f>
        <v>50473</v>
      </c>
      <c r="Z1630" s="174">
        <v>2.1315366728316132E-2</v>
      </c>
      <c r="AA1630" s="177"/>
    </row>
    <row r="1631" spans="22:27" x14ac:dyDescent="0.2">
      <c r="V1631" s="163"/>
      <c r="W1631" s="158" t="str">
        <f t="shared" si="37"/>
        <v>1w</v>
      </c>
      <c r="X1631" s="168">
        <f>_xll.qlCalendarAdvance(Calendar,X1630,W1631,"f",FALSE)</f>
        <v>50480</v>
      </c>
      <c r="Y1631" s="173">
        <f>_xll.qlCalendarAdvance(Calendar,X1631,NDays&amp;"D")</f>
        <v>50480</v>
      </c>
      <c r="Z1631" s="174">
        <v>2.1311003863487832E-2</v>
      </c>
      <c r="AA1631" s="177"/>
    </row>
    <row r="1632" spans="22:27" x14ac:dyDescent="0.2">
      <c r="V1632" s="163"/>
      <c r="W1632" s="158" t="str">
        <f t="shared" si="37"/>
        <v>1w</v>
      </c>
      <c r="X1632" s="168">
        <f>_xll.qlCalendarAdvance(Calendar,X1631,W1632,"f",FALSE)</f>
        <v>50487</v>
      </c>
      <c r="Y1632" s="173">
        <f>_xll.qlCalendarAdvance(Calendar,X1632,NDays&amp;"D")</f>
        <v>50487</v>
      </c>
      <c r="Z1632" s="174">
        <v>2.1306670233673941E-2</v>
      </c>
      <c r="AA1632" s="177"/>
    </row>
    <row r="1633" spans="22:27" x14ac:dyDescent="0.2">
      <c r="V1633" s="163"/>
      <c r="W1633" s="158" t="str">
        <f t="shared" si="37"/>
        <v>1w</v>
      </c>
      <c r="X1633" s="168">
        <f>_xll.qlCalendarAdvance(Calendar,X1632,W1633,"f",FALSE)</f>
        <v>50494</v>
      </c>
      <c r="Y1633" s="173">
        <f>_xll.qlCalendarAdvance(Calendar,X1633,NDays&amp;"D")</f>
        <v>50494</v>
      </c>
      <c r="Z1633" s="174">
        <v>2.130236583887446E-2</v>
      </c>
      <c r="AA1633" s="177"/>
    </row>
    <row r="1634" spans="22:27" x14ac:dyDescent="0.2">
      <c r="V1634" s="163"/>
      <c r="W1634" s="158" t="str">
        <f t="shared" si="37"/>
        <v>1w</v>
      </c>
      <c r="X1634" s="168">
        <f>_xll.qlCalendarAdvance(Calendar,X1633,W1634,"f",FALSE)</f>
        <v>50501</v>
      </c>
      <c r="Y1634" s="173">
        <f>_xll.qlCalendarAdvance(Calendar,X1634,NDays&amp;"D")</f>
        <v>50501</v>
      </c>
      <c r="Z1634" s="174">
        <v>2.1298090679008341E-2</v>
      </c>
      <c r="AA1634" s="177"/>
    </row>
    <row r="1635" spans="22:27" x14ac:dyDescent="0.2">
      <c r="V1635" s="163"/>
      <c r="W1635" s="158" t="str">
        <f t="shared" si="37"/>
        <v>1w</v>
      </c>
      <c r="X1635" s="168">
        <f>_xll.qlCalendarAdvance(Calendar,X1634,W1635,"f",FALSE)</f>
        <v>50508</v>
      </c>
      <c r="Y1635" s="173">
        <f>_xll.qlCalendarAdvance(Calendar,X1635,NDays&amp;"D")</f>
        <v>50508</v>
      </c>
      <c r="Z1635" s="174">
        <v>2.1293844754075586E-2</v>
      </c>
      <c r="AA1635" s="177"/>
    </row>
    <row r="1636" spans="22:27" x14ac:dyDescent="0.2">
      <c r="V1636" s="163"/>
      <c r="W1636" s="158" t="str">
        <f t="shared" si="37"/>
        <v>1w</v>
      </c>
      <c r="X1636" s="168">
        <f>_xll.qlCalendarAdvance(Calendar,X1635,W1636,"f",FALSE)</f>
        <v>50515</v>
      </c>
      <c r="Y1636" s="173">
        <f>_xll.qlCalendarAdvance(Calendar,X1636,NDays&amp;"D")</f>
        <v>50515</v>
      </c>
      <c r="Z1636" s="174">
        <v>2.1289628064238286E-2</v>
      </c>
      <c r="AA1636" s="177"/>
    </row>
    <row r="1637" spans="22:27" x14ac:dyDescent="0.2">
      <c r="V1637" s="163"/>
      <c r="W1637" s="158" t="str">
        <f t="shared" si="37"/>
        <v>1w</v>
      </c>
      <c r="X1637" s="168">
        <f>_xll.qlCalendarAdvance(Calendar,X1636,W1637,"f",FALSE)</f>
        <v>50522</v>
      </c>
      <c r="Y1637" s="173">
        <f>_xll.qlCalendarAdvance(Calendar,X1637,NDays&amp;"D")</f>
        <v>50522</v>
      </c>
      <c r="Z1637" s="174">
        <v>2.1285440609253303E-2</v>
      </c>
      <c r="AA1637" s="177"/>
    </row>
    <row r="1638" spans="22:27" x14ac:dyDescent="0.2">
      <c r="V1638" s="163"/>
      <c r="W1638" s="158" t="str">
        <f t="shared" si="37"/>
        <v>1w</v>
      </c>
      <c r="X1638" s="168">
        <f>_xll.qlCalendarAdvance(Calendar,X1637,W1638,"f",FALSE)</f>
        <v>50531</v>
      </c>
      <c r="Y1638" s="173">
        <f>_xll.qlCalendarAdvance(Calendar,X1638,NDays&amp;"D")</f>
        <v>50531</v>
      </c>
      <c r="Z1638" s="174">
        <v>2.1280099696143751E-2</v>
      </c>
      <c r="AA1638" s="177"/>
    </row>
    <row r="1639" spans="22:27" x14ac:dyDescent="0.2">
      <c r="V1639" s="163"/>
      <c r="W1639" s="158" t="str">
        <f t="shared" si="37"/>
        <v>1w</v>
      </c>
      <c r="X1639" s="168">
        <f>_xll.qlCalendarAdvance(Calendar,X1638,W1639,"f",FALSE)</f>
        <v>50538</v>
      </c>
      <c r="Y1639" s="173">
        <f>_xll.qlCalendarAdvance(Calendar,X1639,NDays&amp;"D")</f>
        <v>50538</v>
      </c>
      <c r="Z1639" s="174">
        <v>2.1275979064060424E-2</v>
      </c>
      <c r="AA1639" s="177"/>
    </row>
    <row r="1640" spans="22:27" x14ac:dyDescent="0.2">
      <c r="V1640" s="163"/>
      <c r="W1640" s="158" t="str">
        <f t="shared" si="37"/>
        <v>1w</v>
      </c>
      <c r="X1640" s="168">
        <f>_xll.qlCalendarAdvance(Calendar,X1639,W1640,"f",FALSE)</f>
        <v>50545</v>
      </c>
      <c r="Y1640" s="173">
        <f>_xll.qlCalendarAdvance(Calendar,X1640,NDays&amp;"D")</f>
        <v>50545</v>
      </c>
      <c r="Z1640" s="174">
        <v>2.1271887666910461E-2</v>
      </c>
      <c r="AA1640" s="177"/>
    </row>
    <row r="1641" spans="22:27" x14ac:dyDescent="0.2">
      <c r="V1641" s="163"/>
      <c r="W1641" s="158" t="str">
        <f t="shared" si="37"/>
        <v>1w</v>
      </c>
      <c r="X1641" s="168">
        <f>_xll.qlCalendarAdvance(Calendar,X1640,W1641,"f",FALSE)</f>
        <v>50552</v>
      </c>
      <c r="Y1641" s="173">
        <f>_xll.qlCalendarAdvance(Calendar,X1641,NDays&amp;"D")</f>
        <v>50552</v>
      </c>
      <c r="Z1641" s="174">
        <v>2.126782550469386E-2</v>
      </c>
      <c r="AA1641" s="177"/>
    </row>
    <row r="1642" spans="22:27" x14ac:dyDescent="0.2">
      <c r="V1642" s="163"/>
      <c r="W1642" s="158" t="str">
        <f t="shared" si="37"/>
        <v>1w</v>
      </c>
      <c r="X1642" s="168">
        <f>_xll.qlCalendarAdvance(Calendar,X1641,W1642,"f",FALSE)</f>
        <v>50559</v>
      </c>
      <c r="Y1642" s="173">
        <f>_xll.qlCalendarAdvance(Calendar,X1642,NDays&amp;"D")</f>
        <v>50559</v>
      </c>
      <c r="Z1642" s="174">
        <v>2.1263792577491669E-2</v>
      </c>
      <c r="AA1642" s="177"/>
    </row>
    <row r="1643" spans="22:27" x14ac:dyDescent="0.2">
      <c r="V1643" s="163"/>
      <c r="W1643" s="158" t="str">
        <f t="shared" si="37"/>
        <v>1w</v>
      </c>
      <c r="X1643" s="168">
        <f>_xll.qlCalendarAdvance(Calendar,X1642,W1643,"f",FALSE)</f>
        <v>50566</v>
      </c>
      <c r="Y1643" s="173">
        <f>_xll.qlCalendarAdvance(Calendar,X1643,NDays&amp;"D")</f>
        <v>50566</v>
      </c>
      <c r="Z1643" s="174">
        <v>2.1259788885303887E-2</v>
      </c>
      <c r="AA1643" s="177"/>
    </row>
    <row r="1644" spans="22:27" x14ac:dyDescent="0.2">
      <c r="V1644" s="163"/>
      <c r="W1644" s="158" t="str">
        <f t="shared" si="37"/>
        <v>1w</v>
      </c>
      <c r="X1644" s="168">
        <f>_xll.qlCalendarAdvance(Calendar,X1643,W1644,"f",FALSE)</f>
        <v>50573</v>
      </c>
      <c r="Y1644" s="173">
        <f>_xll.qlCalendarAdvance(Calendar,X1644,NDays&amp;"D")</f>
        <v>50573</v>
      </c>
      <c r="Z1644" s="174">
        <v>2.1255814428049469E-2</v>
      </c>
      <c r="AA1644" s="177"/>
    </row>
    <row r="1645" spans="22:27" x14ac:dyDescent="0.2">
      <c r="V1645" s="163"/>
      <c r="W1645" s="158" t="str">
        <f t="shared" si="37"/>
        <v>1w</v>
      </c>
      <c r="X1645" s="168">
        <f>_xll.qlCalendarAdvance(Calendar,X1644,W1645,"f",FALSE)</f>
        <v>50580</v>
      </c>
      <c r="Y1645" s="173">
        <f>_xll.qlCalendarAdvance(Calendar,X1645,NDays&amp;"D")</f>
        <v>50580</v>
      </c>
      <c r="Z1645" s="174">
        <v>2.1251869205728413E-2</v>
      </c>
      <c r="AA1645" s="177"/>
    </row>
    <row r="1646" spans="22:27" x14ac:dyDescent="0.2">
      <c r="V1646" s="163"/>
      <c r="W1646" s="158" t="str">
        <f t="shared" si="37"/>
        <v>1w</v>
      </c>
      <c r="X1646" s="168">
        <f>_xll.qlCalendarAdvance(Calendar,X1645,W1646,"f",FALSE)</f>
        <v>50587</v>
      </c>
      <c r="Y1646" s="173">
        <f>_xll.qlCalendarAdvance(Calendar,X1646,NDays&amp;"D")</f>
        <v>50587</v>
      </c>
      <c r="Z1646" s="174">
        <v>2.1247953218421767E-2</v>
      </c>
      <c r="AA1646" s="177"/>
    </row>
    <row r="1647" spans="22:27" x14ac:dyDescent="0.2">
      <c r="V1647" s="163"/>
      <c r="W1647" s="158" t="str">
        <f t="shared" si="37"/>
        <v>1w</v>
      </c>
      <c r="X1647" s="168">
        <f>_xll.qlCalendarAdvance(Calendar,X1646,W1647,"f",FALSE)</f>
        <v>50594</v>
      </c>
      <c r="Y1647" s="173">
        <f>_xll.qlCalendarAdvance(Calendar,X1647,NDays&amp;"D")</f>
        <v>50594</v>
      </c>
      <c r="Z1647" s="174">
        <v>2.1244066466048483E-2</v>
      </c>
      <c r="AA1647" s="177"/>
    </row>
    <row r="1648" spans="22:27" x14ac:dyDescent="0.2">
      <c r="V1648" s="163"/>
      <c r="W1648" s="158" t="str">
        <f t="shared" si="37"/>
        <v>1w</v>
      </c>
      <c r="X1648" s="168">
        <f>_xll.qlCalendarAdvance(Calendar,X1647,W1648,"f",FALSE)</f>
        <v>50601</v>
      </c>
      <c r="Y1648" s="173">
        <f>_xll.qlCalendarAdvance(Calendar,X1648,NDays&amp;"D")</f>
        <v>50601</v>
      </c>
      <c r="Z1648" s="174">
        <v>2.124020894868961E-2</v>
      </c>
      <c r="AA1648" s="177"/>
    </row>
    <row r="1649" spans="22:27" x14ac:dyDescent="0.2">
      <c r="V1649" s="163"/>
      <c r="W1649" s="158" t="str">
        <f t="shared" si="37"/>
        <v>1w</v>
      </c>
      <c r="X1649" s="168">
        <f>_xll.qlCalendarAdvance(Calendar,X1648,W1649,"f",FALSE)</f>
        <v>50608</v>
      </c>
      <c r="Y1649" s="173">
        <f>_xll.qlCalendarAdvance(Calendar,X1649,NDays&amp;"D")</f>
        <v>50608</v>
      </c>
      <c r="Z1649" s="174">
        <v>2.1236380666183052E-2</v>
      </c>
      <c r="AA1649" s="177"/>
    </row>
    <row r="1650" spans="22:27" x14ac:dyDescent="0.2">
      <c r="V1650" s="163"/>
      <c r="W1650" s="158" t="str">
        <f t="shared" si="37"/>
        <v>1w</v>
      </c>
      <c r="X1650" s="168">
        <f>_xll.qlCalendarAdvance(Calendar,X1649,W1650,"f",FALSE)</f>
        <v>50615</v>
      </c>
      <c r="Y1650" s="173">
        <f>_xll.qlCalendarAdvance(Calendar,X1650,NDays&amp;"D")</f>
        <v>50615</v>
      </c>
      <c r="Z1650" s="174">
        <v>2.1232581618690904E-2</v>
      </c>
      <c r="AA1650" s="177"/>
    </row>
    <row r="1651" spans="22:27" x14ac:dyDescent="0.2">
      <c r="V1651" s="163"/>
      <c r="W1651" s="158" t="str">
        <f t="shared" si="37"/>
        <v>1w</v>
      </c>
      <c r="X1651" s="168">
        <f>_xll.qlCalendarAdvance(Calendar,X1650,W1651,"f",FALSE)</f>
        <v>50622</v>
      </c>
      <c r="Y1651" s="173">
        <f>_xll.qlCalendarAdvance(Calendar,X1651,NDays&amp;"D")</f>
        <v>50622</v>
      </c>
      <c r="Z1651" s="174">
        <v>2.1228811806294212E-2</v>
      </c>
      <c r="AA1651" s="177"/>
    </row>
    <row r="1652" spans="22:27" x14ac:dyDescent="0.2">
      <c r="V1652" s="163"/>
      <c r="W1652" s="158" t="str">
        <f t="shared" si="37"/>
        <v>1w</v>
      </c>
      <c r="X1652" s="168">
        <f>_xll.qlCalendarAdvance(Calendar,X1651,W1652,"f",FALSE)</f>
        <v>50629</v>
      </c>
      <c r="Y1652" s="173">
        <f>_xll.qlCalendarAdvance(Calendar,X1652,NDays&amp;"D")</f>
        <v>50629</v>
      </c>
      <c r="Z1652" s="174">
        <v>2.122507122866879E-2</v>
      </c>
      <c r="AA1652" s="177"/>
    </row>
    <row r="1653" spans="22:27" x14ac:dyDescent="0.2">
      <c r="V1653" s="163"/>
      <c r="W1653" s="158" t="str">
        <f t="shared" si="37"/>
        <v>1w</v>
      </c>
      <c r="X1653" s="168">
        <f>_xll.qlCalendarAdvance(Calendar,X1652,W1653,"f",FALSE)</f>
        <v>50636</v>
      </c>
      <c r="Y1653" s="173">
        <f>_xll.qlCalendarAdvance(Calendar,X1653,NDays&amp;"D")</f>
        <v>50636</v>
      </c>
      <c r="Z1653" s="174">
        <v>2.1221359886057778E-2</v>
      </c>
      <c r="AA1653" s="177"/>
    </row>
    <row r="1654" spans="22:27" x14ac:dyDescent="0.2">
      <c r="V1654" s="163"/>
      <c r="W1654" s="158" t="str">
        <f t="shared" si="37"/>
        <v>1w</v>
      </c>
      <c r="X1654" s="168">
        <f>_xll.qlCalendarAdvance(Calendar,X1653,W1654,"f",FALSE)</f>
        <v>50643</v>
      </c>
      <c r="Y1654" s="173">
        <f>_xll.qlCalendarAdvance(Calendar,X1654,NDays&amp;"D")</f>
        <v>50643</v>
      </c>
      <c r="Z1654" s="174">
        <v>2.1217677778542221E-2</v>
      </c>
      <c r="AA1654" s="177"/>
    </row>
    <row r="1655" spans="22:27" x14ac:dyDescent="0.2">
      <c r="V1655" s="163"/>
      <c r="W1655" s="158" t="str">
        <f t="shared" si="37"/>
        <v>1w</v>
      </c>
      <c r="X1655" s="168">
        <f>_xll.qlCalendarAdvance(Calendar,X1654,W1655,"f",FALSE)</f>
        <v>50650</v>
      </c>
      <c r="Y1655" s="173">
        <f>_xll.qlCalendarAdvance(Calendar,X1655,NDays&amp;"D")</f>
        <v>50650</v>
      </c>
      <c r="Z1655" s="174">
        <v>2.1214024905878981E-2</v>
      </c>
      <c r="AA1655" s="177"/>
    </row>
    <row r="1656" spans="22:27" x14ac:dyDescent="0.2">
      <c r="V1656" s="163"/>
      <c r="W1656" s="158" t="str">
        <f t="shared" si="37"/>
        <v>1w</v>
      </c>
      <c r="X1656" s="168">
        <f>_xll.qlCalendarAdvance(Calendar,X1655,W1656,"f",FALSE)</f>
        <v>50657</v>
      </c>
      <c r="Y1656" s="173">
        <f>_xll.qlCalendarAdvance(Calendar,X1656,NDays&amp;"D")</f>
        <v>50657</v>
      </c>
      <c r="Z1656" s="174">
        <v>2.1210401268149104E-2</v>
      </c>
      <c r="AA1656" s="177"/>
    </row>
    <row r="1657" spans="22:27" x14ac:dyDescent="0.2">
      <c r="V1657" s="163"/>
      <c r="W1657" s="158" t="str">
        <f t="shared" si="37"/>
        <v>1w</v>
      </c>
      <c r="X1657" s="168">
        <f>_xll.qlCalendarAdvance(Calendar,X1656,W1657,"f",FALSE)</f>
        <v>50664</v>
      </c>
      <c r="Y1657" s="173">
        <f>_xll.qlCalendarAdvance(Calendar,X1657,NDays&amp;"D")</f>
        <v>50664</v>
      </c>
      <c r="Z1657" s="174">
        <v>2.1206806865433636E-2</v>
      </c>
      <c r="AA1657" s="177"/>
    </row>
    <row r="1658" spans="22:27" x14ac:dyDescent="0.2">
      <c r="V1658" s="163"/>
      <c r="W1658" s="158" t="str">
        <f t="shared" si="37"/>
        <v>1w</v>
      </c>
      <c r="X1658" s="168">
        <f>_xll.qlCalendarAdvance(Calendar,X1657,W1658,"f",FALSE)</f>
        <v>50672</v>
      </c>
      <c r="Y1658" s="173">
        <f>_xll.qlCalendarAdvance(Calendar,X1658,NDays&amp;"D")</f>
        <v>50672</v>
      </c>
      <c r="Z1658" s="174">
        <v>2.1203460272041601E-2</v>
      </c>
      <c r="AA1658" s="177"/>
    </row>
    <row r="1659" spans="22:27" x14ac:dyDescent="0.2">
      <c r="V1659" s="163"/>
      <c r="W1659" s="158" t="str">
        <f t="shared" si="37"/>
        <v>1w</v>
      </c>
      <c r="X1659" s="168">
        <f>_xll.qlCalendarAdvance(Calendar,X1658,W1659,"f",FALSE)</f>
        <v>50679</v>
      </c>
      <c r="Y1659" s="173">
        <f>_xll.qlCalendarAdvance(Calendar,X1659,NDays&amp;"D")</f>
        <v>50679</v>
      </c>
      <c r="Z1659" s="174">
        <v>2.1199932282241672E-2</v>
      </c>
      <c r="AA1659" s="177"/>
    </row>
    <row r="1660" spans="22:27" x14ac:dyDescent="0.2">
      <c r="V1660" s="163"/>
      <c r="W1660" s="158" t="str">
        <f t="shared" si="37"/>
        <v>1w</v>
      </c>
      <c r="X1660" s="168">
        <f>_xll.qlCalendarAdvance(Calendar,X1659,W1660,"f",FALSE)</f>
        <v>50686</v>
      </c>
      <c r="Y1660" s="173">
        <f>_xll.qlCalendarAdvance(Calendar,X1660,NDays&amp;"D")</f>
        <v>50686</v>
      </c>
      <c r="Z1660" s="174">
        <v>2.1196800338789679E-2</v>
      </c>
      <c r="AA1660" s="177"/>
    </row>
    <row r="1661" spans="22:27" x14ac:dyDescent="0.2">
      <c r="V1661" s="163"/>
      <c r="W1661" s="158" t="str">
        <f t="shared" si="37"/>
        <v>1w</v>
      </c>
      <c r="X1661" s="168">
        <f>_xll.qlCalendarAdvance(Calendar,X1660,W1661,"f",FALSE)</f>
        <v>50693</v>
      </c>
      <c r="Y1661" s="173">
        <f>_xll.qlCalendarAdvance(Calendar,X1661,NDays&amp;"D")</f>
        <v>50693</v>
      </c>
      <c r="Z1661" s="174">
        <v>2.1192964017977916E-2</v>
      </c>
      <c r="AA1661" s="177"/>
    </row>
    <row r="1662" spans="22:27" x14ac:dyDescent="0.2">
      <c r="V1662" s="163"/>
      <c r="W1662" s="158" t="str">
        <f t="shared" si="37"/>
        <v>1w</v>
      </c>
      <c r="X1662" s="168">
        <f>_xll.qlCalendarAdvance(Calendar,X1661,W1662,"f",FALSE)</f>
        <v>50700</v>
      </c>
      <c r="Y1662" s="173">
        <f>_xll.qlCalendarAdvance(Calendar,X1662,NDays&amp;"D")</f>
        <v>50700</v>
      </c>
      <c r="Z1662" s="174">
        <v>2.1189523743433046E-2</v>
      </c>
      <c r="AA1662" s="177"/>
    </row>
    <row r="1663" spans="22:27" x14ac:dyDescent="0.2">
      <c r="V1663" s="163"/>
      <c r="W1663" s="158" t="str">
        <f t="shared" si="37"/>
        <v>1w</v>
      </c>
      <c r="X1663" s="168">
        <f>_xll.qlCalendarAdvance(Calendar,X1662,W1663,"f",FALSE)</f>
        <v>50707</v>
      </c>
      <c r="Y1663" s="173">
        <f>_xll.qlCalendarAdvance(Calendar,X1663,NDays&amp;"D")</f>
        <v>50707</v>
      </c>
      <c r="Z1663" s="174">
        <v>2.1186112707306529E-2</v>
      </c>
      <c r="AA1663" s="177"/>
    </row>
    <row r="1664" spans="22:27" x14ac:dyDescent="0.2">
      <c r="V1664" s="163"/>
      <c r="W1664" s="158" t="str">
        <f t="shared" si="37"/>
        <v>1w</v>
      </c>
      <c r="X1664" s="168">
        <f>_xll.qlCalendarAdvance(Calendar,X1663,W1664,"f",FALSE)</f>
        <v>50714</v>
      </c>
      <c r="Y1664" s="173">
        <f>_xll.qlCalendarAdvance(Calendar,X1664,NDays&amp;"D")</f>
        <v>50714</v>
      </c>
      <c r="Z1664" s="174">
        <v>2.1182730909571349E-2</v>
      </c>
      <c r="AA1664" s="177"/>
    </row>
    <row r="1665" spans="22:27" x14ac:dyDescent="0.2">
      <c r="V1665" s="163"/>
      <c r="W1665" s="158" t="str">
        <f t="shared" si="37"/>
        <v>1w</v>
      </c>
      <c r="X1665" s="168">
        <f>_xll.qlCalendarAdvance(Calendar,X1664,W1665,"f",FALSE)</f>
        <v>50721</v>
      </c>
      <c r="Y1665" s="173">
        <f>_xll.qlCalendarAdvance(Calendar,X1665,NDays&amp;"D")</f>
        <v>50721</v>
      </c>
      <c r="Z1665" s="174">
        <v>2.1179378350281535E-2</v>
      </c>
      <c r="AA1665" s="177"/>
    </row>
    <row r="1666" spans="22:27" x14ac:dyDescent="0.2">
      <c r="V1666" s="163"/>
      <c r="W1666" s="158" t="str">
        <f t="shared" si="37"/>
        <v>1w</v>
      </c>
      <c r="X1666" s="168">
        <f>_xll.qlCalendarAdvance(Calendar,X1665,W1666,"f",FALSE)</f>
        <v>50728</v>
      </c>
      <c r="Y1666" s="173">
        <f>_xll.qlCalendarAdvance(Calendar,X1666,NDays&amp;"D")</f>
        <v>50728</v>
      </c>
      <c r="Z1666" s="174">
        <v>2.1176055029383061E-2</v>
      </c>
      <c r="AA1666" s="177"/>
    </row>
    <row r="1667" spans="22:27" x14ac:dyDescent="0.2">
      <c r="V1667" s="163"/>
      <c r="W1667" s="158" t="str">
        <f t="shared" si="37"/>
        <v>1w</v>
      </c>
      <c r="X1667" s="168">
        <f>_xll.qlCalendarAdvance(Calendar,X1666,W1667,"f",FALSE)</f>
        <v>50735</v>
      </c>
      <c r="Y1667" s="173">
        <f>_xll.qlCalendarAdvance(Calendar,X1667,NDays&amp;"D")</f>
        <v>50735</v>
      </c>
      <c r="Z1667" s="174">
        <v>2.1172760946875927E-2</v>
      </c>
      <c r="AA1667" s="177"/>
    </row>
    <row r="1668" spans="22:27" x14ac:dyDescent="0.2">
      <c r="V1668" s="163"/>
      <c r="W1668" s="158" t="str">
        <f t="shared" si="37"/>
        <v>1w</v>
      </c>
      <c r="X1668" s="168">
        <f>_xll.qlCalendarAdvance(Calendar,X1667,W1668,"f",FALSE)</f>
        <v>50742</v>
      </c>
      <c r="Y1668" s="173">
        <f>_xll.qlCalendarAdvance(Calendar,X1668,NDays&amp;"D")</f>
        <v>50742</v>
      </c>
      <c r="Z1668" s="174">
        <v>2.1169496102787143E-2</v>
      </c>
      <c r="AA1668" s="177"/>
    </row>
    <row r="1669" spans="22:27" x14ac:dyDescent="0.2">
      <c r="V1669" s="163"/>
      <c r="W1669" s="158" t="str">
        <f t="shared" si="37"/>
        <v>1w</v>
      </c>
      <c r="X1669" s="168">
        <f>_xll.qlCalendarAdvance(Calendar,X1668,W1669,"f",FALSE)</f>
        <v>50749</v>
      </c>
      <c r="Y1669" s="173">
        <f>_xll.qlCalendarAdvance(Calendar,X1669,NDays&amp;"D")</f>
        <v>50749</v>
      </c>
      <c r="Z1669" s="174">
        <v>2.1166260497089699E-2</v>
      </c>
      <c r="AA1669" s="177"/>
    </row>
    <row r="1670" spans="22:27" x14ac:dyDescent="0.2">
      <c r="V1670" s="163"/>
      <c r="W1670" s="158" t="str">
        <f t="shared" si="37"/>
        <v>1w</v>
      </c>
      <c r="X1670" s="168">
        <f>_xll.qlCalendarAdvance(Calendar,X1669,W1670,"f",FALSE)</f>
        <v>50756</v>
      </c>
      <c r="Y1670" s="173">
        <f>_xll.qlCalendarAdvance(Calendar,X1670,NDays&amp;"D")</f>
        <v>50756</v>
      </c>
      <c r="Z1670" s="174">
        <v>2.1163054129756574E-2</v>
      </c>
      <c r="AA1670" s="177"/>
    </row>
    <row r="1671" spans="22:27" x14ac:dyDescent="0.2">
      <c r="V1671" s="163"/>
      <c r="W1671" s="158" t="str">
        <f t="shared" si="37"/>
        <v>1w</v>
      </c>
      <c r="X1671" s="168">
        <f>_xll.qlCalendarAdvance(Calendar,X1670,W1671,"f",FALSE)</f>
        <v>50763</v>
      </c>
      <c r="Y1671" s="173">
        <f>_xll.qlCalendarAdvance(Calendar,X1671,NDays&amp;"D")</f>
        <v>50763</v>
      </c>
      <c r="Z1671" s="174">
        <v>2.1159877000841803E-2</v>
      </c>
      <c r="AA1671" s="177"/>
    </row>
    <row r="1672" spans="22:27" x14ac:dyDescent="0.2">
      <c r="V1672" s="163"/>
      <c r="W1672" s="158" t="str">
        <f t="shared" si="37"/>
        <v>1w</v>
      </c>
      <c r="X1672" s="168">
        <f>_xll.qlCalendarAdvance(Calendar,X1671,W1672,"f",FALSE)</f>
        <v>50774</v>
      </c>
      <c r="Y1672" s="173">
        <f>_xll.qlCalendarAdvance(Calendar,X1672,NDays&amp;"D")</f>
        <v>50774</v>
      </c>
      <c r="Z1672" s="174">
        <v>2.1154162718755032E-2</v>
      </c>
      <c r="AA1672" s="177"/>
    </row>
    <row r="1673" spans="22:27" x14ac:dyDescent="0.2">
      <c r="V1673" s="163"/>
      <c r="W1673" s="158" t="str">
        <f t="shared" si="37"/>
        <v>1w</v>
      </c>
      <c r="X1673" s="168">
        <f>_xll.qlCalendarAdvance(Calendar,X1672,W1673,"f",FALSE)</f>
        <v>50781</v>
      </c>
      <c r="Y1673" s="173">
        <f>_xll.qlCalendarAdvance(Calendar,X1673,NDays&amp;"D")</f>
        <v>50781</v>
      </c>
      <c r="Z1673" s="174">
        <v>2.1151056957358083E-2</v>
      </c>
      <c r="AA1673" s="177"/>
    </row>
    <row r="1674" spans="22:27" x14ac:dyDescent="0.2">
      <c r="V1674" s="163"/>
      <c r="W1674" s="158" t="str">
        <f t="shared" si="37"/>
        <v>1w</v>
      </c>
      <c r="X1674" s="168">
        <f>_xll.qlCalendarAdvance(Calendar,X1673,W1674,"f",FALSE)</f>
        <v>50788</v>
      </c>
      <c r="Y1674" s="173">
        <f>_xll.qlCalendarAdvance(Calendar,X1674,NDays&amp;"D")</f>
        <v>50788</v>
      </c>
      <c r="Z1674" s="174">
        <v>2.1147980430813451E-2</v>
      </c>
      <c r="AA1674" s="177"/>
    </row>
    <row r="1675" spans="22:27" x14ac:dyDescent="0.2">
      <c r="V1675" s="163"/>
      <c r="W1675" s="158" t="str">
        <f t="shared" si="37"/>
        <v>1w</v>
      </c>
      <c r="X1675" s="168">
        <f>_xll.qlCalendarAdvance(Calendar,X1674,W1675,"f",FALSE)</f>
        <v>50795</v>
      </c>
      <c r="Y1675" s="173">
        <f>_xll.qlCalendarAdvance(Calendar,X1675,NDays&amp;"D")</f>
        <v>50795</v>
      </c>
      <c r="Z1675" s="174">
        <v>2.1144933139364275E-2</v>
      </c>
      <c r="AA1675" s="177"/>
    </row>
    <row r="1676" spans="22:27" x14ac:dyDescent="0.2">
      <c r="V1676" s="163"/>
      <c r="W1676" s="158" t="str">
        <f t="shared" si="37"/>
        <v>1w</v>
      </c>
      <c r="X1676" s="168">
        <f>_xll.qlCalendarAdvance(Calendar,X1675,W1676,"f",FALSE)</f>
        <v>50802</v>
      </c>
      <c r="Y1676" s="173">
        <f>_xll.qlCalendarAdvance(Calendar,X1676,NDays&amp;"D")</f>
        <v>50802</v>
      </c>
      <c r="Z1676" s="174">
        <v>2.1141915082767415E-2</v>
      </c>
      <c r="AA1676" s="177"/>
    </row>
    <row r="1677" spans="22:27" x14ac:dyDescent="0.2">
      <c r="V1677" s="163"/>
      <c r="W1677" s="158" t="str">
        <f t="shared" ref="W1677:W1740" si="38">W1676</f>
        <v>1w</v>
      </c>
      <c r="X1677" s="168">
        <f>_xll.qlCalendarAdvance(Calendar,X1676,W1677,"f",FALSE)</f>
        <v>50809</v>
      </c>
      <c r="Y1677" s="173">
        <f>_xll.qlCalendarAdvance(Calendar,X1677,NDays&amp;"D")</f>
        <v>50809</v>
      </c>
      <c r="Z1677" s="174">
        <v>2.1138926261103919E-2</v>
      </c>
      <c r="AA1677" s="177"/>
    </row>
    <row r="1678" spans="22:27" x14ac:dyDescent="0.2">
      <c r="V1678" s="163"/>
      <c r="W1678" s="158" t="str">
        <f t="shared" si="38"/>
        <v>1w</v>
      </c>
      <c r="X1678" s="168">
        <f>_xll.qlCalendarAdvance(Calendar,X1677,W1678,"f",FALSE)</f>
        <v>50816</v>
      </c>
      <c r="Y1678" s="173">
        <f>_xll.qlCalendarAdvance(Calendar,X1678,NDays&amp;"D")</f>
        <v>50816</v>
      </c>
      <c r="Z1678" s="174">
        <v>2.1135966674373785E-2</v>
      </c>
      <c r="AA1678" s="177"/>
    </row>
    <row r="1679" spans="22:27" x14ac:dyDescent="0.2">
      <c r="V1679" s="163"/>
      <c r="W1679" s="158" t="str">
        <f t="shared" si="38"/>
        <v>1w</v>
      </c>
      <c r="X1679" s="168">
        <f>_xll.qlCalendarAdvance(Calendar,X1678,W1679,"f",FALSE)</f>
        <v>50823</v>
      </c>
      <c r="Y1679" s="173">
        <f>_xll.qlCalendarAdvance(Calendar,X1679,NDays&amp;"D")</f>
        <v>50823</v>
      </c>
      <c r="Z1679" s="174">
        <v>2.1133036322577015E-2</v>
      </c>
      <c r="AA1679" s="177"/>
    </row>
    <row r="1680" spans="22:27" x14ac:dyDescent="0.2">
      <c r="V1680" s="163"/>
      <c r="W1680" s="158" t="str">
        <f t="shared" si="38"/>
        <v>1w</v>
      </c>
      <c r="X1680" s="168">
        <f>_xll.qlCalendarAdvance(Calendar,X1679,W1680,"f",FALSE)</f>
        <v>50830</v>
      </c>
      <c r="Y1680" s="173">
        <f>_xll.qlCalendarAdvance(Calendar,X1680,NDays&amp;"D")</f>
        <v>50830</v>
      </c>
      <c r="Z1680" s="174">
        <v>2.1130135205794653E-2</v>
      </c>
      <c r="AA1680" s="177"/>
    </row>
    <row r="1681" spans="22:27" x14ac:dyDescent="0.2">
      <c r="V1681" s="163"/>
      <c r="W1681" s="158" t="str">
        <f t="shared" si="38"/>
        <v>1w</v>
      </c>
      <c r="X1681" s="168">
        <f>_xll.qlCalendarAdvance(Calendar,X1680,W1681,"f",FALSE)</f>
        <v>50837</v>
      </c>
      <c r="Y1681" s="173">
        <f>_xll.qlCalendarAdvance(Calendar,X1681,NDays&amp;"D")</f>
        <v>50837</v>
      </c>
      <c r="Z1681" s="174">
        <v>2.1127263323864609E-2</v>
      </c>
      <c r="AA1681" s="177"/>
    </row>
    <row r="1682" spans="22:27" x14ac:dyDescent="0.2">
      <c r="V1682" s="163"/>
      <c r="W1682" s="158" t="str">
        <f t="shared" si="38"/>
        <v>1w</v>
      </c>
      <c r="X1682" s="168">
        <f>_xll.qlCalendarAdvance(Calendar,X1681,W1682,"f",FALSE)</f>
        <v>50844</v>
      </c>
      <c r="Y1682" s="173">
        <f>_xll.qlCalendarAdvance(Calendar,X1682,NDays&amp;"D")</f>
        <v>50844</v>
      </c>
      <c r="Z1682" s="174">
        <v>2.1124420676948974E-2</v>
      </c>
      <c r="AA1682" s="177"/>
    </row>
    <row r="1683" spans="22:27" x14ac:dyDescent="0.2">
      <c r="V1683" s="163"/>
      <c r="W1683" s="158" t="str">
        <f t="shared" si="38"/>
        <v>1w</v>
      </c>
      <c r="X1683" s="168">
        <f>_xll.qlCalendarAdvance(Calendar,X1682,W1683,"f",FALSE)</f>
        <v>50851</v>
      </c>
      <c r="Y1683" s="173">
        <f>_xll.qlCalendarAdvance(Calendar,X1683,NDays&amp;"D")</f>
        <v>50851</v>
      </c>
      <c r="Z1683" s="174">
        <v>2.1121607264966702E-2</v>
      </c>
      <c r="AA1683" s="177"/>
    </row>
    <row r="1684" spans="22:27" x14ac:dyDescent="0.2">
      <c r="V1684" s="163"/>
      <c r="W1684" s="158" t="str">
        <f t="shared" si="38"/>
        <v>1w</v>
      </c>
      <c r="X1684" s="168">
        <f>_xll.qlCalendarAdvance(Calendar,X1683,W1684,"f",FALSE)</f>
        <v>50858</v>
      </c>
      <c r="Y1684" s="173">
        <f>_xll.qlCalendarAdvance(Calendar,X1684,NDays&amp;"D")</f>
        <v>50858</v>
      </c>
      <c r="Z1684" s="174">
        <v>2.1118823087917793E-2</v>
      </c>
      <c r="AA1684" s="177"/>
    </row>
    <row r="1685" spans="22:27" x14ac:dyDescent="0.2">
      <c r="V1685" s="163"/>
      <c r="W1685" s="158" t="str">
        <f t="shared" si="38"/>
        <v>1w</v>
      </c>
      <c r="X1685" s="168">
        <f>_xll.qlCalendarAdvance(Calendar,X1684,W1685,"f",FALSE)</f>
        <v>50865</v>
      </c>
      <c r="Y1685" s="173">
        <f>_xll.qlCalendarAdvance(Calendar,X1685,NDays&amp;"D")</f>
        <v>50865</v>
      </c>
      <c r="Z1685" s="174">
        <v>2.1116068145721201E-2</v>
      </c>
      <c r="AA1685" s="177"/>
    </row>
    <row r="1686" spans="22:27" x14ac:dyDescent="0.2">
      <c r="V1686" s="163"/>
      <c r="W1686" s="158" t="str">
        <f t="shared" si="38"/>
        <v>1w</v>
      </c>
      <c r="X1686" s="168">
        <f>_xll.qlCalendarAdvance(Calendar,X1685,W1686,"f",FALSE)</f>
        <v>50872</v>
      </c>
      <c r="Y1686" s="173">
        <f>_xll.qlCalendarAdvance(Calendar,X1686,NDays&amp;"D")</f>
        <v>50872</v>
      </c>
      <c r="Z1686" s="174">
        <v>2.1113342438457972E-2</v>
      </c>
      <c r="AA1686" s="177"/>
    </row>
    <row r="1687" spans="22:27" x14ac:dyDescent="0.2">
      <c r="V1687" s="163"/>
      <c r="W1687" s="158" t="str">
        <f t="shared" si="38"/>
        <v>1w</v>
      </c>
      <c r="X1687" s="168">
        <f>_xll.qlCalendarAdvance(Calendar,X1686,W1687,"f",FALSE)</f>
        <v>50879</v>
      </c>
      <c r="Y1687" s="173">
        <f>_xll.qlCalendarAdvance(Calendar,X1687,NDays&amp;"D")</f>
        <v>50879</v>
      </c>
      <c r="Z1687" s="174">
        <v>2.1110645966209152E-2</v>
      </c>
      <c r="AA1687" s="177"/>
    </row>
    <row r="1688" spans="22:27" x14ac:dyDescent="0.2">
      <c r="V1688" s="163"/>
      <c r="W1688" s="158" t="str">
        <f t="shared" si="38"/>
        <v>1w</v>
      </c>
      <c r="X1688" s="168">
        <f>_xll.qlCalendarAdvance(Calendar,X1687,W1688,"f",FALSE)</f>
        <v>50886</v>
      </c>
      <c r="Y1688" s="173">
        <f>_xll.qlCalendarAdvance(Calendar,X1688,NDays&amp;"D")</f>
        <v>50886</v>
      </c>
      <c r="Z1688" s="174">
        <v>2.1107978728893695E-2</v>
      </c>
      <c r="AA1688" s="177"/>
    </row>
    <row r="1689" spans="22:27" x14ac:dyDescent="0.2">
      <c r="V1689" s="163"/>
      <c r="W1689" s="158" t="str">
        <f t="shared" si="38"/>
        <v>1w</v>
      </c>
      <c r="X1689" s="168">
        <f>_xll.qlCalendarAdvance(Calendar,X1688,W1689,"f",FALSE)</f>
        <v>50896</v>
      </c>
      <c r="Y1689" s="173">
        <f>_xll.qlCalendarAdvance(Calendar,X1689,NDays&amp;"D")</f>
        <v>50896</v>
      </c>
      <c r="Z1689" s="174">
        <v>2.1105066843032743E-2</v>
      </c>
      <c r="AA1689" s="177"/>
    </row>
    <row r="1690" spans="22:27" x14ac:dyDescent="0.2">
      <c r="V1690" s="163"/>
      <c r="W1690" s="158" t="str">
        <f t="shared" si="38"/>
        <v>1w</v>
      </c>
      <c r="X1690" s="168">
        <f>_xll.qlCalendarAdvance(Calendar,X1689,W1690,"f",FALSE)</f>
        <v>50903</v>
      </c>
      <c r="Y1690" s="173">
        <f>_xll.qlCalendarAdvance(Calendar,X1690,NDays&amp;"D")</f>
        <v>50903</v>
      </c>
      <c r="Z1690" s="174">
        <v>2.1102474481512482E-2</v>
      </c>
      <c r="AA1690" s="177"/>
    </row>
    <row r="1691" spans="22:27" x14ac:dyDescent="0.2">
      <c r="V1691" s="163"/>
      <c r="W1691" s="158" t="str">
        <f t="shared" si="38"/>
        <v>1w</v>
      </c>
      <c r="X1691" s="168">
        <f>_xll.qlCalendarAdvance(Calendar,X1690,W1691,"f",FALSE)</f>
        <v>50910</v>
      </c>
      <c r="Y1691" s="173">
        <f>_xll.qlCalendarAdvance(Calendar,X1691,NDays&amp;"D")</f>
        <v>50910</v>
      </c>
      <c r="Z1691" s="174">
        <v>2.1099911358329525E-2</v>
      </c>
      <c r="AA1691" s="177"/>
    </row>
    <row r="1692" spans="22:27" x14ac:dyDescent="0.2">
      <c r="V1692" s="163"/>
      <c r="W1692" s="158" t="str">
        <f t="shared" si="38"/>
        <v>1w</v>
      </c>
      <c r="X1692" s="168">
        <f>_xll.qlCalendarAdvance(Calendar,X1691,W1692,"f",FALSE)</f>
        <v>50917</v>
      </c>
      <c r="Y1692" s="173">
        <f>_xll.qlCalendarAdvance(Calendar,X1692,NDays&amp;"D")</f>
        <v>50917</v>
      </c>
      <c r="Z1692" s="174">
        <v>2.1097377473483874E-2</v>
      </c>
      <c r="AA1692" s="177"/>
    </row>
    <row r="1693" spans="22:27" x14ac:dyDescent="0.2">
      <c r="V1693" s="163"/>
      <c r="W1693" s="158" t="str">
        <f t="shared" si="38"/>
        <v>1w</v>
      </c>
      <c r="X1693" s="168">
        <f>_xll.qlCalendarAdvance(Calendar,X1692,W1693,"f",FALSE)</f>
        <v>50924</v>
      </c>
      <c r="Y1693" s="173">
        <f>_xll.qlCalendarAdvance(Calendar,X1693,NDays&amp;"D")</f>
        <v>50924</v>
      </c>
      <c r="Z1693" s="174">
        <v>2.1094872827029564E-2</v>
      </c>
      <c r="AA1693" s="177"/>
    </row>
    <row r="1694" spans="22:27" x14ac:dyDescent="0.2">
      <c r="V1694" s="163"/>
      <c r="W1694" s="158" t="str">
        <f t="shared" si="38"/>
        <v>1w</v>
      </c>
      <c r="X1694" s="168">
        <f>_xll.qlCalendarAdvance(Calendar,X1693,W1694,"f",FALSE)</f>
        <v>50931</v>
      </c>
      <c r="Y1694" s="173">
        <f>_xll.qlCalendarAdvance(Calendar,X1694,NDays&amp;"D")</f>
        <v>50931</v>
      </c>
      <c r="Z1694" s="174">
        <v>2.1092397418858527E-2</v>
      </c>
      <c r="AA1694" s="177"/>
    </row>
    <row r="1695" spans="22:27" x14ac:dyDescent="0.2">
      <c r="V1695" s="163"/>
      <c r="W1695" s="158" t="str">
        <f t="shared" si="38"/>
        <v>1w</v>
      </c>
      <c r="X1695" s="168">
        <f>_xll.qlCalendarAdvance(Calendar,X1694,W1695,"f",FALSE)</f>
        <v>50938</v>
      </c>
      <c r="Y1695" s="173">
        <f>_xll.qlCalendarAdvance(Calendar,X1695,NDays&amp;"D")</f>
        <v>50938</v>
      </c>
      <c r="Z1695" s="174">
        <v>2.1089951249051813E-2</v>
      </c>
      <c r="AA1695" s="177"/>
    </row>
    <row r="1696" spans="22:27" x14ac:dyDescent="0.2">
      <c r="V1696" s="163"/>
      <c r="W1696" s="158" t="str">
        <f t="shared" si="38"/>
        <v>1w</v>
      </c>
      <c r="X1696" s="168">
        <f>_xll.qlCalendarAdvance(Calendar,X1695,W1696,"f",FALSE)</f>
        <v>50945</v>
      </c>
      <c r="Y1696" s="173">
        <f>_xll.qlCalendarAdvance(Calendar,X1696,NDays&amp;"D")</f>
        <v>50945</v>
      </c>
      <c r="Z1696" s="174">
        <v>2.1087534317582406E-2</v>
      </c>
      <c r="AA1696" s="177"/>
    </row>
    <row r="1697" spans="22:27" x14ac:dyDescent="0.2">
      <c r="V1697" s="163"/>
      <c r="W1697" s="158" t="str">
        <f t="shared" si="38"/>
        <v>1w</v>
      </c>
      <c r="X1697" s="168">
        <f>_xll.qlCalendarAdvance(Calendar,X1696,W1697,"f",FALSE)</f>
        <v>50952</v>
      </c>
      <c r="Y1697" s="173">
        <f>_xll.qlCalendarAdvance(Calendar,X1697,NDays&amp;"D")</f>
        <v>50952</v>
      </c>
      <c r="Z1697" s="174">
        <v>2.1085146624477323E-2</v>
      </c>
      <c r="AA1697" s="177"/>
    </row>
    <row r="1698" spans="22:27" x14ac:dyDescent="0.2">
      <c r="V1698" s="163"/>
      <c r="W1698" s="158" t="str">
        <f t="shared" si="38"/>
        <v>1w</v>
      </c>
      <c r="X1698" s="168">
        <f>_xll.qlCalendarAdvance(Calendar,X1697,W1698,"f",FALSE)</f>
        <v>50959</v>
      </c>
      <c r="Y1698" s="173">
        <f>_xll.qlCalendarAdvance(Calendar,X1698,NDays&amp;"D")</f>
        <v>50959</v>
      </c>
      <c r="Z1698" s="174">
        <v>2.1082788169709547E-2</v>
      </c>
      <c r="AA1698" s="177"/>
    </row>
    <row r="1699" spans="22:27" x14ac:dyDescent="0.2">
      <c r="V1699" s="163"/>
      <c r="W1699" s="158" t="str">
        <f t="shared" si="38"/>
        <v>1w</v>
      </c>
      <c r="X1699" s="168">
        <f>_xll.qlCalendarAdvance(Calendar,X1698,W1699,"f",FALSE)</f>
        <v>50966</v>
      </c>
      <c r="Y1699" s="173">
        <f>_xll.qlCalendarAdvance(Calendar,X1699,NDays&amp;"D")</f>
        <v>50966</v>
      </c>
      <c r="Z1699" s="174">
        <v>2.1080900444356843E-2</v>
      </c>
      <c r="AA1699" s="177"/>
    </row>
    <row r="1700" spans="22:27" x14ac:dyDescent="0.2">
      <c r="V1700" s="163"/>
      <c r="W1700" s="158" t="str">
        <f t="shared" si="38"/>
        <v>1w</v>
      </c>
      <c r="X1700" s="168">
        <f>_xll.qlCalendarAdvance(Calendar,X1699,W1700,"f",FALSE)</f>
        <v>50973</v>
      </c>
      <c r="Y1700" s="173">
        <f>_xll.qlCalendarAdvance(Calendar,X1700,NDays&amp;"D")</f>
        <v>50973</v>
      </c>
      <c r="Z1700" s="174">
        <v>2.1078140097156771E-2</v>
      </c>
      <c r="AA1700" s="177"/>
    </row>
    <row r="1701" spans="22:27" x14ac:dyDescent="0.2">
      <c r="V1701" s="163"/>
      <c r="W1701" s="158" t="str">
        <f t="shared" si="38"/>
        <v>1w</v>
      </c>
      <c r="X1701" s="168">
        <f>_xll.qlCalendarAdvance(Calendar,X1700,W1701,"f",FALSE)</f>
        <v>50980</v>
      </c>
      <c r="Y1701" s="173">
        <f>_xll.qlCalendarAdvance(Calendar,X1701,NDays&amp;"D")</f>
        <v>50980</v>
      </c>
      <c r="Z1701" s="174">
        <v>2.1075831601504728E-2</v>
      </c>
      <c r="AA1701" s="177"/>
    </row>
    <row r="1702" spans="22:27" x14ac:dyDescent="0.2">
      <c r="V1702" s="163"/>
      <c r="W1702" s="158" t="str">
        <f t="shared" si="38"/>
        <v>1w</v>
      </c>
      <c r="X1702" s="168">
        <f>_xll.qlCalendarAdvance(Calendar,X1701,W1702,"f",FALSE)</f>
        <v>50987</v>
      </c>
      <c r="Y1702" s="173">
        <f>_xll.qlCalendarAdvance(Calendar,X1702,NDays&amp;"D")</f>
        <v>50987</v>
      </c>
      <c r="Z1702" s="174">
        <v>2.1073532014081651E-2</v>
      </c>
      <c r="AA1702" s="177"/>
    </row>
    <row r="1703" spans="22:27" x14ac:dyDescent="0.2">
      <c r="V1703" s="163"/>
      <c r="W1703" s="158" t="str">
        <f t="shared" si="38"/>
        <v>1w</v>
      </c>
      <c r="X1703" s="168">
        <f>_xll.qlCalendarAdvance(Calendar,X1702,W1703,"f",FALSE)</f>
        <v>50994</v>
      </c>
      <c r="Y1703" s="173">
        <f>_xll.qlCalendarAdvance(Calendar,X1703,NDays&amp;"D")</f>
        <v>50994</v>
      </c>
      <c r="Z1703" s="174">
        <v>2.1071241334887546E-2</v>
      </c>
      <c r="AA1703" s="177"/>
    </row>
    <row r="1704" spans="22:27" x14ac:dyDescent="0.2">
      <c r="V1704" s="163"/>
      <c r="W1704" s="158" t="str">
        <f t="shared" si="38"/>
        <v>1w</v>
      </c>
      <c r="X1704" s="168">
        <f>_xll.qlCalendarAdvance(Calendar,X1703,W1704,"f",FALSE)</f>
        <v>51001</v>
      </c>
      <c r="Y1704" s="173">
        <f>_xll.qlCalendarAdvance(Calendar,X1704,NDays&amp;"D")</f>
        <v>51001</v>
      </c>
      <c r="Z1704" s="174">
        <v>2.1068959563949424E-2</v>
      </c>
      <c r="AA1704" s="177"/>
    </row>
    <row r="1705" spans="22:27" x14ac:dyDescent="0.2">
      <c r="V1705" s="163"/>
      <c r="W1705" s="158" t="str">
        <f t="shared" si="38"/>
        <v>1w</v>
      </c>
      <c r="X1705" s="168">
        <f>_xll.qlCalendarAdvance(Calendar,X1704,W1705,"f",FALSE)</f>
        <v>51008</v>
      </c>
      <c r="Y1705" s="173">
        <f>_xll.qlCalendarAdvance(Calendar,X1705,NDays&amp;"D")</f>
        <v>51008</v>
      </c>
      <c r="Z1705" s="174">
        <v>2.1066686701213259E-2</v>
      </c>
      <c r="AA1705" s="177"/>
    </row>
    <row r="1706" spans="22:27" x14ac:dyDescent="0.2">
      <c r="V1706" s="163"/>
      <c r="W1706" s="158" t="str">
        <f t="shared" si="38"/>
        <v>1w</v>
      </c>
      <c r="X1706" s="168">
        <f>_xll.qlCalendarAdvance(Calendar,X1705,W1706,"f",FALSE)</f>
        <v>51015</v>
      </c>
      <c r="Y1706" s="173">
        <f>_xll.qlCalendarAdvance(Calendar,X1706,NDays&amp;"D")</f>
        <v>51015</v>
      </c>
      <c r="Z1706" s="174">
        <v>2.1064422746760091E-2</v>
      </c>
      <c r="AA1706" s="177"/>
    </row>
    <row r="1707" spans="22:27" x14ac:dyDescent="0.2">
      <c r="V1707" s="163"/>
      <c r="W1707" s="158" t="str">
        <f t="shared" si="38"/>
        <v>1w</v>
      </c>
      <c r="X1707" s="168">
        <f>_xll.qlCalendarAdvance(Calendar,X1706,W1707,"f",FALSE)</f>
        <v>51022</v>
      </c>
      <c r="Y1707" s="173">
        <f>_xll.qlCalendarAdvance(Calendar,X1707,NDays&amp;"D")</f>
        <v>51022</v>
      </c>
      <c r="Z1707" s="174">
        <v>2.1062167700508876E-2</v>
      </c>
      <c r="AA1707" s="177"/>
    </row>
    <row r="1708" spans="22:27" x14ac:dyDescent="0.2">
      <c r="V1708" s="163"/>
      <c r="W1708" s="158" t="str">
        <f t="shared" si="38"/>
        <v>1w</v>
      </c>
      <c r="X1708" s="168">
        <f>_xll.qlCalendarAdvance(Calendar,X1707,W1708,"f",FALSE)</f>
        <v>51029</v>
      </c>
      <c r="Y1708" s="173">
        <f>_xll.qlCalendarAdvance(Calendar,X1708,NDays&amp;"D")</f>
        <v>51029</v>
      </c>
      <c r="Z1708" s="174">
        <v>2.1060369047443406E-2</v>
      </c>
      <c r="AA1708" s="177"/>
    </row>
    <row r="1709" spans="22:27" x14ac:dyDescent="0.2">
      <c r="V1709" s="163"/>
      <c r="W1709" s="158" t="str">
        <f t="shared" si="38"/>
        <v>1w</v>
      </c>
      <c r="X1709" s="168">
        <f>_xll.qlCalendarAdvance(Calendar,X1708,W1709,"f",FALSE)</f>
        <v>51039</v>
      </c>
      <c r="Y1709" s="173">
        <f>_xll.qlCalendarAdvance(Calendar,X1709,NDays&amp;"D")</f>
        <v>51039</v>
      </c>
      <c r="Z1709" s="174">
        <v>2.1055832024268195E-2</v>
      </c>
      <c r="AA1709" s="177"/>
    </row>
    <row r="1710" spans="22:27" x14ac:dyDescent="0.2">
      <c r="V1710" s="163"/>
      <c r="W1710" s="158" t="str">
        <f t="shared" si="38"/>
        <v>1w</v>
      </c>
      <c r="X1710" s="168">
        <f>_xll.qlCalendarAdvance(Calendar,X1709,W1710,"f",FALSE)</f>
        <v>51046</v>
      </c>
      <c r="Y1710" s="173">
        <f>_xll.qlCalendarAdvance(Calendar,X1710,NDays&amp;"D")</f>
        <v>51046</v>
      </c>
      <c r="Z1710" s="174">
        <v>2.1053606504743971E-2</v>
      </c>
      <c r="AA1710" s="177"/>
    </row>
    <row r="1711" spans="22:27" x14ac:dyDescent="0.2">
      <c r="V1711" s="163"/>
      <c r="W1711" s="158" t="str">
        <f t="shared" si="38"/>
        <v>1w</v>
      </c>
      <c r="X1711" s="168">
        <f>_xll.qlCalendarAdvance(Calendar,X1710,W1711,"f",FALSE)</f>
        <v>51054</v>
      </c>
      <c r="Y1711" s="173">
        <f>_xll.qlCalendarAdvance(Calendar,X1711,NDays&amp;"D")</f>
        <v>51054</v>
      </c>
      <c r="Z1711" s="174">
        <v>2.1051073960511868E-2</v>
      </c>
      <c r="AA1711" s="177"/>
    </row>
    <row r="1712" spans="22:27" x14ac:dyDescent="0.2">
      <c r="V1712" s="163"/>
      <c r="W1712" s="158" t="str">
        <f t="shared" si="38"/>
        <v>1w</v>
      </c>
      <c r="X1712" s="168">
        <f>_xll.qlCalendarAdvance(Calendar,X1711,W1712,"f",FALSE)</f>
        <v>51061</v>
      </c>
      <c r="Y1712" s="173">
        <f>_xll.qlCalendarAdvance(Calendar,X1712,NDays&amp;"D")</f>
        <v>51061</v>
      </c>
      <c r="Z1712" s="174">
        <v>2.1048867527792003E-2</v>
      </c>
      <c r="AA1712" s="177"/>
    </row>
    <row r="1713" spans="22:27" x14ac:dyDescent="0.2">
      <c r="V1713" s="163"/>
      <c r="W1713" s="158" t="str">
        <f t="shared" si="38"/>
        <v>1w</v>
      </c>
      <c r="X1713" s="168">
        <f>_xll.qlCalendarAdvance(Calendar,X1712,W1713,"f",FALSE)</f>
        <v>51068</v>
      </c>
      <c r="Y1713" s="173">
        <f>_xll.qlCalendarAdvance(Calendar,X1713,NDays&amp;"D")</f>
        <v>51068</v>
      </c>
      <c r="Z1713" s="174">
        <v>2.1046670002301537E-2</v>
      </c>
      <c r="AA1713" s="177"/>
    </row>
    <row r="1714" spans="22:27" x14ac:dyDescent="0.2">
      <c r="V1714" s="163"/>
      <c r="W1714" s="158" t="str">
        <f t="shared" si="38"/>
        <v>1w</v>
      </c>
      <c r="X1714" s="168">
        <f>_xll.qlCalendarAdvance(Calendar,X1713,W1714,"f",FALSE)</f>
        <v>51075</v>
      </c>
      <c r="Y1714" s="173">
        <f>_xll.qlCalendarAdvance(Calendar,X1714,NDays&amp;"D")</f>
        <v>51075</v>
      </c>
      <c r="Z1714" s="174">
        <v>2.1044481383878377E-2</v>
      </c>
      <c r="AA1714" s="177"/>
    </row>
    <row r="1715" spans="22:27" x14ac:dyDescent="0.2">
      <c r="V1715" s="163"/>
      <c r="W1715" s="158" t="str">
        <f t="shared" si="38"/>
        <v>1w</v>
      </c>
      <c r="X1715" s="168">
        <f>_xll.qlCalendarAdvance(Calendar,X1714,W1715,"f",FALSE)</f>
        <v>51082</v>
      </c>
      <c r="Y1715" s="173">
        <f>_xll.qlCalendarAdvance(Calendar,X1715,NDays&amp;"D")</f>
        <v>51082</v>
      </c>
      <c r="Z1715" s="174">
        <v>2.1042301672765662E-2</v>
      </c>
      <c r="AA1715" s="177"/>
    </row>
    <row r="1716" spans="22:27" x14ac:dyDescent="0.2">
      <c r="V1716" s="163"/>
      <c r="W1716" s="158" t="str">
        <f t="shared" si="38"/>
        <v>1w</v>
      </c>
      <c r="X1716" s="168">
        <f>_xll.qlCalendarAdvance(Calendar,X1715,W1716,"f",FALSE)</f>
        <v>51089</v>
      </c>
      <c r="Y1716" s="173">
        <f>_xll.qlCalendarAdvance(Calendar,X1716,NDays&amp;"D")</f>
        <v>51089</v>
      </c>
      <c r="Z1716" s="174">
        <v>2.1040130868720253E-2</v>
      </c>
      <c r="AA1716" s="177"/>
    </row>
    <row r="1717" spans="22:27" x14ac:dyDescent="0.2">
      <c r="V1717" s="163"/>
      <c r="W1717" s="158" t="str">
        <f t="shared" si="38"/>
        <v>1w</v>
      </c>
      <c r="X1717" s="168">
        <f>_xll.qlCalendarAdvance(Calendar,X1716,W1717,"f",FALSE)</f>
        <v>51096</v>
      </c>
      <c r="Y1717" s="173">
        <f>_xll.qlCalendarAdvance(Calendar,X1717,NDays&amp;"D")</f>
        <v>51096</v>
      </c>
      <c r="Z1717" s="174">
        <v>2.1038421201438617E-2</v>
      </c>
      <c r="AA1717" s="177"/>
    </row>
    <row r="1718" spans="22:27" x14ac:dyDescent="0.2">
      <c r="V1718" s="163"/>
      <c r="W1718" s="158" t="str">
        <f t="shared" si="38"/>
        <v>1w</v>
      </c>
      <c r="X1718" s="168">
        <f>_xll.qlCalendarAdvance(Calendar,X1717,W1718,"f",FALSE)</f>
        <v>51103</v>
      </c>
      <c r="Y1718" s="173">
        <f>_xll.qlCalendarAdvance(Calendar,X1718,NDays&amp;"D")</f>
        <v>51103</v>
      </c>
      <c r="Z1718" s="174">
        <v>2.1035815982236583E-2</v>
      </c>
      <c r="AA1718" s="177"/>
    </row>
    <row r="1719" spans="22:27" x14ac:dyDescent="0.2">
      <c r="V1719" s="163"/>
      <c r="W1719" s="158" t="str">
        <f t="shared" si="38"/>
        <v>1w</v>
      </c>
      <c r="X1719" s="168">
        <f>_xll.qlCalendarAdvance(Calendar,X1718,W1719,"f",FALSE)</f>
        <v>51110</v>
      </c>
      <c r="Y1719" s="173">
        <f>_xll.qlCalendarAdvance(Calendar,X1719,NDays&amp;"D")</f>
        <v>51110</v>
      </c>
      <c r="Z1719" s="174">
        <v>2.1033671899798323E-2</v>
      </c>
      <c r="AA1719" s="177"/>
    </row>
    <row r="1720" spans="22:27" x14ac:dyDescent="0.2">
      <c r="V1720" s="163"/>
      <c r="W1720" s="158" t="str">
        <f t="shared" si="38"/>
        <v>1w</v>
      </c>
      <c r="X1720" s="168">
        <f>_xll.qlCalendarAdvance(Calendar,X1719,W1720,"f",FALSE)</f>
        <v>51117</v>
      </c>
      <c r="Y1720" s="173">
        <f>_xll.qlCalendarAdvance(Calendar,X1720,NDays&amp;"D")</f>
        <v>51117</v>
      </c>
      <c r="Z1720" s="174">
        <v>2.1031536724508415E-2</v>
      </c>
      <c r="AA1720" s="177"/>
    </row>
    <row r="1721" spans="22:27" x14ac:dyDescent="0.2">
      <c r="V1721" s="163"/>
      <c r="W1721" s="158" t="str">
        <f t="shared" si="38"/>
        <v>1w</v>
      </c>
      <c r="X1721" s="168">
        <f>_xll.qlCalendarAdvance(Calendar,X1720,W1721,"f",FALSE)</f>
        <v>51124</v>
      </c>
      <c r="Y1721" s="173">
        <f>_xll.qlCalendarAdvance(Calendar,X1721,NDays&amp;"D")</f>
        <v>51124</v>
      </c>
      <c r="Z1721" s="174">
        <v>2.1029410456366859E-2</v>
      </c>
      <c r="AA1721" s="177"/>
    </row>
    <row r="1722" spans="22:27" x14ac:dyDescent="0.2">
      <c r="V1722" s="163"/>
      <c r="W1722" s="158" t="str">
        <f t="shared" si="38"/>
        <v>1w</v>
      </c>
      <c r="X1722" s="168">
        <f>_xll.qlCalendarAdvance(Calendar,X1721,W1722,"f",FALSE)</f>
        <v>51131</v>
      </c>
      <c r="Y1722" s="173">
        <f>_xll.qlCalendarAdvance(Calendar,X1722,NDays&amp;"D")</f>
        <v>51131</v>
      </c>
      <c r="Z1722" s="174">
        <v>2.1027293095454702E-2</v>
      </c>
      <c r="AA1722" s="177"/>
    </row>
    <row r="1723" spans="22:27" x14ac:dyDescent="0.2">
      <c r="V1723" s="163"/>
      <c r="W1723" s="158" t="str">
        <f t="shared" si="38"/>
        <v>1w</v>
      </c>
      <c r="X1723" s="168">
        <f>_xll.qlCalendarAdvance(Calendar,X1722,W1723,"f",FALSE)</f>
        <v>51139</v>
      </c>
      <c r="Y1723" s="173">
        <f>_xll.qlCalendarAdvance(Calendar,X1723,NDays&amp;"D")</f>
        <v>51139</v>
      </c>
      <c r="Z1723" s="174">
        <v>2.1024884161146007E-2</v>
      </c>
      <c r="AA1723" s="177"/>
    </row>
    <row r="1724" spans="22:27" x14ac:dyDescent="0.2">
      <c r="V1724" s="163"/>
      <c r="W1724" s="158" t="str">
        <f t="shared" si="38"/>
        <v>1w</v>
      </c>
      <c r="X1724" s="168">
        <f>_xll.qlCalendarAdvance(Calendar,X1723,W1724,"f",FALSE)</f>
        <v>51146</v>
      </c>
      <c r="Y1724" s="173">
        <f>_xll.qlCalendarAdvance(Calendar,X1724,NDays&amp;"D")</f>
        <v>51146</v>
      </c>
      <c r="Z1724" s="174">
        <v>2.1022785887038209E-2</v>
      </c>
      <c r="AA1724" s="177"/>
    </row>
    <row r="1725" spans="22:27" x14ac:dyDescent="0.2">
      <c r="V1725" s="163"/>
      <c r="W1725" s="158" t="str">
        <f t="shared" si="38"/>
        <v>1w</v>
      </c>
      <c r="X1725" s="168">
        <f>_xll.qlCalendarAdvance(Calendar,X1724,W1725,"f",FALSE)</f>
        <v>51153</v>
      </c>
      <c r="Y1725" s="173">
        <f>_xll.qlCalendarAdvance(Calendar,X1725,NDays&amp;"D")</f>
        <v>51153</v>
      </c>
      <c r="Z1725" s="174">
        <v>2.1020696519997717E-2</v>
      </c>
      <c r="AA1725" s="177"/>
    </row>
    <row r="1726" spans="22:27" x14ac:dyDescent="0.2">
      <c r="V1726" s="163"/>
      <c r="W1726" s="158" t="str">
        <f t="shared" si="38"/>
        <v>1w</v>
      </c>
      <c r="X1726" s="168">
        <f>_xll.qlCalendarAdvance(Calendar,X1725,W1726,"f",FALSE)</f>
        <v>51160</v>
      </c>
      <c r="Y1726" s="173">
        <f>_xll.qlCalendarAdvance(Calendar,X1726,NDays&amp;"D")</f>
        <v>51160</v>
      </c>
      <c r="Z1726" s="174">
        <v>2.1018616060348716E-2</v>
      </c>
      <c r="AA1726" s="177"/>
    </row>
    <row r="1727" spans="22:27" x14ac:dyDescent="0.2">
      <c r="V1727" s="163"/>
      <c r="W1727" s="158" t="str">
        <f t="shared" si="38"/>
        <v>1w</v>
      </c>
      <c r="X1727" s="168">
        <f>_xll.qlCalendarAdvance(Calendar,X1726,W1727,"f",FALSE)</f>
        <v>51167</v>
      </c>
      <c r="Y1727" s="173">
        <f>_xll.qlCalendarAdvance(Calendar,X1727,NDays&amp;"D")</f>
        <v>51167</v>
      </c>
      <c r="Z1727" s="174">
        <v>2.1016544507767021E-2</v>
      </c>
      <c r="AA1727" s="177"/>
    </row>
    <row r="1728" spans="22:27" x14ac:dyDescent="0.2">
      <c r="V1728" s="163"/>
      <c r="W1728" s="158" t="str">
        <f t="shared" si="38"/>
        <v>1w</v>
      </c>
      <c r="X1728" s="168">
        <f>_xll.qlCalendarAdvance(Calendar,X1727,W1728,"f",FALSE)</f>
        <v>51174</v>
      </c>
      <c r="Y1728" s="173">
        <f>_xll.qlCalendarAdvance(Calendar,X1728,NDays&amp;"D")</f>
        <v>51174</v>
      </c>
      <c r="Z1728" s="174">
        <v>2.1014481862333678E-2</v>
      </c>
      <c r="AA1728" s="177"/>
    </row>
    <row r="1729" spans="22:27" x14ac:dyDescent="0.2">
      <c r="V1729" s="163"/>
      <c r="W1729" s="158" t="str">
        <f t="shared" si="38"/>
        <v>1w</v>
      </c>
      <c r="X1729" s="168">
        <f>_xll.qlCalendarAdvance(Calendar,X1728,W1729,"f",FALSE)</f>
        <v>51181</v>
      </c>
      <c r="Y1729" s="173">
        <f>_xll.qlCalendarAdvance(Calendar,X1729,NDays&amp;"D")</f>
        <v>51181</v>
      </c>
      <c r="Z1729" s="174">
        <v>2.1012428124129734E-2</v>
      </c>
      <c r="AA1729" s="177"/>
    </row>
    <row r="1730" spans="22:27" x14ac:dyDescent="0.2">
      <c r="V1730" s="163"/>
      <c r="W1730" s="158" t="str">
        <f t="shared" si="38"/>
        <v>1w</v>
      </c>
      <c r="X1730" s="168">
        <f>_xll.qlCalendarAdvance(Calendar,X1729,W1730,"f",FALSE)</f>
        <v>51188</v>
      </c>
      <c r="Y1730" s="173">
        <f>_xll.qlCalendarAdvance(Calendar,X1730,NDays&amp;"D")</f>
        <v>51188</v>
      </c>
      <c r="Z1730" s="174">
        <v>2.1010383293074142E-2</v>
      </c>
      <c r="AA1730" s="177"/>
    </row>
    <row r="1731" spans="22:27" x14ac:dyDescent="0.2">
      <c r="V1731" s="163"/>
      <c r="W1731" s="158" t="str">
        <f t="shared" si="38"/>
        <v>1w</v>
      </c>
      <c r="X1731" s="168">
        <f>_xll.qlCalendarAdvance(Calendar,X1730,W1731,"f",FALSE)</f>
        <v>51195</v>
      </c>
      <c r="Y1731" s="173">
        <f>_xll.qlCalendarAdvance(Calendar,X1731,NDays&amp;"D")</f>
        <v>51195</v>
      </c>
      <c r="Z1731" s="174">
        <v>2.1008347369166902E-2</v>
      </c>
      <c r="AA1731" s="177"/>
    </row>
    <row r="1732" spans="22:27" x14ac:dyDescent="0.2">
      <c r="V1732" s="163"/>
      <c r="W1732" s="158" t="str">
        <f t="shared" si="38"/>
        <v>1w</v>
      </c>
      <c r="X1732" s="168">
        <f>_xll.qlCalendarAdvance(Calendar,X1731,W1732,"f",FALSE)</f>
        <v>51202</v>
      </c>
      <c r="Y1732" s="173">
        <f>_xll.qlCalendarAdvance(Calendar,X1732,NDays&amp;"D")</f>
        <v>51202</v>
      </c>
      <c r="Z1732" s="174">
        <v>2.1006320352489061E-2</v>
      </c>
      <c r="AA1732" s="177"/>
    </row>
    <row r="1733" spans="22:27" x14ac:dyDescent="0.2">
      <c r="V1733" s="163"/>
      <c r="W1733" s="158" t="str">
        <f t="shared" si="38"/>
        <v>1w</v>
      </c>
      <c r="X1733" s="168">
        <f>_xll.qlCalendarAdvance(Calendar,X1732,W1733,"f",FALSE)</f>
        <v>51209</v>
      </c>
      <c r="Y1733" s="173">
        <f>_xll.qlCalendarAdvance(Calendar,X1733,NDays&amp;"D")</f>
        <v>51209</v>
      </c>
      <c r="Z1733" s="174">
        <v>2.1004302243040618E-2</v>
      </c>
      <c r="AA1733" s="177"/>
    </row>
    <row r="1734" spans="22:27" x14ac:dyDescent="0.2">
      <c r="V1734" s="163"/>
      <c r="W1734" s="158" t="str">
        <f t="shared" si="38"/>
        <v>1w</v>
      </c>
      <c r="X1734" s="168">
        <f>_xll.qlCalendarAdvance(Calendar,X1733,W1734,"f",FALSE)</f>
        <v>51216</v>
      </c>
      <c r="Y1734" s="173">
        <f>_xll.qlCalendarAdvance(Calendar,X1734,NDays&amp;"D")</f>
        <v>51216</v>
      </c>
      <c r="Z1734" s="174">
        <v>2.1002293040740527E-2</v>
      </c>
      <c r="AA1734" s="177"/>
    </row>
    <row r="1735" spans="22:27" x14ac:dyDescent="0.2">
      <c r="V1735" s="163"/>
      <c r="W1735" s="158" t="str">
        <f t="shared" si="38"/>
        <v>1w</v>
      </c>
      <c r="X1735" s="168">
        <f>_xll.qlCalendarAdvance(Calendar,X1734,W1735,"f",FALSE)</f>
        <v>51223</v>
      </c>
      <c r="Y1735" s="173">
        <f>_xll.qlCalendarAdvance(Calendar,X1735,NDays&amp;"D")</f>
        <v>51223</v>
      </c>
      <c r="Z1735" s="174">
        <v>2.1000292745507743E-2</v>
      </c>
      <c r="AA1735" s="177"/>
    </row>
    <row r="1736" spans="22:27" x14ac:dyDescent="0.2">
      <c r="V1736" s="163"/>
      <c r="W1736" s="158" t="str">
        <f t="shared" si="38"/>
        <v>1w</v>
      </c>
      <c r="X1736" s="168">
        <f>_xll.qlCalendarAdvance(Calendar,X1735,W1736,"f",FALSE)</f>
        <v>51230</v>
      </c>
      <c r="Y1736" s="173">
        <f>_xll.qlCalendarAdvance(Calendar,X1736,NDays&amp;"D")</f>
        <v>51230</v>
      </c>
      <c r="Z1736" s="174">
        <v>2.0998301357585403E-2</v>
      </c>
      <c r="AA1736" s="177"/>
    </row>
    <row r="1737" spans="22:27" x14ac:dyDescent="0.2">
      <c r="V1737" s="163"/>
      <c r="W1737" s="158" t="str">
        <f t="shared" si="38"/>
        <v>1w</v>
      </c>
      <c r="X1737" s="168">
        <f>_xll.qlCalendarAdvance(Calendar,X1736,W1737,"f",FALSE)</f>
        <v>51237</v>
      </c>
      <c r="Y1737" s="173">
        <f>_xll.qlCalendarAdvance(Calendar,X1737,NDays&amp;"D")</f>
        <v>51237</v>
      </c>
      <c r="Z1737" s="174">
        <v>2.0996318876730369E-2</v>
      </c>
      <c r="AA1737" s="177"/>
    </row>
    <row r="1738" spans="22:27" x14ac:dyDescent="0.2">
      <c r="V1738" s="163"/>
      <c r="W1738" s="158" t="str">
        <f t="shared" si="38"/>
        <v>1w</v>
      </c>
      <c r="X1738" s="168">
        <f>_xll.qlCalendarAdvance(Calendar,X1737,W1738,"f",FALSE)</f>
        <v>51244</v>
      </c>
      <c r="Y1738" s="173">
        <f>_xll.qlCalendarAdvance(Calendar,X1738,NDays&amp;"D")</f>
        <v>51244</v>
      </c>
      <c r="Z1738" s="174">
        <v>2.0994345303104733E-2</v>
      </c>
      <c r="AA1738" s="177"/>
    </row>
    <row r="1739" spans="22:27" x14ac:dyDescent="0.2">
      <c r="V1739" s="163"/>
      <c r="W1739" s="158" t="str">
        <f t="shared" si="38"/>
        <v>1w</v>
      </c>
      <c r="X1739" s="168">
        <f>_xll.qlCalendarAdvance(Calendar,X1738,W1739,"f",FALSE)</f>
        <v>51251</v>
      </c>
      <c r="Y1739" s="173">
        <f>_xll.qlCalendarAdvance(Calendar,X1739,NDays&amp;"D")</f>
        <v>51251</v>
      </c>
      <c r="Z1739" s="174">
        <v>2.0992380636708496E-2</v>
      </c>
      <c r="AA1739" s="177"/>
    </row>
    <row r="1740" spans="22:27" x14ac:dyDescent="0.2">
      <c r="V1740" s="163"/>
      <c r="W1740" s="158" t="str">
        <f t="shared" si="38"/>
        <v>1w</v>
      </c>
      <c r="X1740" s="168">
        <f>_xll.qlCalendarAdvance(Calendar,X1739,W1740,"f",FALSE)</f>
        <v>51258</v>
      </c>
      <c r="Y1740" s="173">
        <f>_xll.qlCalendarAdvance(Calendar,X1740,NDays&amp;"D")</f>
        <v>51258</v>
      </c>
      <c r="Z1740" s="174">
        <v>2.0992282152850317E-2</v>
      </c>
      <c r="AA1740" s="177"/>
    </row>
    <row r="1741" spans="22:27" x14ac:dyDescent="0.2">
      <c r="V1741" s="163"/>
      <c r="W1741" s="158" t="str">
        <f t="shared" ref="W1741:W1804" si="39">W1740</f>
        <v>1w</v>
      </c>
      <c r="X1741" s="168">
        <f>_xll.qlCalendarAdvance(Calendar,X1740,W1741,"f",FALSE)</f>
        <v>51265</v>
      </c>
      <c r="Y1741" s="173">
        <f>_xll.qlCalendarAdvance(Calendar,X1741,NDays&amp;"D")</f>
        <v>51265</v>
      </c>
      <c r="Z1741" s="174">
        <v>2.0988478025361079E-2</v>
      </c>
      <c r="AA1741" s="177"/>
    </row>
    <row r="1742" spans="22:27" x14ac:dyDescent="0.2">
      <c r="V1742" s="163"/>
      <c r="W1742" s="158" t="str">
        <f t="shared" si="39"/>
        <v>1w</v>
      </c>
      <c r="X1742" s="168">
        <f>_xll.qlCalendarAdvance(Calendar,X1741,W1742,"f",FALSE)</f>
        <v>51272</v>
      </c>
      <c r="Y1742" s="173">
        <f>_xll.qlCalendarAdvance(Calendar,X1742,NDays&amp;"D")</f>
        <v>51272</v>
      </c>
      <c r="Z1742" s="174">
        <v>2.0986540080490945E-2</v>
      </c>
      <c r="AA1742" s="177"/>
    </row>
    <row r="1743" spans="22:27" x14ac:dyDescent="0.2">
      <c r="V1743" s="163"/>
      <c r="W1743" s="158" t="str">
        <f t="shared" si="39"/>
        <v>1w</v>
      </c>
      <c r="X1743" s="168">
        <f>_xll.qlCalendarAdvance(Calendar,X1742,W1743,"f",FALSE)</f>
        <v>51279</v>
      </c>
      <c r="Y1743" s="173">
        <f>_xll.qlCalendarAdvance(Calendar,X1743,NDays&amp;"D")</f>
        <v>51279</v>
      </c>
      <c r="Z1743" s="174">
        <v>2.0984611042688117E-2</v>
      </c>
      <c r="AA1743" s="177"/>
    </row>
    <row r="1744" spans="22:27" x14ac:dyDescent="0.2">
      <c r="V1744" s="163"/>
      <c r="W1744" s="158" t="str">
        <f t="shared" si="39"/>
        <v>1w</v>
      </c>
      <c r="X1744" s="168">
        <f>_xll.qlCalendarAdvance(Calendar,X1743,W1744,"f",FALSE)</f>
        <v>51286</v>
      </c>
      <c r="Y1744" s="173">
        <f>_xll.qlCalendarAdvance(Calendar,X1744,NDays&amp;"D")</f>
        <v>51286</v>
      </c>
      <c r="Z1744" s="174">
        <v>2.0982690912195734E-2</v>
      </c>
      <c r="AA1744" s="177"/>
    </row>
    <row r="1745" spans="22:27" x14ac:dyDescent="0.2">
      <c r="V1745" s="163"/>
      <c r="W1745" s="158" t="str">
        <f t="shared" si="39"/>
        <v>1w</v>
      </c>
      <c r="X1745" s="168">
        <f>_xll.qlCalendarAdvance(Calendar,X1744,W1745,"f",FALSE)</f>
        <v>51293</v>
      </c>
      <c r="Y1745" s="173">
        <f>_xll.qlCalendarAdvance(Calendar,X1745,NDays&amp;"D")</f>
        <v>51293</v>
      </c>
      <c r="Z1745" s="174">
        <v>2.0980779688770657E-2</v>
      </c>
      <c r="AA1745" s="177"/>
    </row>
    <row r="1746" spans="22:27" x14ac:dyDescent="0.2">
      <c r="V1746" s="163"/>
      <c r="W1746" s="158" t="str">
        <f t="shared" si="39"/>
        <v>1w</v>
      </c>
      <c r="X1746" s="168">
        <f>_xll.qlCalendarAdvance(Calendar,X1745,W1746,"f",FALSE)</f>
        <v>51300</v>
      </c>
      <c r="Y1746" s="173">
        <f>_xll.qlCalendarAdvance(Calendar,X1746,NDays&amp;"D")</f>
        <v>51300</v>
      </c>
      <c r="Z1746" s="174">
        <v>2.0978877372493931E-2</v>
      </c>
      <c r="AA1746" s="177"/>
    </row>
    <row r="1747" spans="22:27" x14ac:dyDescent="0.2">
      <c r="V1747" s="163"/>
      <c r="W1747" s="158" t="str">
        <f t="shared" si="39"/>
        <v>1w</v>
      </c>
      <c r="X1747" s="168">
        <f>_xll.qlCalendarAdvance(Calendar,X1746,W1747,"f",FALSE)</f>
        <v>51307</v>
      </c>
      <c r="Y1747" s="173">
        <f>_xll.qlCalendarAdvance(Calendar,X1747,NDays&amp;"D")</f>
        <v>51307</v>
      </c>
      <c r="Z1747" s="174">
        <v>2.0976983963527651E-2</v>
      </c>
      <c r="AA1747" s="177"/>
    </row>
    <row r="1748" spans="22:27" x14ac:dyDescent="0.2">
      <c r="V1748" s="163"/>
      <c r="W1748" s="158" t="str">
        <f t="shared" si="39"/>
        <v>1w</v>
      </c>
      <c r="X1748" s="168">
        <f>_xll.qlCalendarAdvance(Calendar,X1747,W1748,"f",FALSE)</f>
        <v>51314</v>
      </c>
      <c r="Y1748" s="173">
        <f>_xll.qlCalendarAdvance(Calendar,X1748,NDays&amp;"D")</f>
        <v>51314</v>
      </c>
      <c r="Z1748" s="174">
        <v>2.0975099461709723E-2</v>
      </c>
      <c r="AA1748" s="177"/>
    </row>
    <row r="1749" spans="22:27" x14ac:dyDescent="0.2">
      <c r="V1749" s="163"/>
      <c r="W1749" s="158" t="str">
        <f t="shared" si="39"/>
        <v>1w</v>
      </c>
      <c r="X1749" s="168">
        <f>_xll.qlCalendarAdvance(Calendar,X1748,W1749,"f",FALSE)</f>
        <v>51321</v>
      </c>
      <c r="Y1749" s="173">
        <f>_xll.qlCalendarAdvance(Calendar,X1749,NDays&amp;"D")</f>
        <v>51321</v>
      </c>
      <c r="Z1749" s="174">
        <v>2.0973223866959101E-2</v>
      </c>
      <c r="AA1749" s="177"/>
    </row>
    <row r="1750" spans="22:27" x14ac:dyDescent="0.2">
      <c r="V1750" s="163"/>
      <c r="W1750" s="158" t="str">
        <f t="shared" si="39"/>
        <v>1w</v>
      </c>
      <c r="X1750" s="168">
        <f>_xll.qlCalendarAdvance(Calendar,X1749,W1750,"f",FALSE)</f>
        <v>51328</v>
      </c>
      <c r="Y1750" s="173">
        <f>_xll.qlCalendarAdvance(Calendar,X1750,NDays&amp;"D")</f>
        <v>51328</v>
      </c>
      <c r="Z1750" s="174">
        <v>2.0971357179518924E-2</v>
      </c>
      <c r="AA1750" s="177"/>
    </row>
    <row r="1751" spans="22:27" x14ac:dyDescent="0.2">
      <c r="V1751" s="163"/>
      <c r="W1751" s="158" t="str">
        <f t="shared" si="39"/>
        <v>1w</v>
      </c>
      <c r="X1751" s="168">
        <f>_xll.qlCalendarAdvance(Calendar,X1750,W1751,"f",FALSE)</f>
        <v>51335</v>
      </c>
      <c r="Y1751" s="173">
        <f>_xll.qlCalendarAdvance(Calendar,X1751,NDays&amp;"D")</f>
        <v>51335</v>
      </c>
      <c r="Z1751" s="174">
        <v>2.0969499399146052E-2</v>
      </c>
      <c r="AA1751" s="177"/>
    </row>
    <row r="1752" spans="22:27" x14ac:dyDescent="0.2">
      <c r="V1752" s="163"/>
      <c r="W1752" s="158" t="str">
        <f t="shared" si="39"/>
        <v>1w</v>
      </c>
      <c r="X1752" s="168">
        <f>_xll.qlCalendarAdvance(Calendar,X1751,W1752,"f",FALSE)</f>
        <v>51342</v>
      </c>
      <c r="Y1752" s="173">
        <f>_xll.qlCalendarAdvance(Calendar,X1752,NDays&amp;"D")</f>
        <v>51342</v>
      </c>
      <c r="Z1752" s="174">
        <v>2.0967650526002579E-2</v>
      </c>
      <c r="AA1752" s="177"/>
    </row>
    <row r="1753" spans="22:27" x14ac:dyDescent="0.2">
      <c r="V1753" s="163"/>
      <c r="W1753" s="158" t="str">
        <f t="shared" si="39"/>
        <v>1w</v>
      </c>
      <c r="X1753" s="168">
        <f>_xll.qlCalendarAdvance(Calendar,X1752,W1753,"f",FALSE)</f>
        <v>51349</v>
      </c>
      <c r="Y1753" s="173">
        <f>_xll.qlCalendarAdvance(Calendar,X1753,NDays&amp;"D")</f>
        <v>51349</v>
      </c>
      <c r="Z1753" s="174">
        <v>2.0965810560007458E-2</v>
      </c>
      <c r="AA1753" s="177"/>
    </row>
    <row r="1754" spans="22:27" x14ac:dyDescent="0.2">
      <c r="V1754" s="163"/>
      <c r="W1754" s="158" t="str">
        <f t="shared" si="39"/>
        <v>1w</v>
      </c>
      <c r="X1754" s="168">
        <f>_xll.qlCalendarAdvance(Calendar,X1753,W1754,"f",FALSE)</f>
        <v>51356</v>
      </c>
      <c r="Y1754" s="173">
        <f>_xll.qlCalendarAdvance(Calendar,X1754,NDays&amp;"D")</f>
        <v>51356</v>
      </c>
      <c r="Z1754" s="174">
        <v>2.0963979501241736E-2</v>
      </c>
      <c r="AA1754" s="177"/>
    </row>
    <row r="1755" spans="22:27" x14ac:dyDescent="0.2">
      <c r="V1755" s="163"/>
      <c r="W1755" s="158" t="str">
        <f t="shared" si="39"/>
        <v>1w</v>
      </c>
      <c r="X1755" s="168">
        <f>_xll.qlCalendarAdvance(Calendar,X1754,W1755,"f",FALSE)</f>
        <v>51363</v>
      </c>
      <c r="Y1755" s="173">
        <f>_xll.qlCalendarAdvance(Calendar,X1755,NDays&amp;"D")</f>
        <v>51363</v>
      </c>
      <c r="Z1755" s="174">
        <v>2.096215734954332E-2</v>
      </c>
      <c r="AA1755" s="177"/>
    </row>
    <row r="1756" spans="22:27" x14ac:dyDescent="0.2">
      <c r="V1756" s="163"/>
      <c r="W1756" s="158" t="str">
        <f t="shared" si="39"/>
        <v>1w</v>
      </c>
      <c r="X1756" s="168">
        <f>_xll.qlCalendarAdvance(Calendar,X1755,W1756,"f",FALSE)</f>
        <v>51370</v>
      </c>
      <c r="Y1756" s="173">
        <f>_xll.qlCalendarAdvance(Calendar,X1756,NDays&amp;"D")</f>
        <v>51370</v>
      </c>
      <c r="Z1756" s="174">
        <v>2.0960344105155349E-2</v>
      </c>
      <c r="AA1756" s="177"/>
    </row>
    <row r="1757" spans="22:27" x14ac:dyDescent="0.2">
      <c r="V1757" s="163"/>
      <c r="W1757" s="158" t="str">
        <f t="shared" si="39"/>
        <v>1w</v>
      </c>
      <c r="X1757" s="168">
        <f>_xll.qlCalendarAdvance(Calendar,X1756,W1757,"f",FALSE)</f>
        <v>51377</v>
      </c>
      <c r="Y1757" s="173">
        <f>_xll.qlCalendarAdvance(Calendar,X1757,NDays&amp;"D")</f>
        <v>51377</v>
      </c>
      <c r="Z1757" s="174">
        <v>2.0958539767834683E-2</v>
      </c>
      <c r="AA1757" s="177"/>
    </row>
    <row r="1758" spans="22:27" x14ac:dyDescent="0.2">
      <c r="V1758" s="163"/>
      <c r="W1758" s="158" t="str">
        <f t="shared" si="39"/>
        <v>1w</v>
      </c>
      <c r="X1758" s="168">
        <f>_xll.qlCalendarAdvance(Calendar,X1757,W1758,"f",FALSE)</f>
        <v>51384</v>
      </c>
      <c r="Y1758" s="173">
        <f>_xll.qlCalendarAdvance(Calendar,X1758,NDays&amp;"D")</f>
        <v>51384</v>
      </c>
      <c r="Z1758" s="174">
        <v>2.0956744337824462E-2</v>
      </c>
      <c r="AA1758" s="177"/>
    </row>
    <row r="1759" spans="22:27" x14ac:dyDescent="0.2">
      <c r="V1759" s="163"/>
      <c r="W1759" s="158" t="str">
        <f t="shared" si="39"/>
        <v>1w</v>
      </c>
      <c r="X1759" s="168">
        <f>_xll.qlCalendarAdvance(Calendar,X1758,W1759,"f",FALSE)</f>
        <v>51391</v>
      </c>
      <c r="Y1759" s="173">
        <f>_xll.qlCalendarAdvance(Calendar,X1759,NDays&amp;"D")</f>
        <v>51391</v>
      </c>
      <c r="Z1759" s="174">
        <v>2.0954957814881547E-2</v>
      </c>
      <c r="AA1759" s="177"/>
    </row>
    <row r="1760" spans="22:27" x14ac:dyDescent="0.2">
      <c r="V1760" s="163"/>
      <c r="W1760" s="158" t="str">
        <f t="shared" si="39"/>
        <v>1w</v>
      </c>
      <c r="X1760" s="168">
        <f>_xll.qlCalendarAdvance(Calendar,X1759,W1760,"f",FALSE)</f>
        <v>51398</v>
      </c>
      <c r="Y1760" s="173">
        <f>_xll.qlCalendarAdvance(Calendar,X1760,NDays&amp;"D")</f>
        <v>51398</v>
      </c>
      <c r="Z1760" s="174">
        <v>2.0953180199086985E-2</v>
      </c>
      <c r="AA1760" s="177"/>
    </row>
    <row r="1761" spans="22:27" x14ac:dyDescent="0.2">
      <c r="V1761" s="163"/>
      <c r="W1761" s="158" t="str">
        <f t="shared" si="39"/>
        <v>1w</v>
      </c>
      <c r="X1761" s="168">
        <f>_xll.qlCalendarAdvance(Calendar,X1760,W1761,"f",FALSE)</f>
        <v>51405</v>
      </c>
      <c r="Y1761" s="173">
        <f>_xll.qlCalendarAdvance(Calendar,X1761,NDays&amp;"D")</f>
        <v>51405</v>
      </c>
      <c r="Z1761" s="174">
        <v>2.0951411490521821E-2</v>
      </c>
      <c r="AA1761" s="177"/>
    </row>
    <row r="1762" spans="22:27" x14ac:dyDescent="0.2">
      <c r="V1762" s="163"/>
      <c r="W1762" s="158" t="str">
        <f t="shared" si="39"/>
        <v>1w</v>
      </c>
      <c r="X1762" s="168">
        <f>_xll.qlCalendarAdvance(Calendar,X1761,W1762,"f",FALSE)</f>
        <v>51412</v>
      </c>
      <c r="Y1762" s="173">
        <f>_xll.qlCalendarAdvance(Calendar,X1762,NDays&amp;"D")</f>
        <v>51412</v>
      </c>
      <c r="Z1762" s="174">
        <v>2.0949651689186055E-2</v>
      </c>
      <c r="AA1762" s="177"/>
    </row>
    <row r="1763" spans="22:27" x14ac:dyDescent="0.2">
      <c r="V1763" s="163"/>
      <c r="W1763" s="158" t="str">
        <f t="shared" si="39"/>
        <v>1w</v>
      </c>
      <c r="X1763" s="168">
        <f>_xll.qlCalendarAdvance(Calendar,X1762,W1763,"f",FALSE)</f>
        <v>51419</v>
      </c>
      <c r="Y1763" s="173">
        <f>_xll.qlCalendarAdvance(Calendar,X1763,NDays&amp;"D")</f>
        <v>51419</v>
      </c>
      <c r="Z1763" s="174">
        <v>2.0947900794836549E-2</v>
      </c>
      <c r="AA1763" s="177"/>
    </row>
    <row r="1764" spans="22:27" x14ac:dyDescent="0.2">
      <c r="V1764" s="163"/>
      <c r="W1764" s="158" t="str">
        <f t="shared" si="39"/>
        <v>1w</v>
      </c>
      <c r="X1764" s="168">
        <f>_xll.qlCalendarAdvance(Calendar,X1763,W1764,"f",FALSE)</f>
        <v>51426</v>
      </c>
      <c r="Y1764" s="173">
        <f>_xll.qlCalendarAdvance(Calendar,X1764,NDays&amp;"D")</f>
        <v>51426</v>
      </c>
      <c r="Z1764" s="174">
        <v>2.0946158807797488E-2</v>
      </c>
      <c r="AA1764" s="177"/>
    </row>
    <row r="1765" spans="22:27" x14ac:dyDescent="0.2">
      <c r="V1765" s="163"/>
      <c r="W1765" s="158" t="str">
        <f t="shared" si="39"/>
        <v>1w</v>
      </c>
      <c r="X1765" s="168">
        <f>_xll.qlCalendarAdvance(Calendar,X1764,W1765,"f",FALSE)</f>
        <v>51433</v>
      </c>
      <c r="Y1765" s="173">
        <f>_xll.qlCalendarAdvance(Calendar,X1765,NDays&amp;"D")</f>
        <v>51433</v>
      </c>
      <c r="Z1765" s="174">
        <v>2.0944425727906779E-2</v>
      </c>
      <c r="AA1765" s="177"/>
    </row>
    <row r="1766" spans="22:27" x14ac:dyDescent="0.2">
      <c r="V1766" s="163"/>
      <c r="W1766" s="158" t="str">
        <f t="shared" si="39"/>
        <v>1w</v>
      </c>
      <c r="X1766" s="168">
        <f>_xll.qlCalendarAdvance(Calendar,X1765,W1766,"f",FALSE)</f>
        <v>51440</v>
      </c>
      <c r="Y1766" s="173">
        <f>_xll.qlCalendarAdvance(Calendar,X1766,NDays&amp;"D")</f>
        <v>51440</v>
      </c>
      <c r="Z1766" s="174">
        <v>2.0942701555245469E-2</v>
      </c>
      <c r="AA1766" s="177"/>
    </row>
    <row r="1767" spans="22:27" x14ac:dyDescent="0.2">
      <c r="V1767" s="163"/>
      <c r="W1767" s="158" t="str">
        <f t="shared" si="39"/>
        <v>1w</v>
      </c>
      <c r="X1767" s="168">
        <f>_xll.qlCalendarAdvance(Calendar,X1766,W1767,"f",FALSE)</f>
        <v>51447</v>
      </c>
      <c r="Y1767" s="173">
        <f>_xll.qlCalendarAdvance(Calendar,X1767,NDays&amp;"D")</f>
        <v>51447</v>
      </c>
      <c r="Z1767" s="174">
        <v>2.0940986289651464E-2</v>
      </c>
      <c r="AA1767" s="177"/>
    </row>
    <row r="1768" spans="22:27" x14ac:dyDescent="0.2">
      <c r="V1768" s="163"/>
      <c r="W1768" s="158" t="str">
        <f t="shared" si="39"/>
        <v>1w</v>
      </c>
      <c r="X1768" s="168">
        <f>_xll.qlCalendarAdvance(Calendar,X1767,W1768,"f",FALSE)</f>
        <v>51454</v>
      </c>
      <c r="Y1768" s="173">
        <f>_xll.qlCalendarAdvance(Calendar,X1768,NDays&amp;"D")</f>
        <v>51454</v>
      </c>
      <c r="Z1768" s="174">
        <v>2.0939279931286858E-2</v>
      </c>
      <c r="AA1768" s="177"/>
    </row>
    <row r="1769" spans="22:27" x14ac:dyDescent="0.2">
      <c r="V1769" s="163"/>
      <c r="W1769" s="158" t="str">
        <f t="shared" si="39"/>
        <v>1w</v>
      </c>
      <c r="X1769" s="168">
        <f>_xll.qlCalendarAdvance(Calendar,X1768,W1769,"f",FALSE)</f>
        <v>51461</v>
      </c>
      <c r="Y1769" s="173">
        <f>_xll.qlCalendarAdvance(Calendar,X1769,NDays&amp;"D")</f>
        <v>51461</v>
      </c>
      <c r="Z1769" s="174">
        <v>2.0937582480151651E-2</v>
      </c>
      <c r="AA1769" s="177"/>
    </row>
    <row r="1770" spans="22:27" x14ac:dyDescent="0.2">
      <c r="V1770" s="163"/>
      <c r="W1770" s="158" t="str">
        <f t="shared" si="39"/>
        <v>1w</v>
      </c>
      <c r="X1770" s="168">
        <f>_xll.qlCalendarAdvance(Calendar,X1769,W1770,"f",FALSE)</f>
        <v>51468</v>
      </c>
      <c r="Y1770" s="173">
        <f>_xll.qlCalendarAdvance(Calendar,X1770,NDays&amp;"D")</f>
        <v>51468</v>
      </c>
      <c r="Z1770" s="174">
        <v>2.0935893936083749E-2</v>
      </c>
      <c r="AA1770" s="177"/>
    </row>
    <row r="1771" spans="22:27" x14ac:dyDescent="0.2">
      <c r="V1771" s="163"/>
      <c r="W1771" s="158" t="str">
        <f t="shared" si="39"/>
        <v>1w</v>
      </c>
      <c r="X1771" s="168">
        <f>_xll.qlCalendarAdvance(Calendar,X1770,W1771,"f",FALSE)</f>
        <v>51475</v>
      </c>
      <c r="Y1771" s="173">
        <f>_xll.qlCalendarAdvance(Calendar,X1771,NDays&amp;"D")</f>
        <v>51475</v>
      </c>
      <c r="Z1771" s="174">
        <v>2.0934214299245246E-2</v>
      </c>
      <c r="AA1771" s="177"/>
    </row>
    <row r="1772" spans="22:27" x14ac:dyDescent="0.2">
      <c r="V1772" s="163"/>
      <c r="W1772" s="158" t="str">
        <f t="shared" si="39"/>
        <v>1w</v>
      </c>
      <c r="X1772" s="168">
        <f>_xll.qlCalendarAdvance(Calendar,X1771,W1772,"f",FALSE)</f>
        <v>51482</v>
      </c>
      <c r="Y1772" s="173">
        <f>_xll.qlCalendarAdvance(Calendar,X1772,NDays&amp;"D")</f>
        <v>51482</v>
      </c>
      <c r="Z1772" s="174">
        <v>2.0932543569555095E-2</v>
      </c>
      <c r="AA1772" s="177"/>
    </row>
    <row r="1773" spans="22:27" x14ac:dyDescent="0.2">
      <c r="V1773" s="163"/>
      <c r="W1773" s="158" t="str">
        <f t="shared" si="39"/>
        <v>1w</v>
      </c>
      <c r="X1773" s="168">
        <f>_xll.qlCalendarAdvance(Calendar,X1772,W1773,"f",FALSE)</f>
        <v>51489</v>
      </c>
      <c r="Y1773" s="173">
        <f>_xll.qlCalendarAdvance(Calendar,X1773,NDays&amp;"D")</f>
        <v>51489</v>
      </c>
      <c r="Z1773" s="174">
        <v>2.0930881747013297E-2</v>
      </c>
      <c r="AA1773" s="177"/>
    </row>
    <row r="1774" spans="22:27" x14ac:dyDescent="0.2">
      <c r="V1774" s="163"/>
      <c r="W1774" s="158" t="str">
        <f t="shared" si="39"/>
        <v>1w</v>
      </c>
      <c r="X1774" s="168">
        <f>_xll.qlCalendarAdvance(Calendar,X1773,W1774,"f",FALSE)</f>
        <v>51496</v>
      </c>
      <c r="Y1774" s="173">
        <f>_xll.qlCalendarAdvance(Calendar,X1774,NDays&amp;"D")</f>
        <v>51496</v>
      </c>
      <c r="Z1774" s="174">
        <v>2.0929228831700897E-2</v>
      </c>
      <c r="AA1774" s="177"/>
    </row>
    <row r="1775" spans="22:27" x14ac:dyDescent="0.2">
      <c r="V1775" s="163"/>
      <c r="W1775" s="158" t="str">
        <f t="shared" si="39"/>
        <v>1w</v>
      </c>
      <c r="X1775" s="168">
        <f>_xll.qlCalendarAdvance(Calendar,X1774,W1775,"f",FALSE)</f>
        <v>51505</v>
      </c>
      <c r="Y1775" s="173">
        <f>_xll.qlCalendarAdvance(Calendar,X1775,NDays&amp;"D")</f>
        <v>51505</v>
      </c>
      <c r="Z1775" s="174">
        <v>2.0928082879245379E-2</v>
      </c>
      <c r="AA1775" s="177"/>
    </row>
    <row r="1776" spans="22:27" x14ac:dyDescent="0.2">
      <c r="V1776" s="163"/>
      <c r="W1776" s="158" t="str">
        <f t="shared" si="39"/>
        <v>1w</v>
      </c>
      <c r="X1776" s="168">
        <f>_xll.qlCalendarAdvance(Calendar,X1775,W1776,"f",FALSE)</f>
        <v>51512</v>
      </c>
      <c r="Y1776" s="173">
        <f>_xll.qlCalendarAdvance(Calendar,X1776,NDays&amp;"D")</f>
        <v>51512</v>
      </c>
      <c r="Z1776" s="174">
        <v>2.0926935124678525E-2</v>
      </c>
      <c r="AA1776" s="177"/>
    </row>
    <row r="1777" spans="22:27" x14ac:dyDescent="0.2">
      <c r="V1777" s="163"/>
      <c r="W1777" s="158" t="str">
        <f t="shared" si="39"/>
        <v>1w</v>
      </c>
      <c r="X1777" s="168">
        <f>_xll.qlCalendarAdvance(Calendar,X1776,W1777,"f",FALSE)</f>
        <v>51519</v>
      </c>
      <c r="Y1777" s="173">
        <f>_xll.qlCalendarAdvance(Calendar,X1777,NDays&amp;"D")</f>
        <v>51519</v>
      </c>
      <c r="Z1777" s="174">
        <v>2.0924828846082082E-2</v>
      </c>
      <c r="AA1777" s="177"/>
    </row>
    <row r="1778" spans="22:27" x14ac:dyDescent="0.2">
      <c r="V1778" s="163"/>
      <c r="W1778" s="158" t="str">
        <f t="shared" si="39"/>
        <v>1w</v>
      </c>
      <c r="X1778" s="168">
        <f>_xll.qlCalendarAdvance(Calendar,X1777,W1778,"f",FALSE)</f>
        <v>51526</v>
      </c>
      <c r="Y1778" s="173">
        <f>_xll.qlCalendarAdvance(Calendar,X1778,NDays&amp;"D")</f>
        <v>51526</v>
      </c>
      <c r="Z1778" s="174">
        <v>2.0923215191830383E-2</v>
      </c>
      <c r="AA1778" s="177"/>
    </row>
    <row r="1779" spans="22:27" x14ac:dyDescent="0.2">
      <c r="V1779" s="163"/>
      <c r="W1779" s="158" t="str">
        <f t="shared" si="39"/>
        <v>1w</v>
      </c>
      <c r="X1779" s="168">
        <f>_xll.qlCalendarAdvance(Calendar,X1778,W1779,"f",FALSE)</f>
        <v>51533</v>
      </c>
      <c r="Y1779" s="173">
        <f>_xll.qlCalendarAdvance(Calendar,X1779,NDays&amp;"D")</f>
        <v>51533</v>
      </c>
      <c r="Z1779" s="174">
        <v>2.0921610445780635E-2</v>
      </c>
      <c r="AA1779" s="177"/>
    </row>
    <row r="1780" spans="22:27" x14ac:dyDescent="0.2">
      <c r="V1780" s="163"/>
      <c r="W1780" s="158" t="str">
        <f t="shared" si="39"/>
        <v>1w</v>
      </c>
      <c r="X1780" s="168">
        <f>_xll.qlCalendarAdvance(Calendar,X1779,W1780,"f",FALSE)</f>
        <v>51540</v>
      </c>
      <c r="Y1780" s="173">
        <f>_xll.qlCalendarAdvance(Calendar,X1780,NDays&amp;"D")</f>
        <v>51540</v>
      </c>
      <c r="Z1780" s="174">
        <v>2.0920500500458683E-2</v>
      </c>
      <c r="AA1780" s="177"/>
    </row>
    <row r="1781" spans="22:27" x14ac:dyDescent="0.2">
      <c r="V1781" s="163"/>
      <c r="W1781" s="158" t="str">
        <f t="shared" si="39"/>
        <v>1w</v>
      </c>
      <c r="X1781" s="168">
        <f>_xll.qlCalendarAdvance(Calendar,X1780,W1781,"f",FALSE)</f>
        <v>51547</v>
      </c>
      <c r="Y1781" s="173">
        <f>_xll.qlCalendarAdvance(Calendar,X1781,NDays&amp;"D")</f>
        <v>51547</v>
      </c>
      <c r="Z1781" s="174">
        <v>2.0918427678287003E-2</v>
      </c>
      <c r="AA1781" s="177"/>
    </row>
    <row r="1782" spans="22:27" x14ac:dyDescent="0.2">
      <c r="V1782" s="163"/>
      <c r="W1782" s="158" t="str">
        <f t="shared" si="39"/>
        <v>1w</v>
      </c>
      <c r="X1782" s="168">
        <f>_xll.qlCalendarAdvance(Calendar,X1781,W1782,"f",FALSE)</f>
        <v>51554</v>
      </c>
      <c r="Y1782" s="173">
        <f>_xll.qlCalendarAdvance(Calendar,X1782,NDays&amp;"D")</f>
        <v>51554</v>
      </c>
      <c r="Z1782" s="174">
        <v>2.0916849656870132E-2</v>
      </c>
      <c r="AA1782" s="177"/>
    </row>
    <row r="1783" spans="22:27" x14ac:dyDescent="0.2">
      <c r="V1783" s="163"/>
      <c r="W1783" s="158" t="str">
        <f t="shared" si="39"/>
        <v>1w</v>
      </c>
      <c r="X1783" s="168">
        <f>_xll.qlCalendarAdvance(Calendar,X1782,W1783,"f",FALSE)</f>
        <v>51561</v>
      </c>
      <c r="Y1783" s="173">
        <f>_xll.qlCalendarAdvance(Calendar,X1783,NDays&amp;"D")</f>
        <v>51561</v>
      </c>
      <c r="Z1783" s="174">
        <v>2.0915280543628199E-2</v>
      </c>
      <c r="AA1783" s="177"/>
    </row>
    <row r="1784" spans="22:27" x14ac:dyDescent="0.2">
      <c r="V1784" s="163"/>
      <c r="W1784" s="158" t="str">
        <f t="shared" si="39"/>
        <v>1w</v>
      </c>
      <c r="X1784" s="168">
        <f>_xll.qlCalendarAdvance(Calendar,X1783,W1784,"f",FALSE)</f>
        <v>51568</v>
      </c>
      <c r="Y1784" s="173">
        <f>_xll.qlCalendarAdvance(Calendar,X1784,NDays&amp;"D")</f>
        <v>51568</v>
      </c>
      <c r="Z1784" s="174">
        <v>2.0913720338615237E-2</v>
      </c>
      <c r="AA1784" s="177"/>
    </row>
    <row r="1785" spans="22:27" x14ac:dyDescent="0.2">
      <c r="V1785" s="163"/>
      <c r="W1785" s="158" t="str">
        <f t="shared" si="39"/>
        <v>1w</v>
      </c>
      <c r="X1785" s="168">
        <f>_xll.qlCalendarAdvance(Calendar,X1784,W1785,"f",FALSE)</f>
        <v>51575</v>
      </c>
      <c r="Y1785" s="173">
        <f>_xll.qlCalendarAdvance(Calendar,X1785,NDays&amp;"D")</f>
        <v>51575</v>
      </c>
      <c r="Z1785" s="174">
        <v>2.0912169041777211E-2</v>
      </c>
      <c r="AA1785" s="177"/>
    </row>
    <row r="1786" spans="22:27" x14ac:dyDescent="0.2">
      <c r="V1786" s="163"/>
      <c r="W1786" s="158" t="str">
        <f t="shared" si="39"/>
        <v>1w</v>
      </c>
      <c r="X1786" s="168">
        <f>_xll.qlCalendarAdvance(Calendar,X1785,W1786,"f",FALSE)</f>
        <v>51582</v>
      </c>
      <c r="Y1786" s="173">
        <f>_xll.qlCalendarAdvance(Calendar,X1786,NDays&amp;"D")</f>
        <v>51582</v>
      </c>
      <c r="Z1786" s="174">
        <v>2.0910626653195173E-2</v>
      </c>
      <c r="AA1786" s="177"/>
    </row>
    <row r="1787" spans="22:27" x14ac:dyDescent="0.2">
      <c r="V1787" s="163"/>
      <c r="W1787" s="158" t="str">
        <f t="shared" si="39"/>
        <v>1w</v>
      </c>
      <c r="X1787" s="168">
        <f>_xll.qlCalendarAdvance(Calendar,X1786,W1787,"f",FALSE)</f>
        <v>51589</v>
      </c>
      <c r="Y1787" s="173">
        <f>_xll.qlCalendarAdvance(Calendar,X1787,NDays&amp;"D")</f>
        <v>51589</v>
      </c>
      <c r="Z1787" s="174">
        <v>2.0909093172761056E-2</v>
      </c>
      <c r="AA1787" s="177"/>
    </row>
    <row r="1788" spans="22:27" x14ac:dyDescent="0.2">
      <c r="V1788" s="163"/>
      <c r="W1788" s="158" t="str">
        <f t="shared" si="39"/>
        <v>1w</v>
      </c>
      <c r="X1788" s="168">
        <f>_xll.qlCalendarAdvance(Calendar,X1787,W1788,"f",FALSE)</f>
        <v>51596</v>
      </c>
      <c r="Y1788" s="173">
        <f>_xll.qlCalendarAdvance(Calendar,X1788,NDays&amp;"D")</f>
        <v>51596</v>
      </c>
      <c r="Z1788" s="174">
        <v>2.0907568600555908E-2</v>
      </c>
      <c r="AA1788" s="177"/>
    </row>
    <row r="1789" spans="22:27" x14ac:dyDescent="0.2">
      <c r="V1789" s="163"/>
      <c r="W1789" s="158" t="str">
        <f t="shared" si="39"/>
        <v>1w</v>
      </c>
      <c r="X1789" s="168">
        <f>_xll.qlCalendarAdvance(Calendar,X1788,W1789,"f",FALSE)</f>
        <v>51603</v>
      </c>
      <c r="Y1789" s="173">
        <f>_xll.qlCalendarAdvance(Calendar,X1789,NDays&amp;"D")</f>
        <v>51603</v>
      </c>
      <c r="Z1789" s="174">
        <v>2.0906052936552715E-2</v>
      </c>
      <c r="AA1789" s="177"/>
    </row>
    <row r="1790" spans="22:27" x14ac:dyDescent="0.2">
      <c r="V1790" s="163"/>
      <c r="W1790" s="158" t="str">
        <f t="shared" si="39"/>
        <v>1w</v>
      </c>
      <c r="X1790" s="168">
        <f>_xll.qlCalendarAdvance(Calendar,X1789,W1790,"f",FALSE)</f>
        <v>51610</v>
      </c>
      <c r="Y1790" s="173">
        <f>_xll.qlCalendarAdvance(Calendar,X1790,NDays&amp;"D")</f>
        <v>51610</v>
      </c>
      <c r="Z1790" s="174">
        <v>2.0904546180778492E-2</v>
      </c>
      <c r="AA1790" s="177"/>
    </row>
    <row r="1791" spans="22:27" x14ac:dyDescent="0.2">
      <c r="V1791" s="163"/>
      <c r="W1791" s="158" t="str">
        <f t="shared" si="39"/>
        <v>1w</v>
      </c>
      <c r="X1791" s="168">
        <f>_xll.qlCalendarAdvance(Calendar,X1790,W1791,"f",FALSE)</f>
        <v>51617</v>
      </c>
      <c r="Y1791" s="173">
        <f>_xll.qlCalendarAdvance(Calendar,X1791,NDays&amp;"D")</f>
        <v>51617</v>
      </c>
      <c r="Z1791" s="174">
        <v>2.0903540253414121E-2</v>
      </c>
      <c r="AA1791" s="177"/>
    </row>
    <row r="1792" spans="22:27" x14ac:dyDescent="0.2">
      <c r="V1792" s="163"/>
      <c r="W1792" s="158" t="str">
        <f t="shared" si="39"/>
        <v>1w</v>
      </c>
      <c r="X1792" s="168">
        <f>_xll.qlCalendarAdvance(Calendar,X1791,W1792,"f",FALSE)</f>
        <v>51628</v>
      </c>
      <c r="Y1792" s="173">
        <f>_xll.qlCalendarAdvance(Calendar,X1792,NDays&amp;"D")</f>
        <v>51628</v>
      </c>
      <c r="Z1792" s="174">
        <v>2.0899727211984853E-2</v>
      </c>
      <c r="AA1792" s="177"/>
    </row>
    <row r="1793" spans="22:27" x14ac:dyDescent="0.2">
      <c r="V1793" s="163"/>
      <c r="W1793" s="158" t="str">
        <f t="shared" si="39"/>
        <v>1w</v>
      </c>
      <c r="X1793" s="168">
        <f>_xll.qlCalendarAdvance(Calendar,X1792,W1793,"f",FALSE)</f>
        <v>51635</v>
      </c>
      <c r="Y1793" s="173">
        <f>_xll.qlCalendarAdvance(Calendar,X1793,NDays&amp;"D")</f>
        <v>51635</v>
      </c>
      <c r="Z1793" s="174">
        <v>2.089825116761812E-2</v>
      </c>
      <c r="AA1793" s="177"/>
    </row>
    <row r="1794" spans="22:27" x14ac:dyDescent="0.2">
      <c r="V1794" s="163"/>
      <c r="W1794" s="158" t="str">
        <f t="shared" si="39"/>
        <v>1w</v>
      </c>
      <c r="X1794" s="168">
        <f>_xll.qlCalendarAdvance(Calendar,X1793,W1794,"f",FALSE)</f>
        <v>51642</v>
      </c>
      <c r="Y1794" s="173">
        <f>_xll.qlCalendarAdvance(Calendar,X1794,NDays&amp;"D")</f>
        <v>51642</v>
      </c>
      <c r="Z1794" s="174">
        <v>2.0896784030480786E-2</v>
      </c>
      <c r="AA1794" s="177"/>
    </row>
    <row r="1795" spans="22:27" x14ac:dyDescent="0.2">
      <c r="V1795" s="163"/>
      <c r="W1795" s="158" t="str">
        <f t="shared" si="39"/>
        <v>1w</v>
      </c>
      <c r="X1795" s="168">
        <f>_xll.qlCalendarAdvance(Calendar,X1794,W1795,"f",FALSE)</f>
        <v>51649</v>
      </c>
      <c r="Y1795" s="173">
        <f>_xll.qlCalendarAdvance(Calendar,X1795,NDays&amp;"D")</f>
        <v>51649</v>
      </c>
      <c r="Z1795" s="174">
        <v>2.0895325800410758E-2</v>
      </c>
      <c r="AA1795" s="177"/>
    </row>
    <row r="1796" spans="22:27" x14ac:dyDescent="0.2">
      <c r="V1796" s="163"/>
      <c r="W1796" s="158" t="str">
        <f t="shared" si="39"/>
        <v>1w</v>
      </c>
      <c r="X1796" s="168">
        <f>_xll.qlCalendarAdvance(Calendar,X1795,W1796,"f",FALSE)</f>
        <v>51656</v>
      </c>
      <c r="Y1796" s="173">
        <f>_xll.qlCalendarAdvance(Calendar,X1796,NDays&amp;"D")</f>
        <v>51656</v>
      </c>
      <c r="Z1796" s="174">
        <v>2.0893876477570128E-2</v>
      </c>
      <c r="AA1796" s="177"/>
    </row>
    <row r="1797" spans="22:27" x14ac:dyDescent="0.2">
      <c r="V1797" s="163"/>
      <c r="W1797" s="158" t="str">
        <f t="shared" si="39"/>
        <v>1w</v>
      </c>
      <c r="X1797" s="168">
        <f>_xll.qlCalendarAdvance(Calendar,X1796,W1797,"f",FALSE)</f>
        <v>51663</v>
      </c>
      <c r="Y1797" s="173">
        <f>_xll.qlCalendarAdvance(Calendar,X1797,NDays&amp;"D")</f>
        <v>51663</v>
      </c>
      <c r="Z1797" s="174">
        <v>2.089243606187785E-2</v>
      </c>
      <c r="AA1797" s="177"/>
    </row>
    <row r="1798" spans="22:27" x14ac:dyDescent="0.2">
      <c r="V1798" s="163"/>
      <c r="W1798" s="158" t="str">
        <f t="shared" si="39"/>
        <v>1w</v>
      </c>
      <c r="X1798" s="168">
        <f>_xll.qlCalendarAdvance(Calendar,X1797,W1798,"f",FALSE)</f>
        <v>51670</v>
      </c>
      <c r="Y1798" s="173">
        <f>_xll.qlCalendarAdvance(Calendar,X1798,NDays&amp;"D")</f>
        <v>51670</v>
      </c>
      <c r="Z1798" s="174">
        <v>2.0891004553414971E-2</v>
      </c>
      <c r="AA1798" s="177"/>
    </row>
    <row r="1799" spans="22:27" x14ac:dyDescent="0.2">
      <c r="V1799" s="163"/>
      <c r="W1799" s="158" t="str">
        <f t="shared" si="39"/>
        <v>1w</v>
      </c>
      <c r="X1799" s="168">
        <f>_xll.qlCalendarAdvance(Calendar,X1798,W1799,"f",FALSE)</f>
        <v>51677</v>
      </c>
      <c r="Y1799" s="173">
        <f>_xll.qlCalendarAdvance(Calendar,X1799,NDays&amp;"D")</f>
        <v>51677</v>
      </c>
      <c r="Z1799" s="174">
        <v>2.0889581952019398E-2</v>
      </c>
      <c r="AA1799" s="177"/>
    </row>
    <row r="1800" spans="22:27" x14ac:dyDescent="0.2">
      <c r="V1800" s="163"/>
      <c r="W1800" s="158" t="str">
        <f t="shared" si="39"/>
        <v>1w</v>
      </c>
      <c r="X1800" s="168">
        <f>_xll.qlCalendarAdvance(Calendar,X1799,W1800,"f",FALSE)</f>
        <v>51684</v>
      </c>
      <c r="Y1800" s="173">
        <f>_xll.qlCalendarAdvance(Calendar,X1800,NDays&amp;"D")</f>
        <v>51684</v>
      </c>
      <c r="Z1800" s="174">
        <v>2.0888168257853224E-2</v>
      </c>
      <c r="AA1800" s="177"/>
    </row>
    <row r="1801" spans="22:27" x14ac:dyDescent="0.2">
      <c r="V1801" s="163"/>
      <c r="W1801" s="158" t="str">
        <f t="shared" si="39"/>
        <v>1w</v>
      </c>
      <c r="X1801" s="168">
        <f>_xll.qlCalendarAdvance(Calendar,X1800,W1801,"f",FALSE)</f>
        <v>51691</v>
      </c>
      <c r="Y1801" s="173">
        <f>_xll.qlCalendarAdvance(Calendar,X1801,NDays&amp;"D")</f>
        <v>51691</v>
      </c>
      <c r="Z1801" s="174">
        <v>2.0886763470916447E-2</v>
      </c>
      <c r="AA1801" s="177"/>
    </row>
    <row r="1802" spans="22:27" x14ac:dyDescent="0.2">
      <c r="V1802" s="163"/>
      <c r="W1802" s="158" t="str">
        <f t="shared" si="39"/>
        <v>1w</v>
      </c>
      <c r="X1802" s="168">
        <f>_xll.qlCalendarAdvance(Calendar,X1801,W1802,"f",FALSE)</f>
        <v>51698</v>
      </c>
      <c r="Y1802" s="173">
        <f>_xll.qlCalendarAdvance(Calendar,X1802,NDays&amp;"D")</f>
        <v>51698</v>
      </c>
      <c r="Z1802" s="174">
        <v>2.0885367590965931E-2</v>
      </c>
      <c r="AA1802" s="177"/>
    </row>
    <row r="1803" spans="22:27" x14ac:dyDescent="0.2">
      <c r="V1803" s="163"/>
      <c r="W1803" s="158" t="str">
        <f t="shared" si="39"/>
        <v>1w</v>
      </c>
      <c r="X1803" s="168">
        <f>_xll.qlCalendarAdvance(Calendar,X1802,W1803,"f",FALSE)</f>
        <v>51705</v>
      </c>
      <c r="Y1803" s="173">
        <f>_xll.qlCalendarAdvance(Calendar,X1803,NDays&amp;"D")</f>
        <v>51705</v>
      </c>
      <c r="Z1803" s="174">
        <v>2.0883980618487952E-2</v>
      </c>
      <c r="AA1803" s="177"/>
    </row>
    <row r="1804" spans="22:27" x14ac:dyDescent="0.2">
      <c r="V1804" s="163"/>
      <c r="W1804" s="158" t="str">
        <f t="shared" si="39"/>
        <v>1w</v>
      </c>
      <c r="X1804" s="168">
        <f>_xll.qlCalendarAdvance(Calendar,X1803,W1804,"f",FALSE)</f>
        <v>51712</v>
      </c>
      <c r="Y1804" s="173">
        <f>_xll.qlCalendarAdvance(Calendar,X1804,NDays&amp;"D")</f>
        <v>51712</v>
      </c>
      <c r="Z1804" s="174">
        <v>2.0882602552915186E-2</v>
      </c>
      <c r="AA1804" s="177"/>
    </row>
    <row r="1805" spans="22:27" x14ac:dyDescent="0.2">
      <c r="V1805" s="163"/>
      <c r="W1805" s="158" t="str">
        <f t="shared" ref="W1805:W1868" si="40">W1804</f>
        <v>1w</v>
      </c>
      <c r="X1805" s="168">
        <f>_xll.qlCalendarAdvance(Calendar,X1804,W1805,"f",FALSE)</f>
        <v>51719</v>
      </c>
      <c r="Y1805" s="173">
        <f>_xll.qlCalendarAdvance(Calendar,X1805,NDays&amp;"D")</f>
        <v>51719</v>
      </c>
      <c r="Z1805" s="174">
        <v>2.0881233394490772E-2</v>
      </c>
      <c r="AA1805" s="177"/>
    </row>
    <row r="1806" spans="22:27" x14ac:dyDescent="0.2">
      <c r="V1806" s="163"/>
      <c r="W1806" s="158" t="str">
        <f t="shared" si="40"/>
        <v>1w</v>
      </c>
      <c r="X1806" s="168">
        <f>_xll.qlCalendarAdvance(Calendar,X1805,W1806,"f",FALSE)</f>
        <v>51726</v>
      </c>
      <c r="Y1806" s="173">
        <f>_xll.qlCalendarAdvance(Calendar,X1806,NDays&amp;"D")</f>
        <v>51726</v>
      </c>
      <c r="Z1806" s="174">
        <v>2.0879873143376804E-2</v>
      </c>
      <c r="AA1806" s="177"/>
    </row>
    <row r="1807" spans="22:27" x14ac:dyDescent="0.2">
      <c r="V1807" s="163"/>
      <c r="W1807" s="158" t="str">
        <f t="shared" si="40"/>
        <v>1w</v>
      </c>
      <c r="X1807" s="168">
        <f>_xll.qlCalendarAdvance(Calendar,X1806,W1807,"f",FALSE)</f>
        <v>51733</v>
      </c>
      <c r="Y1807" s="173">
        <f>_xll.qlCalendarAdvance(Calendar,X1807,NDays&amp;"D")</f>
        <v>51733</v>
      </c>
      <c r="Z1807" s="174">
        <v>2.0878521799411187E-2</v>
      </c>
      <c r="AA1807" s="177"/>
    </row>
    <row r="1808" spans="22:27" x14ac:dyDescent="0.2">
      <c r="V1808" s="163"/>
      <c r="W1808" s="158" t="str">
        <f t="shared" si="40"/>
        <v>1w</v>
      </c>
      <c r="X1808" s="168">
        <f>_xll.qlCalendarAdvance(Calendar,X1807,W1808,"f",FALSE)</f>
        <v>51740</v>
      </c>
      <c r="Y1808" s="173">
        <f>_xll.qlCalendarAdvance(Calendar,X1808,NDays&amp;"D")</f>
        <v>51740</v>
      </c>
      <c r="Z1808" s="174">
        <v>2.0877179362512877E-2</v>
      </c>
      <c r="AA1808" s="177"/>
    </row>
    <row r="1809" spans="22:27" x14ac:dyDescent="0.2">
      <c r="V1809" s="163"/>
      <c r="W1809" s="158" t="str">
        <f t="shared" si="40"/>
        <v>1w</v>
      </c>
      <c r="X1809" s="168">
        <f>_xll.qlCalendarAdvance(Calendar,X1808,W1809,"f",FALSE)</f>
        <v>51747</v>
      </c>
      <c r="Y1809" s="173">
        <f>_xll.qlCalendarAdvance(Calendar,X1809,NDays&amp;"D")</f>
        <v>51747</v>
      </c>
      <c r="Z1809" s="174">
        <v>2.0875845833006057E-2</v>
      </c>
      <c r="AA1809" s="177"/>
    </row>
    <row r="1810" spans="22:27" x14ac:dyDescent="0.2">
      <c r="V1810" s="163"/>
      <c r="W1810" s="158" t="str">
        <f t="shared" si="40"/>
        <v>1w</v>
      </c>
      <c r="X1810" s="168">
        <f>_xll.qlCalendarAdvance(Calendar,X1809,W1810,"f",FALSE)</f>
        <v>51754</v>
      </c>
      <c r="Y1810" s="173">
        <f>_xll.qlCalendarAdvance(Calendar,X1810,NDays&amp;"D")</f>
        <v>51754</v>
      </c>
      <c r="Z1810" s="174">
        <v>2.0874521210566543E-2</v>
      </c>
      <c r="AA1810" s="177"/>
    </row>
    <row r="1811" spans="22:27" x14ac:dyDescent="0.2">
      <c r="V1811" s="163"/>
      <c r="W1811" s="158" t="str">
        <f t="shared" si="40"/>
        <v>1w</v>
      </c>
      <c r="X1811" s="168">
        <f>_xll.qlCalendarAdvance(Calendar,X1810,W1811,"f",FALSE)</f>
        <v>51761</v>
      </c>
      <c r="Y1811" s="173">
        <f>_xll.qlCalendarAdvance(Calendar,X1811,NDays&amp;"D")</f>
        <v>51761</v>
      </c>
      <c r="Z1811" s="174">
        <v>2.0873205495194336E-2</v>
      </c>
      <c r="AA1811" s="177"/>
    </row>
    <row r="1812" spans="22:27" x14ac:dyDescent="0.2">
      <c r="V1812" s="163"/>
      <c r="W1812" s="158" t="str">
        <f t="shared" si="40"/>
        <v>1w</v>
      </c>
      <c r="X1812" s="168">
        <f>_xll.qlCalendarAdvance(Calendar,X1811,W1812,"f",FALSE)</f>
        <v>51768</v>
      </c>
      <c r="Y1812" s="173">
        <f>_xll.qlCalendarAdvance(Calendar,X1812,NDays&amp;"D")</f>
        <v>51768</v>
      </c>
      <c r="Z1812" s="174">
        <v>2.0871898687051527E-2</v>
      </c>
      <c r="AA1812" s="177"/>
    </row>
    <row r="1813" spans="22:27" x14ac:dyDescent="0.2">
      <c r="V1813" s="163"/>
      <c r="W1813" s="158" t="str">
        <f t="shared" si="40"/>
        <v>1w</v>
      </c>
      <c r="X1813" s="168">
        <f>_xll.qlCalendarAdvance(Calendar,X1812,W1813,"f",FALSE)</f>
        <v>51775</v>
      </c>
      <c r="Y1813" s="173">
        <f>_xll.qlCalendarAdvance(Calendar,X1813,NDays&amp;"D")</f>
        <v>51775</v>
      </c>
      <c r="Z1813" s="174">
        <v>2.0870600786138116E-2</v>
      </c>
      <c r="AA1813" s="177"/>
    </row>
    <row r="1814" spans="22:27" x14ac:dyDescent="0.2">
      <c r="V1814" s="163"/>
      <c r="W1814" s="158" t="str">
        <f t="shared" si="40"/>
        <v>1w</v>
      </c>
      <c r="X1814" s="168">
        <f>_xll.qlCalendarAdvance(Calendar,X1813,W1814,"f",FALSE)</f>
        <v>51782</v>
      </c>
      <c r="Y1814" s="173">
        <f>_xll.qlCalendarAdvance(Calendar,X1814,NDays&amp;"D")</f>
        <v>51782</v>
      </c>
      <c r="Z1814" s="174">
        <v>2.0869311792292011E-2</v>
      </c>
      <c r="AA1814" s="177"/>
    </row>
    <row r="1815" spans="22:27" x14ac:dyDescent="0.2">
      <c r="V1815" s="163"/>
      <c r="W1815" s="158" t="str">
        <f t="shared" si="40"/>
        <v>1w</v>
      </c>
      <c r="X1815" s="168">
        <f>_xll.qlCalendarAdvance(Calendar,X1814,W1815,"f",FALSE)</f>
        <v>51789</v>
      </c>
      <c r="Y1815" s="173">
        <f>_xll.qlCalendarAdvance(Calendar,X1815,NDays&amp;"D")</f>
        <v>51789</v>
      </c>
      <c r="Z1815" s="174">
        <v>2.0868031705594259E-2</v>
      </c>
      <c r="AA1815" s="177"/>
    </row>
    <row r="1816" spans="22:27" x14ac:dyDescent="0.2">
      <c r="V1816" s="163"/>
      <c r="W1816" s="158" t="str">
        <f t="shared" si="40"/>
        <v>1w</v>
      </c>
      <c r="X1816" s="168">
        <f>_xll.qlCalendarAdvance(Calendar,X1815,W1816,"f",FALSE)</f>
        <v>51796</v>
      </c>
      <c r="Y1816" s="173">
        <f>_xll.qlCalendarAdvance(Calendar,X1816,NDays&amp;"D")</f>
        <v>51796</v>
      </c>
      <c r="Z1816" s="174">
        <v>2.0866760526125905E-2</v>
      </c>
      <c r="AA1816" s="177"/>
    </row>
    <row r="1817" spans="22:27" x14ac:dyDescent="0.2">
      <c r="V1817" s="163"/>
      <c r="W1817" s="158" t="str">
        <f t="shared" si="40"/>
        <v>1w</v>
      </c>
      <c r="X1817" s="168">
        <f>_xll.qlCalendarAdvance(Calendar,X1816,W1817,"f",FALSE)</f>
        <v>51803</v>
      </c>
      <c r="Y1817" s="173">
        <f>_xll.qlCalendarAdvance(Calendar,X1817,NDays&amp;"D")</f>
        <v>51803</v>
      </c>
      <c r="Z1817" s="174">
        <v>2.0865498253886949E-2</v>
      </c>
      <c r="AA1817" s="177"/>
    </row>
    <row r="1818" spans="22:27" x14ac:dyDescent="0.2">
      <c r="V1818" s="163"/>
      <c r="W1818" s="158" t="str">
        <f t="shared" si="40"/>
        <v>1w</v>
      </c>
      <c r="X1818" s="168">
        <f>_xll.qlCalendarAdvance(Calendar,X1817,W1818,"f",FALSE)</f>
        <v>51810</v>
      </c>
      <c r="Y1818" s="173">
        <f>_xll.qlCalendarAdvance(Calendar,X1818,NDays&amp;"D")</f>
        <v>51810</v>
      </c>
      <c r="Z1818" s="174">
        <v>2.08642448887153E-2</v>
      </c>
      <c r="AA1818" s="177"/>
    </row>
    <row r="1819" spans="22:27" x14ac:dyDescent="0.2">
      <c r="V1819" s="163"/>
      <c r="W1819" s="158" t="str">
        <f t="shared" si="40"/>
        <v>1w</v>
      </c>
      <c r="X1819" s="168">
        <f>_xll.qlCalendarAdvance(Calendar,X1818,W1819,"f",FALSE)</f>
        <v>51817</v>
      </c>
      <c r="Y1819" s="173">
        <f>_xll.qlCalendarAdvance(Calendar,X1819,NDays&amp;"D")</f>
        <v>51817</v>
      </c>
      <c r="Z1819" s="174">
        <v>2.0863000430854095E-2</v>
      </c>
      <c r="AA1819" s="177"/>
    </row>
    <row r="1820" spans="22:27" x14ac:dyDescent="0.2">
      <c r="V1820" s="163"/>
      <c r="W1820" s="158" t="str">
        <f t="shared" si="40"/>
        <v>1w</v>
      </c>
      <c r="X1820" s="168">
        <f>_xll.qlCalendarAdvance(Calendar,X1819,W1820,"f",FALSE)</f>
        <v>51824</v>
      </c>
      <c r="Y1820" s="173">
        <f>_xll.qlCalendarAdvance(Calendar,X1820,NDays&amp;"D")</f>
        <v>51824</v>
      </c>
      <c r="Z1820" s="174">
        <v>2.086176487997915E-2</v>
      </c>
      <c r="AA1820" s="177"/>
    </row>
    <row r="1821" spans="22:27" x14ac:dyDescent="0.2">
      <c r="V1821" s="163"/>
      <c r="W1821" s="158" t="str">
        <f t="shared" si="40"/>
        <v>1w</v>
      </c>
      <c r="X1821" s="168">
        <f>_xll.qlCalendarAdvance(Calendar,X1820,W1821,"f",FALSE)</f>
        <v>51831</v>
      </c>
      <c r="Y1821" s="173">
        <f>_xll.qlCalendarAdvance(Calendar,X1821,NDays&amp;"D")</f>
        <v>51831</v>
      </c>
      <c r="Z1821" s="174">
        <v>2.086053823641465E-2</v>
      </c>
      <c r="AA1821" s="177"/>
    </row>
    <row r="1822" spans="22:27" x14ac:dyDescent="0.2">
      <c r="V1822" s="163"/>
      <c r="W1822" s="158" t="str">
        <f t="shared" si="40"/>
        <v>1w</v>
      </c>
      <c r="X1822" s="168">
        <f>_xll.qlCalendarAdvance(Calendar,X1821,W1822,"f",FALSE)</f>
        <v>51838</v>
      </c>
      <c r="Y1822" s="173">
        <f>_xll.qlCalendarAdvance(Calendar,X1822,NDays&amp;"D")</f>
        <v>51838</v>
      </c>
      <c r="Z1822" s="174">
        <v>2.0859320499917455E-2</v>
      </c>
      <c r="AA1822" s="177"/>
    </row>
    <row r="1823" spans="22:27" x14ac:dyDescent="0.2">
      <c r="V1823" s="163"/>
      <c r="W1823" s="158" t="str">
        <f t="shared" si="40"/>
        <v>1w</v>
      </c>
      <c r="X1823" s="168">
        <f>_xll.qlCalendarAdvance(Calendar,X1822,W1823,"f",FALSE)</f>
        <v>51845</v>
      </c>
      <c r="Y1823" s="173">
        <f>_xll.qlCalendarAdvance(Calendar,X1823,NDays&amp;"D")</f>
        <v>51845</v>
      </c>
      <c r="Z1823" s="174">
        <v>2.0858111670568613E-2</v>
      </c>
      <c r="AA1823" s="177"/>
    </row>
    <row r="1824" spans="22:27" x14ac:dyDescent="0.2">
      <c r="V1824" s="163"/>
      <c r="W1824" s="158" t="str">
        <f t="shared" si="40"/>
        <v>1w</v>
      </c>
      <c r="X1824" s="168">
        <f>_xll.qlCalendarAdvance(Calendar,X1823,W1824,"f",FALSE)</f>
        <v>51852</v>
      </c>
      <c r="Y1824" s="173">
        <f>_xll.qlCalendarAdvance(Calendar,X1824,NDays&amp;"D")</f>
        <v>51852</v>
      </c>
      <c r="Z1824" s="174">
        <v>2.085691174844917E-2</v>
      </c>
      <c r="AA1824" s="177"/>
    </row>
    <row r="1825" spans="22:27" x14ac:dyDescent="0.2">
      <c r="V1825" s="163"/>
      <c r="W1825" s="158" t="str">
        <f t="shared" si="40"/>
        <v>1w</v>
      </c>
      <c r="X1825" s="168">
        <f>_xll.qlCalendarAdvance(Calendar,X1824,W1825,"f",FALSE)</f>
        <v>51859</v>
      </c>
      <c r="Y1825" s="173">
        <f>_xll.qlCalendarAdvance(Calendar,X1825,NDays&amp;"D")</f>
        <v>51859</v>
      </c>
      <c r="Z1825" s="174">
        <v>2.0855720733478078E-2</v>
      </c>
      <c r="AA1825" s="177"/>
    </row>
    <row r="1826" spans="22:27" x14ac:dyDescent="0.2">
      <c r="V1826" s="163"/>
      <c r="W1826" s="158" t="str">
        <f t="shared" si="40"/>
        <v>1w</v>
      </c>
      <c r="X1826" s="168">
        <f>_xll.qlCalendarAdvance(Calendar,X1825,W1826,"f",FALSE)</f>
        <v>51872</v>
      </c>
      <c r="Y1826" s="173">
        <f>_xll.qlCalendarAdvance(Calendar,X1826,NDays&amp;"D")</f>
        <v>51872</v>
      </c>
      <c r="Z1826" s="174">
        <v>2.0853532479844228E-2</v>
      </c>
      <c r="AA1826" s="177"/>
    </row>
    <row r="1827" spans="22:27" x14ac:dyDescent="0.2">
      <c r="V1827" s="163"/>
      <c r="W1827" s="158" t="str">
        <f t="shared" si="40"/>
        <v>1w</v>
      </c>
      <c r="X1827" s="168">
        <f>_xll.qlCalendarAdvance(Calendar,X1826,W1827,"f",FALSE)</f>
        <v>51880</v>
      </c>
      <c r="Y1827" s="173">
        <f>_xll.qlCalendarAdvance(Calendar,X1827,NDays&amp;"D")</f>
        <v>51880</v>
      </c>
      <c r="Z1827" s="174">
        <v>2.085220113161701E-2</v>
      </c>
      <c r="AA1827" s="177"/>
    </row>
    <row r="1828" spans="22:27" x14ac:dyDescent="0.2">
      <c r="V1828" s="163"/>
      <c r="W1828" s="158" t="str">
        <f t="shared" si="40"/>
        <v>1w</v>
      </c>
      <c r="X1828" s="168">
        <f>_xll.qlCalendarAdvance(Calendar,X1827,W1828,"f",FALSE)</f>
        <v>51887</v>
      </c>
      <c r="Y1828" s="173">
        <f>_xll.qlCalendarAdvance(Calendar,X1828,NDays&amp;"D")</f>
        <v>51887</v>
      </c>
      <c r="Z1828" s="174">
        <v>2.0851045745320373E-2</v>
      </c>
      <c r="AA1828" s="177"/>
    </row>
    <row r="1829" spans="22:27" x14ac:dyDescent="0.2">
      <c r="V1829" s="163"/>
      <c r="W1829" s="158" t="str">
        <f t="shared" si="40"/>
        <v>1w</v>
      </c>
      <c r="X1829" s="168">
        <f>_xll.qlCalendarAdvance(Calendar,X1828,W1829,"f",FALSE)</f>
        <v>51894</v>
      </c>
      <c r="Y1829" s="173">
        <f>_xll.qlCalendarAdvance(Calendar,X1829,NDays&amp;"D")</f>
        <v>51894</v>
      </c>
      <c r="Z1829" s="174">
        <v>2.0849899266172089E-2</v>
      </c>
      <c r="AA1829" s="177"/>
    </row>
    <row r="1830" spans="22:27" x14ac:dyDescent="0.2">
      <c r="V1830" s="163"/>
      <c r="W1830" s="158" t="str">
        <f t="shared" si="40"/>
        <v>1w</v>
      </c>
      <c r="X1830" s="168">
        <f>_xll.qlCalendarAdvance(Calendar,X1829,W1830,"f",FALSE)</f>
        <v>51901</v>
      </c>
      <c r="Y1830" s="173">
        <f>_xll.qlCalendarAdvance(Calendar,X1830,NDays&amp;"D")</f>
        <v>51901</v>
      </c>
      <c r="Z1830" s="174">
        <v>2.0848761694253204E-2</v>
      </c>
      <c r="AA1830" s="177"/>
    </row>
    <row r="1831" spans="22:27" x14ac:dyDescent="0.2">
      <c r="V1831" s="163"/>
      <c r="W1831" s="158" t="str">
        <f t="shared" si="40"/>
        <v>1w</v>
      </c>
      <c r="X1831" s="168">
        <f>_xll.qlCalendarAdvance(Calendar,X1830,W1831,"f",FALSE)</f>
        <v>51909</v>
      </c>
      <c r="Y1831" s="173">
        <f>_xll.qlCalendarAdvance(Calendar,X1831,NDays&amp;"D")</f>
        <v>51909</v>
      </c>
      <c r="Z1831" s="174">
        <v>2.0847472518782384E-2</v>
      </c>
      <c r="AA1831" s="177"/>
    </row>
    <row r="1832" spans="22:27" x14ac:dyDescent="0.2">
      <c r="V1832" s="163"/>
      <c r="W1832" s="158" t="str">
        <f t="shared" si="40"/>
        <v>1w</v>
      </c>
      <c r="X1832" s="168">
        <f>_xll.qlCalendarAdvance(Calendar,X1831,W1832,"f",FALSE)</f>
        <v>51916</v>
      </c>
      <c r="Y1832" s="173">
        <f>_xll.qlCalendarAdvance(Calendar,X1832,NDays&amp;"D")</f>
        <v>51916</v>
      </c>
      <c r="Z1832" s="174">
        <v>2.0846354033586811E-2</v>
      </c>
      <c r="AA1832" s="177"/>
    </row>
    <row r="1833" spans="22:27" x14ac:dyDescent="0.2">
      <c r="V1833" s="163"/>
      <c r="W1833" s="158" t="str">
        <f t="shared" si="40"/>
        <v>1w</v>
      </c>
      <c r="X1833" s="168">
        <f>_xll.qlCalendarAdvance(Calendar,X1832,W1833,"f",FALSE)</f>
        <v>51923</v>
      </c>
      <c r="Y1833" s="173">
        <f>_xll.qlCalendarAdvance(Calendar,X1833,NDays&amp;"D")</f>
        <v>51923</v>
      </c>
      <c r="Z1833" s="174">
        <v>2.0845244455620637E-2</v>
      </c>
      <c r="AA1833" s="177"/>
    </row>
    <row r="1834" spans="22:27" x14ac:dyDescent="0.2">
      <c r="V1834" s="163"/>
      <c r="W1834" s="158" t="str">
        <f t="shared" si="40"/>
        <v>1w</v>
      </c>
      <c r="X1834" s="168">
        <f>_xll.qlCalendarAdvance(Calendar,X1833,W1834,"f",FALSE)</f>
        <v>51930</v>
      </c>
      <c r="Y1834" s="173">
        <f>_xll.qlCalendarAdvance(Calendar,X1834,NDays&amp;"D")</f>
        <v>51930</v>
      </c>
      <c r="Z1834" s="174">
        <v>2.0844143784721769E-2</v>
      </c>
      <c r="AA1834" s="177"/>
    </row>
    <row r="1835" spans="22:27" x14ac:dyDescent="0.2">
      <c r="V1835" s="163"/>
      <c r="W1835" s="158" t="str">
        <f t="shared" si="40"/>
        <v>1w</v>
      </c>
      <c r="X1835" s="168">
        <f>_xll.qlCalendarAdvance(Calendar,X1834,W1835,"f",FALSE)</f>
        <v>51937</v>
      </c>
      <c r="Y1835" s="173">
        <f>_xll.qlCalendarAdvance(Calendar,X1835,NDays&amp;"D")</f>
        <v>51937</v>
      </c>
      <c r="Z1835" s="174">
        <v>2.08430520210523E-2</v>
      </c>
      <c r="AA1835" s="177"/>
    </row>
    <row r="1836" spans="22:27" x14ac:dyDescent="0.2">
      <c r="V1836" s="163"/>
      <c r="W1836" s="158" t="str">
        <f t="shared" si="40"/>
        <v>1w</v>
      </c>
      <c r="X1836" s="168">
        <f>_xll.qlCalendarAdvance(Calendar,X1835,W1836,"f",FALSE)</f>
        <v>51944</v>
      </c>
      <c r="Y1836" s="173">
        <f>_xll.qlCalendarAdvance(Calendar,X1836,NDays&amp;"D")</f>
        <v>51944</v>
      </c>
      <c r="Z1836" s="174">
        <v>2.0842487228405204E-2</v>
      </c>
      <c r="AA1836" s="177"/>
    </row>
    <row r="1837" spans="22:27" x14ac:dyDescent="0.2">
      <c r="V1837" s="163"/>
      <c r="W1837" s="158" t="str">
        <f t="shared" si="40"/>
        <v>1w</v>
      </c>
      <c r="X1837" s="168">
        <f>_xll.qlCalendarAdvance(Calendar,X1836,W1837,"f",FALSE)</f>
        <v>51951</v>
      </c>
      <c r="Y1837" s="173">
        <f>_xll.qlCalendarAdvance(Calendar,X1837,NDays&amp;"D")</f>
        <v>51951</v>
      </c>
      <c r="Z1837" s="174">
        <v>2.0840895215158417E-2</v>
      </c>
      <c r="AA1837" s="177"/>
    </row>
    <row r="1838" spans="22:27" x14ac:dyDescent="0.2">
      <c r="V1838" s="163"/>
      <c r="W1838" s="158" t="str">
        <f t="shared" si="40"/>
        <v>1w</v>
      </c>
      <c r="X1838" s="168">
        <f>_xll.qlCalendarAdvance(Calendar,X1837,W1838,"f",FALSE)</f>
        <v>51958</v>
      </c>
      <c r="Y1838" s="173">
        <f>_xll.qlCalendarAdvance(Calendar,X1838,NDays&amp;"D")</f>
        <v>51958</v>
      </c>
      <c r="Z1838" s="174">
        <v>2.083983017301505E-2</v>
      </c>
      <c r="AA1838" s="177"/>
    </row>
    <row r="1839" spans="22:27" x14ac:dyDescent="0.2">
      <c r="V1839" s="163"/>
      <c r="W1839" s="158" t="str">
        <f t="shared" si="40"/>
        <v>1w</v>
      </c>
      <c r="X1839" s="168">
        <f>_xll.qlCalendarAdvance(Calendar,X1838,W1839,"f",FALSE)</f>
        <v>51965</v>
      </c>
      <c r="Y1839" s="173">
        <f>_xll.qlCalendarAdvance(Calendar,X1839,NDays&amp;"D")</f>
        <v>51965</v>
      </c>
      <c r="Z1839" s="174">
        <v>2.083877403793899E-2</v>
      </c>
      <c r="AA1839" s="177"/>
    </row>
    <row r="1840" spans="22:27" x14ac:dyDescent="0.2">
      <c r="V1840" s="163"/>
      <c r="W1840" s="158" t="str">
        <f t="shared" si="40"/>
        <v>1w</v>
      </c>
      <c r="X1840" s="168">
        <f>_xll.qlCalendarAdvance(Calendar,X1839,W1840,"f",FALSE)</f>
        <v>51972</v>
      </c>
      <c r="Y1840" s="173">
        <f>_xll.qlCalendarAdvance(Calendar,X1840,NDays&amp;"D")</f>
        <v>51972</v>
      </c>
      <c r="Z1840" s="174">
        <v>2.0837726810173374E-2</v>
      </c>
      <c r="AA1840" s="177"/>
    </row>
    <row r="1841" spans="22:27" x14ac:dyDescent="0.2">
      <c r="V1841" s="163"/>
      <c r="W1841" s="158" t="str">
        <f t="shared" si="40"/>
        <v>1w</v>
      </c>
      <c r="X1841" s="168">
        <f>_xll.qlCalendarAdvance(Calendar,X1840,W1841,"f",FALSE)</f>
        <v>51979</v>
      </c>
      <c r="Y1841" s="173">
        <f>_xll.qlCalendarAdvance(Calendar,X1841,NDays&amp;"D")</f>
        <v>51979</v>
      </c>
      <c r="Z1841" s="174">
        <v>2.0836688489475064E-2</v>
      </c>
      <c r="AA1841" s="177"/>
    </row>
    <row r="1842" spans="22:27" x14ac:dyDescent="0.2">
      <c r="V1842" s="163"/>
      <c r="W1842" s="158" t="str">
        <f t="shared" si="40"/>
        <v>1w</v>
      </c>
      <c r="X1842" s="168">
        <f>_xll.qlCalendarAdvance(Calendar,X1841,W1842,"f",FALSE)</f>
        <v>51986</v>
      </c>
      <c r="Y1842" s="173">
        <f>_xll.qlCalendarAdvance(Calendar,X1842,NDays&amp;"D")</f>
        <v>51986</v>
      </c>
      <c r="Z1842" s="174">
        <v>2.0835659075925106E-2</v>
      </c>
      <c r="AA1842" s="177"/>
    </row>
    <row r="1843" spans="22:27" x14ac:dyDescent="0.2">
      <c r="V1843" s="163"/>
      <c r="W1843" s="158" t="str">
        <f t="shared" si="40"/>
        <v>1w</v>
      </c>
      <c r="X1843" s="168">
        <f>_xll.qlCalendarAdvance(Calendar,X1842,W1843,"f",FALSE)</f>
        <v>51993</v>
      </c>
      <c r="Y1843" s="173">
        <f>_xll.qlCalendarAdvance(Calendar,X1843,NDays&amp;"D")</f>
        <v>51993</v>
      </c>
      <c r="Z1843" s="174">
        <v>2.0834638569604547E-2</v>
      </c>
      <c r="AA1843" s="177"/>
    </row>
    <row r="1844" spans="22:27" x14ac:dyDescent="0.2">
      <c r="V1844" s="163"/>
      <c r="W1844" s="158" t="str">
        <f t="shared" si="40"/>
        <v>1w</v>
      </c>
      <c r="X1844" s="168">
        <f>_xll.qlCalendarAdvance(Calendar,X1843,W1844,"f",FALSE)</f>
        <v>52000</v>
      </c>
      <c r="Y1844" s="173">
        <f>_xll.qlCalendarAdvance(Calendar,X1844,NDays&amp;"D")</f>
        <v>52000</v>
      </c>
      <c r="Z1844" s="174">
        <v>2.0833626970351293E-2</v>
      </c>
      <c r="AA1844" s="177"/>
    </row>
    <row r="1845" spans="22:27" x14ac:dyDescent="0.2">
      <c r="V1845" s="163"/>
      <c r="W1845" s="158" t="str">
        <f t="shared" si="40"/>
        <v>1w</v>
      </c>
      <c r="X1845" s="168">
        <f>_xll.qlCalendarAdvance(Calendar,X1844,W1845,"f",FALSE)</f>
        <v>52007</v>
      </c>
      <c r="Y1845" s="173">
        <f>_xll.qlCalendarAdvance(Calendar,X1845,NDays&amp;"D")</f>
        <v>52007</v>
      </c>
      <c r="Z1845" s="174">
        <v>2.0832624278408485E-2</v>
      </c>
      <c r="AA1845" s="177"/>
    </row>
    <row r="1846" spans="22:27" x14ac:dyDescent="0.2">
      <c r="V1846" s="163"/>
      <c r="W1846" s="158" t="str">
        <f t="shared" si="40"/>
        <v>1w</v>
      </c>
      <c r="X1846" s="168">
        <f>_xll.qlCalendarAdvance(Calendar,X1845,W1846,"f",FALSE)</f>
        <v>52014</v>
      </c>
      <c r="Y1846" s="173">
        <f>_xll.qlCalendarAdvance(Calendar,X1846,NDays&amp;"D")</f>
        <v>52014</v>
      </c>
      <c r="Z1846" s="174">
        <v>2.0831630493532982E-2</v>
      </c>
      <c r="AA1846" s="177"/>
    </row>
    <row r="1847" spans="22:27" x14ac:dyDescent="0.2">
      <c r="V1847" s="163"/>
      <c r="W1847" s="158" t="str">
        <f t="shared" si="40"/>
        <v>1w</v>
      </c>
      <c r="X1847" s="168">
        <f>_xll.qlCalendarAdvance(Calendar,X1846,W1847,"f",FALSE)</f>
        <v>52021</v>
      </c>
      <c r="Y1847" s="173">
        <f>_xll.qlCalendarAdvance(Calendar,X1847,NDays&amp;"D")</f>
        <v>52021</v>
      </c>
      <c r="Z1847" s="174">
        <v>2.0830645615805832E-2</v>
      </c>
      <c r="AA1847" s="177"/>
    </row>
    <row r="1848" spans="22:27" x14ac:dyDescent="0.2">
      <c r="V1848" s="163"/>
      <c r="W1848" s="158" t="str">
        <f t="shared" si="40"/>
        <v>1w</v>
      </c>
      <c r="X1848" s="168">
        <f>_xll.qlCalendarAdvance(Calendar,X1847,W1848,"f",FALSE)</f>
        <v>52028</v>
      </c>
      <c r="Y1848" s="173">
        <f>_xll.qlCalendarAdvance(Calendar,X1848,NDays&amp;"D")</f>
        <v>52028</v>
      </c>
      <c r="Z1848" s="174">
        <v>2.0829669645389126E-2</v>
      </c>
      <c r="AA1848" s="177"/>
    </row>
    <row r="1849" spans="22:27" x14ac:dyDescent="0.2">
      <c r="V1849" s="163"/>
      <c r="W1849" s="158" t="str">
        <f t="shared" si="40"/>
        <v>1w</v>
      </c>
      <c r="X1849" s="168">
        <f>_xll.qlCalendarAdvance(Calendar,X1848,W1849,"f",FALSE)</f>
        <v>52035</v>
      </c>
      <c r="Y1849" s="173">
        <f>_xll.qlCalendarAdvance(Calendar,X1849,NDays&amp;"D")</f>
        <v>52035</v>
      </c>
      <c r="Z1849" s="174">
        <v>2.082870258195868E-2</v>
      </c>
      <c r="AA1849" s="177"/>
    </row>
    <row r="1850" spans="22:27" x14ac:dyDescent="0.2">
      <c r="V1850" s="163"/>
      <c r="W1850" s="158" t="str">
        <f t="shared" si="40"/>
        <v>1w</v>
      </c>
      <c r="X1850" s="168">
        <f>_xll.qlCalendarAdvance(Calendar,X1849,W1850,"f",FALSE)</f>
        <v>52042</v>
      </c>
      <c r="Y1850" s="173">
        <f>_xll.qlCalendarAdvance(Calendar,X1850,NDays&amp;"D")</f>
        <v>52042</v>
      </c>
      <c r="Z1850" s="174">
        <v>2.0827744425838679E-2</v>
      </c>
      <c r="AA1850" s="177"/>
    </row>
    <row r="1851" spans="22:27" x14ac:dyDescent="0.2">
      <c r="V1851" s="163"/>
      <c r="W1851" s="158" t="str">
        <f t="shared" si="40"/>
        <v>1w</v>
      </c>
      <c r="X1851" s="168">
        <f>_xll.qlCalendarAdvance(Calendar,X1850,W1851,"f",FALSE)</f>
        <v>52049</v>
      </c>
      <c r="Y1851" s="173">
        <f>_xll.qlCalendarAdvance(Calendar,X1851,NDays&amp;"D")</f>
        <v>52049</v>
      </c>
      <c r="Z1851" s="174">
        <v>2.0826795176704938E-2</v>
      </c>
      <c r="AA1851" s="177"/>
    </row>
    <row r="1852" spans="22:27" x14ac:dyDescent="0.2">
      <c r="V1852" s="163"/>
      <c r="W1852" s="158" t="str">
        <f t="shared" si="40"/>
        <v>1w</v>
      </c>
      <c r="X1852" s="168">
        <f>_xll.qlCalendarAdvance(Calendar,X1851,W1852,"f",FALSE)</f>
        <v>52056</v>
      </c>
      <c r="Y1852" s="173">
        <f>_xll.qlCalendarAdvance(Calendar,X1852,NDays&amp;"D")</f>
        <v>52056</v>
      </c>
      <c r="Z1852" s="174">
        <v>2.0825854834962687E-2</v>
      </c>
      <c r="AA1852" s="177"/>
    </row>
    <row r="1853" spans="22:27" x14ac:dyDescent="0.2">
      <c r="V1853" s="163"/>
      <c r="W1853" s="158" t="str">
        <f t="shared" si="40"/>
        <v>1w</v>
      </c>
      <c r="X1853" s="168">
        <f>_xll.qlCalendarAdvance(Calendar,X1852,W1853,"f",FALSE)</f>
        <v>52063</v>
      </c>
      <c r="Y1853" s="173">
        <f>_xll.qlCalendarAdvance(Calendar,X1853,NDays&amp;"D")</f>
        <v>52063</v>
      </c>
      <c r="Z1853" s="174">
        <v>2.0824923400206696E-2</v>
      </c>
      <c r="AA1853" s="177"/>
    </row>
    <row r="1854" spans="22:27" x14ac:dyDescent="0.2">
      <c r="V1854" s="163"/>
      <c r="W1854" s="158" t="str">
        <f t="shared" si="40"/>
        <v>1w</v>
      </c>
      <c r="X1854" s="168">
        <f>_xll.qlCalendarAdvance(Calendar,X1853,W1854,"f",FALSE)</f>
        <v>52070</v>
      </c>
      <c r="Y1854" s="173">
        <f>_xll.qlCalendarAdvance(Calendar,X1854,NDays&amp;"D")</f>
        <v>52070</v>
      </c>
      <c r="Z1854" s="174">
        <v>2.0824000872680104E-2</v>
      </c>
      <c r="AA1854" s="177"/>
    </row>
    <row r="1855" spans="22:27" x14ac:dyDescent="0.2">
      <c r="V1855" s="163"/>
      <c r="W1855" s="158" t="str">
        <f t="shared" si="40"/>
        <v>1w</v>
      </c>
      <c r="X1855" s="168">
        <f>_xll.qlCalendarAdvance(Calendar,X1854,W1855,"f",FALSE)</f>
        <v>52077</v>
      </c>
      <c r="Y1855" s="173">
        <f>_xll.qlCalendarAdvance(Calendar,X1855,NDays&amp;"D")</f>
        <v>52077</v>
      </c>
      <c r="Z1855" s="174">
        <v>2.0823087252301864E-2</v>
      </c>
      <c r="AA1855" s="177"/>
    </row>
    <row r="1856" spans="22:27" x14ac:dyDescent="0.2">
      <c r="V1856" s="163"/>
      <c r="W1856" s="158" t="str">
        <f t="shared" si="40"/>
        <v>1w</v>
      </c>
      <c r="X1856" s="168">
        <f>_xll.qlCalendarAdvance(Calendar,X1855,W1856,"f",FALSE)</f>
        <v>52084</v>
      </c>
      <c r="Y1856" s="173">
        <f>_xll.qlCalendarAdvance(Calendar,X1856,NDays&amp;"D")</f>
        <v>52084</v>
      </c>
      <c r="Z1856" s="174">
        <v>2.0822182539071976E-2</v>
      </c>
      <c r="AA1856" s="177"/>
    </row>
    <row r="1857" spans="22:27" x14ac:dyDescent="0.2">
      <c r="V1857" s="163"/>
      <c r="W1857" s="158" t="str">
        <f t="shared" si="40"/>
        <v>1w</v>
      </c>
      <c r="X1857" s="168">
        <f>_xll.qlCalendarAdvance(Calendar,X1856,W1857,"f",FALSE)</f>
        <v>52091</v>
      </c>
      <c r="Y1857" s="173">
        <f>_xll.qlCalendarAdvance(Calendar,X1857,NDays&amp;"D")</f>
        <v>52091</v>
      </c>
      <c r="Z1857" s="174">
        <v>2.0821286732990441E-2</v>
      </c>
      <c r="AA1857" s="177"/>
    </row>
    <row r="1858" spans="22:27" x14ac:dyDescent="0.2">
      <c r="V1858" s="163"/>
      <c r="W1858" s="158" t="str">
        <f t="shared" si="40"/>
        <v>1w</v>
      </c>
      <c r="X1858" s="168">
        <f>_xll.qlCalendarAdvance(Calendar,X1857,W1858,"f",FALSE)</f>
        <v>52098</v>
      </c>
      <c r="Y1858" s="173">
        <f>_xll.qlCalendarAdvance(Calendar,X1858,NDays&amp;"D")</f>
        <v>52098</v>
      </c>
      <c r="Z1858" s="174">
        <v>2.082039983421935E-2</v>
      </c>
      <c r="AA1858" s="177"/>
    </row>
    <row r="1859" spans="22:27" x14ac:dyDescent="0.2">
      <c r="V1859" s="163"/>
      <c r="W1859" s="158" t="str">
        <f t="shared" si="40"/>
        <v>1w</v>
      </c>
      <c r="X1859" s="168">
        <f>_xll.qlCalendarAdvance(Calendar,X1858,W1859,"f",FALSE)</f>
        <v>52105</v>
      </c>
      <c r="Y1859" s="173">
        <f>_xll.qlCalendarAdvance(Calendar,X1859,NDays&amp;"D")</f>
        <v>52105</v>
      </c>
      <c r="Z1859" s="174">
        <v>2.0819521842434519E-2</v>
      </c>
      <c r="AA1859" s="177"/>
    </row>
    <row r="1860" spans="22:27" x14ac:dyDescent="0.2">
      <c r="V1860" s="163"/>
      <c r="W1860" s="158" t="str">
        <f t="shared" si="40"/>
        <v>1w</v>
      </c>
      <c r="X1860" s="168">
        <f>_xll.qlCalendarAdvance(Calendar,X1859,W1860,"f",FALSE)</f>
        <v>52112</v>
      </c>
      <c r="Y1860" s="173">
        <f>_xll.qlCalendarAdvance(Calendar,X1860,NDays&amp;"D")</f>
        <v>52112</v>
      </c>
      <c r="Z1860" s="174">
        <v>2.0818652757879086E-2</v>
      </c>
      <c r="AA1860" s="177"/>
    </row>
    <row r="1861" spans="22:27" x14ac:dyDescent="0.2">
      <c r="V1861" s="163"/>
      <c r="W1861" s="158" t="str">
        <f t="shared" si="40"/>
        <v>1w</v>
      </c>
      <c r="X1861" s="168">
        <f>_xll.qlCalendarAdvance(Calendar,X1860,W1861,"f",FALSE)</f>
        <v>52119</v>
      </c>
      <c r="Y1861" s="173">
        <f>_xll.qlCalendarAdvance(Calendar,X1861,NDays&amp;"D")</f>
        <v>52119</v>
      </c>
      <c r="Z1861" s="174">
        <v>2.0817792580553052E-2</v>
      </c>
      <c r="AA1861" s="177"/>
    </row>
    <row r="1862" spans="22:27" x14ac:dyDescent="0.2">
      <c r="V1862" s="163"/>
      <c r="W1862" s="158" t="str">
        <f t="shared" si="40"/>
        <v>1w</v>
      </c>
      <c r="X1862" s="168">
        <f>_xll.qlCalendarAdvance(Calendar,X1861,W1862,"f",FALSE)</f>
        <v>52126</v>
      </c>
      <c r="Y1862" s="173">
        <f>_xll.qlCalendarAdvance(Calendar,X1862,NDays&amp;"D")</f>
        <v>52126</v>
      </c>
      <c r="Z1862" s="174">
        <v>2.0816941310294323E-2</v>
      </c>
      <c r="AA1862" s="177"/>
    </row>
    <row r="1863" spans="22:27" x14ac:dyDescent="0.2">
      <c r="V1863" s="163"/>
      <c r="W1863" s="158" t="str">
        <f t="shared" si="40"/>
        <v>1w</v>
      </c>
      <c r="X1863" s="168">
        <f>_xll.qlCalendarAdvance(Calendar,X1862,W1863,"f",FALSE)</f>
        <v>52133</v>
      </c>
      <c r="Y1863" s="173">
        <f>_xll.qlCalendarAdvance(Calendar,X1863,NDays&amp;"D")</f>
        <v>52133</v>
      </c>
      <c r="Z1863" s="174">
        <v>2.081609894734604E-2</v>
      </c>
      <c r="AA1863" s="177"/>
    </row>
    <row r="1864" spans="22:27" x14ac:dyDescent="0.2">
      <c r="V1864" s="163"/>
      <c r="W1864" s="158" t="str">
        <f t="shared" si="40"/>
        <v>1w</v>
      </c>
      <c r="X1864" s="168">
        <f>_xll.qlCalendarAdvance(Calendar,X1863,W1864,"f",FALSE)</f>
        <v>52140</v>
      </c>
      <c r="Y1864" s="173">
        <f>_xll.qlCalendarAdvance(Calendar,X1864,NDays&amp;"D")</f>
        <v>52140</v>
      </c>
      <c r="Z1864" s="174">
        <v>2.0815265491384016E-2</v>
      </c>
      <c r="AA1864" s="177"/>
    </row>
    <row r="1865" spans="22:27" x14ac:dyDescent="0.2">
      <c r="V1865" s="163"/>
      <c r="W1865" s="158" t="str">
        <f t="shared" si="40"/>
        <v>1w</v>
      </c>
      <c r="X1865" s="168">
        <f>_xll.qlCalendarAdvance(Calendar,X1864,W1865,"f",FALSE)</f>
        <v>52147</v>
      </c>
      <c r="Y1865" s="173">
        <f>_xll.qlCalendarAdvance(Calendar,X1865,NDays&amp;"D")</f>
        <v>52147</v>
      </c>
      <c r="Z1865" s="174">
        <v>2.0814440942570345E-2</v>
      </c>
      <c r="AA1865" s="177"/>
    </row>
    <row r="1866" spans="22:27" x14ac:dyDescent="0.2">
      <c r="V1866" s="163"/>
      <c r="W1866" s="158" t="str">
        <f t="shared" si="40"/>
        <v>1w</v>
      </c>
      <c r="X1866" s="168">
        <f>_xll.qlCalendarAdvance(Calendar,X1865,W1866,"f",FALSE)</f>
        <v>52154</v>
      </c>
      <c r="Y1866" s="173">
        <f>_xll.qlCalendarAdvance(Calendar,X1866,NDays&amp;"D")</f>
        <v>52154</v>
      </c>
      <c r="Z1866" s="174">
        <v>2.0813625301067118E-2</v>
      </c>
      <c r="AA1866" s="177"/>
    </row>
    <row r="1867" spans="22:27" x14ac:dyDescent="0.2">
      <c r="V1867" s="163"/>
      <c r="W1867" s="158" t="str">
        <f t="shared" si="40"/>
        <v>1w</v>
      </c>
      <c r="X1867" s="168">
        <f>_xll.qlCalendarAdvance(Calendar,X1866,W1867,"f",FALSE)</f>
        <v>52161</v>
      </c>
      <c r="Y1867" s="173">
        <f>_xll.qlCalendarAdvance(Calendar,X1867,NDays&amp;"D")</f>
        <v>52161</v>
      </c>
      <c r="Z1867" s="174">
        <v>2.0812818566631197E-2</v>
      </c>
      <c r="AA1867" s="177"/>
    </row>
    <row r="1868" spans="22:27" x14ac:dyDescent="0.2">
      <c r="V1868" s="163"/>
      <c r="W1868" s="158" t="str">
        <f t="shared" si="40"/>
        <v>1w</v>
      </c>
      <c r="X1868" s="168">
        <f>_xll.qlCalendarAdvance(Calendar,X1867,W1868,"f",FALSE)</f>
        <v>52168</v>
      </c>
      <c r="Y1868" s="173">
        <f>_xll.qlCalendarAdvance(Calendar,X1868,NDays&amp;"D")</f>
        <v>52168</v>
      </c>
      <c r="Z1868" s="174">
        <v>2.0812020739424675E-2</v>
      </c>
      <c r="AA1868" s="177"/>
    </row>
    <row r="1869" spans="22:27" x14ac:dyDescent="0.2">
      <c r="V1869" s="163"/>
      <c r="W1869" s="158" t="str">
        <f t="shared" ref="W1869:W1932" si="41">W1868</f>
        <v>1w</v>
      </c>
      <c r="X1869" s="168">
        <f>_xll.qlCalendarAdvance(Calendar,X1868,W1869,"f",FALSE)</f>
        <v>52175</v>
      </c>
      <c r="Y1869" s="173">
        <f>_xll.qlCalendarAdvance(Calendar,X1869,NDays&amp;"D")</f>
        <v>52175</v>
      </c>
      <c r="Z1869" s="174">
        <v>2.0811231819366505E-2</v>
      </c>
      <c r="AA1869" s="177"/>
    </row>
    <row r="1870" spans="22:27" x14ac:dyDescent="0.2">
      <c r="V1870" s="163"/>
      <c r="W1870" s="158" t="str">
        <f t="shared" si="41"/>
        <v>1w</v>
      </c>
      <c r="X1870" s="168">
        <f>_xll.qlCalendarAdvance(Calendar,X1869,W1870,"f",FALSE)</f>
        <v>52182</v>
      </c>
      <c r="Y1870" s="173">
        <f>_xll.qlCalendarAdvance(Calendar,X1870,NDays&amp;"D")</f>
        <v>52182</v>
      </c>
      <c r="Z1870" s="174">
        <v>2.0810451806537733E-2</v>
      </c>
      <c r="AA1870" s="177"/>
    </row>
    <row r="1871" spans="22:27" x14ac:dyDescent="0.2">
      <c r="V1871" s="163"/>
      <c r="W1871" s="158" t="str">
        <f t="shared" si="41"/>
        <v>1w</v>
      </c>
      <c r="X1871" s="168">
        <f>_xll.qlCalendarAdvance(Calendar,X1870,W1871,"f",FALSE)</f>
        <v>52189</v>
      </c>
      <c r="Y1871" s="173">
        <f>_xll.qlCalendarAdvance(Calendar,X1871,NDays&amp;"D")</f>
        <v>52189</v>
      </c>
      <c r="Z1871" s="174">
        <v>2.0809680700776267E-2</v>
      </c>
      <c r="AA1871" s="177"/>
    </row>
    <row r="1872" spans="22:27" x14ac:dyDescent="0.2">
      <c r="V1872" s="163"/>
      <c r="W1872" s="158" t="str">
        <f t="shared" si="41"/>
        <v>1w</v>
      </c>
      <c r="X1872" s="168">
        <f>_xll.qlCalendarAdvance(Calendar,X1871,W1872,"f",FALSE)</f>
        <v>52196</v>
      </c>
      <c r="Y1872" s="173">
        <f>_xll.qlCalendarAdvance(Calendar,X1872,NDays&amp;"D")</f>
        <v>52196</v>
      </c>
      <c r="Z1872" s="174">
        <v>2.0808918502163154E-2</v>
      </c>
      <c r="AA1872" s="177"/>
    </row>
    <row r="1873" spans="22:27" x14ac:dyDescent="0.2">
      <c r="V1873" s="163"/>
      <c r="W1873" s="158" t="str">
        <f t="shared" si="41"/>
        <v>1w</v>
      </c>
      <c r="X1873" s="168">
        <f>_xll.qlCalendarAdvance(Calendar,X1872,W1873,"f",FALSE)</f>
        <v>52203</v>
      </c>
      <c r="Y1873" s="173">
        <f>_xll.qlCalendarAdvance(Calendar,X1873,NDays&amp;"D")</f>
        <v>52203</v>
      </c>
      <c r="Z1873" s="174">
        <v>2.0808165210779439E-2</v>
      </c>
      <c r="AA1873" s="177"/>
    </row>
    <row r="1874" spans="22:27" x14ac:dyDescent="0.2">
      <c r="V1874" s="163"/>
      <c r="W1874" s="158" t="str">
        <f t="shared" si="41"/>
        <v>1w</v>
      </c>
      <c r="X1874" s="168">
        <f>_xll.qlCalendarAdvance(Calendar,X1873,W1874,"f",FALSE)</f>
        <v>52210</v>
      </c>
      <c r="Y1874" s="173">
        <f>_xll.qlCalendarAdvance(Calendar,X1874,NDays&amp;"D")</f>
        <v>52210</v>
      </c>
      <c r="Z1874" s="174">
        <v>2.080742082646303E-2</v>
      </c>
      <c r="AA1874" s="177"/>
    </row>
    <row r="1875" spans="22:27" x14ac:dyDescent="0.2">
      <c r="V1875" s="163"/>
      <c r="W1875" s="158" t="str">
        <f t="shared" si="41"/>
        <v>1w</v>
      </c>
      <c r="X1875" s="168">
        <f>_xll.qlCalendarAdvance(Calendar,X1874,W1875,"f",FALSE)</f>
        <v>52217</v>
      </c>
      <c r="Y1875" s="173">
        <f>_xll.qlCalendarAdvance(Calendar,X1875,NDays&amp;"D")</f>
        <v>52217</v>
      </c>
      <c r="Z1875" s="174">
        <v>2.080668534937602E-2</v>
      </c>
      <c r="AA1875" s="177"/>
    </row>
    <row r="1876" spans="22:27" x14ac:dyDescent="0.2">
      <c r="V1876" s="163"/>
      <c r="W1876" s="158" t="str">
        <f t="shared" si="41"/>
        <v>1w</v>
      </c>
      <c r="X1876" s="168">
        <f>_xll.qlCalendarAdvance(Calendar,X1875,W1876,"f",FALSE)</f>
        <v>52224</v>
      </c>
      <c r="Y1876" s="173">
        <f>_xll.qlCalendarAdvance(Calendar,X1876,NDays&amp;"D")</f>
        <v>52224</v>
      </c>
      <c r="Z1876" s="174">
        <v>2.0805958779437361E-2</v>
      </c>
      <c r="AA1876" s="177"/>
    </row>
    <row r="1877" spans="22:27" x14ac:dyDescent="0.2">
      <c r="V1877" s="163"/>
      <c r="W1877" s="158" t="str">
        <f t="shared" si="41"/>
        <v>1w</v>
      </c>
      <c r="X1877" s="168">
        <f>_xll.qlCalendarAdvance(Calendar,X1876,W1877,"f",FALSE)</f>
        <v>52236</v>
      </c>
      <c r="Y1877" s="173">
        <f>_xll.qlCalendarAdvance(Calendar,X1877,NDays&amp;"D")</f>
        <v>52236</v>
      </c>
      <c r="Z1877" s="174">
        <v>2.0804733953740939E-2</v>
      </c>
      <c r="AA1877" s="177"/>
    </row>
    <row r="1878" spans="22:27" x14ac:dyDescent="0.2">
      <c r="V1878" s="163"/>
      <c r="W1878" s="158" t="str">
        <f t="shared" si="41"/>
        <v>1w</v>
      </c>
      <c r="X1878" s="168">
        <f>_xll.qlCalendarAdvance(Calendar,X1877,W1878,"f",FALSE)</f>
        <v>52244</v>
      </c>
      <c r="Y1878" s="173">
        <f>_xll.qlCalendarAdvance(Calendar,X1878,NDays&amp;"D")</f>
        <v>52244</v>
      </c>
      <c r="Z1878" s="174">
        <v>2.0803931945680976E-2</v>
      </c>
      <c r="AA1878" s="177"/>
    </row>
    <row r="1879" spans="22:27" x14ac:dyDescent="0.2">
      <c r="V1879" s="163"/>
      <c r="W1879" s="158" t="str">
        <f t="shared" si="41"/>
        <v>1w</v>
      </c>
      <c r="X1879" s="168">
        <f>_xll.qlCalendarAdvance(Calendar,X1878,W1879,"f",FALSE)</f>
        <v>52251</v>
      </c>
      <c r="Y1879" s="173">
        <f>_xll.qlCalendarAdvance(Calendar,X1879,NDays&amp;"D")</f>
        <v>52251</v>
      </c>
      <c r="Z1879" s="174">
        <v>2.0803239731909118E-2</v>
      </c>
      <c r="AA1879" s="177"/>
    </row>
    <row r="1880" spans="22:27" x14ac:dyDescent="0.2">
      <c r="V1880" s="163"/>
      <c r="W1880" s="158" t="str">
        <f t="shared" si="41"/>
        <v>1w</v>
      </c>
      <c r="X1880" s="168">
        <f>_xll.qlCalendarAdvance(Calendar,X1879,W1880,"f",FALSE)</f>
        <v>52258</v>
      </c>
      <c r="Y1880" s="173">
        <f>_xll.qlCalendarAdvance(Calendar,X1880,NDays&amp;"D")</f>
        <v>52258</v>
      </c>
      <c r="Z1880" s="174">
        <v>2.0802556425366658E-2</v>
      </c>
      <c r="AA1880" s="177"/>
    </row>
    <row r="1881" spans="22:27" x14ac:dyDescent="0.2">
      <c r="V1881" s="163"/>
      <c r="W1881" s="158" t="str">
        <f t="shared" si="41"/>
        <v>1w</v>
      </c>
      <c r="X1881" s="168">
        <f>_xll.qlCalendarAdvance(Calendar,X1880,W1881,"f",FALSE)</f>
        <v>52265</v>
      </c>
      <c r="Y1881" s="173">
        <f>_xll.qlCalendarAdvance(Calendar,X1881,NDays&amp;"D")</f>
        <v>52265</v>
      </c>
      <c r="Z1881" s="174">
        <v>2.0801882025972551E-2</v>
      </c>
      <c r="AA1881" s="177"/>
    </row>
    <row r="1882" spans="22:27" x14ac:dyDescent="0.2">
      <c r="V1882" s="163"/>
      <c r="W1882" s="158" t="str">
        <f t="shared" si="41"/>
        <v>1w</v>
      </c>
      <c r="X1882" s="168">
        <f>_xll.qlCalendarAdvance(Calendar,X1881,W1882,"f",FALSE)</f>
        <v>52272</v>
      </c>
      <c r="Y1882" s="173">
        <f>_xll.qlCalendarAdvance(Calendar,X1882,NDays&amp;"D")</f>
        <v>52272</v>
      </c>
      <c r="Z1882" s="174">
        <v>2.0801762086351538E-2</v>
      </c>
      <c r="AA1882" s="177"/>
    </row>
    <row r="1883" spans="22:27" x14ac:dyDescent="0.2">
      <c r="V1883" s="163"/>
      <c r="W1883" s="158" t="str">
        <f t="shared" si="41"/>
        <v>1w</v>
      </c>
      <c r="X1883" s="168">
        <f>_xll.qlCalendarAdvance(Calendar,X1882,W1883,"f",FALSE)</f>
        <v>52279</v>
      </c>
      <c r="Y1883" s="173">
        <f>_xll.qlCalendarAdvance(Calendar,X1883,NDays&amp;"D")</f>
        <v>52279</v>
      </c>
      <c r="Z1883" s="174">
        <v>2.080055994871044E-2</v>
      </c>
      <c r="AA1883" s="177"/>
    </row>
    <row r="1884" spans="22:27" x14ac:dyDescent="0.2">
      <c r="V1884" s="163"/>
      <c r="W1884" s="158" t="str">
        <f t="shared" si="41"/>
        <v>1w</v>
      </c>
      <c r="X1884" s="168">
        <f>_xll.qlCalendarAdvance(Calendar,X1883,W1884,"f",FALSE)</f>
        <v>52286</v>
      </c>
      <c r="Y1884" s="173">
        <f>_xll.qlCalendarAdvance(Calendar,X1884,NDays&amp;"D")</f>
        <v>52286</v>
      </c>
      <c r="Z1884" s="174">
        <v>2.0799912270761389E-2</v>
      </c>
      <c r="AA1884" s="177"/>
    </row>
    <row r="1885" spans="22:27" x14ac:dyDescent="0.2">
      <c r="V1885" s="163"/>
      <c r="W1885" s="158" t="str">
        <f t="shared" si="41"/>
        <v>1w</v>
      </c>
      <c r="X1885" s="168">
        <f>_xll.qlCalendarAdvance(Calendar,X1884,W1885,"f",FALSE)</f>
        <v>52293</v>
      </c>
      <c r="Y1885" s="173">
        <f>_xll.qlCalendarAdvance(Calendar,X1885,NDays&amp;"D")</f>
        <v>52293</v>
      </c>
      <c r="Z1885" s="174">
        <v>2.0799273500041737E-2</v>
      </c>
      <c r="AA1885" s="177"/>
    </row>
    <row r="1886" spans="22:27" x14ac:dyDescent="0.2">
      <c r="V1886" s="163"/>
      <c r="W1886" s="158" t="str">
        <f t="shared" si="41"/>
        <v>1w</v>
      </c>
      <c r="X1886" s="168">
        <f>_xll.qlCalendarAdvance(Calendar,X1885,W1886,"f",FALSE)</f>
        <v>52300</v>
      </c>
      <c r="Y1886" s="173">
        <f>_xll.qlCalendarAdvance(Calendar,X1886,NDays&amp;"D")</f>
        <v>52300</v>
      </c>
      <c r="Z1886" s="174">
        <v>2.0798643636551484E-2</v>
      </c>
      <c r="AA1886" s="177"/>
    </row>
    <row r="1887" spans="22:27" x14ac:dyDescent="0.2">
      <c r="V1887" s="163"/>
      <c r="W1887" s="158" t="str">
        <f t="shared" si="41"/>
        <v>1w</v>
      </c>
      <c r="X1887" s="168">
        <f>_xll.qlCalendarAdvance(Calendar,X1886,W1887,"f",FALSE)</f>
        <v>52307</v>
      </c>
      <c r="Y1887" s="173">
        <f>_xll.qlCalendarAdvance(Calendar,X1887,NDays&amp;"D")</f>
        <v>52307</v>
      </c>
      <c r="Z1887" s="174">
        <v>2.079802268004749E-2</v>
      </c>
      <c r="AA1887" s="177"/>
    </row>
    <row r="1888" spans="22:27" x14ac:dyDescent="0.2">
      <c r="V1888" s="163"/>
      <c r="W1888" s="158" t="str">
        <f t="shared" si="41"/>
        <v>1w</v>
      </c>
      <c r="X1888" s="168">
        <f>_xll.qlCalendarAdvance(Calendar,X1887,W1888,"f",FALSE)</f>
        <v>52314</v>
      </c>
      <c r="Y1888" s="173">
        <f>_xll.qlCalendarAdvance(Calendar,X1888,NDays&amp;"D")</f>
        <v>52314</v>
      </c>
      <c r="Z1888" s="174">
        <v>2.0797410630772895E-2</v>
      </c>
      <c r="AA1888" s="177"/>
    </row>
    <row r="1889" spans="22:27" x14ac:dyDescent="0.2">
      <c r="V1889" s="163"/>
      <c r="W1889" s="158" t="str">
        <f t="shared" si="41"/>
        <v>1w</v>
      </c>
      <c r="X1889" s="168">
        <f>_xll.qlCalendarAdvance(Calendar,X1888,W1889,"f",FALSE)</f>
        <v>52321</v>
      </c>
      <c r="Y1889" s="173">
        <f>_xll.qlCalendarAdvance(Calendar,X1889,NDays&amp;"D")</f>
        <v>52321</v>
      </c>
      <c r="Z1889" s="174">
        <v>2.0796807488727698E-2</v>
      </c>
      <c r="AA1889" s="177"/>
    </row>
    <row r="1890" spans="22:27" x14ac:dyDescent="0.2">
      <c r="V1890" s="163"/>
      <c r="W1890" s="158" t="str">
        <f t="shared" si="41"/>
        <v>1w</v>
      </c>
      <c r="X1890" s="168">
        <f>_xll.qlCalendarAdvance(Calendar,X1889,W1890,"f",FALSE)</f>
        <v>52328</v>
      </c>
      <c r="Y1890" s="173">
        <f>_xll.qlCalendarAdvance(Calendar,X1890,NDays&amp;"D")</f>
        <v>52328</v>
      </c>
      <c r="Z1890" s="174">
        <v>2.0796213253749807E-2</v>
      </c>
      <c r="AA1890" s="177"/>
    </row>
    <row r="1891" spans="22:27" x14ac:dyDescent="0.2">
      <c r="V1891" s="163"/>
      <c r="W1891" s="158" t="str">
        <f t="shared" si="41"/>
        <v>1w</v>
      </c>
      <c r="X1891" s="168">
        <f>_xll.qlCalendarAdvance(Calendar,X1890,W1891,"f",FALSE)</f>
        <v>52335</v>
      </c>
      <c r="Y1891" s="173">
        <f>_xll.qlCalendarAdvance(Calendar,X1891,NDays&amp;"D")</f>
        <v>52335</v>
      </c>
      <c r="Z1891" s="174">
        <v>2.0795627926001314E-2</v>
      </c>
      <c r="AA1891" s="177"/>
    </row>
    <row r="1892" spans="22:27" x14ac:dyDescent="0.2">
      <c r="V1892" s="163"/>
      <c r="W1892" s="158" t="str">
        <f t="shared" si="41"/>
        <v>1w</v>
      </c>
      <c r="X1892" s="168">
        <f>_xll.qlCalendarAdvance(Calendar,X1891,W1892,"f",FALSE)</f>
        <v>52342</v>
      </c>
      <c r="Y1892" s="173">
        <f>_xll.qlCalendarAdvance(Calendar,X1892,NDays&amp;"D")</f>
        <v>52342</v>
      </c>
      <c r="Z1892" s="174">
        <v>2.0795051505401174E-2</v>
      </c>
      <c r="AA1892" s="177"/>
    </row>
    <row r="1893" spans="22:27" x14ac:dyDescent="0.2">
      <c r="V1893" s="163"/>
      <c r="W1893" s="158" t="str">
        <f t="shared" si="41"/>
        <v>1w</v>
      </c>
      <c r="X1893" s="168">
        <f>_xll.qlCalendarAdvance(Calendar,X1892,W1893,"f",FALSE)</f>
        <v>52349</v>
      </c>
      <c r="Y1893" s="173">
        <f>_xll.qlCalendarAdvance(Calendar,X1893,NDays&amp;"D")</f>
        <v>52349</v>
      </c>
      <c r="Z1893" s="174">
        <v>2.0795036159774183E-2</v>
      </c>
      <c r="AA1893" s="177"/>
    </row>
    <row r="1894" spans="22:27" x14ac:dyDescent="0.2">
      <c r="V1894" s="163"/>
      <c r="W1894" s="158" t="str">
        <f t="shared" si="41"/>
        <v>1w</v>
      </c>
      <c r="X1894" s="168">
        <f>_xll.qlCalendarAdvance(Calendar,X1893,W1894,"f",FALSE)</f>
        <v>52358</v>
      </c>
      <c r="Y1894" s="173">
        <f>_xll.qlCalendarAdvance(Calendar,X1894,NDays&amp;"D")</f>
        <v>52358</v>
      </c>
      <c r="Z1894" s="174">
        <v>2.0793767419879927E-2</v>
      </c>
      <c r="AA1894" s="177"/>
    </row>
    <row r="1895" spans="22:27" x14ac:dyDescent="0.2">
      <c r="V1895" s="163"/>
      <c r="W1895" s="158" t="str">
        <f t="shared" si="41"/>
        <v>1w</v>
      </c>
      <c r="X1895" s="168">
        <f>_xll.qlCalendarAdvance(Calendar,X1894,W1895,"f",FALSE)</f>
        <v>52365</v>
      </c>
      <c r="Y1895" s="173">
        <f>_xll.qlCalendarAdvance(Calendar,X1895,NDays&amp;"D")</f>
        <v>52365</v>
      </c>
      <c r="Z1895" s="174">
        <v>2.0793220265659107E-2</v>
      </c>
      <c r="AA1895" s="177"/>
    </row>
    <row r="1896" spans="22:27" x14ac:dyDescent="0.2">
      <c r="V1896" s="163"/>
      <c r="W1896" s="158" t="str">
        <f t="shared" si="41"/>
        <v>1w</v>
      </c>
      <c r="X1896" s="168">
        <f>_xll.qlCalendarAdvance(Calendar,X1895,W1896,"f",FALSE)</f>
        <v>52372</v>
      </c>
      <c r="Y1896" s="173">
        <f>_xll.qlCalendarAdvance(Calendar,X1896,NDays&amp;"D")</f>
        <v>52372</v>
      </c>
      <c r="Z1896" s="174">
        <v>2.0792682018667685E-2</v>
      </c>
      <c r="AA1896" s="177"/>
    </row>
    <row r="1897" spans="22:27" x14ac:dyDescent="0.2">
      <c r="V1897" s="163"/>
      <c r="W1897" s="158" t="str">
        <f t="shared" si="41"/>
        <v>1w</v>
      </c>
      <c r="X1897" s="168">
        <f>_xll.qlCalendarAdvance(Calendar,X1896,W1897,"f",FALSE)</f>
        <v>52379</v>
      </c>
      <c r="Y1897" s="173">
        <f>_xll.qlCalendarAdvance(Calendar,X1897,NDays&amp;"D")</f>
        <v>52379</v>
      </c>
      <c r="Z1897" s="174">
        <v>2.079215267874357E-2</v>
      </c>
      <c r="AA1897" s="177"/>
    </row>
    <row r="1898" spans="22:27" x14ac:dyDescent="0.2">
      <c r="V1898" s="163"/>
      <c r="W1898" s="158" t="str">
        <f t="shared" si="41"/>
        <v>1w</v>
      </c>
      <c r="X1898" s="168">
        <f>_xll.qlCalendarAdvance(Calendar,X1897,W1898,"f",FALSE)</f>
        <v>52386</v>
      </c>
      <c r="Y1898" s="173">
        <f>_xll.qlCalendarAdvance(Calendar,X1898,NDays&amp;"D")</f>
        <v>52386</v>
      </c>
      <c r="Z1898" s="174">
        <v>2.0791632245967806E-2</v>
      </c>
      <c r="AA1898" s="177"/>
    </row>
    <row r="1899" spans="22:27" x14ac:dyDescent="0.2">
      <c r="V1899" s="163"/>
      <c r="W1899" s="158" t="str">
        <f t="shared" si="41"/>
        <v>1w</v>
      </c>
      <c r="X1899" s="168">
        <f>_xll.qlCalendarAdvance(Calendar,X1898,W1899,"f",FALSE)</f>
        <v>52393</v>
      </c>
      <c r="Y1899" s="173">
        <f>_xll.qlCalendarAdvance(Calendar,X1899,NDays&amp;"D")</f>
        <v>52393</v>
      </c>
      <c r="Z1899" s="174">
        <v>2.0791120720421441E-2</v>
      </c>
      <c r="AA1899" s="177"/>
    </row>
    <row r="1900" spans="22:27" x14ac:dyDescent="0.2">
      <c r="V1900" s="163"/>
      <c r="W1900" s="158" t="str">
        <f t="shared" si="41"/>
        <v>1w</v>
      </c>
      <c r="X1900" s="168">
        <f>_xll.qlCalendarAdvance(Calendar,X1899,W1900,"f",FALSE)</f>
        <v>52400</v>
      </c>
      <c r="Y1900" s="173">
        <f>_xll.qlCalendarAdvance(Calendar,X1900,NDays&amp;"D")</f>
        <v>52400</v>
      </c>
      <c r="Z1900" s="174">
        <v>2.0790618102023428E-2</v>
      </c>
      <c r="AA1900" s="177"/>
    </row>
    <row r="1901" spans="22:27" x14ac:dyDescent="0.2">
      <c r="V1901" s="163"/>
      <c r="W1901" s="158" t="str">
        <f t="shared" si="41"/>
        <v>1w</v>
      </c>
      <c r="X1901" s="168">
        <f>_xll.qlCalendarAdvance(Calendar,X1900,W1901,"f",FALSE)</f>
        <v>52407</v>
      </c>
      <c r="Y1901" s="173">
        <f>_xll.qlCalendarAdvance(Calendar,X1901,NDays&amp;"D")</f>
        <v>52407</v>
      </c>
      <c r="Z1901" s="174">
        <v>2.0790124390773768E-2</v>
      </c>
      <c r="AA1901" s="177"/>
    </row>
    <row r="1902" spans="22:27" x14ac:dyDescent="0.2">
      <c r="V1902" s="163"/>
      <c r="W1902" s="158" t="str">
        <f t="shared" si="41"/>
        <v>1w</v>
      </c>
      <c r="X1902" s="168">
        <f>_xll.qlCalendarAdvance(Calendar,X1901,W1902,"f",FALSE)</f>
        <v>52414</v>
      </c>
      <c r="Y1902" s="173">
        <f>_xll.qlCalendarAdvance(Calendar,X1902,NDays&amp;"D")</f>
        <v>52414</v>
      </c>
      <c r="Z1902" s="174">
        <v>2.0789639586753506E-2</v>
      </c>
      <c r="AA1902" s="177"/>
    </row>
    <row r="1903" spans="22:27" x14ac:dyDescent="0.2">
      <c r="V1903" s="163"/>
      <c r="W1903" s="158" t="str">
        <f t="shared" si="41"/>
        <v>1w</v>
      </c>
      <c r="X1903" s="168">
        <f>_xll.qlCalendarAdvance(Calendar,X1902,W1903,"f",FALSE)</f>
        <v>52421</v>
      </c>
      <c r="Y1903" s="173">
        <f>_xll.qlCalendarAdvance(Calendar,X1903,NDays&amp;"D")</f>
        <v>52421</v>
      </c>
      <c r="Z1903" s="174">
        <v>2.0789163689800549E-2</v>
      </c>
      <c r="AA1903" s="177"/>
    </row>
    <row r="1904" spans="22:27" x14ac:dyDescent="0.2">
      <c r="V1904" s="163"/>
      <c r="W1904" s="158" t="str">
        <f t="shared" si="41"/>
        <v>1w</v>
      </c>
      <c r="X1904" s="168">
        <f>_xll.qlCalendarAdvance(Calendar,X1903,W1904,"f",FALSE)</f>
        <v>52428</v>
      </c>
      <c r="Y1904" s="173">
        <f>_xll.qlCalendarAdvance(Calendar,X1904,NDays&amp;"D")</f>
        <v>52428</v>
      </c>
      <c r="Z1904" s="174">
        <v>2.0788696700076992E-2</v>
      </c>
      <c r="AA1904" s="177"/>
    </row>
    <row r="1905" spans="22:27" x14ac:dyDescent="0.2">
      <c r="V1905" s="163"/>
      <c r="W1905" s="158" t="str">
        <f t="shared" si="41"/>
        <v>1w</v>
      </c>
      <c r="X1905" s="168">
        <f>_xll.qlCalendarAdvance(Calendar,X1904,W1905,"f",FALSE)</f>
        <v>52435</v>
      </c>
      <c r="Y1905" s="173">
        <f>_xll.qlCalendarAdvance(Calendar,X1905,NDays&amp;"D")</f>
        <v>52435</v>
      </c>
      <c r="Z1905" s="174">
        <v>2.0788238617501786E-2</v>
      </c>
      <c r="AA1905" s="177"/>
    </row>
    <row r="1906" spans="22:27" x14ac:dyDescent="0.2">
      <c r="V1906" s="163"/>
      <c r="W1906" s="158" t="str">
        <f t="shared" si="41"/>
        <v>1w</v>
      </c>
      <c r="X1906" s="168">
        <f>_xll.qlCalendarAdvance(Calendar,X1905,W1906,"f",FALSE)</f>
        <v>52442</v>
      </c>
      <c r="Y1906" s="173">
        <f>_xll.qlCalendarAdvance(Calendar,X1906,NDays&amp;"D")</f>
        <v>52442</v>
      </c>
      <c r="Z1906" s="174">
        <v>2.0787789441993887E-2</v>
      </c>
      <c r="AA1906" s="177"/>
    </row>
    <row r="1907" spans="22:27" x14ac:dyDescent="0.2">
      <c r="V1907" s="163"/>
      <c r="W1907" s="158" t="str">
        <f t="shared" si="41"/>
        <v>1w</v>
      </c>
      <c r="X1907" s="168">
        <f>_xll.qlCalendarAdvance(Calendar,X1906,W1907,"f",FALSE)</f>
        <v>52449</v>
      </c>
      <c r="Y1907" s="173">
        <f>_xll.qlCalendarAdvance(Calendar,X1907,NDays&amp;"D")</f>
        <v>52449</v>
      </c>
      <c r="Z1907" s="174">
        <v>2.0787349173715386E-2</v>
      </c>
      <c r="AA1907" s="177"/>
    </row>
    <row r="1908" spans="22:27" x14ac:dyDescent="0.2">
      <c r="V1908" s="163"/>
      <c r="W1908" s="158" t="str">
        <f t="shared" si="41"/>
        <v>1w</v>
      </c>
      <c r="X1908" s="168">
        <f>_xll.qlCalendarAdvance(Calendar,X1907,W1908,"f",FALSE)</f>
        <v>52456</v>
      </c>
      <c r="Y1908" s="173">
        <f>_xll.qlCalendarAdvance(Calendar,X1908,NDays&amp;"D")</f>
        <v>52456</v>
      </c>
      <c r="Z1908" s="174">
        <v>2.0786917812666283E-2</v>
      </c>
      <c r="AA1908" s="177"/>
    </row>
    <row r="1909" spans="22:27" x14ac:dyDescent="0.2">
      <c r="V1909" s="163"/>
      <c r="W1909" s="158" t="str">
        <f t="shared" si="41"/>
        <v>1w</v>
      </c>
      <c r="X1909" s="168">
        <f>_xll.qlCalendarAdvance(Calendar,X1908,W1909,"f",FALSE)</f>
        <v>52463</v>
      </c>
      <c r="Y1909" s="173">
        <f>_xll.qlCalendarAdvance(Calendar,X1909,NDays&amp;"D")</f>
        <v>52463</v>
      </c>
      <c r="Z1909" s="174">
        <v>2.0786495358684487E-2</v>
      </c>
      <c r="AA1909" s="177"/>
    </row>
    <row r="1910" spans="22:27" x14ac:dyDescent="0.2">
      <c r="V1910" s="163"/>
      <c r="W1910" s="158" t="str">
        <f t="shared" si="41"/>
        <v>1w</v>
      </c>
      <c r="X1910" s="168">
        <f>_xll.qlCalendarAdvance(Calendar,X1909,W1910,"f",FALSE)</f>
        <v>52470</v>
      </c>
      <c r="Y1910" s="173">
        <f>_xll.qlCalendarAdvance(Calendar,X1910,NDays&amp;"D")</f>
        <v>52470</v>
      </c>
      <c r="Z1910" s="174">
        <v>2.0786081811932089E-2</v>
      </c>
      <c r="AA1910" s="177"/>
    </row>
    <row r="1911" spans="22:27" x14ac:dyDescent="0.2">
      <c r="V1911" s="163"/>
      <c r="W1911" s="158" t="str">
        <f t="shared" si="41"/>
        <v>1w</v>
      </c>
      <c r="X1911" s="168">
        <f>_xll.qlCalendarAdvance(Calendar,X1910,W1911,"f",FALSE)</f>
        <v>52477</v>
      </c>
      <c r="Y1911" s="173">
        <f>_xll.qlCalendarAdvance(Calendar,X1911,NDays&amp;"D")</f>
        <v>52477</v>
      </c>
      <c r="Z1911" s="174">
        <v>2.0785677172246997E-2</v>
      </c>
      <c r="AA1911" s="177"/>
    </row>
    <row r="1912" spans="22:27" x14ac:dyDescent="0.2">
      <c r="V1912" s="163"/>
      <c r="W1912" s="158" t="str">
        <f t="shared" si="41"/>
        <v>1w</v>
      </c>
      <c r="X1912" s="168">
        <f>_xll.qlCalendarAdvance(Calendar,X1911,W1912,"f",FALSE)</f>
        <v>52484</v>
      </c>
      <c r="Y1912" s="173">
        <f>_xll.qlCalendarAdvance(Calendar,X1912,NDays&amp;"D")</f>
        <v>52484</v>
      </c>
      <c r="Z1912" s="174">
        <v>2.0785281439791303E-2</v>
      </c>
      <c r="AA1912" s="177"/>
    </row>
    <row r="1913" spans="22:27" x14ac:dyDescent="0.2">
      <c r="V1913" s="163"/>
      <c r="W1913" s="158" t="str">
        <f t="shared" si="41"/>
        <v>1w</v>
      </c>
      <c r="X1913" s="168">
        <f>_xll.qlCalendarAdvance(Calendar,X1912,W1913,"f",FALSE)</f>
        <v>52491</v>
      </c>
      <c r="Y1913" s="173">
        <f>_xll.qlCalendarAdvance(Calendar,X1913,NDays&amp;"D")</f>
        <v>52491</v>
      </c>
      <c r="Z1913" s="174">
        <v>2.0784894614565008E-2</v>
      </c>
      <c r="AA1913" s="177"/>
    </row>
    <row r="1914" spans="22:27" x14ac:dyDescent="0.2">
      <c r="V1914" s="163"/>
      <c r="W1914" s="158" t="str">
        <f t="shared" si="41"/>
        <v>1w</v>
      </c>
      <c r="X1914" s="168">
        <f>_xll.qlCalendarAdvance(Calendar,X1913,W1914,"f",FALSE)</f>
        <v>52498</v>
      </c>
      <c r="Y1914" s="173">
        <f>_xll.qlCalendarAdvance(Calendar,X1914,NDays&amp;"D")</f>
        <v>52498</v>
      </c>
      <c r="Z1914" s="174">
        <v>2.0784516696406019E-2</v>
      </c>
      <c r="AA1914" s="177"/>
    </row>
    <row r="1915" spans="22:27" x14ac:dyDescent="0.2">
      <c r="V1915" s="163"/>
      <c r="W1915" s="158" t="str">
        <f t="shared" si="41"/>
        <v>1w</v>
      </c>
      <c r="X1915" s="168">
        <f>_xll.qlCalendarAdvance(Calendar,X1914,W1915,"f",FALSE)</f>
        <v>52505</v>
      </c>
      <c r="Y1915" s="173">
        <f>_xll.qlCalendarAdvance(Calendar,X1915,NDays&amp;"D")</f>
        <v>52505</v>
      </c>
      <c r="Z1915" s="174">
        <v>2.0784147685395382E-2</v>
      </c>
      <c r="AA1915" s="177"/>
    </row>
    <row r="1916" spans="22:27" x14ac:dyDescent="0.2">
      <c r="V1916" s="163"/>
      <c r="W1916" s="158" t="str">
        <f t="shared" si="41"/>
        <v>1w</v>
      </c>
      <c r="X1916" s="168">
        <f>_xll.qlCalendarAdvance(Calendar,X1915,W1916,"f",FALSE)</f>
        <v>52512</v>
      </c>
      <c r="Y1916" s="173">
        <f>_xll.qlCalendarAdvance(Calendar,X1916,NDays&amp;"D")</f>
        <v>52512</v>
      </c>
      <c r="Z1916" s="174">
        <v>2.0783787581614144E-2</v>
      </c>
      <c r="AA1916" s="177"/>
    </row>
    <row r="1917" spans="22:27" x14ac:dyDescent="0.2">
      <c r="V1917" s="163"/>
      <c r="W1917" s="158" t="str">
        <f t="shared" si="41"/>
        <v>1w</v>
      </c>
      <c r="X1917" s="168">
        <f>_xll.qlCalendarAdvance(Calendar,X1916,W1917,"f",FALSE)</f>
        <v>52519</v>
      </c>
      <c r="Y1917" s="173">
        <f>_xll.qlCalendarAdvance(Calendar,X1917,NDays&amp;"D")</f>
        <v>52519</v>
      </c>
      <c r="Z1917" s="174">
        <v>2.0783436384981258E-2</v>
      </c>
      <c r="AA1917" s="177"/>
    </row>
    <row r="1918" spans="22:27" x14ac:dyDescent="0.2">
      <c r="V1918" s="163"/>
      <c r="W1918" s="158" t="str">
        <f t="shared" si="41"/>
        <v>1w</v>
      </c>
      <c r="X1918" s="168">
        <f>_xll.qlCalendarAdvance(Calendar,X1917,W1918,"f",FALSE)</f>
        <v>52526</v>
      </c>
      <c r="Y1918" s="173">
        <f>_xll.qlCalendarAdvance(Calendar,X1918,NDays&amp;"D")</f>
        <v>52526</v>
      </c>
      <c r="Z1918" s="174">
        <v>2.0783094095496724E-2</v>
      </c>
      <c r="AA1918" s="177"/>
    </row>
    <row r="1919" spans="22:27" x14ac:dyDescent="0.2">
      <c r="V1919" s="163"/>
      <c r="W1919" s="158" t="str">
        <f t="shared" si="41"/>
        <v>1w</v>
      </c>
      <c r="X1919" s="168">
        <f>_xll.qlCalendarAdvance(Calendar,X1918,W1919,"f",FALSE)</f>
        <v>52533</v>
      </c>
      <c r="Y1919" s="173">
        <f>_xll.qlCalendarAdvance(Calendar,X1919,NDays&amp;"D")</f>
        <v>52533</v>
      </c>
      <c r="Z1919" s="174">
        <v>2.0782760713079496E-2</v>
      </c>
      <c r="AA1919" s="177"/>
    </row>
    <row r="1920" spans="22:27" x14ac:dyDescent="0.2">
      <c r="V1920" s="163"/>
      <c r="W1920" s="158" t="str">
        <f t="shared" si="41"/>
        <v>1w</v>
      </c>
      <c r="X1920" s="168">
        <f>_xll.qlCalendarAdvance(Calendar,X1919,W1920,"f",FALSE)</f>
        <v>52540</v>
      </c>
      <c r="Y1920" s="173">
        <f>_xll.qlCalendarAdvance(Calendar,X1920,NDays&amp;"D")</f>
        <v>52540</v>
      </c>
      <c r="Z1920" s="174">
        <v>2.0782436237972712E-2</v>
      </c>
      <c r="AA1920" s="177"/>
    </row>
    <row r="1921" spans="22:27" x14ac:dyDescent="0.2">
      <c r="V1921" s="163"/>
      <c r="W1921" s="158" t="str">
        <f t="shared" si="41"/>
        <v>1w</v>
      </c>
      <c r="X1921" s="168">
        <f>_xll.qlCalendarAdvance(Calendar,X1920,W1921,"f",FALSE)</f>
        <v>52547</v>
      </c>
      <c r="Y1921" s="173">
        <f>_xll.qlCalendarAdvance(Calendar,X1921,NDays&amp;"D")</f>
        <v>52547</v>
      </c>
      <c r="Z1921" s="174">
        <v>2.0782120669933235E-2</v>
      </c>
      <c r="AA1921" s="177"/>
    </row>
    <row r="1922" spans="22:27" x14ac:dyDescent="0.2">
      <c r="V1922" s="163"/>
      <c r="W1922" s="158" t="str">
        <f t="shared" si="41"/>
        <v>1w</v>
      </c>
      <c r="X1922" s="168">
        <f>_xll.qlCalendarAdvance(Calendar,X1921,W1922,"f",FALSE)</f>
        <v>52554</v>
      </c>
      <c r="Y1922" s="173">
        <f>_xll.qlCalendarAdvance(Calendar,X1922,NDays&amp;"D")</f>
        <v>52554</v>
      </c>
      <c r="Z1922" s="174">
        <v>2.0781814009123156E-2</v>
      </c>
      <c r="AA1922" s="177"/>
    </row>
    <row r="1923" spans="22:27" x14ac:dyDescent="0.2">
      <c r="V1923" s="163"/>
      <c r="W1923" s="158" t="str">
        <f t="shared" si="41"/>
        <v>1w</v>
      </c>
      <c r="X1923" s="168">
        <f>_xll.qlCalendarAdvance(Calendar,X1922,W1923,"f",FALSE)</f>
        <v>52561</v>
      </c>
      <c r="Y1923" s="173">
        <f>_xll.qlCalendarAdvance(Calendar,X1923,NDays&amp;"D")</f>
        <v>52561</v>
      </c>
      <c r="Z1923" s="174">
        <v>2.078151625546143E-2</v>
      </c>
      <c r="AA1923" s="177"/>
    </row>
    <row r="1924" spans="22:27" x14ac:dyDescent="0.2">
      <c r="V1924" s="163"/>
      <c r="W1924" s="158" t="str">
        <f t="shared" si="41"/>
        <v>1w</v>
      </c>
      <c r="X1924" s="168">
        <f>_xll.qlCalendarAdvance(Calendar,X1923,W1924,"f",FALSE)</f>
        <v>52568</v>
      </c>
      <c r="Y1924" s="173">
        <f>_xll.qlCalendarAdvance(Calendar,X1924,NDays&amp;"D")</f>
        <v>52568</v>
      </c>
      <c r="Z1924" s="174">
        <v>2.0781227408948055E-2</v>
      </c>
      <c r="AA1924" s="177"/>
    </row>
    <row r="1925" spans="22:27" x14ac:dyDescent="0.2">
      <c r="V1925" s="163"/>
      <c r="W1925" s="158" t="str">
        <f t="shared" si="41"/>
        <v>1w</v>
      </c>
      <c r="X1925" s="168">
        <f>_xll.qlCalendarAdvance(Calendar,X1924,W1925,"f",FALSE)</f>
        <v>52575</v>
      </c>
      <c r="Y1925" s="173">
        <f>_xll.qlCalendarAdvance(Calendar,X1925,NDays&amp;"D")</f>
        <v>52575</v>
      </c>
      <c r="Z1925" s="174">
        <v>2.0780947469583033E-2</v>
      </c>
      <c r="AA1925" s="177"/>
    </row>
    <row r="1926" spans="22:27" x14ac:dyDescent="0.2">
      <c r="V1926" s="163"/>
      <c r="W1926" s="158" t="str">
        <f t="shared" si="41"/>
        <v>1w</v>
      </c>
      <c r="X1926" s="168">
        <f>_xll.qlCalendarAdvance(Calendar,X1925,W1926,"f",FALSE)</f>
        <v>52582</v>
      </c>
      <c r="Y1926" s="173">
        <f>_xll.qlCalendarAdvance(Calendar,X1926,NDays&amp;"D")</f>
        <v>52582</v>
      </c>
      <c r="Z1926" s="174">
        <v>2.0780676437366363E-2</v>
      </c>
      <c r="AA1926" s="177"/>
    </row>
    <row r="1927" spans="22:27" x14ac:dyDescent="0.2">
      <c r="V1927" s="163"/>
      <c r="W1927" s="158" t="str">
        <f t="shared" si="41"/>
        <v>1w</v>
      </c>
      <c r="X1927" s="168">
        <f>_xll.qlCalendarAdvance(Calendar,X1926,W1927,"f",FALSE)</f>
        <v>52589</v>
      </c>
      <c r="Y1927" s="173">
        <f>_xll.qlCalendarAdvance(Calendar,X1927,NDays&amp;"D")</f>
        <v>52589</v>
      </c>
      <c r="Z1927" s="174">
        <v>2.0780414312379092E-2</v>
      </c>
      <c r="AA1927" s="177"/>
    </row>
    <row r="1928" spans="22:27" x14ac:dyDescent="0.2">
      <c r="V1928" s="163"/>
      <c r="W1928" s="158" t="str">
        <f t="shared" si="41"/>
        <v>1w</v>
      </c>
      <c r="X1928" s="168">
        <f>_xll.qlCalendarAdvance(Calendar,X1927,W1928,"f",FALSE)</f>
        <v>52600</v>
      </c>
      <c r="Y1928" s="173">
        <f>_xll.qlCalendarAdvance(Calendar,X1928,NDays&amp;"D")</f>
        <v>52600</v>
      </c>
      <c r="Z1928" s="174">
        <v>2.0780020397629384E-2</v>
      </c>
      <c r="AA1928" s="177"/>
    </row>
    <row r="1929" spans="22:27" x14ac:dyDescent="0.2">
      <c r="V1929" s="163"/>
      <c r="W1929" s="158" t="str">
        <f t="shared" si="41"/>
        <v>1w</v>
      </c>
      <c r="X1929" s="168">
        <f>_xll.qlCalendarAdvance(Calendar,X1928,W1929,"f",FALSE)</f>
        <v>52608</v>
      </c>
      <c r="Y1929" s="173">
        <f>_xll.qlCalendarAdvance(Calendar,X1929,NDays&amp;"D")</f>
        <v>52608</v>
      </c>
      <c r="Z1929" s="174">
        <v>2.0779747729493536E-2</v>
      </c>
      <c r="AA1929" s="177"/>
    </row>
    <row r="1930" spans="22:27" x14ac:dyDescent="0.2">
      <c r="V1930" s="163"/>
      <c r="W1930" s="158" t="str">
        <f t="shared" si="41"/>
        <v>1w</v>
      </c>
      <c r="X1930" s="168">
        <f>_xll.qlCalendarAdvance(Calendar,X1929,W1930,"f",FALSE)</f>
        <v>52615</v>
      </c>
      <c r="Y1930" s="173">
        <f>_xll.qlCalendarAdvance(Calendar,X1930,NDays&amp;"D")</f>
        <v>52615</v>
      </c>
      <c r="Z1930" s="174">
        <v>2.0779518688246457E-2</v>
      </c>
      <c r="AA1930" s="177"/>
    </row>
    <row r="1931" spans="22:27" x14ac:dyDescent="0.2">
      <c r="V1931" s="163"/>
      <c r="W1931" s="158" t="str">
        <f t="shared" si="41"/>
        <v>1w</v>
      </c>
      <c r="X1931" s="168">
        <f>_xll.qlCalendarAdvance(Calendar,X1930,W1931,"f",FALSE)</f>
        <v>52622</v>
      </c>
      <c r="Y1931" s="173">
        <f>_xll.qlCalendarAdvance(Calendar,X1931,NDays&amp;"D")</f>
        <v>52622</v>
      </c>
      <c r="Z1931" s="174">
        <v>2.0779298554066683E-2</v>
      </c>
      <c r="AA1931" s="177"/>
    </row>
    <row r="1932" spans="22:27" x14ac:dyDescent="0.2">
      <c r="V1932" s="163"/>
      <c r="W1932" s="158" t="str">
        <f t="shared" si="41"/>
        <v>1w</v>
      </c>
      <c r="X1932" s="168">
        <f>_xll.qlCalendarAdvance(Calendar,X1931,W1932,"f",FALSE)</f>
        <v>52629</v>
      </c>
      <c r="Y1932" s="173">
        <f>_xll.qlCalendarAdvance(Calendar,X1932,NDays&amp;"D")</f>
        <v>52629</v>
      </c>
      <c r="Z1932" s="174">
        <v>2.0779087327116308E-2</v>
      </c>
      <c r="AA1932" s="177"/>
    </row>
    <row r="1933" spans="22:27" x14ac:dyDescent="0.2">
      <c r="V1933" s="163"/>
      <c r="W1933" s="158" t="str">
        <f t="shared" ref="W1933:W1996" si="42">W1932</f>
        <v>1w</v>
      </c>
      <c r="X1933" s="168">
        <f>_xll.qlCalendarAdvance(Calendar,X1932,W1933,"f",FALSE)</f>
        <v>52636</v>
      </c>
      <c r="Y1933" s="173">
        <f>_xll.qlCalendarAdvance(Calendar,X1933,NDays&amp;"D")</f>
        <v>52636</v>
      </c>
      <c r="Z1933" s="174">
        <v>2.0778885007314285E-2</v>
      </c>
      <c r="AA1933" s="177"/>
    </row>
    <row r="1934" spans="22:27" x14ac:dyDescent="0.2">
      <c r="V1934" s="163"/>
      <c r="W1934" s="158" t="str">
        <f t="shared" si="42"/>
        <v>1w</v>
      </c>
      <c r="X1934" s="168">
        <f>_xll.qlCalendarAdvance(Calendar,X1933,W1934,"f",FALSE)</f>
        <v>52643</v>
      </c>
      <c r="Y1934" s="173">
        <f>_xll.qlCalendarAdvance(Calendar,X1934,NDays&amp;"D")</f>
        <v>52643</v>
      </c>
      <c r="Z1934" s="174">
        <v>2.0778691594660614E-2</v>
      </c>
      <c r="AA1934" s="177"/>
    </row>
    <row r="1935" spans="22:27" x14ac:dyDescent="0.2">
      <c r="V1935" s="163"/>
      <c r="W1935" s="158" t="str">
        <f t="shared" si="42"/>
        <v>1w</v>
      </c>
      <c r="X1935" s="168">
        <f>_xll.qlCalendarAdvance(Calendar,X1934,W1935,"f",FALSE)</f>
        <v>52650</v>
      </c>
      <c r="Y1935" s="173">
        <f>_xll.qlCalendarAdvance(Calendar,X1935,NDays&amp;"D")</f>
        <v>52650</v>
      </c>
      <c r="Z1935" s="174">
        <v>2.0778507089236342E-2</v>
      </c>
      <c r="AA1935" s="177"/>
    </row>
    <row r="1936" spans="22:27" x14ac:dyDescent="0.2">
      <c r="V1936" s="163"/>
      <c r="W1936" s="158" t="str">
        <f t="shared" si="42"/>
        <v>1w</v>
      </c>
      <c r="X1936" s="168">
        <f>_xll.qlCalendarAdvance(Calendar,X1935,W1936,"f",FALSE)</f>
        <v>52657</v>
      </c>
      <c r="Y1936" s="173">
        <f>_xll.qlCalendarAdvance(Calendar,X1936,NDays&amp;"D")</f>
        <v>52657</v>
      </c>
      <c r="Z1936" s="174">
        <v>2.077833149079833E-2</v>
      </c>
      <c r="AA1936" s="177"/>
    </row>
    <row r="1937" spans="22:27" x14ac:dyDescent="0.2">
      <c r="V1937" s="163"/>
      <c r="W1937" s="158" t="str">
        <f t="shared" si="42"/>
        <v>1w</v>
      </c>
      <c r="X1937" s="168">
        <f>_xll.qlCalendarAdvance(Calendar,X1936,W1937,"f",FALSE)</f>
        <v>52664</v>
      </c>
      <c r="Y1937" s="173">
        <f>_xll.qlCalendarAdvance(Calendar,X1937,NDays&amp;"D")</f>
        <v>52664</v>
      </c>
      <c r="Z1937" s="174">
        <v>2.0778164799751808E-2</v>
      </c>
      <c r="AA1937" s="177"/>
    </row>
    <row r="1938" spans="22:27" x14ac:dyDescent="0.2">
      <c r="V1938" s="163"/>
      <c r="W1938" s="158" t="str">
        <f t="shared" si="42"/>
        <v>1w</v>
      </c>
      <c r="X1938" s="168">
        <f>_xll.qlCalendarAdvance(Calendar,X1937,W1938,"f",FALSE)</f>
        <v>52671</v>
      </c>
      <c r="Y1938" s="173">
        <f>_xll.qlCalendarAdvance(Calendar,X1938,NDays&amp;"D")</f>
        <v>52671</v>
      </c>
      <c r="Z1938" s="174">
        <v>2.0778007015691546E-2</v>
      </c>
      <c r="AA1938" s="177"/>
    </row>
    <row r="1939" spans="22:27" x14ac:dyDescent="0.2">
      <c r="V1939" s="163"/>
      <c r="W1939" s="158" t="str">
        <f t="shared" si="42"/>
        <v>1w</v>
      </c>
      <c r="X1939" s="168">
        <f>_xll.qlCalendarAdvance(Calendar,X1938,W1939,"f",FALSE)</f>
        <v>52678</v>
      </c>
      <c r="Y1939" s="173">
        <f>_xll.qlCalendarAdvance(Calendar,X1939,NDays&amp;"D")</f>
        <v>52678</v>
      </c>
      <c r="Z1939" s="174">
        <v>2.0777858138860683E-2</v>
      </c>
      <c r="AA1939" s="177"/>
    </row>
    <row r="1940" spans="22:27" x14ac:dyDescent="0.2">
      <c r="V1940" s="163"/>
      <c r="W1940" s="158" t="str">
        <f t="shared" si="42"/>
        <v>1w</v>
      </c>
      <c r="X1940" s="168">
        <f>_xll.qlCalendarAdvance(Calendar,X1939,W1940,"f",FALSE)</f>
        <v>52685</v>
      </c>
      <c r="Y1940" s="173">
        <f>_xll.qlCalendarAdvance(Calendar,X1940,NDays&amp;"D")</f>
        <v>52685</v>
      </c>
      <c r="Z1940" s="174">
        <v>2.0777718169178172E-2</v>
      </c>
      <c r="AA1940" s="177"/>
    </row>
    <row r="1941" spans="22:27" x14ac:dyDescent="0.2">
      <c r="V1941" s="163"/>
      <c r="W1941" s="158" t="str">
        <f t="shared" si="42"/>
        <v>1w</v>
      </c>
      <c r="X1941" s="168">
        <f>_xll.qlCalendarAdvance(Calendar,X1940,W1941,"f",FALSE)</f>
        <v>52692</v>
      </c>
      <c r="Y1941" s="173">
        <f>_xll.qlCalendarAdvance(Calendar,X1941,NDays&amp;"D")</f>
        <v>52692</v>
      </c>
      <c r="Z1941" s="174">
        <v>2.0777587106644013E-2</v>
      </c>
      <c r="AA1941" s="177"/>
    </row>
    <row r="1942" spans="22:27" x14ac:dyDescent="0.2">
      <c r="V1942" s="163"/>
      <c r="W1942" s="158" t="str">
        <f t="shared" si="42"/>
        <v>1w</v>
      </c>
      <c r="X1942" s="168">
        <f>_xll.qlCalendarAdvance(Calendar,X1941,W1942,"f",FALSE)</f>
        <v>52699</v>
      </c>
      <c r="Y1942" s="173">
        <f>_xll.qlCalendarAdvance(Calendar,X1942,NDays&amp;"D")</f>
        <v>52699</v>
      </c>
      <c r="Z1942" s="174">
        <v>2.0777464951258207E-2</v>
      </c>
      <c r="AA1942" s="177"/>
    </row>
    <row r="1943" spans="22:27" x14ac:dyDescent="0.2">
      <c r="V1943" s="163"/>
      <c r="W1943" s="158" t="str">
        <f t="shared" si="42"/>
        <v>1w</v>
      </c>
      <c r="X1943" s="168">
        <f>_xll.qlCalendarAdvance(Calendar,X1942,W1943,"f",FALSE)</f>
        <v>52706</v>
      </c>
      <c r="Y1943" s="173">
        <f>_xll.qlCalendarAdvance(Calendar,X1943,NDays&amp;"D")</f>
        <v>52706</v>
      </c>
      <c r="Z1943" s="174">
        <v>2.0777351703101798E-2</v>
      </c>
      <c r="AA1943" s="177"/>
    </row>
    <row r="1944" spans="22:27" x14ac:dyDescent="0.2">
      <c r="V1944" s="163"/>
      <c r="W1944" s="158" t="str">
        <f t="shared" si="42"/>
        <v>1w</v>
      </c>
      <c r="X1944" s="168">
        <f>_xll.qlCalendarAdvance(Calendar,X1943,W1944,"f",FALSE)</f>
        <v>52713</v>
      </c>
      <c r="Y1944" s="173">
        <f>_xll.qlCalendarAdvance(Calendar,X1944,NDays&amp;"D")</f>
        <v>52713</v>
      </c>
      <c r="Z1944" s="174">
        <v>2.0777247362093743E-2</v>
      </c>
      <c r="AA1944" s="177"/>
    </row>
    <row r="1945" spans="22:27" x14ac:dyDescent="0.2">
      <c r="V1945" s="163"/>
      <c r="W1945" s="158" t="str">
        <f t="shared" si="42"/>
        <v>1w</v>
      </c>
      <c r="X1945" s="168">
        <f>_xll.qlCalendarAdvance(Calendar,X1944,W1945,"f",FALSE)</f>
        <v>52723</v>
      </c>
      <c r="Y1945" s="173">
        <f>_xll.qlCalendarAdvance(Calendar,X1945,NDays&amp;"D")</f>
        <v>52723</v>
      </c>
      <c r="Z1945" s="174">
        <v>2.0778284183462874E-2</v>
      </c>
      <c r="AA1945" s="177"/>
    </row>
    <row r="1946" spans="22:27" x14ac:dyDescent="0.2">
      <c r="V1946" s="163"/>
      <c r="W1946" s="158" t="str">
        <f t="shared" si="42"/>
        <v>1w</v>
      </c>
      <c r="X1946" s="168">
        <f>_xll.qlCalendarAdvance(Calendar,X1945,W1946,"f",FALSE)</f>
        <v>52730</v>
      </c>
      <c r="Y1946" s="173">
        <f>_xll.qlCalendarAdvance(Calendar,X1946,NDays&amp;"D")</f>
        <v>52730</v>
      </c>
      <c r="Z1946" s="174">
        <v>2.0778202737272714E-2</v>
      </c>
      <c r="AA1946" s="177"/>
    </row>
    <row r="1947" spans="22:27" x14ac:dyDescent="0.2">
      <c r="V1947" s="163"/>
      <c r="W1947" s="158" t="str">
        <f t="shared" si="42"/>
        <v>1w</v>
      </c>
      <c r="X1947" s="168">
        <f>_xll.qlCalendarAdvance(Calendar,X1946,W1947,"f",FALSE)</f>
        <v>52737</v>
      </c>
      <c r="Y1947" s="173">
        <f>_xll.qlCalendarAdvance(Calendar,X1947,NDays&amp;"D")</f>
        <v>52737</v>
      </c>
      <c r="Z1947" s="174">
        <v>2.0778130199257488E-2</v>
      </c>
      <c r="AA1947" s="177"/>
    </row>
    <row r="1948" spans="22:27" x14ac:dyDescent="0.2">
      <c r="V1948" s="163"/>
      <c r="W1948" s="158" t="str">
        <f t="shared" si="42"/>
        <v>1w</v>
      </c>
      <c r="X1948" s="168">
        <f>_xll.qlCalendarAdvance(Calendar,X1947,W1948,"f",FALSE)</f>
        <v>52744</v>
      </c>
      <c r="Y1948" s="173">
        <f>_xll.qlCalendarAdvance(Calendar,X1948,NDays&amp;"D")</f>
        <v>52744</v>
      </c>
      <c r="Z1948" s="174">
        <v>2.0778066569444219E-2</v>
      </c>
      <c r="AA1948" s="177"/>
    </row>
    <row r="1949" spans="22:27" x14ac:dyDescent="0.2">
      <c r="V1949" s="163"/>
      <c r="W1949" s="158" t="str">
        <f t="shared" si="42"/>
        <v>1w</v>
      </c>
      <c r="X1949" s="168">
        <f>_xll.qlCalendarAdvance(Calendar,X1948,W1949,"f",FALSE)</f>
        <v>52751</v>
      </c>
      <c r="Y1949" s="173">
        <f>_xll.qlCalendarAdvance(Calendar,X1949,NDays&amp;"D")</f>
        <v>52751</v>
      </c>
      <c r="Z1949" s="174">
        <v>2.077801184777887E-2</v>
      </c>
      <c r="AA1949" s="177"/>
    </row>
    <row r="1950" spans="22:27" x14ac:dyDescent="0.2">
      <c r="V1950" s="163"/>
      <c r="W1950" s="158" t="str">
        <f t="shared" si="42"/>
        <v>1w</v>
      </c>
      <c r="X1950" s="168">
        <f>_xll.qlCalendarAdvance(Calendar,X1949,W1950,"f",FALSE)</f>
        <v>52758</v>
      </c>
      <c r="Y1950" s="173">
        <f>_xll.qlCalendarAdvance(Calendar,X1950,NDays&amp;"D")</f>
        <v>52758</v>
      </c>
      <c r="Z1950" s="174">
        <v>2.0777966034315479E-2</v>
      </c>
      <c r="AA1950" s="177"/>
    </row>
    <row r="1951" spans="22:27" x14ac:dyDescent="0.2">
      <c r="V1951" s="163"/>
      <c r="W1951" s="158" t="str">
        <f t="shared" si="42"/>
        <v>1w</v>
      </c>
      <c r="X1951" s="168">
        <f>_xll.qlCalendarAdvance(Calendar,X1950,W1951,"f",FALSE)</f>
        <v>52765</v>
      </c>
      <c r="Y1951" s="173">
        <f>_xll.qlCalendarAdvance(Calendar,X1951,NDays&amp;"D")</f>
        <v>52765</v>
      </c>
      <c r="Z1951" s="174">
        <v>2.0777929129027022E-2</v>
      </c>
      <c r="AA1951" s="177"/>
    </row>
    <row r="1952" spans="22:27" x14ac:dyDescent="0.2">
      <c r="V1952" s="163"/>
      <c r="W1952" s="158" t="str">
        <f t="shared" si="42"/>
        <v>1w</v>
      </c>
      <c r="X1952" s="168">
        <f>_xll.qlCalendarAdvance(Calendar,X1951,W1952,"f",FALSE)</f>
        <v>52772</v>
      </c>
      <c r="Y1952" s="173">
        <f>_xll.qlCalendarAdvance(Calendar,X1952,NDays&amp;"D")</f>
        <v>52772</v>
      </c>
      <c r="Z1952" s="174">
        <v>2.0777901131886493E-2</v>
      </c>
      <c r="AA1952" s="177"/>
    </row>
    <row r="1953" spans="22:27" x14ac:dyDescent="0.2">
      <c r="V1953" s="163"/>
      <c r="W1953" s="158" t="str">
        <f t="shared" si="42"/>
        <v>1w</v>
      </c>
      <c r="X1953" s="168">
        <f>_xll.qlCalendarAdvance(Calendar,X1952,W1953,"f",FALSE)</f>
        <v>52779</v>
      </c>
      <c r="Y1953" s="173">
        <f>_xll.qlCalendarAdvance(Calendar,X1953,NDays&amp;"D")</f>
        <v>52779</v>
      </c>
      <c r="Z1953" s="174">
        <v>2.0777882042947914E-2</v>
      </c>
      <c r="AA1953" s="177"/>
    </row>
    <row r="1954" spans="22:27" x14ac:dyDescent="0.2">
      <c r="V1954" s="163"/>
      <c r="W1954" s="158" t="str">
        <f t="shared" si="42"/>
        <v>1w</v>
      </c>
      <c r="X1954" s="168">
        <f>_xll.qlCalendarAdvance(Calendar,X1953,W1954,"f",FALSE)</f>
        <v>52786</v>
      </c>
      <c r="Y1954" s="173">
        <f>_xll.qlCalendarAdvance(Calendar,X1954,NDays&amp;"D")</f>
        <v>52786</v>
      </c>
      <c r="Z1954" s="174">
        <v>2.0777871862184275E-2</v>
      </c>
      <c r="AA1954" s="177"/>
    </row>
    <row r="1955" spans="22:27" x14ac:dyDescent="0.2">
      <c r="V1955" s="163"/>
      <c r="W1955" s="158" t="str">
        <f t="shared" si="42"/>
        <v>1w</v>
      </c>
      <c r="X1955" s="168">
        <f>_xll.qlCalendarAdvance(Calendar,X1954,W1955,"f",FALSE)</f>
        <v>52793</v>
      </c>
      <c r="Y1955" s="173">
        <f>_xll.qlCalendarAdvance(Calendar,X1955,NDays&amp;"D")</f>
        <v>52793</v>
      </c>
      <c r="Z1955" s="174" t="e">
        <v>#N/A</v>
      </c>
      <c r="AA1955" s="177"/>
    </row>
    <row r="1956" spans="22:27" x14ac:dyDescent="0.2">
      <c r="V1956" s="163"/>
      <c r="W1956" s="158" t="str">
        <f t="shared" si="42"/>
        <v>1w</v>
      </c>
      <c r="X1956" s="168">
        <f>_xll.qlCalendarAdvance(Calendar,X1955,W1956,"f",FALSE)</f>
        <v>52800</v>
      </c>
      <c r="Y1956" s="173">
        <f>_xll.qlCalendarAdvance(Calendar,X1956,NDays&amp;"D")</f>
        <v>52800</v>
      </c>
      <c r="Z1956" s="174" t="e">
        <v>#N/A</v>
      </c>
      <c r="AA1956" s="177"/>
    </row>
    <row r="1957" spans="22:27" x14ac:dyDescent="0.2">
      <c r="V1957" s="163"/>
      <c r="W1957" s="158" t="str">
        <f t="shared" si="42"/>
        <v>1w</v>
      </c>
      <c r="X1957" s="168">
        <f>_xll.qlCalendarAdvance(Calendar,X1956,W1957,"f",FALSE)</f>
        <v>52807</v>
      </c>
      <c r="Y1957" s="173">
        <f>_xll.qlCalendarAdvance(Calendar,X1957,NDays&amp;"D")</f>
        <v>52807</v>
      </c>
      <c r="Z1957" s="174" t="e">
        <v>#N/A</v>
      </c>
      <c r="AA1957" s="177"/>
    </row>
    <row r="1958" spans="22:27" x14ac:dyDescent="0.2">
      <c r="V1958" s="163"/>
      <c r="W1958" s="158" t="str">
        <f t="shared" si="42"/>
        <v>1w</v>
      </c>
      <c r="X1958" s="168">
        <f>_xll.qlCalendarAdvance(Calendar,X1957,W1958,"f",FALSE)</f>
        <v>52814</v>
      </c>
      <c r="Y1958" s="173">
        <f>_xll.qlCalendarAdvance(Calendar,X1958,NDays&amp;"D")</f>
        <v>52814</v>
      </c>
      <c r="Z1958" s="174" t="e">
        <v>#N/A</v>
      </c>
      <c r="AA1958" s="177"/>
    </row>
    <row r="1959" spans="22:27" x14ac:dyDescent="0.2">
      <c r="V1959" s="163"/>
      <c r="W1959" s="158" t="str">
        <f t="shared" si="42"/>
        <v>1w</v>
      </c>
      <c r="X1959" s="168">
        <f>_xll.qlCalendarAdvance(Calendar,X1958,W1959,"f",FALSE)</f>
        <v>52821</v>
      </c>
      <c r="Y1959" s="173">
        <f>_xll.qlCalendarAdvance(Calendar,X1959,NDays&amp;"D")</f>
        <v>52821</v>
      </c>
      <c r="Z1959" s="174" t="e">
        <v>#N/A</v>
      </c>
      <c r="AA1959" s="177"/>
    </row>
    <row r="1960" spans="22:27" x14ac:dyDescent="0.2">
      <c r="V1960" s="163"/>
      <c r="W1960" s="158" t="str">
        <f t="shared" si="42"/>
        <v>1w</v>
      </c>
      <c r="X1960" s="168">
        <f>_xll.qlCalendarAdvance(Calendar,X1959,W1960,"f",FALSE)</f>
        <v>52828</v>
      </c>
      <c r="Y1960" s="173">
        <f>_xll.qlCalendarAdvance(Calendar,X1960,NDays&amp;"D")</f>
        <v>52828</v>
      </c>
      <c r="Z1960" s="174" t="e">
        <v>#N/A</v>
      </c>
      <c r="AA1960" s="177"/>
    </row>
    <row r="1961" spans="22:27" x14ac:dyDescent="0.2">
      <c r="V1961" s="163"/>
      <c r="W1961" s="158" t="str">
        <f t="shared" si="42"/>
        <v>1w</v>
      </c>
      <c r="X1961" s="168">
        <f>_xll.qlCalendarAdvance(Calendar,X1960,W1961,"f",FALSE)</f>
        <v>52835</v>
      </c>
      <c r="Y1961" s="173">
        <f>_xll.qlCalendarAdvance(Calendar,X1961,NDays&amp;"D")</f>
        <v>52835</v>
      </c>
      <c r="Z1961" s="174" t="e">
        <v>#N/A</v>
      </c>
      <c r="AA1961" s="177"/>
    </row>
    <row r="1962" spans="22:27" x14ac:dyDescent="0.2">
      <c r="V1962" s="163"/>
      <c r="W1962" s="158" t="str">
        <f t="shared" si="42"/>
        <v>1w</v>
      </c>
      <c r="X1962" s="168">
        <f>_xll.qlCalendarAdvance(Calendar,X1961,W1962,"f",FALSE)</f>
        <v>52842</v>
      </c>
      <c r="Y1962" s="173">
        <f>_xll.qlCalendarAdvance(Calendar,X1962,NDays&amp;"D")</f>
        <v>52842</v>
      </c>
      <c r="Z1962" s="174" t="e">
        <v>#N/A</v>
      </c>
      <c r="AA1962" s="177"/>
    </row>
    <row r="1963" spans="22:27" x14ac:dyDescent="0.2">
      <c r="V1963" s="163"/>
      <c r="W1963" s="158" t="str">
        <f t="shared" si="42"/>
        <v>1w</v>
      </c>
      <c r="X1963" s="168">
        <f>_xll.qlCalendarAdvance(Calendar,X1962,W1963,"f",FALSE)</f>
        <v>52849</v>
      </c>
      <c r="Y1963" s="173">
        <f>_xll.qlCalendarAdvance(Calendar,X1963,NDays&amp;"D")</f>
        <v>52849</v>
      </c>
      <c r="Z1963" s="174" t="e">
        <v>#N/A</v>
      </c>
      <c r="AA1963" s="177"/>
    </row>
    <row r="1964" spans="22:27" x14ac:dyDescent="0.2">
      <c r="V1964" s="163"/>
      <c r="W1964" s="158" t="str">
        <f t="shared" si="42"/>
        <v>1w</v>
      </c>
      <c r="X1964" s="168">
        <f>_xll.qlCalendarAdvance(Calendar,X1963,W1964,"f",FALSE)</f>
        <v>52856</v>
      </c>
      <c r="Y1964" s="173">
        <f>_xll.qlCalendarAdvance(Calendar,X1964,NDays&amp;"D")</f>
        <v>52856</v>
      </c>
      <c r="Z1964" s="174" t="e">
        <v>#N/A</v>
      </c>
      <c r="AA1964" s="177"/>
    </row>
    <row r="1965" spans="22:27" x14ac:dyDescent="0.2">
      <c r="V1965" s="163"/>
      <c r="W1965" s="158" t="str">
        <f t="shared" si="42"/>
        <v>1w</v>
      </c>
      <c r="X1965" s="168">
        <f>_xll.qlCalendarAdvance(Calendar,X1964,W1965,"f",FALSE)</f>
        <v>52863</v>
      </c>
      <c r="Y1965" s="173">
        <f>_xll.qlCalendarAdvance(Calendar,X1965,NDays&amp;"D")</f>
        <v>52863</v>
      </c>
      <c r="Z1965" s="174" t="e">
        <v>#N/A</v>
      </c>
      <c r="AA1965" s="177"/>
    </row>
    <row r="1966" spans="22:27" x14ac:dyDescent="0.2">
      <c r="V1966" s="163"/>
      <c r="W1966" s="158" t="str">
        <f t="shared" si="42"/>
        <v>1w</v>
      </c>
      <c r="X1966" s="168">
        <f>_xll.qlCalendarAdvance(Calendar,X1965,W1966,"f",FALSE)</f>
        <v>52870</v>
      </c>
      <c r="Y1966" s="173">
        <f>_xll.qlCalendarAdvance(Calendar,X1966,NDays&amp;"D")</f>
        <v>52870</v>
      </c>
      <c r="Z1966" s="174" t="e">
        <v>#N/A</v>
      </c>
      <c r="AA1966" s="177"/>
    </row>
    <row r="1967" spans="22:27" x14ac:dyDescent="0.2">
      <c r="V1967" s="163"/>
      <c r="W1967" s="158" t="str">
        <f t="shared" si="42"/>
        <v>1w</v>
      </c>
      <c r="X1967" s="168">
        <f>_xll.qlCalendarAdvance(Calendar,X1966,W1967,"f",FALSE)</f>
        <v>52877</v>
      </c>
      <c r="Y1967" s="173">
        <f>_xll.qlCalendarAdvance(Calendar,X1967,NDays&amp;"D")</f>
        <v>52877</v>
      </c>
      <c r="Z1967" s="174" t="e">
        <v>#N/A</v>
      </c>
      <c r="AA1967" s="177"/>
    </row>
    <row r="1968" spans="22:27" x14ac:dyDescent="0.2">
      <c r="V1968" s="163"/>
      <c r="W1968" s="158" t="str">
        <f t="shared" si="42"/>
        <v>1w</v>
      </c>
      <c r="X1968" s="168">
        <f>_xll.qlCalendarAdvance(Calendar,X1967,W1968,"f",FALSE)</f>
        <v>52884</v>
      </c>
      <c r="Y1968" s="173">
        <f>_xll.qlCalendarAdvance(Calendar,X1968,NDays&amp;"D")</f>
        <v>52884</v>
      </c>
      <c r="Z1968" s="174" t="e">
        <v>#N/A</v>
      </c>
      <c r="AA1968" s="177"/>
    </row>
    <row r="1969" spans="22:27" x14ac:dyDescent="0.2">
      <c r="V1969" s="163"/>
      <c r="W1969" s="158" t="str">
        <f t="shared" si="42"/>
        <v>1w</v>
      </c>
      <c r="X1969" s="168">
        <f>_xll.qlCalendarAdvance(Calendar,X1968,W1969,"f",FALSE)</f>
        <v>52891</v>
      </c>
      <c r="Y1969" s="173">
        <f>_xll.qlCalendarAdvance(Calendar,X1969,NDays&amp;"D")</f>
        <v>52891</v>
      </c>
      <c r="Z1969" s="174" t="e">
        <v>#N/A</v>
      </c>
      <c r="AA1969" s="177"/>
    </row>
    <row r="1970" spans="22:27" x14ac:dyDescent="0.2">
      <c r="V1970" s="163"/>
      <c r="W1970" s="158" t="str">
        <f t="shared" si="42"/>
        <v>1w</v>
      </c>
      <c r="X1970" s="168">
        <f>_xll.qlCalendarAdvance(Calendar,X1969,W1970,"f",FALSE)</f>
        <v>52898</v>
      </c>
      <c r="Y1970" s="173">
        <f>_xll.qlCalendarAdvance(Calendar,X1970,NDays&amp;"D")</f>
        <v>52898</v>
      </c>
      <c r="Z1970" s="174" t="e">
        <v>#N/A</v>
      </c>
      <c r="AA1970" s="177"/>
    </row>
    <row r="1971" spans="22:27" x14ac:dyDescent="0.2">
      <c r="V1971" s="163"/>
      <c r="W1971" s="158" t="str">
        <f t="shared" si="42"/>
        <v>1w</v>
      </c>
      <c r="X1971" s="168">
        <f>_xll.qlCalendarAdvance(Calendar,X1970,W1971,"f",FALSE)</f>
        <v>52905</v>
      </c>
      <c r="Y1971" s="173">
        <f>_xll.qlCalendarAdvance(Calendar,X1971,NDays&amp;"D")</f>
        <v>52905</v>
      </c>
      <c r="Z1971" s="174" t="e">
        <v>#N/A</v>
      </c>
      <c r="AA1971" s="177"/>
    </row>
    <row r="1972" spans="22:27" x14ac:dyDescent="0.2">
      <c r="V1972" s="163"/>
      <c r="W1972" s="158" t="str">
        <f t="shared" si="42"/>
        <v>1w</v>
      </c>
      <c r="X1972" s="168">
        <f>_xll.qlCalendarAdvance(Calendar,X1971,W1972,"f",FALSE)</f>
        <v>52912</v>
      </c>
      <c r="Y1972" s="173">
        <f>_xll.qlCalendarAdvance(Calendar,X1972,NDays&amp;"D")</f>
        <v>52912</v>
      </c>
      <c r="Z1972" s="174" t="e">
        <v>#N/A</v>
      </c>
      <c r="AA1972" s="177"/>
    </row>
    <row r="1973" spans="22:27" x14ac:dyDescent="0.2">
      <c r="V1973" s="163"/>
      <c r="W1973" s="158" t="str">
        <f t="shared" si="42"/>
        <v>1w</v>
      </c>
      <c r="X1973" s="168">
        <f>_xll.qlCalendarAdvance(Calendar,X1972,W1973,"f",FALSE)</f>
        <v>52919</v>
      </c>
      <c r="Y1973" s="173">
        <f>_xll.qlCalendarAdvance(Calendar,X1973,NDays&amp;"D")</f>
        <v>52919</v>
      </c>
      <c r="Z1973" s="174" t="e">
        <v>#N/A</v>
      </c>
      <c r="AA1973" s="177"/>
    </row>
    <row r="1974" spans="22:27" x14ac:dyDescent="0.2">
      <c r="V1974" s="163"/>
      <c r="W1974" s="158" t="str">
        <f t="shared" si="42"/>
        <v>1w</v>
      </c>
      <c r="X1974" s="168">
        <f>_xll.qlCalendarAdvance(Calendar,X1973,W1974,"f",FALSE)</f>
        <v>52926</v>
      </c>
      <c r="Y1974" s="173">
        <f>_xll.qlCalendarAdvance(Calendar,X1974,NDays&amp;"D")</f>
        <v>52926</v>
      </c>
      <c r="Z1974" s="174" t="e">
        <v>#N/A</v>
      </c>
      <c r="AA1974" s="177"/>
    </row>
    <row r="1975" spans="22:27" x14ac:dyDescent="0.2">
      <c r="V1975" s="163"/>
      <c r="W1975" s="158" t="str">
        <f t="shared" si="42"/>
        <v>1w</v>
      </c>
      <c r="X1975" s="168">
        <f>_xll.qlCalendarAdvance(Calendar,X1974,W1975,"f",FALSE)</f>
        <v>52933</v>
      </c>
      <c r="Y1975" s="173">
        <f>_xll.qlCalendarAdvance(Calendar,X1975,NDays&amp;"D")</f>
        <v>52933</v>
      </c>
      <c r="Z1975" s="174" t="e">
        <v>#N/A</v>
      </c>
      <c r="AA1975" s="177"/>
    </row>
    <row r="1976" spans="22:27" x14ac:dyDescent="0.2">
      <c r="V1976" s="163"/>
      <c r="W1976" s="158" t="str">
        <f t="shared" si="42"/>
        <v>1w</v>
      </c>
      <c r="X1976" s="168">
        <f>_xll.qlCalendarAdvance(Calendar,X1975,W1976,"f",FALSE)</f>
        <v>52940</v>
      </c>
      <c r="Y1976" s="173">
        <f>_xll.qlCalendarAdvance(Calendar,X1976,NDays&amp;"D")</f>
        <v>52940</v>
      </c>
      <c r="Z1976" s="174" t="e">
        <v>#N/A</v>
      </c>
      <c r="AA1976" s="177"/>
    </row>
    <row r="1977" spans="22:27" x14ac:dyDescent="0.2">
      <c r="V1977" s="163"/>
      <c r="W1977" s="158" t="str">
        <f t="shared" si="42"/>
        <v>1w</v>
      </c>
      <c r="X1977" s="168">
        <f>_xll.qlCalendarAdvance(Calendar,X1976,W1977,"f",FALSE)</f>
        <v>52947</v>
      </c>
      <c r="Y1977" s="173">
        <f>_xll.qlCalendarAdvance(Calendar,X1977,NDays&amp;"D")</f>
        <v>52947</v>
      </c>
      <c r="Z1977" s="174" t="e">
        <v>#N/A</v>
      </c>
      <c r="AA1977" s="177"/>
    </row>
    <row r="1978" spans="22:27" x14ac:dyDescent="0.2">
      <c r="V1978" s="163"/>
      <c r="W1978" s="158" t="str">
        <f t="shared" si="42"/>
        <v>1w</v>
      </c>
      <c r="X1978" s="168">
        <f>_xll.qlCalendarAdvance(Calendar,X1977,W1978,"f",FALSE)</f>
        <v>52957</v>
      </c>
      <c r="Y1978" s="173">
        <f>_xll.qlCalendarAdvance(Calendar,X1978,NDays&amp;"D")</f>
        <v>52957</v>
      </c>
      <c r="Z1978" s="174" t="e">
        <v>#N/A</v>
      </c>
      <c r="AA1978" s="177"/>
    </row>
    <row r="1979" spans="22:27" x14ac:dyDescent="0.2">
      <c r="V1979" s="163"/>
      <c r="W1979" s="158" t="str">
        <f t="shared" si="42"/>
        <v>1w</v>
      </c>
      <c r="X1979" s="168">
        <f>_xll.qlCalendarAdvance(Calendar,X1978,W1979,"f",FALSE)</f>
        <v>52966</v>
      </c>
      <c r="Y1979" s="173">
        <f>_xll.qlCalendarAdvance(Calendar,X1979,NDays&amp;"D")</f>
        <v>52966</v>
      </c>
      <c r="Z1979" s="174" t="e">
        <v>#N/A</v>
      </c>
      <c r="AA1979" s="177"/>
    </row>
    <row r="1980" spans="22:27" x14ac:dyDescent="0.2">
      <c r="V1980" s="163"/>
      <c r="W1980" s="158" t="str">
        <f t="shared" si="42"/>
        <v>1w</v>
      </c>
      <c r="X1980" s="168">
        <f>_xll.qlCalendarAdvance(Calendar,X1979,W1980,"f",FALSE)</f>
        <v>52973</v>
      </c>
      <c r="Y1980" s="173">
        <f>_xll.qlCalendarAdvance(Calendar,X1980,NDays&amp;"D")</f>
        <v>52973</v>
      </c>
      <c r="Z1980" s="174" t="e">
        <v>#N/A</v>
      </c>
      <c r="AA1980" s="177"/>
    </row>
    <row r="1981" spans="22:27" x14ac:dyDescent="0.2">
      <c r="V1981" s="163"/>
      <c r="W1981" s="158" t="str">
        <f t="shared" si="42"/>
        <v>1w</v>
      </c>
      <c r="X1981" s="168">
        <f>_xll.qlCalendarAdvance(Calendar,X1980,W1981,"f",FALSE)</f>
        <v>52980</v>
      </c>
      <c r="Y1981" s="173">
        <f>_xll.qlCalendarAdvance(Calendar,X1981,NDays&amp;"D")</f>
        <v>52980</v>
      </c>
      <c r="Z1981" s="174" t="e">
        <v>#N/A</v>
      </c>
      <c r="AA1981" s="177"/>
    </row>
    <row r="1982" spans="22:27" x14ac:dyDescent="0.2">
      <c r="V1982" s="163"/>
      <c r="W1982" s="158" t="str">
        <f t="shared" si="42"/>
        <v>1w</v>
      </c>
      <c r="X1982" s="168">
        <f>_xll.qlCalendarAdvance(Calendar,X1981,W1982,"f",FALSE)</f>
        <v>52987</v>
      </c>
      <c r="Y1982" s="173">
        <f>_xll.qlCalendarAdvance(Calendar,X1982,NDays&amp;"D")</f>
        <v>52987</v>
      </c>
      <c r="Z1982" s="174" t="e">
        <v>#N/A</v>
      </c>
      <c r="AA1982" s="177"/>
    </row>
    <row r="1983" spans="22:27" x14ac:dyDescent="0.2">
      <c r="V1983" s="163"/>
      <c r="W1983" s="158" t="str">
        <f t="shared" si="42"/>
        <v>1w</v>
      </c>
      <c r="X1983" s="168">
        <f>_xll.qlCalendarAdvance(Calendar,X1982,W1983,"f",FALSE)</f>
        <v>52994</v>
      </c>
      <c r="Y1983" s="173">
        <f>_xll.qlCalendarAdvance(Calendar,X1983,NDays&amp;"D")</f>
        <v>52994</v>
      </c>
      <c r="Z1983" s="174" t="e">
        <v>#N/A</v>
      </c>
      <c r="AA1983" s="177"/>
    </row>
    <row r="1984" spans="22:27" x14ac:dyDescent="0.2">
      <c r="V1984" s="163"/>
      <c r="W1984" s="158" t="str">
        <f t="shared" si="42"/>
        <v>1w</v>
      </c>
      <c r="X1984" s="168">
        <f>_xll.qlCalendarAdvance(Calendar,X1983,W1984,"f",FALSE)</f>
        <v>53001</v>
      </c>
      <c r="Y1984" s="173">
        <f>_xll.qlCalendarAdvance(Calendar,X1984,NDays&amp;"D")</f>
        <v>53001</v>
      </c>
      <c r="Z1984" s="174" t="e">
        <v>#N/A</v>
      </c>
      <c r="AA1984" s="177"/>
    </row>
    <row r="1985" spans="22:27" x14ac:dyDescent="0.2">
      <c r="V1985" s="163"/>
      <c r="W1985" s="158" t="str">
        <f t="shared" si="42"/>
        <v>1w</v>
      </c>
      <c r="X1985" s="168">
        <f>_xll.qlCalendarAdvance(Calendar,X1984,W1985,"f",FALSE)</f>
        <v>53008</v>
      </c>
      <c r="Y1985" s="173">
        <f>_xll.qlCalendarAdvance(Calendar,X1985,NDays&amp;"D")</f>
        <v>53008</v>
      </c>
      <c r="Z1985" s="174" t="e">
        <v>#N/A</v>
      </c>
      <c r="AA1985" s="177"/>
    </row>
    <row r="1986" spans="22:27" x14ac:dyDescent="0.2">
      <c r="V1986" s="163"/>
      <c r="W1986" s="158" t="str">
        <f t="shared" si="42"/>
        <v>1w</v>
      </c>
      <c r="X1986" s="168">
        <f>_xll.qlCalendarAdvance(Calendar,X1985,W1986,"f",FALSE)</f>
        <v>53015</v>
      </c>
      <c r="Y1986" s="173">
        <f>_xll.qlCalendarAdvance(Calendar,X1986,NDays&amp;"D")</f>
        <v>53015</v>
      </c>
      <c r="Z1986" s="174" t="e">
        <v>#N/A</v>
      </c>
      <c r="AA1986" s="177"/>
    </row>
    <row r="1987" spans="22:27" x14ac:dyDescent="0.2">
      <c r="V1987" s="163"/>
      <c r="W1987" s="158" t="str">
        <f t="shared" si="42"/>
        <v>1w</v>
      </c>
      <c r="X1987" s="168">
        <f>_xll.qlCalendarAdvance(Calendar,X1986,W1987,"f",FALSE)</f>
        <v>53022</v>
      </c>
      <c r="Y1987" s="173">
        <f>_xll.qlCalendarAdvance(Calendar,X1987,NDays&amp;"D")</f>
        <v>53022</v>
      </c>
      <c r="Z1987" s="174" t="e">
        <v>#N/A</v>
      </c>
      <c r="AA1987" s="177"/>
    </row>
    <row r="1988" spans="22:27" x14ac:dyDescent="0.2">
      <c r="V1988" s="163"/>
      <c r="W1988" s="158" t="str">
        <f t="shared" si="42"/>
        <v>1w</v>
      </c>
      <c r="X1988" s="168">
        <f>_xll.qlCalendarAdvance(Calendar,X1987,W1988,"f",FALSE)</f>
        <v>53029</v>
      </c>
      <c r="Y1988" s="173">
        <f>_xll.qlCalendarAdvance(Calendar,X1988,NDays&amp;"D")</f>
        <v>53029</v>
      </c>
      <c r="Z1988" s="174" t="e">
        <v>#N/A</v>
      </c>
      <c r="AA1988" s="177"/>
    </row>
    <row r="1989" spans="22:27" x14ac:dyDescent="0.2">
      <c r="V1989" s="163"/>
      <c r="W1989" s="158" t="str">
        <f t="shared" si="42"/>
        <v>1w</v>
      </c>
      <c r="X1989" s="168">
        <f>_xll.qlCalendarAdvance(Calendar,X1988,W1989,"f",FALSE)</f>
        <v>53036</v>
      </c>
      <c r="Y1989" s="173">
        <f>_xll.qlCalendarAdvance(Calendar,X1989,NDays&amp;"D")</f>
        <v>53036</v>
      </c>
      <c r="Z1989" s="174" t="e">
        <v>#N/A</v>
      </c>
      <c r="AA1989" s="177"/>
    </row>
    <row r="1990" spans="22:27" x14ac:dyDescent="0.2">
      <c r="V1990" s="163"/>
      <c r="W1990" s="158" t="str">
        <f t="shared" si="42"/>
        <v>1w</v>
      </c>
      <c r="X1990" s="168">
        <f>_xll.qlCalendarAdvance(Calendar,X1989,W1990,"f",FALSE)</f>
        <v>53043</v>
      </c>
      <c r="Y1990" s="173">
        <f>_xll.qlCalendarAdvance(Calendar,X1990,NDays&amp;"D")</f>
        <v>53043</v>
      </c>
      <c r="Z1990" s="174" t="e">
        <v>#N/A</v>
      </c>
      <c r="AA1990" s="177"/>
    </row>
    <row r="1991" spans="22:27" x14ac:dyDescent="0.2">
      <c r="V1991" s="163"/>
      <c r="W1991" s="158" t="str">
        <f t="shared" si="42"/>
        <v>1w</v>
      </c>
      <c r="X1991" s="168">
        <f>_xll.qlCalendarAdvance(Calendar,X1990,W1991,"f",FALSE)</f>
        <v>53050</v>
      </c>
      <c r="Y1991" s="173">
        <f>_xll.qlCalendarAdvance(Calendar,X1991,NDays&amp;"D")</f>
        <v>53050</v>
      </c>
      <c r="Z1991" s="174" t="e">
        <v>#N/A</v>
      </c>
      <c r="AA1991" s="177"/>
    </row>
    <row r="1992" spans="22:27" x14ac:dyDescent="0.2">
      <c r="V1992" s="163"/>
      <c r="W1992" s="158" t="str">
        <f t="shared" si="42"/>
        <v>1w</v>
      </c>
      <c r="X1992" s="168">
        <f>_xll.qlCalendarAdvance(Calendar,X1991,W1992,"f",FALSE)</f>
        <v>53057</v>
      </c>
      <c r="Y1992" s="173">
        <f>_xll.qlCalendarAdvance(Calendar,X1992,NDays&amp;"D")</f>
        <v>53057</v>
      </c>
      <c r="Z1992" s="174" t="e">
        <v>#N/A</v>
      </c>
      <c r="AA1992" s="177"/>
    </row>
    <row r="1993" spans="22:27" x14ac:dyDescent="0.2">
      <c r="V1993" s="163"/>
      <c r="W1993" s="158" t="str">
        <f t="shared" si="42"/>
        <v>1w</v>
      </c>
      <c r="X1993" s="168">
        <f>_xll.qlCalendarAdvance(Calendar,X1992,W1993,"f",FALSE)</f>
        <v>53064</v>
      </c>
      <c r="Y1993" s="173">
        <f>_xll.qlCalendarAdvance(Calendar,X1993,NDays&amp;"D")</f>
        <v>53064</v>
      </c>
      <c r="Z1993" s="174" t="e">
        <v>#N/A</v>
      </c>
      <c r="AA1993" s="177"/>
    </row>
    <row r="1994" spans="22:27" x14ac:dyDescent="0.2">
      <c r="V1994" s="163"/>
      <c r="W1994" s="158" t="str">
        <f t="shared" si="42"/>
        <v>1w</v>
      </c>
      <c r="X1994" s="168">
        <f>_xll.qlCalendarAdvance(Calendar,X1993,W1994,"f",FALSE)</f>
        <v>53071</v>
      </c>
      <c r="Y1994" s="173">
        <f>_xll.qlCalendarAdvance(Calendar,X1994,NDays&amp;"D")</f>
        <v>53071</v>
      </c>
      <c r="Z1994" s="174" t="e">
        <v>#N/A</v>
      </c>
      <c r="AA1994" s="177"/>
    </row>
    <row r="1995" spans="22:27" x14ac:dyDescent="0.2">
      <c r="V1995" s="163"/>
      <c r="W1995" s="158" t="str">
        <f t="shared" si="42"/>
        <v>1w</v>
      </c>
      <c r="X1995" s="168">
        <f>_xll.qlCalendarAdvance(Calendar,X1994,W1995,"f",FALSE)</f>
        <v>53078</v>
      </c>
      <c r="Y1995" s="173">
        <f>_xll.qlCalendarAdvance(Calendar,X1995,NDays&amp;"D")</f>
        <v>53078</v>
      </c>
      <c r="Z1995" s="174" t="e">
        <v>#N/A</v>
      </c>
      <c r="AA1995" s="177"/>
    </row>
    <row r="1996" spans="22:27" x14ac:dyDescent="0.2">
      <c r="V1996" s="163"/>
      <c r="W1996" s="158" t="str">
        <f t="shared" si="42"/>
        <v>1w</v>
      </c>
      <c r="X1996" s="168">
        <f>_xll.qlCalendarAdvance(Calendar,X1995,W1996,"f",FALSE)</f>
        <v>53090</v>
      </c>
      <c r="Y1996" s="173">
        <f>_xll.qlCalendarAdvance(Calendar,X1996,NDays&amp;"D")</f>
        <v>53090</v>
      </c>
      <c r="Z1996" s="174" t="e">
        <v>#N/A</v>
      </c>
      <c r="AA1996" s="177"/>
    </row>
    <row r="1997" spans="22:27" x14ac:dyDescent="0.2">
      <c r="V1997" s="163"/>
      <c r="W1997" s="158" t="str">
        <f t="shared" ref="W1997:W2060" si="43">W1996</f>
        <v>1w</v>
      </c>
      <c r="X1997" s="168">
        <f>_xll.qlCalendarAdvance(Calendar,X1996,W1997,"f",FALSE)</f>
        <v>53097</v>
      </c>
      <c r="Y1997" s="173">
        <f>_xll.qlCalendarAdvance(Calendar,X1997,NDays&amp;"D")</f>
        <v>53097</v>
      </c>
      <c r="Z1997" s="174" t="e">
        <v>#N/A</v>
      </c>
      <c r="AA1997" s="177"/>
    </row>
    <row r="1998" spans="22:27" x14ac:dyDescent="0.2">
      <c r="V1998" s="163"/>
      <c r="W1998" s="158" t="str">
        <f t="shared" si="43"/>
        <v>1w</v>
      </c>
      <c r="X1998" s="168">
        <f>_xll.qlCalendarAdvance(Calendar,X1997,W1998,"f",FALSE)</f>
        <v>53104</v>
      </c>
      <c r="Y1998" s="173">
        <f>_xll.qlCalendarAdvance(Calendar,X1998,NDays&amp;"D")</f>
        <v>53104</v>
      </c>
      <c r="Z1998" s="174" t="e">
        <v>#N/A</v>
      </c>
      <c r="AA1998" s="177"/>
    </row>
    <row r="1999" spans="22:27" x14ac:dyDescent="0.2">
      <c r="V1999" s="163"/>
      <c r="W1999" s="158" t="str">
        <f t="shared" si="43"/>
        <v>1w</v>
      </c>
      <c r="X1999" s="168">
        <f>_xll.qlCalendarAdvance(Calendar,X1998,W1999,"f",FALSE)</f>
        <v>53111</v>
      </c>
      <c r="Y1999" s="173">
        <f>_xll.qlCalendarAdvance(Calendar,X1999,NDays&amp;"D")</f>
        <v>53111</v>
      </c>
      <c r="Z1999" s="174" t="e">
        <v>#N/A</v>
      </c>
      <c r="AA1999" s="177"/>
    </row>
    <row r="2000" spans="22:27" x14ac:dyDescent="0.2">
      <c r="V2000" s="163"/>
      <c r="W2000" s="158" t="str">
        <f t="shared" si="43"/>
        <v>1w</v>
      </c>
      <c r="X2000" s="168">
        <f>_xll.qlCalendarAdvance(Calendar,X1999,W2000,"f",FALSE)</f>
        <v>53118</v>
      </c>
      <c r="Y2000" s="173">
        <f>_xll.qlCalendarAdvance(Calendar,X2000,NDays&amp;"D")</f>
        <v>53118</v>
      </c>
      <c r="Z2000" s="174" t="e">
        <v>#N/A</v>
      </c>
      <c r="AA2000" s="177"/>
    </row>
    <row r="2001" spans="22:27" x14ac:dyDescent="0.2">
      <c r="V2001" s="163"/>
      <c r="W2001" s="158" t="str">
        <f t="shared" si="43"/>
        <v>1w</v>
      </c>
      <c r="X2001" s="168">
        <f>_xll.qlCalendarAdvance(Calendar,X2000,W2001,"f",FALSE)</f>
        <v>53125</v>
      </c>
      <c r="Y2001" s="173">
        <f>_xll.qlCalendarAdvance(Calendar,X2001,NDays&amp;"D")</f>
        <v>53125</v>
      </c>
      <c r="Z2001" s="174" t="e">
        <v>#N/A</v>
      </c>
      <c r="AA2001" s="177"/>
    </row>
    <row r="2002" spans="22:27" x14ac:dyDescent="0.2">
      <c r="V2002" s="163"/>
      <c r="W2002" s="158" t="str">
        <f t="shared" si="43"/>
        <v>1w</v>
      </c>
      <c r="X2002" s="168">
        <f>_xll.qlCalendarAdvance(Calendar,X2001,W2002,"f",FALSE)</f>
        <v>53132</v>
      </c>
      <c r="Y2002" s="173">
        <f>_xll.qlCalendarAdvance(Calendar,X2002,NDays&amp;"D")</f>
        <v>53132</v>
      </c>
      <c r="Z2002" s="174" t="e">
        <v>#N/A</v>
      </c>
      <c r="AA2002" s="177"/>
    </row>
    <row r="2003" spans="22:27" x14ac:dyDescent="0.2">
      <c r="V2003" s="163"/>
      <c r="W2003" s="158" t="str">
        <f t="shared" si="43"/>
        <v>1w</v>
      </c>
      <c r="X2003" s="168">
        <f>_xll.qlCalendarAdvance(Calendar,X2002,W2003,"f",FALSE)</f>
        <v>53139</v>
      </c>
      <c r="Y2003" s="173">
        <f>_xll.qlCalendarAdvance(Calendar,X2003,NDays&amp;"D")</f>
        <v>53139</v>
      </c>
      <c r="Z2003" s="174" t="e">
        <v>#N/A</v>
      </c>
      <c r="AA2003" s="177"/>
    </row>
    <row r="2004" spans="22:27" x14ac:dyDescent="0.2">
      <c r="V2004" s="163"/>
      <c r="W2004" s="158" t="str">
        <f t="shared" si="43"/>
        <v>1w</v>
      </c>
      <c r="X2004" s="168">
        <f>_xll.qlCalendarAdvance(Calendar,X2003,W2004,"f",FALSE)</f>
        <v>53146</v>
      </c>
      <c r="Y2004" s="173">
        <f>_xll.qlCalendarAdvance(Calendar,X2004,NDays&amp;"D")</f>
        <v>53146</v>
      </c>
      <c r="Z2004" s="174" t="e">
        <v>#N/A</v>
      </c>
      <c r="AA2004" s="177"/>
    </row>
    <row r="2005" spans="22:27" x14ac:dyDescent="0.2">
      <c r="V2005" s="163"/>
      <c r="W2005" s="158" t="str">
        <f t="shared" si="43"/>
        <v>1w</v>
      </c>
      <c r="X2005" s="168">
        <f>_xll.qlCalendarAdvance(Calendar,X2004,W2005,"f",FALSE)</f>
        <v>53153</v>
      </c>
      <c r="Y2005" s="173">
        <f>_xll.qlCalendarAdvance(Calendar,X2005,NDays&amp;"D")</f>
        <v>53153</v>
      </c>
      <c r="Z2005" s="174" t="e">
        <v>#N/A</v>
      </c>
      <c r="AA2005" s="177"/>
    </row>
    <row r="2006" spans="22:27" x14ac:dyDescent="0.2">
      <c r="V2006" s="163"/>
      <c r="W2006" s="158" t="str">
        <f t="shared" si="43"/>
        <v>1w</v>
      </c>
      <c r="X2006" s="168">
        <f>_xll.qlCalendarAdvance(Calendar,X2005,W2006,"f",FALSE)</f>
        <v>53161</v>
      </c>
      <c r="Y2006" s="173">
        <f>_xll.qlCalendarAdvance(Calendar,X2006,NDays&amp;"D")</f>
        <v>53161</v>
      </c>
      <c r="Z2006" s="174" t="e">
        <v>#N/A</v>
      </c>
      <c r="AA2006" s="177"/>
    </row>
    <row r="2007" spans="22:27" x14ac:dyDescent="0.2">
      <c r="V2007" s="163"/>
      <c r="W2007" s="158" t="str">
        <f t="shared" si="43"/>
        <v>1w</v>
      </c>
      <c r="X2007" s="168">
        <f>_xll.qlCalendarAdvance(Calendar,X2006,W2007,"f",FALSE)</f>
        <v>53168</v>
      </c>
      <c r="Y2007" s="173">
        <f>_xll.qlCalendarAdvance(Calendar,X2007,NDays&amp;"D")</f>
        <v>53168</v>
      </c>
      <c r="Z2007" s="174" t="e">
        <v>#N/A</v>
      </c>
      <c r="AA2007" s="177"/>
    </row>
    <row r="2008" spans="22:27" x14ac:dyDescent="0.2">
      <c r="V2008" s="163"/>
      <c r="W2008" s="158" t="str">
        <f t="shared" si="43"/>
        <v>1w</v>
      </c>
      <c r="X2008" s="168">
        <f>_xll.qlCalendarAdvance(Calendar,X2007,W2008,"f",FALSE)</f>
        <v>53175</v>
      </c>
      <c r="Y2008" s="173">
        <f>_xll.qlCalendarAdvance(Calendar,X2008,NDays&amp;"D")</f>
        <v>53175</v>
      </c>
      <c r="Z2008" s="174" t="e">
        <v>#N/A</v>
      </c>
      <c r="AA2008" s="177"/>
    </row>
    <row r="2009" spans="22:27" x14ac:dyDescent="0.2">
      <c r="V2009" s="163"/>
      <c r="W2009" s="158" t="str">
        <f t="shared" si="43"/>
        <v>1w</v>
      </c>
      <c r="X2009" s="168">
        <f>_xll.qlCalendarAdvance(Calendar,X2008,W2009,"f",FALSE)</f>
        <v>53182</v>
      </c>
      <c r="Y2009" s="173">
        <f>_xll.qlCalendarAdvance(Calendar,X2009,NDays&amp;"D")</f>
        <v>53182</v>
      </c>
      <c r="Z2009" s="174" t="e">
        <v>#N/A</v>
      </c>
      <c r="AA2009" s="177"/>
    </row>
    <row r="2010" spans="22:27" x14ac:dyDescent="0.2">
      <c r="V2010" s="163"/>
      <c r="W2010" s="158" t="str">
        <f t="shared" si="43"/>
        <v>1w</v>
      </c>
      <c r="X2010" s="168">
        <f>_xll.qlCalendarAdvance(Calendar,X2009,W2010,"f",FALSE)</f>
        <v>53189</v>
      </c>
      <c r="Y2010" s="173">
        <f>_xll.qlCalendarAdvance(Calendar,X2010,NDays&amp;"D")</f>
        <v>53189</v>
      </c>
      <c r="Z2010" s="174" t="e">
        <v>#N/A</v>
      </c>
      <c r="AA2010" s="177"/>
    </row>
    <row r="2011" spans="22:27" x14ac:dyDescent="0.2">
      <c r="V2011" s="163"/>
      <c r="W2011" s="158" t="str">
        <f t="shared" si="43"/>
        <v>1w</v>
      </c>
      <c r="X2011" s="168">
        <f>_xll.qlCalendarAdvance(Calendar,X2010,W2011,"f",FALSE)</f>
        <v>53196</v>
      </c>
      <c r="Y2011" s="173">
        <f>_xll.qlCalendarAdvance(Calendar,X2011,NDays&amp;"D")</f>
        <v>53196</v>
      </c>
      <c r="Z2011" s="174" t="e">
        <v>#N/A</v>
      </c>
      <c r="AA2011" s="177"/>
    </row>
    <row r="2012" spans="22:27" x14ac:dyDescent="0.2">
      <c r="V2012" s="163"/>
      <c r="W2012" s="158" t="str">
        <f t="shared" si="43"/>
        <v>1w</v>
      </c>
      <c r="X2012" s="168">
        <f>_xll.qlCalendarAdvance(Calendar,X2011,W2012,"f",FALSE)</f>
        <v>53203</v>
      </c>
      <c r="Y2012" s="173">
        <f>_xll.qlCalendarAdvance(Calendar,X2012,NDays&amp;"D")</f>
        <v>53203</v>
      </c>
      <c r="Z2012" s="174" t="e">
        <v>#N/A</v>
      </c>
      <c r="AA2012" s="177"/>
    </row>
    <row r="2013" spans="22:27" x14ac:dyDescent="0.2">
      <c r="V2013" s="163"/>
      <c r="W2013" s="158" t="str">
        <f t="shared" si="43"/>
        <v>1w</v>
      </c>
      <c r="X2013" s="168">
        <f>_xll.qlCalendarAdvance(Calendar,X2012,W2013,"f",FALSE)</f>
        <v>53210</v>
      </c>
      <c r="Y2013" s="173">
        <f>_xll.qlCalendarAdvance(Calendar,X2013,NDays&amp;"D")</f>
        <v>53210</v>
      </c>
      <c r="Z2013" s="174" t="e">
        <v>#N/A</v>
      </c>
      <c r="AA2013" s="177"/>
    </row>
    <row r="2014" spans="22:27" x14ac:dyDescent="0.2">
      <c r="V2014" s="163"/>
      <c r="W2014" s="158" t="str">
        <f t="shared" si="43"/>
        <v>1w</v>
      </c>
      <c r="X2014" s="168">
        <f>_xll.qlCalendarAdvance(Calendar,X2013,W2014,"f",FALSE)</f>
        <v>53217</v>
      </c>
      <c r="Y2014" s="173">
        <f>_xll.qlCalendarAdvance(Calendar,X2014,NDays&amp;"D")</f>
        <v>53217</v>
      </c>
      <c r="Z2014" s="174" t="e">
        <v>#N/A</v>
      </c>
      <c r="AA2014" s="177"/>
    </row>
    <row r="2015" spans="22:27" x14ac:dyDescent="0.2">
      <c r="V2015" s="163"/>
      <c r="W2015" s="158" t="str">
        <f t="shared" si="43"/>
        <v>1w</v>
      </c>
      <c r="X2015" s="168">
        <f>_xll.qlCalendarAdvance(Calendar,X2014,W2015,"f",FALSE)</f>
        <v>53224</v>
      </c>
      <c r="Y2015" s="173">
        <f>_xll.qlCalendarAdvance(Calendar,X2015,NDays&amp;"D")</f>
        <v>53224</v>
      </c>
      <c r="Z2015" s="174" t="e">
        <v>#N/A</v>
      </c>
      <c r="AA2015" s="177"/>
    </row>
    <row r="2016" spans="22:27" x14ac:dyDescent="0.2">
      <c r="V2016" s="163"/>
      <c r="W2016" s="158" t="str">
        <f t="shared" si="43"/>
        <v>1w</v>
      </c>
      <c r="X2016" s="168">
        <f>_xll.qlCalendarAdvance(Calendar,X2015,W2016,"f",FALSE)</f>
        <v>53231</v>
      </c>
      <c r="Y2016" s="173">
        <f>_xll.qlCalendarAdvance(Calendar,X2016,NDays&amp;"D")</f>
        <v>53231</v>
      </c>
      <c r="Z2016" s="174" t="e">
        <v>#N/A</v>
      </c>
      <c r="AA2016" s="177"/>
    </row>
    <row r="2017" spans="22:27" x14ac:dyDescent="0.2">
      <c r="V2017" s="163"/>
      <c r="W2017" s="158" t="str">
        <f t="shared" si="43"/>
        <v>1w</v>
      </c>
      <c r="X2017" s="168">
        <f>_xll.qlCalendarAdvance(Calendar,X2016,W2017,"f",FALSE)</f>
        <v>53238</v>
      </c>
      <c r="Y2017" s="173">
        <f>_xll.qlCalendarAdvance(Calendar,X2017,NDays&amp;"D")</f>
        <v>53238</v>
      </c>
      <c r="Z2017" s="174" t="e">
        <v>#N/A</v>
      </c>
      <c r="AA2017" s="177"/>
    </row>
    <row r="2018" spans="22:27" x14ac:dyDescent="0.2">
      <c r="V2018" s="163"/>
      <c r="W2018" s="158" t="str">
        <f t="shared" si="43"/>
        <v>1w</v>
      </c>
      <c r="X2018" s="168">
        <f>_xll.qlCalendarAdvance(Calendar,X2017,W2018,"f",FALSE)</f>
        <v>53245</v>
      </c>
      <c r="Y2018" s="173">
        <f>_xll.qlCalendarAdvance(Calendar,X2018,NDays&amp;"D")</f>
        <v>53245</v>
      </c>
      <c r="Z2018" s="174" t="e">
        <v>#N/A</v>
      </c>
      <c r="AA2018" s="177"/>
    </row>
    <row r="2019" spans="22:27" x14ac:dyDescent="0.2">
      <c r="V2019" s="163"/>
      <c r="W2019" s="158" t="str">
        <f t="shared" si="43"/>
        <v>1w</v>
      </c>
      <c r="X2019" s="168">
        <f>_xll.qlCalendarAdvance(Calendar,X2018,W2019,"f",FALSE)</f>
        <v>53252</v>
      </c>
      <c r="Y2019" s="173">
        <f>_xll.qlCalendarAdvance(Calendar,X2019,NDays&amp;"D")</f>
        <v>53252</v>
      </c>
      <c r="Z2019" s="174" t="e">
        <v>#N/A</v>
      </c>
      <c r="AA2019" s="177"/>
    </row>
    <row r="2020" spans="22:27" x14ac:dyDescent="0.2">
      <c r="V2020" s="163"/>
      <c r="W2020" s="158" t="str">
        <f t="shared" si="43"/>
        <v>1w</v>
      </c>
      <c r="X2020" s="168">
        <f>_xll.qlCalendarAdvance(Calendar,X2019,W2020,"f",FALSE)</f>
        <v>53259</v>
      </c>
      <c r="Y2020" s="173">
        <f>_xll.qlCalendarAdvance(Calendar,X2020,NDays&amp;"D")</f>
        <v>53259</v>
      </c>
      <c r="Z2020" s="174" t="e">
        <v>#N/A</v>
      </c>
      <c r="AA2020" s="177"/>
    </row>
    <row r="2021" spans="22:27" x14ac:dyDescent="0.2">
      <c r="V2021" s="163"/>
      <c r="W2021" s="158" t="str">
        <f t="shared" si="43"/>
        <v>1w</v>
      </c>
      <c r="X2021" s="168">
        <f>_xll.qlCalendarAdvance(Calendar,X2020,W2021,"f",FALSE)</f>
        <v>53266</v>
      </c>
      <c r="Y2021" s="173">
        <f>_xll.qlCalendarAdvance(Calendar,X2021,NDays&amp;"D")</f>
        <v>53266</v>
      </c>
      <c r="Z2021" s="174" t="e">
        <v>#N/A</v>
      </c>
      <c r="AA2021" s="177"/>
    </row>
    <row r="2022" spans="22:27" x14ac:dyDescent="0.2">
      <c r="V2022" s="163"/>
      <c r="W2022" s="158" t="str">
        <f t="shared" si="43"/>
        <v>1w</v>
      </c>
      <c r="X2022" s="168">
        <f>_xll.qlCalendarAdvance(Calendar,X2021,W2022,"f",FALSE)</f>
        <v>53273</v>
      </c>
      <c r="Y2022" s="173">
        <f>_xll.qlCalendarAdvance(Calendar,X2022,NDays&amp;"D")</f>
        <v>53273</v>
      </c>
      <c r="Z2022" s="174" t="e">
        <v>#N/A</v>
      </c>
      <c r="AA2022" s="177"/>
    </row>
    <row r="2023" spans="22:27" x14ac:dyDescent="0.2">
      <c r="V2023" s="163"/>
      <c r="W2023" s="158" t="str">
        <f t="shared" si="43"/>
        <v>1w</v>
      </c>
      <c r="X2023" s="168">
        <f>_xll.qlCalendarAdvance(Calendar,X2022,W2023,"f",FALSE)</f>
        <v>53280</v>
      </c>
      <c r="Y2023" s="173">
        <f>_xll.qlCalendarAdvance(Calendar,X2023,NDays&amp;"D")</f>
        <v>53280</v>
      </c>
      <c r="Z2023" s="174" t="e">
        <v>#N/A</v>
      </c>
      <c r="AA2023" s="177"/>
    </row>
    <row r="2024" spans="22:27" x14ac:dyDescent="0.2">
      <c r="V2024" s="163"/>
      <c r="W2024" s="158" t="str">
        <f t="shared" si="43"/>
        <v>1w</v>
      </c>
      <c r="X2024" s="168">
        <f>_xll.qlCalendarAdvance(Calendar,X2023,W2024,"f",FALSE)</f>
        <v>53287</v>
      </c>
      <c r="Y2024" s="173">
        <f>_xll.qlCalendarAdvance(Calendar,X2024,NDays&amp;"D")</f>
        <v>53287</v>
      </c>
      <c r="Z2024" s="174" t="e">
        <v>#N/A</v>
      </c>
      <c r="AA2024" s="177"/>
    </row>
    <row r="2025" spans="22:27" x14ac:dyDescent="0.2">
      <c r="V2025" s="163"/>
      <c r="W2025" s="158" t="str">
        <f t="shared" si="43"/>
        <v>1w</v>
      </c>
      <c r="X2025" s="168">
        <f>_xll.qlCalendarAdvance(Calendar,X2024,W2025,"f",FALSE)</f>
        <v>53294</v>
      </c>
      <c r="Y2025" s="173">
        <f>_xll.qlCalendarAdvance(Calendar,X2025,NDays&amp;"D")</f>
        <v>53294</v>
      </c>
      <c r="Z2025" s="174" t="e">
        <v>#N/A</v>
      </c>
      <c r="AA2025" s="177"/>
    </row>
    <row r="2026" spans="22:27" x14ac:dyDescent="0.2">
      <c r="V2026" s="163"/>
      <c r="W2026" s="158" t="str">
        <f t="shared" si="43"/>
        <v>1w</v>
      </c>
      <c r="X2026" s="168">
        <f>_xll.qlCalendarAdvance(Calendar,X2025,W2026,"f",FALSE)</f>
        <v>53301</v>
      </c>
      <c r="Y2026" s="173">
        <f>_xll.qlCalendarAdvance(Calendar,X2026,NDays&amp;"D")</f>
        <v>53301</v>
      </c>
      <c r="Z2026" s="174" t="e">
        <v>#N/A</v>
      </c>
      <c r="AA2026" s="177"/>
    </row>
    <row r="2027" spans="22:27" x14ac:dyDescent="0.2">
      <c r="V2027" s="163"/>
      <c r="W2027" s="158" t="str">
        <f t="shared" si="43"/>
        <v>1w</v>
      </c>
      <c r="X2027" s="168">
        <f>_xll.qlCalendarAdvance(Calendar,X2026,W2027,"f",FALSE)</f>
        <v>53308</v>
      </c>
      <c r="Y2027" s="173">
        <f>_xll.qlCalendarAdvance(Calendar,X2027,NDays&amp;"D")</f>
        <v>53308</v>
      </c>
      <c r="Z2027" s="174" t="e">
        <v>#N/A</v>
      </c>
      <c r="AA2027" s="177"/>
    </row>
    <row r="2028" spans="22:27" x14ac:dyDescent="0.2">
      <c r="V2028" s="163"/>
      <c r="W2028" s="158" t="str">
        <f t="shared" si="43"/>
        <v>1w</v>
      </c>
      <c r="X2028" s="168">
        <f>_xll.qlCalendarAdvance(Calendar,X2027,W2028,"f",FALSE)</f>
        <v>53315</v>
      </c>
      <c r="Y2028" s="173">
        <f>_xll.qlCalendarAdvance(Calendar,X2028,NDays&amp;"D")</f>
        <v>53315</v>
      </c>
      <c r="Z2028" s="174" t="e">
        <v>#N/A</v>
      </c>
      <c r="AA2028" s="177"/>
    </row>
    <row r="2029" spans="22:27" x14ac:dyDescent="0.2">
      <c r="V2029" s="163"/>
      <c r="W2029" s="158" t="str">
        <f t="shared" si="43"/>
        <v>1w</v>
      </c>
      <c r="X2029" s="168">
        <f>_xll.qlCalendarAdvance(Calendar,X2028,W2029,"f",FALSE)</f>
        <v>53322</v>
      </c>
      <c r="Y2029" s="173">
        <f>_xll.qlCalendarAdvance(Calendar,X2029,NDays&amp;"D")</f>
        <v>53322</v>
      </c>
      <c r="Z2029" s="174" t="e">
        <v>#N/A</v>
      </c>
      <c r="AA2029" s="177"/>
    </row>
    <row r="2030" spans="22:27" x14ac:dyDescent="0.2">
      <c r="V2030" s="163"/>
      <c r="W2030" s="158" t="str">
        <f t="shared" si="43"/>
        <v>1w</v>
      </c>
      <c r="X2030" s="168">
        <f>_xll.qlCalendarAdvance(Calendar,X2029,W2030,"f",FALSE)</f>
        <v>53331</v>
      </c>
      <c r="Y2030" s="173">
        <f>_xll.qlCalendarAdvance(Calendar,X2030,NDays&amp;"D")</f>
        <v>53331</v>
      </c>
      <c r="Z2030" s="174" t="e">
        <v>#N/A</v>
      </c>
      <c r="AA2030" s="177"/>
    </row>
    <row r="2031" spans="22:27" x14ac:dyDescent="0.2">
      <c r="V2031" s="163"/>
      <c r="W2031" s="158" t="str">
        <f t="shared" si="43"/>
        <v>1w</v>
      </c>
      <c r="X2031" s="168">
        <f>_xll.qlCalendarAdvance(Calendar,X2030,W2031,"f",FALSE)</f>
        <v>53338</v>
      </c>
      <c r="Y2031" s="173">
        <f>_xll.qlCalendarAdvance(Calendar,X2031,NDays&amp;"D")</f>
        <v>53338</v>
      </c>
      <c r="Z2031" s="174" t="e">
        <v>#N/A</v>
      </c>
      <c r="AA2031" s="177"/>
    </row>
    <row r="2032" spans="22:27" x14ac:dyDescent="0.2">
      <c r="V2032" s="163"/>
      <c r="W2032" s="158" t="str">
        <f t="shared" si="43"/>
        <v>1w</v>
      </c>
      <c r="X2032" s="168">
        <f>_xll.qlCalendarAdvance(Calendar,X2031,W2032,"f",FALSE)</f>
        <v>53345</v>
      </c>
      <c r="Y2032" s="173">
        <f>_xll.qlCalendarAdvance(Calendar,X2032,NDays&amp;"D")</f>
        <v>53345</v>
      </c>
      <c r="Z2032" s="174" t="e">
        <v>#N/A</v>
      </c>
      <c r="AA2032" s="177"/>
    </row>
    <row r="2033" spans="22:27" x14ac:dyDescent="0.2">
      <c r="V2033" s="163"/>
      <c r="W2033" s="158" t="str">
        <f t="shared" si="43"/>
        <v>1w</v>
      </c>
      <c r="X2033" s="168">
        <f>_xll.qlCalendarAdvance(Calendar,X2032,W2033,"f",FALSE)</f>
        <v>53352</v>
      </c>
      <c r="Y2033" s="173">
        <f>_xll.qlCalendarAdvance(Calendar,X2033,NDays&amp;"D")</f>
        <v>53352</v>
      </c>
      <c r="Z2033" s="174" t="e">
        <v>#N/A</v>
      </c>
      <c r="AA2033" s="177"/>
    </row>
    <row r="2034" spans="22:27" x14ac:dyDescent="0.2">
      <c r="V2034" s="163"/>
      <c r="W2034" s="158" t="str">
        <f t="shared" si="43"/>
        <v>1w</v>
      </c>
      <c r="X2034" s="168">
        <f>_xll.qlCalendarAdvance(Calendar,X2033,W2034,"f",FALSE)</f>
        <v>53359</v>
      </c>
      <c r="Y2034" s="173">
        <f>_xll.qlCalendarAdvance(Calendar,X2034,NDays&amp;"D")</f>
        <v>53359</v>
      </c>
      <c r="Z2034" s="174" t="e">
        <v>#N/A</v>
      </c>
      <c r="AA2034" s="177"/>
    </row>
    <row r="2035" spans="22:27" x14ac:dyDescent="0.2">
      <c r="V2035" s="163"/>
      <c r="W2035" s="158" t="str">
        <f t="shared" si="43"/>
        <v>1w</v>
      </c>
      <c r="X2035" s="168">
        <f>_xll.qlCalendarAdvance(Calendar,X2034,W2035,"f",FALSE)</f>
        <v>53366</v>
      </c>
      <c r="Y2035" s="173">
        <f>_xll.qlCalendarAdvance(Calendar,X2035,NDays&amp;"D")</f>
        <v>53366</v>
      </c>
      <c r="Z2035" s="174" t="e">
        <v>#N/A</v>
      </c>
      <c r="AA2035" s="177"/>
    </row>
    <row r="2036" spans="22:27" x14ac:dyDescent="0.2">
      <c r="V2036" s="163"/>
      <c r="W2036" s="158" t="str">
        <f t="shared" si="43"/>
        <v>1w</v>
      </c>
      <c r="X2036" s="168">
        <f>_xll.qlCalendarAdvance(Calendar,X2035,W2036,"f",FALSE)</f>
        <v>53373</v>
      </c>
      <c r="Y2036" s="173">
        <f>_xll.qlCalendarAdvance(Calendar,X2036,NDays&amp;"D")</f>
        <v>53373</v>
      </c>
      <c r="Z2036" s="174" t="e">
        <v>#N/A</v>
      </c>
      <c r="AA2036" s="177"/>
    </row>
    <row r="2037" spans="22:27" x14ac:dyDescent="0.2">
      <c r="V2037" s="163"/>
      <c r="W2037" s="158" t="str">
        <f t="shared" si="43"/>
        <v>1w</v>
      </c>
      <c r="X2037" s="168">
        <f>_xll.qlCalendarAdvance(Calendar,X2036,W2037,"f",FALSE)</f>
        <v>53380</v>
      </c>
      <c r="Y2037" s="173">
        <f>_xll.qlCalendarAdvance(Calendar,X2037,NDays&amp;"D")</f>
        <v>53380</v>
      </c>
      <c r="Z2037" s="174" t="e">
        <v>#N/A</v>
      </c>
      <c r="AA2037" s="177"/>
    </row>
    <row r="2038" spans="22:27" x14ac:dyDescent="0.2">
      <c r="V2038" s="163"/>
      <c r="W2038" s="158" t="str">
        <f t="shared" si="43"/>
        <v>1w</v>
      </c>
      <c r="X2038" s="168">
        <f>_xll.qlCalendarAdvance(Calendar,X2037,W2038,"f",FALSE)</f>
        <v>53387</v>
      </c>
      <c r="Y2038" s="173">
        <f>_xll.qlCalendarAdvance(Calendar,X2038,NDays&amp;"D")</f>
        <v>53387</v>
      </c>
      <c r="Z2038" s="174" t="e">
        <v>#N/A</v>
      </c>
      <c r="AA2038" s="177"/>
    </row>
    <row r="2039" spans="22:27" x14ac:dyDescent="0.2">
      <c r="V2039" s="163"/>
      <c r="W2039" s="158" t="str">
        <f t="shared" si="43"/>
        <v>1w</v>
      </c>
      <c r="X2039" s="168">
        <f>_xll.qlCalendarAdvance(Calendar,X2038,W2039,"f",FALSE)</f>
        <v>53394</v>
      </c>
      <c r="Y2039" s="173">
        <f>_xll.qlCalendarAdvance(Calendar,X2039,NDays&amp;"D")</f>
        <v>53394</v>
      </c>
      <c r="Z2039" s="174" t="e">
        <v>#N/A</v>
      </c>
      <c r="AA2039" s="177"/>
    </row>
    <row r="2040" spans="22:27" x14ac:dyDescent="0.2">
      <c r="V2040" s="163"/>
      <c r="W2040" s="158" t="str">
        <f t="shared" si="43"/>
        <v>1w</v>
      </c>
      <c r="X2040" s="168">
        <f>_xll.qlCalendarAdvance(Calendar,X2039,W2040,"f",FALSE)</f>
        <v>53401</v>
      </c>
      <c r="Y2040" s="173">
        <f>_xll.qlCalendarAdvance(Calendar,X2040,NDays&amp;"D")</f>
        <v>53401</v>
      </c>
      <c r="Z2040" s="174" t="e">
        <v>#N/A</v>
      </c>
      <c r="AA2040" s="177"/>
    </row>
    <row r="2041" spans="22:27" x14ac:dyDescent="0.2">
      <c r="V2041" s="163"/>
      <c r="W2041" s="158" t="str">
        <f t="shared" si="43"/>
        <v>1w</v>
      </c>
      <c r="X2041" s="168">
        <f>_xll.qlCalendarAdvance(Calendar,X2040,W2041,"f",FALSE)</f>
        <v>53408</v>
      </c>
      <c r="Y2041" s="173">
        <f>_xll.qlCalendarAdvance(Calendar,X2041,NDays&amp;"D")</f>
        <v>53408</v>
      </c>
      <c r="Z2041" s="174" t="e">
        <v>#N/A</v>
      </c>
      <c r="AA2041" s="177"/>
    </row>
    <row r="2042" spans="22:27" x14ac:dyDescent="0.2">
      <c r="V2042" s="163"/>
      <c r="W2042" s="158" t="str">
        <f t="shared" si="43"/>
        <v>1w</v>
      </c>
      <c r="X2042" s="168">
        <f>_xll.qlCalendarAdvance(Calendar,X2041,W2042,"f",FALSE)</f>
        <v>53415</v>
      </c>
      <c r="Y2042" s="173">
        <f>_xll.qlCalendarAdvance(Calendar,X2042,NDays&amp;"D")</f>
        <v>53415</v>
      </c>
      <c r="Z2042" s="174" t="e">
        <v>#N/A</v>
      </c>
      <c r="AA2042" s="177"/>
    </row>
    <row r="2043" spans="22:27" x14ac:dyDescent="0.2">
      <c r="V2043" s="163"/>
      <c r="W2043" s="158" t="str">
        <f t="shared" si="43"/>
        <v>1w</v>
      </c>
      <c r="X2043" s="168">
        <f>_xll.qlCalendarAdvance(Calendar,X2042,W2043,"f",FALSE)</f>
        <v>53422</v>
      </c>
      <c r="Y2043" s="173">
        <f>_xll.qlCalendarAdvance(Calendar,X2043,NDays&amp;"D")</f>
        <v>53422</v>
      </c>
      <c r="Z2043" s="174" t="e">
        <v>#N/A</v>
      </c>
      <c r="AA2043" s="177"/>
    </row>
    <row r="2044" spans="22:27" x14ac:dyDescent="0.2">
      <c r="V2044" s="163"/>
      <c r="W2044" s="158" t="str">
        <f t="shared" si="43"/>
        <v>1w</v>
      </c>
      <c r="X2044" s="168">
        <f>_xll.qlCalendarAdvance(Calendar,X2043,W2044,"f",FALSE)</f>
        <v>53429</v>
      </c>
      <c r="Y2044" s="173">
        <f>_xll.qlCalendarAdvance(Calendar,X2044,NDays&amp;"D")</f>
        <v>53429</v>
      </c>
      <c r="Z2044" s="174" t="e">
        <v>#N/A</v>
      </c>
      <c r="AA2044" s="177"/>
    </row>
    <row r="2045" spans="22:27" x14ac:dyDescent="0.2">
      <c r="V2045" s="163"/>
      <c r="W2045" s="158" t="str">
        <f t="shared" si="43"/>
        <v>1w</v>
      </c>
      <c r="X2045" s="168">
        <f>_xll.qlCalendarAdvance(Calendar,X2044,W2045,"f",FALSE)</f>
        <v>53436</v>
      </c>
      <c r="Y2045" s="173">
        <f>_xll.qlCalendarAdvance(Calendar,X2045,NDays&amp;"D")</f>
        <v>53436</v>
      </c>
      <c r="Z2045" s="174" t="e">
        <v>#N/A</v>
      </c>
      <c r="AA2045" s="177"/>
    </row>
    <row r="2046" spans="22:27" x14ac:dyDescent="0.2">
      <c r="V2046" s="163"/>
      <c r="W2046" s="158" t="str">
        <f t="shared" si="43"/>
        <v>1w</v>
      </c>
      <c r="X2046" s="168">
        <f>_xll.qlCalendarAdvance(Calendar,X2045,W2046,"f",FALSE)</f>
        <v>53443</v>
      </c>
      <c r="Y2046" s="173">
        <f>_xll.qlCalendarAdvance(Calendar,X2046,NDays&amp;"D")</f>
        <v>53443</v>
      </c>
      <c r="Z2046" s="174" t="e">
        <v>#N/A</v>
      </c>
      <c r="AA2046" s="177"/>
    </row>
    <row r="2047" spans="22:27" x14ac:dyDescent="0.2">
      <c r="V2047" s="163"/>
      <c r="W2047" s="158" t="str">
        <f t="shared" si="43"/>
        <v>1w</v>
      </c>
      <c r="X2047" s="168">
        <f>_xll.qlCalendarAdvance(Calendar,X2046,W2047,"f",FALSE)</f>
        <v>53454</v>
      </c>
      <c r="Y2047" s="173">
        <f>_xll.qlCalendarAdvance(Calendar,X2047,NDays&amp;"D")</f>
        <v>53454</v>
      </c>
      <c r="Z2047" s="174" t="e">
        <v>#N/A</v>
      </c>
      <c r="AA2047" s="177"/>
    </row>
    <row r="2048" spans="22:27" x14ac:dyDescent="0.2">
      <c r="V2048" s="163"/>
      <c r="W2048" s="158" t="str">
        <f t="shared" si="43"/>
        <v>1w</v>
      </c>
      <c r="X2048" s="168">
        <f>_xll.qlCalendarAdvance(Calendar,X2047,W2048,"f",FALSE)</f>
        <v>53461</v>
      </c>
      <c r="Y2048" s="173">
        <f>_xll.qlCalendarAdvance(Calendar,X2048,NDays&amp;"D")</f>
        <v>53461</v>
      </c>
      <c r="Z2048" s="174" t="e">
        <v>#N/A</v>
      </c>
      <c r="AA2048" s="177"/>
    </row>
    <row r="2049" spans="22:27" x14ac:dyDescent="0.2">
      <c r="V2049" s="163"/>
      <c r="W2049" s="158" t="str">
        <f t="shared" si="43"/>
        <v>1w</v>
      </c>
      <c r="X2049" s="168">
        <f>_xll.qlCalendarAdvance(Calendar,X2048,W2049,"f",FALSE)</f>
        <v>53468</v>
      </c>
      <c r="Y2049" s="173">
        <f>_xll.qlCalendarAdvance(Calendar,X2049,NDays&amp;"D")</f>
        <v>53468</v>
      </c>
      <c r="Z2049" s="174" t="e">
        <v>#N/A</v>
      </c>
      <c r="AA2049" s="177"/>
    </row>
    <row r="2050" spans="22:27" x14ac:dyDescent="0.2">
      <c r="V2050" s="163"/>
      <c r="W2050" s="158" t="str">
        <f t="shared" si="43"/>
        <v>1w</v>
      </c>
      <c r="X2050" s="168">
        <f>_xll.qlCalendarAdvance(Calendar,X2049,W2050,"f",FALSE)</f>
        <v>53475</v>
      </c>
      <c r="Y2050" s="173">
        <f>_xll.qlCalendarAdvance(Calendar,X2050,NDays&amp;"D")</f>
        <v>53475</v>
      </c>
      <c r="Z2050" s="174" t="e">
        <v>#N/A</v>
      </c>
      <c r="AA2050" s="177"/>
    </row>
    <row r="2051" spans="22:27" x14ac:dyDescent="0.2">
      <c r="V2051" s="163"/>
      <c r="W2051" s="158" t="str">
        <f t="shared" si="43"/>
        <v>1w</v>
      </c>
      <c r="X2051" s="168">
        <f>_xll.qlCalendarAdvance(Calendar,X2050,W2051,"f",FALSE)</f>
        <v>53482</v>
      </c>
      <c r="Y2051" s="173">
        <f>_xll.qlCalendarAdvance(Calendar,X2051,NDays&amp;"D")</f>
        <v>53482</v>
      </c>
      <c r="Z2051" s="174" t="e">
        <v>#N/A</v>
      </c>
      <c r="AA2051" s="177"/>
    </row>
    <row r="2052" spans="22:27" x14ac:dyDescent="0.2">
      <c r="V2052" s="163"/>
      <c r="W2052" s="158" t="str">
        <f t="shared" si="43"/>
        <v>1w</v>
      </c>
      <c r="X2052" s="168">
        <f>_xll.qlCalendarAdvance(Calendar,X2051,W2052,"f",FALSE)</f>
        <v>53489</v>
      </c>
      <c r="Y2052" s="173">
        <f>_xll.qlCalendarAdvance(Calendar,X2052,NDays&amp;"D")</f>
        <v>53489</v>
      </c>
      <c r="Z2052" s="174" t="e">
        <v>#N/A</v>
      </c>
      <c r="AA2052" s="177"/>
    </row>
    <row r="2053" spans="22:27" x14ac:dyDescent="0.2">
      <c r="V2053" s="163"/>
      <c r="W2053" s="158" t="str">
        <f t="shared" si="43"/>
        <v>1w</v>
      </c>
      <c r="X2053" s="168">
        <f>_xll.qlCalendarAdvance(Calendar,X2052,W2053,"f",FALSE)</f>
        <v>53496</v>
      </c>
      <c r="Y2053" s="173">
        <f>_xll.qlCalendarAdvance(Calendar,X2053,NDays&amp;"D")</f>
        <v>53496</v>
      </c>
      <c r="Z2053" s="174" t="e">
        <v>#N/A</v>
      </c>
      <c r="AA2053" s="177"/>
    </row>
    <row r="2054" spans="22:27" x14ac:dyDescent="0.2">
      <c r="V2054" s="163"/>
      <c r="W2054" s="158" t="str">
        <f t="shared" si="43"/>
        <v>1w</v>
      </c>
      <c r="X2054" s="168">
        <f>_xll.qlCalendarAdvance(Calendar,X2053,W2054,"f",FALSE)</f>
        <v>53503</v>
      </c>
      <c r="Y2054" s="173">
        <f>_xll.qlCalendarAdvance(Calendar,X2054,NDays&amp;"D")</f>
        <v>53503</v>
      </c>
      <c r="Z2054" s="174" t="e">
        <v>#N/A</v>
      </c>
      <c r="AA2054" s="177"/>
    </row>
    <row r="2055" spans="22:27" x14ac:dyDescent="0.2">
      <c r="V2055" s="163"/>
      <c r="W2055" s="158" t="str">
        <f t="shared" si="43"/>
        <v>1w</v>
      </c>
      <c r="X2055" s="168">
        <f>_xll.qlCalendarAdvance(Calendar,X2054,W2055,"f",FALSE)</f>
        <v>53510</v>
      </c>
      <c r="Y2055" s="173">
        <f>_xll.qlCalendarAdvance(Calendar,X2055,NDays&amp;"D")</f>
        <v>53510</v>
      </c>
      <c r="Z2055" s="174" t="e">
        <v>#N/A</v>
      </c>
      <c r="AA2055" s="177"/>
    </row>
    <row r="2056" spans="22:27" x14ac:dyDescent="0.2">
      <c r="V2056" s="163"/>
      <c r="W2056" s="158" t="str">
        <f t="shared" si="43"/>
        <v>1w</v>
      </c>
      <c r="X2056" s="168">
        <f>_xll.qlCalendarAdvance(Calendar,X2055,W2056,"f",FALSE)</f>
        <v>53517</v>
      </c>
      <c r="Y2056" s="173">
        <f>_xll.qlCalendarAdvance(Calendar,X2056,NDays&amp;"D")</f>
        <v>53517</v>
      </c>
      <c r="Z2056" s="174" t="e">
        <v>#N/A</v>
      </c>
      <c r="AA2056" s="177"/>
    </row>
    <row r="2057" spans="22:27" x14ac:dyDescent="0.2">
      <c r="V2057" s="163"/>
      <c r="W2057" s="158" t="str">
        <f t="shared" si="43"/>
        <v>1w</v>
      </c>
      <c r="X2057" s="168">
        <f>_xll.qlCalendarAdvance(Calendar,X2056,W2057,"f",FALSE)</f>
        <v>53525</v>
      </c>
      <c r="Y2057" s="173">
        <f>_xll.qlCalendarAdvance(Calendar,X2057,NDays&amp;"D")</f>
        <v>53525</v>
      </c>
      <c r="Z2057" s="174" t="e">
        <v>#N/A</v>
      </c>
      <c r="AA2057" s="177"/>
    </row>
    <row r="2058" spans="22:27" x14ac:dyDescent="0.2">
      <c r="V2058" s="163"/>
      <c r="W2058" s="158" t="str">
        <f t="shared" si="43"/>
        <v>1w</v>
      </c>
      <c r="X2058" s="168">
        <f>_xll.qlCalendarAdvance(Calendar,X2057,W2058,"f",FALSE)</f>
        <v>53532</v>
      </c>
      <c r="Y2058" s="173">
        <f>_xll.qlCalendarAdvance(Calendar,X2058,NDays&amp;"D")</f>
        <v>53532</v>
      </c>
      <c r="Z2058" s="174" t="e">
        <v>#N/A</v>
      </c>
      <c r="AA2058" s="177"/>
    </row>
    <row r="2059" spans="22:27" x14ac:dyDescent="0.2">
      <c r="V2059" s="163"/>
      <c r="W2059" s="158" t="str">
        <f t="shared" si="43"/>
        <v>1w</v>
      </c>
      <c r="X2059" s="168">
        <f>_xll.qlCalendarAdvance(Calendar,X2058,W2059,"f",FALSE)</f>
        <v>53539</v>
      </c>
      <c r="Y2059" s="173">
        <f>_xll.qlCalendarAdvance(Calendar,X2059,NDays&amp;"D")</f>
        <v>53539</v>
      </c>
      <c r="Z2059" s="174" t="e">
        <v>#N/A</v>
      </c>
      <c r="AA2059" s="177"/>
    </row>
    <row r="2060" spans="22:27" x14ac:dyDescent="0.2">
      <c r="V2060" s="163"/>
      <c r="W2060" s="158" t="str">
        <f t="shared" si="43"/>
        <v>1w</v>
      </c>
      <c r="X2060" s="168">
        <f>_xll.qlCalendarAdvance(Calendar,X2059,W2060,"f",FALSE)</f>
        <v>53546</v>
      </c>
      <c r="Y2060" s="173">
        <f>_xll.qlCalendarAdvance(Calendar,X2060,NDays&amp;"D")</f>
        <v>53546</v>
      </c>
      <c r="Z2060" s="174" t="e">
        <v>#N/A</v>
      </c>
      <c r="AA2060" s="177"/>
    </row>
    <row r="2061" spans="22:27" x14ac:dyDescent="0.2">
      <c r="V2061" s="163"/>
      <c r="W2061" s="158" t="str">
        <f t="shared" ref="W2061:W2124" si="44">W2060</f>
        <v>1w</v>
      </c>
      <c r="X2061" s="168">
        <f>_xll.qlCalendarAdvance(Calendar,X2060,W2061,"f",FALSE)</f>
        <v>53553</v>
      </c>
      <c r="Y2061" s="173">
        <f>_xll.qlCalendarAdvance(Calendar,X2061,NDays&amp;"D")</f>
        <v>53553</v>
      </c>
      <c r="Z2061" s="174" t="e">
        <v>#N/A</v>
      </c>
      <c r="AA2061" s="177"/>
    </row>
    <row r="2062" spans="22:27" x14ac:dyDescent="0.2">
      <c r="V2062" s="163"/>
      <c r="W2062" s="158" t="str">
        <f t="shared" si="44"/>
        <v>1w</v>
      </c>
      <c r="X2062" s="168">
        <f>_xll.qlCalendarAdvance(Calendar,X2061,W2062,"f",FALSE)</f>
        <v>53560</v>
      </c>
      <c r="Y2062" s="173">
        <f>_xll.qlCalendarAdvance(Calendar,X2062,NDays&amp;"D")</f>
        <v>53560</v>
      </c>
      <c r="Z2062" s="174" t="e">
        <v>#N/A</v>
      </c>
      <c r="AA2062" s="177"/>
    </row>
    <row r="2063" spans="22:27" x14ac:dyDescent="0.2">
      <c r="V2063" s="163"/>
      <c r="W2063" s="158" t="str">
        <f t="shared" si="44"/>
        <v>1w</v>
      </c>
      <c r="X2063" s="168">
        <f>_xll.qlCalendarAdvance(Calendar,X2062,W2063,"f",FALSE)</f>
        <v>53567</v>
      </c>
      <c r="Y2063" s="173">
        <f>_xll.qlCalendarAdvance(Calendar,X2063,NDays&amp;"D")</f>
        <v>53567</v>
      </c>
      <c r="Z2063" s="174" t="e">
        <v>#N/A</v>
      </c>
      <c r="AA2063" s="177"/>
    </row>
    <row r="2064" spans="22:27" x14ac:dyDescent="0.2">
      <c r="V2064" s="163"/>
      <c r="W2064" s="158" t="str">
        <f t="shared" si="44"/>
        <v>1w</v>
      </c>
      <c r="X2064" s="168">
        <f>_xll.qlCalendarAdvance(Calendar,X2063,W2064,"f",FALSE)</f>
        <v>53574</v>
      </c>
      <c r="Y2064" s="173">
        <f>_xll.qlCalendarAdvance(Calendar,X2064,NDays&amp;"D")</f>
        <v>53574</v>
      </c>
      <c r="Z2064" s="174" t="e">
        <v>#N/A</v>
      </c>
      <c r="AA2064" s="177"/>
    </row>
    <row r="2065" spans="22:27" x14ac:dyDescent="0.2">
      <c r="V2065" s="163"/>
      <c r="W2065" s="158" t="str">
        <f t="shared" si="44"/>
        <v>1w</v>
      </c>
      <c r="X2065" s="168">
        <f>_xll.qlCalendarAdvance(Calendar,X2064,W2065,"f",FALSE)</f>
        <v>53581</v>
      </c>
      <c r="Y2065" s="173">
        <f>_xll.qlCalendarAdvance(Calendar,X2065,NDays&amp;"D")</f>
        <v>53581</v>
      </c>
      <c r="Z2065" s="174" t="e">
        <v>#N/A</v>
      </c>
      <c r="AA2065" s="177"/>
    </row>
    <row r="2066" spans="22:27" x14ac:dyDescent="0.2">
      <c r="V2066" s="163"/>
      <c r="W2066" s="158" t="str">
        <f t="shared" si="44"/>
        <v>1w</v>
      </c>
      <c r="X2066" s="168">
        <f>_xll.qlCalendarAdvance(Calendar,X2065,W2066,"f",FALSE)</f>
        <v>53588</v>
      </c>
      <c r="Y2066" s="173">
        <f>_xll.qlCalendarAdvance(Calendar,X2066,NDays&amp;"D")</f>
        <v>53588</v>
      </c>
      <c r="Z2066" s="174" t="e">
        <v>#N/A</v>
      </c>
      <c r="AA2066" s="177"/>
    </row>
    <row r="2067" spans="22:27" x14ac:dyDescent="0.2">
      <c r="V2067" s="163"/>
      <c r="W2067" s="158" t="str">
        <f t="shared" si="44"/>
        <v>1w</v>
      </c>
      <c r="X2067" s="168">
        <f>_xll.qlCalendarAdvance(Calendar,X2066,W2067,"f",FALSE)</f>
        <v>53595</v>
      </c>
      <c r="Y2067" s="173">
        <f>_xll.qlCalendarAdvance(Calendar,X2067,NDays&amp;"D")</f>
        <v>53595</v>
      </c>
      <c r="Z2067" s="174" t="e">
        <v>#N/A</v>
      </c>
      <c r="AA2067" s="177"/>
    </row>
    <row r="2068" spans="22:27" x14ac:dyDescent="0.2">
      <c r="V2068" s="163"/>
      <c r="W2068" s="158" t="str">
        <f t="shared" si="44"/>
        <v>1w</v>
      </c>
      <c r="X2068" s="168">
        <f>_xll.qlCalendarAdvance(Calendar,X2067,W2068,"f",FALSE)</f>
        <v>53602</v>
      </c>
      <c r="Y2068" s="173">
        <f>_xll.qlCalendarAdvance(Calendar,X2068,NDays&amp;"D")</f>
        <v>53602</v>
      </c>
      <c r="Z2068" s="174" t="e">
        <v>#N/A</v>
      </c>
      <c r="AA2068" s="177"/>
    </row>
    <row r="2069" spans="22:27" x14ac:dyDescent="0.2">
      <c r="V2069" s="163"/>
      <c r="W2069" s="158" t="str">
        <f t="shared" si="44"/>
        <v>1w</v>
      </c>
      <c r="X2069" s="168">
        <f>_xll.qlCalendarAdvance(Calendar,X2068,W2069,"f",FALSE)</f>
        <v>53609</v>
      </c>
      <c r="Y2069" s="173">
        <f>_xll.qlCalendarAdvance(Calendar,X2069,NDays&amp;"D")</f>
        <v>53609</v>
      </c>
      <c r="Z2069" s="174" t="e">
        <v>#N/A</v>
      </c>
      <c r="AA2069" s="177"/>
    </row>
    <row r="2070" spans="22:27" x14ac:dyDescent="0.2">
      <c r="V2070" s="163"/>
      <c r="W2070" s="158" t="str">
        <f t="shared" si="44"/>
        <v>1w</v>
      </c>
      <c r="X2070" s="168">
        <f>_xll.qlCalendarAdvance(Calendar,X2069,W2070,"f",FALSE)</f>
        <v>53616</v>
      </c>
      <c r="Y2070" s="173">
        <f>_xll.qlCalendarAdvance(Calendar,X2070,NDays&amp;"D")</f>
        <v>53616</v>
      </c>
      <c r="Z2070" s="174" t="e">
        <v>#N/A</v>
      </c>
      <c r="AA2070" s="177"/>
    </row>
    <row r="2071" spans="22:27" x14ac:dyDescent="0.2">
      <c r="V2071" s="163"/>
      <c r="W2071" s="158" t="str">
        <f t="shared" si="44"/>
        <v>1w</v>
      </c>
      <c r="X2071" s="168">
        <f>_xll.qlCalendarAdvance(Calendar,X2070,W2071,"f",FALSE)</f>
        <v>53623</v>
      </c>
      <c r="Y2071" s="173">
        <f>_xll.qlCalendarAdvance(Calendar,X2071,NDays&amp;"D")</f>
        <v>53623</v>
      </c>
      <c r="Z2071" s="174" t="e">
        <v>#N/A</v>
      </c>
      <c r="AA2071" s="177"/>
    </row>
    <row r="2072" spans="22:27" x14ac:dyDescent="0.2">
      <c r="V2072" s="163"/>
      <c r="W2072" s="158" t="str">
        <f t="shared" si="44"/>
        <v>1w</v>
      </c>
      <c r="X2072" s="168">
        <f>_xll.qlCalendarAdvance(Calendar,X2071,W2072,"f",FALSE)</f>
        <v>53630</v>
      </c>
      <c r="Y2072" s="173">
        <f>_xll.qlCalendarAdvance(Calendar,X2072,NDays&amp;"D")</f>
        <v>53630</v>
      </c>
      <c r="Z2072" s="174" t="e">
        <v>#N/A</v>
      </c>
      <c r="AA2072" s="177"/>
    </row>
    <row r="2073" spans="22:27" x14ac:dyDescent="0.2">
      <c r="V2073" s="163"/>
      <c r="W2073" s="158" t="str">
        <f t="shared" si="44"/>
        <v>1w</v>
      </c>
      <c r="X2073" s="168">
        <f>_xll.qlCalendarAdvance(Calendar,X2072,W2073,"f",FALSE)</f>
        <v>53637</v>
      </c>
      <c r="Y2073" s="173">
        <f>_xll.qlCalendarAdvance(Calendar,X2073,NDays&amp;"D")</f>
        <v>53637</v>
      </c>
      <c r="Z2073" s="174" t="e">
        <v>#N/A</v>
      </c>
      <c r="AA2073" s="177"/>
    </row>
    <row r="2074" spans="22:27" x14ac:dyDescent="0.2">
      <c r="V2074" s="163"/>
      <c r="W2074" s="158" t="str">
        <f t="shared" si="44"/>
        <v>1w</v>
      </c>
      <c r="X2074" s="168">
        <f>_xll.qlCalendarAdvance(Calendar,X2073,W2074,"f",FALSE)</f>
        <v>53644</v>
      </c>
      <c r="Y2074" s="173">
        <f>_xll.qlCalendarAdvance(Calendar,X2074,NDays&amp;"D")</f>
        <v>53644</v>
      </c>
      <c r="Z2074" s="174" t="e">
        <v>#N/A</v>
      </c>
      <c r="AA2074" s="177"/>
    </row>
    <row r="2075" spans="22:27" x14ac:dyDescent="0.2">
      <c r="V2075" s="163"/>
      <c r="W2075" s="158" t="str">
        <f t="shared" si="44"/>
        <v>1w</v>
      </c>
      <c r="X2075" s="168">
        <f>_xll.qlCalendarAdvance(Calendar,X2074,W2075,"f",FALSE)</f>
        <v>53651</v>
      </c>
      <c r="Y2075" s="173">
        <f>_xll.qlCalendarAdvance(Calendar,X2075,NDays&amp;"D")</f>
        <v>53651</v>
      </c>
      <c r="Z2075" s="174" t="e">
        <v>#N/A</v>
      </c>
      <c r="AA2075" s="177"/>
    </row>
    <row r="2076" spans="22:27" x14ac:dyDescent="0.2">
      <c r="V2076" s="163"/>
      <c r="W2076" s="158" t="str">
        <f t="shared" si="44"/>
        <v>1w</v>
      </c>
      <c r="X2076" s="168">
        <f>_xll.qlCalendarAdvance(Calendar,X2075,W2076,"f",FALSE)</f>
        <v>53658</v>
      </c>
      <c r="Y2076" s="173">
        <f>_xll.qlCalendarAdvance(Calendar,X2076,NDays&amp;"D")</f>
        <v>53658</v>
      </c>
      <c r="Z2076" s="174" t="e">
        <v>#N/A</v>
      </c>
      <c r="AA2076" s="177"/>
    </row>
    <row r="2077" spans="22:27" x14ac:dyDescent="0.2">
      <c r="V2077" s="163"/>
      <c r="W2077" s="158" t="str">
        <f t="shared" si="44"/>
        <v>1w</v>
      </c>
      <c r="X2077" s="168">
        <f>_xll.qlCalendarAdvance(Calendar,X2076,W2077,"f",FALSE)</f>
        <v>53665</v>
      </c>
      <c r="Y2077" s="173">
        <f>_xll.qlCalendarAdvance(Calendar,X2077,NDays&amp;"D")</f>
        <v>53665</v>
      </c>
      <c r="Z2077" s="174" t="e">
        <v>#N/A</v>
      </c>
      <c r="AA2077" s="177"/>
    </row>
    <row r="2078" spans="22:27" x14ac:dyDescent="0.2">
      <c r="V2078" s="163"/>
      <c r="W2078" s="158" t="str">
        <f t="shared" si="44"/>
        <v>1w</v>
      </c>
      <c r="X2078" s="168">
        <f>_xll.qlCalendarAdvance(Calendar,X2077,W2078,"f",FALSE)</f>
        <v>53672</v>
      </c>
      <c r="Y2078" s="173">
        <f>_xll.qlCalendarAdvance(Calendar,X2078,NDays&amp;"D")</f>
        <v>53672</v>
      </c>
      <c r="Z2078" s="174" t="e">
        <v>#N/A</v>
      </c>
      <c r="AA2078" s="177"/>
    </row>
    <row r="2079" spans="22:27" x14ac:dyDescent="0.2">
      <c r="V2079" s="163"/>
      <c r="W2079" s="158" t="str">
        <f t="shared" si="44"/>
        <v>1w</v>
      </c>
      <c r="X2079" s="168">
        <f>_xll.qlCalendarAdvance(Calendar,X2078,W2079,"f",FALSE)</f>
        <v>53679</v>
      </c>
      <c r="Y2079" s="173">
        <f>_xll.qlCalendarAdvance(Calendar,X2079,NDays&amp;"D")</f>
        <v>53679</v>
      </c>
      <c r="Z2079" s="174" t="e">
        <v>#N/A</v>
      </c>
      <c r="AA2079" s="177"/>
    </row>
    <row r="2080" spans="22:27" x14ac:dyDescent="0.2">
      <c r="V2080" s="163"/>
      <c r="W2080" s="158" t="str">
        <f t="shared" si="44"/>
        <v>1w</v>
      </c>
      <c r="X2080" s="168">
        <f>_xll.qlCalendarAdvance(Calendar,X2079,W2080,"f",FALSE)</f>
        <v>53686</v>
      </c>
      <c r="Y2080" s="173">
        <f>_xll.qlCalendarAdvance(Calendar,X2080,NDays&amp;"D")</f>
        <v>53686</v>
      </c>
      <c r="Z2080" s="174" t="e">
        <v>#N/A</v>
      </c>
      <c r="AA2080" s="177"/>
    </row>
    <row r="2081" spans="22:27" x14ac:dyDescent="0.2">
      <c r="V2081" s="163"/>
      <c r="W2081" s="158" t="str">
        <f t="shared" si="44"/>
        <v>1w</v>
      </c>
      <c r="X2081" s="168">
        <f>_xll.qlCalendarAdvance(Calendar,X2080,W2081,"f",FALSE)</f>
        <v>53696</v>
      </c>
      <c r="Y2081" s="173">
        <f>_xll.qlCalendarAdvance(Calendar,X2081,NDays&amp;"D")</f>
        <v>53696</v>
      </c>
      <c r="Z2081" s="174" t="e">
        <v>#N/A</v>
      </c>
      <c r="AA2081" s="177"/>
    </row>
    <row r="2082" spans="22:27" x14ac:dyDescent="0.2">
      <c r="V2082" s="163"/>
      <c r="W2082" s="158" t="str">
        <f t="shared" si="44"/>
        <v>1w</v>
      </c>
      <c r="X2082" s="168">
        <f>_xll.qlCalendarAdvance(Calendar,X2081,W2082,"f",FALSE)</f>
        <v>53703</v>
      </c>
      <c r="Y2082" s="173">
        <f>_xll.qlCalendarAdvance(Calendar,X2082,NDays&amp;"D")</f>
        <v>53703</v>
      </c>
      <c r="Z2082" s="174" t="e">
        <v>#N/A</v>
      </c>
      <c r="AA2082" s="177"/>
    </row>
    <row r="2083" spans="22:27" x14ac:dyDescent="0.2">
      <c r="V2083" s="163"/>
      <c r="W2083" s="158" t="str">
        <f t="shared" si="44"/>
        <v>1w</v>
      </c>
      <c r="X2083" s="168">
        <f>_xll.qlCalendarAdvance(Calendar,X2082,W2083,"f",FALSE)</f>
        <v>53710</v>
      </c>
      <c r="Y2083" s="173">
        <f>_xll.qlCalendarAdvance(Calendar,X2083,NDays&amp;"D")</f>
        <v>53710</v>
      </c>
      <c r="Z2083" s="174" t="e">
        <v>#N/A</v>
      </c>
      <c r="AA2083" s="177"/>
    </row>
    <row r="2084" spans="22:27" x14ac:dyDescent="0.2">
      <c r="V2084" s="163"/>
      <c r="W2084" s="158" t="str">
        <f t="shared" si="44"/>
        <v>1w</v>
      </c>
      <c r="X2084" s="168">
        <f>_xll.qlCalendarAdvance(Calendar,X2083,W2084,"f",FALSE)</f>
        <v>53717</v>
      </c>
      <c r="Y2084" s="173">
        <f>_xll.qlCalendarAdvance(Calendar,X2084,NDays&amp;"D")</f>
        <v>53717</v>
      </c>
      <c r="Z2084" s="174" t="e">
        <v>#N/A</v>
      </c>
      <c r="AA2084" s="177"/>
    </row>
    <row r="2085" spans="22:27" x14ac:dyDescent="0.2">
      <c r="V2085" s="163"/>
      <c r="W2085" s="158" t="str">
        <f t="shared" si="44"/>
        <v>1w</v>
      </c>
      <c r="X2085" s="168">
        <f>_xll.qlCalendarAdvance(Calendar,X2084,W2085,"f",FALSE)</f>
        <v>53724</v>
      </c>
      <c r="Y2085" s="173">
        <f>_xll.qlCalendarAdvance(Calendar,X2085,NDays&amp;"D")</f>
        <v>53724</v>
      </c>
      <c r="Z2085" s="174" t="e">
        <v>#N/A</v>
      </c>
      <c r="AA2085" s="177"/>
    </row>
    <row r="2086" spans="22:27" x14ac:dyDescent="0.2">
      <c r="V2086" s="163"/>
      <c r="W2086" s="158" t="str">
        <f t="shared" si="44"/>
        <v>1w</v>
      </c>
      <c r="X2086" s="168">
        <f>_xll.qlCalendarAdvance(Calendar,X2085,W2086,"f",FALSE)</f>
        <v>53731</v>
      </c>
      <c r="Y2086" s="173">
        <f>_xll.qlCalendarAdvance(Calendar,X2086,NDays&amp;"D")</f>
        <v>53731</v>
      </c>
      <c r="Z2086" s="174" t="e">
        <v>#N/A</v>
      </c>
      <c r="AA2086" s="177"/>
    </row>
    <row r="2087" spans="22:27" x14ac:dyDescent="0.2">
      <c r="V2087" s="163"/>
      <c r="W2087" s="158" t="str">
        <f t="shared" si="44"/>
        <v>1w</v>
      </c>
      <c r="X2087" s="168">
        <f>_xll.qlCalendarAdvance(Calendar,X2086,W2087,"f",FALSE)</f>
        <v>53738</v>
      </c>
      <c r="Y2087" s="173">
        <f>_xll.qlCalendarAdvance(Calendar,X2087,NDays&amp;"D")</f>
        <v>53738</v>
      </c>
      <c r="Z2087" s="174" t="e">
        <v>#N/A</v>
      </c>
      <c r="AA2087" s="177"/>
    </row>
    <row r="2088" spans="22:27" x14ac:dyDescent="0.2">
      <c r="V2088" s="163"/>
      <c r="W2088" s="158" t="str">
        <f t="shared" si="44"/>
        <v>1w</v>
      </c>
      <c r="X2088" s="168">
        <f>_xll.qlCalendarAdvance(Calendar,X2087,W2088,"f",FALSE)</f>
        <v>53745</v>
      </c>
      <c r="Y2088" s="173">
        <f>_xll.qlCalendarAdvance(Calendar,X2088,NDays&amp;"D")</f>
        <v>53745</v>
      </c>
      <c r="Z2088" s="174" t="e">
        <v>#N/A</v>
      </c>
      <c r="AA2088" s="177"/>
    </row>
    <row r="2089" spans="22:27" x14ac:dyDescent="0.2">
      <c r="V2089" s="163"/>
      <c r="W2089" s="158" t="str">
        <f t="shared" si="44"/>
        <v>1w</v>
      </c>
      <c r="X2089" s="168">
        <f>_xll.qlCalendarAdvance(Calendar,X2088,W2089,"f",FALSE)</f>
        <v>53752</v>
      </c>
      <c r="Y2089" s="173">
        <f>_xll.qlCalendarAdvance(Calendar,X2089,NDays&amp;"D")</f>
        <v>53752</v>
      </c>
      <c r="Z2089" s="174" t="e">
        <v>#N/A</v>
      </c>
      <c r="AA2089" s="177"/>
    </row>
    <row r="2090" spans="22:27" x14ac:dyDescent="0.2">
      <c r="V2090" s="163"/>
      <c r="W2090" s="158" t="str">
        <f t="shared" si="44"/>
        <v>1w</v>
      </c>
      <c r="X2090" s="168">
        <f>_xll.qlCalendarAdvance(Calendar,X2089,W2090,"f",FALSE)</f>
        <v>53759</v>
      </c>
      <c r="Y2090" s="173">
        <f>_xll.qlCalendarAdvance(Calendar,X2090,NDays&amp;"D")</f>
        <v>53759</v>
      </c>
      <c r="Z2090" s="174" t="e">
        <v>#N/A</v>
      </c>
      <c r="AA2090" s="177"/>
    </row>
    <row r="2091" spans="22:27" x14ac:dyDescent="0.2">
      <c r="V2091" s="163"/>
      <c r="W2091" s="158" t="str">
        <f t="shared" si="44"/>
        <v>1w</v>
      </c>
      <c r="X2091" s="168">
        <f>_xll.qlCalendarAdvance(Calendar,X2090,W2091,"f",FALSE)</f>
        <v>53766</v>
      </c>
      <c r="Y2091" s="173">
        <f>_xll.qlCalendarAdvance(Calendar,X2091,NDays&amp;"D")</f>
        <v>53766</v>
      </c>
      <c r="Z2091" s="174" t="e">
        <v>#N/A</v>
      </c>
      <c r="AA2091" s="177"/>
    </row>
    <row r="2092" spans="22:27" x14ac:dyDescent="0.2">
      <c r="V2092" s="163"/>
      <c r="W2092" s="158" t="str">
        <f t="shared" si="44"/>
        <v>1w</v>
      </c>
      <c r="X2092" s="168">
        <f>_xll.qlCalendarAdvance(Calendar,X2091,W2092,"f",FALSE)</f>
        <v>53773</v>
      </c>
      <c r="Y2092" s="173">
        <f>_xll.qlCalendarAdvance(Calendar,X2092,NDays&amp;"D")</f>
        <v>53773</v>
      </c>
      <c r="Z2092" s="174" t="e">
        <v>#N/A</v>
      </c>
      <c r="AA2092" s="177"/>
    </row>
    <row r="2093" spans="22:27" x14ac:dyDescent="0.2">
      <c r="V2093" s="163"/>
      <c r="W2093" s="158" t="str">
        <f t="shared" si="44"/>
        <v>1w</v>
      </c>
      <c r="X2093" s="168">
        <f>_xll.qlCalendarAdvance(Calendar,X2092,W2093,"f",FALSE)</f>
        <v>53780</v>
      </c>
      <c r="Y2093" s="173">
        <f>_xll.qlCalendarAdvance(Calendar,X2093,NDays&amp;"D")</f>
        <v>53780</v>
      </c>
      <c r="Z2093" s="174" t="e">
        <v>#N/A</v>
      </c>
      <c r="AA2093" s="177"/>
    </row>
    <row r="2094" spans="22:27" x14ac:dyDescent="0.2">
      <c r="V2094" s="163"/>
      <c r="W2094" s="158" t="str">
        <f t="shared" si="44"/>
        <v>1w</v>
      </c>
      <c r="X2094" s="168">
        <f>_xll.qlCalendarAdvance(Calendar,X2093,W2094,"f",FALSE)</f>
        <v>53787</v>
      </c>
      <c r="Y2094" s="173">
        <f>_xll.qlCalendarAdvance(Calendar,X2094,NDays&amp;"D")</f>
        <v>53787</v>
      </c>
      <c r="Z2094" s="174" t="e">
        <v>#N/A</v>
      </c>
      <c r="AA2094" s="177"/>
    </row>
    <row r="2095" spans="22:27" x14ac:dyDescent="0.2">
      <c r="V2095" s="163"/>
      <c r="W2095" s="158" t="str">
        <f t="shared" si="44"/>
        <v>1w</v>
      </c>
      <c r="X2095" s="168">
        <f>_xll.qlCalendarAdvance(Calendar,X2094,W2095,"f",FALSE)</f>
        <v>53794</v>
      </c>
      <c r="Y2095" s="173">
        <f>_xll.qlCalendarAdvance(Calendar,X2095,NDays&amp;"D")</f>
        <v>53794</v>
      </c>
      <c r="Z2095" s="174" t="e">
        <v>#N/A</v>
      </c>
      <c r="AA2095" s="177"/>
    </row>
    <row r="2096" spans="22:27" x14ac:dyDescent="0.2">
      <c r="V2096" s="163"/>
      <c r="W2096" s="158" t="str">
        <f t="shared" si="44"/>
        <v>1w</v>
      </c>
      <c r="X2096" s="168">
        <f>_xll.qlCalendarAdvance(Calendar,X2095,W2096,"f",FALSE)</f>
        <v>53801</v>
      </c>
      <c r="Y2096" s="173">
        <f>_xll.qlCalendarAdvance(Calendar,X2096,NDays&amp;"D")</f>
        <v>53801</v>
      </c>
      <c r="Z2096" s="174" t="e">
        <v>#N/A</v>
      </c>
      <c r="AA2096" s="177"/>
    </row>
    <row r="2097" spans="22:27" x14ac:dyDescent="0.2">
      <c r="V2097" s="163"/>
      <c r="W2097" s="158" t="str">
        <f t="shared" si="44"/>
        <v>1w</v>
      </c>
      <c r="X2097" s="168">
        <f>_xll.qlCalendarAdvance(Calendar,X2096,W2097,"f",FALSE)</f>
        <v>53808</v>
      </c>
      <c r="Y2097" s="173">
        <f>_xll.qlCalendarAdvance(Calendar,X2097,NDays&amp;"D")</f>
        <v>53808</v>
      </c>
      <c r="Z2097" s="174" t="e">
        <v>#N/A</v>
      </c>
      <c r="AA2097" s="177"/>
    </row>
    <row r="2098" spans="22:27" x14ac:dyDescent="0.2">
      <c r="V2098" s="163"/>
      <c r="W2098" s="158" t="str">
        <f t="shared" si="44"/>
        <v>1w</v>
      </c>
      <c r="X2098" s="168">
        <f>_xll.qlCalendarAdvance(Calendar,X2097,W2098,"f",FALSE)</f>
        <v>53819</v>
      </c>
      <c r="Y2098" s="173">
        <f>_xll.qlCalendarAdvance(Calendar,X2098,NDays&amp;"D")</f>
        <v>53819</v>
      </c>
      <c r="Z2098" s="174" t="e">
        <v>#N/A</v>
      </c>
      <c r="AA2098" s="177"/>
    </row>
    <row r="2099" spans="22:27" x14ac:dyDescent="0.2">
      <c r="V2099" s="163"/>
      <c r="W2099" s="158" t="str">
        <f t="shared" si="44"/>
        <v>1w</v>
      </c>
      <c r="X2099" s="168">
        <f>_xll.qlCalendarAdvance(Calendar,X2098,W2099,"f",FALSE)</f>
        <v>53826</v>
      </c>
      <c r="Y2099" s="173">
        <f>_xll.qlCalendarAdvance(Calendar,X2099,NDays&amp;"D")</f>
        <v>53826</v>
      </c>
      <c r="Z2099" s="174" t="e">
        <v>#N/A</v>
      </c>
      <c r="AA2099" s="177"/>
    </row>
    <row r="2100" spans="22:27" x14ac:dyDescent="0.2">
      <c r="V2100" s="163"/>
      <c r="W2100" s="158" t="str">
        <f t="shared" si="44"/>
        <v>1w</v>
      </c>
      <c r="X2100" s="168">
        <f>_xll.qlCalendarAdvance(Calendar,X2099,W2100,"f",FALSE)</f>
        <v>53833</v>
      </c>
      <c r="Y2100" s="173">
        <f>_xll.qlCalendarAdvance(Calendar,X2100,NDays&amp;"D")</f>
        <v>53833</v>
      </c>
      <c r="Z2100" s="174" t="e">
        <v>#N/A</v>
      </c>
      <c r="AA2100" s="177"/>
    </row>
    <row r="2101" spans="22:27" x14ac:dyDescent="0.2">
      <c r="V2101" s="163"/>
      <c r="W2101" s="158" t="str">
        <f t="shared" si="44"/>
        <v>1w</v>
      </c>
      <c r="X2101" s="168">
        <f>_xll.qlCalendarAdvance(Calendar,X2100,W2101,"f",FALSE)</f>
        <v>53840</v>
      </c>
      <c r="Y2101" s="173">
        <f>_xll.qlCalendarAdvance(Calendar,X2101,NDays&amp;"D")</f>
        <v>53840</v>
      </c>
      <c r="Z2101" s="174" t="e">
        <v>#N/A</v>
      </c>
      <c r="AA2101" s="177"/>
    </row>
    <row r="2102" spans="22:27" x14ac:dyDescent="0.2">
      <c r="V2102" s="163"/>
      <c r="W2102" s="158" t="str">
        <f t="shared" si="44"/>
        <v>1w</v>
      </c>
      <c r="X2102" s="168">
        <f>_xll.qlCalendarAdvance(Calendar,X2101,W2102,"f",FALSE)</f>
        <v>53847</v>
      </c>
      <c r="Y2102" s="173">
        <f>_xll.qlCalendarAdvance(Calendar,X2102,NDays&amp;"D")</f>
        <v>53847</v>
      </c>
      <c r="Z2102" s="174" t="e">
        <v>#N/A</v>
      </c>
      <c r="AA2102" s="177"/>
    </row>
    <row r="2103" spans="22:27" x14ac:dyDescent="0.2">
      <c r="V2103" s="163"/>
      <c r="W2103" s="158" t="str">
        <f t="shared" si="44"/>
        <v>1w</v>
      </c>
      <c r="X2103" s="168">
        <f>_xll.qlCalendarAdvance(Calendar,X2102,W2103,"f",FALSE)</f>
        <v>53854</v>
      </c>
      <c r="Y2103" s="173">
        <f>_xll.qlCalendarAdvance(Calendar,X2103,NDays&amp;"D")</f>
        <v>53854</v>
      </c>
      <c r="Z2103" s="174" t="e">
        <v>#N/A</v>
      </c>
      <c r="AA2103" s="177"/>
    </row>
    <row r="2104" spans="22:27" x14ac:dyDescent="0.2">
      <c r="V2104" s="163"/>
      <c r="W2104" s="158" t="str">
        <f t="shared" si="44"/>
        <v>1w</v>
      </c>
      <c r="X2104" s="168">
        <f>_xll.qlCalendarAdvance(Calendar,X2103,W2104,"f",FALSE)</f>
        <v>53861</v>
      </c>
      <c r="Y2104" s="173">
        <f>_xll.qlCalendarAdvance(Calendar,X2104,NDays&amp;"D")</f>
        <v>53861</v>
      </c>
      <c r="Z2104" s="174" t="e">
        <v>#N/A</v>
      </c>
      <c r="AA2104" s="177"/>
    </row>
    <row r="2105" spans="22:27" x14ac:dyDescent="0.2">
      <c r="V2105" s="163"/>
      <c r="W2105" s="158" t="str">
        <f t="shared" si="44"/>
        <v>1w</v>
      </c>
      <c r="X2105" s="168">
        <f>_xll.qlCalendarAdvance(Calendar,X2104,W2105,"f",FALSE)</f>
        <v>53868</v>
      </c>
      <c r="Y2105" s="173">
        <f>_xll.qlCalendarAdvance(Calendar,X2105,NDays&amp;"D")</f>
        <v>53868</v>
      </c>
      <c r="Z2105" s="174" t="e">
        <v>#N/A</v>
      </c>
      <c r="AA2105" s="177"/>
    </row>
    <row r="2106" spans="22:27" x14ac:dyDescent="0.2">
      <c r="V2106" s="163"/>
      <c r="W2106" s="158" t="str">
        <f t="shared" si="44"/>
        <v>1w</v>
      </c>
      <c r="X2106" s="168">
        <f>_xll.qlCalendarAdvance(Calendar,X2105,W2106,"f",FALSE)</f>
        <v>53875</v>
      </c>
      <c r="Y2106" s="173">
        <f>_xll.qlCalendarAdvance(Calendar,X2106,NDays&amp;"D")</f>
        <v>53875</v>
      </c>
      <c r="Z2106" s="174" t="e">
        <v>#N/A</v>
      </c>
      <c r="AA2106" s="177"/>
    </row>
    <row r="2107" spans="22:27" x14ac:dyDescent="0.2">
      <c r="V2107" s="163"/>
      <c r="W2107" s="158" t="str">
        <f t="shared" si="44"/>
        <v>1w</v>
      </c>
      <c r="X2107" s="168">
        <f>_xll.qlCalendarAdvance(Calendar,X2106,W2107,"f",FALSE)</f>
        <v>53882</v>
      </c>
      <c r="Y2107" s="173">
        <f>_xll.qlCalendarAdvance(Calendar,X2107,NDays&amp;"D")</f>
        <v>53882</v>
      </c>
      <c r="Z2107" s="174" t="e">
        <v>#N/A</v>
      </c>
      <c r="AA2107" s="177"/>
    </row>
    <row r="2108" spans="22:27" x14ac:dyDescent="0.2">
      <c r="V2108" s="163"/>
      <c r="W2108" s="158" t="str">
        <f t="shared" si="44"/>
        <v>1w</v>
      </c>
      <c r="X2108" s="168">
        <f>_xll.qlCalendarAdvance(Calendar,X2107,W2108,"f",FALSE)</f>
        <v>53889</v>
      </c>
      <c r="Y2108" s="173">
        <f>_xll.qlCalendarAdvance(Calendar,X2108,NDays&amp;"D")</f>
        <v>53889</v>
      </c>
      <c r="Z2108" s="174" t="e">
        <v>#N/A</v>
      </c>
      <c r="AA2108" s="177"/>
    </row>
    <row r="2109" spans="22:27" x14ac:dyDescent="0.2">
      <c r="V2109" s="163"/>
      <c r="W2109" s="158" t="str">
        <f t="shared" si="44"/>
        <v>1w</v>
      </c>
      <c r="X2109" s="168">
        <f>_xll.qlCalendarAdvance(Calendar,X2108,W2109,"f",FALSE)</f>
        <v>53896</v>
      </c>
      <c r="Y2109" s="173">
        <f>_xll.qlCalendarAdvance(Calendar,X2109,NDays&amp;"D")</f>
        <v>53896</v>
      </c>
      <c r="Z2109" s="174" t="e">
        <v>#N/A</v>
      </c>
      <c r="AA2109" s="177"/>
    </row>
    <row r="2110" spans="22:27" x14ac:dyDescent="0.2">
      <c r="V2110" s="163"/>
      <c r="W2110" s="158" t="str">
        <f t="shared" si="44"/>
        <v>1w</v>
      </c>
      <c r="X2110" s="168">
        <f>_xll.qlCalendarAdvance(Calendar,X2109,W2110,"f",FALSE)</f>
        <v>53903</v>
      </c>
      <c r="Y2110" s="173">
        <f>_xll.qlCalendarAdvance(Calendar,X2110,NDays&amp;"D")</f>
        <v>53903</v>
      </c>
      <c r="Z2110" s="174" t="e">
        <v>#N/A</v>
      </c>
      <c r="AA2110" s="177"/>
    </row>
    <row r="2111" spans="22:27" x14ac:dyDescent="0.2">
      <c r="V2111" s="163"/>
      <c r="W2111" s="158" t="str">
        <f t="shared" si="44"/>
        <v>1w</v>
      </c>
      <c r="X2111" s="168">
        <f>_xll.qlCalendarAdvance(Calendar,X2110,W2111,"f",FALSE)</f>
        <v>53910</v>
      </c>
      <c r="Y2111" s="173">
        <f>_xll.qlCalendarAdvance(Calendar,X2111,NDays&amp;"D")</f>
        <v>53910</v>
      </c>
      <c r="Z2111" s="174" t="e">
        <v>#N/A</v>
      </c>
      <c r="AA2111" s="177"/>
    </row>
    <row r="2112" spans="22:27" x14ac:dyDescent="0.2">
      <c r="V2112" s="163"/>
      <c r="W2112" s="158" t="str">
        <f t="shared" si="44"/>
        <v>1w</v>
      </c>
      <c r="X2112" s="168">
        <f>_xll.qlCalendarAdvance(Calendar,X2111,W2112,"f",FALSE)</f>
        <v>53917</v>
      </c>
      <c r="Y2112" s="173">
        <f>_xll.qlCalendarAdvance(Calendar,X2112,NDays&amp;"D")</f>
        <v>53917</v>
      </c>
      <c r="Z2112" s="174" t="e">
        <v>#N/A</v>
      </c>
      <c r="AA2112" s="177"/>
    </row>
    <row r="2113" spans="22:27" x14ac:dyDescent="0.2">
      <c r="V2113" s="163"/>
      <c r="W2113" s="158" t="str">
        <f t="shared" si="44"/>
        <v>1w</v>
      </c>
      <c r="X2113" s="168">
        <f>_xll.qlCalendarAdvance(Calendar,X2112,W2113,"f",FALSE)</f>
        <v>53924</v>
      </c>
      <c r="Y2113" s="173">
        <f>_xll.qlCalendarAdvance(Calendar,X2113,NDays&amp;"D")</f>
        <v>53924</v>
      </c>
      <c r="Z2113" s="174" t="e">
        <v>#N/A</v>
      </c>
      <c r="AA2113" s="177"/>
    </row>
    <row r="2114" spans="22:27" x14ac:dyDescent="0.2">
      <c r="V2114" s="163"/>
      <c r="W2114" s="158" t="str">
        <f t="shared" si="44"/>
        <v>1w</v>
      </c>
      <c r="X2114" s="168">
        <f>_xll.qlCalendarAdvance(Calendar,X2113,W2114,"f",FALSE)</f>
        <v>53931</v>
      </c>
      <c r="Y2114" s="173">
        <f>_xll.qlCalendarAdvance(Calendar,X2114,NDays&amp;"D")</f>
        <v>53931</v>
      </c>
      <c r="Z2114" s="174" t="e">
        <v>#N/A</v>
      </c>
      <c r="AA2114" s="177"/>
    </row>
    <row r="2115" spans="22:27" x14ac:dyDescent="0.2">
      <c r="V2115" s="163"/>
      <c r="W2115" s="158" t="str">
        <f t="shared" si="44"/>
        <v>1w</v>
      </c>
      <c r="X2115" s="168">
        <f>_xll.qlCalendarAdvance(Calendar,X2114,W2115,"f",FALSE)</f>
        <v>53938</v>
      </c>
      <c r="Y2115" s="173">
        <f>_xll.qlCalendarAdvance(Calendar,X2115,NDays&amp;"D")</f>
        <v>53938</v>
      </c>
      <c r="Z2115" s="174" t="e">
        <v>#N/A</v>
      </c>
      <c r="AA2115" s="177"/>
    </row>
    <row r="2116" spans="22:27" x14ac:dyDescent="0.2">
      <c r="V2116" s="163"/>
      <c r="W2116" s="158" t="str">
        <f t="shared" si="44"/>
        <v>1w</v>
      </c>
      <c r="X2116" s="168">
        <f>_xll.qlCalendarAdvance(Calendar,X2115,W2116,"f",FALSE)</f>
        <v>53945</v>
      </c>
      <c r="Y2116" s="173">
        <f>_xll.qlCalendarAdvance(Calendar,X2116,NDays&amp;"D")</f>
        <v>53945</v>
      </c>
      <c r="Z2116" s="174" t="e">
        <v>#N/A</v>
      </c>
      <c r="AA2116" s="177"/>
    </row>
    <row r="2117" spans="22:27" x14ac:dyDescent="0.2">
      <c r="V2117" s="163"/>
      <c r="W2117" s="158" t="str">
        <f t="shared" si="44"/>
        <v>1w</v>
      </c>
      <c r="X2117" s="168">
        <f>_xll.qlCalendarAdvance(Calendar,X2116,W2117,"f",FALSE)</f>
        <v>53952</v>
      </c>
      <c r="Y2117" s="173">
        <f>_xll.qlCalendarAdvance(Calendar,X2117,NDays&amp;"D")</f>
        <v>53952</v>
      </c>
      <c r="Z2117" s="174" t="e">
        <v>#N/A</v>
      </c>
      <c r="AA2117" s="177"/>
    </row>
    <row r="2118" spans="22:27" x14ac:dyDescent="0.2">
      <c r="V2118" s="163"/>
      <c r="W2118" s="158" t="str">
        <f t="shared" si="44"/>
        <v>1w</v>
      </c>
      <c r="X2118" s="168">
        <f>_xll.qlCalendarAdvance(Calendar,X2117,W2118,"f",FALSE)</f>
        <v>53959</v>
      </c>
      <c r="Y2118" s="173">
        <f>_xll.qlCalendarAdvance(Calendar,X2118,NDays&amp;"D")</f>
        <v>53959</v>
      </c>
      <c r="Z2118" s="174" t="e">
        <v>#N/A</v>
      </c>
      <c r="AA2118" s="177"/>
    </row>
    <row r="2119" spans="22:27" x14ac:dyDescent="0.2">
      <c r="V2119" s="163"/>
      <c r="W2119" s="158" t="str">
        <f t="shared" si="44"/>
        <v>1w</v>
      </c>
      <c r="X2119" s="168">
        <f>_xll.qlCalendarAdvance(Calendar,X2118,W2119,"f",FALSE)</f>
        <v>53966</v>
      </c>
      <c r="Y2119" s="173">
        <f>_xll.qlCalendarAdvance(Calendar,X2119,NDays&amp;"D")</f>
        <v>53966</v>
      </c>
      <c r="Z2119" s="174" t="e">
        <v>#N/A</v>
      </c>
      <c r="AA2119" s="177"/>
    </row>
    <row r="2120" spans="22:27" x14ac:dyDescent="0.2">
      <c r="V2120" s="163"/>
      <c r="W2120" s="158" t="str">
        <f t="shared" si="44"/>
        <v>1w</v>
      </c>
      <c r="X2120" s="168">
        <f>_xll.qlCalendarAdvance(Calendar,X2119,W2120,"f",FALSE)</f>
        <v>53973</v>
      </c>
      <c r="Y2120" s="173">
        <f>_xll.qlCalendarAdvance(Calendar,X2120,NDays&amp;"D")</f>
        <v>53973</v>
      </c>
      <c r="Z2120" s="174" t="e">
        <v>#N/A</v>
      </c>
      <c r="AA2120" s="177"/>
    </row>
    <row r="2121" spans="22:27" x14ac:dyDescent="0.2">
      <c r="V2121" s="163"/>
      <c r="W2121" s="158" t="str">
        <f t="shared" si="44"/>
        <v>1w</v>
      </c>
      <c r="X2121" s="168">
        <f>_xll.qlCalendarAdvance(Calendar,X2120,W2121,"f",FALSE)</f>
        <v>53980</v>
      </c>
      <c r="Y2121" s="173">
        <f>_xll.qlCalendarAdvance(Calendar,X2121,NDays&amp;"D")</f>
        <v>53980</v>
      </c>
      <c r="Z2121" s="174" t="e">
        <v>#N/A</v>
      </c>
      <c r="AA2121" s="177"/>
    </row>
    <row r="2122" spans="22:27" x14ac:dyDescent="0.2">
      <c r="V2122" s="163"/>
      <c r="W2122" s="158" t="str">
        <f t="shared" si="44"/>
        <v>1w</v>
      </c>
      <c r="X2122" s="168">
        <f>_xll.qlCalendarAdvance(Calendar,X2121,W2122,"f",FALSE)</f>
        <v>53987</v>
      </c>
      <c r="Y2122" s="173">
        <f>_xll.qlCalendarAdvance(Calendar,X2122,NDays&amp;"D")</f>
        <v>53987</v>
      </c>
      <c r="Z2122" s="174" t="e">
        <v>#N/A</v>
      </c>
      <c r="AA2122" s="177"/>
    </row>
    <row r="2123" spans="22:27" x14ac:dyDescent="0.2">
      <c r="V2123" s="163"/>
      <c r="W2123" s="158" t="str">
        <f t="shared" si="44"/>
        <v>1w</v>
      </c>
      <c r="X2123" s="168">
        <f>_xll.qlCalendarAdvance(Calendar,X2122,W2123,"f",FALSE)</f>
        <v>53994</v>
      </c>
      <c r="Y2123" s="173">
        <f>_xll.qlCalendarAdvance(Calendar,X2123,NDays&amp;"D")</f>
        <v>53994</v>
      </c>
      <c r="Z2123" s="174" t="e">
        <v>#N/A</v>
      </c>
      <c r="AA2123" s="177"/>
    </row>
    <row r="2124" spans="22:27" x14ac:dyDescent="0.2">
      <c r="V2124" s="163"/>
      <c r="W2124" s="158" t="str">
        <f t="shared" si="44"/>
        <v>1w</v>
      </c>
      <c r="X2124" s="168">
        <f>_xll.qlCalendarAdvance(Calendar,X2123,W2124,"f",FALSE)</f>
        <v>54001</v>
      </c>
      <c r="Y2124" s="173">
        <f>_xll.qlCalendarAdvance(Calendar,X2124,NDays&amp;"D")</f>
        <v>54001</v>
      </c>
      <c r="Z2124" s="174" t="e">
        <v>#N/A</v>
      </c>
      <c r="AA2124" s="177"/>
    </row>
    <row r="2125" spans="22:27" x14ac:dyDescent="0.2">
      <c r="V2125" s="163"/>
      <c r="W2125" s="158" t="str">
        <f t="shared" ref="W2125:W2188" si="45">W2124</f>
        <v>1w</v>
      </c>
      <c r="X2125" s="168">
        <f>_xll.qlCalendarAdvance(Calendar,X2124,W2125,"f",FALSE)</f>
        <v>54008</v>
      </c>
      <c r="Y2125" s="173">
        <f>_xll.qlCalendarAdvance(Calendar,X2125,NDays&amp;"D")</f>
        <v>54008</v>
      </c>
      <c r="Z2125" s="174" t="e">
        <v>#N/A</v>
      </c>
      <c r="AA2125" s="177"/>
    </row>
    <row r="2126" spans="22:27" x14ac:dyDescent="0.2">
      <c r="V2126" s="163"/>
      <c r="W2126" s="158" t="str">
        <f t="shared" si="45"/>
        <v>1w</v>
      </c>
      <c r="X2126" s="168">
        <f>_xll.qlCalendarAdvance(Calendar,X2125,W2126,"f",FALSE)</f>
        <v>54015</v>
      </c>
      <c r="Y2126" s="173">
        <f>_xll.qlCalendarAdvance(Calendar,X2126,NDays&amp;"D")</f>
        <v>54015</v>
      </c>
      <c r="Z2126" s="174" t="e">
        <v>#N/A</v>
      </c>
      <c r="AA2126" s="177"/>
    </row>
    <row r="2127" spans="22:27" x14ac:dyDescent="0.2">
      <c r="V2127" s="163"/>
      <c r="W2127" s="158" t="str">
        <f t="shared" si="45"/>
        <v>1w</v>
      </c>
      <c r="X2127" s="168">
        <f>_xll.qlCalendarAdvance(Calendar,X2126,W2127,"f",FALSE)</f>
        <v>54022</v>
      </c>
      <c r="Y2127" s="173">
        <f>_xll.qlCalendarAdvance(Calendar,X2127,NDays&amp;"D")</f>
        <v>54022</v>
      </c>
      <c r="Z2127" s="174" t="e">
        <v>#N/A</v>
      </c>
      <c r="AA2127" s="177"/>
    </row>
    <row r="2128" spans="22:27" x14ac:dyDescent="0.2">
      <c r="V2128" s="163"/>
      <c r="W2128" s="158" t="str">
        <f t="shared" si="45"/>
        <v>1w</v>
      </c>
      <c r="X2128" s="168">
        <f>_xll.qlCalendarAdvance(Calendar,X2127,W2128,"f",FALSE)</f>
        <v>54029</v>
      </c>
      <c r="Y2128" s="173">
        <f>_xll.qlCalendarAdvance(Calendar,X2128,NDays&amp;"D")</f>
        <v>54029</v>
      </c>
      <c r="Z2128" s="174" t="e">
        <v>#N/A</v>
      </c>
      <c r="AA2128" s="177"/>
    </row>
    <row r="2129" spans="22:27" x14ac:dyDescent="0.2">
      <c r="V2129" s="163"/>
      <c r="W2129" s="158" t="str">
        <f t="shared" si="45"/>
        <v>1w</v>
      </c>
      <c r="X2129" s="168">
        <f>_xll.qlCalendarAdvance(Calendar,X2128,W2129,"f",FALSE)</f>
        <v>54036</v>
      </c>
      <c r="Y2129" s="173">
        <f>_xll.qlCalendarAdvance(Calendar,X2129,NDays&amp;"D")</f>
        <v>54036</v>
      </c>
      <c r="Z2129" s="174" t="e">
        <v>#N/A</v>
      </c>
      <c r="AA2129" s="177"/>
    </row>
    <row r="2130" spans="22:27" x14ac:dyDescent="0.2">
      <c r="V2130" s="163"/>
      <c r="W2130" s="158" t="str">
        <f t="shared" si="45"/>
        <v>1w</v>
      </c>
      <c r="X2130" s="168">
        <f>_xll.qlCalendarAdvance(Calendar,X2129,W2130,"f",FALSE)</f>
        <v>54043</v>
      </c>
      <c r="Y2130" s="173">
        <f>_xll.qlCalendarAdvance(Calendar,X2130,NDays&amp;"D")</f>
        <v>54043</v>
      </c>
      <c r="Z2130" s="174" t="e">
        <v>#N/A</v>
      </c>
      <c r="AA2130" s="177"/>
    </row>
    <row r="2131" spans="22:27" x14ac:dyDescent="0.2">
      <c r="V2131" s="163"/>
      <c r="W2131" s="158" t="str">
        <f t="shared" si="45"/>
        <v>1w</v>
      </c>
      <c r="X2131" s="168">
        <f>_xll.qlCalendarAdvance(Calendar,X2130,W2131,"f",FALSE)</f>
        <v>54050</v>
      </c>
      <c r="Y2131" s="173">
        <f>_xll.qlCalendarAdvance(Calendar,X2131,NDays&amp;"D")</f>
        <v>54050</v>
      </c>
      <c r="Z2131" s="174" t="e">
        <v>#N/A</v>
      </c>
      <c r="AA2131" s="177"/>
    </row>
    <row r="2132" spans="22:27" x14ac:dyDescent="0.2">
      <c r="V2132" s="163"/>
      <c r="W2132" s="158" t="str">
        <f t="shared" si="45"/>
        <v>1w</v>
      </c>
      <c r="X2132" s="168">
        <f>_xll.qlCalendarAdvance(Calendar,X2131,W2132,"f",FALSE)</f>
        <v>54063</v>
      </c>
      <c r="Y2132" s="173">
        <f>_xll.qlCalendarAdvance(Calendar,X2132,NDays&amp;"D")</f>
        <v>54063</v>
      </c>
      <c r="Z2132" s="174" t="e">
        <v>#N/A</v>
      </c>
      <c r="AA2132" s="177"/>
    </row>
    <row r="2133" spans="22:27" x14ac:dyDescent="0.2">
      <c r="V2133" s="163"/>
      <c r="W2133" s="158" t="str">
        <f t="shared" si="45"/>
        <v>1w</v>
      </c>
      <c r="X2133" s="168">
        <f>_xll.qlCalendarAdvance(Calendar,X2132,W2133,"f",FALSE)</f>
        <v>54071</v>
      </c>
      <c r="Y2133" s="173">
        <f>_xll.qlCalendarAdvance(Calendar,X2133,NDays&amp;"D")</f>
        <v>54071</v>
      </c>
      <c r="Z2133" s="174" t="e">
        <v>#N/A</v>
      </c>
      <c r="AA2133" s="177"/>
    </row>
    <row r="2134" spans="22:27" x14ac:dyDescent="0.2">
      <c r="V2134" s="163"/>
      <c r="W2134" s="158" t="str">
        <f t="shared" si="45"/>
        <v>1w</v>
      </c>
      <c r="X2134" s="168">
        <f>_xll.qlCalendarAdvance(Calendar,X2133,W2134,"f",FALSE)</f>
        <v>54078</v>
      </c>
      <c r="Y2134" s="173">
        <f>_xll.qlCalendarAdvance(Calendar,X2134,NDays&amp;"D")</f>
        <v>54078</v>
      </c>
      <c r="Z2134" s="174" t="e">
        <v>#N/A</v>
      </c>
      <c r="AA2134" s="177"/>
    </row>
    <row r="2135" spans="22:27" x14ac:dyDescent="0.2">
      <c r="V2135" s="163"/>
      <c r="W2135" s="158" t="str">
        <f t="shared" si="45"/>
        <v>1w</v>
      </c>
      <c r="X2135" s="168">
        <f>_xll.qlCalendarAdvance(Calendar,X2134,W2135,"f",FALSE)</f>
        <v>54085</v>
      </c>
      <c r="Y2135" s="173">
        <f>_xll.qlCalendarAdvance(Calendar,X2135,NDays&amp;"D")</f>
        <v>54085</v>
      </c>
      <c r="Z2135" s="174" t="e">
        <v>#N/A</v>
      </c>
      <c r="AA2135" s="177"/>
    </row>
    <row r="2136" spans="22:27" x14ac:dyDescent="0.2">
      <c r="V2136" s="163"/>
      <c r="W2136" s="158" t="str">
        <f t="shared" si="45"/>
        <v>1w</v>
      </c>
      <c r="X2136" s="168">
        <f>_xll.qlCalendarAdvance(Calendar,X2135,W2136,"f",FALSE)</f>
        <v>54092</v>
      </c>
      <c r="Y2136" s="173">
        <f>_xll.qlCalendarAdvance(Calendar,X2136,NDays&amp;"D")</f>
        <v>54092</v>
      </c>
      <c r="Z2136" s="174" t="e">
        <v>#N/A</v>
      </c>
      <c r="AA2136" s="177"/>
    </row>
    <row r="2137" spans="22:27" x14ac:dyDescent="0.2">
      <c r="V2137" s="163"/>
      <c r="W2137" s="158" t="str">
        <f t="shared" si="45"/>
        <v>1w</v>
      </c>
      <c r="X2137" s="168">
        <f>_xll.qlCalendarAdvance(Calendar,X2136,W2137,"f",FALSE)</f>
        <v>54100</v>
      </c>
      <c r="Y2137" s="173">
        <f>_xll.qlCalendarAdvance(Calendar,X2137,NDays&amp;"D")</f>
        <v>54100</v>
      </c>
      <c r="Z2137" s="174" t="e">
        <v>#N/A</v>
      </c>
      <c r="AA2137" s="177"/>
    </row>
    <row r="2138" spans="22:27" x14ac:dyDescent="0.2">
      <c r="V2138" s="163"/>
      <c r="W2138" s="158" t="str">
        <f t="shared" si="45"/>
        <v>1w</v>
      </c>
      <c r="X2138" s="168">
        <f>_xll.qlCalendarAdvance(Calendar,X2137,W2138,"f",FALSE)</f>
        <v>54107</v>
      </c>
      <c r="Y2138" s="173">
        <f>_xll.qlCalendarAdvance(Calendar,X2138,NDays&amp;"D")</f>
        <v>54107</v>
      </c>
      <c r="Z2138" s="174" t="e">
        <v>#N/A</v>
      </c>
      <c r="AA2138" s="177"/>
    </row>
    <row r="2139" spans="22:27" x14ac:dyDescent="0.2">
      <c r="V2139" s="163"/>
      <c r="W2139" s="158" t="str">
        <f t="shared" si="45"/>
        <v>1w</v>
      </c>
      <c r="X2139" s="168">
        <f>_xll.qlCalendarAdvance(Calendar,X2138,W2139,"f",FALSE)</f>
        <v>54114</v>
      </c>
      <c r="Y2139" s="173">
        <f>_xll.qlCalendarAdvance(Calendar,X2139,NDays&amp;"D")</f>
        <v>54114</v>
      </c>
      <c r="Z2139" s="174" t="e">
        <v>#N/A</v>
      </c>
      <c r="AA2139" s="177"/>
    </row>
    <row r="2140" spans="22:27" x14ac:dyDescent="0.2">
      <c r="V2140" s="163"/>
      <c r="W2140" s="158" t="str">
        <f t="shared" si="45"/>
        <v>1w</v>
      </c>
      <c r="X2140" s="168">
        <f>_xll.qlCalendarAdvance(Calendar,X2139,W2140,"f",FALSE)</f>
        <v>54121</v>
      </c>
      <c r="Y2140" s="173">
        <f>_xll.qlCalendarAdvance(Calendar,X2140,NDays&amp;"D")</f>
        <v>54121</v>
      </c>
      <c r="Z2140" s="174" t="e">
        <v>#N/A</v>
      </c>
      <c r="AA2140" s="177"/>
    </row>
    <row r="2141" spans="22:27" x14ac:dyDescent="0.2">
      <c r="V2141" s="163"/>
      <c r="W2141" s="158" t="str">
        <f t="shared" si="45"/>
        <v>1w</v>
      </c>
      <c r="X2141" s="168">
        <f>_xll.qlCalendarAdvance(Calendar,X2140,W2141,"f",FALSE)</f>
        <v>54128</v>
      </c>
      <c r="Y2141" s="173">
        <f>_xll.qlCalendarAdvance(Calendar,X2141,NDays&amp;"D")</f>
        <v>54128</v>
      </c>
      <c r="Z2141" s="174" t="e">
        <v>#N/A</v>
      </c>
      <c r="AA2141" s="177"/>
    </row>
    <row r="2142" spans="22:27" x14ac:dyDescent="0.2">
      <c r="V2142" s="163"/>
      <c r="W2142" s="158" t="str">
        <f t="shared" si="45"/>
        <v>1w</v>
      </c>
      <c r="X2142" s="168">
        <f>_xll.qlCalendarAdvance(Calendar,X2141,W2142,"f",FALSE)</f>
        <v>54135</v>
      </c>
      <c r="Y2142" s="173">
        <f>_xll.qlCalendarAdvance(Calendar,X2142,NDays&amp;"D")</f>
        <v>54135</v>
      </c>
      <c r="Z2142" s="174" t="e">
        <v>#N/A</v>
      </c>
      <c r="AA2142" s="177"/>
    </row>
    <row r="2143" spans="22:27" x14ac:dyDescent="0.2">
      <c r="V2143" s="163"/>
      <c r="W2143" s="158" t="str">
        <f t="shared" si="45"/>
        <v>1w</v>
      </c>
      <c r="X2143" s="168">
        <f>_xll.qlCalendarAdvance(Calendar,X2142,W2143,"f",FALSE)</f>
        <v>54142</v>
      </c>
      <c r="Y2143" s="173">
        <f>_xll.qlCalendarAdvance(Calendar,X2143,NDays&amp;"D")</f>
        <v>54142</v>
      </c>
      <c r="Z2143" s="174" t="e">
        <v>#N/A</v>
      </c>
      <c r="AA2143" s="177"/>
    </row>
    <row r="2144" spans="22:27" x14ac:dyDescent="0.2">
      <c r="V2144" s="163"/>
      <c r="W2144" s="158" t="str">
        <f t="shared" si="45"/>
        <v>1w</v>
      </c>
      <c r="X2144" s="168">
        <f>_xll.qlCalendarAdvance(Calendar,X2143,W2144,"f",FALSE)</f>
        <v>54149</v>
      </c>
      <c r="Y2144" s="173">
        <f>_xll.qlCalendarAdvance(Calendar,X2144,NDays&amp;"D")</f>
        <v>54149</v>
      </c>
      <c r="Z2144" s="174" t="e">
        <v>#N/A</v>
      </c>
      <c r="AA2144" s="177"/>
    </row>
    <row r="2145" spans="22:27" x14ac:dyDescent="0.2">
      <c r="V2145" s="163"/>
      <c r="W2145" s="158" t="str">
        <f t="shared" si="45"/>
        <v>1w</v>
      </c>
      <c r="X2145" s="168">
        <f>_xll.qlCalendarAdvance(Calendar,X2144,W2145,"f",FALSE)</f>
        <v>54156</v>
      </c>
      <c r="Y2145" s="173">
        <f>_xll.qlCalendarAdvance(Calendar,X2145,NDays&amp;"D")</f>
        <v>54156</v>
      </c>
      <c r="Z2145" s="174" t="e">
        <v>#N/A</v>
      </c>
      <c r="AA2145" s="177"/>
    </row>
    <row r="2146" spans="22:27" x14ac:dyDescent="0.2">
      <c r="V2146" s="163"/>
      <c r="W2146" s="158" t="str">
        <f t="shared" si="45"/>
        <v>1w</v>
      </c>
      <c r="X2146" s="168">
        <f>_xll.qlCalendarAdvance(Calendar,X2145,W2146,"f",FALSE)</f>
        <v>54163</v>
      </c>
      <c r="Y2146" s="173">
        <f>_xll.qlCalendarAdvance(Calendar,X2146,NDays&amp;"D")</f>
        <v>54163</v>
      </c>
      <c r="Z2146" s="174" t="e">
        <v>#N/A</v>
      </c>
      <c r="AA2146" s="177"/>
    </row>
    <row r="2147" spans="22:27" x14ac:dyDescent="0.2">
      <c r="V2147" s="163"/>
      <c r="W2147" s="158" t="str">
        <f t="shared" si="45"/>
        <v>1w</v>
      </c>
      <c r="X2147" s="168">
        <f>_xll.qlCalendarAdvance(Calendar,X2146,W2147,"f",FALSE)</f>
        <v>54170</v>
      </c>
      <c r="Y2147" s="173">
        <f>_xll.qlCalendarAdvance(Calendar,X2147,NDays&amp;"D")</f>
        <v>54170</v>
      </c>
      <c r="Z2147" s="174" t="e">
        <v>#N/A</v>
      </c>
      <c r="AA2147" s="177"/>
    </row>
    <row r="2148" spans="22:27" x14ac:dyDescent="0.2">
      <c r="V2148" s="163"/>
      <c r="W2148" s="158" t="str">
        <f t="shared" si="45"/>
        <v>1w</v>
      </c>
      <c r="X2148" s="168">
        <f>_xll.qlCalendarAdvance(Calendar,X2147,W2148,"f",FALSE)</f>
        <v>54178</v>
      </c>
      <c r="Y2148" s="173">
        <f>_xll.qlCalendarAdvance(Calendar,X2148,NDays&amp;"D")</f>
        <v>54178</v>
      </c>
      <c r="Z2148" s="174" t="e">
        <v>#N/A</v>
      </c>
      <c r="AA2148" s="177"/>
    </row>
    <row r="2149" spans="22:27" x14ac:dyDescent="0.2">
      <c r="V2149" s="163"/>
      <c r="W2149" s="158" t="str">
        <f t="shared" si="45"/>
        <v>1w</v>
      </c>
      <c r="X2149" s="168">
        <f>_xll.qlCalendarAdvance(Calendar,X2148,W2149,"f",FALSE)</f>
        <v>54185</v>
      </c>
      <c r="Y2149" s="173">
        <f>_xll.qlCalendarAdvance(Calendar,X2149,NDays&amp;"D")</f>
        <v>54185</v>
      </c>
      <c r="Z2149" s="174" t="e">
        <v>#N/A</v>
      </c>
      <c r="AA2149" s="177"/>
    </row>
    <row r="2150" spans="22:27" x14ac:dyDescent="0.2">
      <c r="V2150" s="163"/>
      <c r="W2150" s="158" t="str">
        <f t="shared" si="45"/>
        <v>1w</v>
      </c>
      <c r="X2150" s="168">
        <f>_xll.qlCalendarAdvance(Calendar,X2149,W2150,"f",FALSE)</f>
        <v>54192</v>
      </c>
      <c r="Y2150" s="173">
        <f>_xll.qlCalendarAdvance(Calendar,X2150,NDays&amp;"D")</f>
        <v>54192</v>
      </c>
      <c r="Z2150" s="174" t="e">
        <v>#N/A</v>
      </c>
      <c r="AA2150" s="177"/>
    </row>
    <row r="2151" spans="22:27" x14ac:dyDescent="0.2">
      <c r="V2151" s="163"/>
      <c r="W2151" s="158" t="str">
        <f t="shared" si="45"/>
        <v>1w</v>
      </c>
      <c r="X2151" s="168">
        <f>_xll.qlCalendarAdvance(Calendar,X2150,W2151,"f",FALSE)</f>
        <v>54199</v>
      </c>
      <c r="Y2151" s="173">
        <f>_xll.qlCalendarAdvance(Calendar,X2151,NDays&amp;"D")</f>
        <v>54199</v>
      </c>
      <c r="Z2151" s="174" t="e">
        <v>#N/A</v>
      </c>
      <c r="AA2151" s="177"/>
    </row>
    <row r="2152" spans="22:27" x14ac:dyDescent="0.2">
      <c r="V2152" s="163"/>
      <c r="W2152" s="158" t="str">
        <f t="shared" si="45"/>
        <v>1w</v>
      </c>
      <c r="X2152" s="168">
        <f>_xll.qlCalendarAdvance(Calendar,X2151,W2152,"f",FALSE)</f>
        <v>54206</v>
      </c>
      <c r="Y2152" s="173">
        <f>_xll.qlCalendarAdvance(Calendar,X2152,NDays&amp;"D")</f>
        <v>54206</v>
      </c>
      <c r="Z2152" s="174" t="e">
        <v>#N/A</v>
      </c>
      <c r="AA2152" s="177"/>
    </row>
    <row r="2153" spans="22:27" x14ac:dyDescent="0.2">
      <c r="V2153" s="163"/>
      <c r="W2153" s="158" t="str">
        <f t="shared" si="45"/>
        <v>1w</v>
      </c>
      <c r="X2153" s="168">
        <f>_xll.qlCalendarAdvance(Calendar,X2152,W2153,"f",FALSE)</f>
        <v>54213</v>
      </c>
      <c r="Y2153" s="173">
        <f>_xll.qlCalendarAdvance(Calendar,X2153,NDays&amp;"D")</f>
        <v>54213</v>
      </c>
      <c r="Z2153" s="174" t="e">
        <v>#N/A</v>
      </c>
      <c r="AA2153" s="177"/>
    </row>
    <row r="2154" spans="22:27" x14ac:dyDescent="0.2">
      <c r="V2154" s="163"/>
      <c r="W2154" s="158" t="str">
        <f t="shared" si="45"/>
        <v>1w</v>
      </c>
      <c r="X2154" s="168">
        <f>_xll.qlCalendarAdvance(Calendar,X2153,W2154,"f",FALSE)</f>
        <v>54220</v>
      </c>
      <c r="Y2154" s="173">
        <f>_xll.qlCalendarAdvance(Calendar,X2154,NDays&amp;"D")</f>
        <v>54220</v>
      </c>
      <c r="Z2154" s="174" t="e">
        <v>#N/A</v>
      </c>
      <c r="AA2154" s="177"/>
    </row>
    <row r="2155" spans="22:27" x14ac:dyDescent="0.2">
      <c r="V2155" s="163"/>
      <c r="W2155" s="158" t="str">
        <f t="shared" si="45"/>
        <v>1w</v>
      </c>
      <c r="X2155" s="168">
        <f>_xll.qlCalendarAdvance(Calendar,X2154,W2155,"f",FALSE)</f>
        <v>54227</v>
      </c>
      <c r="Y2155" s="173">
        <f>_xll.qlCalendarAdvance(Calendar,X2155,NDays&amp;"D")</f>
        <v>54227</v>
      </c>
      <c r="Z2155" s="174" t="e">
        <v>#N/A</v>
      </c>
      <c r="AA2155" s="177"/>
    </row>
    <row r="2156" spans="22:27" x14ac:dyDescent="0.2">
      <c r="V2156" s="163"/>
      <c r="W2156" s="158" t="str">
        <f t="shared" si="45"/>
        <v>1w</v>
      </c>
      <c r="X2156" s="168">
        <f>_xll.qlCalendarAdvance(Calendar,X2155,W2156,"f",FALSE)</f>
        <v>54234</v>
      </c>
      <c r="Y2156" s="173">
        <f>_xll.qlCalendarAdvance(Calendar,X2156,NDays&amp;"D")</f>
        <v>54234</v>
      </c>
      <c r="Z2156" s="174" t="e">
        <v>#N/A</v>
      </c>
      <c r="AA2156" s="177"/>
    </row>
    <row r="2157" spans="22:27" x14ac:dyDescent="0.2">
      <c r="V2157" s="163"/>
      <c r="W2157" s="158" t="str">
        <f t="shared" si="45"/>
        <v>1w</v>
      </c>
      <c r="X2157" s="168">
        <f>_xll.qlCalendarAdvance(Calendar,X2156,W2157,"f",FALSE)</f>
        <v>54241</v>
      </c>
      <c r="Y2157" s="173">
        <f>_xll.qlCalendarAdvance(Calendar,X2157,NDays&amp;"D")</f>
        <v>54241</v>
      </c>
      <c r="Z2157" s="174" t="e">
        <v>#N/A</v>
      </c>
      <c r="AA2157" s="177"/>
    </row>
    <row r="2158" spans="22:27" x14ac:dyDescent="0.2">
      <c r="V2158" s="163"/>
      <c r="W2158" s="158" t="str">
        <f t="shared" si="45"/>
        <v>1w</v>
      </c>
      <c r="X2158" s="168">
        <f>_xll.qlCalendarAdvance(Calendar,X2157,W2158,"f",FALSE)</f>
        <v>54248</v>
      </c>
      <c r="Y2158" s="173">
        <f>_xll.qlCalendarAdvance(Calendar,X2158,NDays&amp;"D")</f>
        <v>54248</v>
      </c>
      <c r="Z2158" s="174" t="e">
        <v>#N/A</v>
      </c>
      <c r="AA2158" s="177"/>
    </row>
    <row r="2159" spans="22:27" x14ac:dyDescent="0.2">
      <c r="V2159" s="163"/>
      <c r="W2159" s="158" t="str">
        <f t="shared" si="45"/>
        <v>1w</v>
      </c>
      <c r="X2159" s="168">
        <f>_xll.qlCalendarAdvance(Calendar,X2158,W2159,"f",FALSE)</f>
        <v>54255</v>
      </c>
      <c r="Y2159" s="173">
        <f>_xll.qlCalendarAdvance(Calendar,X2159,NDays&amp;"D")</f>
        <v>54255</v>
      </c>
      <c r="Z2159" s="174" t="e">
        <v>#N/A</v>
      </c>
      <c r="AA2159" s="177"/>
    </row>
    <row r="2160" spans="22:27" x14ac:dyDescent="0.2">
      <c r="V2160" s="163"/>
      <c r="W2160" s="158" t="str">
        <f t="shared" si="45"/>
        <v>1w</v>
      </c>
      <c r="X2160" s="168">
        <f>_xll.qlCalendarAdvance(Calendar,X2159,W2160,"f",FALSE)</f>
        <v>54262</v>
      </c>
      <c r="Y2160" s="173">
        <f>_xll.qlCalendarAdvance(Calendar,X2160,NDays&amp;"D")</f>
        <v>54262</v>
      </c>
      <c r="Z2160" s="174" t="e">
        <v>#N/A</v>
      </c>
      <c r="AA2160" s="177"/>
    </row>
    <row r="2161" spans="22:27" x14ac:dyDescent="0.2">
      <c r="V2161" s="163"/>
      <c r="W2161" s="158" t="str">
        <f t="shared" si="45"/>
        <v>1w</v>
      </c>
      <c r="X2161" s="168">
        <f>_xll.qlCalendarAdvance(Calendar,X2160,W2161,"f",FALSE)</f>
        <v>54269</v>
      </c>
      <c r="Y2161" s="173">
        <f>_xll.qlCalendarAdvance(Calendar,X2161,NDays&amp;"D")</f>
        <v>54269</v>
      </c>
      <c r="Z2161" s="174" t="e">
        <v>#N/A</v>
      </c>
      <c r="AA2161" s="177"/>
    </row>
    <row r="2162" spans="22:27" x14ac:dyDescent="0.2">
      <c r="V2162" s="163"/>
      <c r="W2162" s="158" t="str">
        <f t="shared" si="45"/>
        <v>1w</v>
      </c>
      <c r="X2162" s="168">
        <f>_xll.qlCalendarAdvance(Calendar,X2161,W2162,"f",FALSE)</f>
        <v>54276</v>
      </c>
      <c r="Y2162" s="173">
        <f>_xll.qlCalendarAdvance(Calendar,X2162,NDays&amp;"D")</f>
        <v>54276</v>
      </c>
      <c r="Z2162" s="174" t="e">
        <v>#N/A</v>
      </c>
      <c r="AA2162" s="177"/>
    </row>
    <row r="2163" spans="22:27" x14ac:dyDescent="0.2">
      <c r="V2163" s="163"/>
      <c r="W2163" s="158" t="str">
        <f t="shared" si="45"/>
        <v>1w</v>
      </c>
      <c r="X2163" s="168">
        <f>_xll.qlCalendarAdvance(Calendar,X2162,W2163,"f",FALSE)</f>
        <v>54283</v>
      </c>
      <c r="Y2163" s="173">
        <f>_xll.qlCalendarAdvance(Calendar,X2163,NDays&amp;"D")</f>
        <v>54283</v>
      </c>
      <c r="Z2163" s="174" t="e">
        <v>#N/A</v>
      </c>
      <c r="AA2163" s="177"/>
    </row>
    <row r="2164" spans="22:27" x14ac:dyDescent="0.2">
      <c r="V2164" s="163"/>
      <c r="W2164" s="158" t="str">
        <f t="shared" si="45"/>
        <v>1w</v>
      </c>
      <c r="X2164" s="168">
        <f>_xll.qlCalendarAdvance(Calendar,X2163,W2164,"f",FALSE)</f>
        <v>54290</v>
      </c>
      <c r="Y2164" s="173">
        <f>_xll.qlCalendarAdvance(Calendar,X2164,NDays&amp;"D")</f>
        <v>54290</v>
      </c>
      <c r="Z2164" s="174" t="e">
        <v>#N/A</v>
      </c>
      <c r="AA2164" s="177"/>
    </row>
    <row r="2165" spans="22:27" x14ac:dyDescent="0.2">
      <c r="V2165" s="163"/>
      <c r="W2165" s="158" t="str">
        <f t="shared" si="45"/>
        <v>1w</v>
      </c>
      <c r="X2165" s="168">
        <f>_xll.qlCalendarAdvance(Calendar,X2164,W2165,"f",FALSE)</f>
        <v>54297</v>
      </c>
      <c r="Y2165" s="173">
        <f>_xll.qlCalendarAdvance(Calendar,X2165,NDays&amp;"D")</f>
        <v>54297</v>
      </c>
      <c r="Z2165" s="174" t="e">
        <v>#N/A</v>
      </c>
      <c r="AA2165" s="177"/>
    </row>
    <row r="2166" spans="22:27" x14ac:dyDescent="0.2">
      <c r="V2166" s="163"/>
      <c r="W2166" s="158" t="str">
        <f t="shared" si="45"/>
        <v>1w</v>
      </c>
      <c r="X2166" s="168">
        <f>_xll.qlCalendarAdvance(Calendar,X2165,W2166,"f",FALSE)</f>
        <v>54304</v>
      </c>
      <c r="Y2166" s="173">
        <f>_xll.qlCalendarAdvance(Calendar,X2166,NDays&amp;"D")</f>
        <v>54304</v>
      </c>
      <c r="Z2166" s="174" t="e">
        <v>#N/A</v>
      </c>
      <c r="AA2166" s="177"/>
    </row>
    <row r="2167" spans="22:27" x14ac:dyDescent="0.2">
      <c r="V2167" s="163"/>
      <c r="W2167" s="158" t="str">
        <f t="shared" si="45"/>
        <v>1w</v>
      </c>
      <c r="X2167" s="168">
        <f>_xll.qlCalendarAdvance(Calendar,X2166,W2167,"f",FALSE)</f>
        <v>54311</v>
      </c>
      <c r="Y2167" s="173">
        <f>_xll.qlCalendarAdvance(Calendar,X2167,NDays&amp;"D")</f>
        <v>54311</v>
      </c>
      <c r="Z2167" s="174" t="e">
        <v>#N/A</v>
      </c>
      <c r="AA2167" s="177"/>
    </row>
    <row r="2168" spans="22:27" x14ac:dyDescent="0.2">
      <c r="V2168" s="163"/>
      <c r="W2168" s="158" t="str">
        <f t="shared" si="45"/>
        <v>1w</v>
      </c>
      <c r="X2168" s="168">
        <f>_xll.qlCalendarAdvance(Calendar,X2167,W2168,"f",FALSE)</f>
        <v>54318</v>
      </c>
      <c r="Y2168" s="173">
        <f>_xll.qlCalendarAdvance(Calendar,X2168,NDays&amp;"D")</f>
        <v>54318</v>
      </c>
      <c r="Z2168" s="174" t="e">
        <v>#N/A</v>
      </c>
      <c r="AA2168" s="177"/>
    </row>
    <row r="2169" spans="22:27" x14ac:dyDescent="0.2">
      <c r="V2169" s="163"/>
      <c r="W2169" s="158" t="str">
        <f t="shared" si="45"/>
        <v>1w</v>
      </c>
      <c r="X2169" s="168">
        <f>_xll.qlCalendarAdvance(Calendar,X2168,W2169,"f",FALSE)</f>
        <v>54325</v>
      </c>
      <c r="Y2169" s="173">
        <f>_xll.qlCalendarAdvance(Calendar,X2169,NDays&amp;"D")</f>
        <v>54325</v>
      </c>
      <c r="Z2169" s="174" t="e">
        <v>#N/A</v>
      </c>
      <c r="AA2169" s="177"/>
    </row>
    <row r="2170" spans="22:27" x14ac:dyDescent="0.2">
      <c r="V2170" s="163"/>
      <c r="W2170" s="158" t="str">
        <f t="shared" si="45"/>
        <v>1w</v>
      </c>
      <c r="X2170" s="168">
        <f>_xll.qlCalendarAdvance(Calendar,X2169,W2170,"f",FALSE)</f>
        <v>54332</v>
      </c>
      <c r="Y2170" s="173">
        <f>_xll.qlCalendarAdvance(Calendar,X2170,NDays&amp;"D")</f>
        <v>54332</v>
      </c>
      <c r="Z2170" s="174" t="e">
        <v>#N/A</v>
      </c>
      <c r="AA2170" s="177"/>
    </row>
    <row r="2171" spans="22:27" x14ac:dyDescent="0.2">
      <c r="V2171" s="163"/>
      <c r="W2171" s="158" t="str">
        <f t="shared" si="45"/>
        <v>1w</v>
      </c>
      <c r="X2171" s="168">
        <f>_xll.qlCalendarAdvance(Calendar,X2170,W2171,"f",FALSE)</f>
        <v>54339</v>
      </c>
      <c r="Y2171" s="173">
        <f>_xll.qlCalendarAdvance(Calendar,X2171,NDays&amp;"D")</f>
        <v>54339</v>
      </c>
      <c r="Z2171" s="174" t="e">
        <v>#N/A</v>
      </c>
      <c r="AA2171" s="177"/>
    </row>
    <row r="2172" spans="22:27" x14ac:dyDescent="0.2">
      <c r="V2172" s="163"/>
      <c r="W2172" s="158" t="str">
        <f t="shared" si="45"/>
        <v>1w</v>
      </c>
      <c r="X2172" s="168">
        <f>_xll.qlCalendarAdvance(Calendar,X2171,W2172,"f",FALSE)</f>
        <v>54346</v>
      </c>
      <c r="Y2172" s="173">
        <f>_xll.qlCalendarAdvance(Calendar,X2172,NDays&amp;"D")</f>
        <v>54346</v>
      </c>
      <c r="Z2172" s="174" t="e">
        <v>#N/A</v>
      </c>
      <c r="AA2172" s="177"/>
    </row>
    <row r="2173" spans="22:27" x14ac:dyDescent="0.2">
      <c r="V2173" s="163"/>
      <c r="W2173" s="158" t="str">
        <f t="shared" si="45"/>
        <v>1w</v>
      </c>
      <c r="X2173" s="168">
        <f>_xll.qlCalendarAdvance(Calendar,X2172,W2173,"f",FALSE)</f>
        <v>54353</v>
      </c>
      <c r="Y2173" s="173">
        <f>_xll.qlCalendarAdvance(Calendar,X2173,NDays&amp;"D")</f>
        <v>54353</v>
      </c>
      <c r="Z2173" s="174" t="e">
        <v>#N/A</v>
      </c>
      <c r="AA2173" s="177"/>
    </row>
    <row r="2174" spans="22:27" x14ac:dyDescent="0.2">
      <c r="V2174" s="163"/>
      <c r="W2174" s="158" t="str">
        <f t="shared" si="45"/>
        <v>1w</v>
      </c>
      <c r="X2174" s="168">
        <f>_xll.qlCalendarAdvance(Calendar,X2173,W2174,"f",FALSE)</f>
        <v>54360</v>
      </c>
      <c r="Y2174" s="173">
        <f>_xll.qlCalendarAdvance(Calendar,X2174,NDays&amp;"D")</f>
        <v>54360</v>
      </c>
      <c r="Z2174" s="174" t="e">
        <v>#N/A</v>
      </c>
      <c r="AA2174" s="177"/>
    </row>
    <row r="2175" spans="22:27" x14ac:dyDescent="0.2">
      <c r="V2175" s="163"/>
      <c r="W2175" s="158" t="str">
        <f t="shared" si="45"/>
        <v>1w</v>
      </c>
      <c r="X2175" s="168">
        <f>_xll.qlCalendarAdvance(Calendar,X2174,W2175,"f",FALSE)</f>
        <v>54367</v>
      </c>
      <c r="Y2175" s="173">
        <f>_xll.qlCalendarAdvance(Calendar,X2175,NDays&amp;"D")</f>
        <v>54367</v>
      </c>
      <c r="Z2175" s="174" t="e">
        <v>#N/A</v>
      </c>
      <c r="AA2175" s="177"/>
    </row>
    <row r="2176" spans="22:27" x14ac:dyDescent="0.2">
      <c r="V2176" s="163"/>
      <c r="W2176" s="158" t="str">
        <f t="shared" si="45"/>
        <v>1w</v>
      </c>
      <c r="X2176" s="168">
        <f>_xll.qlCalendarAdvance(Calendar,X2175,W2176,"f",FALSE)</f>
        <v>54374</v>
      </c>
      <c r="Y2176" s="173">
        <f>_xll.qlCalendarAdvance(Calendar,X2176,NDays&amp;"D")</f>
        <v>54374</v>
      </c>
      <c r="Z2176" s="174" t="e">
        <v>#N/A</v>
      </c>
      <c r="AA2176" s="177"/>
    </row>
    <row r="2177" spans="22:27" x14ac:dyDescent="0.2">
      <c r="V2177" s="163"/>
      <c r="W2177" s="158" t="str">
        <f t="shared" si="45"/>
        <v>1w</v>
      </c>
      <c r="X2177" s="168">
        <f>_xll.qlCalendarAdvance(Calendar,X2176,W2177,"f",FALSE)</f>
        <v>54381</v>
      </c>
      <c r="Y2177" s="173">
        <f>_xll.qlCalendarAdvance(Calendar,X2177,NDays&amp;"D")</f>
        <v>54381</v>
      </c>
      <c r="Z2177" s="174" t="e">
        <v>#N/A</v>
      </c>
      <c r="AA2177" s="177"/>
    </row>
    <row r="2178" spans="22:27" x14ac:dyDescent="0.2">
      <c r="V2178" s="163"/>
      <c r="W2178" s="158" t="str">
        <f t="shared" si="45"/>
        <v>1w</v>
      </c>
      <c r="X2178" s="168">
        <f>_xll.qlCalendarAdvance(Calendar,X2177,W2178,"f",FALSE)</f>
        <v>54388</v>
      </c>
      <c r="Y2178" s="173">
        <f>_xll.qlCalendarAdvance(Calendar,X2178,NDays&amp;"D")</f>
        <v>54388</v>
      </c>
      <c r="Z2178" s="174" t="e">
        <v>#N/A</v>
      </c>
      <c r="AA2178" s="177"/>
    </row>
    <row r="2179" spans="22:27" x14ac:dyDescent="0.2">
      <c r="V2179" s="163"/>
      <c r="W2179" s="158" t="str">
        <f t="shared" si="45"/>
        <v>1w</v>
      </c>
      <c r="X2179" s="168">
        <f>_xll.qlCalendarAdvance(Calendar,X2178,W2179,"f",FALSE)</f>
        <v>54395</v>
      </c>
      <c r="Y2179" s="173">
        <f>_xll.qlCalendarAdvance(Calendar,X2179,NDays&amp;"D")</f>
        <v>54395</v>
      </c>
      <c r="Z2179" s="174" t="e">
        <v>#N/A</v>
      </c>
      <c r="AA2179" s="177"/>
    </row>
    <row r="2180" spans="22:27" x14ac:dyDescent="0.2">
      <c r="V2180" s="163"/>
      <c r="W2180" s="158" t="str">
        <f t="shared" si="45"/>
        <v>1w</v>
      </c>
      <c r="X2180" s="168">
        <f>_xll.qlCalendarAdvance(Calendar,X2179,W2180,"f",FALSE)</f>
        <v>54402</v>
      </c>
      <c r="Y2180" s="173">
        <f>_xll.qlCalendarAdvance(Calendar,X2180,NDays&amp;"D")</f>
        <v>54402</v>
      </c>
      <c r="Z2180" s="174" t="e">
        <v>#N/A</v>
      </c>
      <c r="AA2180" s="177"/>
    </row>
    <row r="2181" spans="22:27" x14ac:dyDescent="0.2">
      <c r="V2181" s="163"/>
      <c r="W2181" s="158" t="str">
        <f t="shared" si="45"/>
        <v>1w</v>
      </c>
      <c r="X2181" s="168">
        <f>_xll.qlCalendarAdvance(Calendar,X2180,W2181,"f",FALSE)</f>
        <v>54409</v>
      </c>
      <c r="Y2181" s="173">
        <f>_xll.qlCalendarAdvance(Calendar,X2181,NDays&amp;"D")</f>
        <v>54409</v>
      </c>
      <c r="Z2181" s="174" t="e">
        <v>#N/A</v>
      </c>
      <c r="AA2181" s="177"/>
    </row>
    <row r="2182" spans="22:27" x14ac:dyDescent="0.2">
      <c r="V2182" s="163"/>
      <c r="W2182" s="158" t="str">
        <f t="shared" si="45"/>
        <v>1w</v>
      </c>
      <c r="X2182" s="168">
        <f>_xll.qlCalendarAdvance(Calendar,X2181,W2182,"f",FALSE)</f>
        <v>54416</v>
      </c>
      <c r="Y2182" s="173">
        <f>_xll.qlCalendarAdvance(Calendar,X2182,NDays&amp;"D")</f>
        <v>54416</v>
      </c>
      <c r="Z2182" s="174" t="e">
        <v>#N/A</v>
      </c>
      <c r="AA2182" s="177"/>
    </row>
    <row r="2183" spans="22:27" x14ac:dyDescent="0.2">
      <c r="V2183" s="163"/>
      <c r="W2183" s="158" t="str">
        <f t="shared" si="45"/>
        <v>1w</v>
      </c>
      <c r="X2183" s="168">
        <f>_xll.qlCalendarAdvance(Calendar,X2182,W2183,"f",FALSE)</f>
        <v>54427</v>
      </c>
      <c r="Y2183" s="173">
        <f>_xll.qlCalendarAdvance(Calendar,X2183,NDays&amp;"D")</f>
        <v>54427</v>
      </c>
      <c r="Z2183" s="174" t="e">
        <v>#N/A</v>
      </c>
      <c r="AA2183" s="177"/>
    </row>
    <row r="2184" spans="22:27" x14ac:dyDescent="0.2">
      <c r="V2184" s="163"/>
      <c r="W2184" s="158" t="str">
        <f t="shared" si="45"/>
        <v>1w</v>
      </c>
      <c r="X2184" s="168">
        <f>_xll.qlCalendarAdvance(Calendar,X2183,W2184,"f",FALSE)</f>
        <v>54435</v>
      </c>
      <c r="Y2184" s="173">
        <f>_xll.qlCalendarAdvance(Calendar,X2184,NDays&amp;"D")</f>
        <v>54435</v>
      </c>
      <c r="Z2184" s="174" t="e">
        <v>#N/A</v>
      </c>
      <c r="AA2184" s="177"/>
    </row>
    <row r="2185" spans="22:27" x14ac:dyDescent="0.2">
      <c r="V2185" s="163"/>
      <c r="W2185" s="158" t="str">
        <f t="shared" si="45"/>
        <v>1w</v>
      </c>
      <c r="X2185" s="168">
        <f>_xll.qlCalendarAdvance(Calendar,X2184,W2185,"f",FALSE)</f>
        <v>54442</v>
      </c>
      <c r="Y2185" s="173">
        <f>_xll.qlCalendarAdvance(Calendar,X2185,NDays&amp;"D")</f>
        <v>54442</v>
      </c>
      <c r="Z2185" s="174" t="e">
        <v>#N/A</v>
      </c>
      <c r="AA2185" s="177"/>
    </row>
    <row r="2186" spans="22:27" x14ac:dyDescent="0.2">
      <c r="V2186" s="163"/>
      <c r="W2186" s="158" t="str">
        <f t="shared" si="45"/>
        <v>1w</v>
      </c>
      <c r="X2186" s="168">
        <f>_xll.qlCalendarAdvance(Calendar,X2185,W2186,"f",FALSE)</f>
        <v>54449</v>
      </c>
      <c r="Y2186" s="173">
        <f>_xll.qlCalendarAdvance(Calendar,X2186,NDays&amp;"D")</f>
        <v>54449</v>
      </c>
      <c r="Z2186" s="174" t="e">
        <v>#N/A</v>
      </c>
      <c r="AA2186" s="177"/>
    </row>
    <row r="2187" spans="22:27" x14ac:dyDescent="0.2">
      <c r="V2187" s="163"/>
      <c r="W2187" s="158" t="str">
        <f t="shared" si="45"/>
        <v>1w</v>
      </c>
      <c r="X2187" s="168">
        <f>_xll.qlCalendarAdvance(Calendar,X2186,W2187,"f",FALSE)</f>
        <v>54456</v>
      </c>
      <c r="Y2187" s="173">
        <f>_xll.qlCalendarAdvance(Calendar,X2187,NDays&amp;"D")</f>
        <v>54456</v>
      </c>
      <c r="Z2187" s="174" t="e">
        <v>#N/A</v>
      </c>
      <c r="AA2187" s="177"/>
    </row>
    <row r="2188" spans="22:27" x14ac:dyDescent="0.2">
      <c r="V2188" s="163"/>
      <c r="W2188" s="158" t="str">
        <f t="shared" si="45"/>
        <v>1w</v>
      </c>
      <c r="X2188" s="168">
        <f>_xll.qlCalendarAdvance(Calendar,X2187,W2188,"f",FALSE)</f>
        <v>54463</v>
      </c>
      <c r="Y2188" s="173">
        <f>_xll.qlCalendarAdvance(Calendar,X2188,NDays&amp;"D")</f>
        <v>54463</v>
      </c>
      <c r="Z2188" s="174" t="e">
        <v>#N/A</v>
      </c>
      <c r="AA2188" s="177"/>
    </row>
    <row r="2189" spans="22:27" x14ac:dyDescent="0.2">
      <c r="V2189" s="163"/>
      <c r="W2189" s="158" t="str">
        <f t="shared" ref="W2189:W2252" si="46">W2188</f>
        <v>1w</v>
      </c>
      <c r="X2189" s="168">
        <f>_xll.qlCalendarAdvance(Calendar,X2188,W2189,"f",FALSE)</f>
        <v>54470</v>
      </c>
      <c r="Y2189" s="173">
        <f>_xll.qlCalendarAdvance(Calendar,X2189,NDays&amp;"D")</f>
        <v>54470</v>
      </c>
      <c r="Z2189" s="174" t="e">
        <v>#N/A</v>
      </c>
      <c r="AA2189" s="177"/>
    </row>
    <row r="2190" spans="22:27" x14ac:dyDescent="0.2">
      <c r="V2190" s="163"/>
      <c r="W2190" s="158" t="str">
        <f t="shared" si="46"/>
        <v>1w</v>
      </c>
      <c r="X2190" s="168">
        <f>_xll.qlCalendarAdvance(Calendar,X2189,W2190,"f",FALSE)</f>
        <v>54477</v>
      </c>
      <c r="Y2190" s="173">
        <f>_xll.qlCalendarAdvance(Calendar,X2190,NDays&amp;"D")</f>
        <v>54477</v>
      </c>
      <c r="Z2190" s="174" t="e">
        <v>#N/A</v>
      </c>
      <c r="AA2190" s="177"/>
    </row>
    <row r="2191" spans="22:27" x14ac:dyDescent="0.2">
      <c r="V2191" s="163"/>
      <c r="W2191" s="158" t="str">
        <f t="shared" si="46"/>
        <v>1w</v>
      </c>
      <c r="X2191" s="168">
        <f>_xll.qlCalendarAdvance(Calendar,X2190,W2191,"f",FALSE)</f>
        <v>54484</v>
      </c>
      <c r="Y2191" s="173">
        <f>_xll.qlCalendarAdvance(Calendar,X2191,NDays&amp;"D")</f>
        <v>54484</v>
      </c>
      <c r="Z2191" s="174" t="e">
        <v>#N/A</v>
      </c>
      <c r="AA2191" s="177"/>
    </row>
    <row r="2192" spans="22:27" x14ac:dyDescent="0.2">
      <c r="V2192" s="163"/>
      <c r="W2192" s="158" t="str">
        <f t="shared" si="46"/>
        <v>1w</v>
      </c>
      <c r="X2192" s="168">
        <f>_xll.qlCalendarAdvance(Calendar,X2191,W2192,"f",FALSE)</f>
        <v>54491</v>
      </c>
      <c r="Y2192" s="173">
        <f>_xll.qlCalendarAdvance(Calendar,X2192,NDays&amp;"D")</f>
        <v>54491</v>
      </c>
      <c r="Z2192" s="174" t="e">
        <v>#N/A</v>
      </c>
      <c r="AA2192" s="177"/>
    </row>
    <row r="2193" spans="22:27" x14ac:dyDescent="0.2">
      <c r="V2193" s="163"/>
      <c r="W2193" s="158" t="str">
        <f t="shared" si="46"/>
        <v>1w</v>
      </c>
      <c r="X2193" s="168">
        <f>_xll.qlCalendarAdvance(Calendar,X2192,W2193,"f",FALSE)</f>
        <v>54498</v>
      </c>
      <c r="Y2193" s="173">
        <f>_xll.qlCalendarAdvance(Calendar,X2193,NDays&amp;"D")</f>
        <v>54498</v>
      </c>
      <c r="Z2193" s="174" t="e">
        <v>#N/A</v>
      </c>
      <c r="AA2193" s="177"/>
    </row>
    <row r="2194" spans="22:27" x14ac:dyDescent="0.2">
      <c r="V2194" s="163"/>
      <c r="W2194" s="158" t="str">
        <f t="shared" si="46"/>
        <v>1w</v>
      </c>
      <c r="X2194" s="168">
        <f>_xll.qlCalendarAdvance(Calendar,X2193,W2194,"f",FALSE)</f>
        <v>54505</v>
      </c>
      <c r="Y2194" s="173">
        <f>_xll.qlCalendarAdvance(Calendar,X2194,NDays&amp;"D")</f>
        <v>54505</v>
      </c>
      <c r="Z2194" s="174" t="e">
        <v>#N/A</v>
      </c>
      <c r="AA2194" s="177"/>
    </row>
    <row r="2195" spans="22:27" x14ac:dyDescent="0.2">
      <c r="V2195" s="163"/>
      <c r="W2195" s="158" t="str">
        <f t="shared" si="46"/>
        <v>1w</v>
      </c>
      <c r="X2195" s="168">
        <f>_xll.qlCalendarAdvance(Calendar,X2194,W2195,"f",FALSE)</f>
        <v>54512</v>
      </c>
      <c r="Y2195" s="173">
        <f>_xll.qlCalendarAdvance(Calendar,X2195,NDays&amp;"D")</f>
        <v>54512</v>
      </c>
      <c r="Z2195" s="174" t="e">
        <v>#N/A</v>
      </c>
      <c r="AA2195" s="177"/>
    </row>
    <row r="2196" spans="22:27" x14ac:dyDescent="0.2">
      <c r="V2196" s="163"/>
      <c r="W2196" s="158" t="str">
        <f t="shared" si="46"/>
        <v>1w</v>
      </c>
      <c r="X2196" s="168">
        <f>_xll.qlCalendarAdvance(Calendar,X2195,W2196,"f",FALSE)</f>
        <v>54519</v>
      </c>
      <c r="Y2196" s="173">
        <f>_xll.qlCalendarAdvance(Calendar,X2196,NDays&amp;"D")</f>
        <v>54519</v>
      </c>
      <c r="Z2196" s="174" t="e">
        <v>#N/A</v>
      </c>
      <c r="AA2196" s="177"/>
    </row>
    <row r="2197" spans="22:27" x14ac:dyDescent="0.2">
      <c r="V2197" s="163"/>
      <c r="W2197" s="158" t="str">
        <f t="shared" si="46"/>
        <v>1w</v>
      </c>
      <c r="X2197" s="168">
        <f>_xll.qlCalendarAdvance(Calendar,X2196,W2197,"f",FALSE)</f>
        <v>54526</v>
      </c>
      <c r="Y2197" s="173">
        <f>_xll.qlCalendarAdvance(Calendar,X2197,NDays&amp;"D")</f>
        <v>54526</v>
      </c>
      <c r="Z2197" s="174" t="e">
        <v>#N/A</v>
      </c>
      <c r="AA2197" s="177"/>
    </row>
    <row r="2198" spans="22:27" x14ac:dyDescent="0.2">
      <c r="V2198" s="163"/>
      <c r="W2198" s="158" t="str">
        <f t="shared" si="46"/>
        <v>1w</v>
      </c>
      <c r="X2198" s="168">
        <f>_xll.qlCalendarAdvance(Calendar,X2197,W2198,"f",FALSE)</f>
        <v>54533</v>
      </c>
      <c r="Y2198" s="173">
        <f>_xll.qlCalendarAdvance(Calendar,X2198,NDays&amp;"D")</f>
        <v>54533</v>
      </c>
      <c r="Z2198" s="174" t="e">
        <v>#N/A</v>
      </c>
      <c r="AA2198" s="177"/>
    </row>
    <row r="2199" spans="22:27" x14ac:dyDescent="0.2">
      <c r="V2199" s="163"/>
      <c r="W2199" s="158" t="str">
        <f t="shared" si="46"/>
        <v>1w</v>
      </c>
      <c r="X2199" s="168">
        <f>_xll.qlCalendarAdvance(Calendar,X2198,W2199,"f",FALSE)</f>
        <v>54540</v>
      </c>
      <c r="Y2199" s="173">
        <f>_xll.qlCalendarAdvance(Calendar,X2199,NDays&amp;"D")</f>
        <v>54540</v>
      </c>
      <c r="Z2199" s="174" t="e">
        <v>#N/A</v>
      </c>
      <c r="AA2199" s="177"/>
    </row>
    <row r="2200" spans="22:27" x14ac:dyDescent="0.2">
      <c r="V2200" s="163"/>
      <c r="W2200" s="158" t="str">
        <f t="shared" si="46"/>
        <v>1w</v>
      </c>
      <c r="X2200" s="168">
        <f>_xll.qlCalendarAdvance(Calendar,X2199,W2200,"f",FALSE)</f>
        <v>54549</v>
      </c>
      <c r="Y2200" s="173">
        <f>_xll.qlCalendarAdvance(Calendar,X2200,NDays&amp;"D")</f>
        <v>54549</v>
      </c>
      <c r="Z2200" s="174" t="e">
        <v>#N/A</v>
      </c>
      <c r="AA2200" s="177"/>
    </row>
    <row r="2201" spans="22:27" x14ac:dyDescent="0.2">
      <c r="V2201" s="163"/>
      <c r="W2201" s="158" t="str">
        <f t="shared" si="46"/>
        <v>1w</v>
      </c>
      <c r="X2201" s="168">
        <f>_xll.qlCalendarAdvance(Calendar,X2200,W2201,"f",FALSE)</f>
        <v>54556</v>
      </c>
      <c r="Y2201" s="173">
        <f>_xll.qlCalendarAdvance(Calendar,X2201,NDays&amp;"D")</f>
        <v>54556</v>
      </c>
      <c r="Z2201" s="174" t="e">
        <v>#N/A</v>
      </c>
      <c r="AA2201" s="177"/>
    </row>
    <row r="2202" spans="22:27" x14ac:dyDescent="0.2">
      <c r="V2202" s="163"/>
      <c r="W2202" s="158" t="str">
        <f t="shared" si="46"/>
        <v>1w</v>
      </c>
      <c r="X2202" s="168">
        <f>_xll.qlCalendarAdvance(Calendar,X2201,W2202,"f",FALSE)</f>
        <v>54563</v>
      </c>
      <c r="Y2202" s="173">
        <f>_xll.qlCalendarAdvance(Calendar,X2202,NDays&amp;"D")</f>
        <v>54563</v>
      </c>
      <c r="Z2202" s="174" t="e">
        <v>#N/A</v>
      </c>
      <c r="AA2202" s="177"/>
    </row>
    <row r="2203" spans="22:27" x14ac:dyDescent="0.2">
      <c r="V2203" s="163"/>
      <c r="W2203" s="158" t="str">
        <f t="shared" si="46"/>
        <v>1w</v>
      </c>
      <c r="X2203" s="168">
        <f>_xll.qlCalendarAdvance(Calendar,X2202,W2203,"f",FALSE)</f>
        <v>54570</v>
      </c>
      <c r="Y2203" s="173">
        <f>_xll.qlCalendarAdvance(Calendar,X2203,NDays&amp;"D")</f>
        <v>54570</v>
      </c>
      <c r="Z2203" s="174" t="e">
        <v>#N/A</v>
      </c>
      <c r="AA2203" s="177"/>
    </row>
    <row r="2204" spans="22:27" x14ac:dyDescent="0.2">
      <c r="V2204" s="163"/>
      <c r="W2204" s="158" t="str">
        <f t="shared" si="46"/>
        <v>1w</v>
      </c>
      <c r="X2204" s="168">
        <f>_xll.qlCalendarAdvance(Calendar,X2203,W2204,"f",FALSE)</f>
        <v>54577</v>
      </c>
      <c r="Y2204" s="173">
        <f>_xll.qlCalendarAdvance(Calendar,X2204,NDays&amp;"D")</f>
        <v>54577</v>
      </c>
      <c r="Z2204" s="174" t="e">
        <v>#N/A</v>
      </c>
      <c r="AA2204" s="177"/>
    </row>
    <row r="2205" spans="22:27" x14ac:dyDescent="0.2">
      <c r="V2205" s="163"/>
      <c r="W2205" s="158" t="str">
        <f t="shared" si="46"/>
        <v>1w</v>
      </c>
      <c r="X2205" s="168">
        <f>_xll.qlCalendarAdvance(Calendar,X2204,W2205,"f",FALSE)</f>
        <v>54584</v>
      </c>
      <c r="Y2205" s="173">
        <f>_xll.qlCalendarAdvance(Calendar,X2205,NDays&amp;"D")</f>
        <v>54584</v>
      </c>
      <c r="Z2205" s="174" t="e">
        <v>#N/A</v>
      </c>
      <c r="AA2205" s="177"/>
    </row>
    <row r="2206" spans="22:27" x14ac:dyDescent="0.2">
      <c r="V2206" s="163"/>
      <c r="W2206" s="158" t="str">
        <f t="shared" si="46"/>
        <v>1w</v>
      </c>
      <c r="X2206" s="168">
        <f>_xll.qlCalendarAdvance(Calendar,X2205,W2206,"f",FALSE)</f>
        <v>54591</v>
      </c>
      <c r="Y2206" s="173">
        <f>_xll.qlCalendarAdvance(Calendar,X2206,NDays&amp;"D")</f>
        <v>54591</v>
      </c>
      <c r="Z2206" s="174" t="e">
        <v>#N/A</v>
      </c>
      <c r="AA2206" s="177"/>
    </row>
    <row r="2207" spans="22:27" x14ac:dyDescent="0.2">
      <c r="V2207" s="163"/>
      <c r="W2207" s="158" t="str">
        <f t="shared" si="46"/>
        <v>1w</v>
      </c>
      <c r="X2207" s="168">
        <f>_xll.qlCalendarAdvance(Calendar,X2206,W2207,"f",FALSE)</f>
        <v>54598</v>
      </c>
      <c r="Y2207" s="173">
        <f>_xll.qlCalendarAdvance(Calendar,X2207,NDays&amp;"D")</f>
        <v>54598</v>
      </c>
      <c r="Z2207" s="174" t="e">
        <v>#N/A</v>
      </c>
      <c r="AA2207" s="177"/>
    </row>
    <row r="2208" spans="22:27" x14ac:dyDescent="0.2">
      <c r="V2208" s="163"/>
      <c r="W2208" s="158" t="str">
        <f t="shared" si="46"/>
        <v>1w</v>
      </c>
      <c r="X2208" s="168">
        <f>_xll.qlCalendarAdvance(Calendar,X2207,W2208,"f",FALSE)</f>
        <v>54605</v>
      </c>
      <c r="Y2208" s="173">
        <f>_xll.qlCalendarAdvance(Calendar,X2208,NDays&amp;"D")</f>
        <v>54605</v>
      </c>
      <c r="Z2208" s="174" t="e">
        <v>#N/A</v>
      </c>
      <c r="AA2208" s="177"/>
    </row>
    <row r="2209" spans="22:27" x14ac:dyDescent="0.2">
      <c r="V2209" s="163"/>
      <c r="W2209" s="158" t="str">
        <f t="shared" si="46"/>
        <v>1w</v>
      </c>
      <c r="X2209" s="168">
        <f>_xll.qlCalendarAdvance(Calendar,X2208,W2209,"f",FALSE)</f>
        <v>54612</v>
      </c>
      <c r="Y2209" s="173">
        <f>_xll.qlCalendarAdvance(Calendar,X2209,NDays&amp;"D")</f>
        <v>54612</v>
      </c>
      <c r="Z2209" s="174" t="e">
        <v>#N/A</v>
      </c>
      <c r="AA2209" s="177"/>
    </row>
    <row r="2210" spans="22:27" x14ac:dyDescent="0.2">
      <c r="V2210" s="163"/>
      <c r="W2210" s="158" t="str">
        <f t="shared" si="46"/>
        <v>1w</v>
      </c>
      <c r="X2210" s="168">
        <f>_xll.qlCalendarAdvance(Calendar,X2209,W2210,"f",FALSE)</f>
        <v>54619</v>
      </c>
      <c r="Y2210" s="173">
        <f>_xll.qlCalendarAdvance(Calendar,X2210,NDays&amp;"D")</f>
        <v>54619</v>
      </c>
      <c r="Z2210" s="174" t="e">
        <v>#N/A</v>
      </c>
      <c r="AA2210" s="177"/>
    </row>
    <row r="2211" spans="22:27" x14ac:dyDescent="0.2">
      <c r="V2211" s="163"/>
      <c r="W2211" s="158" t="str">
        <f t="shared" si="46"/>
        <v>1w</v>
      </c>
      <c r="X2211" s="168">
        <f>_xll.qlCalendarAdvance(Calendar,X2210,W2211,"f",FALSE)</f>
        <v>54626</v>
      </c>
      <c r="Y2211" s="173">
        <f>_xll.qlCalendarAdvance(Calendar,X2211,NDays&amp;"D")</f>
        <v>54626</v>
      </c>
      <c r="Z2211" s="174" t="e">
        <v>#N/A</v>
      </c>
      <c r="AA2211" s="177"/>
    </row>
    <row r="2212" spans="22:27" x14ac:dyDescent="0.2">
      <c r="V2212" s="163"/>
      <c r="W2212" s="158" t="str">
        <f t="shared" si="46"/>
        <v>1w</v>
      </c>
      <c r="X2212" s="168">
        <f>_xll.qlCalendarAdvance(Calendar,X2211,W2212,"f",FALSE)</f>
        <v>54633</v>
      </c>
      <c r="Y2212" s="173">
        <f>_xll.qlCalendarAdvance(Calendar,X2212,NDays&amp;"D")</f>
        <v>54633</v>
      </c>
      <c r="Z2212" s="174" t="e">
        <v>#N/A</v>
      </c>
      <c r="AA2212" s="177"/>
    </row>
    <row r="2213" spans="22:27" x14ac:dyDescent="0.2">
      <c r="V2213" s="163"/>
      <c r="W2213" s="158" t="str">
        <f t="shared" si="46"/>
        <v>1w</v>
      </c>
      <c r="X2213" s="168">
        <f>_xll.qlCalendarAdvance(Calendar,X2212,W2213,"f",FALSE)</f>
        <v>54640</v>
      </c>
      <c r="Y2213" s="173">
        <f>_xll.qlCalendarAdvance(Calendar,X2213,NDays&amp;"D")</f>
        <v>54640</v>
      </c>
      <c r="Z2213" s="174" t="e">
        <v>#N/A</v>
      </c>
      <c r="AA2213" s="177"/>
    </row>
    <row r="2214" spans="22:27" x14ac:dyDescent="0.2">
      <c r="V2214" s="163"/>
      <c r="W2214" s="158" t="str">
        <f t="shared" si="46"/>
        <v>1w</v>
      </c>
      <c r="X2214" s="168">
        <f>_xll.qlCalendarAdvance(Calendar,X2213,W2214,"f",FALSE)</f>
        <v>54647</v>
      </c>
      <c r="Y2214" s="173">
        <f>_xll.qlCalendarAdvance(Calendar,X2214,NDays&amp;"D")</f>
        <v>54647</v>
      </c>
      <c r="Z2214" s="174" t="e">
        <v>#N/A</v>
      </c>
      <c r="AA2214" s="177"/>
    </row>
    <row r="2215" spans="22:27" x14ac:dyDescent="0.2">
      <c r="V2215" s="163"/>
      <c r="W2215" s="158" t="str">
        <f t="shared" si="46"/>
        <v>1w</v>
      </c>
      <c r="X2215" s="168">
        <f>_xll.qlCalendarAdvance(Calendar,X2214,W2215,"f",FALSE)</f>
        <v>54654</v>
      </c>
      <c r="Y2215" s="173">
        <f>_xll.qlCalendarAdvance(Calendar,X2215,NDays&amp;"D")</f>
        <v>54654</v>
      </c>
      <c r="Z2215" s="174" t="e">
        <v>#N/A</v>
      </c>
      <c r="AA2215" s="177"/>
    </row>
    <row r="2216" spans="22:27" x14ac:dyDescent="0.2">
      <c r="V2216" s="163"/>
      <c r="W2216" s="158" t="str">
        <f t="shared" si="46"/>
        <v>1w</v>
      </c>
      <c r="X2216" s="168">
        <f>_xll.qlCalendarAdvance(Calendar,X2215,W2216,"f",FALSE)</f>
        <v>54661</v>
      </c>
      <c r="Y2216" s="173">
        <f>_xll.qlCalendarAdvance(Calendar,X2216,NDays&amp;"D")</f>
        <v>54661</v>
      </c>
      <c r="Z2216" s="174" t="e">
        <v>#N/A</v>
      </c>
      <c r="AA2216" s="177"/>
    </row>
    <row r="2217" spans="22:27" x14ac:dyDescent="0.2">
      <c r="V2217" s="163"/>
      <c r="W2217" s="158" t="str">
        <f t="shared" si="46"/>
        <v>1w</v>
      </c>
      <c r="X2217" s="168">
        <f>_xll.qlCalendarAdvance(Calendar,X2216,W2217,"f",FALSE)</f>
        <v>54668</v>
      </c>
      <c r="Y2217" s="173">
        <f>_xll.qlCalendarAdvance(Calendar,X2217,NDays&amp;"D")</f>
        <v>54668</v>
      </c>
      <c r="Z2217" s="174" t="e">
        <v>#N/A</v>
      </c>
      <c r="AA2217" s="177"/>
    </row>
    <row r="2218" spans="22:27" x14ac:dyDescent="0.2">
      <c r="V2218" s="163"/>
      <c r="W2218" s="158" t="str">
        <f t="shared" si="46"/>
        <v>1w</v>
      </c>
      <c r="X2218" s="168">
        <f>_xll.qlCalendarAdvance(Calendar,X2217,W2218,"f",FALSE)</f>
        <v>54675</v>
      </c>
      <c r="Y2218" s="173">
        <f>_xll.qlCalendarAdvance(Calendar,X2218,NDays&amp;"D")</f>
        <v>54675</v>
      </c>
      <c r="Z2218" s="174" t="e">
        <v>#N/A</v>
      </c>
      <c r="AA2218" s="177"/>
    </row>
    <row r="2219" spans="22:27" x14ac:dyDescent="0.2">
      <c r="V2219" s="163"/>
      <c r="W2219" s="158" t="str">
        <f t="shared" si="46"/>
        <v>1w</v>
      </c>
      <c r="X2219" s="168">
        <f>_xll.qlCalendarAdvance(Calendar,X2218,W2219,"f",FALSE)</f>
        <v>54682</v>
      </c>
      <c r="Y2219" s="173">
        <f>_xll.qlCalendarAdvance(Calendar,X2219,NDays&amp;"D")</f>
        <v>54682</v>
      </c>
      <c r="Z2219" s="174" t="e">
        <v>#N/A</v>
      </c>
      <c r="AA2219" s="177"/>
    </row>
    <row r="2220" spans="22:27" x14ac:dyDescent="0.2">
      <c r="V2220" s="163"/>
      <c r="W2220" s="158" t="str">
        <f t="shared" si="46"/>
        <v>1w</v>
      </c>
      <c r="X2220" s="168">
        <f>_xll.qlCalendarAdvance(Calendar,X2219,W2220,"f",FALSE)</f>
        <v>54689</v>
      </c>
      <c r="Y2220" s="173">
        <f>_xll.qlCalendarAdvance(Calendar,X2220,NDays&amp;"D")</f>
        <v>54689</v>
      </c>
      <c r="Z2220" s="174" t="e">
        <v>#N/A</v>
      </c>
      <c r="AA2220" s="177"/>
    </row>
    <row r="2221" spans="22:27" x14ac:dyDescent="0.2">
      <c r="V2221" s="163"/>
      <c r="W2221" s="158" t="str">
        <f t="shared" si="46"/>
        <v>1w</v>
      </c>
      <c r="X2221" s="168">
        <f>_xll.qlCalendarAdvance(Calendar,X2220,W2221,"f",FALSE)</f>
        <v>54696</v>
      </c>
      <c r="Y2221" s="173">
        <f>_xll.qlCalendarAdvance(Calendar,X2221,NDays&amp;"D")</f>
        <v>54696</v>
      </c>
      <c r="Z2221" s="174" t="e">
        <v>#N/A</v>
      </c>
      <c r="AA2221" s="177"/>
    </row>
    <row r="2222" spans="22:27" x14ac:dyDescent="0.2">
      <c r="V2222" s="163"/>
      <c r="W2222" s="158" t="str">
        <f t="shared" si="46"/>
        <v>1w</v>
      </c>
      <c r="X2222" s="168">
        <f>_xll.qlCalendarAdvance(Calendar,X2221,W2222,"f",FALSE)</f>
        <v>54703</v>
      </c>
      <c r="Y2222" s="173">
        <f>_xll.qlCalendarAdvance(Calendar,X2222,NDays&amp;"D")</f>
        <v>54703</v>
      </c>
      <c r="Z2222" s="174" t="e">
        <v>#N/A</v>
      </c>
      <c r="AA2222" s="177"/>
    </row>
    <row r="2223" spans="22:27" x14ac:dyDescent="0.2">
      <c r="V2223" s="163"/>
      <c r="W2223" s="158" t="str">
        <f t="shared" si="46"/>
        <v>1w</v>
      </c>
      <c r="X2223" s="168">
        <f>_xll.qlCalendarAdvance(Calendar,X2222,W2223,"f",FALSE)</f>
        <v>54710</v>
      </c>
      <c r="Y2223" s="173">
        <f>_xll.qlCalendarAdvance(Calendar,X2223,NDays&amp;"D")</f>
        <v>54710</v>
      </c>
      <c r="Z2223" s="174" t="e">
        <v>#N/A</v>
      </c>
      <c r="AA2223" s="177"/>
    </row>
    <row r="2224" spans="22:27" x14ac:dyDescent="0.2">
      <c r="V2224" s="163"/>
      <c r="W2224" s="158" t="str">
        <f t="shared" si="46"/>
        <v>1w</v>
      </c>
      <c r="X2224" s="168">
        <f>_xll.qlCalendarAdvance(Calendar,X2223,W2224,"f",FALSE)</f>
        <v>54717</v>
      </c>
      <c r="Y2224" s="173">
        <f>_xll.qlCalendarAdvance(Calendar,X2224,NDays&amp;"D")</f>
        <v>54717</v>
      </c>
      <c r="Z2224" s="174" t="e">
        <v>#N/A</v>
      </c>
      <c r="AA2224" s="177"/>
    </row>
    <row r="2225" spans="22:27" x14ac:dyDescent="0.2">
      <c r="V2225" s="163"/>
      <c r="W2225" s="158" t="str">
        <f t="shared" si="46"/>
        <v>1w</v>
      </c>
      <c r="X2225" s="168">
        <f>_xll.qlCalendarAdvance(Calendar,X2224,W2225,"f",FALSE)</f>
        <v>54724</v>
      </c>
      <c r="Y2225" s="173">
        <f>_xll.qlCalendarAdvance(Calendar,X2225,NDays&amp;"D")</f>
        <v>54724</v>
      </c>
      <c r="Z2225" s="174" t="e">
        <v>#N/A</v>
      </c>
      <c r="AA2225" s="177"/>
    </row>
    <row r="2226" spans="22:27" x14ac:dyDescent="0.2">
      <c r="V2226" s="163"/>
      <c r="W2226" s="158" t="str">
        <f t="shared" si="46"/>
        <v>1w</v>
      </c>
      <c r="X2226" s="168">
        <f>_xll.qlCalendarAdvance(Calendar,X2225,W2226,"f",FALSE)</f>
        <v>54731</v>
      </c>
      <c r="Y2226" s="173">
        <f>_xll.qlCalendarAdvance(Calendar,X2226,NDays&amp;"D")</f>
        <v>54731</v>
      </c>
      <c r="Z2226" s="174" t="e">
        <v>#N/A</v>
      </c>
      <c r="AA2226" s="177"/>
    </row>
    <row r="2227" spans="22:27" x14ac:dyDescent="0.2">
      <c r="V2227" s="163"/>
      <c r="W2227" s="158" t="str">
        <f t="shared" si="46"/>
        <v>1w</v>
      </c>
      <c r="X2227" s="168">
        <f>_xll.qlCalendarAdvance(Calendar,X2226,W2227,"f",FALSE)</f>
        <v>54738</v>
      </c>
      <c r="Y2227" s="173">
        <f>_xll.qlCalendarAdvance(Calendar,X2227,NDays&amp;"D")</f>
        <v>54738</v>
      </c>
      <c r="Z2227" s="174" t="e">
        <v>#N/A</v>
      </c>
      <c r="AA2227" s="177"/>
    </row>
    <row r="2228" spans="22:27" x14ac:dyDescent="0.2">
      <c r="V2228" s="163"/>
      <c r="W2228" s="158" t="str">
        <f t="shared" si="46"/>
        <v>1w</v>
      </c>
      <c r="X2228" s="168">
        <f>_xll.qlCalendarAdvance(Calendar,X2227,W2228,"f",FALSE)</f>
        <v>54745</v>
      </c>
      <c r="Y2228" s="173">
        <f>_xll.qlCalendarAdvance(Calendar,X2228,NDays&amp;"D")</f>
        <v>54745</v>
      </c>
      <c r="Z2228" s="174" t="e">
        <v>#N/A</v>
      </c>
      <c r="AA2228" s="177"/>
    </row>
    <row r="2229" spans="22:27" x14ac:dyDescent="0.2">
      <c r="V2229" s="163"/>
      <c r="W2229" s="158" t="str">
        <f t="shared" si="46"/>
        <v>1w</v>
      </c>
      <c r="X2229" s="168">
        <f>_xll.qlCalendarAdvance(Calendar,X2228,W2229,"f",FALSE)</f>
        <v>54752</v>
      </c>
      <c r="Y2229" s="173">
        <f>_xll.qlCalendarAdvance(Calendar,X2229,NDays&amp;"D")</f>
        <v>54752</v>
      </c>
      <c r="Z2229" s="174" t="e">
        <v>#N/A</v>
      </c>
      <c r="AA2229" s="177"/>
    </row>
    <row r="2230" spans="22:27" x14ac:dyDescent="0.2">
      <c r="V2230" s="163"/>
      <c r="W2230" s="158" t="str">
        <f t="shared" si="46"/>
        <v>1w</v>
      </c>
      <c r="X2230" s="168">
        <f>_xll.qlCalendarAdvance(Calendar,X2229,W2230,"f",FALSE)</f>
        <v>54759</v>
      </c>
      <c r="Y2230" s="173">
        <f>_xll.qlCalendarAdvance(Calendar,X2230,NDays&amp;"D")</f>
        <v>54759</v>
      </c>
      <c r="Z2230" s="174" t="e">
        <v>#N/A</v>
      </c>
      <c r="AA2230" s="177"/>
    </row>
    <row r="2231" spans="22:27" x14ac:dyDescent="0.2">
      <c r="V2231" s="163"/>
      <c r="W2231" s="158" t="str">
        <f t="shared" si="46"/>
        <v>1w</v>
      </c>
      <c r="X2231" s="168">
        <f>_xll.qlCalendarAdvance(Calendar,X2230,W2231,"f",FALSE)</f>
        <v>54766</v>
      </c>
      <c r="Y2231" s="173">
        <f>_xll.qlCalendarAdvance(Calendar,X2231,NDays&amp;"D")</f>
        <v>54766</v>
      </c>
      <c r="Z2231" s="174" t="e">
        <v>#N/A</v>
      </c>
      <c r="AA2231" s="177"/>
    </row>
    <row r="2232" spans="22:27" x14ac:dyDescent="0.2">
      <c r="V2232" s="163"/>
      <c r="W2232" s="158" t="str">
        <f t="shared" si="46"/>
        <v>1w</v>
      </c>
      <c r="X2232" s="168">
        <f>_xll.qlCalendarAdvance(Calendar,X2231,W2232,"f",FALSE)</f>
        <v>54773</v>
      </c>
      <c r="Y2232" s="173">
        <f>_xll.qlCalendarAdvance(Calendar,X2232,NDays&amp;"D")</f>
        <v>54773</v>
      </c>
      <c r="Z2232" s="174" t="e">
        <v>#N/A</v>
      </c>
      <c r="AA2232" s="177"/>
    </row>
    <row r="2233" spans="22:27" x14ac:dyDescent="0.2">
      <c r="V2233" s="163"/>
      <c r="W2233" s="158" t="str">
        <f t="shared" si="46"/>
        <v>1w</v>
      </c>
      <c r="X2233" s="168">
        <f>_xll.qlCalendarAdvance(Calendar,X2232,W2233,"f",FALSE)</f>
        <v>54781</v>
      </c>
      <c r="Y2233" s="173">
        <f>_xll.qlCalendarAdvance(Calendar,X2233,NDays&amp;"D")</f>
        <v>54781</v>
      </c>
      <c r="Z2233" s="174" t="e">
        <v>#N/A</v>
      </c>
      <c r="AA2233" s="177"/>
    </row>
    <row r="2234" spans="22:27" x14ac:dyDescent="0.2">
      <c r="V2234" s="163"/>
      <c r="W2234" s="158" t="str">
        <f t="shared" si="46"/>
        <v>1w</v>
      </c>
      <c r="X2234" s="168">
        <f>_xll.qlCalendarAdvance(Calendar,X2233,W2234,"f",FALSE)</f>
        <v>54792</v>
      </c>
      <c r="Y2234" s="173">
        <f>_xll.qlCalendarAdvance(Calendar,X2234,NDays&amp;"D")</f>
        <v>54792</v>
      </c>
      <c r="Z2234" s="174" t="e">
        <v>#N/A</v>
      </c>
      <c r="AA2234" s="177"/>
    </row>
    <row r="2235" spans="22:27" x14ac:dyDescent="0.2">
      <c r="V2235" s="163"/>
      <c r="W2235" s="158" t="str">
        <f t="shared" si="46"/>
        <v>1w</v>
      </c>
      <c r="X2235" s="168">
        <f>_xll.qlCalendarAdvance(Calendar,X2234,W2235,"f",FALSE)</f>
        <v>54799</v>
      </c>
      <c r="Y2235" s="173">
        <f>_xll.qlCalendarAdvance(Calendar,X2235,NDays&amp;"D")</f>
        <v>54799</v>
      </c>
      <c r="Z2235" s="174" t="e">
        <v>#N/A</v>
      </c>
      <c r="AA2235" s="177"/>
    </row>
    <row r="2236" spans="22:27" x14ac:dyDescent="0.2">
      <c r="V2236" s="163"/>
      <c r="W2236" s="158" t="str">
        <f t="shared" si="46"/>
        <v>1w</v>
      </c>
      <c r="X2236" s="168">
        <f>_xll.qlCalendarAdvance(Calendar,X2235,W2236,"f",FALSE)</f>
        <v>54806</v>
      </c>
      <c r="Y2236" s="173">
        <f>_xll.qlCalendarAdvance(Calendar,X2236,NDays&amp;"D")</f>
        <v>54806</v>
      </c>
      <c r="Z2236" s="174" t="e">
        <v>#N/A</v>
      </c>
      <c r="AA2236" s="177"/>
    </row>
    <row r="2237" spans="22:27" x14ac:dyDescent="0.2">
      <c r="V2237" s="163"/>
      <c r="W2237" s="158" t="str">
        <f t="shared" si="46"/>
        <v>1w</v>
      </c>
      <c r="X2237" s="168">
        <f>_xll.qlCalendarAdvance(Calendar,X2236,W2237,"f",FALSE)</f>
        <v>54813</v>
      </c>
      <c r="Y2237" s="173">
        <f>_xll.qlCalendarAdvance(Calendar,X2237,NDays&amp;"D")</f>
        <v>54813</v>
      </c>
      <c r="Z2237" s="174" t="e">
        <v>#N/A</v>
      </c>
      <c r="AA2237" s="177"/>
    </row>
    <row r="2238" spans="22:27" x14ac:dyDescent="0.2">
      <c r="V2238" s="163"/>
      <c r="W2238" s="158" t="str">
        <f t="shared" si="46"/>
        <v>1w</v>
      </c>
      <c r="X2238" s="168">
        <f>_xll.qlCalendarAdvance(Calendar,X2237,W2238,"f",FALSE)</f>
        <v>54820</v>
      </c>
      <c r="Y2238" s="173">
        <f>_xll.qlCalendarAdvance(Calendar,X2238,NDays&amp;"D")</f>
        <v>54820</v>
      </c>
      <c r="Z2238" s="174" t="e">
        <v>#N/A</v>
      </c>
      <c r="AA2238" s="177"/>
    </row>
    <row r="2239" spans="22:27" x14ac:dyDescent="0.2">
      <c r="V2239" s="163"/>
      <c r="W2239" s="158" t="str">
        <f t="shared" si="46"/>
        <v>1w</v>
      </c>
      <c r="X2239" s="168">
        <f>_xll.qlCalendarAdvance(Calendar,X2238,W2239,"f",FALSE)</f>
        <v>54827</v>
      </c>
      <c r="Y2239" s="173">
        <f>_xll.qlCalendarAdvance(Calendar,X2239,NDays&amp;"D")</f>
        <v>54827</v>
      </c>
      <c r="Z2239" s="174" t="e">
        <v>#N/A</v>
      </c>
      <c r="AA2239" s="177"/>
    </row>
    <row r="2240" spans="22:27" x14ac:dyDescent="0.2">
      <c r="V2240" s="163"/>
      <c r="W2240" s="158" t="str">
        <f t="shared" si="46"/>
        <v>1w</v>
      </c>
      <c r="X2240" s="168">
        <f>_xll.qlCalendarAdvance(Calendar,X2239,W2240,"f",FALSE)</f>
        <v>54834</v>
      </c>
      <c r="Y2240" s="173">
        <f>_xll.qlCalendarAdvance(Calendar,X2240,NDays&amp;"D")</f>
        <v>54834</v>
      </c>
      <c r="Z2240" s="174" t="e">
        <v>#N/A</v>
      </c>
      <c r="AA2240" s="177"/>
    </row>
    <row r="2241" spans="22:27" x14ac:dyDescent="0.2">
      <c r="V2241" s="163"/>
      <c r="W2241" s="158" t="str">
        <f t="shared" si="46"/>
        <v>1w</v>
      </c>
      <c r="X2241" s="168">
        <f>_xll.qlCalendarAdvance(Calendar,X2240,W2241,"f",FALSE)</f>
        <v>54841</v>
      </c>
      <c r="Y2241" s="173">
        <f>_xll.qlCalendarAdvance(Calendar,X2241,NDays&amp;"D")</f>
        <v>54841</v>
      </c>
      <c r="Z2241" s="174" t="e">
        <v>#N/A</v>
      </c>
      <c r="AA2241" s="177"/>
    </row>
    <row r="2242" spans="22:27" x14ac:dyDescent="0.2">
      <c r="V2242" s="163"/>
      <c r="W2242" s="158" t="str">
        <f t="shared" si="46"/>
        <v>1w</v>
      </c>
      <c r="X2242" s="168">
        <f>_xll.qlCalendarAdvance(Calendar,X2241,W2242,"f",FALSE)</f>
        <v>54848</v>
      </c>
      <c r="Y2242" s="173">
        <f>_xll.qlCalendarAdvance(Calendar,X2242,NDays&amp;"D")</f>
        <v>54848</v>
      </c>
      <c r="Z2242" s="174" t="e">
        <v>#N/A</v>
      </c>
      <c r="AA2242" s="177"/>
    </row>
    <row r="2243" spans="22:27" x14ac:dyDescent="0.2">
      <c r="V2243" s="163"/>
      <c r="W2243" s="158" t="str">
        <f t="shared" si="46"/>
        <v>1w</v>
      </c>
      <c r="X2243" s="168">
        <f>_xll.qlCalendarAdvance(Calendar,X2242,W2243,"f",FALSE)</f>
        <v>54855</v>
      </c>
      <c r="Y2243" s="173">
        <f>_xll.qlCalendarAdvance(Calendar,X2243,NDays&amp;"D")</f>
        <v>54855</v>
      </c>
      <c r="Z2243" s="174" t="e">
        <v>#N/A</v>
      </c>
      <c r="AA2243" s="177"/>
    </row>
    <row r="2244" spans="22:27" x14ac:dyDescent="0.2">
      <c r="V2244" s="163"/>
      <c r="W2244" s="158" t="str">
        <f t="shared" si="46"/>
        <v>1w</v>
      </c>
      <c r="X2244" s="168">
        <f>_xll.qlCalendarAdvance(Calendar,X2243,W2244,"f",FALSE)</f>
        <v>54862</v>
      </c>
      <c r="Y2244" s="173">
        <f>_xll.qlCalendarAdvance(Calendar,X2244,NDays&amp;"D")</f>
        <v>54862</v>
      </c>
      <c r="Z2244" s="174" t="e">
        <v>#N/A</v>
      </c>
      <c r="AA2244" s="177"/>
    </row>
    <row r="2245" spans="22:27" x14ac:dyDescent="0.2">
      <c r="V2245" s="163"/>
      <c r="W2245" s="158" t="str">
        <f t="shared" si="46"/>
        <v>1w</v>
      </c>
      <c r="X2245" s="168">
        <f>_xll.qlCalendarAdvance(Calendar,X2244,W2245,"f",FALSE)</f>
        <v>54869</v>
      </c>
      <c r="Y2245" s="173">
        <f>_xll.qlCalendarAdvance(Calendar,X2245,NDays&amp;"D")</f>
        <v>54869</v>
      </c>
      <c r="Z2245" s="174" t="e">
        <v>#N/A</v>
      </c>
      <c r="AA2245" s="177"/>
    </row>
    <row r="2246" spans="22:27" x14ac:dyDescent="0.2">
      <c r="V2246" s="163"/>
      <c r="W2246" s="158" t="str">
        <f t="shared" si="46"/>
        <v>1w</v>
      </c>
      <c r="X2246" s="168">
        <f>_xll.qlCalendarAdvance(Calendar,X2245,W2246,"f",FALSE)</f>
        <v>54876</v>
      </c>
      <c r="Y2246" s="173">
        <f>_xll.qlCalendarAdvance(Calendar,X2246,NDays&amp;"D")</f>
        <v>54876</v>
      </c>
      <c r="Z2246" s="174" t="e">
        <v>#N/A</v>
      </c>
      <c r="AA2246" s="177"/>
    </row>
    <row r="2247" spans="22:27" x14ac:dyDescent="0.2">
      <c r="V2247" s="163"/>
      <c r="W2247" s="158" t="str">
        <f t="shared" si="46"/>
        <v>1w</v>
      </c>
      <c r="X2247" s="168">
        <f>_xll.qlCalendarAdvance(Calendar,X2246,W2247,"f",FALSE)</f>
        <v>54883</v>
      </c>
      <c r="Y2247" s="173">
        <f>_xll.qlCalendarAdvance(Calendar,X2247,NDays&amp;"D")</f>
        <v>54883</v>
      </c>
      <c r="Z2247" s="174" t="e">
        <v>#N/A</v>
      </c>
      <c r="AA2247" s="177"/>
    </row>
    <row r="2248" spans="22:27" x14ac:dyDescent="0.2">
      <c r="V2248" s="163"/>
      <c r="W2248" s="158" t="str">
        <f t="shared" si="46"/>
        <v>1w</v>
      </c>
      <c r="X2248" s="168">
        <f>_xll.qlCalendarAdvance(Calendar,X2247,W2248,"f",FALSE)</f>
        <v>54890</v>
      </c>
      <c r="Y2248" s="173">
        <f>_xll.qlCalendarAdvance(Calendar,X2248,NDays&amp;"D")</f>
        <v>54890</v>
      </c>
      <c r="Z2248" s="174" t="e">
        <v>#N/A</v>
      </c>
      <c r="AA2248" s="177"/>
    </row>
    <row r="2249" spans="22:27" x14ac:dyDescent="0.2">
      <c r="V2249" s="163"/>
      <c r="W2249" s="158" t="str">
        <f t="shared" si="46"/>
        <v>1w</v>
      </c>
      <c r="X2249" s="168">
        <f>_xll.qlCalendarAdvance(Calendar,X2248,W2249,"f",FALSE)</f>
        <v>54897</v>
      </c>
      <c r="Y2249" s="173">
        <f>_xll.qlCalendarAdvance(Calendar,X2249,NDays&amp;"D")</f>
        <v>54897</v>
      </c>
      <c r="Z2249" s="174" t="e">
        <v>#N/A</v>
      </c>
      <c r="AA2249" s="177"/>
    </row>
    <row r="2250" spans="22:27" x14ac:dyDescent="0.2">
      <c r="V2250" s="163"/>
      <c r="W2250" s="158" t="str">
        <f t="shared" si="46"/>
        <v>1w</v>
      </c>
      <c r="X2250" s="168">
        <f>_xll.qlCalendarAdvance(Calendar,X2249,W2250,"f",FALSE)</f>
        <v>54904</v>
      </c>
      <c r="Y2250" s="173">
        <f>_xll.qlCalendarAdvance(Calendar,X2250,NDays&amp;"D")</f>
        <v>54904</v>
      </c>
      <c r="Z2250" s="174" t="e">
        <v>#N/A</v>
      </c>
      <c r="AA2250" s="177"/>
    </row>
    <row r="2251" spans="22:27" x14ac:dyDescent="0.2">
      <c r="V2251" s="163"/>
      <c r="W2251" s="158" t="str">
        <f t="shared" si="46"/>
        <v>1w</v>
      </c>
      <c r="X2251" s="168">
        <f>_xll.qlCalendarAdvance(Calendar,X2250,W2251,"f",FALSE)</f>
        <v>54914</v>
      </c>
      <c r="Y2251" s="173">
        <f>_xll.qlCalendarAdvance(Calendar,X2251,NDays&amp;"D")</f>
        <v>54914</v>
      </c>
      <c r="Z2251" s="174" t="e">
        <v>#N/A</v>
      </c>
      <c r="AA2251" s="177"/>
    </row>
    <row r="2252" spans="22:27" x14ac:dyDescent="0.2">
      <c r="V2252" s="163"/>
      <c r="W2252" s="158" t="str">
        <f t="shared" si="46"/>
        <v>1w</v>
      </c>
      <c r="X2252" s="168">
        <f>_xll.qlCalendarAdvance(Calendar,X2251,W2252,"f",FALSE)</f>
        <v>54921</v>
      </c>
      <c r="Y2252" s="173">
        <f>_xll.qlCalendarAdvance(Calendar,X2252,NDays&amp;"D")</f>
        <v>54921</v>
      </c>
      <c r="Z2252" s="174" t="e">
        <v>#N/A</v>
      </c>
      <c r="AA2252" s="177"/>
    </row>
    <row r="2253" spans="22:27" x14ac:dyDescent="0.2">
      <c r="V2253" s="163"/>
      <c r="W2253" s="158" t="str">
        <f t="shared" ref="W2253:W2316" si="47">W2252</f>
        <v>1w</v>
      </c>
      <c r="X2253" s="168">
        <f>_xll.qlCalendarAdvance(Calendar,X2252,W2253,"f",FALSE)</f>
        <v>54928</v>
      </c>
      <c r="Y2253" s="173">
        <f>_xll.qlCalendarAdvance(Calendar,X2253,NDays&amp;"D")</f>
        <v>54928</v>
      </c>
      <c r="Z2253" s="174" t="e">
        <v>#N/A</v>
      </c>
      <c r="AA2253" s="177"/>
    </row>
    <row r="2254" spans="22:27" x14ac:dyDescent="0.2">
      <c r="V2254" s="163"/>
      <c r="W2254" s="158" t="str">
        <f t="shared" si="47"/>
        <v>1w</v>
      </c>
      <c r="X2254" s="168">
        <f>_xll.qlCalendarAdvance(Calendar,X2253,W2254,"f",FALSE)</f>
        <v>54935</v>
      </c>
      <c r="Y2254" s="173">
        <f>_xll.qlCalendarAdvance(Calendar,X2254,NDays&amp;"D")</f>
        <v>54935</v>
      </c>
      <c r="Z2254" s="174" t="e">
        <v>#N/A</v>
      </c>
      <c r="AA2254" s="177"/>
    </row>
    <row r="2255" spans="22:27" x14ac:dyDescent="0.2">
      <c r="V2255" s="163"/>
      <c r="W2255" s="158" t="str">
        <f t="shared" si="47"/>
        <v>1w</v>
      </c>
      <c r="X2255" s="168">
        <f>_xll.qlCalendarAdvance(Calendar,X2254,W2255,"f",FALSE)</f>
        <v>54942</v>
      </c>
      <c r="Y2255" s="173">
        <f>_xll.qlCalendarAdvance(Calendar,X2255,NDays&amp;"D")</f>
        <v>54942</v>
      </c>
      <c r="Z2255" s="174" t="e">
        <v>#N/A</v>
      </c>
      <c r="AA2255" s="177"/>
    </row>
    <row r="2256" spans="22:27" x14ac:dyDescent="0.2">
      <c r="V2256" s="163"/>
      <c r="W2256" s="158" t="str">
        <f t="shared" si="47"/>
        <v>1w</v>
      </c>
      <c r="X2256" s="168">
        <f>_xll.qlCalendarAdvance(Calendar,X2255,W2256,"f",FALSE)</f>
        <v>54949</v>
      </c>
      <c r="Y2256" s="173">
        <f>_xll.qlCalendarAdvance(Calendar,X2256,NDays&amp;"D")</f>
        <v>54949</v>
      </c>
      <c r="Z2256" s="174" t="e">
        <v>#N/A</v>
      </c>
      <c r="AA2256" s="177"/>
    </row>
    <row r="2257" spans="22:27" x14ac:dyDescent="0.2">
      <c r="V2257" s="163"/>
      <c r="W2257" s="158" t="str">
        <f t="shared" si="47"/>
        <v>1w</v>
      </c>
      <c r="X2257" s="168">
        <f>_xll.qlCalendarAdvance(Calendar,X2256,W2257,"f",FALSE)</f>
        <v>54956</v>
      </c>
      <c r="Y2257" s="173">
        <f>_xll.qlCalendarAdvance(Calendar,X2257,NDays&amp;"D")</f>
        <v>54956</v>
      </c>
      <c r="Z2257" s="174" t="e">
        <v>#N/A</v>
      </c>
      <c r="AA2257" s="177"/>
    </row>
    <row r="2258" spans="22:27" x14ac:dyDescent="0.2">
      <c r="V2258" s="163"/>
      <c r="W2258" s="158" t="str">
        <f t="shared" si="47"/>
        <v>1w</v>
      </c>
      <c r="X2258" s="168">
        <f>_xll.qlCalendarAdvance(Calendar,X2257,W2258,"f",FALSE)</f>
        <v>54963</v>
      </c>
      <c r="Y2258" s="173">
        <f>_xll.qlCalendarAdvance(Calendar,X2258,NDays&amp;"D")</f>
        <v>54963</v>
      </c>
      <c r="Z2258" s="174" t="e">
        <v>#N/A</v>
      </c>
      <c r="AA2258" s="177"/>
    </row>
    <row r="2259" spans="22:27" x14ac:dyDescent="0.2">
      <c r="V2259" s="163"/>
      <c r="W2259" s="158" t="str">
        <f t="shared" si="47"/>
        <v>1w</v>
      </c>
      <c r="X2259" s="168">
        <f>_xll.qlCalendarAdvance(Calendar,X2258,W2259,"f",FALSE)</f>
        <v>54970</v>
      </c>
      <c r="Y2259" s="173">
        <f>_xll.qlCalendarAdvance(Calendar,X2259,NDays&amp;"D")</f>
        <v>54970</v>
      </c>
      <c r="Z2259" s="174" t="e">
        <v>#N/A</v>
      </c>
      <c r="AA2259" s="177"/>
    </row>
    <row r="2260" spans="22:27" x14ac:dyDescent="0.2">
      <c r="V2260" s="163"/>
      <c r="W2260" s="158" t="str">
        <f t="shared" si="47"/>
        <v>1w</v>
      </c>
      <c r="X2260" s="168">
        <f>_xll.qlCalendarAdvance(Calendar,X2259,W2260,"f",FALSE)</f>
        <v>54977</v>
      </c>
      <c r="Y2260" s="173">
        <f>_xll.qlCalendarAdvance(Calendar,X2260,NDays&amp;"D")</f>
        <v>54977</v>
      </c>
      <c r="Z2260" s="174" t="e">
        <v>#N/A</v>
      </c>
      <c r="AA2260" s="177"/>
    </row>
    <row r="2261" spans="22:27" x14ac:dyDescent="0.2">
      <c r="V2261" s="163"/>
      <c r="W2261" s="158" t="str">
        <f t="shared" si="47"/>
        <v>1w</v>
      </c>
      <c r="X2261" s="168">
        <f>_xll.qlCalendarAdvance(Calendar,X2260,W2261,"f",FALSE)</f>
        <v>54984</v>
      </c>
      <c r="Y2261" s="173">
        <f>_xll.qlCalendarAdvance(Calendar,X2261,NDays&amp;"D")</f>
        <v>54984</v>
      </c>
      <c r="Z2261" s="174" t="e">
        <v>#N/A</v>
      </c>
      <c r="AA2261" s="177"/>
    </row>
    <row r="2262" spans="22:27" x14ac:dyDescent="0.2">
      <c r="V2262" s="163"/>
      <c r="W2262" s="158" t="str">
        <f t="shared" si="47"/>
        <v>1w</v>
      </c>
      <c r="X2262" s="168">
        <f>_xll.qlCalendarAdvance(Calendar,X2261,W2262,"f",FALSE)</f>
        <v>54991</v>
      </c>
      <c r="Y2262" s="173">
        <f>_xll.qlCalendarAdvance(Calendar,X2262,NDays&amp;"D")</f>
        <v>54991</v>
      </c>
      <c r="Z2262" s="174" t="e">
        <v>#N/A</v>
      </c>
      <c r="AA2262" s="177"/>
    </row>
    <row r="2263" spans="22:27" x14ac:dyDescent="0.2">
      <c r="V2263" s="163"/>
      <c r="W2263" s="158" t="str">
        <f t="shared" si="47"/>
        <v>1w</v>
      </c>
      <c r="X2263" s="168">
        <f>_xll.qlCalendarAdvance(Calendar,X2262,W2263,"f",FALSE)</f>
        <v>54998</v>
      </c>
      <c r="Y2263" s="173">
        <f>_xll.qlCalendarAdvance(Calendar,X2263,NDays&amp;"D")</f>
        <v>54998</v>
      </c>
      <c r="Z2263" s="174" t="e">
        <v>#N/A</v>
      </c>
      <c r="AA2263" s="177"/>
    </row>
    <row r="2264" spans="22:27" x14ac:dyDescent="0.2">
      <c r="V2264" s="163"/>
      <c r="W2264" s="158" t="str">
        <f t="shared" si="47"/>
        <v>1w</v>
      </c>
      <c r="X2264" s="168">
        <f>_xll.qlCalendarAdvance(Calendar,X2263,W2264,"f",FALSE)</f>
        <v>55005</v>
      </c>
      <c r="Y2264" s="173">
        <f>_xll.qlCalendarAdvance(Calendar,X2264,NDays&amp;"D")</f>
        <v>55005</v>
      </c>
      <c r="Z2264" s="174" t="e">
        <v>#N/A</v>
      </c>
      <c r="AA2264" s="177"/>
    </row>
    <row r="2265" spans="22:27" x14ac:dyDescent="0.2">
      <c r="V2265" s="163"/>
      <c r="W2265" s="158" t="str">
        <f t="shared" si="47"/>
        <v>1w</v>
      </c>
      <c r="X2265" s="168">
        <f>_xll.qlCalendarAdvance(Calendar,X2264,W2265,"f",FALSE)</f>
        <v>55012</v>
      </c>
      <c r="Y2265" s="173">
        <f>_xll.qlCalendarAdvance(Calendar,X2265,NDays&amp;"D")</f>
        <v>55012</v>
      </c>
      <c r="Z2265" s="174" t="e">
        <v>#N/A</v>
      </c>
      <c r="AA2265" s="177"/>
    </row>
    <row r="2266" spans="22:27" x14ac:dyDescent="0.2">
      <c r="V2266" s="163"/>
      <c r="W2266" s="158" t="str">
        <f t="shared" si="47"/>
        <v>1w</v>
      </c>
      <c r="X2266" s="168">
        <f>_xll.qlCalendarAdvance(Calendar,X2265,W2266,"f",FALSE)</f>
        <v>55019</v>
      </c>
      <c r="Y2266" s="173">
        <f>_xll.qlCalendarAdvance(Calendar,X2266,NDays&amp;"D")</f>
        <v>55019</v>
      </c>
      <c r="Z2266" s="174" t="e">
        <v>#N/A</v>
      </c>
      <c r="AA2266" s="177"/>
    </row>
    <row r="2267" spans="22:27" x14ac:dyDescent="0.2">
      <c r="V2267" s="163"/>
      <c r="W2267" s="158" t="str">
        <f t="shared" si="47"/>
        <v>1w</v>
      </c>
      <c r="X2267" s="168">
        <f>_xll.qlCalendarAdvance(Calendar,X2266,W2267,"f",FALSE)</f>
        <v>55026</v>
      </c>
      <c r="Y2267" s="173">
        <f>_xll.qlCalendarAdvance(Calendar,X2267,NDays&amp;"D")</f>
        <v>55026</v>
      </c>
      <c r="Z2267" s="174" t="e">
        <v>#N/A</v>
      </c>
      <c r="AA2267" s="177"/>
    </row>
    <row r="2268" spans="22:27" x14ac:dyDescent="0.2">
      <c r="V2268" s="163"/>
      <c r="W2268" s="158" t="str">
        <f t="shared" si="47"/>
        <v>1w</v>
      </c>
      <c r="X2268" s="168">
        <f>_xll.qlCalendarAdvance(Calendar,X2267,W2268,"f",FALSE)</f>
        <v>55033</v>
      </c>
      <c r="Y2268" s="173">
        <f>_xll.qlCalendarAdvance(Calendar,X2268,NDays&amp;"D")</f>
        <v>55033</v>
      </c>
      <c r="Z2268" s="174" t="e">
        <v>#N/A</v>
      </c>
      <c r="AA2268" s="177"/>
    </row>
    <row r="2269" spans="22:27" x14ac:dyDescent="0.2">
      <c r="V2269" s="163"/>
      <c r="W2269" s="158" t="str">
        <f t="shared" si="47"/>
        <v>1w</v>
      </c>
      <c r="X2269" s="168">
        <f>_xll.qlCalendarAdvance(Calendar,X2268,W2269,"f",FALSE)</f>
        <v>55040</v>
      </c>
      <c r="Y2269" s="173">
        <f>_xll.qlCalendarAdvance(Calendar,X2269,NDays&amp;"D")</f>
        <v>55040</v>
      </c>
      <c r="Z2269" s="174" t="e">
        <v>#N/A</v>
      </c>
      <c r="AA2269" s="177"/>
    </row>
    <row r="2270" spans="22:27" x14ac:dyDescent="0.2">
      <c r="V2270" s="163"/>
      <c r="W2270" s="158" t="str">
        <f t="shared" si="47"/>
        <v>1w</v>
      </c>
      <c r="X2270" s="168">
        <f>_xll.qlCalendarAdvance(Calendar,X2269,W2270,"f",FALSE)</f>
        <v>55047</v>
      </c>
      <c r="Y2270" s="173">
        <f>_xll.qlCalendarAdvance(Calendar,X2270,NDays&amp;"D")</f>
        <v>55047</v>
      </c>
      <c r="Z2270" s="174" t="e">
        <v>#N/A</v>
      </c>
      <c r="AA2270" s="177"/>
    </row>
    <row r="2271" spans="22:27" x14ac:dyDescent="0.2">
      <c r="V2271" s="163"/>
      <c r="W2271" s="158" t="str">
        <f t="shared" si="47"/>
        <v>1w</v>
      </c>
      <c r="X2271" s="168">
        <f>_xll.qlCalendarAdvance(Calendar,X2270,W2271,"f",FALSE)</f>
        <v>55057</v>
      </c>
      <c r="Y2271" s="173">
        <f>_xll.qlCalendarAdvance(Calendar,X2271,NDays&amp;"D")</f>
        <v>55057</v>
      </c>
      <c r="Z2271" s="174" t="e">
        <v>#N/A</v>
      </c>
      <c r="AA2271" s="177"/>
    </row>
    <row r="2272" spans="22:27" x14ac:dyDescent="0.2">
      <c r="V2272" s="163"/>
      <c r="W2272" s="158" t="str">
        <f t="shared" si="47"/>
        <v>1w</v>
      </c>
      <c r="X2272" s="168">
        <f>_xll.qlCalendarAdvance(Calendar,X2271,W2272,"f",FALSE)</f>
        <v>55064</v>
      </c>
      <c r="Y2272" s="173">
        <f>_xll.qlCalendarAdvance(Calendar,X2272,NDays&amp;"D")</f>
        <v>55064</v>
      </c>
      <c r="Z2272" s="174" t="e">
        <v>#N/A</v>
      </c>
      <c r="AA2272" s="177"/>
    </row>
    <row r="2273" spans="22:27" x14ac:dyDescent="0.2">
      <c r="V2273" s="163"/>
      <c r="W2273" s="158" t="str">
        <f t="shared" si="47"/>
        <v>1w</v>
      </c>
      <c r="X2273" s="168">
        <f>_xll.qlCalendarAdvance(Calendar,X2272,W2273,"f",FALSE)</f>
        <v>55072</v>
      </c>
      <c r="Y2273" s="173">
        <f>_xll.qlCalendarAdvance(Calendar,X2273,NDays&amp;"D")</f>
        <v>55072</v>
      </c>
      <c r="Z2273" s="174" t="e">
        <v>#N/A</v>
      </c>
      <c r="AA2273" s="177"/>
    </row>
    <row r="2274" spans="22:27" x14ac:dyDescent="0.2">
      <c r="V2274" s="163"/>
      <c r="W2274" s="158" t="str">
        <f t="shared" si="47"/>
        <v>1w</v>
      </c>
      <c r="X2274" s="168">
        <f>_xll.qlCalendarAdvance(Calendar,X2273,W2274,"f",FALSE)</f>
        <v>55079</v>
      </c>
      <c r="Y2274" s="173">
        <f>_xll.qlCalendarAdvance(Calendar,X2274,NDays&amp;"D")</f>
        <v>55079</v>
      </c>
      <c r="Z2274" s="174" t="e">
        <v>#N/A</v>
      </c>
      <c r="AA2274" s="177"/>
    </row>
    <row r="2275" spans="22:27" x14ac:dyDescent="0.2">
      <c r="V2275" s="163"/>
      <c r="W2275" s="158" t="str">
        <f t="shared" si="47"/>
        <v>1w</v>
      </c>
      <c r="X2275" s="168">
        <f>_xll.qlCalendarAdvance(Calendar,X2274,W2275,"f",FALSE)</f>
        <v>55086</v>
      </c>
      <c r="Y2275" s="173">
        <f>_xll.qlCalendarAdvance(Calendar,X2275,NDays&amp;"D")</f>
        <v>55086</v>
      </c>
      <c r="Z2275" s="174" t="e">
        <v>#N/A</v>
      </c>
      <c r="AA2275" s="177"/>
    </row>
    <row r="2276" spans="22:27" x14ac:dyDescent="0.2">
      <c r="V2276" s="163"/>
      <c r="W2276" s="158" t="str">
        <f t="shared" si="47"/>
        <v>1w</v>
      </c>
      <c r="X2276" s="168">
        <f>_xll.qlCalendarAdvance(Calendar,X2275,W2276,"f",FALSE)</f>
        <v>55093</v>
      </c>
      <c r="Y2276" s="173">
        <f>_xll.qlCalendarAdvance(Calendar,X2276,NDays&amp;"D")</f>
        <v>55093</v>
      </c>
      <c r="Z2276" s="174" t="e">
        <v>#N/A</v>
      </c>
      <c r="AA2276" s="177"/>
    </row>
    <row r="2277" spans="22:27" x14ac:dyDescent="0.2">
      <c r="V2277" s="163"/>
      <c r="W2277" s="158" t="str">
        <f t="shared" si="47"/>
        <v>1w</v>
      </c>
      <c r="X2277" s="168">
        <f>_xll.qlCalendarAdvance(Calendar,X2276,W2277,"f",FALSE)</f>
        <v>55100</v>
      </c>
      <c r="Y2277" s="173">
        <f>_xll.qlCalendarAdvance(Calendar,X2277,NDays&amp;"D")</f>
        <v>55100</v>
      </c>
      <c r="Z2277" s="174" t="e">
        <v>#N/A</v>
      </c>
      <c r="AA2277" s="177"/>
    </row>
    <row r="2278" spans="22:27" x14ac:dyDescent="0.2">
      <c r="V2278" s="163"/>
      <c r="W2278" s="158" t="str">
        <f t="shared" si="47"/>
        <v>1w</v>
      </c>
      <c r="X2278" s="168">
        <f>_xll.qlCalendarAdvance(Calendar,X2277,W2278,"f",FALSE)</f>
        <v>55107</v>
      </c>
      <c r="Y2278" s="173">
        <f>_xll.qlCalendarAdvance(Calendar,X2278,NDays&amp;"D")</f>
        <v>55107</v>
      </c>
      <c r="Z2278" s="174" t="e">
        <v>#N/A</v>
      </c>
      <c r="AA2278" s="177"/>
    </row>
    <row r="2279" spans="22:27" x14ac:dyDescent="0.2">
      <c r="V2279" s="163"/>
      <c r="W2279" s="158" t="str">
        <f t="shared" si="47"/>
        <v>1w</v>
      </c>
      <c r="X2279" s="168">
        <f>_xll.qlCalendarAdvance(Calendar,X2278,W2279,"f",FALSE)</f>
        <v>55114</v>
      </c>
      <c r="Y2279" s="173">
        <f>_xll.qlCalendarAdvance(Calendar,X2279,NDays&amp;"D")</f>
        <v>55114</v>
      </c>
      <c r="Z2279" s="174" t="e">
        <v>#N/A</v>
      </c>
      <c r="AA2279" s="177"/>
    </row>
    <row r="2280" spans="22:27" x14ac:dyDescent="0.2">
      <c r="V2280" s="163"/>
      <c r="W2280" s="158" t="str">
        <f t="shared" si="47"/>
        <v>1w</v>
      </c>
      <c r="X2280" s="168">
        <f>_xll.qlCalendarAdvance(Calendar,X2279,W2280,"f",FALSE)</f>
        <v>55121</v>
      </c>
      <c r="Y2280" s="173">
        <f>_xll.qlCalendarAdvance(Calendar,X2280,NDays&amp;"D")</f>
        <v>55121</v>
      </c>
      <c r="Z2280" s="174" t="e">
        <v>#N/A</v>
      </c>
      <c r="AA2280" s="177"/>
    </row>
    <row r="2281" spans="22:27" x14ac:dyDescent="0.2">
      <c r="V2281" s="163"/>
      <c r="W2281" s="158" t="str">
        <f t="shared" si="47"/>
        <v>1w</v>
      </c>
      <c r="X2281" s="168">
        <f>_xll.qlCalendarAdvance(Calendar,X2280,W2281,"f",FALSE)</f>
        <v>55128</v>
      </c>
      <c r="Y2281" s="173">
        <f>_xll.qlCalendarAdvance(Calendar,X2281,NDays&amp;"D")</f>
        <v>55128</v>
      </c>
      <c r="Z2281" s="174" t="e">
        <v>#N/A</v>
      </c>
      <c r="AA2281" s="177"/>
    </row>
    <row r="2282" spans="22:27" x14ac:dyDescent="0.2">
      <c r="V2282" s="163"/>
      <c r="W2282" s="158" t="str">
        <f t="shared" si="47"/>
        <v>1w</v>
      </c>
      <c r="X2282" s="168">
        <f>_xll.qlCalendarAdvance(Calendar,X2281,W2282,"f",FALSE)</f>
        <v>55135</v>
      </c>
      <c r="Y2282" s="173">
        <f>_xll.qlCalendarAdvance(Calendar,X2282,NDays&amp;"D")</f>
        <v>55135</v>
      </c>
      <c r="Z2282" s="174" t="e">
        <v>#N/A</v>
      </c>
      <c r="AA2282" s="177"/>
    </row>
    <row r="2283" spans="22:27" x14ac:dyDescent="0.2">
      <c r="V2283" s="163"/>
      <c r="W2283" s="158" t="str">
        <f t="shared" si="47"/>
        <v>1w</v>
      </c>
      <c r="X2283" s="168">
        <f>_xll.qlCalendarAdvance(Calendar,X2282,W2283,"f",FALSE)</f>
        <v>55142</v>
      </c>
      <c r="Y2283" s="173">
        <f>_xll.qlCalendarAdvance(Calendar,X2283,NDays&amp;"D")</f>
        <v>55142</v>
      </c>
      <c r="Z2283" s="174" t="e">
        <v>#N/A</v>
      </c>
      <c r="AA2283" s="177"/>
    </row>
    <row r="2284" spans="22:27" x14ac:dyDescent="0.2">
      <c r="V2284" s="163"/>
      <c r="W2284" s="158" t="str">
        <f t="shared" si="47"/>
        <v>1w</v>
      </c>
      <c r="X2284" s="168">
        <f>_xll.qlCalendarAdvance(Calendar,X2283,W2284,"f",FALSE)</f>
        <v>55149</v>
      </c>
      <c r="Y2284" s="173">
        <f>_xll.qlCalendarAdvance(Calendar,X2284,NDays&amp;"D")</f>
        <v>55149</v>
      </c>
      <c r="Z2284" s="174" t="e">
        <v>#N/A</v>
      </c>
      <c r="AA2284" s="177"/>
    </row>
    <row r="2285" spans="22:27" x14ac:dyDescent="0.2">
      <c r="V2285" s="163"/>
      <c r="W2285" s="158" t="str">
        <f t="shared" si="47"/>
        <v>1w</v>
      </c>
      <c r="X2285" s="168">
        <f>_xll.qlCalendarAdvance(Calendar,X2284,W2285,"f",FALSE)</f>
        <v>55157</v>
      </c>
      <c r="Y2285" s="173">
        <f>_xll.qlCalendarAdvance(Calendar,X2285,NDays&amp;"D")</f>
        <v>55157</v>
      </c>
      <c r="Z2285" s="174" t="e">
        <v>#N/A</v>
      </c>
      <c r="AA2285" s="177"/>
    </row>
    <row r="2286" spans="22:27" x14ac:dyDescent="0.2">
      <c r="V2286" s="163"/>
      <c r="W2286" s="158" t="str">
        <f t="shared" si="47"/>
        <v>1w</v>
      </c>
      <c r="X2286" s="168">
        <f>_xll.qlCalendarAdvance(Calendar,X2285,W2286,"f",FALSE)</f>
        <v>55164</v>
      </c>
      <c r="Y2286" s="173">
        <f>_xll.qlCalendarAdvance(Calendar,X2286,NDays&amp;"D")</f>
        <v>55164</v>
      </c>
      <c r="Z2286" s="174" t="e">
        <v>#N/A</v>
      </c>
      <c r="AA2286" s="177"/>
    </row>
    <row r="2287" spans="22:27" x14ac:dyDescent="0.2">
      <c r="V2287" s="163"/>
      <c r="W2287" s="158" t="str">
        <f t="shared" si="47"/>
        <v>1w</v>
      </c>
      <c r="X2287" s="168">
        <f>_xll.qlCalendarAdvance(Calendar,X2286,W2287,"f",FALSE)</f>
        <v>55171</v>
      </c>
      <c r="Y2287" s="173">
        <f>_xll.qlCalendarAdvance(Calendar,X2287,NDays&amp;"D")</f>
        <v>55171</v>
      </c>
      <c r="Z2287" s="174" t="e">
        <v>#N/A</v>
      </c>
      <c r="AA2287" s="177"/>
    </row>
    <row r="2288" spans="22:27" x14ac:dyDescent="0.2">
      <c r="V2288" s="163"/>
      <c r="W2288" s="158" t="str">
        <f t="shared" si="47"/>
        <v>1w</v>
      </c>
      <c r="X2288" s="168">
        <f>_xll.qlCalendarAdvance(Calendar,X2287,W2288,"f",FALSE)</f>
        <v>55178</v>
      </c>
      <c r="Y2288" s="173">
        <f>_xll.qlCalendarAdvance(Calendar,X2288,NDays&amp;"D")</f>
        <v>55178</v>
      </c>
      <c r="Z2288" s="174" t="e">
        <v>#N/A</v>
      </c>
      <c r="AA2288" s="177"/>
    </row>
    <row r="2289" spans="22:27" x14ac:dyDescent="0.2">
      <c r="V2289" s="163"/>
      <c r="W2289" s="158" t="str">
        <f t="shared" si="47"/>
        <v>1w</v>
      </c>
      <c r="X2289" s="168">
        <f>_xll.qlCalendarAdvance(Calendar,X2288,W2289,"f",FALSE)</f>
        <v>55185</v>
      </c>
      <c r="Y2289" s="173">
        <f>_xll.qlCalendarAdvance(Calendar,X2289,NDays&amp;"D")</f>
        <v>55185</v>
      </c>
      <c r="Z2289" s="174" t="e">
        <v>#N/A</v>
      </c>
      <c r="AA2289" s="177"/>
    </row>
    <row r="2290" spans="22:27" x14ac:dyDescent="0.2">
      <c r="V2290" s="163"/>
      <c r="W2290" s="158" t="str">
        <f t="shared" si="47"/>
        <v>1w</v>
      </c>
      <c r="X2290" s="168">
        <f>_xll.qlCalendarAdvance(Calendar,X2289,W2290,"f",FALSE)</f>
        <v>55192</v>
      </c>
      <c r="Y2290" s="173">
        <f>_xll.qlCalendarAdvance(Calendar,X2290,NDays&amp;"D")</f>
        <v>55192</v>
      </c>
      <c r="Z2290" s="174" t="e">
        <v>#N/A</v>
      </c>
      <c r="AA2290" s="177"/>
    </row>
    <row r="2291" spans="22:27" x14ac:dyDescent="0.2">
      <c r="V2291" s="163"/>
      <c r="W2291" s="158" t="str">
        <f t="shared" si="47"/>
        <v>1w</v>
      </c>
      <c r="X2291" s="168">
        <f>_xll.qlCalendarAdvance(Calendar,X2290,W2291,"f",FALSE)</f>
        <v>55199</v>
      </c>
      <c r="Y2291" s="173">
        <f>_xll.qlCalendarAdvance(Calendar,X2291,NDays&amp;"D")</f>
        <v>55199</v>
      </c>
      <c r="Z2291" s="174" t="e">
        <v>#N/A</v>
      </c>
      <c r="AA2291" s="177"/>
    </row>
    <row r="2292" spans="22:27" x14ac:dyDescent="0.2">
      <c r="V2292" s="163"/>
      <c r="W2292" s="158" t="str">
        <f t="shared" si="47"/>
        <v>1w</v>
      </c>
      <c r="X2292" s="168">
        <f>_xll.qlCalendarAdvance(Calendar,X2291,W2292,"f",FALSE)</f>
        <v>55206</v>
      </c>
      <c r="Y2292" s="173">
        <f>_xll.qlCalendarAdvance(Calendar,X2292,NDays&amp;"D")</f>
        <v>55206</v>
      </c>
      <c r="Z2292" s="174" t="e">
        <v>#N/A</v>
      </c>
      <c r="AA2292" s="177"/>
    </row>
    <row r="2293" spans="22:27" x14ac:dyDescent="0.2">
      <c r="V2293" s="163"/>
      <c r="W2293" s="158" t="str">
        <f t="shared" si="47"/>
        <v>1w</v>
      </c>
      <c r="X2293" s="168">
        <f>_xll.qlCalendarAdvance(Calendar,X2292,W2293,"f",FALSE)</f>
        <v>55213</v>
      </c>
      <c r="Y2293" s="173">
        <f>_xll.qlCalendarAdvance(Calendar,X2293,NDays&amp;"D")</f>
        <v>55213</v>
      </c>
      <c r="Z2293" s="174" t="e">
        <v>#N/A</v>
      </c>
      <c r="AA2293" s="177"/>
    </row>
    <row r="2294" spans="22:27" x14ac:dyDescent="0.2">
      <c r="V2294" s="163"/>
      <c r="W2294" s="158" t="str">
        <f t="shared" si="47"/>
        <v>1w</v>
      </c>
      <c r="X2294" s="168">
        <f>_xll.qlCalendarAdvance(Calendar,X2293,W2294,"f",FALSE)</f>
        <v>55220</v>
      </c>
      <c r="Y2294" s="173">
        <f>_xll.qlCalendarAdvance(Calendar,X2294,NDays&amp;"D")</f>
        <v>55220</v>
      </c>
      <c r="Z2294" s="174" t="e">
        <v>#N/A</v>
      </c>
      <c r="AA2294" s="177"/>
    </row>
    <row r="2295" spans="22:27" x14ac:dyDescent="0.2">
      <c r="V2295" s="163"/>
      <c r="W2295" s="158" t="str">
        <f t="shared" si="47"/>
        <v>1w</v>
      </c>
      <c r="X2295" s="168">
        <f>_xll.qlCalendarAdvance(Calendar,X2294,W2295,"f",FALSE)</f>
        <v>55227</v>
      </c>
      <c r="Y2295" s="173">
        <f>_xll.qlCalendarAdvance(Calendar,X2295,NDays&amp;"D")</f>
        <v>55227</v>
      </c>
      <c r="Z2295" s="174" t="e">
        <v>#N/A</v>
      </c>
      <c r="AA2295" s="177"/>
    </row>
    <row r="2296" spans="22:27" x14ac:dyDescent="0.2">
      <c r="V2296" s="163"/>
      <c r="W2296" s="158" t="str">
        <f t="shared" si="47"/>
        <v>1w</v>
      </c>
      <c r="X2296" s="168">
        <f>_xll.qlCalendarAdvance(Calendar,X2295,W2296,"f",FALSE)</f>
        <v>55234</v>
      </c>
      <c r="Y2296" s="173">
        <f>_xll.qlCalendarAdvance(Calendar,X2296,NDays&amp;"D")</f>
        <v>55234</v>
      </c>
      <c r="Z2296" s="174" t="e">
        <v>#N/A</v>
      </c>
      <c r="AA2296" s="177"/>
    </row>
    <row r="2297" spans="22:27" x14ac:dyDescent="0.2">
      <c r="V2297" s="163"/>
      <c r="W2297" s="158" t="str">
        <f t="shared" si="47"/>
        <v>1w</v>
      </c>
      <c r="X2297" s="168">
        <f>_xll.qlCalendarAdvance(Calendar,X2296,W2297,"f",FALSE)</f>
        <v>55241</v>
      </c>
      <c r="Y2297" s="173">
        <f>_xll.qlCalendarAdvance(Calendar,X2297,NDays&amp;"D")</f>
        <v>55241</v>
      </c>
      <c r="Z2297" s="174" t="e">
        <v>#N/A</v>
      </c>
      <c r="AA2297" s="177"/>
    </row>
    <row r="2298" spans="22:27" x14ac:dyDescent="0.2">
      <c r="V2298" s="163"/>
      <c r="W2298" s="158" t="str">
        <f t="shared" si="47"/>
        <v>1w</v>
      </c>
      <c r="X2298" s="168">
        <f>_xll.qlCalendarAdvance(Calendar,X2297,W2298,"f",FALSE)</f>
        <v>55248</v>
      </c>
      <c r="Y2298" s="173">
        <f>_xll.qlCalendarAdvance(Calendar,X2298,NDays&amp;"D")</f>
        <v>55248</v>
      </c>
      <c r="Z2298" s="174" t="e">
        <v>#N/A</v>
      </c>
      <c r="AA2298" s="177"/>
    </row>
    <row r="2299" spans="22:27" x14ac:dyDescent="0.2">
      <c r="V2299" s="163"/>
      <c r="W2299" s="158" t="str">
        <f t="shared" si="47"/>
        <v>1w</v>
      </c>
      <c r="X2299" s="168">
        <f>_xll.qlCalendarAdvance(Calendar,X2298,W2299,"f",FALSE)</f>
        <v>55255</v>
      </c>
      <c r="Y2299" s="173">
        <f>_xll.qlCalendarAdvance(Calendar,X2299,NDays&amp;"D")</f>
        <v>55255</v>
      </c>
      <c r="Z2299" s="174" t="e">
        <v>#N/A</v>
      </c>
      <c r="AA2299" s="177"/>
    </row>
    <row r="2300" spans="22:27" x14ac:dyDescent="0.2">
      <c r="V2300" s="163"/>
      <c r="W2300" s="158" t="str">
        <f t="shared" si="47"/>
        <v>1w</v>
      </c>
      <c r="X2300" s="168">
        <f>_xll.qlCalendarAdvance(Calendar,X2299,W2300,"f",FALSE)</f>
        <v>55262</v>
      </c>
      <c r="Y2300" s="173">
        <f>_xll.qlCalendarAdvance(Calendar,X2300,NDays&amp;"D")</f>
        <v>55262</v>
      </c>
      <c r="Z2300" s="174" t="e">
        <v>#N/A</v>
      </c>
      <c r="AA2300" s="177"/>
    </row>
    <row r="2301" spans="22:27" x14ac:dyDescent="0.2">
      <c r="V2301" s="163"/>
      <c r="W2301" s="158" t="str">
        <f t="shared" si="47"/>
        <v>1w</v>
      </c>
      <c r="X2301" s="168">
        <f>_xll.qlCalendarAdvance(Calendar,X2300,W2301,"f",FALSE)</f>
        <v>55269</v>
      </c>
      <c r="Y2301" s="173">
        <f>_xll.qlCalendarAdvance(Calendar,X2301,NDays&amp;"D")</f>
        <v>55269</v>
      </c>
      <c r="Z2301" s="174" t="e">
        <v>#N/A</v>
      </c>
      <c r="AA2301" s="177"/>
    </row>
    <row r="2302" spans="22:27" x14ac:dyDescent="0.2">
      <c r="V2302" s="163"/>
      <c r="W2302" s="158" t="str">
        <f t="shared" si="47"/>
        <v>1w</v>
      </c>
      <c r="X2302" s="168">
        <f>_xll.qlCalendarAdvance(Calendar,X2301,W2302,"f",FALSE)</f>
        <v>55281</v>
      </c>
      <c r="Y2302" s="173">
        <f>_xll.qlCalendarAdvance(Calendar,X2302,NDays&amp;"D")</f>
        <v>55281</v>
      </c>
      <c r="Z2302" s="174" t="e">
        <v>#N/A</v>
      </c>
      <c r="AA2302" s="177"/>
    </row>
    <row r="2303" spans="22:27" x14ac:dyDescent="0.2">
      <c r="V2303" s="163"/>
      <c r="W2303" s="158" t="str">
        <f t="shared" si="47"/>
        <v>1w</v>
      </c>
      <c r="X2303" s="168">
        <f>_xll.qlCalendarAdvance(Calendar,X2302,W2303,"f",FALSE)</f>
        <v>55288</v>
      </c>
      <c r="Y2303" s="173">
        <f>_xll.qlCalendarAdvance(Calendar,X2303,NDays&amp;"D")</f>
        <v>55288</v>
      </c>
      <c r="Z2303" s="174" t="e">
        <v>#N/A</v>
      </c>
      <c r="AA2303" s="177"/>
    </row>
    <row r="2304" spans="22:27" x14ac:dyDescent="0.2">
      <c r="V2304" s="163"/>
      <c r="W2304" s="158" t="str">
        <f t="shared" si="47"/>
        <v>1w</v>
      </c>
      <c r="X2304" s="168">
        <f>_xll.qlCalendarAdvance(Calendar,X2303,W2304,"f",FALSE)</f>
        <v>55295</v>
      </c>
      <c r="Y2304" s="173">
        <f>_xll.qlCalendarAdvance(Calendar,X2304,NDays&amp;"D")</f>
        <v>55295</v>
      </c>
      <c r="Z2304" s="174" t="e">
        <v>#N/A</v>
      </c>
      <c r="AA2304" s="177"/>
    </row>
    <row r="2305" spans="22:27" x14ac:dyDescent="0.2">
      <c r="V2305" s="163"/>
      <c r="W2305" s="158" t="str">
        <f t="shared" si="47"/>
        <v>1w</v>
      </c>
      <c r="X2305" s="168">
        <f>_xll.qlCalendarAdvance(Calendar,X2304,W2305,"f",FALSE)</f>
        <v>55302</v>
      </c>
      <c r="Y2305" s="173">
        <f>_xll.qlCalendarAdvance(Calendar,X2305,NDays&amp;"D")</f>
        <v>55302</v>
      </c>
      <c r="Z2305" s="174" t="e">
        <v>#N/A</v>
      </c>
      <c r="AA2305" s="177"/>
    </row>
    <row r="2306" spans="22:27" x14ac:dyDescent="0.2">
      <c r="V2306" s="163"/>
      <c r="W2306" s="158" t="str">
        <f t="shared" si="47"/>
        <v>1w</v>
      </c>
      <c r="X2306" s="168">
        <f>_xll.qlCalendarAdvance(Calendar,X2305,W2306,"f",FALSE)</f>
        <v>55309</v>
      </c>
      <c r="Y2306" s="173">
        <f>_xll.qlCalendarAdvance(Calendar,X2306,NDays&amp;"D")</f>
        <v>55309</v>
      </c>
      <c r="Z2306" s="174" t="e">
        <v>#N/A</v>
      </c>
      <c r="AA2306" s="177"/>
    </row>
    <row r="2307" spans="22:27" x14ac:dyDescent="0.2">
      <c r="V2307" s="163"/>
      <c r="W2307" s="158" t="str">
        <f t="shared" si="47"/>
        <v>1w</v>
      </c>
      <c r="X2307" s="168">
        <f>_xll.qlCalendarAdvance(Calendar,X2306,W2307,"f",FALSE)</f>
        <v>55316</v>
      </c>
      <c r="Y2307" s="173">
        <f>_xll.qlCalendarAdvance(Calendar,X2307,NDays&amp;"D")</f>
        <v>55316</v>
      </c>
      <c r="Z2307" s="174" t="e">
        <v>#N/A</v>
      </c>
      <c r="AA2307" s="177"/>
    </row>
    <row r="2308" spans="22:27" x14ac:dyDescent="0.2">
      <c r="V2308" s="163"/>
      <c r="W2308" s="158" t="str">
        <f t="shared" si="47"/>
        <v>1w</v>
      </c>
      <c r="X2308" s="168">
        <f>_xll.qlCalendarAdvance(Calendar,X2307,W2308,"f",FALSE)</f>
        <v>55323</v>
      </c>
      <c r="Y2308" s="173">
        <f>_xll.qlCalendarAdvance(Calendar,X2308,NDays&amp;"D")</f>
        <v>55323</v>
      </c>
      <c r="Z2308" s="174" t="e">
        <v>#N/A</v>
      </c>
      <c r="AA2308" s="177"/>
    </row>
    <row r="2309" spans="22:27" x14ac:dyDescent="0.2">
      <c r="V2309" s="163"/>
      <c r="W2309" s="158" t="str">
        <f t="shared" si="47"/>
        <v>1w</v>
      </c>
      <c r="X2309" s="168">
        <f>_xll.qlCalendarAdvance(Calendar,X2308,W2309,"f",FALSE)</f>
        <v>55330</v>
      </c>
      <c r="Y2309" s="173">
        <f>_xll.qlCalendarAdvance(Calendar,X2309,NDays&amp;"D")</f>
        <v>55330</v>
      </c>
      <c r="Z2309" s="174" t="e">
        <v>#N/A</v>
      </c>
      <c r="AA2309" s="177"/>
    </row>
    <row r="2310" spans="22:27" x14ac:dyDescent="0.2">
      <c r="V2310" s="163"/>
      <c r="W2310" s="158" t="str">
        <f t="shared" si="47"/>
        <v>1w</v>
      </c>
      <c r="X2310" s="168">
        <f>_xll.qlCalendarAdvance(Calendar,X2309,W2310,"f",FALSE)</f>
        <v>55337</v>
      </c>
      <c r="Y2310" s="173">
        <f>_xll.qlCalendarAdvance(Calendar,X2310,NDays&amp;"D")</f>
        <v>55337</v>
      </c>
      <c r="Z2310" s="174" t="e">
        <v>#N/A</v>
      </c>
      <c r="AA2310" s="177"/>
    </row>
    <row r="2311" spans="22:27" x14ac:dyDescent="0.2">
      <c r="V2311" s="163"/>
      <c r="W2311" s="158" t="str">
        <f t="shared" si="47"/>
        <v>1w</v>
      </c>
      <c r="X2311" s="168">
        <f>_xll.qlCalendarAdvance(Calendar,X2310,W2311,"f",FALSE)</f>
        <v>55344</v>
      </c>
      <c r="Y2311" s="173">
        <f>_xll.qlCalendarAdvance(Calendar,X2311,NDays&amp;"D")</f>
        <v>55344</v>
      </c>
      <c r="Z2311" s="174" t="e">
        <v>#N/A</v>
      </c>
      <c r="AA2311" s="177"/>
    </row>
    <row r="2312" spans="22:27" x14ac:dyDescent="0.2">
      <c r="V2312" s="163"/>
      <c r="W2312" s="158" t="str">
        <f t="shared" si="47"/>
        <v>1w</v>
      </c>
      <c r="X2312" s="168">
        <f>_xll.qlCalendarAdvance(Calendar,X2311,W2312,"f",FALSE)</f>
        <v>55352</v>
      </c>
      <c r="Y2312" s="173">
        <f>_xll.qlCalendarAdvance(Calendar,X2312,NDays&amp;"D")</f>
        <v>55352</v>
      </c>
      <c r="Z2312" s="174" t="e">
        <v>#N/A</v>
      </c>
      <c r="AA2312" s="177"/>
    </row>
    <row r="2313" spans="22:27" x14ac:dyDescent="0.2">
      <c r="V2313" s="163"/>
      <c r="W2313" s="158" t="str">
        <f t="shared" si="47"/>
        <v>1w</v>
      </c>
      <c r="X2313" s="168">
        <f>_xll.qlCalendarAdvance(Calendar,X2312,W2313,"f",FALSE)</f>
        <v>55359</v>
      </c>
      <c r="Y2313" s="173">
        <f>_xll.qlCalendarAdvance(Calendar,X2313,NDays&amp;"D")</f>
        <v>55359</v>
      </c>
      <c r="Z2313" s="174" t="e">
        <v>#N/A</v>
      </c>
      <c r="AA2313" s="177"/>
    </row>
    <row r="2314" spans="22:27" x14ac:dyDescent="0.2">
      <c r="V2314" s="163"/>
      <c r="W2314" s="158" t="str">
        <f t="shared" si="47"/>
        <v>1w</v>
      </c>
      <c r="X2314" s="168">
        <f>_xll.qlCalendarAdvance(Calendar,X2313,W2314,"f",FALSE)</f>
        <v>55366</v>
      </c>
      <c r="Y2314" s="173">
        <f>_xll.qlCalendarAdvance(Calendar,X2314,NDays&amp;"D")</f>
        <v>55366</v>
      </c>
      <c r="Z2314" s="174" t="e">
        <v>#N/A</v>
      </c>
      <c r="AA2314" s="177"/>
    </row>
    <row r="2315" spans="22:27" x14ac:dyDescent="0.2">
      <c r="V2315" s="163"/>
      <c r="W2315" s="158" t="str">
        <f t="shared" si="47"/>
        <v>1w</v>
      </c>
      <c r="X2315" s="168">
        <f>_xll.qlCalendarAdvance(Calendar,X2314,W2315,"f",FALSE)</f>
        <v>55373</v>
      </c>
      <c r="Y2315" s="173">
        <f>_xll.qlCalendarAdvance(Calendar,X2315,NDays&amp;"D")</f>
        <v>55373</v>
      </c>
      <c r="Z2315" s="174" t="e">
        <v>#N/A</v>
      </c>
      <c r="AA2315" s="177"/>
    </row>
    <row r="2316" spans="22:27" x14ac:dyDescent="0.2">
      <c r="V2316" s="163"/>
      <c r="W2316" s="158" t="str">
        <f t="shared" si="47"/>
        <v>1w</v>
      </c>
      <c r="X2316" s="168">
        <f>_xll.qlCalendarAdvance(Calendar,X2315,W2316,"f",FALSE)</f>
        <v>55380</v>
      </c>
      <c r="Y2316" s="173">
        <f>_xll.qlCalendarAdvance(Calendar,X2316,NDays&amp;"D")</f>
        <v>55380</v>
      </c>
      <c r="Z2316" s="174" t="e">
        <v>#N/A</v>
      </c>
      <c r="AA2316" s="177"/>
    </row>
    <row r="2317" spans="22:27" x14ac:dyDescent="0.2">
      <c r="V2317" s="163"/>
      <c r="W2317" s="158" t="str">
        <f t="shared" ref="W2317:W2380" si="48">W2316</f>
        <v>1w</v>
      </c>
      <c r="X2317" s="168">
        <f>_xll.qlCalendarAdvance(Calendar,X2316,W2317,"f",FALSE)</f>
        <v>55387</v>
      </c>
      <c r="Y2317" s="173">
        <f>_xll.qlCalendarAdvance(Calendar,X2317,NDays&amp;"D")</f>
        <v>55387</v>
      </c>
      <c r="Z2317" s="174" t="e">
        <v>#N/A</v>
      </c>
      <c r="AA2317" s="177"/>
    </row>
    <row r="2318" spans="22:27" x14ac:dyDescent="0.2">
      <c r="V2318" s="163"/>
      <c r="W2318" s="158" t="str">
        <f t="shared" si="48"/>
        <v>1w</v>
      </c>
      <c r="X2318" s="168">
        <f>_xll.qlCalendarAdvance(Calendar,X2317,W2318,"f",FALSE)</f>
        <v>55394</v>
      </c>
      <c r="Y2318" s="173">
        <f>_xll.qlCalendarAdvance(Calendar,X2318,NDays&amp;"D")</f>
        <v>55394</v>
      </c>
      <c r="Z2318" s="174" t="e">
        <v>#N/A</v>
      </c>
      <c r="AA2318" s="177"/>
    </row>
    <row r="2319" spans="22:27" x14ac:dyDescent="0.2">
      <c r="V2319" s="163"/>
      <c r="W2319" s="158" t="str">
        <f t="shared" si="48"/>
        <v>1w</v>
      </c>
      <c r="X2319" s="168">
        <f>_xll.qlCalendarAdvance(Calendar,X2318,W2319,"f",FALSE)</f>
        <v>55401</v>
      </c>
      <c r="Y2319" s="173">
        <f>_xll.qlCalendarAdvance(Calendar,X2319,NDays&amp;"D")</f>
        <v>55401</v>
      </c>
      <c r="Z2319" s="174" t="e">
        <v>#N/A</v>
      </c>
      <c r="AA2319" s="177"/>
    </row>
    <row r="2320" spans="22:27" x14ac:dyDescent="0.2">
      <c r="V2320" s="163"/>
      <c r="W2320" s="158" t="str">
        <f t="shared" si="48"/>
        <v>1w</v>
      </c>
      <c r="X2320" s="168">
        <f>_xll.qlCalendarAdvance(Calendar,X2319,W2320,"f",FALSE)</f>
        <v>55408</v>
      </c>
      <c r="Y2320" s="173">
        <f>_xll.qlCalendarAdvance(Calendar,X2320,NDays&amp;"D")</f>
        <v>55408</v>
      </c>
      <c r="Z2320" s="174" t="e">
        <v>#N/A</v>
      </c>
      <c r="AA2320" s="177"/>
    </row>
    <row r="2321" spans="22:27" x14ac:dyDescent="0.2">
      <c r="V2321" s="163"/>
      <c r="W2321" s="158" t="str">
        <f t="shared" si="48"/>
        <v>1w</v>
      </c>
      <c r="X2321" s="168">
        <f>_xll.qlCalendarAdvance(Calendar,X2320,W2321,"f",FALSE)</f>
        <v>55415</v>
      </c>
      <c r="Y2321" s="173">
        <f>_xll.qlCalendarAdvance(Calendar,X2321,NDays&amp;"D")</f>
        <v>55415</v>
      </c>
      <c r="Z2321" s="174" t="e">
        <v>#N/A</v>
      </c>
      <c r="AA2321" s="177"/>
    </row>
    <row r="2322" spans="22:27" x14ac:dyDescent="0.2">
      <c r="V2322" s="163"/>
      <c r="W2322" s="158" t="str">
        <f t="shared" si="48"/>
        <v>1w</v>
      </c>
      <c r="X2322" s="168">
        <f>_xll.qlCalendarAdvance(Calendar,X2321,W2322,"f",FALSE)</f>
        <v>55422</v>
      </c>
      <c r="Y2322" s="173">
        <f>_xll.qlCalendarAdvance(Calendar,X2322,NDays&amp;"D")</f>
        <v>55422</v>
      </c>
      <c r="Z2322" s="174" t="e">
        <v>#N/A</v>
      </c>
      <c r="AA2322" s="177"/>
    </row>
    <row r="2323" spans="22:27" x14ac:dyDescent="0.2">
      <c r="V2323" s="163"/>
      <c r="W2323" s="158" t="str">
        <f t="shared" si="48"/>
        <v>1w</v>
      </c>
      <c r="X2323" s="168">
        <f>_xll.qlCalendarAdvance(Calendar,X2322,W2323,"f",FALSE)</f>
        <v>55429</v>
      </c>
      <c r="Y2323" s="173">
        <f>_xll.qlCalendarAdvance(Calendar,X2323,NDays&amp;"D")</f>
        <v>55429</v>
      </c>
      <c r="Z2323" s="174" t="e">
        <v>#N/A</v>
      </c>
      <c r="AA2323" s="177"/>
    </row>
    <row r="2324" spans="22:27" x14ac:dyDescent="0.2">
      <c r="V2324" s="163"/>
      <c r="W2324" s="158" t="str">
        <f t="shared" si="48"/>
        <v>1w</v>
      </c>
      <c r="X2324" s="168">
        <f>_xll.qlCalendarAdvance(Calendar,X2323,W2324,"f",FALSE)</f>
        <v>55436</v>
      </c>
      <c r="Y2324" s="173">
        <f>_xll.qlCalendarAdvance(Calendar,X2324,NDays&amp;"D")</f>
        <v>55436</v>
      </c>
      <c r="Z2324" s="174" t="e">
        <v>#N/A</v>
      </c>
      <c r="AA2324" s="177"/>
    </row>
    <row r="2325" spans="22:27" x14ac:dyDescent="0.2">
      <c r="V2325" s="163"/>
      <c r="W2325" s="158" t="str">
        <f t="shared" si="48"/>
        <v>1w</v>
      </c>
      <c r="X2325" s="168">
        <f>_xll.qlCalendarAdvance(Calendar,X2324,W2325,"f",FALSE)</f>
        <v>55443</v>
      </c>
      <c r="Y2325" s="173">
        <f>_xll.qlCalendarAdvance(Calendar,X2325,NDays&amp;"D")</f>
        <v>55443</v>
      </c>
      <c r="Z2325" s="174" t="e">
        <v>#N/A</v>
      </c>
      <c r="AA2325" s="177"/>
    </row>
    <row r="2326" spans="22:27" x14ac:dyDescent="0.2">
      <c r="V2326" s="163"/>
      <c r="W2326" s="158" t="str">
        <f t="shared" si="48"/>
        <v>1w</v>
      </c>
      <c r="X2326" s="168">
        <f>_xll.qlCalendarAdvance(Calendar,X2325,W2326,"f",FALSE)</f>
        <v>55450</v>
      </c>
      <c r="Y2326" s="173">
        <f>_xll.qlCalendarAdvance(Calendar,X2326,NDays&amp;"D")</f>
        <v>55450</v>
      </c>
      <c r="Z2326" s="174" t="e">
        <v>#N/A</v>
      </c>
      <c r="AA2326" s="177"/>
    </row>
    <row r="2327" spans="22:27" x14ac:dyDescent="0.2">
      <c r="V2327" s="163"/>
      <c r="W2327" s="158" t="str">
        <f t="shared" si="48"/>
        <v>1w</v>
      </c>
      <c r="X2327" s="168">
        <f>_xll.qlCalendarAdvance(Calendar,X2326,W2327,"f",FALSE)</f>
        <v>55457</v>
      </c>
      <c r="Y2327" s="173">
        <f>_xll.qlCalendarAdvance(Calendar,X2327,NDays&amp;"D")</f>
        <v>55457</v>
      </c>
      <c r="Z2327" s="174" t="e">
        <v>#N/A</v>
      </c>
      <c r="AA2327" s="177"/>
    </row>
    <row r="2328" spans="22:27" x14ac:dyDescent="0.2">
      <c r="V2328" s="163"/>
      <c r="W2328" s="158" t="str">
        <f t="shared" si="48"/>
        <v>1w</v>
      </c>
      <c r="X2328" s="168">
        <f>_xll.qlCalendarAdvance(Calendar,X2327,W2328,"f",FALSE)</f>
        <v>55464</v>
      </c>
      <c r="Y2328" s="173">
        <f>_xll.qlCalendarAdvance(Calendar,X2328,NDays&amp;"D")</f>
        <v>55464</v>
      </c>
      <c r="Z2328" s="174" t="e">
        <v>#N/A</v>
      </c>
      <c r="AA2328" s="177"/>
    </row>
    <row r="2329" spans="22:27" x14ac:dyDescent="0.2">
      <c r="V2329" s="163"/>
      <c r="W2329" s="158" t="str">
        <f t="shared" si="48"/>
        <v>1w</v>
      </c>
      <c r="X2329" s="168">
        <f>_xll.qlCalendarAdvance(Calendar,X2328,W2329,"f",FALSE)</f>
        <v>55471</v>
      </c>
      <c r="Y2329" s="173">
        <f>_xll.qlCalendarAdvance(Calendar,X2329,NDays&amp;"D")</f>
        <v>55471</v>
      </c>
      <c r="Z2329" s="174" t="e">
        <v>#N/A</v>
      </c>
      <c r="AA2329" s="177"/>
    </row>
    <row r="2330" spans="22:27" x14ac:dyDescent="0.2">
      <c r="V2330" s="163"/>
      <c r="W2330" s="158" t="str">
        <f t="shared" si="48"/>
        <v>1w</v>
      </c>
      <c r="X2330" s="168">
        <f>_xll.qlCalendarAdvance(Calendar,X2329,W2330,"f",FALSE)</f>
        <v>55478</v>
      </c>
      <c r="Y2330" s="173">
        <f>_xll.qlCalendarAdvance(Calendar,X2330,NDays&amp;"D")</f>
        <v>55478</v>
      </c>
      <c r="Z2330" s="174" t="e">
        <v>#N/A</v>
      </c>
      <c r="AA2330" s="177"/>
    </row>
    <row r="2331" spans="22:27" x14ac:dyDescent="0.2">
      <c r="V2331" s="163"/>
      <c r="W2331" s="158" t="str">
        <f t="shared" si="48"/>
        <v>1w</v>
      </c>
      <c r="X2331" s="168">
        <f>_xll.qlCalendarAdvance(Calendar,X2330,W2331,"f",FALSE)</f>
        <v>55485</v>
      </c>
      <c r="Y2331" s="173">
        <f>_xll.qlCalendarAdvance(Calendar,X2331,NDays&amp;"D")</f>
        <v>55485</v>
      </c>
      <c r="Z2331" s="174" t="e">
        <v>#N/A</v>
      </c>
      <c r="AA2331" s="177"/>
    </row>
    <row r="2332" spans="22:27" x14ac:dyDescent="0.2">
      <c r="V2332" s="163"/>
      <c r="W2332" s="158" t="str">
        <f t="shared" si="48"/>
        <v>1w</v>
      </c>
      <c r="X2332" s="168">
        <f>_xll.qlCalendarAdvance(Calendar,X2331,W2332,"f",FALSE)</f>
        <v>55492</v>
      </c>
      <c r="Y2332" s="173">
        <f>_xll.qlCalendarAdvance(Calendar,X2332,NDays&amp;"D")</f>
        <v>55492</v>
      </c>
      <c r="Z2332" s="174" t="e">
        <v>#N/A</v>
      </c>
      <c r="AA2332" s="177"/>
    </row>
    <row r="2333" spans="22:27" x14ac:dyDescent="0.2">
      <c r="V2333" s="163"/>
      <c r="W2333" s="158" t="str">
        <f t="shared" si="48"/>
        <v>1w</v>
      </c>
      <c r="X2333" s="168">
        <f>_xll.qlCalendarAdvance(Calendar,X2332,W2333,"f",FALSE)</f>
        <v>55499</v>
      </c>
      <c r="Y2333" s="173">
        <f>_xll.qlCalendarAdvance(Calendar,X2333,NDays&amp;"D")</f>
        <v>55499</v>
      </c>
      <c r="Z2333" s="174" t="e">
        <v>#N/A</v>
      </c>
      <c r="AA2333" s="177"/>
    </row>
    <row r="2334" spans="22:27" x14ac:dyDescent="0.2">
      <c r="V2334" s="163"/>
      <c r="W2334" s="158" t="str">
        <f t="shared" si="48"/>
        <v>1w</v>
      </c>
      <c r="X2334" s="168">
        <f>_xll.qlCalendarAdvance(Calendar,X2333,W2334,"f",FALSE)</f>
        <v>55506</v>
      </c>
      <c r="Y2334" s="173">
        <f>_xll.qlCalendarAdvance(Calendar,X2334,NDays&amp;"D")</f>
        <v>55506</v>
      </c>
      <c r="Z2334" s="174" t="e">
        <v>#N/A</v>
      </c>
      <c r="AA2334" s="177"/>
    </row>
    <row r="2335" spans="22:27" x14ac:dyDescent="0.2">
      <c r="V2335" s="163"/>
      <c r="W2335" s="158" t="str">
        <f t="shared" si="48"/>
        <v>1w</v>
      </c>
      <c r="X2335" s="168">
        <f>_xll.qlCalendarAdvance(Calendar,X2334,W2335,"f",FALSE)</f>
        <v>55513</v>
      </c>
      <c r="Y2335" s="173">
        <f>_xll.qlCalendarAdvance(Calendar,X2335,NDays&amp;"D")</f>
        <v>55513</v>
      </c>
      <c r="Z2335" s="174" t="e">
        <v>#N/A</v>
      </c>
      <c r="AA2335" s="177"/>
    </row>
    <row r="2336" spans="22:27" x14ac:dyDescent="0.2">
      <c r="V2336" s="163"/>
      <c r="W2336" s="158" t="str">
        <f t="shared" si="48"/>
        <v>1w</v>
      </c>
      <c r="X2336" s="168">
        <f>_xll.qlCalendarAdvance(Calendar,X2335,W2336,"f",FALSE)</f>
        <v>55522</v>
      </c>
      <c r="Y2336" s="173">
        <f>_xll.qlCalendarAdvance(Calendar,X2336,NDays&amp;"D")</f>
        <v>55522</v>
      </c>
      <c r="Z2336" s="174" t="e">
        <v>#N/A</v>
      </c>
      <c r="AA2336" s="177"/>
    </row>
    <row r="2337" spans="22:27" x14ac:dyDescent="0.2">
      <c r="V2337" s="163"/>
      <c r="W2337" s="158" t="str">
        <f t="shared" si="48"/>
        <v>1w</v>
      </c>
      <c r="X2337" s="168">
        <f>_xll.qlCalendarAdvance(Calendar,X2336,W2337,"f",FALSE)</f>
        <v>55529</v>
      </c>
      <c r="Y2337" s="173">
        <f>_xll.qlCalendarAdvance(Calendar,X2337,NDays&amp;"D")</f>
        <v>55529</v>
      </c>
      <c r="Z2337" s="174" t="e">
        <v>#N/A</v>
      </c>
      <c r="AA2337" s="177"/>
    </row>
    <row r="2338" spans="22:27" x14ac:dyDescent="0.2">
      <c r="V2338" s="163"/>
      <c r="W2338" s="158" t="str">
        <f t="shared" si="48"/>
        <v>1w</v>
      </c>
      <c r="X2338" s="168">
        <f>_xll.qlCalendarAdvance(Calendar,X2337,W2338,"f",FALSE)</f>
        <v>55536</v>
      </c>
      <c r="Y2338" s="173">
        <f>_xll.qlCalendarAdvance(Calendar,X2338,NDays&amp;"D")</f>
        <v>55536</v>
      </c>
      <c r="Z2338" s="174" t="e">
        <v>#N/A</v>
      </c>
      <c r="AA2338" s="177"/>
    </row>
    <row r="2339" spans="22:27" x14ac:dyDescent="0.2">
      <c r="V2339" s="163"/>
      <c r="W2339" s="158" t="str">
        <f t="shared" si="48"/>
        <v>1w</v>
      </c>
      <c r="X2339" s="168">
        <f>_xll.qlCalendarAdvance(Calendar,X2338,W2339,"f",FALSE)</f>
        <v>55543</v>
      </c>
      <c r="Y2339" s="173">
        <f>_xll.qlCalendarAdvance(Calendar,X2339,NDays&amp;"D")</f>
        <v>55543</v>
      </c>
      <c r="Z2339" s="174" t="e">
        <v>#N/A</v>
      </c>
      <c r="AA2339" s="177"/>
    </row>
    <row r="2340" spans="22:27" x14ac:dyDescent="0.2">
      <c r="V2340" s="163"/>
      <c r="W2340" s="158" t="str">
        <f t="shared" si="48"/>
        <v>1w</v>
      </c>
      <c r="X2340" s="168">
        <f>_xll.qlCalendarAdvance(Calendar,X2339,W2340,"f",FALSE)</f>
        <v>55550</v>
      </c>
      <c r="Y2340" s="173">
        <f>_xll.qlCalendarAdvance(Calendar,X2340,NDays&amp;"D")</f>
        <v>55550</v>
      </c>
      <c r="Z2340" s="174" t="e">
        <v>#N/A</v>
      </c>
      <c r="AA2340" s="177"/>
    </row>
    <row r="2341" spans="22:27" x14ac:dyDescent="0.2">
      <c r="V2341" s="163"/>
      <c r="W2341" s="158" t="str">
        <f t="shared" si="48"/>
        <v>1w</v>
      </c>
      <c r="X2341" s="168">
        <f>_xll.qlCalendarAdvance(Calendar,X2340,W2341,"f",FALSE)</f>
        <v>55557</v>
      </c>
      <c r="Y2341" s="173">
        <f>_xll.qlCalendarAdvance(Calendar,X2341,NDays&amp;"D")</f>
        <v>55557</v>
      </c>
      <c r="Z2341" s="174" t="e">
        <v>#N/A</v>
      </c>
      <c r="AA2341" s="177"/>
    </row>
    <row r="2342" spans="22:27" x14ac:dyDescent="0.2">
      <c r="V2342" s="163"/>
      <c r="W2342" s="158" t="str">
        <f t="shared" si="48"/>
        <v>1w</v>
      </c>
      <c r="X2342" s="168">
        <f>_xll.qlCalendarAdvance(Calendar,X2341,W2342,"f",FALSE)</f>
        <v>55564</v>
      </c>
      <c r="Y2342" s="173">
        <f>_xll.qlCalendarAdvance(Calendar,X2342,NDays&amp;"D")</f>
        <v>55564</v>
      </c>
      <c r="Z2342" s="174" t="e">
        <v>#N/A</v>
      </c>
      <c r="AA2342" s="177"/>
    </row>
    <row r="2343" spans="22:27" x14ac:dyDescent="0.2">
      <c r="V2343" s="163"/>
      <c r="W2343" s="158" t="str">
        <f t="shared" si="48"/>
        <v>1w</v>
      </c>
      <c r="X2343" s="168">
        <f>_xll.qlCalendarAdvance(Calendar,X2342,W2343,"f",FALSE)</f>
        <v>55571</v>
      </c>
      <c r="Y2343" s="173">
        <f>_xll.qlCalendarAdvance(Calendar,X2343,NDays&amp;"D")</f>
        <v>55571</v>
      </c>
      <c r="Z2343" s="174" t="e">
        <v>#N/A</v>
      </c>
      <c r="AA2343" s="177"/>
    </row>
    <row r="2344" spans="22:27" x14ac:dyDescent="0.2">
      <c r="V2344" s="163"/>
      <c r="W2344" s="158" t="str">
        <f t="shared" si="48"/>
        <v>1w</v>
      </c>
      <c r="X2344" s="168">
        <f>_xll.qlCalendarAdvance(Calendar,X2343,W2344,"f",FALSE)</f>
        <v>55578</v>
      </c>
      <c r="Y2344" s="173">
        <f>_xll.qlCalendarAdvance(Calendar,X2344,NDays&amp;"D")</f>
        <v>55578</v>
      </c>
      <c r="Z2344" s="174" t="e">
        <v>#N/A</v>
      </c>
      <c r="AA2344" s="177"/>
    </row>
    <row r="2345" spans="22:27" x14ac:dyDescent="0.2">
      <c r="V2345" s="163"/>
      <c r="W2345" s="158" t="str">
        <f t="shared" si="48"/>
        <v>1w</v>
      </c>
      <c r="X2345" s="168">
        <f>_xll.qlCalendarAdvance(Calendar,X2344,W2345,"f",FALSE)</f>
        <v>55585</v>
      </c>
      <c r="Y2345" s="173">
        <f>_xll.qlCalendarAdvance(Calendar,X2345,NDays&amp;"D")</f>
        <v>55585</v>
      </c>
      <c r="Z2345" s="174" t="e">
        <v>#N/A</v>
      </c>
      <c r="AA2345" s="177"/>
    </row>
    <row r="2346" spans="22:27" x14ac:dyDescent="0.2">
      <c r="V2346" s="163"/>
      <c r="W2346" s="158" t="str">
        <f t="shared" si="48"/>
        <v>1w</v>
      </c>
      <c r="X2346" s="168">
        <f>_xll.qlCalendarAdvance(Calendar,X2345,W2346,"f",FALSE)</f>
        <v>55592</v>
      </c>
      <c r="Y2346" s="173">
        <f>_xll.qlCalendarAdvance(Calendar,X2346,NDays&amp;"D")</f>
        <v>55592</v>
      </c>
      <c r="Z2346" s="174" t="e">
        <v>#N/A</v>
      </c>
      <c r="AA2346" s="177"/>
    </row>
    <row r="2347" spans="22:27" x14ac:dyDescent="0.2">
      <c r="V2347" s="163"/>
      <c r="W2347" s="158" t="str">
        <f t="shared" si="48"/>
        <v>1w</v>
      </c>
      <c r="X2347" s="168">
        <f>_xll.qlCalendarAdvance(Calendar,X2346,W2347,"f",FALSE)</f>
        <v>55599</v>
      </c>
      <c r="Y2347" s="173">
        <f>_xll.qlCalendarAdvance(Calendar,X2347,NDays&amp;"D")</f>
        <v>55599</v>
      </c>
      <c r="Z2347" s="174" t="e">
        <v>#N/A</v>
      </c>
      <c r="AA2347" s="177"/>
    </row>
    <row r="2348" spans="22:27" x14ac:dyDescent="0.2">
      <c r="V2348" s="163"/>
      <c r="W2348" s="158" t="str">
        <f t="shared" si="48"/>
        <v>1w</v>
      </c>
      <c r="X2348" s="168">
        <f>_xll.qlCalendarAdvance(Calendar,X2347,W2348,"f",FALSE)</f>
        <v>55606</v>
      </c>
      <c r="Y2348" s="173">
        <f>_xll.qlCalendarAdvance(Calendar,X2348,NDays&amp;"D")</f>
        <v>55606</v>
      </c>
      <c r="Z2348" s="174" t="e">
        <v>#N/A</v>
      </c>
      <c r="AA2348" s="177"/>
    </row>
    <row r="2349" spans="22:27" x14ac:dyDescent="0.2">
      <c r="V2349" s="163"/>
      <c r="W2349" s="158" t="str">
        <f t="shared" si="48"/>
        <v>1w</v>
      </c>
      <c r="X2349" s="168">
        <f>_xll.qlCalendarAdvance(Calendar,X2348,W2349,"f",FALSE)</f>
        <v>55613</v>
      </c>
      <c r="Y2349" s="173">
        <f>_xll.qlCalendarAdvance(Calendar,X2349,NDays&amp;"D")</f>
        <v>55613</v>
      </c>
      <c r="Z2349" s="174" t="e">
        <v>#N/A</v>
      </c>
      <c r="AA2349" s="177"/>
    </row>
    <row r="2350" spans="22:27" x14ac:dyDescent="0.2">
      <c r="V2350" s="163"/>
      <c r="W2350" s="158" t="str">
        <f t="shared" si="48"/>
        <v>1w</v>
      </c>
      <c r="X2350" s="168">
        <f>_xll.qlCalendarAdvance(Calendar,X2349,W2350,"f",FALSE)</f>
        <v>55620</v>
      </c>
      <c r="Y2350" s="173">
        <f>_xll.qlCalendarAdvance(Calendar,X2350,NDays&amp;"D")</f>
        <v>55620</v>
      </c>
      <c r="Z2350" s="174" t="e">
        <v>#N/A</v>
      </c>
      <c r="AA2350" s="177"/>
    </row>
    <row r="2351" spans="22:27" x14ac:dyDescent="0.2">
      <c r="V2351" s="163"/>
      <c r="W2351" s="158" t="str">
        <f t="shared" si="48"/>
        <v>1w</v>
      </c>
      <c r="X2351" s="168">
        <f>_xll.qlCalendarAdvance(Calendar,X2350,W2351,"f",FALSE)</f>
        <v>55627</v>
      </c>
      <c r="Y2351" s="173">
        <f>_xll.qlCalendarAdvance(Calendar,X2351,NDays&amp;"D")</f>
        <v>55627</v>
      </c>
      <c r="Z2351" s="174" t="e">
        <v>#N/A</v>
      </c>
      <c r="AA2351" s="177"/>
    </row>
    <row r="2352" spans="22:27" x14ac:dyDescent="0.2">
      <c r="V2352" s="163"/>
      <c r="W2352" s="158" t="str">
        <f t="shared" si="48"/>
        <v>1w</v>
      </c>
      <c r="X2352" s="168">
        <f>_xll.qlCalendarAdvance(Calendar,X2351,W2352,"f",FALSE)</f>
        <v>55634</v>
      </c>
      <c r="Y2352" s="173">
        <f>_xll.qlCalendarAdvance(Calendar,X2352,NDays&amp;"D")</f>
        <v>55634</v>
      </c>
      <c r="Z2352" s="174" t="e">
        <v>#N/A</v>
      </c>
      <c r="AA2352" s="177"/>
    </row>
    <row r="2353" spans="22:27" x14ac:dyDescent="0.2">
      <c r="V2353" s="163"/>
      <c r="W2353" s="158" t="str">
        <f t="shared" si="48"/>
        <v>1w</v>
      </c>
      <c r="X2353" s="168">
        <f>_xll.qlCalendarAdvance(Calendar,X2352,W2353,"f",FALSE)</f>
        <v>55641</v>
      </c>
      <c r="Y2353" s="173">
        <f>_xll.qlCalendarAdvance(Calendar,X2353,NDays&amp;"D")</f>
        <v>55641</v>
      </c>
      <c r="Z2353" s="174" t="e">
        <v>#N/A</v>
      </c>
      <c r="AA2353" s="177"/>
    </row>
    <row r="2354" spans="22:27" x14ac:dyDescent="0.2">
      <c r="V2354" s="163"/>
      <c r="W2354" s="158" t="str">
        <f t="shared" si="48"/>
        <v>1w</v>
      </c>
      <c r="X2354" s="168">
        <f>_xll.qlCalendarAdvance(Calendar,X2353,W2354,"f",FALSE)</f>
        <v>55648</v>
      </c>
      <c r="Y2354" s="173">
        <f>_xll.qlCalendarAdvance(Calendar,X2354,NDays&amp;"D")</f>
        <v>55648</v>
      </c>
      <c r="Z2354" s="174" t="e">
        <v>#N/A</v>
      </c>
      <c r="AA2354" s="177"/>
    </row>
    <row r="2355" spans="22:27" x14ac:dyDescent="0.2">
      <c r="V2355" s="163"/>
      <c r="W2355" s="158" t="str">
        <f t="shared" si="48"/>
        <v>1w</v>
      </c>
      <c r="X2355" s="168">
        <f>_xll.qlCalendarAdvance(Calendar,X2354,W2355,"f",FALSE)</f>
        <v>55655</v>
      </c>
      <c r="Y2355" s="173">
        <f>_xll.qlCalendarAdvance(Calendar,X2355,NDays&amp;"D")</f>
        <v>55655</v>
      </c>
      <c r="Z2355" s="174" t="e">
        <v>#N/A</v>
      </c>
      <c r="AA2355" s="177"/>
    </row>
    <row r="2356" spans="22:27" x14ac:dyDescent="0.2">
      <c r="V2356" s="163"/>
      <c r="W2356" s="158" t="str">
        <f t="shared" si="48"/>
        <v>1w</v>
      </c>
      <c r="X2356" s="168">
        <f>_xll.qlCalendarAdvance(Calendar,X2355,W2356,"f",FALSE)</f>
        <v>55662</v>
      </c>
      <c r="Y2356" s="173">
        <f>_xll.qlCalendarAdvance(Calendar,X2356,NDays&amp;"D")</f>
        <v>55662</v>
      </c>
      <c r="Z2356" s="174" t="e">
        <v>#N/A</v>
      </c>
      <c r="AA2356" s="177"/>
    </row>
    <row r="2357" spans="22:27" x14ac:dyDescent="0.2">
      <c r="V2357" s="163"/>
      <c r="W2357" s="158" t="str">
        <f t="shared" si="48"/>
        <v>1w</v>
      </c>
      <c r="X2357" s="168">
        <f>_xll.qlCalendarAdvance(Calendar,X2356,W2357,"f",FALSE)</f>
        <v>55669</v>
      </c>
      <c r="Y2357" s="173">
        <f>_xll.qlCalendarAdvance(Calendar,X2357,NDays&amp;"D")</f>
        <v>55669</v>
      </c>
      <c r="Z2357" s="174" t="e">
        <v>#N/A</v>
      </c>
      <c r="AA2357" s="177"/>
    </row>
    <row r="2358" spans="22:27" x14ac:dyDescent="0.2">
      <c r="V2358" s="163"/>
      <c r="W2358" s="158" t="str">
        <f t="shared" si="48"/>
        <v>1w</v>
      </c>
      <c r="X2358" s="168">
        <f>_xll.qlCalendarAdvance(Calendar,X2357,W2358,"f",FALSE)</f>
        <v>55676</v>
      </c>
      <c r="Y2358" s="173">
        <f>_xll.qlCalendarAdvance(Calendar,X2358,NDays&amp;"D")</f>
        <v>55676</v>
      </c>
      <c r="Z2358" s="174" t="e">
        <v>#N/A</v>
      </c>
      <c r="AA2358" s="177"/>
    </row>
    <row r="2359" spans="22:27" x14ac:dyDescent="0.2">
      <c r="V2359" s="163"/>
      <c r="W2359" s="158" t="str">
        <f t="shared" si="48"/>
        <v>1w</v>
      </c>
      <c r="X2359" s="168">
        <f>_xll.qlCalendarAdvance(Calendar,X2358,W2359,"f",FALSE)</f>
        <v>55683</v>
      </c>
      <c r="Y2359" s="173">
        <f>_xll.qlCalendarAdvance(Calendar,X2359,NDays&amp;"D")</f>
        <v>55683</v>
      </c>
      <c r="Z2359" s="174" t="e">
        <v>#N/A</v>
      </c>
      <c r="AA2359" s="177"/>
    </row>
    <row r="2360" spans="22:27" x14ac:dyDescent="0.2">
      <c r="V2360" s="163"/>
      <c r="W2360" s="158" t="str">
        <f t="shared" si="48"/>
        <v>1w</v>
      </c>
      <c r="X2360" s="168">
        <f>_xll.qlCalendarAdvance(Calendar,X2359,W2360,"f",FALSE)</f>
        <v>55690</v>
      </c>
      <c r="Y2360" s="173">
        <f>_xll.qlCalendarAdvance(Calendar,X2360,NDays&amp;"D")</f>
        <v>55690</v>
      </c>
      <c r="Z2360" s="174" t="e">
        <v>#N/A</v>
      </c>
      <c r="AA2360" s="177"/>
    </row>
    <row r="2361" spans="22:27" x14ac:dyDescent="0.2">
      <c r="V2361" s="163"/>
      <c r="W2361" s="158" t="str">
        <f t="shared" si="48"/>
        <v>1w</v>
      </c>
      <c r="X2361" s="168">
        <f>_xll.qlCalendarAdvance(Calendar,X2360,W2361,"f",FALSE)</f>
        <v>55697</v>
      </c>
      <c r="Y2361" s="173">
        <f>_xll.qlCalendarAdvance(Calendar,X2361,NDays&amp;"D")</f>
        <v>55697</v>
      </c>
      <c r="Z2361" s="174" t="e">
        <v>#N/A</v>
      </c>
      <c r="AA2361" s="177"/>
    </row>
    <row r="2362" spans="22:27" x14ac:dyDescent="0.2">
      <c r="V2362" s="163"/>
      <c r="W2362" s="158" t="str">
        <f t="shared" si="48"/>
        <v>1w</v>
      </c>
      <c r="X2362" s="168">
        <f>_xll.qlCalendarAdvance(Calendar,X2361,W2362,"f",FALSE)</f>
        <v>55704</v>
      </c>
      <c r="Y2362" s="173">
        <f>_xll.qlCalendarAdvance(Calendar,X2362,NDays&amp;"D")</f>
        <v>55704</v>
      </c>
      <c r="Z2362" s="174" t="e">
        <v>#N/A</v>
      </c>
      <c r="AA2362" s="177"/>
    </row>
    <row r="2363" spans="22:27" x14ac:dyDescent="0.2">
      <c r="V2363" s="163"/>
      <c r="W2363" s="158" t="str">
        <f t="shared" si="48"/>
        <v>1w</v>
      </c>
      <c r="X2363" s="168">
        <f>_xll.qlCalendarAdvance(Calendar,X2362,W2363,"f",FALSE)</f>
        <v>55711</v>
      </c>
      <c r="Y2363" s="173">
        <f>_xll.qlCalendarAdvance(Calendar,X2363,NDays&amp;"D")</f>
        <v>55711</v>
      </c>
      <c r="Z2363" s="174" t="e">
        <v>#N/A</v>
      </c>
      <c r="AA2363" s="177"/>
    </row>
    <row r="2364" spans="22:27" x14ac:dyDescent="0.2">
      <c r="V2364" s="163"/>
      <c r="W2364" s="158" t="str">
        <f t="shared" si="48"/>
        <v>1w</v>
      </c>
      <c r="X2364" s="168">
        <f>_xll.qlCalendarAdvance(Calendar,X2363,W2364,"f",FALSE)</f>
        <v>55718</v>
      </c>
      <c r="Y2364" s="173">
        <f>_xll.qlCalendarAdvance(Calendar,X2364,NDays&amp;"D")</f>
        <v>55718</v>
      </c>
      <c r="Z2364" s="174" t="e">
        <v>#N/A</v>
      </c>
      <c r="AA2364" s="177"/>
    </row>
    <row r="2365" spans="22:27" x14ac:dyDescent="0.2">
      <c r="V2365" s="163"/>
      <c r="W2365" s="158" t="str">
        <f t="shared" si="48"/>
        <v>1w</v>
      </c>
      <c r="X2365" s="168">
        <f>_xll.qlCalendarAdvance(Calendar,X2364,W2365,"f",FALSE)</f>
        <v>55725</v>
      </c>
      <c r="Y2365" s="173">
        <f>_xll.qlCalendarAdvance(Calendar,X2365,NDays&amp;"D")</f>
        <v>55725</v>
      </c>
      <c r="Z2365" s="174" t="e">
        <v>#N/A</v>
      </c>
      <c r="AA2365" s="177"/>
    </row>
    <row r="2366" spans="22:27" x14ac:dyDescent="0.2">
      <c r="V2366" s="163"/>
      <c r="W2366" s="158" t="str">
        <f t="shared" si="48"/>
        <v>1w</v>
      </c>
      <c r="X2366" s="168">
        <f>_xll.qlCalendarAdvance(Calendar,X2365,W2366,"f",FALSE)</f>
        <v>55732</v>
      </c>
      <c r="Y2366" s="173">
        <f>_xll.qlCalendarAdvance(Calendar,X2366,NDays&amp;"D")</f>
        <v>55732</v>
      </c>
      <c r="Z2366" s="174" t="e">
        <v>#N/A</v>
      </c>
      <c r="AA2366" s="177"/>
    </row>
    <row r="2367" spans="22:27" x14ac:dyDescent="0.2">
      <c r="V2367" s="163"/>
      <c r="W2367" s="158" t="str">
        <f t="shared" si="48"/>
        <v>1w</v>
      </c>
      <c r="X2367" s="168">
        <f>_xll.qlCalendarAdvance(Calendar,X2366,W2367,"f",FALSE)</f>
        <v>55739</v>
      </c>
      <c r="Y2367" s="173">
        <f>_xll.qlCalendarAdvance(Calendar,X2367,NDays&amp;"D")</f>
        <v>55739</v>
      </c>
      <c r="Z2367" s="174" t="e">
        <v>#N/A</v>
      </c>
      <c r="AA2367" s="177"/>
    </row>
    <row r="2368" spans="22:27" x14ac:dyDescent="0.2">
      <c r="V2368" s="163"/>
      <c r="W2368" s="158" t="str">
        <f t="shared" si="48"/>
        <v>1w</v>
      </c>
      <c r="X2368" s="168">
        <f>_xll.qlCalendarAdvance(Calendar,X2367,W2368,"f",FALSE)</f>
        <v>55746</v>
      </c>
      <c r="Y2368" s="173">
        <f>_xll.qlCalendarAdvance(Calendar,X2368,NDays&amp;"D")</f>
        <v>55746</v>
      </c>
      <c r="Z2368" s="174" t="e">
        <v>#N/A</v>
      </c>
      <c r="AA2368" s="177"/>
    </row>
    <row r="2369" spans="22:27" x14ac:dyDescent="0.2">
      <c r="V2369" s="163"/>
      <c r="W2369" s="158" t="str">
        <f t="shared" si="48"/>
        <v>1w</v>
      </c>
      <c r="X2369" s="168">
        <f>_xll.qlCalendarAdvance(Calendar,X2368,W2369,"f",FALSE)</f>
        <v>55753</v>
      </c>
      <c r="Y2369" s="173">
        <f>_xll.qlCalendarAdvance(Calendar,X2369,NDays&amp;"D")</f>
        <v>55753</v>
      </c>
      <c r="Z2369" s="174" t="e">
        <v>#N/A</v>
      </c>
      <c r="AA2369" s="177"/>
    </row>
    <row r="2370" spans="22:27" x14ac:dyDescent="0.2">
      <c r="V2370" s="163"/>
      <c r="W2370" s="158" t="str">
        <f t="shared" si="48"/>
        <v>1w</v>
      </c>
      <c r="X2370" s="168">
        <f>_xll.qlCalendarAdvance(Calendar,X2369,W2370,"f",FALSE)</f>
        <v>55760</v>
      </c>
      <c r="Y2370" s="173">
        <f>_xll.qlCalendarAdvance(Calendar,X2370,NDays&amp;"D")</f>
        <v>55760</v>
      </c>
      <c r="Z2370" s="174" t="e">
        <v>#N/A</v>
      </c>
      <c r="AA2370" s="177"/>
    </row>
    <row r="2371" spans="22:27" x14ac:dyDescent="0.2">
      <c r="V2371" s="163"/>
      <c r="W2371" s="158" t="str">
        <f t="shared" si="48"/>
        <v>1w</v>
      </c>
      <c r="X2371" s="168">
        <f>_xll.qlCalendarAdvance(Calendar,X2370,W2371,"f",FALSE)</f>
        <v>55767</v>
      </c>
      <c r="Y2371" s="173">
        <f>_xll.qlCalendarAdvance(Calendar,X2371,NDays&amp;"D")</f>
        <v>55767</v>
      </c>
      <c r="Z2371" s="174" t="e">
        <v>#N/A</v>
      </c>
      <c r="AA2371" s="177"/>
    </row>
    <row r="2372" spans="22:27" x14ac:dyDescent="0.2">
      <c r="V2372" s="163"/>
      <c r="W2372" s="158" t="str">
        <f t="shared" si="48"/>
        <v>1w</v>
      </c>
      <c r="X2372" s="168">
        <f>_xll.qlCalendarAdvance(Calendar,X2371,W2372,"f",FALSE)</f>
        <v>55774</v>
      </c>
      <c r="Y2372" s="173">
        <f>_xll.qlCalendarAdvance(Calendar,X2372,NDays&amp;"D")</f>
        <v>55774</v>
      </c>
      <c r="Z2372" s="174" t="e">
        <v>#N/A</v>
      </c>
      <c r="AA2372" s="177"/>
    </row>
    <row r="2373" spans="22:27" x14ac:dyDescent="0.2">
      <c r="V2373" s="163"/>
      <c r="W2373" s="158" t="str">
        <f t="shared" si="48"/>
        <v>1w</v>
      </c>
      <c r="X2373" s="168">
        <f>_xll.qlCalendarAdvance(Calendar,X2372,W2373,"f",FALSE)</f>
        <v>55781</v>
      </c>
      <c r="Y2373" s="173">
        <f>_xll.qlCalendarAdvance(Calendar,X2373,NDays&amp;"D")</f>
        <v>55781</v>
      </c>
      <c r="Z2373" s="174" t="e">
        <v>#N/A</v>
      </c>
      <c r="AA2373" s="177"/>
    </row>
    <row r="2374" spans="22:27" x14ac:dyDescent="0.2">
      <c r="V2374" s="163"/>
      <c r="W2374" s="158" t="str">
        <f t="shared" si="48"/>
        <v>1w</v>
      </c>
      <c r="X2374" s="168">
        <f>_xll.qlCalendarAdvance(Calendar,X2373,W2374,"f",FALSE)</f>
        <v>55788</v>
      </c>
      <c r="Y2374" s="173">
        <f>_xll.qlCalendarAdvance(Calendar,X2374,NDays&amp;"D")</f>
        <v>55788</v>
      </c>
      <c r="Z2374" s="174" t="e">
        <v>#N/A</v>
      </c>
      <c r="AA2374" s="177"/>
    </row>
    <row r="2375" spans="22:27" x14ac:dyDescent="0.2">
      <c r="V2375" s="163"/>
      <c r="W2375" s="158" t="str">
        <f t="shared" si="48"/>
        <v>1w</v>
      </c>
      <c r="X2375" s="168">
        <f>_xll.qlCalendarAdvance(Calendar,X2374,W2375,"f",FALSE)</f>
        <v>55795</v>
      </c>
      <c r="Y2375" s="173">
        <f>_xll.qlCalendarAdvance(Calendar,X2375,NDays&amp;"D")</f>
        <v>55795</v>
      </c>
      <c r="Z2375" s="174" t="e">
        <v>#N/A</v>
      </c>
      <c r="AA2375" s="177"/>
    </row>
    <row r="2376" spans="22:27" x14ac:dyDescent="0.2">
      <c r="V2376" s="163"/>
      <c r="W2376" s="158" t="str">
        <f t="shared" si="48"/>
        <v>1w</v>
      </c>
      <c r="X2376" s="168">
        <f>_xll.qlCalendarAdvance(Calendar,X2375,W2376,"f",FALSE)</f>
        <v>55802</v>
      </c>
      <c r="Y2376" s="173">
        <f>_xll.qlCalendarAdvance(Calendar,X2376,NDays&amp;"D")</f>
        <v>55802</v>
      </c>
      <c r="Z2376" s="174" t="e">
        <v>#N/A</v>
      </c>
      <c r="AA2376" s="177"/>
    </row>
    <row r="2377" spans="22:27" x14ac:dyDescent="0.2">
      <c r="V2377" s="163"/>
      <c r="W2377" s="158" t="str">
        <f t="shared" si="48"/>
        <v>1w</v>
      </c>
      <c r="X2377" s="168">
        <f>_xll.qlCalendarAdvance(Calendar,X2376,W2377,"f",FALSE)</f>
        <v>55809</v>
      </c>
      <c r="Y2377" s="173">
        <f>_xll.qlCalendarAdvance(Calendar,X2377,NDays&amp;"D")</f>
        <v>55809</v>
      </c>
      <c r="Z2377" s="174" t="e">
        <v>#N/A</v>
      </c>
      <c r="AA2377" s="177"/>
    </row>
    <row r="2378" spans="22:27" x14ac:dyDescent="0.2">
      <c r="V2378" s="163"/>
      <c r="W2378" s="158" t="str">
        <f t="shared" si="48"/>
        <v>1w</v>
      </c>
      <c r="X2378" s="168">
        <f>_xll.qlCalendarAdvance(Calendar,X2377,W2378,"f",FALSE)</f>
        <v>55816</v>
      </c>
      <c r="Y2378" s="173">
        <f>_xll.qlCalendarAdvance(Calendar,X2378,NDays&amp;"D")</f>
        <v>55816</v>
      </c>
      <c r="Z2378" s="174" t="e">
        <v>#N/A</v>
      </c>
      <c r="AA2378" s="177"/>
    </row>
    <row r="2379" spans="22:27" x14ac:dyDescent="0.2">
      <c r="V2379" s="163"/>
      <c r="W2379" s="158" t="str">
        <f t="shared" si="48"/>
        <v>1w</v>
      </c>
      <c r="X2379" s="168">
        <f>_xll.qlCalendarAdvance(Calendar,X2378,W2379,"f",FALSE)</f>
        <v>55823</v>
      </c>
      <c r="Y2379" s="173">
        <f>_xll.qlCalendarAdvance(Calendar,X2379,NDays&amp;"D")</f>
        <v>55823</v>
      </c>
      <c r="Z2379" s="174" t="e">
        <v>#N/A</v>
      </c>
      <c r="AA2379" s="177"/>
    </row>
    <row r="2380" spans="22:27" x14ac:dyDescent="0.2">
      <c r="V2380" s="163"/>
      <c r="W2380" s="158" t="str">
        <f t="shared" si="48"/>
        <v>1w</v>
      </c>
      <c r="X2380" s="168">
        <f>_xll.qlCalendarAdvance(Calendar,X2379,W2380,"f",FALSE)</f>
        <v>55830</v>
      </c>
      <c r="Y2380" s="173">
        <f>_xll.qlCalendarAdvance(Calendar,X2380,NDays&amp;"D")</f>
        <v>55830</v>
      </c>
      <c r="Z2380" s="174" t="e">
        <v>#N/A</v>
      </c>
      <c r="AA2380" s="177"/>
    </row>
    <row r="2381" spans="22:27" x14ac:dyDescent="0.2">
      <c r="V2381" s="163"/>
      <c r="W2381" s="158" t="str">
        <f t="shared" ref="W2381:W2444" si="49">W2380</f>
        <v>1w</v>
      </c>
      <c r="X2381" s="168">
        <f>_xll.qlCalendarAdvance(Calendar,X2380,W2381,"f",FALSE)</f>
        <v>55837</v>
      </c>
      <c r="Y2381" s="173">
        <f>_xll.qlCalendarAdvance(Calendar,X2381,NDays&amp;"D")</f>
        <v>55837</v>
      </c>
      <c r="Z2381" s="174" t="e">
        <v>#N/A</v>
      </c>
      <c r="AA2381" s="177"/>
    </row>
    <row r="2382" spans="22:27" x14ac:dyDescent="0.2">
      <c r="V2382" s="163"/>
      <c r="W2382" s="158" t="str">
        <f t="shared" si="49"/>
        <v>1w</v>
      </c>
      <c r="X2382" s="168">
        <f>_xll.qlCalendarAdvance(Calendar,X2381,W2382,"f",FALSE)</f>
        <v>55844</v>
      </c>
      <c r="Y2382" s="173">
        <f>_xll.qlCalendarAdvance(Calendar,X2382,NDays&amp;"D")</f>
        <v>55844</v>
      </c>
      <c r="Z2382" s="174" t="e">
        <v>#N/A</v>
      </c>
      <c r="AA2382" s="177"/>
    </row>
    <row r="2383" spans="22:27" x14ac:dyDescent="0.2">
      <c r="V2383" s="163"/>
      <c r="W2383" s="158" t="str">
        <f t="shared" si="49"/>
        <v>1w</v>
      </c>
      <c r="X2383" s="168">
        <f>_xll.qlCalendarAdvance(Calendar,X2382,W2383,"f",FALSE)</f>
        <v>55851</v>
      </c>
      <c r="Y2383" s="173">
        <f>_xll.qlCalendarAdvance(Calendar,X2383,NDays&amp;"D")</f>
        <v>55851</v>
      </c>
      <c r="Z2383" s="174" t="e">
        <v>#N/A</v>
      </c>
      <c r="AA2383" s="177"/>
    </row>
    <row r="2384" spans="22:27" x14ac:dyDescent="0.2">
      <c r="V2384" s="163"/>
      <c r="W2384" s="158" t="str">
        <f t="shared" si="49"/>
        <v>1w</v>
      </c>
      <c r="X2384" s="168">
        <f>_xll.qlCalendarAdvance(Calendar,X2383,W2384,"f",FALSE)</f>
        <v>55858</v>
      </c>
      <c r="Y2384" s="173">
        <f>_xll.qlCalendarAdvance(Calendar,X2384,NDays&amp;"D")</f>
        <v>55858</v>
      </c>
      <c r="Z2384" s="174" t="e">
        <v>#N/A</v>
      </c>
      <c r="AA2384" s="177"/>
    </row>
    <row r="2385" spans="22:27" x14ac:dyDescent="0.2">
      <c r="V2385" s="163"/>
      <c r="W2385" s="158" t="str">
        <f t="shared" si="49"/>
        <v>1w</v>
      </c>
      <c r="X2385" s="168">
        <f>_xll.qlCalendarAdvance(Calendar,X2384,W2385,"f",FALSE)</f>
        <v>55865</v>
      </c>
      <c r="Y2385" s="173">
        <f>_xll.qlCalendarAdvance(Calendar,X2385,NDays&amp;"D")</f>
        <v>55865</v>
      </c>
      <c r="Z2385" s="174" t="e">
        <v>#N/A</v>
      </c>
      <c r="AA2385" s="177"/>
    </row>
    <row r="2386" spans="22:27" x14ac:dyDescent="0.2">
      <c r="V2386" s="163"/>
      <c r="W2386" s="158" t="str">
        <f t="shared" si="49"/>
        <v>1w</v>
      </c>
      <c r="X2386" s="168">
        <f>_xll.qlCalendarAdvance(Calendar,X2385,W2386,"f",FALSE)</f>
        <v>55872</v>
      </c>
      <c r="Y2386" s="173">
        <f>_xll.qlCalendarAdvance(Calendar,X2386,NDays&amp;"D")</f>
        <v>55872</v>
      </c>
      <c r="Z2386" s="174" t="e">
        <v>#N/A</v>
      </c>
      <c r="AA2386" s="177"/>
    </row>
    <row r="2387" spans="22:27" x14ac:dyDescent="0.2">
      <c r="V2387" s="163"/>
      <c r="W2387" s="158" t="str">
        <f t="shared" si="49"/>
        <v>1w</v>
      </c>
      <c r="X2387" s="168">
        <f>_xll.qlCalendarAdvance(Calendar,X2386,W2387,"f",FALSE)</f>
        <v>55879</v>
      </c>
      <c r="Y2387" s="173">
        <f>_xll.qlCalendarAdvance(Calendar,X2387,NDays&amp;"D")</f>
        <v>55879</v>
      </c>
      <c r="Z2387" s="174" t="e">
        <v>#N/A</v>
      </c>
      <c r="AA2387" s="177"/>
    </row>
    <row r="2388" spans="22:27" x14ac:dyDescent="0.2">
      <c r="V2388" s="163"/>
      <c r="W2388" s="158" t="str">
        <f t="shared" si="49"/>
        <v>1w</v>
      </c>
      <c r="X2388" s="168">
        <f>_xll.qlCalendarAdvance(Calendar,X2387,W2388,"f",FALSE)</f>
        <v>55890</v>
      </c>
      <c r="Y2388" s="173">
        <f>_xll.qlCalendarAdvance(Calendar,X2388,NDays&amp;"D")</f>
        <v>55890</v>
      </c>
      <c r="Z2388" s="174" t="e">
        <v>#N/A</v>
      </c>
      <c r="AA2388" s="177"/>
    </row>
    <row r="2389" spans="22:27" x14ac:dyDescent="0.2">
      <c r="V2389" s="163"/>
      <c r="W2389" s="158" t="str">
        <f t="shared" si="49"/>
        <v>1w</v>
      </c>
      <c r="X2389" s="168">
        <f>_xll.qlCalendarAdvance(Calendar,X2388,W2389,"f",FALSE)</f>
        <v>55898</v>
      </c>
      <c r="Y2389" s="173">
        <f>_xll.qlCalendarAdvance(Calendar,X2389,NDays&amp;"D")</f>
        <v>55898</v>
      </c>
      <c r="Z2389" s="174" t="e">
        <v>#N/A</v>
      </c>
      <c r="AA2389" s="177"/>
    </row>
    <row r="2390" spans="22:27" x14ac:dyDescent="0.2">
      <c r="V2390" s="163"/>
      <c r="W2390" s="158" t="str">
        <f t="shared" si="49"/>
        <v>1w</v>
      </c>
      <c r="X2390" s="168">
        <f>_xll.qlCalendarAdvance(Calendar,X2389,W2390,"f",FALSE)</f>
        <v>55905</v>
      </c>
      <c r="Y2390" s="173">
        <f>_xll.qlCalendarAdvance(Calendar,X2390,NDays&amp;"D")</f>
        <v>55905</v>
      </c>
      <c r="Z2390" s="174" t="e">
        <v>#N/A</v>
      </c>
      <c r="AA2390" s="177"/>
    </row>
    <row r="2391" spans="22:27" x14ac:dyDescent="0.2">
      <c r="V2391" s="163"/>
      <c r="W2391" s="158" t="str">
        <f t="shared" si="49"/>
        <v>1w</v>
      </c>
      <c r="X2391" s="168">
        <f>_xll.qlCalendarAdvance(Calendar,X2390,W2391,"f",FALSE)</f>
        <v>55912</v>
      </c>
      <c r="Y2391" s="173">
        <f>_xll.qlCalendarAdvance(Calendar,X2391,NDays&amp;"D")</f>
        <v>55912</v>
      </c>
      <c r="Z2391" s="174" t="e">
        <v>#N/A</v>
      </c>
      <c r="AA2391" s="177"/>
    </row>
    <row r="2392" spans="22:27" x14ac:dyDescent="0.2">
      <c r="V2392" s="163"/>
      <c r="W2392" s="158" t="str">
        <f t="shared" si="49"/>
        <v>1w</v>
      </c>
      <c r="X2392" s="168">
        <f>_xll.qlCalendarAdvance(Calendar,X2391,W2392,"f",FALSE)</f>
        <v>55919</v>
      </c>
      <c r="Y2392" s="173">
        <f>_xll.qlCalendarAdvance(Calendar,X2392,NDays&amp;"D")</f>
        <v>55919</v>
      </c>
      <c r="Z2392" s="174" t="e">
        <v>#N/A</v>
      </c>
      <c r="AA2392" s="177"/>
    </row>
    <row r="2393" spans="22:27" x14ac:dyDescent="0.2">
      <c r="V2393" s="163"/>
      <c r="W2393" s="158" t="str">
        <f t="shared" si="49"/>
        <v>1w</v>
      </c>
      <c r="X2393" s="168">
        <f>_xll.qlCalendarAdvance(Calendar,X2392,W2393,"f",FALSE)</f>
        <v>55927</v>
      </c>
      <c r="Y2393" s="173">
        <f>_xll.qlCalendarAdvance(Calendar,X2393,NDays&amp;"D")</f>
        <v>55927</v>
      </c>
      <c r="Z2393" s="174" t="e">
        <v>#N/A</v>
      </c>
      <c r="AA2393" s="177"/>
    </row>
    <row r="2394" spans="22:27" x14ac:dyDescent="0.2">
      <c r="V2394" s="163"/>
      <c r="W2394" s="158" t="str">
        <f t="shared" si="49"/>
        <v>1w</v>
      </c>
      <c r="X2394" s="168">
        <f>_xll.qlCalendarAdvance(Calendar,X2393,W2394,"f",FALSE)</f>
        <v>55934</v>
      </c>
      <c r="Y2394" s="173">
        <f>_xll.qlCalendarAdvance(Calendar,X2394,NDays&amp;"D")</f>
        <v>55934</v>
      </c>
      <c r="Z2394" s="174" t="e">
        <v>#N/A</v>
      </c>
      <c r="AA2394" s="177"/>
    </row>
    <row r="2395" spans="22:27" x14ac:dyDescent="0.2">
      <c r="V2395" s="163"/>
      <c r="W2395" s="158" t="str">
        <f t="shared" si="49"/>
        <v>1w</v>
      </c>
      <c r="X2395" s="168">
        <f>_xll.qlCalendarAdvance(Calendar,X2394,W2395,"f",FALSE)</f>
        <v>55941</v>
      </c>
      <c r="Y2395" s="173">
        <f>_xll.qlCalendarAdvance(Calendar,X2395,NDays&amp;"D")</f>
        <v>55941</v>
      </c>
      <c r="Z2395" s="174" t="e">
        <v>#N/A</v>
      </c>
      <c r="AA2395" s="177"/>
    </row>
    <row r="2396" spans="22:27" x14ac:dyDescent="0.2">
      <c r="V2396" s="163"/>
      <c r="W2396" s="158" t="str">
        <f t="shared" si="49"/>
        <v>1w</v>
      </c>
      <c r="X2396" s="168">
        <f>_xll.qlCalendarAdvance(Calendar,X2395,W2396,"f",FALSE)</f>
        <v>55948</v>
      </c>
      <c r="Y2396" s="173">
        <f>_xll.qlCalendarAdvance(Calendar,X2396,NDays&amp;"D")</f>
        <v>55948</v>
      </c>
      <c r="Z2396" s="174" t="e">
        <v>#N/A</v>
      </c>
      <c r="AA2396" s="177"/>
    </row>
    <row r="2397" spans="22:27" x14ac:dyDescent="0.2">
      <c r="V2397" s="163"/>
      <c r="W2397" s="158" t="str">
        <f t="shared" si="49"/>
        <v>1w</v>
      </c>
      <c r="X2397" s="168">
        <f>_xll.qlCalendarAdvance(Calendar,X2396,W2397,"f",FALSE)</f>
        <v>55955</v>
      </c>
      <c r="Y2397" s="173">
        <f>_xll.qlCalendarAdvance(Calendar,X2397,NDays&amp;"D")</f>
        <v>55955</v>
      </c>
      <c r="Z2397" s="174" t="e">
        <v>#N/A</v>
      </c>
      <c r="AA2397" s="177"/>
    </row>
    <row r="2398" spans="22:27" x14ac:dyDescent="0.2">
      <c r="V2398" s="163"/>
      <c r="W2398" s="158" t="str">
        <f t="shared" si="49"/>
        <v>1w</v>
      </c>
      <c r="X2398" s="168">
        <f>_xll.qlCalendarAdvance(Calendar,X2397,W2398,"f",FALSE)</f>
        <v>55962</v>
      </c>
      <c r="Y2398" s="173">
        <f>_xll.qlCalendarAdvance(Calendar,X2398,NDays&amp;"D")</f>
        <v>55962</v>
      </c>
      <c r="Z2398" s="174" t="e">
        <v>#N/A</v>
      </c>
      <c r="AA2398" s="177"/>
    </row>
    <row r="2399" spans="22:27" x14ac:dyDescent="0.2">
      <c r="V2399" s="163"/>
      <c r="W2399" s="158" t="str">
        <f t="shared" si="49"/>
        <v>1w</v>
      </c>
      <c r="X2399" s="168">
        <f>_xll.qlCalendarAdvance(Calendar,X2398,W2399,"f",FALSE)</f>
        <v>55969</v>
      </c>
      <c r="Y2399" s="173">
        <f>_xll.qlCalendarAdvance(Calendar,X2399,NDays&amp;"D")</f>
        <v>55969</v>
      </c>
      <c r="Z2399" s="174" t="e">
        <v>#N/A</v>
      </c>
      <c r="AA2399" s="177"/>
    </row>
    <row r="2400" spans="22:27" x14ac:dyDescent="0.2">
      <c r="V2400" s="163"/>
      <c r="W2400" s="158" t="str">
        <f t="shared" si="49"/>
        <v>1w</v>
      </c>
      <c r="X2400" s="168">
        <f>_xll.qlCalendarAdvance(Calendar,X2399,W2400,"f",FALSE)</f>
        <v>55976</v>
      </c>
      <c r="Y2400" s="173">
        <f>_xll.qlCalendarAdvance(Calendar,X2400,NDays&amp;"D")</f>
        <v>55976</v>
      </c>
      <c r="Z2400" s="174" t="e">
        <v>#N/A</v>
      </c>
      <c r="AA2400" s="177"/>
    </row>
    <row r="2401" spans="22:27" x14ac:dyDescent="0.2">
      <c r="V2401" s="163"/>
      <c r="W2401" s="158" t="str">
        <f t="shared" si="49"/>
        <v>1w</v>
      </c>
      <c r="X2401" s="168">
        <f>_xll.qlCalendarAdvance(Calendar,X2400,W2401,"f",FALSE)</f>
        <v>55983</v>
      </c>
      <c r="Y2401" s="173">
        <f>_xll.qlCalendarAdvance(Calendar,X2401,NDays&amp;"D")</f>
        <v>55983</v>
      </c>
      <c r="Z2401" s="174" t="e">
        <v>#N/A</v>
      </c>
      <c r="AA2401" s="177"/>
    </row>
    <row r="2402" spans="22:27" x14ac:dyDescent="0.2">
      <c r="V2402" s="163"/>
      <c r="W2402" s="158" t="str">
        <f t="shared" si="49"/>
        <v>1w</v>
      </c>
      <c r="X2402" s="168">
        <f>_xll.qlCalendarAdvance(Calendar,X2401,W2402,"f",FALSE)</f>
        <v>55990</v>
      </c>
      <c r="Y2402" s="173">
        <f>_xll.qlCalendarAdvance(Calendar,X2402,NDays&amp;"D")</f>
        <v>55990</v>
      </c>
      <c r="Z2402" s="174" t="e">
        <v>#N/A</v>
      </c>
      <c r="AA2402" s="177"/>
    </row>
    <row r="2403" spans="22:27" x14ac:dyDescent="0.2">
      <c r="V2403" s="163"/>
      <c r="W2403" s="158" t="str">
        <f t="shared" si="49"/>
        <v>1w</v>
      </c>
      <c r="X2403" s="168">
        <f>_xll.qlCalendarAdvance(Calendar,X2402,W2403,"f",FALSE)</f>
        <v>55997</v>
      </c>
      <c r="Y2403" s="173">
        <f>_xll.qlCalendarAdvance(Calendar,X2403,NDays&amp;"D")</f>
        <v>55997</v>
      </c>
      <c r="Z2403" s="174" t="e">
        <v>#N/A</v>
      </c>
      <c r="AA2403" s="177"/>
    </row>
    <row r="2404" spans="22:27" x14ac:dyDescent="0.2">
      <c r="V2404" s="163"/>
      <c r="W2404" s="158" t="str">
        <f t="shared" si="49"/>
        <v>1w</v>
      </c>
      <c r="X2404" s="168">
        <f>_xll.qlCalendarAdvance(Calendar,X2403,W2404,"f",FALSE)</f>
        <v>56004</v>
      </c>
      <c r="Y2404" s="173">
        <f>_xll.qlCalendarAdvance(Calendar,X2404,NDays&amp;"D")</f>
        <v>56004</v>
      </c>
      <c r="Z2404" s="174" t="e">
        <v>#N/A</v>
      </c>
      <c r="AA2404" s="177"/>
    </row>
    <row r="2405" spans="22:27" x14ac:dyDescent="0.2">
      <c r="V2405" s="163"/>
      <c r="W2405" s="158" t="str">
        <f t="shared" si="49"/>
        <v>1w</v>
      </c>
      <c r="X2405" s="168">
        <f>_xll.qlCalendarAdvance(Calendar,X2404,W2405,"f",FALSE)</f>
        <v>56011</v>
      </c>
      <c r="Y2405" s="173">
        <f>_xll.qlCalendarAdvance(Calendar,X2405,NDays&amp;"D")</f>
        <v>56011</v>
      </c>
      <c r="Z2405" s="174" t="e">
        <v>#N/A</v>
      </c>
      <c r="AA2405" s="177"/>
    </row>
    <row r="2406" spans="22:27" x14ac:dyDescent="0.2">
      <c r="V2406" s="163"/>
      <c r="W2406" s="158" t="str">
        <f t="shared" si="49"/>
        <v>1w</v>
      </c>
      <c r="X2406" s="168">
        <f>_xll.qlCalendarAdvance(Calendar,X2405,W2406,"f",FALSE)</f>
        <v>56018</v>
      </c>
      <c r="Y2406" s="173">
        <f>_xll.qlCalendarAdvance(Calendar,X2406,NDays&amp;"D")</f>
        <v>56018</v>
      </c>
      <c r="Z2406" s="174" t="e">
        <v>#N/A</v>
      </c>
      <c r="AA2406" s="177"/>
    </row>
    <row r="2407" spans="22:27" x14ac:dyDescent="0.2">
      <c r="V2407" s="163"/>
      <c r="W2407" s="158" t="str">
        <f t="shared" si="49"/>
        <v>1w</v>
      </c>
      <c r="X2407" s="168">
        <f>_xll.qlCalendarAdvance(Calendar,X2406,W2407,"f",FALSE)</f>
        <v>56025</v>
      </c>
      <c r="Y2407" s="173">
        <f>_xll.qlCalendarAdvance(Calendar,X2407,NDays&amp;"D")</f>
        <v>56025</v>
      </c>
      <c r="Z2407" s="174" t="e">
        <v>#N/A</v>
      </c>
      <c r="AA2407" s="177"/>
    </row>
    <row r="2408" spans="22:27" x14ac:dyDescent="0.2">
      <c r="V2408" s="163"/>
      <c r="W2408" s="158" t="str">
        <f t="shared" si="49"/>
        <v>1w</v>
      </c>
      <c r="X2408" s="168">
        <f>_xll.qlCalendarAdvance(Calendar,X2407,W2408,"f",FALSE)</f>
        <v>56032</v>
      </c>
      <c r="Y2408" s="173">
        <f>_xll.qlCalendarAdvance(Calendar,X2408,NDays&amp;"D")</f>
        <v>56032</v>
      </c>
      <c r="Z2408" s="174" t="e">
        <v>#N/A</v>
      </c>
      <c r="AA2408" s="177"/>
    </row>
    <row r="2409" spans="22:27" x14ac:dyDescent="0.2">
      <c r="V2409" s="163"/>
      <c r="W2409" s="158" t="str">
        <f t="shared" si="49"/>
        <v>1w</v>
      </c>
      <c r="X2409" s="168">
        <f>_xll.qlCalendarAdvance(Calendar,X2408,W2409,"f",FALSE)</f>
        <v>56039</v>
      </c>
      <c r="Y2409" s="173">
        <f>_xll.qlCalendarAdvance(Calendar,X2409,NDays&amp;"D")</f>
        <v>56039</v>
      </c>
      <c r="Z2409" s="174" t="e">
        <v>#N/A</v>
      </c>
      <c r="AA2409" s="177"/>
    </row>
    <row r="2410" spans="22:27" x14ac:dyDescent="0.2">
      <c r="V2410" s="163"/>
      <c r="W2410" s="158" t="str">
        <f t="shared" si="49"/>
        <v>1w</v>
      </c>
      <c r="X2410" s="168">
        <f>_xll.qlCalendarAdvance(Calendar,X2409,W2410,"f",FALSE)</f>
        <v>56046</v>
      </c>
      <c r="Y2410" s="173">
        <f>_xll.qlCalendarAdvance(Calendar,X2410,NDays&amp;"D")</f>
        <v>56046</v>
      </c>
      <c r="Z2410" s="174" t="e">
        <v>#N/A</v>
      </c>
      <c r="AA2410" s="177"/>
    </row>
    <row r="2411" spans="22:27" x14ac:dyDescent="0.2">
      <c r="V2411" s="163"/>
      <c r="W2411" s="158" t="str">
        <f t="shared" si="49"/>
        <v>1w</v>
      </c>
      <c r="X2411" s="168">
        <f>_xll.qlCalendarAdvance(Calendar,X2410,W2411,"f",FALSE)</f>
        <v>56053</v>
      </c>
      <c r="Y2411" s="173">
        <f>_xll.qlCalendarAdvance(Calendar,X2411,NDays&amp;"D")</f>
        <v>56053</v>
      </c>
      <c r="Z2411" s="174" t="e">
        <v>#N/A</v>
      </c>
      <c r="AA2411" s="177"/>
    </row>
    <row r="2412" spans="22:27" x14ac:dyDescent="0.2">
      <c r="V2412" s="163"/>
      <c r="W2412" s="158" t="str">
        <f t="shared" si="49"/>
        <v>1w</v>
      </c>
      <c r="X2412" s="168">
        <f>_xll.qlCalendarAdvance(Calendar,X2411,W2412,"f",FALSE)</f>
        <v>56060</v>
      </c>
      <c r="Y2412" s="173">
        <f>_xll.qlCalendarAdvance(Calendar,X2412,NDays&amp;"D")</f>
        <v>56060</v>
      </c>
      <c r="Z2412" s="174" t="e">
        <v>#N/A</v>
      </c>
      <c r="AA2412" s="177"/>
    </row>
    <row r="2413" spans="22:27" x14ac:dyDescent="0.2">
      <c r="V2413" s="163"/>
      <c r="W2413" s="158" t="str">
        <f t="shared" si="49"/>
        <v>1w</v>
      </c>
      <c r="X2413" s="168">
        <f>_xll.qlCalendarAdvance(Calendar,X2412,W2413,"f",FALSE)</f>
        <v>56067</v>
      </c>
      <c r="Y2413" s="173">
        <f>_xll.qlCalendarAdvance(Calendar,X2413,NDays&amp;"D")</f>
        <v>56067</v>
      </c>
      <c r="Z2413" s="174" t="e">
        <v>#N/A</v>
      </c>
      <c r="AA2413" s="177"/>
    </row>
    <row r="2414" spans="22:27" x14ac:dyDescent="0.2">
      <c r="V2414" s="163"/>
      <c r="W2414" s="158" t="str">
        <f t="shared" si="49"/>
        <v>1w</v>
      </c>
      <c r="X2414" s="168">
        <f>_xll.qlCalendarAdvance(Calendar,X2413,W2414,"f",FALSE)</f>
        <v>56074</v>
      </c>
      <c r="Y2414" s="173">
        <f>_xll.qlCalendarAdvance(Calendar,X2414,NDays&amp;"D")</f>
        <v>56074</v>
      </c>
      <c r="Z2414" s="174" t="e">
        <v>#N/A</v>
      </c>
      <c r="AA2414" s="177"/>
    </row>
    <row r="2415" spans="22:27" x14ac:dyDescent="0.2">
      <c r="V2415" s="163"/>
      <c r="W2415" s="158" t="str">
        <f t="shared" si="49"/>
        <v>1w</v>
      </c>
      <c r="X2415" s="168">
        <f>_xll.qlCalendarAdvance(Calendar,X2414,W2415,"f",FALSE)</f>
        <v>56081</v>
      </c>
      <c r="Y2415" s="173">
        <f>_xll.qlCalendarAdvance(Calendar,X2415,NDays&amp;"D")</f>
        <v>56081</v>
      </c>
      <c r="Z2415" s="174" t="e">
        <v>#N/A</v>
      </c>
      <c r="AA2415" s="177"/>
    </row>
    <row r="2416" spans="22:27" x14ac:dyDescent="0.2">
      <c r="V2416" s="163"/>
      <c r="W2416" s="158" t="str">
        <f t="shared" si="49"/>
        <v>1w</v>
      </c>
      <c r="X2416" s="168">
        <f>_xll.qlCalendarAdvance(Calendar,X2415,W2416,"f",FALSE)</f>
        <v>56088</v>
      </c>
      <c r="Y2416" s="173">
        <f>_xll.qlCalendarAdvance(Calendar,X2416,NDays&amp;"D")</f>
        <v>56088</v>
      </c>
      <c r="Z2416" s="174" t="e">
        <v>#N/A</v>
      </c>
      <c r="AA2416" s="177"/>
    </row>
    <row r="2417" spans="22:27" x14ac:dyDescent="0.2">
      <c r="V2417" s="163"/>
      <c r="W2417" s="158" t="str">
        <f t="shared" si="49"/>
        <v>1w</v>
      </c>
      <c r="X2417" s="168">
        <f>_xll.qlCalendarAdvance(Calendar,X2416,W2417,"f",FALSE)</f>
        <v>56095</v>
      </c>
      <c r="Y2417" s="173">
        <f>_xll.qlCalendarAdvance(Calendar,X2417,NDays&amp;"D")</f>
        <v>56095</v>
      </c>
      <c r="Z2417" s="174" t="e">
        <v>#N/A</v>
      </c>
      <c r="AA2417" s="177"/>
    </row>
    <row r="2418" spans="22:27" x14ac:dyDescent="0.2">
      <c r="V2418" s="163"/>
      <c r="W2418" s="158" t="str">
        <f t="shared" si="49"/>
        <v>1w</v>
      </c>
      <c r="X2418" s="168">
        <f>_xll.qlCalendarAdvance(Calendar,X2417,W2418,"f",FALSE)</f>
        <v>56102</v>
      </c>
      <c r="Y2418" s="173">
        <f>_xll.qlCalendarAdvance(Calendar,X2418,NDays&amp;"D")</f>
        <v>56102</v>
      </c>
      <c r="Z2418" s="174" t="e">
        <v>#N/A</v>
      </c>
      <c r="AA2418" s="177"/>
    </row>
    <row r="2419" spans="22:27" x14ac:dyDescent="0.2">
      <c r="V2419" s="163"/>
      <c r="W2419" s="158" t="str">
        <f t="shared" si="49"/>
        <v>1w</v>
      </c>
      <c r="X2419" s="168">
        <f>_xll.qlCalendarAdvance(Calendar,X2418,W2419,"f",FALSE)</f>
        <v>56109</v>
      </c>
      <c r="Y2419" s="173">
        <f>_xll.qlCalendarAdvance(Calendar,X2419,NDays&amp;"D")</f>
        <v>56109</v>
      </c>
      <c r="Z2419" s="174" t="e">
        <v>#N/A</v>
      </c>
      <c r="AA2419" s="177"/>
    </row>
    <row r="2420" spans="22:27" x14ac:dyDescent="0.2">
      <c r="V2420" s="163"/>
      <c r="W2420" s="158" t="str">
        <f t="shared" si="49"/>
        <v>1w</v>
      </c>
      <c r="X2420" s="168">
        <f>_xll.qlCalendarAdvance(Calendar,X2419,W2420,"f",FALSE)</f>
        <v>56116</v>
      </c>
      <c r="Y2420" s="173">
        <f>_xll.qlCalendarAdvance(Calendar,X2420,NDays&amp;"D")</f>
        <v>56116</v>
      </c>
      <c r="Z2420" s="174" t="e">
        <v>#N/A</v>
      </c>
      <c r="AA2420" s="177"/>
    </row>
    <row r="2421" spans="22:27" x14ac:dyDescent="0.2">
      <c r="V2421" s="163"/>
      <c r="W2421" s="158" t="str">
        <f t="shared" si="49"/>
        <v>1w</v>
      </c>
      <c r="X2421" s="168">
        <f>_xll.qlCalendarAdvance(Calendar,X2420,W2421,"f",FALSE)</f>
        <v>56123</v>
      </c>
      <c r="Y2421" s="173">
        <f>_xll.qlCalendarAdvance(Calendar,X2421,NDays&amp;"D")</f>
        <v>56123</v>
      </c>
      <c r="Z2421" s="174" t="e">
        <v>#N/A</v>
      </c>
      <c r="AA2421" s="177"/>
    </row>
    <row r="2422" spans="22:27" x14ac:dyDescent="0.2">
      <c r="V2422" s="163"/>
      <c r="W2422" s="158" t="str">
        <f t="shared" si="49"/>
        <v>1w</v>
      </c>
      <c r="X2422" s="168">
        <f>_xll.qlCalendarAdvance(Calendar,X2421,W2422,"f",FALSE)</f>
        <v>56130</v>
      </c>
      <c r="Y2422" s="173">
        <f>_xll.qlCalendarAdvance(Calendar,X2422,NDays&amp;"D")</f>
        <v>56130</v>
      </c>
      <c r="Z2422" s="174" t="e">
        <v>#N/A</v>
      </c>
      <c r="AA2422" s="177"/>
    </row>
    <row r="2423" spans="22:27" x14ac:dyDescent="0.2">
      <c r="V2423" s="163"/>
      <c r="W2423" s="158" t="str">
        <f t="shared" si="49"/>
        <v>1w</v>
      </c>
      <c r="X2423" s="168">
        <f>_xll.qlCalendarAdvance(Calendar,X2422,W2423,"f",FALSE)</f>
        <v>56137</v>
      </c>
      <c r="Y2423" s="173">
        <f>_xll.qlCalendarAdvance(Calendar,X2423,NDays&amp;"D")</f>
        <v>56137</v>
      </c>
      <c r="Z2423" s="174" t="e">
        <v>#N/A</v>
      </c>
      <c r="AA2423" s="177"/>
    </row>
    <row r="2424" spans="22:27" x14ac:dyDescent="0.2">
      <c r="V2424" s="163"/>
      <c r="W2424" s="158" t="str">
        <f t="shared" si="49"/>
        <v>1w</v>
      </c>
      <c r="X2424" s="168">
        <f>_xll.qlCalendarAdvance(Calendar,X2423,W2424,"f",FALSE)</f>
        <v>56144</v>
      </c>
      <c r="Y2424" s="173">
        <f>_xll.qlCalendarAdvance(Calendar,X2424,NDays&amp;"D")</f>
        <v>56144</v>
      </c>
      <c r="Z2424" s="174" t="e">
        <v>#N/A</v>
      </c>
      <c r="AA2424" s="177"/>
    </row>
    <row r="2425" spans="22:27" x14ac:dyDescent="0.2">
      <c r="V2425" s="163"/>
      <c r="W2425" s="158" t="str">
        <f t="shared" si="49"/>
        <v>1w</v>
      </c>
      <c r="X2425" s="168">
        <f>_xll.qlCalendarAdvance(Calendar,X2424,W2425,"f",FALSE)</f>
        <v>56151</v>
      </c>
      <c r="Y2425" s="173">
        <f>_xll.qlCalendarAdvance(Calendar,X2425,NDays&amp;"D")</f>
        <v>56151</v>
      </c>
      <c r="Z2425" s="174" t="e">
        <v>#N/A</v>
      </c>
      <c r="AA2425" s="177"/>
    </row>
    <row r="2426" spans="22:27" x14ac:dyDescent="0.2">
      <c r="V2426" s="163"/>
      <c r="W2426" s="158" t="str">
        <f t="shared" si="49"/>
        <v>1w</v>
      </c>
      <c r="X2426" s="168">
        <f>_xll.qlCalendarAdvance(Calendar,X2425,W2426,"f",FALSE)</f>
        <v>56158</v>
      </c>
      <c r="Y2426" s="173">
        <f>_xll.qlCalendarAdvance(Calendar,X2426,NDays&amp;"D")</f>
        <v>56158</v>
      </c>
      <c r="Z2426" s="174" t="e">
        <v>#N/A</v>
      </c>
      <c r="AA2426" s="177"/>
    </row>
    <row r="2427" spans="22:27" x14ac:dyDescent="0.2">
      <c r="V2427" s="163"/>
      <c r="W2427" s="158" t="str">
        <f t="shared" si="49"/>
        <v>1w</v>
      </c>
      <c r="X2427" s="168">
        <f>_xll.qlCalendarAdvance(Calendar,X2426,W2427,"f",FALSE)</f>
        <v>56165</v>
      </c>
      <c r="Y2427" s="173">
        <f>_xll.qlCalendarAdvance(Calendar,X2427,NDays&amp;"D")</f>
        <v>56165</v>
      </c>
      <c r="Z2427" s="174" t="e">
        <v>#N/A</v>
      </c>
      <c r="AA2427" s="177"/>
    </row>
    <row r="2428" spans="22:27" x14ac:dyDescent="0.2">
      <c r="V2428" s="163"/>
      <c r="W2428" s="158" t="str">
        <f t="shared" si="49"/>
        <v>1w</v>
      </c>
      <c r="X2428" s="168">
        <f>_xll.qlCalendarAdvance(Calendar,X2427,W2428,"f",FALSE)</f>
        <v>56172</v>
      </c>
      <c r="Y2428" s="173">
        <f>_xll.qlCalendarAdvance(Calendar,X2428,NDays&amp;"D")</f>
        <v>56172</v>
      </c>
      <c r="Z2428" s="174" t="e">
        <v>#N/A</v>
      </c>
      <c r="AA2428" s="177"/>
    </row>
    <row r="2429" spans="22:27" x14ac:dyDescent="0.2">
      <c r="V2429" s="163"/>
      <c r="W2429" s="158" t="str">
        <f t="shared" si="49"/>
        <v>1w</v>
      </c>
      <c r="X2429" s="168">
        <f>_xll.qlCalendarAdvance(Calendar,X2428,W2429,"f",FALSE)</f>
        <v>56179</v>
      </c>
      <c r="Y2429" s="173">
        <f>_xll.qlCalendarAdvance(Calendar,X2429,NDays&amp;"D")</f>
        <v>56179</v>
      </c>
      <c r="Z2429" s="174" t="e">
        <v>#N/A</v>
      </c>
      <c r="AA2429" s="177"/>
    </row>
    <row r="2430" spans="22:27" x14ac:dyDescent="0.2">
      <c r="V2430" s="163"/>
      <c r="W2430" s="158" t="str">
        <f t="shared" si="49"/>
        <v>1w</v>
      </c>
      <c r="X2430" s="168">
        <f>_xll.qlCalendarAdvance(Calendar,X2429,W2430,"f",FALSE)</f>
        <v>56186</v>
      </c>
      <c r="Y2430" s="173">
        <f>_xll.qlCalendarAdvance(Calendar,X2430,NDays&amp;"D")</f>
        <v>56186</v>
      </c>
      <c r="Z2430" s="174" t="e">
        <v>#N/A</v>
      </c>
      <c r="AA2430" s="177"/>
    </row>
    <row r="2431" spans="22:27" x14ac:dyDescent="0.2">
      <c r="V2431" s="163"/>
      <c r="W2431" s="158" t="str">
        <f t="shared" si="49"/>
        <v>1w</v>
      </c>
      <c r="X2431" s="168">
        <f>_xll.qlCalendarAdvance(Calendar,X2430,W2431,"f",FALSE)</f>
        <v>56193</v>
      </c>
      <c r="Y2431" s="173">
        <f>_xll.qlCalendarAdvance(Calendar,X2431,NDays&amp;"D")</f>
        <v>56193</v>
      </c>
      <c r="Z2431" s="174" t="e">
        <v>#N/A</v>
      </c>
      <c r="AA2431" s="177"/>
    </row>
    <row r="2432" spans="22:27" x14ac:dyDescent="0.2">
      <c r="V2432" s="163"/>
      <c r="W2432" s="158" t="str">
        <f t="shared" si="49"/>
        <v>1w</v>
      </c>
      <c r="X2432" s="168">
        <f>_xll.qlCalendarAdvance(Calendar,X2431,W2432,"f",FALSE)</f>
        <v>56200</v>
      </c>
      <c r="Y2432" s="173">
        <f>_xll.qlCalendarAdvance(Calendar,X2432,NDays&amp;"D")</f>
        <v>56200</v>
      </c>
      <c r="Z2432" s="174" t="e">
        <v>#N/A</v>
      </c>
      <c r="AA2432" s="177"/>
    </row>
    <row r="2433" spans="22:27" x14ac:dyDescent="0.2">
      <c r="V2433" s="163"/>
      <c r="W2433" s="158" t="str">
        <f t="shared" si="49"/>
        <v>1w</v>
      </c>
      <c r="X2433" s="168">
        <f>_xll.qlCalendarAdvance(Calendar,X2432,W2433,"f",FALSE)</f>
        <v>56207</v>
      </c>
      <c r="Y2433" s="173">
        <f>_xll.qlCalendarAdvance(Calendar,X2433,NDays&amp;"D")</f>
        <v>56207</v>
      </c>
      <c r="Z2433" s="174" t="e">
        <v>#N/A</v>
      </c>
      <c r="AA2433" s="177"/>
    </row>
    <row r="2434" spans="22:27" x14ac:dyDescent="0.2">
      <c r="V2434" s="163"/>
      <c r="W2434" s="158" t="str">
        <f t="shared" si="49"/>
        <v>1w</v>
      </c>
      <c r="X2434" s="168">
        <f>_xll.qlCalendarAdvance(Calendar,X2433,W2434,"f",FALSE)</f>
        <v>56214</v>
      </c>
      <c r="Y2434" s="173">
        <f>_xll.qlCalendarAdvance(Calendar,X2434,NDays&amp;"D")</f>
        <v>56214</v>
      </c>
      <c r="Z2434" s="174" t="e">
        <v>#N/A</v>
      </c>
      <c r="AA2434" s="177"/>
    </row>
    <row r="2435" spans="22:27" x14ac:dyDescent="0.2">
      <c r="V2435" s="163"/>
      <c r="W2435" s="158" t="str">
        <f t="shared" si="49"/>
        <v>1w</v>
      </c>
      <c r="X2435" s="168">
        <f>_xll.qlCalendarAdvance(Calendar,X2434,W2435,"f",FALSE)</f>
        <v>56221</v>
      </c>
      <c r="Y2435" s="173">
        <f>_xll.qlCalendarAdvance(Calendar,X2435,NDays&amp;"D")</f>
        <v>56221</v>
      </c>
      <c r="Z2435" s="174" t="e">
        <v>#N/A</v>
      </c>
      <c r="AA2435" s="177"/>
    </row>
    <row r="2436" spans="22:27" x14ac:dyDescent="0.2">
      <c r="V2436" s="163"/>
      <c r="W2436" s="158" t="str">
        <f t="shared" si="49"/>
        <v>1w</v>
      </c>
      <c r="X2436" s="168">
        <f>_xll.qlCalendarAdvance(Calendar,X2435,W2436,"f",FALSE)</f>
        <v>56228</v>
      </c>
      <c r="Y2436" s="173">
        <f>_xll.qlCalendarAdvance(Calendar,X2436,NDays&amp;"D")</f>
        <v>56228</v>
      </c>
      <c r="Z2436" s="174" t="e">
        <v>#N/A</v>
      </c>
      <c r="AA2436" s="177"/>
    </row>
    <row r="2437" spans="22:27" x14ac:dyDescent="0.2">
      <c r="V2437" s="163"/>
      <c r="W2437" s="158" t="str">
        <f t="shared" si="49"/>
        <v>1w</v>
      </c>
      <c r="X2437" s="168">
        <f>_xll.qlCalendarAdvance(Calendar,X2436,W2437,"f",FALSE)</f>
        <v>56235</v>
      </c>
      <c r="Y2437" s="173">
        <f>_xll.qlCalendarAdvance(Calendar,X2437,NDays&amp;"D")</f>
        <v>56235</v>
      </c>
      <c r="Z2437" s="174" t="e">
        <v>#N/A</v>
      </c>
      <c r="AA2437" s="177"/>
    </row>
    <row r="2438" spans="22:27" x14ac:dyDescent="0.2">
      <c r="V2438" s="163"/>
      <c r="W2438" s="158" t="str">
        <f t="shared" si="49"/>
        <v>1w</v>
      </c>
      <c r="X2438" s="168">
        <f>_xll.qlCalendarAdvance(Calendar,X2437,W2438,"f",FALSE)</f>
        <v>56242</v>
      </c>
      <c r="Y2438" s="173">
        <f>_xll.qlCalendarAdvance(Calendar,X2438,NDays&amp;"D")</f>
        <v>56242</v>
      </c>
      <c r="Z2438" s="174" t="e">
        <v>#N/A</v>
      </c>
      <c r="AA2438" s="177"/>
    </row>
    <row r="2439" spans="22:27" x14ac:dyDescent="0.2">
      <c r="V2439" s="163"/>
      <c r="W2439" s="158" t="str">
        <f t="shared" si="49"/>
        <v>1w</v>
      </c>
      <c r="X2439" s="168">
        <f>_xll.qlCalendarAdvance(Calendar,X2438,W2439,"f",FALSE)</f>
        <v>56254</v>
      </c>
      <c r="Y2439" s="173">
        <f>_xll.qlCalendarAdvance(Calendar,X2439,NDays&amp;"D")</f>
        <v>56254</v>
      </c>
      <c r="Z2439" s="174" t="e">
        <v>#N/A</v>
      </c>
      <c r="AA2439" s="177"/>
    </row>
    <row r="2440" spans="22:27" x14ac:dyDescent="0.2">
      <c r="V2440" s="163"/>
      <c r="W2440" s="158" t="str">
        <f t="shared" si="49"/>
        <v>1w</v>
      </c>
      <c r="X2440" s="168">
        <f>_xll.qlCalendarAdvance(Calendar,X2439,W2440,"f",FALSE)</f>
        <v>56262</v>
      </c>
      <c r="Y2440" s="173">
        <f>_xll.qlCalendarAdvance(Calendar,X2440,NDays&amp;"D")</f>
        <v>56262</v>
      </c>
      <c r="Z2440" s="174" t="e">
        <v>#N/A</v>
      </c>
      <c r="AA2440" s="177"/>
    </row>
    <row r="2441" spans="22:27" x14ac:dyDescent="0.2">
      <c r="V2441" s="163"/>
      <c r="W2441" s="158" t="str">
        <f t="shared" si="49"/>
        <v>1w</v>
      </c>
      <c r="X2441" s="168">
        <f>_xll.qlCalendarAdvance(Calendar,X2440,W2441,"f",FALSE)</f>
        <v>56269</v>
      </c>
      <c r="Y2441" s="173">
        <f>_xll.qlCalendarAdvance(Calendar,X2441,NDays&amp;"D")</f>
        <v>56269</v>
      </c>
      <c r="Z2441" s="174" t="e">
        <v>#N/A</v>
      </c>
      <c r="AA2441" s="177"/>
    </row>
    <row r="2442" spans="22:27" x14ac:dyDescent="0.2">
      <c r="V2442" s="163"/>
      <c r="W2442" s="158" t="str">
        <f t="shared" si="49"/>
        <v>1w</v>
      </c>
      <c r="X2442" s="168">
        <f>_xll.qlCalendarAdvance(Calendar,X2441,W2442,"f",FALSE)</f>
        <v>56276</v>
      </c>
      <c r="Y2442" s="173">
        <f>_xll.qlCalendarAdvance(Calendar,X2442,NDays&amp;"D")</f>
        <v>56276</v>
      </c>
      <c r="Z2442" s="174" t="e">
        <v>#N/A</v>
      </c>
      <c r="AA2442" s="177"/>
    </row>
    <row r="2443" spans="22:27" x14ac:dyDescent="0.2">
      <c r="V2443" s="163"/>
      <c r="W2443" s="158" t="str">
        <f t="shared" si="49"/>
        <v>1w</v>
      </c>
      <c r="X2443" s="168">
        <f>_xll.qlCalendarAdvance(Calendar,X2442,W2443,"f",FALSE)</f>
        <v>56283</v>
      </c>
      <c r="Y2443" s="173">
        <f>_xll.qlCalendarAdvance(Calendar,X2443,NDays&amp;"D")</f>
        <v>56283</v>
      </c>
      <c r="Z2443" s="174" t="e">
        <v>#N/A</v>
      </c>
      <c r="AA2443" s="177"/>
    </row>
    <row r="2444" spans="22:27" x14ac:dyDescent="0.2">
      <c r="V2444" s="163"/>
      <c r="W2444" s="158" t="str">
        <f t="shared" si="49"/>
        <v>1w</v>
      </c>
      <c r="X2444" s="168">
        <f>_xll.qlCalendarAdvance(Calendar,X2443,W2444,"f",FALSE)</f>
        <v>56290</v>
      </c>
      <c r="Y2444" s="173">
        <f>_xll.qlCalendarAdvance(Calendar,X2444,NDays&amp;"D")</f>
        <v>56290</v>
      </c>
      <c r="Z2444" s="174" t="e">
        <v>#N/A</v>
      </c>
      <c r="AA2444" s="177"/>
    </row>
    <row r="2445" spans="22:27" x14ac:dyDescent="0.2">
      <c r="V2445" s="163"/>
      <c r="W2445" s="158" t="str">
        <f t="shared" ref="W2445:W2508" si="50">W2444</f>
        <v>1w</v>
      </c>
      <c r="X2445" s="168">
        <f>_xll.qlCalendarAdvance(Calendar,X2444,W2445,"f",FALSE)</f>
        <v>56297</v>
      </c>
      <c r="Y2445" s="173">
        <f>_xll.qlCalendarAdvance(Calendar,X2445,NDays&amp;"D")</f>
        <v>56297</v>
      </c>
      <c r="Z2445" s="174" t="e">
        <v>#N/A</v>
      </c>
      <c r="AA2445" s="177"/>
    </row>
    <row r="2446" spans="22:27" x14ac:dyDescent="0.2">
      <c r="V2446" s="163"/>
      <c r="W2446" s="158" t="str">
        <f t="shared" si="50"/>
        <v>1w</v>
      </c>
      <c r="X2446" s="168">
        <f>_xll.qlCalendarAdvance(Calendar,X2445,W2446,"f",FALSE)</f>
        <v>56304</v>
      </c>
      <c r="Y2446" s="173">
        <f>_xll.qlCalendarAdvance(Calendar,X2446,NDays&amp;"D")</f>
        <v>56304</v>
      </c>
      <c r="Z2446" s="174" t="e">
        <v>#N/A</v>
      </c>
      <c r="AA2446" s="177"/>
    </row>
    <row r="2447" spans="22:27" x14ac:dyDescent="0.2">
      <c r="V2447" s="163"/>
      <c r="W2447" s="158" t="str">
        <f t="shared" si="50"/>
        <v>1w</v>
      </c>
      <c r="X2447" s="168">
        <f>_xll.qlCalendarAdvance(Calendar,X2446,W2447,"f",FALSE)</f>
        <v>56311</v>
      </c>
      <c r="Y2447" s="173">
        <f>_xll.qlCalendarAdvance(Calendar,X2447,NDays&amp;"D")</f>
        <v>56311</v>
      </c>
      <c r="Z2447" s="174" t="e">
        <v>#N/A</v>
      </c>
      <c r="AA2447" s="177"/>
    </row>
    <row r="2448" spans="22:27" x14ac:dyDescent="0.2">
      <c r="V2448" s="163"/>
      <c r="W2448" s="158" t="str">
        <f t="shared" si="50"/>
        <v>1w</v>
      </c>
      <c r="X2448" s="168">
        <f>_xll.qlCalendarAdvance(Calendar,X2447,W2448,"f",FALSE)</f>
        <v>56318</v>
      </c>
      <c r="Y2448" s="173">
        <f>_xll.qlCalendarAdvance(Calendar,X2448,NDays&amp;"D")</f>
        <v>56318</v>
      </c>
      <c r="Z2448" s="174" t="e">
        <v>#N/A</v>
      </c>
      <c r="AA2448" s="177"/>
    </row>
    <row r="2449" spans="22:27" x14ac:dyDescent="0.2">
      <c r="V2449" s="163"/>
      <c r="W2449" s="158" t="str">
        <f t="shared" si="50"/>
        <v>1w</v>
      </c>
      <c r="X2449" s="168">
        <f>_xll.qlCalendarAdvance(Calendar,X2448,W2449,"f",FALSE)</f>
        <v>56325</v>
      </c>
      <c r="Y2449" s="173">
        <f>_xll.qlCalendarAdvance(Calendar,X2449,NDays&amp;"D")</f>
        <v>56325</v>
      </c>
      <c r="Z2449" s="174" t="e">
        <v>#N/A</v>
      </c>
      <c r="AA2449" s="177"/>
    </row>
    <row r="2450" spans="22:27" x14ac:dyDescent="0.2">
      <c r="V2450" s="163"/>
      <c r="W2450" s="158" t="str">
        <f t="shared" si="50"/>
        <v>1w</v>
      </c>
      <c r="X2450" s="168">
        <f>_xll.qlCalendarAdvance(Calendar,X2449,W2450,"f",FALSE)</f>
        <v>56332</v>
      </c>
      <c r="Y2450" s="173">
        <f>_xll.qlCalendarAdvance(Calendar,X2450,NDays&amp;"D")</f>
        <v>56332</v>
      </c>
      <c r="Z2450" s="174" t="e">
        <v>#N/A</v>
      </c>
      <c r="AA2450" s="177"/>
    </row>
    <row r="2451" spans="22:27" x14ac:dyDescent="0.2">
      <c r="V2451" s="163"/>
      <c r="W2451" s="158" t="str">
        <f t="shared" si="50"/>
        <v>1w</v>
      </c>
      <c r="X2451" s="168">
        <f>_xll.qlCalendarAdvance(Calendar,X2450,W2451,"f",FALSE)</f>
        <v>56339</v>
      </c>
      <c r="Y2451" s="173">
        <f>_xll.qlCalendarAdvance(Calendar,X2451,NDays&amp;"D")</f>
        <v>56339</v>
      </c>
      <c r="Z2451" s="174" t="e">
        <v>#N/A</v>
      </c>
      <c r="AA2451" s="177"/>
    </row>
    <row r="2452" spans="22:27" x14ac:dyDescent="0.2">
      <c r="V2452" s="163"/>
      <c r="W2452" s="158" t="str">
        <f t="shared" si="50"/>
        <v>1w</v>
      </c>
      <c r="X2452" s="168">
        <f>_xll.qlCalendarAdvance(Calendar,X2451,W2452,"f",FALSE)</f>
        <v>56346</v>
      </c>
      <c r="Y2452" s="173">
        <f>_xll.qlCalendarAdvance(Calendar,X2452,NDays&amp;"D")</f>
        <v>56346</v>
      </c>
      <c r="Z2452" s="174" t="e">
        <v>#N/A</v>
      </c>
      <c r="AA2452" s="177"/>
    </row>
    <row r="2453" spans="22:27" x14ac:dyDescent="0.2">
      <c r="V2453" s="163"/>
      <c r="W2453" s="158" t="str">
        <f t="shared" si="50"/>
        <v>1w</v>
      </c>
      <c r="X2453" s="168">
        <f>_xll.qlCalendarAdvance(Calendar,X2452,W2453,"f",FALSE)</f>
        <v>56353</v>
      </c>
      <c r="Y2453" s="173">
        <f>_xll.qlCalendarAdvance(Calendar,X2453,NDays&amp;"D")</f>
        <v>56353</v>
      </c>
      <c r="Z2453" s="174" t="e">
        <v>#N/A</v>
      </c>
      <c r="AA2453" s="177"/>
    </row>
    <row r="2454" spans="22:27" x14ac:dyDescent="0.2">
      <c r="V2454" s="163"/>
      <c r="W2454" s="158" t="str">
        <f t="shared" si="50"/>
        <v>1w</v>
      </c>
      <c r="X2454" s="168">
        <f>_xll.qlCalendarAdvance(Calendar,X2453,W2454,"f",FALSE)</f>
        <v>56360</v>
      </c>
      <c r="Y2454" s="173">
        <f>_xll.qlCalendarAdvance(Calendar,X2454,NDays&amp;"D")</f>
        <v>56360</v>
      </c>
      <c r="Z2454" s="174" t="e">
        <v>#N/A</v>
      </c>
      <c r="AA2454" s="177"/>
    </row>
    <row r="2455" spans="22:27" x14ac:dyDescent="0.2">
      <c r="V2455" s="163"/>
      <c r="W2455" s="158" t="str">
        <f t="shared" si="50"/>
        <v>1w</v>
      </c>
      <c r="X2455" s="168">
        <f>_xll.qlCalendarAdvance(Calendar,X2454,W2455,"f",FALSE)</f>
        <v>56367</v>
      </c>
      <c r="Y2455" s="173">
        <f>_xll.qlCalendarAdvance(Calendar,X2455,NDays&amp;"D")</f>
        <v>56367</v>
      </c>
      <c r="Z2455" s="174" t="e">
        <v>#N/A</v>
      </c>
      <c r="AA2455" s="177"/>
    </row>
    <row r="2456" spans="22:27" x14ac:dyDescent="0.2">
      <c r="V2456" s="163"/>
      <c r="W2456" s="158" t="str">
        <f t="shared" si="50"/>
        <v>1w</v>
      </c>
      <c r="X2456" s="168">
        <f>_xll.qlCalendarAdvance(Calendar,X2455,W2456,"f",FALSE)</f>
        <v>56376</v>
      </c>
      <c r="Y2456" s="173">
        <f>_xll.qlCalendarAdvance(Calendar,X2456,NDays&amp;"D")</f>
        <v>56376</v>
      </c>
      <c r="Z2456" s="174" t="e">
        <v>#N/A</v>
      </c>
      <c r="AA2456" s="177"/>
    </row>
    <row r="2457" spans="22:27" x14ac:dyDescent="0.2">
      <c r="V2457" s="163"/>
      <c r="W2457" s="158" t="str">
        <f t="shared" si="50"/>
        <v>1w</v>
      </c>
      <c r="X2457" s="168">
        <f>_xll.qlCalendarAdvance(Calendar,X2456,W2457,"f",FALSE)</f>
        <v>56383</v>
      </c>
      <c r="Y2457" s="173">
        <f>_xll.qlCalendarAdvance(Calendar,X2457,NDays&amp;"D")</f>
        <v>56383</v>
      </c>
      <c r="Z2457" s="174" t="e">
        <v>#N/A</v>
      </c>
      <c r="AA2457" s="177"/>
    </row>
    <row r="2458" spans="22:27" x14ac:dyDescent="0.2">
      <c r="V2458" s="163"/>
      <c r="W2458" s="158" t="str">
        <f t="shared" si="50"/>
        <v>1w</v>
      </c>
      <c r="X2458" s="168">
        <f>_xll.qlCalendarAdvance(Calendar,X2457,W2458,"f",FALSE)</f>
        <v>56390</v>
      </c>
      <c r="Y2458" s="173">
        <f>_xll.qlCalendarAdvance(Calendar,X2458,NDays&amp;"D")</f>
        <v>56390</v>
      </c>
      <c r="Z2458" s="174" t="e">
        <v>#N/A</v>
      </c>
      <c r="AA2458" s="177"/>
    </row>
    <row r="2459" spans="22:27" x14ac:dyDescent="0.2">
      <c r="V2459" s="163"/>
      <c r="W2459" s="158" t="str">
        <f t="shared" si="50"/>
        <v>1w</v>
      </c>
      <c r="X2459" s="168">
        <f>_xll.qlCalendarAdvance(Calendar,X2458,W2459,"f",FALSE)</f>
        <v>56397</v>
      </c>
      <c r="Y2459" s="173">
        <f>_xll.qlCalendarAdvance(Calendar,X2459,NDays&amp;"D")</f>
        <v>56397</v>
      </c>
      <c r="Z2459" s="174" t="e">
        <v>#N/A</v>
      </c>
      <c r="AA2459" s="177"/>
    </row>
    <row r="2460" spans="22:27" x14ac:dyDescent="0.2">
      <c r="V2460" s="163"/>
      <c r="W2460" s="158" t="str">
        <f t="shared" si="50"/>
        <v>1w</v>
      </c>
      <c r="X2460" s="168">
        <f>_xll.qlCalendarAdvance(Calendar,X2459,W2460,"f",FALSE)</f>
        <v>56404</v>
      </c>
      <c r="Y2460" s="173">
        <f>_xll.qlCalendarAdvance(Calendar,X2460,NDays&amp;"D")</f>
        <v>56404</v>
      </c>
      <c r="Z2460" s="174" t="e">
        <v>#N/A</v>
      </c>
      <c r="AA2460" s="177"/>
    </row>
    <row r="2461" spans="22:27" x14ac:dyDescent="0.2">
      <c r="V2461" s="163"/>
      <c r="W2461" s="158" t="str">
        <f t="shared" si="50"/>
        <v>1w</v>
      </c>
      <c r="X2461" s="168">
        <f>_xll.qlCalendarAdvance(Calendar,X2460,W2461,"f",FALSE)</f>
        <v>56411</v>
      </c>
      <c r="Y2461" s="173">
        <f>_xll.qlCalendarAdvance(Calendar,X2461,NDays&amp;"D")</f>
        <v>56411</v>
      </c>
      <c r="Z2461" s="174" t="e">
        <v>#N/A</v>
      </c>
      <c r="AA2461" s="177"/>
    </row>
    <row r="2462" spans="22:27" x14ac:dyDescent="0.2">
      <c r="V2462" s="163"/>
      <c r="W2462" s="158" t="str">
        <f t="shared" si="50"/>
        <v>1w</v>
      </c>
      <c r="X2462" s="168">
        <f>_xll.qlCalendarAdvance(Calendar,X2461,W2462,"f",FALSE)</f>
        <v>56418</v>
      </c>
      <c r="Y2462" s="173">
        <f>_xll.qlCalendarAdvance(Calendar,X2462,NDays&amp;"D")</f>
        <v>56418</v>
      </c>
      <c r="Z2462" s="174" t="e">
        <v>#N/A</v>
      </c>
      <c r="AA2462" s="177"/>
    </row>
    <row r="2463" spans="22:27" x14ac:dyDescent="0.2">
      <c r="V2463" s="163"/>
      <c r="W2463" s="158" t="str">
        <f t="shared" si="50"/>
        <v>1w</v>
      </c>
      <c r="X2463" s="168">
        <f>_xll.qlCalendarAdvance(Calendar,X2462,W2463,"f",FALSE)</f>
        <v>56425</v>
      </c>
      <c r="Y2463" s="173">
        <f>_xll.qlCalendarAdvance(Calendar,X2463,NDays&amp;"D")</f>
        <v>56425</v>
      </c>
      <c r="Z2463" s="174" t="e">
        <v>#N/A</v>
      </c>
      <c r="AA2463" s="177"/>
    </row>
    <row r="2464" spans="22:27" x14ac:dyDescent="0.2">
      <c r="V2464" s="163"/>
      <c r="W2464" s="158" t="str">
        <f t="shared" si="50"/>
        <v>1w</v>
      </c>
      <c r="X2464" s="168">
        <f>_xll.qlCalendarAdvance(Calendar,X2463,W2464,"f",FALSE)</f>
        <v>56432</v>
      </c>
      <c r="Y2464" s="173">
        <f>_xll.qlCalendarAdvance(Calendar,X2464,NDays&amp;"D")</f>
        <v>56432</v>
      </c>
      <c r="Z2464" s="174" t="e">
        <v>#N/A</v>
      </c>
      <c r="AA2464" s="177"/>
    </row>
    <row r="2465" spans="22:27" x14ac:dyDescent="0.2">
      <c r="V2465" s="163"/>
      <c r="W2465" s="158" t="str">
        <f t="shared" si="50"/>
        <v>1w</v>
      </c>
      <c r="X2465" s="168">
        <f>_xll.qlCalendarAdvance(Calendar,X2464,W2465,"f",FALSE)</f>
        <v>56439</v>
      </c>
      <c r="Y2465" s="173">
        <f>_xll.qlCalendarAdvance(Calendar,X2465,NDays&amp;"D")</f>
        <v>56439</v>
      </c>
      <c r="Z2465" s="174" t="e">
        <v>#N/A</v>
      </c>
      <c r="AA2465" s="177"/>
    </row>
    <row r="2466" spans="22:27" x14ac:dyDescent="0.2">
      <c r="V2466" s="163"/>
      <c r="W2466" s="158" t="str">
        <f t="shared" si="50"/>
        <v>1w</v>
      </c>
      <c r="X2466" s="168">
        <f>_xll.qlCalendarAdvance(Calendar,X2465,W2466,"f",FALSE)</f>
        <v>56446</v>
      </c>
      <c r="Y2466" s="173">
        <f>_xll.qlCalendarAdvance(Calendar,X2466,NDays&amp;"D")</f>
        <v>56446</v>
      </c>
      <c r="Z2466" s="174" t="e">
        <v>#N/A</v>
      </c>
      <c r="AA2466" s="177"/>
    </row>
    <row r="2467" spans="22:27" x14ac:dyDescent="0.2">
      <c r="V2467" s="163"/>
      <c r="W2467" s="158" t="str">
        <f t="shared" si="50"/>
        <v>1w</v>
      </c>
      <c r="X2467" s="168">
        <f>_xll.qlCalendarAdvance(Calendar,X2466,W2467,"f",FALSE)</f>
        <v>56453</v>
      </c>
      <c r="Y2467" s="173">
        <f>_xll.qlCalendarAdvance(Calendar,X2467,NDays&amp;"D")</f>
        <v>56453</v>
      </c>
      <c r="Z2467" s="174" t="e">
        <v>#N/A</v>
      </c>
      <c r="AA2467" s="177"/>
    </row>
    <row r="2468" spans="22:27" x14ac:dyDescent="0.2">
      <c r="V2468" s="163"/>
      <c r="W2468" s="158" t="str">
        <f t="shared" si="50"/>
        <v>1w</v>
      </c>
      <c r="X2468" s="168">
        <f>_xll.qlCalendarAdvance(Calendar,X2467,W2468,"f",FALSE)</f>
        <v>56460</v>
      </c>
      <c r="Y2468" s="173">
        <f>_xll.qlCalendarAdvance(Calendar,X2468,NDays&amp;"D")</f>
        <v>56460</v>
      </c>
      <c r="Z2468" s="174" t="e">
        <v>#N/A</v>
      </c>
      <c r="AA2468" s="177"/>
    </row>
    <row r="2469" spans="22:27" x14ac:dyDescent="0.2">
      <c r="V2469" s="163"/>
      <c r="W2469" s="158" t="str">
        <f t="shared" si="50"/>
        <v>1w</v>
      </c>
      <c r="X2469" s="168">
        <f>_xll.qlCalendarAdvance(Calendar,X2468,W2469,"f",FALSE)</f>
        <v>56467</v>
      </c>
      <c r="Y2469" s="173">
        <f>_xll.qlCalendarAdvance(Calendar,X2469,NDays&amp;"D")</f>
        <v>56467</v>
      </c>
      <c r="Z2469" s="174" t="e">
        <v>#N/A</v>
      </c>
      <c r="AA2469" s="177"/>
    </row>
    <row r="2470" spans="22:27" x14ac:dyDescent="0.2">
      <c r="V2470" s="163"/>
      <c r="W2470" s="158" t="str">
        <f t="shared" si="50"/>
        <v>1w</v>
      </c>
      <c r="X2470" s="168">
        <f>_xll.qlCalendarAdvance(Calendar,X2469,W2470,"f",FALSE)</f>
        <v>56474</v>
      </c>
      <c r="Y2470" s="173">
        <f>_xll.qlCalendarAdvance(Calendar,X2470,NDays&amp;"D")</f>
        <v>56474</v>
      </c>
      <c r="Z2470" s="174" t="e">
        <v>#N/A</v>
      </c>
      <c r="AA2470" s="177"/>
    </row>
    <row r="2471" spans="22:27" x14ac:dyDescent="0.2">
      <c r="V2471" s="163"/>
      <c r="W2471" s="158" t="str">
        <f t="shared" si="50"/>
        <v>1w</v>
      </c>
      <c r="X2471" s="168">
        <f>_xll.qlCalendarAdvance(Calendar,X2470,W2471,"f",FALSE)</f>
        <v>56481</v>
      </c>
      <c r="Y2471" s="173">
        <f>_xll.qlCalendarAdvance(Calendar,X2471,NDays&amp;"D")</f>
        <v>56481</v>
      </c>
      <c r="Z2471" s="174" t="e">
        <v>#N/A</v>
      </c>
      <c r="AA2471" s="177"/>
    </row>
    <row r="2472" spans="22:27" x14ac:dyDescent="0.2">
      <c r="V2472" s="163"/>
      <c r="W2472" s="158" t="str">
        <f t="shared" si="50"/>
        <v>1w</v>
      </c>
      <c r="X2472" s="168">
        <f>_xll.qlCalendarAdvance(Calendar,X2471,W2472,"f",FALSE)</f>
        <v>56488</v>
      </c>
      <c r="Y2472" s="173">
        <f>_xll.qlCalendarAdvance(Calendar,X2472,NDays&amp;"D")</f>
        <v>56488</v>
      </c>
      <c r="Z2472" s="174" t="e">
        <v>#N/A</v>
      </c>
      <c r="AA2472" s="177"/>
    </row>
    <row r="2473" spans="22:27" x14ac:dyDescent="0.2">
      <c r="V2473" s="163"/>
      <c r="W2473" s="158" t="str">
        <f t="shared" si="50"/>
        <v>1w</v>
      </c>
      <c r="X2473" s="168">
        <f>_xll.qlCalendarAdvance(Calendar,X2472,W2473,"f",FALSE)</f>
        <v>56495</v>
      </c>
      <c r="Y2473" s="173">
        <f>_xll.qlCalendarAdvance(Calendar,X2473,NDays&amp;"D")</f>
        <v>56495</v>
      </c>
      <c r="Z2473" s="174" t="e">
        <v>#N/A</v>
      </c>
      <c r="AA2473" s="177"/>
    </row>
    <row r="2474" spans="22:27" x14ac:dyDescent="0.2">
      <c r="V2474" s="163"/>
      <c r="W2474" s="158" t="str">
        <f t="shared" si="50"/>
        <v>1w</v>
      </c>
      <c r="X2474" s="168">
        <f>_xll.qlCalendarAdvance(Calendar,X2473,W2474,"f",FALSE)</f>
        <v>56502</v>
      </c>
      <c r="Y2474" s="173">
        <f>_xll.qlCalendarAdvance(Calendar,X2474,NDays&amp;"D")</f>
        <v>56502</v>
      </c>
      <c r="Z2474" s="174" t="e">
        <v>#N/A</v>
      </c>
      <c r="AA2474" s="177"/>
    </row>
    <row r="2475" spans="22:27" x14ac:dyDescent="0.2">
      <c r="V2475" s="163"/>
      <c r="W2475" s="158" t="str">
        <f t="shared" si="50"/>
        <v>1w</v>
      </c>
      <c r="X2475" s="168">
        <f>_xll.qlCalendarAdvance(Calendar,X2474,W2475,"f",FALSE)</f>
        <v>56509</v>
      </c>
      <c r="Y2475" s="173">
        <f>_xll.qlCalendarAdvance(Calendar,X2475,NDays&amp;"D")</f>
        <v>56509</v>
      </c>
      <c r="Z2475" s="174" t="e">
        <v>#N/A</v>
      </c>
      <c r="AA2475" s="177"/>
    </row>
    <row r="2476" spans="22:27" x14ac:dyDescent="0.2">
      <c r="V2476" s="163"/>
      <c r="W2476" s="158" t="str">
        <f t="shared" si="50"/>
        <v>1w</v>
      </c>
      <c r="X2476" s="168">
        <f>_xll.qlCalendarAdvance(Calendar,X2475,W2476,"f",FALSE)</f>
        <v>56516</v>
      </c>
      <c r="Y2476" s="173">
        <f>_xll.qlCalendarAdvance(Calendar,X2476,NDays&amp;"D")</f>
        <v>56516</v>
      </c>
      <c r="Z2476" s="174" t="e">
        <v>#N/A</v>
      </c>
      <c r="AA2476" s="177"/>
    </row>
    <row r="2477" spans="22:27" x14ac:dyDescent="0.2">
      <c r="V2477" s="163"/>
      <c r="W2477" s="158" t="str">
        <f t="shared" si="50"/>
        <v>1w</v>
      </c>
      <c r="X2477" s="168">
        <f>_xll.qlCalendarAdvance(Calendar,X2476,W2477,"f",FALSE)</f>
        <v>56523</v>
      </c>
      <c r="Y2477" s="173">
        <f>_xll.qlCalendarAdvance(Calendar,X2477,NDays&amp;"D")</f>
        <v>56523</v>
      </c>
      <c r="Z2477" s="174" t="e">
        <v>#N/A</v>
      </c>
      <c r="AA2477" s="177"/>
    </row>
    <row r="2478" spans="22:27" x14ac:dyDescent="0.2">
      <c r="V2478" s="163"/>
      <c r="W2478" s="158" t="str">
        <f t="shared" si="50"/>
        <v>1w</v>
      </c>
      <c r="X2478" s="168">
        <f>_xll.qlCalendarAdvance(Calendar,X2477,W2478,"f",FALSE)</f>
        <v>56530</v>
      </c>
      <c r="Y2478" s="173">
        <f>_xll.qlCalendarAdvance(Calendar,X2478,NDays&amp;"D")</f>
        <v>56530</v>
      </c>
      <c r="Z2478" s="174" t="e">
        <v>#N/A</v>
      </c>
      <c r="AA2478" s="177"/>
    </row>
    <row r="2479" spans="22:27" x14ac:dyDescent="0.2">
      <c r="V2479" s="163"/>
      <c r="W2479" s="158" t="str">
        <f t="shared" si="50"/>
        <v>1w</v>
      </c>
      <c r="X2479" s="168">
        <f>_xll.qlCalendarAdvance(Calendar,X2478,W2479,"f",FALSE)</f>
        <v>56537</v>
      </c>
      <c r="Y2479" s="173">
        <f>_xll.qlCalendarAdvance(Calendar,X2479,NDays&amp;"D")</f>
        <v>56537</v>
      </c>
      <c r="Z2479" s="174" t="e">
        <v>#N/A</v>
      </c>
      <c r="AA2479" s="177"/>
    </row>
    <row r="2480" spans="22:27" x14ac:dyDescent="0.2">
      <c r="V2480" s="163"/>
      <c r="W2480" s="158" t="str">
        <f t="shared" si="50"/>
        <v>1w</v>
      </c>
      <c r="X2480" s="168">
        <f>_xll.qlCalendarAdvance(Calendar,X2479,W2480,"f",FALSE)</f>
        <v>56544</v>
      </c>
      <c r="Y2480" s="173">
        <f>_xll.qlCalendarAdvance(Calendar,X2480,NDays&amp;"D")</f>
        <v>56544</v>
      </c>
      <c r="Z2480" s="174" t="e">
        <v>#N/A</v>
      </c>
      <c r="AA2480" s="177"/>
    </row>
    <row r="2481" spans="22:27" x14ac:dyDescent="0.2">
      <c r="V2481" s="163"/>
      <c r="W2481" s="158" t="str">
        <f t="shared" si="50"/>
        <v>1w</v>
      </c>
      <c r="X2481" s="168">
        <f>_xll.qlCalendarAdvance(Calendar,X2480,W2481,"f",FALSE)</f>
        <v>56551</v>
      </c>
      <c r="Y2481" s="173">
        <f>_xll.qlCalendarAdvance(Calendar,X2481,NDays&amp;"D")</f>
        <v>56551</v>
      </c>
      <c r="Z2481" s="174" t="e">
        <v>#N/A</v>
      </c>
      <c r="AA2481" s="177"/>
    </row>
    <row r="2482" spans="22:27" x14ac:dyDescent="0.2">
      <c r="V2482" s="163"/>
      <c r="W2482" s="158" t="str">
        <f t="shared" si="50"/>
        <v>1w</v>
      </c>
      <c r="X2482" s="168">
        <f>_xll.qlCalendarAdvance(Calendar,X2481,W2482,"f",FALSE)</f>
        <v>56558</v>
      </c>
      <c r="Y2482" s="173">
        <f>_xll.qlCalendarAdvance(Calendar,X2482,NDays&amp;"D")</f>
        <v>56558</v>
      </c>
      <c r="Z2482" s="174" t="e">
        <v>#N/A</v>
      </c>
      <c r="AA2482" s="177"/>
    </row>
    <row r="2483" spans="22:27" x14ac:dyDescent="0.2">
      <c r="V2483" s="163"/>
      <c r="W2483" s="158" t="str">
        <f t="shared" si="50"/>
        <v>1w</v>
      </c>
      <c r="X2483" s="168">
        <f>_xll.qlCalendarAdvance(Calendar,X2482,W2483,"f",FALSE)</f>
        <v>56565</v>
      </c>
      <c r="Y2483" s="173">
        <f>_xll.qlCalendarAdvance(Calendar,X2483,NDays&amp;"D")</f>
        <v>56565</v>
      </c>
      <c r="Z2483" s="174" t="e">
        <v>#N/A</v>
      </c>
      <c r="AA2483" s="177"/>
    </row>
    <row r="2484" spans="22:27" x14ac:dyDescent="0.2">
      <c r="V2484" s="163"/>
      <c r="W2484" s="158" t="str">
        <f t="shared" si="50"/>
        <v>1w</v>
      </c>
      <c r="X2484" s="168">
        <f>_xll.qlCalendarAdvance(Calendar,X2483,W2484,"f",FALSE)</f>
        <v>56572</v>
      </c>
      <c r="Y2484" s="173">
        <f>_xll.qlCalendarAdvance(Calendar,X2484,NDays&amp;"D")</f>
        <v>56572</v>
      </c>
      <c r="Z2484" s="174" t="e">
        <v>#N/A</v>
      </c>
      <c r="AA2484" s="177"/>
    </row>
    <row r="2485" spans="22:27" x14ac:dyDescent="0.2">
      <c r="V2485" s="163"/>
      <c r="W2485" s="158" t="str">
        <f t="shared" si="50"/>
        <v>1w</v>
      </c>
      <c r="X2485" s="168">
        <f>_xll.qlCalendarAdvance(Calendar,X2484,W2485,"f",FALSE)</f>
        <v>56579</v>
      </c>
      <c r="Y2485" s="173">
        <f>_xll.qlCalendarAdvance(Calendar,X2485,NDays&amp;"D")</f>
        <v>56579</v>
      </c>
      <c r="Z2485" s="174" t="e">
        <v>#N/A</v>
      </c>
      <c r="AA2485" s="177"/>
    </row>
    <row r="2486" spans="22:27" x14ac:dyDescent="0.2">
      <c r="V2486" s="163"/>
      <c r="W2486" s="158" t="str">
        <f t="shared" si="50"/>
        <v>1w</v>
      </c>
      <c r="X2486" s="168">
        <f>_xll.qlCalendarAdvance(Calendar,X2485,W2486,"f",FALSE)</f>
        <v>56586</v>
      </c>
      <c r="Y2486" s="173">
        <f>_xll.qlCalendarAdvance(Calendar,X2486,NDays&amp;"D")</f>
        <v>56586</v>
      </c>
      <c r="Z2486" s="174" t="e">
        <v>#N/A</v>
      </c>
      <c r="AA2486" s="177"/>
    </row>
    <row r="2487" spans="22:27" x14ac:dyDescent="0.2">
      <c r="V2487" s="163"/>
      <c r="W2487" s="158" t="str">
        <f t="shared" si="50"/>
        <v>1w</v>
      </c>
      <c r="X2487" s="168">
        <f>_xll.qlCalendarAdvance(Calendar,X2486,W2487,"f",FALSE)</f>
        <v>56593</v>
      </c>
      <c r="Y2487" s="173">
        <f>_xll.qlCalendarAdvance(Calendar,X2487,NDays&amp;"D")</f>
        <v>56593</v>
      </c>
      <c r="Z2487" s="174" t="e">
        <v>#N/A</v>
      </c>
      <c r="AA2487" s="177"/>
    </row>
    <row r="2488" spans="22:27" x14ac:dyDescent="0.2">
      <c r="V2488" s="163"/>
      <c r="W2488" s="158" t="str">
        <f t="shared" si="50"/>
        <v>1w</v>
      </c>
      <c r="X2488" s="168">
        <f>_xll.qlCalendarAdvance(Calendar,X2487,W2488,"f",FALSE)</f>
        <v>56600</v>
      </c>
      <c r="Y2488" s="173">
        <f>_xll.qlCalendarAdvance(Calendar,X2488,NDays&amp;"D")</f>
        <v>56600</v>
      </c>
      <c r="Z2488" s="174" t="e">
        <v>#N/A</v>
      </c>
      <c r="AA2488" s="177"/>
    </row>
    <row r="2489" spans="22:27" x14ac:dyDescent="0.2">
      <c r="V2489" s="163"/>
      <c r="W2489" s="158" t="str">
        <f t="shared" si="50"/>
        <v>1w</v>
      </c>
      <c r="X2489" s="168">
        <f>_xll.qlCalendarAdvance(Calendar,X2488,W2489,"f",FALSE)</f>
        <v>56607</v>
      </c>
      <c r="Y2489" s="173">
        <f>_xll.qlCalendarAdvance(Calendar,X2489,NDays&amp;"D")</f>
        <v>56607</v>
      </c>
      <c r="Z2489" s="174" t="e">
        <v>#N/A</v>
      </c>
      <c r="AA2489" s="177"/>
    </row>
    <row r="2490" spans="22:27" x14ac:dyDescent="0.2">
      <c r="V2490" s="163"/>
      <c r="W2490" s="158" t="str">
        <f t="shared" si="50"/>
        <v>1w</v>
      </c>
      <c r="X2490" s="168">
        <f>_xll.qlCalendarAdvance(Calendar,X2489,W2490,"f",FALSE)</f>
        <v>56618</v>
      </c>
      <c r="Y2490" s="173">
        <f>_xll.qlCalendarAdvance(Calendar,X2490,NDays&amp;"D")</f>
        <v>56618</v>
      </c>
      <c r="Z2490" s="174" t="e">
        <v>#N/A</v>
      </c>
      <c r="AA2490" s="177"/>
    </row>
    <row r="2491" spans="22:27" x14ac:dyDescent="0.2">
      <c r="V2491" s="163"/>
      <c r="W2491" s="158" t="str">
        <f t="shared" si="50"/>
        <v>1w</v>
      </c>
      <c r="X2491" s="168">
        <f>_xll.qlCalendarAdvance(Calendar,X2490,W2491,"f",FALSE)</f>
        <v>56626</v>
      </c>
      <c r="Y2491" s="173">
        <f>_xll.qlCalendarAdvance(Calendar,X2491,NDays&amp;"D")</f>
        <v>56626</v>
      </c>
      <c r="Z2491" s="174" t="e">
        <v>#N/A</v>
      </c>
      <c r="AA2491" s="177"/>
    </row>
    <row r="2492" spans="22:27" x14ac:dyDescent="0.2">
      <c r="V2492" s="163"/>
      <c r="W2492" s="158" t="str">
        <f t="shared" si="50"/>
        <v>1w</v>
      </c>
      <c r="X2492" s="168">
        <f>_xll.qlCalendarAdvance(Calendar,X2491,W2492,"f",FALSE)</f>
        <v>56633</v>
      </c>
      <c r="Y2492" s="173">
        <f>_xll.qlCalendarAdvance(Calendar,X2492,NDays&amp;"D")</f>
        <v>56633</v>
      </c>
      <c r="Z2492" s="174" t="e">
        <v>#N/A</v>
      </c>
      <c r="AA2492" s="177"/>
    </row>
    <row r="2493" spans="22:27" x14ac:dyDescent="0.2">
      <c r="V2493" s="163"/>
      <c r="W2493" s="158" t="str">
        <f t="shared" si="50"/>
        <v>1w</v>
      </c>
      <c r="X2493" s="168">
        <f>_xll.qlCalendarAdvance(Calendar,X2492,W2493,"f",FALSE)</f>
        <v>56640</v>
      </c>
      <c r="Y2493" s="173">
        <f>_xll.qlCalendarAdvance(Calendar,X2493,NDays&amp;"D")</f>
        <v>56640</v>
      </c>
      <c r="Z2493" s="174" t="e">
        <v>#N/A</v>
      </c>
      <c r="AA2493" s="177"/>
    </row>
    <row r="2494" spans="22:27" x14ac:dyDescent="0.2">
      <c r="V2494" s="163"/>
      <c r="W2494" s="158" t="str">
        <f t="shared" si="50"/>
        <v>1w</v>
      </c>
      <c r="X2494" s="168">
        <f>_xll.qlCalendarAdvance(Calendar,X2493,W2494,"f",FALSE)</f>
        <v>56647</v>
      </c>
      <c r="Y2494" s="173">
        <f>_xll.qlCalendarAdvance(Calendar,X2494,NDays&amp;"D")</f>
        <v>56647</v>
      </c>
      <c r="Z2494" s="174" t="e">
        <v>#N/A</v>
      </c>
      <c r="AA2494" s="177"/>
    </row>
    <row r="2495" spans="22:27" x14ac:dyDescent="0.2">
      <c r="V2495" s="163"/>
      <c r="W2495" s="158" t="str">
        <f t="shared" si="50"/>
        <v>1w</v>
      </c>
      <c r="X2495" s="168">
        <f>_xll.qlCalendarAdvance(Calendar,X2494,W2495,"f",FALSE)</f>
        <v>56654</v>
      </c>
      <c r="Y2495" s="173">
        <f>_xll.qlCalendarAdvance(Calendar,X2495,NDays&amp;"D")</f>
        <v>56654</v>
      </c>
      <c r="Z2495" s="174" t="e">
        <v>#N/A</v>
      </c>
      <c r="AA2495" s="177"/>
    </row>
    <row r="2496" spans="22:27" x14ac:dyDescent="0.2">
      <c r="V2496" s="163"/>
      <c r="W2496" s="158" t="str">
        <f t="shared" si="50"/>
        <v>1w</v>
      </c>
      <c r="X2496" s="168">
        <f>_xll.qlCalendarAdvance(Calendar,X2495,W2496,"f",FALSE)</f>
        <v>56661</v>
      </c>
      <c r="Y2496" s="173">
        <f>_xll.qlCalendarAdvance(Calendar,X2496,NDays&amp;"D")</f>
        <v>56661</v>
      </c>
      <c r="Z2496" s="174" t="e">
        <v>#N/A</v>
      </c>
      <c r="AA2496" s="177"/>
    </row>
    <row r="2497" spans="22:27" x14ac:dyDescent="0.2">
      <c r="V2497" s="163"/>
      <c r="W2497" s="158" t="str">
        <f t="shared" si="50"/>
        <v>1w</v>
      </c>
      <c r="X2497" s="168">
        <f>_xll.qlCalendarAdvance(Calendar,X2496,W2497,"f",FALSE)</f>
        <v>56668</v>
      </c>
      <c r="Y2497" s="173">
        <f>_xll.qlCalendarAdvance(Calendar,X2497,NDays&amp;"D")</f>
        <v>56668</v>
      </c>
      <c r="Z2497" s="174" t="e">
        <v>#N/A</v>
      </c>
      <c r="AA2497" s="177"/>
    </row>
    <row r="2498" spans="22:27" x14ac:dyDescent="0.2">
      <c r="V2498" s="163"/>
      <c r="W2498" s="158" t="str">
        <f t="shared" si="50"/>
        <v>1w</v>
      </c>
      <c r="X2498" s="168">
        <f>_xll.qlCalendarAdvance(Calendar,X2497,W2498,"f",FALSE)</f>
        <v>56675</v>
      </c>
      <c r="Y2498" s="173">
        <f>_xll.qlCalendarAdvance(Calendar,X2498,NDays&amp;"D")</f>
        <v>56675</v>
      </c>
      <c r="Z2498" s="174" t="e">
        <v>#N/A</v>
      </c>
      <c r="AA2498" s="177"/>
    </row>
    <row r="2499" spans="22:27" x14ac:dyDescent="0.2">
      <c r="V2499" s="163"/>
      <c r="W2499" s="158" t="str">
        <f t="shared" si="50"/>
        <v>1w</v>
      </c>
      <c r="X2499" s="168">
        <f>_xll.qlCalendarAdvance(Calendar,X2498,W2499,"f",FALSE)</f>
        <v>56682</v>
      </c>
      <c r="Y2499" s="173">
        <f>_xll.qlCalendarAdvance(Calendar,X2499,NDays&amp;"D")</f>
        <v>56682</v>
      </c>
      <c r="Z2499" s="174" t="e">
        <v>#N/A</v>
      </c>
      <c r="AA2499" s="177"/>
    </row>
    <row r="2500" spans="22:27" x14ac:dyDescent="0.2">
      <c r="V2500" s="163"/>
      <c r="W2500" s="158" t="str">
        <f t="shared" si="50"/>
        <v>1w</v>
      </c>
      <c r="X2500" s="168">
        <f>_xll.qlCalendarAdvance(Calendar,X2499,W2500,"f",FALSE)</f>
        <v>56689</v>
      </c>
      <c r="Y2500" s="173">
        <f>_xll.qlCalendarAdvance(Calendar,X2500,NDays&amp;"D")</f>
        <v>56689</v>
      </c>
      <c r="Z2500" s="174" t="e">
        <v>#N/A</v>
      </c>
      <c r="AA2500" s="177"/>
    </row>
    <row r="2501" spans="22:27" x14ac:dyDescent="0.2">
      <c r="V2501" s="163"/>
      <c r="W2501" s="158" t="str">
        <f t="shared" si="50"/>
        <v>1w</v>
      </c>
      <c r="X2501" s="168">
        <f>_xll.qlCalendarAdvance(Calendar,X2500,W2501,"f",FALSE)</f>
        <v>56696</v>
      </c>
      <c r="Y2501" s="173">
        <f>_xll.qlCalendarAdvance(Calendar,X2501,NDays&amp;"D")</f>
        <v>56696</v>
      </c>
      <c r="Z2501" s="174" t="e">
        <v>#N/A</v>
      </c>
      <c r="AA2501" s="177"/>
    </row>
    <row r="2502" spans="22:27" x14ac:dyDescent="0.2">
      <c r="V2502" s="163"/>
      <c r="W2502" s="158" t="str">
        <f t="shared" si="50"/>
        <v>1w</v>
      </c>
      <c r="X2502" s="168">
        <f>_xll.qlCalendarAdvance(Calendar,X2501,W2502,"f",FALSE)</f>
        <v>56703</v>
      </c>
      <c r="Y2502" s="173">
        <f>_xll.qlCalendarAdvance(Calendar,X2502,NDays&amp;"D")</f>
        <v>56703</v>
      </c>
      <c r="Z2502" s="174" t="e">
        <v>#N/A</v>
      </c>
      <c r="AA2502" s="177"/>
    </row>
    <row r="2503" spans="22:27" x14ac:dyDescent="0.2">
      <c r="V2503" s="163"/>
      <c r="W2503" s="158" t="str">
        <f t="shared" si="50"/>
        <v>1w</v>
      </c>
      <c r="X2503" s="168">
        <f>_xll.qlCalendarAdvance(Calendar,X2502,W2503,"f",FALSE)</f>
        <v>56710</v>
      </c>
      <c r="Y2503" s="173">
        <f>_xll.qlCalendarAdvance(Calendar,X2503,NDays&amp;"D")</f>
        <v>56710</v>
      </c>
      <c r="Z2503" s="174" t="e">
        <v>#N/A</v>
      </c>
      <c r="AA2503" s="177"/>
    </row>
    <row r="2504" spans="22:27" x14ac:dyDescent="0.2">
      <c r="V2504" s="163"/>
      <c r="W2504" s="158" t="str">
        <f t="shared" si="50"/>
        <v>1w</v>
      </c>
      <c r="X2504" s="168">
        <f>_xll.qlCalendarAdvance(Calendar,X2503,W2504,"f",FALSE)</f>
        <v>56717</v>
      </c>
      <c r="Y2504" s="173">
        <f>_xll.qlCalendarAdvance(Calendar,X2504,NDays&amp;"D")</f>
        <v>56717</v>
      </c>
      <c r="Z2504" s="174" t="e">
        <v>#N/A</v>
      </c>
      <c r="AA2504" s="177"/>
    </row>
    <row r="2505" spans="22:27" x14ac:dyDescent="0.2">
      <c r="V2505" s="163"/>
      <c r="W2505" s="158" t="str">
        <f t="shared" si="50"/>
        <v>1w</v>
      </c>
      <c r="X2505" s="168">
        <f>_xll.qlCalendarAdvance(Calendar,X2504,W2505,"f",FALSE)</f>
        <v>56724</v>
      </c>
      <c r="Y2505" s="173">
        <f>_xll.qlCalendarAdvance(Calendar,X2505,NDays&amp;"D")</f>
        <v>56724</v>
      </c>
      <c r="Z2505" s="174" t="e">
        <v>#N/A</v>
      </c>
      <c r="AA2505" s="177"/>
    </row>
    <row r="2506" spans="22:27" x14ac:dyDescent="0.2">
      <c r="V2506" s="163"/>
      <c r="W2506" s="158" t="str">
        <f t="shared" si="50"/>
        <v>1w</v>
      </c>
      <c r="X2506" s="168">
        <f>_xll.qlCalendarAdvance(Calendar,X2505,W2506,"f",FALSE)</f>
        <v>56731</v>
      </c>
      <c r="Y2506" s="173">
        <f>_xll.qlCalendarAdvance(Calendar,X2506,NDays&amp;"D")</f>
        <v>56731</v>
      </c>
      <c r="Z2506" s="174" t="e">
        <v>#N/A</v>
      </c>
      <c r="AA2506" s="177"/>
    </row>
    <row r="2507" spans="22:27" x14ac:dyDescent="0.2">
      <c r="V2507" s="163"/>
      <c r="W2507" s="158" t="str">
        <f t="shared" si="50"/>
        <v>1w</v>
      </c>
      <c r="X2507" s="168">
        <f>_xll.qlCalendarAdvance(Calendar,X2506,W2507,"f",FALSE)</f>
        <v>56740</v>
      </c>
      <c r="Y2507" s="173">
        <f>_xll.qlCalendarAdvance(Calendar,X2507,NDays&amp;"D")</f>
        <v>56740</v>
      </c>
      <c r="Z2507" s="174" t="e">
        <v>#N/A</v>
      </c>
      <c r="AA2507" s="177"/>
    </row>
    <row r="2508" spans="22:27" x14ac:dyDescent="0.2">
      <c r="V2508" s="163"/>
      <c r="W2508" s="158" t="str">
        <f t="shared" si="50"/>
        <v>1w</v>
      </c>
      <c r="X2508" s="168">
        <f>_xll.qlCalendarAdvance(Calendar,X2507,W2508,"f",FALSE)</f>
        <v>56747</v>
      </c>
      <c r="Y2508" s="173">
        <f>_xll.qlCalendarAdvance(Calendar,X2508,NDays&amp;"D")</f>
        <v>56747</v>
      </c>
      <c r="Z2508" s="174" t="e">
        <v>#N/A</v>
      </c>
      <c r="AA2508" s="177"/>
    </row>
    <row r="2509" spans="22:27" x14ac:dyDescent="0.2">
      <c r="V2509" s="163"/>
      <c r="W2509" s="158" t="str">
        <f t="shared" ref="W2509:W2572" si="51">W2508</f>
        <v>1w</v>
      </c>
      <c r="X2509" s="168">
        <f>_xll.qlCalendarAdvance(Calendar,X2508,W2509,"f",FALSE)</f>
        <v>56754</v>
      </c>
      <c r="Y2509" s="173">
        <f>_xll.qlCalendarAdvance(Calendar,X2509,NDays&amp;"D")</f>
        <v>56754</v>
      </c>
      <c r="Z2509" s="174" t="e">
        <v>#N/A</v>
      </c>
      <c r="AA2509" s="177"/>
    </row>
    <row r="2510" spans="22:27" x14ac:dyDescent="0.2">
      <c r="V2510" s="163"/>
      <c r="W2510" s="158" t="str">
        <f t="shared" si="51"/>
        <v>1w</v>
      </c>
      <c r="X2510" s="168">
        <f>_xll.qlCalendarAdvance(Calendar,X2509,W2510,"f",FALSE)</f>
        <v>56761</v>
      </c>
      <c r="Y2510" s="173">
        <f>_xll.qlCalendarAdvance(Calendar,X2510,NDays&amp;"D")</f>
        <v>56761</v>
      </c>
      <c r="Z2510" s="174" t="e">
        <v>#N/A</v>
      </c>
      <c r="AA2510" s="177"/>
    </row>
    <row r="2511" spans="22:27" x14ac:dyDescent="0.2">
      <c r="V2511" s="163"/>
      <c r="W2511" s="158" t="str">
        <f t="shared" si="51"/>
        <v>1w</v>
      </c>
      <c r="X2511" s="168">
        <f>_xll.qlCalendarAdvance(Calendar,X2510,W2511,"f",FALSE)</f>
        <v>56768</v>
      </c>
      <c r="Y2511" s="173">
        <f>_xll.qlCalendarAdvance(Calendar,X2511,NDays&amp;"D")</f>
        <v>56768</v>
      </c>
      <c r="Z2511" s="174" t="e">
        <v>#N/A</v>
      </c>
      <c r="AA2511" s="177"/>
    </row>
    <row r="2512" spans="22:27" x14ac:dyDescent="0.2">
      <c r="V2512" s="163"/>
      <c r="W2512" s="158" t="str">
        <f t="shared" si="51"/>
        <v>1w</v>
      </c>
      <c r="X2512" s="168">
        <f>_xll.qlCalendarAdvance(Calendar,X2511,W2512,"f",FALSE)</f>
        <v>56775</v>
      </c>
      <c r="Y2512" s="173">
        <f>_xll.qlCalendarAdvance(Calendar,X2512,NDays&amp;"D")</f>
        <v>56775</v>
      </c>
      <c r="Z2512" s="174" t="e">
        <v>#N/A</v>
      </c>
      <c r="AA2512" s="177"/>
    </row>
    <row r="2513" spans="22:27" x14ac:dyDescent="0.2">
      <c r="V2513" s="163"/>
      <c r="W2513" s="158" t="str">
        <f t="shared" si="51"/>
        <v>1w</v>
      </c>
      <c r="X2513" s="168">
        <f>_xll.qlCalendarAdvance(Calendar,X2512,W2513,"f",FALSE)</f>
        <v>56782</v>
      </c>
      <c r="Y2513" s="173">
        <f>_xll.qlCalendarAdvance(Calendar,X2513,NDays&amp;"D")</f>
        <v>56782</v>
      </c>
      <c r="Z2513" s="174" t="e">
        <v>#N/A</v>
      </c>
      <c r="AA2513" s="177"/>
    </row>
    <row r="2514" spans="22:27" x14ac:dyDescent="0.2">
      <c r="V2514" s="163"/>
      <c r="W2514" s="158" t="str">
        <f t="shared" si="51"/>
        <v>1w</v>
      </c>
      <c r="X2514" s="168">
        <f>_xll.qlCalendarAdvance(Calendar,X2513,W2514,"f",FALSE)</f>
        <v>56789</v>
      </c>
      <c r="Y2514" s="173">
        <f>_xll.qlCalendarAdvance(Calendar,X2514,NDays&amp;"D")</f>
        <v>56789</v>
      </c>
      <c r="Z2514" s="174" t="e">
        <v>#N/A</v>
      </c>
      <c r="AA2514" s="177"/>
    </row>
    <row r="2515" spans="22:27" x14ac:dyDescent="0.2">
      <c r="V2515" s="163"/>
      <c r="W2515" s="158" t="str">
        <f t="shared" si="51"/>
        <v>1w</v>
      </c>
      <c r="X2515" s="168">
        <f>_xll.qlCalendarAdvance(Calendar,X2514,W2515,"f",FALSE)</f>
        <v>56796</v>
      </c>
      <c r="Y2515" s="173">
        <f>_xll.qlCalendarAdvance(Calendar,X2515,NDays&amp;"D")</f>
        <v>56796</v>
      </c>
      <c r="Z2515" s="174" t="e">
        <v>#N/A</v>
      </c>
      <c r="AA2515" s="177"/>
    </row>
    <row r="2516" spans="22:27" x14ac:dyDescent="0.2">
      <c r="V2516" s="163"/>
      <c r="W2516" s="158" t="str">
        <f t="shared" si="51"/>
        <v>1w</v>
      </c>
      <c r="X2516" s="168">
        <f>_xll.qlCalendarAdvance(Calendar,X2515,W2516,"f",FALSE)</f>
        <v>56803</v>
      </c>
      <c r="Y2516" s="173">
        <f>_xll.qlCalendarAdvance(Calendar,X2516,NDays&amp;"D")</f>
        <v>56803</v>
      </c>
      <c r="Z2516" s="174" t="e">
        <v>#N/A</v>
      </c>
      <c r="AA2516" s="177"/>
    </row>
    <row r="2517" spans="22:27" x14ac:dyDescent="0.2">
      <c r="V2517" s="163"/>
      <c r="W2517" s="158" t="str">
        <f t="shared" si="51"/>
        <v>1w</v>
      </c>
      <c r="X2517" s="168">
        <f>_xll.qlCalendarAdvance(Calendar,X2516,W2517,"f",FALSE)</f>
        <v>56810</v>
      </c>
      <c r="Y2517" s="173">
        <f>_xll.qlCalendarAdvance(Calendar,X2517,NDays&amp;"D")</f>
        <v>56810</v>
      </c>
      <c r="Z2517" s="174" t="e">
        <v>#N/A</v>
      </c>
      <c r="AA2517" s="177"/>
    </row>
    <row r="2518" spans="22:27" x14ac:dyDescent="0.2">
      <c r="V2518" s="163"/>
      <c r="W2518" s="158" t="str">
        <f t="shared" si="51"/>
        <v>1w</v>
      </c>
      <c r="X2518" s="168">
        <f>_xll.qlCalendarAdvance(Calendar,X2517,W2518,"f",FALSE)</f>
        <v>56817</v>
      </c>
      <c r="Y2518" s="173">
        <f>_xll.qlCalendarAdvance(Calendar,X2518,NDays&amp;"D")</f>
        <v>56817</v>
      </c>
      <c r="Z2518" s="174" t="e">
        <v>#N/A</v>
      </c>
      <c r="AA2518" s="177"/>
    </row>
    <row r="2519" spans="22:27" x14ac:dyDescent="0.2">
      <c r="V2519" s="163"/>
      <c r="W2519" s="158" t="str">
        <f t="shared" si="51"/>
        <v>1w</v>
      </c>
      <c r="X2519" s="168">
        <f>_xll.qlCalendarAdvance(Calendar,X2518,W2519,"f",FALSE)</f>
        <v>56824</v>
      </c>
      <c r="Y2519" s="173">
        <f>_xll.qlCalendarAdvance(Calendar,X2519,NDays&amp;"D")</f>
        <v>56824</v>
      </c>
      <c r="Z2519" s="174" t="e">
        <v>#N/A</v>
      </c>
      <c r="AA2519" s="177"/>
    </row>
    <row r="2520" spans="22:27" x14ac:dyDescent="0.2">
      <c r="V2520" s="163"/>
      <c r="W2520" s="158" t="str">
        <f t="shared" si="51"/>
        <v>1w</v>
      </c>
      <c r="X2520" s="168">
        <f>_xll.qlCalendarAdvance(Calendar,X2519,W2520,"f",FALSE)</f>
        <v>56831</v>
      </c>
      <c r="Y2520" s="173">
        <f>_xll.qlCalendarAdvance(Calendar,X2520,NDays&amp;"D")</f>
        <v>56831</v>
      </c>
      <c r="Z2520" s="174" t="e">
        <v>#N/A</v>
      </c>
      <c r="AA2520" s="177"/>
    </row>
    <row r="2521" spans="22:27" x14ac:dyDescent="0.2">
      <c r="V2521" s="163"/>
      <c r="W2521" s="158" t="str">
        <f t="shared" si="51"/>
        <v>1w</v>
      </c>
      <c r="X2521" s="168">
        <f>_xll.qlCalendarAdvance(Calendar,X2520,W2521,"f",FALSE)</f>
        <v>56838</v>
      </c>
      <c r="Y2521" s="173">
        <f>_xll.qlCalendarAdvance(Calendar,X2521,NDays&amp;"D")</f>
        <v>56838</v>
      </c>
      <c r="Z2521" s="174" t="e">
        <v>#N/A</v>
      </c>
      <c r="AA2521" s="177"/>
    </row>
    <row r="2522" spans="22:27" x14ac:dyDescent="0.2">
      <c r="V2522" s="163"/>
      <c r="W2522" s="158" t="str">
        <f t="shared" si="51"/>
        <v>1w</v>
      </c>
      <c r="X2522" s="168">
        <f>_xll.qlCalendarAdvance(Calendar,X2521,W2522,"f",FALSE)</f>
        <v>56845</v>
      </c>
      <c r="Y2522" s="173">
        <f>_xll.qlCalendarAdvance(Calendar,X2522,NDays&amp;"D")</f>
        <v>56845</v>
      </c>
      <c r="Z2522" s="174" t="e">
        <v>#N/A</v>
      </c>
      <c r="AA2522" s="177"/>
    </row>
    <row r="2523" spans="22:27" x14ac:dyDescent="0.2">
      <c r="V2523" s="163"/>
      <c r="W2523" s="158" t="str">
        <f t="shared" si="51"/>
        <v>1w</v>
      </c>
      <c r="X2523" s="168">
        <f>_xll.qlCalendarAdvance(Calendar,X2522,W2523,"f",FALSE)</f>
        <v>56852</v>
      </c>
      <c r="Y2523" s="173">
        <f>_xll.qlCalendarAdvance(Calendar,X2523,NDays&amp;"D")</f>
        <v>56852</v>
      </c>
      <c r="Z2523" s="174" t="e">
        <v>#N/A</v>
      </c>
      <c r="AA2523" s="177"/>
    </row>
    <row r="2524" spans="22:27" x14ac:dyDescent="0.2">
      <c r="V2524" s="163"/>
      <c r="W2524" s="158" t="str">
        <f t="shared" si="51"/>
        <v>1w</v>
      </c>
      <c r="X2524" s="168">
        <f>_xll.qlCalendarAdvance(Calendar,X2523,W2524,"f",FALSE)</f>
        <v>56859</v>
      </c>
      <c r="Y2524" s="173">
        <f>_xll.qlCalendarAdvance(Calendar,X2524,NDays&amp;"D")</f>
        <v>56859</v>
      </c>
      <c r="Z2524" s="174" t="e">
        <v>#N/A</v>
      </c>
      <c r="AA2524" s="177"/>
    </row>
    <row r="2525" spans="22:27" x14ac:dyDescent="0.2">
      <c r="V2525" s="163"/>
      <c r="W2525" s="158" t="str">
        <f t="shared" si="51"/>
        <v>1w</v>
      </c>
      <c r="X2525" s="168">
        <f>_xll.qlCalendarAdvance(Calendar,X2524,W2525,"f",FALSE)</f>
        <v>56866</v>
      </c>
      <c r="Y2525" s="173">
        <f>_xll.qlCalendarAdvance(Calendar,X2525,NDays&amp;"D")</f>
        <v>56866</v>
      </c>
      <c r="Z2525" s="174" t="e">
        <v>#N/A</v>
      </c>
      <c r="AA2525" s="177"/>
    </row>
    <row r="2526" spans="22:27" x14ac:dyDescent="0.2">
      <c r="V2526" s="163"/>
      <c r="W2526" s="158" t="str">
        <f t="shared" si="51"/>
        <v>1w</v>
      </c>
      <c r="X2526" s="168">
        <f>_xll.qlCalendarAdvance(Calendar,X2525,W2526,"f",FALSE)</f>
        <v>56873</v>
      </c>
      <c r="Y2526" s="173">
        <f>_xll.qlCalendarAdvance(Calendar,X2526,NDays&amp;"D")</f>
        <v>56873</v>
      </c>
      <c r="Z2526" s="174" t="e">
        <v>#N/A</v>
      </c>
      <c r="AA2526" s="177"/>
    </row>
    <row r="2527" spans="22:27" x14ac:dyDescent="0.2">
      <c r="V2527" s="163"/>
      <c r="W2527" s="158" t="str">
        <f t="shared" si="51"/>
        <v>1w</v>
      </c>
      <c r="X2527" s="168">
        <f>_xll.qlCalendarAdvance(Calendar,X2526,W2527,"f",FALSE)</f>
        <v>56881</v>
      </c>
      <c r="Y2527" s="173">
        <f>_xll.qlCalendarAdvance(Calendar,X2527,NDays&amp;"D")</f>
        <v>56881</v>
      </c>
      <c r="Z2527" s="174" t="e">
        <v>#N/A</v>
      </c>
      <c r="AA2527" s="177"/>
    </row>
    <row r="2528" spans="22:27" x14ac:dyDescent="0.2">
      <c r="V2528" s="163"/>
      <c r="W2528" s="158" t="str">
        <f t="shared" si="51"/>
        <v>1w</v>
      </c>
      <c r="X2528" s="168">
        <f>_xll.qlCalendarAdvance(Calendar,X2527,W2528,"f",FALSE)</f>
        <v>56888</v>
      </c>
      <c r="Y2528" s="173">
        <f>_xll.qlCalendarAdvance(Calendar,X2528,NDays&amp;"D")</f>
        <v>56888</v>
      </c>
      <c r="Z2528" s="174" t="e">
        <v>#N/A</v>
      </c>
      <c r="AA2528" s="177"/>
    </row>
    <row r="2529" spans="22:27" x14ac:dyDescent="0.2">
      <c r="V2529" s="163"/>
      <c r="W2529" s="158" t="str">
        <f t="shared" si="51"/>
        <v>1w</v>
      </c>
      <c r="X2529" s="168">
        <f>_xll.qlCalendarAdvance(Calendar,X2528,W2529,"f",FALSE)</f>
        <v>56895</v>
      </c>
      <c r="Y2529" s="173">
        <f>_xll.qlCalendarAdvance(Calendar,X2529,NDays&amp;"D")</f>
        <v>56895</v>
      </c>
      <c r="Z2529" s="174" t="e">
        <v>#N/A</v>
      </c>
      <c r="AA2529" s="177"/>
    </row>
    <row r="2530" spans="22:27" x14ac:dyDescent="0.2">
      <c r="V2530" s="163"/>
      <c r="W2530" s="158" t="str">
        <f t="shared" si="51"/>
        <v>1w</v>
      </c>
      <c r="X2530" s="168">
        <f>_xll.qlCalendarAdvance(Calendar,X2529,W2530,"f",FALSE)</f>
        <v>56902</v>
      </c>
      <c r="Y2530" s="173">
        <f>_xll.qlCalendarAdvance(Calendar,X2530,NDays&amp;"D")</f>
        <v>56902</v>
      </c>
      <c r="Z2530" s="174" t="e">
        <v>#N/A</v>
      </c>
      <c r="AA2530" s="177"/>
    </row>
    <row r="2531" spans="22:27" x14ac:dyDescent="0.2">
      <c r="V2531" s="163"/>
      <c r="W2531" s="158" t="str">
        <f t="shared" si="51"/>
        <v>1w</v>
      </c>
      <c r="X2531" s="168">
        <f>_xll.qlCalendarAdvance(Calendar,X2530,W2531,"f",FALSE)</f>
        <v>56909</v>
      </c>
      <c r="Y2531" s="173">
        <f>_xll.qlCalendarAdvance(Calendar,X2531,NDays&amp;"D")</f>
        <v>56909</v>
      </c>
      <c r="Z2531" s="174" t="e">
        <v>#N/A</v>
      </c>
      <c r="AA2531" s="177"/>
    </row>
    <row r="2532" spans="22:27" x14ac:dyDescent="0.2">
      <c r="V2532" s="163"/>
      <c r="W2532" s="158" t="str">
        <f t="shared" si="51"/>
        <v>1w</v>
      </c>
      <c r="X2532" s="168">
        <f>_xll.qlCalendarAdvance(Calendar,X2531,W2532,"f",FALSE)</f>
        <v>56916</v>
      </c>
      <c r="Y2532" s="173">
        <f>_xll.qlCalendarAdvance(Calendar,X2532,NDays&amp;"D")</f>
        <v>56916</v>
      </c>
      <c r="Z2532" s="174" t="e">
        <v>#N/A</v>
      </c>
      <c r="AA2532" s="177"/>
    </row>
    <row r="2533" spans="22:27" x14ac:dyDescent="0.2">
      <c r="V2533" s="163"/>
      <c r="W2533" s="158" t="str">
        <f t="shared" si="51"/>
        <v>1w</v>
      </c>
      <c r="X2533" s="168">
        <f>_xll.qlCalendarAdvance(Calendar,X2532,W2533,"f",FALSE)</f>
        <v>56923</v>
      </c>
      <c r="Y2533" s="173">
        <f>_xll.qlCalendarAdvance(Calendar,X2533,NDays&amp;"D")</f>
        <v>56923</v>
      </c>
      <c r="Z2533" s="174" t="e">
        <v>#N/A</v>
      </c>
      <c r="AA2533" s="177"/>
    </row>
    <row r="2534" spans="22:27" x14ac:dyDescent="0.2">
      <c r="V2534" s="163"/>
      <c r="W2534" s="158" t="str">
        <f t="shared" si="51"/>
        <v>1w</v>
      </c>
      <c r="X2534" s="168">
        <f>_xll.qlCalendarAdvance(Calendar,X2533,W2534,"f",FALSE)</f>
        <v>56930</v>
      </c>
      <c r="Y2534" s="173">
        <f>_xll.qlCalendarAdvance(Calendar,X2534,NDays&amp;"D")</f>
        <v>56930</v>
      </c>
      <c r="Z2534" s="174" t="e">
        <v>#N/A</v>
      </c>
      <c r="AA2534" s="177"/>
    </row>
    <row r="2535" spans="22:27" x14ac:dyDescent="0.2">
      <c r="V2535" s="163"/>
      <c r="W2535" s="158" t="str">
        <f t="shared" si="51"/>
        <v>1w</v>
      </c>
      <c r="X2535" s="168">
        <f>_xll.qlCalendarAdvance(Calendar,X2534,W2535,"f",FALSE)</f>
        <v>56937</v>
      </c>
      <c r="Y2535" s="173">
        <f>_xll.qlCalendarAdvance(Calendar,X2535,NDays&amp;"D")</f>
        <v>56937</v>
      </c>
      <c r="Z2535" s="174" t="e">
        <v>#N/A</v>
      </c>
      <c r="AA2535" s="177"/>
    </row>
    <row r="2536" spans="22:27" x14ac:dyDescent="0.2">
      <c r="V2536" s="163"/>
      <c r="W2536" s="158" t="str">
        <f t="shared" si="51"/>
        <v>1w</v>
      </c>
      <c r="X2536" s="168">
        <f>_xll.qlCalendarAdvance(Calendar,X2535,W2536,"f",FALSE)</f>
        <v>56944</v>
      </c>
      <c r="Y2536" s="173">
        <f>_xll.qlCalendarAdvance(Calendar,X2536,NDays&amp;"D")</f>
        <v>56944</v>
      </c>
      <c r="Z2536" s="174" t="e">
        <v>#N/A</v>
      </c>
      <c r="AA2536" s="177"/>
    </row>
    <row r="2537" spans="22:27" x14ac:dyDescent="0.2">
      <c r="V2537" s="163"/>
      <c r="W2537" s="158" t="str">
        <f t="shared" si="51"/>
        <v>1w</v>
      </c>
      <c r="X2537" s="168">
        <f>_xll.qlCalendarAdvance(Calendar,X2536,W2537,"f",FALSE)</f>
        <v>56951</v>
      </c>
      <c r="Y2537" s="173">
        <f>_xll.qlCalendarAdvance(Calendar,X2537,NDays&amp;"D")</f>
        <v>56951</v>
      </c>
      <c r="Z2537" s="174" t="e">
        <v>#N/A</v>
      </c>
      <c r="AA2537" s="177"/>
    </row>
    <row r="2538" spans="22:27" x14ac:dyDescent="0.2">
      <c r="V2538" s="163"/>
      <c r="W2538" s="158" t="str">
        <f t="shared" si="51"/>
        <v>1w</v>
      </c>
      <c r="X2538" s="168">
        <f>_xll.qlCalendarAdvance(Calendar,X2537,W2538,"f",FALSE)</f>
        <v>56958</v>
      </c>
      <c r="Y2538" s="173">
        <f>_xll.qlCalendarAdvance(Calendar,X2538,NDays&amp;"D")</f>
        <v>56958</v>
      </c>
      <c r="Z2538" s="174" t="e">
        <v>#N/A</v>
      </c>
      <c r="AA2538" s="177"/>
    </row>
    <row r="2539" spans="22:27" x14ac:dyDescent="0.2">
      <c r="V2539" s="163"/>
      <c r="W2539" s="158" t="str">
        <f t="shared" si="51"/>
        <v>1w</v>
      </c>
      <c r="X2539" s="168">
        <f>_xll.qlCalendarAdvance(Calendar,X2538,W2539,"f",FALSE)</f>
        <v>56965</v>
      </c>
      <c r="Y2539" s="173">
        <f>_xll.qlCalendarAdvance(Calendar,X2539,NDays&amp;"D")</f>
        <v>56965</v>
      </c>
      <c r="Z2539" s="174" t="e">
        <v>#N/A</v>
      </c>
      <c r="AA2539" s="177"/>
    </row>
    <row r="2540" spans="22:27" x14ac:dyDescent="0.2">
      <c r="V2540" s="163"/>
      <c r="W2540" s="158" t="str">
        <f t="shared" si="51"/>
        <v>1w</v>
      </c>
      <c r="X2540" s="168">
        <f>_xll.qlCalendarAdvance(Calendar,X2539,W2540,"f",FALSE)</f>
        <v>56972</v>
      </c>
      <c r="Y2540" s="173">
        <f>_xll.qlCalendarAdvance(Calendar,X2540,NDays&amp;"D")</f>
        <v>56972</v>
      </c>
      <c r="Z2540" s="174" t="e">
        <v>#N/A</v>
      </c>
      <c r="AA2540" s="177"/>
    </row>
    <row r="2541" spans="22:27" x14ac:dyDescent="0.2">
      <c r="V2541" s="163"/>
      <c r="W2541" s="158" t="str">
        <f t="shared" si="51"/>
        <v>1w</v>
      </c>
      <c r="X2541" s="168">
        <f>_xll.qlCalendarAdvance(Calendar,X2540,W2541,"f",FALSE)</f>
        <v>56983</v>
      </c>
      <c r="Y2541" s="173">
        <f>_xll.qlCalendarAdvance(Calendar,X2541,NDays&amp;"D")</f>
        <v>56983</v>
      </c>
      <c r="Z2541" s="174" t="e">
        <v>#N/A</v>
      </c>
      <c r="AA2541" s="177"/>
    </row>
    <row r="2542" spans="22:27" x14ac:dyDescent="0.2">
      <c r="V2542" s="163"/>
      <c r="W2542" s="158" t="str">
        <f t="shared" si="51"/>
        <v>1w</v>
      </c>
      <c r="X2542" s="168">
        <f>_xll.qlCalendarAdvance(Calendar,X2541,W2542,"f",FALSE)</f>
        <v>56990</v>
      </c>
      <c r="Y2542" s="173">
        <f>_xll.qlCalendarAdvance(Calendar,X2542,NDays&amp;"D")</f>
        <v>56990</v>
      </c>
      <c r="Z2542" s="174" t="e">
        <v>#N/A</v>
      </c>
      <c r="AA2542" s="177"/>
    </row>
    <row r="2543" spans="22:27" x14ac:dyDescent="0.2">
      <c r="V2543" s="163"/>
      <c r="W2543" s="158" t="str">
        <f t="shared" si="51"/>
        <v>1w</v>
      </c>
      <c r="X2543" s="168">
        <f>_xll.qlCalendarAdvance(Calendar,X2542,W2543,"f",FALSE)</f>
        <v>56997</v>
      </c>
      <c r="Y2543" s="173">
        <f>_xll.qlCalendarAdvance(Calendar,X2543,NDays&amp;"D")</f>
        <v>56997</v>
      </c>
      <c r="Z2543" s="174" t="e">
        <v>#N/A</v>
      </c>
      <c r="AA2543" s="177"/>
    </row>
    <row r="2544" spans="22:27" x14ac:dyDescent="0.2">
      <c r="V2544" s="163"/>
      <c r="W2544" s="158" t="str">
        <f t="shared" si="51"/>
        <v>1w</v>
      </c>
      <c r="X2544" s="168">
        <f>_xll.qlCalendarAdvance(Calendar,X2543,W2544,"f",FALSE)</f>
        <v>57004</v>
      </c>
      <c r="Y2544" s="173">
        <f>_xll.qlCalendarAdvance(Calendar,X2544,NDays&amp;"D")</f>
        <v>57004</v>
      </c>
      <c r="Z2544" s="174" t="e">
        <v>#N/A</v>
      </c>
      <c r="AA2544" s="177"/>
    </row>
    <row r="2545" spans="22:27" x14ac:dyDescent="0.2">
      <c r="V2545" s="163"/>
      <c r="W2545" s="158" t="str">
        <f t="shared" si="51"/>
        <v>1w</v>
      </c>
      <c r="X2545" s="168">
        <f>_xll.qlCalendarAdvance(Calendar,X2544,W2545,"f",FALSE)</f>
        <v>57011</v>
      </c>
      <c r="Y2545" s="173">
        <f>_xll.qlCalendarAdvance(Calendar,X2545,NDays&amp;"D")</f>
        <v>57011</v>
      </c>
      <c r="Z2545" s="174" t="e">
        <v>#N/A</v>
      </c>
      <c r="AA2545" s="177"/>
    </row>
    <row r="2546" spans="22:27" x14ac:dyDescent="0.2">
      <c r="V2546" s="163"/>
      <c r="W2546" s="158" t="str">
        <f t="shared" si="51"/>
        <v>1w</v>
      </c>
      <c r="X2546" s="168">
        <f>_xll.qlCalendarAdvance(Calendar,X2545,W2546,"f",FALSE)</f>
        <v>57018</v>
      </c>
      <c r="Y2546" s="173">
        <f>_xll.qlCalendarAdvance(Calendar,X2546,NDays&amp;"D")</f>
        <v>57018</v>
      </c>
      <c r="Z2546" s="174" t="e">
        <v>#N/A</v>
      </c>
      <c r="AA2546" s="177"/>
    </row>
    <row r="2547" spans="22:27" x14ac:dyDescent="0.2">
      <c r="V2547" s="163"/>
      <c r="W2547" s="158" t="str">
        <f t="shared" si="51"/>
        <v>1w</v>
      </c>
      <c r="X2547" s="168">
        <f>_xll.qlCalendarAdvance(Calendar,X2546,W2547,"f",FALSE)</f>
        <v>57025</v>
      </c>
      <c r="Y2547" s="173">
        <f>_xll.qlCalendarAdvance(Calendar,X2547,NDays&amp;"D")</f>
        <v>57025</v>
      </c>
      <c r="Z2547" s="174" t="e">
        <v>#N/A</v>
      </c>
      <c r="AA2547" s="177"/>
    </row>
    <row r="2548" spans="22:27" x14ac:dyDescent="0.2">
      <c r="V2548" s="163"/>
      <c r="W2548" s="158" t="str">
        <f t="shared" si="51"/>
        <v>1w</v>
      </c>
      <c r="X2548" s="168">
        <f>_xll.qlCalendarAdvance(Calendar,X2547,W2548,"f",FALSE)</f>
        <v>57032</v>
      </c>
      <c r="Y2548" s="173">
        <f>_xll.qlCalendarAdvance(Calendar,X2548,NDays&amp;"D")</f>
        <v>57032</v>
      </c>
      <c r="Z2548" s="174" t="e">
        <v>#N/A</v>
      </c>
      <c r="AA2548" s="177"/>
    </row>
    <row r="2549" spans="22:27" x14ac:dyDescent="0.2">
      <c r="V2549" s="163"/>
      <c r="W2549" s="158" t="str">
        <f t="shared" si="51"/>
        <v>1w</v>
      </c>
      <c r="X2549" s="168">
        <f>_xll.qlCalendarAdvance(Calendar,X2548,W2549,"f",FALSE)</f>
        <v>57039</v>
      </c>
      <c r="Y2549" s="173">
        <f>_xll.qlCalendarAdvance(Calendar,X2549,NDays&amp;"D")</f>
        <v>57039</v>
      </c>
      <c r="Z2549" s="174" t="e">
        <v>#N/A</v>
      </c>
      <c r="AA2549" s="177"/>
    </row>
    <row r="2550" spans="22:27" x14ac:dyDescent="0.2">
      <c r="V2550" s="163"/>
      <c r="W2550" s="158" t="str">
        <f t="shared" si="51"/>
        <v>1w</v>
      </c>
      <c r="X2550" s="168">
        <f>_xll.qlCalendarAdvance(Calendar,X2549,W2550,"f",FALSE)</f>
        <v>57046</v>
      </c>
      <c r="Y2550" s="173">
        <f>_xll.qlCalendarAdvance(Calendar,X2550,NDays&amp;"D")</f>
        <v>57046</v>
      </c>
      <c r="Z2550" s="174" t="e">
        <v>#N/A</v>
      </c>
      <c r="AA2550" s="177"/>
    </row>
    <row r="2551" spans="22:27" x14ac:dyDescent="0.2">
      <c r="V2551" s="163"/>
      <c r="W2551" s="158" t="str">
        <f t="shared" si="51"/>
        <v>1w</v>
      </c>
      <c r="X2551" s="168">
        <f>_xll.qlCalendarAdvance(Calendar,X2550,W2551,"f",FALSE)</f>
        <v>57053</v>
      </c>
      <c r="Y2551" s="173">
        <f>_xll.qlCalendarAdvance(Calendar,X2551,NDays&amp;"D")</f>
        <v>57053</v>
      </c>
      <c r="Z2551" s="174" t="e">
        <v>#N/A</v>
      </c>
      <c r="AA2551" s="177"/>
    </row>
    <row r="2552" spans="22:27" x14ac:dyDescent="0.2">
      <c r="V2552" s="163"/>
      <c r="W2552" s="158" t="str">
        <f t="shared" si="51"/>
        <v>1w</v>
      </c>
      <c r="X2552" s="168">
        <f>_xll.qlCalendarAdvance(Calendar,X2551,W2552,"f",FALSE)</f>
        <v>57060</v>
      </c>
      <c r="Y2552" s="173">
        <f>_xll.qlCalendarAdvance(Calendar,X2552,NDays&amp;"D")</f>
        <v>57060</v>
      </c>
      <c r="Z2552" s="174" t="e">
        <v>#N/A</v>
      </c>
      <c r="AA2552" s="177"/>
    </row>
    <row r="2553" spans="22:27" x14ac:dyDescent="0.2">
      <c r="V2553" s="163"/>
      <c r="W2553" s="158" t="str">
        <f t="shared" si="51"/>
        <v>1w</v>
      </c>
      <c r="X2553" s="168">
        <f>_xll.qlCalendarAdvance(Calendar,X2552,W2553,"f",FALSE)</f>
        <v>57067</v>
      </c>
      <c r="Y2553" s="173">
        <f>_xll.qlCalendarAdvance(Calendar,X2553,NDays&amp;"D")</f>
        <v>57067</v>
      </c>
      <c r="Z2553" s="174" t="e">
        <v>#N/A</v>
      </c>
      <c r="AA2553" s="177"/>
    </row>
    <row r="2554" spans="22:27" x14ac:dyDescent="0.2">
      <c r="V2554" s="163"/>
      <c r="W2554" s="158" t="str">
        <f t="shared" si="51"/>
        <v>1w</v>
      </c>
      <c r="X2554" s="168">
        <f>_xll.qlCalendarAdvance(Calendar,X2553,W2554,"f",FALSE)</f>
        <v>57074</v>
      </c>
      <c r="Y2554" s="173">
        <f>_xll.qlCalendarAdvance(Calendar,X2554,NDays&amp;"D")</f>
        <v>57074</v>
      </c>
      <c r="Z2554" s="174" t="e">
        <v>#N/A</v>
      </c>
      <c r="AA2554" s="177"/>
    </row>
    <row r="2555" spans="22:27" x14ac:dyDescent="0.2">
      <c r="V2555" s="163"/>
      <c r="W2555" s="158" t="str">
        <f t="shared" si="51"/>
        <v>1w</v>
      </c>
      <c r="X2555" s="168">
        <f>_xll.qlCalendarAdvance(Calendar,X2554,W2555,"f",FALSE)</f>
        <v>57081</v>
      </c>
      <c r="Y2555" s="173">
        <f>_xll.qlCalendarAdvance(Calendar,X2555,NDays&amp;"D")</f>
        <v>57081</v>
      </c>
      <c r="Z2555" s="174" t="e">
        <v>#N/A</v>
      </c>
      <c r="AA2555" s="177"/>
    </row>
    <row r="2556" spans="22:27" x14ac:dyDescent="0.2">
      <c r="V2556" s="163"/>
      <c r="W2556" s="158" t="str">
        <f t="shared" si="51"/>
        <v>1w</v>
      </c>
      <c r="X2556" s="168">
        <f>_xll.qlCalendarAdvance(Calendar,X2555,W2556,"f",FALSE)</f>
        <v>57088</v>
      </c>
      <c r="Y2556" s="173">
        <f>_xll.qlCalendarAdvance(Calendar,X2556,NDays&amp;"D")</f>
        <v>57088</v>
      </c>
      <c r="Z2556" s="174" t="e">
        <v>#N/A</v>
      </c>
      <c r="AA2556" s="177"/>
    </row>
    <row r="2557" spans="22:27" x14ac:dyDescent="0.2">
      <c r="V2557" s="163"/>
      <c r="W2557" s="158" t="str">
        <f t="shared" si="51"/>
        <v>1w</v>
      </c>
      <c r="X2557" s="168">
        <f>_xll.qlCalendarAdvance(Calendar,X2556,W2557,"f",FALSE)</f>
        <v>57095</v>
      </c>
      <c r="Y2557" s="173">
        <f>_xll.qlCalendarAdvance(Calendar,X2557,NDays&amp;"D")</f>
        <v>57095</v>
      </c>
      <c r="Z2557" s="174" t="e">
        <v>#N/A</v>
      </c>
      <c r="AA2557" s="177"/>
    </row>
    <row r="2558" spans="22:27" x14ac:dyDescent="0.2">
      <c r="V2558" s="163"/>
      <c r="W2558" s="158" t="str">
        <f t="shared" si="51"/>
        <v>1w</v>
      </c>
      <c r="X2558" s="168">
        <f>_xll.qlCalendarAdvance(Calendar,X2557,W2558,"f",FALSE)</f>
        <v>57102</v>
      </c>
      <c r="Y2558" s="173">
        <f>_xll.qlCalendarAdvance(Calendar,X2558,NDays&amp;"D")</f>
        <v>57102</v>
      </c>
      <c r="Z2558" s="174" t="e">
        <v>#N/A</v>
      </c>
      <c r="AA2558" s="177"/>
    </row>
    <row r="2559" spans="22:27" x14ac:dyDescent="0.2">
      <c r="V2559" s="163"/>
      <c r="W2559" s="158" t="str">
        <f t="shared" si="51"/>
        <v>1w</v>
      </c>
      <c r="X2559" s="168">
        <f>_xll.qlCalendarAdvance(Calendar,X2558,W2559,"f",FALSE)</f>
        <v>57109</v>
      </c>
      <c r="Y2559" s="173">
        <f>_xll.qlCalendarAdvance(Calendar,X2559,NDays&amp;"D")</f>
        <v>57109</v>
      </c>
      <c r="Z2559" s="174" t="e">
        <v>#N/A</v>
      </c>
      <c r="AA2559" s="177"/>
    </row>
    <row r="2560" spans="22:27" x14ac:dyDescent="0.2">
      <c r="V2560" s="163"/>
      <c r="W2560" s="158" t="str">
        <f t="shared" si="51"/>
        <v>1w</v>
      </c>
      <c r="X2560" s="168">
        <f>_xll.qlCalendarAdvance(Calendar,X2559,W2560,"f",FALSE)</f>
        <v>57116</v>
      </c>
      <c r="Y2560" s="173">
        <f>_xll.qlCalendarAdvance(Calendar,X2560,NDays&amp;"D")</f>
        <v>57116</v>
      </c>
      <c r="Z2560" s="174" t="e">
        <v>#N/A</v>
      </c>
      <c r="AA2560" s="177"/>
    </row>
    <row r="2561" spans="22:27" x14ac:dyDescent="0.2">
      <c r="V2561" s="163"/>
      <c r="W2561" s="158" t="str">
        <f t="shared" si="51"/>
        <v>1w</v>
      </c>
      <c r="X2561" s="168">
        <f>_xll.qlCalendarAdvance(Calendar,X2560,W2561,"f",FALSE)</f>
        <v>57123</v>
      </c>
      <c r="Y2561" s="173">
        <f>_xll.qlCalendarAdvance(Calendar,X2561,NDays&amp;"D")</f>
        <v>57123</v>
      </c>
      <c r="Z2561" s="174" t="e">
        <v>#N/A</v>
      </c>
      <c r="AA2561" s="177"/>
    </row>
    <row r="2562" spans="22:27" x14ac:dyDescent="0.2">
      <c r="V2562" s="163"/>
      <c r="W2562" s="158" t="str">
        <f t="shared" si="51"/>
        <v>1w</v>
      </c>
      <c r="X2562" s="168">
        <f>_xll.qlCalendarAdvance(Calendar,X2561,W2562,"f",FALSE)</f>
        <v>57130</v>
      </c>
      <c r="Y2562" s="173">
        <f>_xll.qlCalendarAdvance(Calendar,X2562,NDays&amp;"D")</f>
        <v>57130</v>
      </c>
      <c r="Z2562" s="174" t="e">
        <v>#N/A</v>
      </c>
      <c r="AA2562" s="177"/>
    </row>
    <row r="2563" spans="22:27" x14ac:dyDescent="0.2">
      <c r="V2563" s="163"/>
      <c r="W2563" s="158" t="str">
        <f t="shared" si="51"/>
        <v>1w</v>
      </c>
      <c r="X2563" s="168">
        <f>_xll.qlCalendarAdvance(Calendar,X2562,W2563,"f",FALSE)</f>
        <v>57137</v>
      </c>
      <c r="Y2563" s="173">
        <f>_xll.qlCalendarAdvance(Calendar,X2563,NDays&amp;"D")</f>
        <v>57137</v>
      </c>
      <c r="Z2563" s="174" t="e">
        <v>#N/A</v>
      </c>
      <c r="AA2563" s="177"/>
    </row>
    <row r="2564" spans="22:27" x14ac:dyDescent="0.2">
      <c r="V2564" s="163"/>
      <c r="W2564" s="158" t="str">
        <f t="shared" si="51"/>
        <v>1w</v>
      </c>
      <c r="X2564" s="168">
        <f>_xll.qlCalendarAdvance(Calendar,X2563,W2564,"f",FALSE)</f>
        <v>57144</v>
      </c>
      <c r="Y2564" s="173">
        <f>_xll.qlCalendarAdvance(Calendar,X2564,NDays&amp;"D")</f>
        <v>57144</v>
      </c>
      <c r="Z2564" s="174" t="e">
        <v>#N/A</v>
      </c>
      <c r="AA2564" s="177"/>
    </row>
    <row r="2565" spans="22:27" x14ac:dyDescent="0.2">
      <c r="V2565" s="163"/>
      <c r="W2565" s="158" t="str">
        <f t="shared" si="51"/>
        <v>1w</v>
      </c>
      <c r="X2565" s="168">
        <f>_xll.qlCalendarAdvance(Calendar,X2564,W2565,"f",FALSE)</f>
        <v>57151</v>
      </c>
      <c r="Y2565" s="173">
        <f>_xll.qlCalendarAdvance(Calendar,X2565,NDays&amp;"D")</f>
        <v>57151</v>
      </c>
      <c r="Z2565" s="174" t="e">
        <v>#N/A</v>
      </c>
      <c r="AA2565" s="177"/>
    </row>
    <row r="2566" spans="22:27" x14ac:dyDescent="0.2">
      <c r="V2566" s="163"/>
      <c r="W2566" s="158" t="str">
        <f t="shared" si="51"/>
        <v>1w</v>
      </c>
      <c r="X2566" s="168">
        <f>_xll.qlCalendarAdvance(Calendar,X2565,W2566,"f",FALSE)</f>
        <v>57158</v>
      </c>
      <c r="Y2566" s="173">
        <f>_xll.qlCalendarAdvance(Calendar,X2566,NDays&amp;"D")</f>
        <v>57158</v>
      </c>
      <c r="Z2566" s="174" t="e">
        <v>#N/A</v>
      </c>
      <c r="AA2566" s="177"/>
    </row>
    <row r="2567" spans="22:27" x14ac:dyDescent="0.2">
      <c r="V2567" s="163"/>
      <c r="W2567" s="158" t="str">
        <f t="shared" si="51"/>
        <v>1w</v>
      </c>
      <c r="X2567" s="168">
        <f>_xll.qlCalendarAdvance(Calendar,X2566,W2567,"f",FALSE)</f>
        <v>57165</v>
      </c>
      <c r="Y2567" s="173">
        <f>_xll.qlCalendarAdvance(Calendar,X2567,NDays&amp;"D")</f>
        <v>57165</v>
      </c>
      <c r="Z2567" s="174" t="e">
        <v>#N/A</v>
      </c>
      <c r="AA2567" s="177"/>
    </row>
    <row r="2568" spans="22:27" x14ac:dyDescent="0.2">
      <c r="V2568" s="163"/>
      <c r="W2568" s="158" t="str">
        <f t="shared" si="51"/>
        <v>1w</v>
      </c>
      <c r="X2568" s="168">
        <f>_xll.qlCalendarAdvance(Calendar,X2567,W2568,"f",FALSE)</f>
        <v>57172</v>
      </c>
      <c r="Y2568" s="173">
        <f>_xll.qlCalendarAdvance(Calendar,X2568,NDays&amp;"D")</f>
        <v>57172</v>
      </c>
      <c r="Z2568" s="174" t="e">
        <v>#N/A</v>
      </c>
      <c r="AA2568" s="177"/>
    </row>
    <row r="2569" spans="22:27" x14ac:dyDescent="0.2">
      <c r="V2569" s="163"/>
      <c r="W2569" s="158" t="str">
        <f t="shared" si="51"/>
        <v>1w</v>
      </c>
      <c r="X2569" s="168">
        <f>_xll.qlCalendarAdvance(Calendar,X2568,W2569,"f",FALSE)</f>
        <v>57179</v>
      </c>
      <c r="Y2569" s="173">
        <f>_xll.qlCalendarAdvance(Calendar,X2569,NDays&amp;"D")</f>
        <v>57179</v>
      </c>
      <c r="Z2569" s="174" t="e">
        <v>#N/A</v>
      </c>
      <c r="AA2569" s="177"/>
    </row>
    <row r="2570" spans="22:27" x14ac:dyDescent="0.2">
      <c r="V2570" s="163"/>
      <c r="W2570" s="158" t="str">
        <f t="shared" si="51"/>
        <v>1w</v>
      </c>
      <c r="X2570" s="168">
        <f>_xll.qlCalendarAdvance(Calendar,X2569,W2570,"f",FALSE)</f>
        <v>57186</v>
      </c>
      <c r="Y2570" s="173">
        <f>_xll.qlCalendarAdvance(Calendar,X2570,NDays&amp;"D")</f>
        <v>57186</v>
      </c>
      <c r="Z2570" s="174" t="e">
        <v>#N/A</v>
      </c>
      <c r="AA2570" s="177"/>
    </row>
    <row r="2571" spans="22:27" x14ac:dyDescent="0.2">
      <c r="V2571" s="163"/>
      <c r="W2571" s="158" t="str">
        <f t="shared" si="51"/>
        <v>1w</v>
      </c>
      <c r="X2571" s="168">
        <f>_xll.qlCalendarAdvance(Calendar,X2570,W2571,"f",FALSE)</f>
        <v>57193</v>
      </c>
      <c r="Y2571" s="173">
        <f>_xll.qlCalendarAdvance(Calendar,X2571,NDays&amp;"D")</f>
        <v>57193</v>
      </c>
      <c r="Z2571" s="174" t="e">
        <v>#N/A</v>
      </c>
      <c r="AA2571" s="177"/>
    </row>
    <row r="2572" spans="22:27" x14ac:dyDescent="0.2">
      <c r="V2572" s="163"/>
      <c r="W2572" s="158" t="str">
        <f t="shared" si="51"/>
        <v>1w</v>
      </c>
      <c r="X2572" s="168">
        <f>_xll.qlCalendarAdvance(Calendar,X2571,W2572,"f",FALSE)</f>
        <v>57200</v>
      </c>
      <c r="Y2572" s="173">
        <f>_xll.qlCalendarAdvance(Calendar,X2572,NDays&amp;"D")</f>
        <v>57200</v>
      </c>
      <c r="Z2572" s="174" t="e">
        <v>#N/A</v>
      </c>
      <c r="AA2572" s="177"/>
    </row>
    <row r="2573" spans="22:27" x14ac:dyDescent="0.2">
      <c r="V2573" s="163"/>
      <c r="W2573" s="158" t="str">
        <f t="shared" ref="W2573:W2636" si="52">W2572</f>
        <v>1w</v>
      </c>
      <c r="X2573" s="168">
        <f>_xll.qlCalendarAdvance(Calendar,X2572,W2573,"f",FALSE)</f>
        <v>57207</v>
      </c>
      <c r="Y2573" s="173">
        <f>_xll.qlCalendarAdvance(Calendar,X2573,NDays&amp;"D")</f>
        <v>57207</v>
      </c>
      <c r="Z2573" s="174" t="e">
        <v>#N/A</v>
      </c>
      <c r="AA2573" s="177"/>
    </row>
    <row r="2574" spans="22:27" x14ac:dyDescent="0.2">
      <c r="V2574" s="163"/>
      <c r="W2574" s="158" t="str">
        <f t="shared" si="52"/>
        <v>1w</v>
      </c>
      <c r="X2574" s="168">
        <f>_xll.qlCalendarAdvance(Calendar,X2573,W2574,"f",FALSE)</f>
        <v>57214</v>
      </c>
      <c r="Y2574" s="173">
        <f>_xll.qlCalendarAdvance(Calendar,X2574,NDays&amp;"D")</f>
        <v>57214</v>
      </c>
      <c r="Z2574" s="174" t="e">
        <v>#N/A</v>
      </c>
      <c r="AA2574" s="177"/>
    </row>
    <row r="2575" spans="22:27" x14ac:dyDescent="0.2">
      <c r="V2575" s="163"/>
      <c r="W2575" s="158" t="str">
        <f t="shared" si="52"/>
        <v>1w</v>
      </c>
      <c r="X2575" s="168">
        <f>_xll.qlCalendarAdvance(Calendar,X2574,W2575,"f",FALSE)</f>
        <v>57221</v>
      </c>
      <c r="Y2575" s="173">
        <f>_xll.qlCalendarAdvance(Calendar,X2575,NDays&amp;"D")</f>
        <v>57221</v>
      </c>
      <c r="Z2575" s="174" t="e">
        <v>#N/A</v>
      </c>
      <c r="AA2575" s="177"/>
    </row>
    <row r="2576" spans="22:27" x14ac:dyDescent="0.2">
      <c r="V2576" s="163"/>
      <c r="W2576" s="158" t="str">
        <f t="shared" si="52"/>
        <v>1w</v>
      </c>
      <c r="X2576" s="168">
        <f>_xll.qlCalendarAdvance(Calendar,X2575,W2576,"f",FALSE)</f>
        <v>57228</v>
      </c>
      <c r="Y2576" s="173">
        <f>_xll.qlCalendarAdvance(Calendar,X2576,NDays&amp;"D")</f>
        <v>57228</v>
      </c>
      <c r="Z2576" s="174" t="e">
        <v>#N/A</v>
      </c>
      <c r="AA2576" s="177"/>
    </row>
    <row r="2577" spans="22:27" x14ac:dyDescent="0.2">
      <c r="V2577" s="163"/>
      <c r="W2577" s="158" t="str">
        <f t="shared" si="52"/>
        <v>1w</v>
      </c>
      <c r="X2577" s="168">
        <f>_xll.qlCalendarAdvance(Calendar,X2576,W2577,"f",FALSE)</f>
        <v>57235</v>
      </c>
      <c r="Y2577" s="173">
        <f>_xll.qlCalendarAdvance(Calendar,X2577,NDays&amp;"D")</f>
        <v>57235</v>
      </c>
      <c r="Z2577" s="174" t="e">
        <v>#N/A</v>
      </c>
      <c r="AA2577" s="177"/>
    </row>
    <row r="2578" spans="22:27" x14ac:dyDescent="0.2">
      <c r="V2578" s="163"/>
      <c r="W2578" s="158" t="str">
        <f t="shared" si="52"/>
        <v>1w</v>
      </c>
      <c r="X2578" s="168">
        <f>_xll.qlCalendarAdvance(Calendar,X2577,W2578,"f",FALSE)</f>
        <v>57242</v>
      </c>
      <c r="Y2578" s="173">
        <f>_xll.qlCalendarAdvance(Calendar,X2578,NDays&amp;"D")</f>
        <v>57242</v>
      </c>
      <c r="Z2578" s="174" t="e">
        <v>#N/A</v>
      </c>
      <c r="AA2578" s="177"/>
    </row>
    <row r="2579" spans="22:27" x14ac:dyDescent="0.2">
      <c r="V2579" s="163"/>
      <c r="W2579" s="158" t="str">
        <f t="shared" si="52"/>
        <v>1w</v>
      </c>
      <c r="X2579" s="168">
        <f>_xll.qlCalendarAdvance(Calendar,X2578,W2579,"f",FALSE)</f>
        <v>57249</v>
      </c>
      <c r="Y2579" s="173">
        <f>_xll.qlCalendarAdvance(Calendar,X2579,NDays&amp;"D")</f>
        <v>57249</v>
      </c>
      <c r="Z2579" s="174" t="e">
        <v>#N/A</v>
      </c>
      <c r="AA2579" s="177"/>
    </row>
    <row r="2580" spans="22:27" x14ac:dyDescent="0.2">
      <c r="V2580" s="163"/>
      <c r="W2580" s="158" t="str">
        <f t="shared" si="52"/>
        <v>1w</v>
      </c>
      <c r="X2580" s="168">
        <f>_xll.qlCalendarAdvance(Calendar,X2579,W2580,"f",FALSE)</f>
        <v>57256</v>
      </c>
      <c r="Y2580" s="173">
        <f>_xll.qlCalendarAdvance(Calendar,X2580,NDays&amp;"D")</f>
        <v>57256</v>
      </c>
      <c r="Z2580" s="174" t="e">
        <v>#N/A</v>
      </c>
      <c r="AA2580" s="177"/>
    </row>
    <row r="2581" spans="22:27" x14ac:dyDescent="0.2">
      <c r="V2581" s="163"/>
      <c r="W2581" s="158" t="str">
        <f t="shared" si="52"/>
        <v>1w</v>
      </c>
      <c r="X2581" s="168">
        <f>_xll.qlCalendarAdvance(Calendar,X2580,W2581,"f",FALSE)</f>
        <v>57263</v>
      </c>
      <c r="Y2581" s="173">
        <f>_xll.qlCalendarAdvance(Calendar,X2581,NDays&amp;"D")</f>
        <v>57263</v>
      </c>
      <c r="Z2581" s="174" t="e">
        <v>#N/A</v>
      </c>
      <c r="AA2581" s="177"/>
    </row>
    <row r="2582" spans="22:27" x14ac:dyDescent="0.2">
      <c r="V2582" s="163"/>
      <c r="W2582" s="158" t="str">
        <f t="shared" si="52"/>
        <v>1w</v>
      </c>
      <c r="X2582" s="168">
        <f>_xll.qlCalendarAdvance(Calendar,X2581,W2582,"f",FALSE)</f>
        <v>57270</v>
      </c>
      <c r="Y2582" s="173">
        <f>_xll.qlCalendarAdvance(Calendar,X2582,NDays&amp;"D")</f>
        <v>57270</v>
      </c>
      <c r="Z2582" s="174" t="e">
        <v>#N/A</v>
      </c>
      <c r="AA2582" s="177"/>
    </row>
    <row r="2583" spans="22:27" x14ac:dyDescent="0.2">
      <c r="V2583" s="163"/>
      <c r="W2583" s="158" t="str">
        <f t="shared" si="52"/>
        <v>1w</v>
      </c>
      <c r="X2583" s="168">
        <f>_xll.qlCalendarAdvance(Calendar,X2582,W2583,"f",FALSE)</f>
        <v>57277</v>
      </c>
      <c r="Y2583" s="173">
        <f>_xll.qlCalendarAdvance(Calendar,X2583,NDays&amp;"D")</f>
        <v>57277</v>
      </c>
      <c r="Z2583" s="174" t="e">
        <v>#N/A</v>
      </c>
      <c r="AA2583" s="177"/>
    </row>
    <row r="2584" spans="22:27" x14ac:dyDescent="0.2">
      <c r="V2584" s="163"/>
      <c r="W2584" s="158" t="str">
        <f t="shared" si="52"/>
        <v>1w</v>
      </c>
      <c r="X2584" s="168">
        <f>_xll.qlCalendarAdvance(Calendar,X2583,W2584,"f",FALSE)</f>
        <v>57284</v>
      </c>
      <c r="Y2584" s="173">
        <f>_xll.qlCalendarAdvance(Calendar,X2584,NDays&amp;"D")</f>
        <v>57284</v>
      </c>
      <c r="Z2584" s="174" t="e">
        <v>#N/A</v>
      </c>
      <c r="AA2584" s="177"/>
    </row>
    <row r="2585" spans="22:27" x14ac:dyDescent="0.2">
      <c r="V2585" s="163"/>
      <c r="W2585" s="158" t="str">
        <f t="shared" si="52"/>
        <v>1w</v>
      </c>
      <c r="X2585" s="168">
        <f>_xll.qlCalendarAdvance(Calendar,X2584,W2585,"f",FALSE)</f>
        <v>57291</v>
      </c>
      <c r="Y2585" s="173">
        <f>_xll.qlCalendarAdvance(Calendar,X2585,NDays&amp;"D")</f>
        <v>57291</v>
      </c>
      <c r="Z2585" s="174" t="e">
        <v>#N/A</v>
      </c>
      <c r="AA2585" s="177"/>
    </row>
    <row r="2586" spans="22:27" x14ac:dyDescent="0.2">
      <c r="V2586" s="163"/>
      <c r="W2586" s="158" t="str">
        <f t="shared" si="52"/>
        <v>1w</v>
      </c>
      <c r="X2586" s="168">
        <f>_xll.qlCalendarAdvance(Calendar,X2585,W2586,"f",FALSE)</f>
        <v>57298</v>
      </c>
      <c r="Y2586" s="173">
        <f>_xll.qlCalendarAdvance(Calendar,X2586,NDays&amp;"D")</f>
        <v>57298</v>
      </c>
      <c r="Z2586" s="174" t="e">
        <v>#N/A</v>
      </c>
      <c r="AA2586" s="177"/>
    </row>
    <row r="2587" spans="22:27" x14ac:dyDescent="0.2">
      <c r="V2587" s="163"/>
      <c r="W2587" s="158" t="str">
        <f t="shared" si="52"/>
        <v>1w</v>
      </c>
      <c r="X2587" s="168">
        <f>_xll.qlCalendarAdvance(Calendar,X2586,W2587,"f",FALSE)</f>
        <v>57305</v>
      </c>
      <c r="Y2587" s="173">
        <f>_xll.qlCalendarAdvance(Calendar,X2587,NDays&amp;"D")</f>
        <v>57305</v>
      </c>
      <c r="Z2587" s="174" t="e">
        <v>#N/A</v>
      </c>
      <c r="AA2587" s="177"/>
    </row>
    <row r="2588" spans="22:27" x14ac:dyDescent="0.2">
      <c r="V2588" s="163"/>
      <c r="W2588" s="158" t="str">
        <f t="shared" si="52"/>
        <v>1w</v>
      </c>
      <c r="X2588" s="168">
        <f>_xll.qlCalendarAdvance(Calendar,X2587,W2588,"f",FALSE)</f>
        <v>57312</v>
      </c>
      <c r="Y2588" s="173">
        <f>_xll.qlCalendarAdvance(Calendar,X2588,NDays&amp;"D")</f>
        <v>57312</v>
      </c>
      <c r="Z2588" s="174" t="e">
        <v>#N/A</v>
      </c>
      <c r="AA2588" s="177"/>
    </row>
    <row r="2589" spans="22:27" x14ac:dyDescent="0.2">
      <c r="V2589" s="163"/>
      <c r="W2589" s="158" t="str">
        <f t="shared" si="52"/>
        <v>1w</v>
      </c>
      <c r="X2589" s="168">
        <f>_xll.qlCalendarAdvance(Calendar,X2588,W2589,"f",FALSE)</f>
        <v>57319</v>
      </c>
      <c r="Y2589" s="173">
        <f>_xll.qlCalendarAdvance(Calendar,X2589,NDays&amp;"D")</f>
        <v>57319</v>
      </c>
      <c r="Z2589" s="174" t="e">
        <v>#N/A</v>
      </c>
      <c r="AA2589" s="177"/>
    </row>
    <row r="2590" spans="22:27" x14ac:dyDescent="0.2">
      <c r="V2590" s="163"/>
      <c r="W2590" s="158" t="str">
        <f t="shared" si="52"/>
        <v>1w</v>
      </c>
      <c r="X2590" s="168">
        <f>_xll.qlCalendarAdvance(Calendar,X2589,W2590,"f",FALSE)</f>
        <v>57326</v>
      </c>
      <c r="Y2590" s="173">
        <f>_xll.qlCalendarAdvance(Calendar,X2590,NDays&amp;"D")</f>
        <v>57326</v>
      </c>
      <c r="Z2590" s="174" t="e">
        <v>#N/A</v>
      </c>
      <c r="AA2590" s="177"/>
    </row>
    <row r="2591" spans="22:27" x14ac:dyDescent="0.2">
      <c r="V2591" s="163"/>
      <c r="W2591" s="158" t="str">
        <f t="shared" si="52"/>
        <v>1w</v>
      </c>
      <c r="X2591" s="168">
        <f>_xll.qlCalendarAdvance(Calendar,X2590,W2591,"f",FALSE)</f>
        <v>57333</v>
      </c>
      <c r="Y2591" s="173">
        <f>_xll.qlCalendarAdvance(Calendar,X2591,NDays&amp;"D")</f>
        <v>57333</v>
      </c>
      <c r="Z2591" s="174" t="e">
        <v>#N/A</v>
      </c>
      <c r="AA2591" s="177"/>
    </row>
    <row r="2592" spans="22:27" x14ac:dyDescent="0.2">
      <c r="V2592" s="163"/>
      <c r="W2592" s="158" t="str">
        <f t="shared" si="52"/>
        <v>1w</v>
      </c>
      <c r="X2592" s="168">
        <f>_xll.qlCalendarAdvance(Calendar,X2591,W2592,"f",FALSE)</f>
        <v>57340</v>
      </c>
      <c r="Y2592" s="173">
        <f>_xll.qlCalendarAdvance(Calendar,X2592,NDays&amp;"D")</f>
        <v>57340</v>
      </c>
      <c r="Z2592" s="174" t="e">
        <v>#N/A</v>
      </c>
      <c r="AA2592" s="177"/>
    </row>
    <row r="2593" spans="22:27" x14ac:dyDescent="0.2">
      <c r="V2593" s="163"/>
      <c r="W2593" s="158" t="str">
        <f t="shared" si="52"/>
        <v>1w</v>
      </c>
      <c r="X2593" s="168">
        <f>_xll.qlCalendarAdvance(Calendar,X2592,W2593,"f",FALSE)</f>
        <v>57349</v>
      </c>
      <c r="Y2593" s="173">
        <f>_xll.qlCalendarAdvance(Calendar,X2593,NDays&amp;"D")</f>
        <v>57349</v>
      </c>
      <c r="Z2593" s="174" t="e">
        <v>#N/A</v>
      </c>
      <c r="AA2593" s="177"/>
    </row>
    <row r="2594" spans="22:27" x14ac:dyDescent="0.2">
      <c r="V2594" s="163"/>
      <c r="W2594" s="158" t="str">
        <f t="shared" si="52"/>
        <v>1w</v>
      </c>
      <c r="X2594" s="168">
        <f>_xll.qlCalendarAdvance(Calendar,X2593,W2594,"f",FALSE)</f>
        <v>57356</v>
      </c>
      <c r="Y2594" s="173">
        <f>_xll.qlCalendarAdvance(Calendar,X2594,NDays&amp;"D")</f>
        <v>57356</v>
      </c>
      <c r="Z2594" s="174" t="e">
        <v>#N/A</v>
      </c>
      <c r="AA2594" s="177"/>
    </row>
    <row r="2595" spans="22:27" x14ac:dyDescent="0.2">
      <c r="V2595" s="163"/>
      <c r="W2595" s="158" t="str">
        <f t="shared" si="52"/>
        <v>1w</v>
      </c>
      <c r="X2595" s="168">
        <f>_xll.qlCalendarAdvance(Calendar,X2594,W2595,"f",FALSE)</f>
        <v>57363</v>
      </c>
      <c r="Y2595" s="173">
        <f>_xll.qlCalendarAdvance(Calendar,X2595,NDays&amp;"D")</f>
        <v>57363</v>
      </c>
      <c r="Z2595" s="174" t="e">
        <v>#N/A</v>
      </c>
      <c r="AA2595" s="177"/>
    </row>
    <row r="2596" spans="22:27" x14ac:dyDescent="0.2">
      <c r="V2596" s="163"/>
      <c r="W2596" s="158" t="str">
        <f t="shared" si="52"/>
        <v>1w</v>
      </c>
      <c r="X2596" s="168">
        <f>_xll.qlCalendarAdvance(Calendar,X2595,W2596,"f",FALSE)</f>
        <v>57370</v>
      </c>
      <c r="Y2596" s="173">
        <f>_xll.qlCalendarAdvance(Calendar,X2596,NDays&amp;"D")</f>
        <v>57370</v>
      </c>
      <c r="Z2596" s="174" t="e">
        <v>#N/A</v>
      </c>
      <c r="AA2596" s="177"/>
    </row>
    <row r="2597" spans="22:27" x14ac:dyDescent="0.2">
      <c r="V2597" s="163"/>
      <c r="W2597" s="158" t="str">
        <f t="shared" si="52"/>
        <v>1w</v>
      </c>
      <c r="X2597" s="168">
        <f>_xll.qlCalendarAdvance(Calendar,X2596,W2597,"f",FALSE)</f>
        <v>57377</v>
      </c>
      <c r="Y2597" s="173">
        <f>_xll.qlCalendarAdvance(Calendar,X2597,NDays&amp;"D")</f>
        <v>57377</v>
      </c>
      <c r="Z2597" s="174" t="e">
        <v>#N/A</v>
      </c>
      <c r="AA2597" s="177"/>
    </row>
    <row r="2598" spans="22:27" x14ac:dyDescent="0.2">
      <c r="V2598" s="163"/>
      <c r="W2598" s="158" t="str">
        <f t="shared" si="52"/>
        <v>1w</v>
      </c>
      <c r="X2598" s="168">
        <f>_xll.qlCalendarAdvance(Calendar,X2597,W2598,"f",FALSE)</f>
        <v>57384</v>
      </c>
      <c r="Y2598" s="173">
        <f>_xll.qlCalendarAdvance(Calendar,X2598,NDays&amp;"D")</f>
        <v>57384</v>
      </c>
      <c r="Z2598" s="174" t="e">
        <v>#N/A</v>
      </c>
      <c r="AA2598" s="177"/>
    </row>
    <row r="2599" spans="22:27" x14ac:dyDescent="0.2">
      <c r="V2599" s="163"/>
      <c r="W2599" s="158" t="str">
        <f t="shared" si="52"/>
        <v>1w</v>
      </c>
      <c r="X2599" s="168">
        <f>_xll.qlCalendarAdvance(Calendar,X2598,W2599,"f",FALSE)</f>
        <v>57391</v>
      </c>
      <c r="Y2599" s="173">
        <f>_xll.qlCalendarAdvance(Calendar,X2599,NDays&amp;"D")</f>
        <v>57391</v>
      </c>
      <c r="Z2599" s="174" t="e">
        <v>#N/A</v>
      </c>
      <c r="AA2599" s="177"/>
    </row>
    <row r="2600" spans="22:27" x14ac:dyDescent="0.2">
      <c r="V2600" s="163"/>
      <c r="W2600" s="158" t="str">
        <f t="shared" si="52"/>
        <v>1w</v>
      </c>
      <c r="X2600" s="168">
        <f>_xll.qlCalendarAdvance(Calendar,X2599,W2600,"f",FALSE)</f>
        <v>57398</v>
      </c>
      <c r="Y2600" s="173">
        <f>_xll.qlCalendarAdvance(Calendar,X2600,NDays&amp;"D")</f>
        <v>57398</v>
      </c>
      <c r="Z2600" s="174" t="e">
        <v>#N/A</v>
      </c>
      <c r="AA2600" s="177"/>
    </row>
    <row r="2601" spans="22:27" x14ac:dyDescent="0.2">
      <c r="V2601" s="163"/>
      <c r="W2601" s="158" t="str">
        <f t="shared" si="52"/>
        <v>1w</v>
      </c>
      <c r="X2601" s="168">
        <f>_xll.qlCalendarAdvance(Calendar,X2600,W2601,"f",FALSE)</f>
        <v>57405</v>
      </c>
      <c r="Y2601" s="173">
        <f>_xll.qlCalendarAdvance(Calendar,X2601,NDays&amp;"D")</f>
        <v>57405</v>
      </c>
      <c r="Z2601" s="174" t="e">
        <v>#N/A</v>
      </c>
      <c r="AA2601" s="177"/>
    </row>
    <row r="2602" spans="22:27" x14ac:dyDescent="0.2">
      <c r="V2602" s="163"/>
      <c r="W2602" s="158" t="str">
        <f t="shared" si="52"/>
        <v>1w</v>
      </c>
      <c r="X2602" s="168">
        <f>_xll.qlCalendarAdvance(Calendar,X2601,W2602,"f",FALSE)</f>
        <v>57412</v>
      </c>
      <c r="Y2602" s="173">
        <f>_xll.qlCalendarAdvance(Calendar,X2602,NDays&amp;"D")</f>
        <v>57412</v>
      </c>
      <c r="Z2602" s="174" t="e">
        <v>#N/A</v>
      </c>
      <c r="AA2602" s="177"/>
    </row>
    <row r="2603" spans="22:27" x14ac:dyDescent="0.2">
      <c r="V2603" s="163"/>
      <c r="W2603" s="158" t="str">
        <f t="shared" si="52"/>
        <v>1w</v>
      </c>
      <c r="X2603" s="168">
        <f>_xll.qlCalendarAdvance(Calendar,X2602,W2603,"f",FALSE)</f>
        <v>57419</v>
      </c>
      <c r="Y2603" s="173">
        <f>_xll.qlCalendarAdvance(Calendar,X2603,NDays&amp;"D")</f>
        <v>57419</v>
      </c>
      <c r="Z2603" s="174" t="e">
        <v>#N/A</v>
      </c>
      <c r="AA2603" s="177"/>
    </row>
    <row r="2604" spans="22:27" x14ac:dyDescent="0.2">
      <c r="V2604" s="163"/>
      <c r="W2604" s="158" t="str">
        <f t="shared" si="52"/>
        <v>1w</v>
      </c>
      <c r="X2604" s="168">
        <f>_xll.qlCalendarAdvance(Calendar,X2603,W2604,"f",FALSE)</f>
        <v>57426</v>
      </c>
      <c r="Y2604" s="173">
        <f>_xll.qlCalendarAdvance(Calendar,X2604,NDays&amp;"D")</f>
        <v>57426</v>
      </c>
      <c r="Z2604" s="174" t="e">
        <v>#N/A</v>
      </c>
      <c r="AA2604" s="177"/>
    </row>
    <row r="2605" spans="22:27" x14ac:dyDescent="0.2">
      <c r="V2605" s="163"/>
      <c r="W2605" s="158" t="str">
        <f t="shared" si="52"/>
        <v>1w</v>
      </c>
      <c r="X2605" s="168">
        <f>_xll.qlCalendarAdvance(Calendar,X2604,W2605,"f",FALSE)</f>
        <v>57433</v>
      </c>
      <c r="Y2605" s="173">
        <f>_xll.qlCalendarAdvance(Calendar,X2605,NDays&amp;"D")</f>
        <v>57433</v>
      </c>
      <c r="Z2605" s="174" t="e">
        <v>#N/A</v>
      </c>
      <c r="AA2605" s="177"/>
    </row>
    <row r="2606" spans="22:27" x14ac:dyDescent="0.2">
      <c r="V2606" s="163"/>
      <c r="W2606" s="158" t="str">
        <f t="shared" si="52"/>
        <v>1w</v>
      </c>
      <c r="X2606" s="168">
        <f>_xll.qlCalendarAdvance(Calendar,X2605,W2606,"f",FALSE)</f>
        <v>57440</v>
      </c>
      <c r="Y2606" s="173">
        <f>_xll.qlCalendarAdvance(Calendar,X2606,NDays&amp;"D")</f>
        <v>57440</v>
      </c>
      <c r="Z2606" s="174" t="e">
        <v>#N/A</v>
      </c>
      <c r="AA2606" s="177"/>
    </row>
    <row r="2607" spans="22:27" x14ac:dyDescent="0.2">
      <c r="V2607" s="163"/>
      <c r="W2607" s="158" t="str">
        <f t="shared" si="52"/>
        <v>1w</v>
      </c>
      <c r="X2607" s="168">
        <f>_xll.qlCalendarAdvance(Calendar,X2606,W2607,"f",FALSE)</f>
        <v>57447</v>
      </c>
      <c r="Y2607" s="173">
        <f>_xll.qlCalendarAdvance(Calendar,X2607,NDays&amp;"D")</f>
        <v>57447</v>
      </c>
      <c r="Z2607" s="174" t="e">
        <v>#N/A</v>
      </c>
      <c r="AA2607" s="177"/>
    </row>
    <row r="2608" spans="22:27" x14ac:dyDescent="0.2">
      <c r="V2608" s="163"/>
      <c r="W2608" s="158" t="str">
        <f t="shared" si="52"/>
        <v>1w</v>
      </c>
      <c r="X2608" s="168">
        <f>_xll.qlCalendarAdvance(Calendar,X2607,W2608,"f",FALSE)</f>
        <v>57454</v>
      </c>
      <c r="Y2608" s="173">
        <f>_xll.qlCalendarAdvance(Calendar,X2608,NDays&amp;"D")</f>
        <v>57454</v>
      </c>
      <c r="Z2608" s="174" t="e">
        <v>#N/A</v>
      </c>
      <c r="AA2608" s="177"/>
    </row>
    <row r="2609" spans="22:27" x14ac:dyDescent="0.2">
      <c r="V2609" s="163"/>
      <c r="W2609" s="158" t="str">
        <f t="shared" si="52"/>
        <v>1w</v>
      </c>
      <c r="X2609" s="168">
        <f>_xll.qlCalendarAdvance(Calendar,X2608,W2609,"f",FALSE)</f>
        <v>57461</v>
      </c>
      <c r="Y2609" s="173">
        <f>_xll.qlCalendarAdvance(Calendar,X2609,NDays&amp;"D")</f>
        <v>57461</v>
      </c>
      <c r="Z2609" s="174" t="e">
        <v>#N/A</v>
      </c>
      <c r="AA2609" s="177"/>
    </row>
    <row r="2610" spans="22:27" x14ac:dyDescent="0.2">
      <c r="V2610" s="163"/>
      <c r="W2610" s="158" t="str">
        <f t="shared" si="52"/>
        <v>1w</v>
      </c>
      <c r="X2610" s="168">
        <f>_xll.qlCalendarAdvance(Calendar,X2609,W2610,"f",FALSE)</f>
        <v>57472</v>
      </c>
      <c r="Y2610" s="173">
        <f>_xll.qlCalendarAdvance(Calendar,X2610,NDays&amp;"D")</f>
        <v>57472</v>
      </c>
      <c r="Z2610" s="174" t="e">
        <v>#N/A</v>
      </c>
      <c r="AA2610" s="177"/>
    </row>
    <row r="2611" spans="22:27" x14ac:dyDescent="0.2">
      <c r="V2611" s="163"/>
      <c r="W2611" s="158" t="str">
        <f t="shared" si="52"/>
        <v>1w</v>
      </c>
      <c r="X2611" s="168">
        <f>_xll.qlCalendarAdvance(Calendar,X2610,W2611,"f",FALSE)</f>
        <v>57479</v>
      </c>
      <c r="Y2611" s="173">
        <f>_xll.qlCalendarAdvance(Calendar,X2611,NDays&amp;"D")</f>
        <v>57479</v>
      </c>
      <c r="Z2611" s="174" t="e">
        <v>#N/A</v>
      </c>
      <c r="AA2611" s="177"/>
    </row>
    <row r="2612" spans="22:27" x14ac:dyDescent="0.2">
      <c r="V2612" s="163"/>
      <c r="W2612" s="158" t="str">
        <f t="shared" si="52"/>
        <v>1w</v>
      </c>
      <c r="X2612" s="168">
        <f>_xll.qlCalendarAdvance(Calendar,X2611,W2612,"f",FALSE)</f>
        <v>57486</v>
      </c>
      <c r="Y2612" s="173">
        <f>_xll.qlCalendarAdvance(Calendar,X2612,NDays&amp;"D")</f>
        <v>57486</v>
      </c>
      <c r="Z2612" s="174" t="e">
        <v>#N/A</v>
      </c>
      <c r="AA2612" s="177"/>
    </row>
    <row r="2613" spans="22:27" x14ac:dyDescent="0.2">
      <c r="V2613" s="163"/>
      <c r="W2613" s="158" t="str">
        <f t="shared" si="52"/>
        <v>1w</v>
      </c>
      <c r="X2613" s="168">
        <f>_xll.qlCalendarAdvance(Calendar,X2612,W2613,"f",FALSE)</f>
        <v>57493</v>
      </c>
      <c r="Y2613" s="173">
        <f>_xll.qlCalendarAdvance(Calendar,X2613,NDays&amp;"D")</f>
        <v>57493</v>
      </c>
      <c r="Z2613" s="174" t="e">
        <v>#N/A</v>
      </c>
      <c r="AA2613" s="177"/>
    </row>
    <row r="2614" spans="22:27" x14ac:dyDescent="0.2">
      <c r="V2614" s="163"/>
      <c r="W2614" s="158" t="str">
        <f t="shared" si="52"/>
        <v>1w</v>
      </c>
      <c r="X2614" s="168">
        <f>_xll.qlCalendarAdvance(Calendar,X2613,W2614,"f",FALSE)</f>
        <v>57500</v>
      </c>
      <c r="Y2614" s="173">
        <f>_xll.qlCalendarAdvance(Calendar,X2614,NDays&amp;"D")</f>
        <v>57500</v>
      </c>
      <c r="Z2614" s="174" t="e">
        <v>#N/A</v>
      </c>
      <c r="AA2614" s="177"/>
    </row>
    <row r="2615" spans="22:27" x14ac:dyDescent="0.2">
      <c r="V2615" s="163"/>
      <c r="W2615" s="158" t="str">
        <f t="shared" si="52"/>
        <v>1w</v>
      </c>
      <c r="X2615" s="168">
        <f>_xll.qlCalendarAdvance(Calendar,X2614,W2615,"f",FALSE)</f>
        <v>57507</v>
      </c>
      <c r="Y2615" s="173">
        <f>_xll.qlCalendarAdvance(Calendar,X2615,NDays&amp;"D")</f>
        <v>57507</v>
      </c>
      <c r="Z2615" s="174" t="e">
        <v>#N/A</v>
      </c>
      <c r="AA2615" s="177"/>
    </row>
    <row r="2616" spans="22:27" x14ac:dyDescent="0.2">
      <c r="V2616" s="163"/>
      <c r="W2616" s="158" t="str">
        <f t="shared" si="52"/>
        <v>1w</v>
      </c>
      <c r="X2616" s="168">
        <f>_xll.qlCalendarAdvance(Calendar,X2615,W2616,"f",FALSE)</f>
        <v>57514</v>
      </c>
      <c r="Y2616" s="173">
        <f>_xll.qlCalendarAdvance(Calendar,X2616,NDays&amp;"D")</f>
        <v>57514</v>
      </c>
      <c r="Z2616" s="174" t="e">
        <v>#N/A</v>
      </c>
      <c r="AA2616" s="177"/>
    </row>
    <row r="2617" spans="22:27" x14ac:dyDescent="0.2">
      <c r="V2617" s="163"/>
      <c r="W2617" s="158" t="str">
        <f t="shared" si="52"/>
        <v>1w</v>
      </c>
      <c r="X2617" s="168">
        <f>_xll.qlCalendarAdvance(Calendar,X2616,W2617,"f",FALSE)</f>
        <v>57521</v>
      </c>
      <c r="Y2617" s="173">
        <f>_xll.qlCalendarAdvance(Calendar,X2617,NDays&amp;"D")</f>
        <v>57521</v>
      </c>
      <c r="Z2617" s="174" t="e">
        <v>#N/A</v>
      </c>
      <c r="AA2617" s="177"/>
    </row>
    <row r="2618" spans="22:27" x14ac:dyDescent="0.2">
      <c r="V2618" s="163"/>
      <c r="W2618" s="158" t="str">
        <f t="shared" si="52"/>
        <v>1w</v>
      </c>
      <c r="X2618" s="168">
        <f>_xll.qlCalendarAdvance(Calendar,X2617,W2618,"f",FALSE)</f>
        <v>57528</v>
      </c>
      <c r="Y2618" s="173">
        <f>_xll.qlCalendarAdvance(Calendar,X2618,NDays&amp;"D")</f>
        <v>57528</v>
      </c>
      <c r="Z2618" s="174" t="e">
        <v>#N/A</v>
      </c>
      <c r="AA2618" s="177"/>
    </row>
    <row r="2619" spans="22:27" x14ac:dyDescent="0.2">
      <c r="V2619" s="163"/>
      <c r="W2619" s="158" t="str">
        <f t="shared" si="52"/>
        <v>1w</v>
      </c>
      <c r="X2619" s="168">
        <f>_xll.qlCalendarAdvance(Calendar,X2618,W2619,"f",FALSE)</f>
        <v>57535</v>
      </c>
      <c r="Y2619" s="173">
        <f>_xll.qlCalendarAdvance(Calendar,X2619,NDays&amp;"D")</f>
        <v>57535</v>
      </c>
      <c r="Z2619" s="174" t="e">
        <v>#N/A</v>
      </c>
      <c r="AA2619" s="177"/>
    </row>
    <row r="2620" spans="22:27" x14ac:dyDescent="0.2">
      <c r="V2620" s="163"/>
      <c r="W2620" s="158" t="str">
        <f t="shared" si="52"/>
        <v>1w</v>
      </c>
      <c r="X2620" s="168">
        <f>_xll.qlCalendarAdvance(Calendar,X2619,W2620,"f",FALSE)</f>
        <v>57543</v>
      </c>
      <c r="Y2620" s="173">
        <f>_xll.qlCalendarAdvance(Calendar,X2620,NDays&amp;"D")</f>
        <v>57543</v>
      </c>
      <c r="Z2620" s="174" t="e">
        <v>#N/A</v>
      </c>
      <c r="AA2620" s="177"/>
    </row>
    <row r="2621" spans="22:27" x14ac:dyDescent="0.2">
      <c r="V2621" s="163"/>
      <c r="W2621" s="158" t="str">
        <f t="shared" si="52"/>
        <v>1w</v>
      </c>
      <c r="X2621" s="168">
        <f>_xll.qlCalendarAdvance(Calendar,X2620,W2621,"f",FALSE)</f>
        <v>57550</v>
      </c>
      <c r="Y2621" s="173">
        <f>_xll.qlCalendarAdvance(Calendar,X2621,NDays&amp;"D")</f>
        <v>57550</v>
      </c>
      <c r="Z2621" s="174" t="e">
        <v>#N/A</v>
      </c>
      <c r="AA2621" s="177"/>
    </row>
    <row r="2622" spans="22:27" x14ac:dyDescent="0.2">
      <c r="V2622" s="163"/>
      <c r="W2622" s="158" t="str">
        <f t="shared" si="52"/>
        <v>1w</v>
      </c>
      <c r="X2622" s="168">
        <f>_xll.qlCalendarAdvance(Calendar,X2621,W2622,"f",FALSE)</f>
        <v>57557</v>
      </c>
      <c r="Y2622" s="173">
        <f>_xll.qlCalendarAdvance(Calendar,X2622,NDays&amp;"D")</f>
        <v>57557</v>
      </c>
      <c r="Z2622" s="174" t="e">
        <v>#N/A</v>
      </c>
      <c r="AA2622" s="177"/>
    </row>
    <row r="2623" spans="22:27" x14ac:dyDescent="0.2">
      <c r="V2623" s="163"/>
      <c r="W2623" s="158" t="str">
        <f t="shared" si="52"/>
        <v>1w</v>
      </c>
      <c r="X2623" s="168">
        <f>_xll.qlCalendarAdvance(Calendar,X2622,W2623,"f",FALSE)</f>
        <v>57564</v>
      </c>
      <c r="Y2623" s="173">
        <f>_xll.qlCalendarAdvance(Calendar,X2623,NDays&amp;"D")</f>
        <v>57564</v>
      </c>
      <c r="Z2623" s="174" t="e">
        <v>#N/A</v>
      </c>
      <c r="AA2623" s="177"/>
    </row>
    <row r="2624" spans="22:27" x14ac:dyDescent="0.2">
      <c r="V2624" s="163"/>
      <c r="W2624" s="158" t="str">
        <f t="shared" si="52"/>
        <v>1w</v>
      </c>
      <c r="X2624" s="168">
        <f>_xll.qlCalendarAdvance(Calendar,X2623,W2624,"f",FALSE)</f>
        <v>57571</v>
      </c>
      <c r="Y2624" s="173">
        <f>_xll.qlCalendarAdvance(Calendar,X2624,NDays&amp;"D")</f>
        <v>57571</v>
      </c>
      <c r="Z2624" s="174" t="e">
        <v>#N/A</v>
      </c>
      <c r="AA2624" s="177"/>
    </row>
    <row r="2625" spans="22:27" x14ac:dyDescent="0.2">
      <c r="V2625" s="163"/>
      <c r="W2625" s="158" t="str">
        <f t="shared" si="52"/>
        <v>1w</v>
      </c>
      <c r="X2625" s="168">
        <f>_xll.qlCalendarAdvance(Calendar,X2624,W2625,"f",FALSE)</f>
        <v>57578</v>
      </c>
      <c r="Y2625" s="173">
        <f>_xll.qlCalendarAdvance(Calendar,X2625,NDays&amp;"D")</f>
        <v>57578</v>
      </c>
      <c r="Z2625" s="174" t="e">
        <v>#N/A</v>
      </c>
      <c r="AA2625" s="177"/>
    </row>
    <row r="2626" spans="22:27" x14ac:dyDescent="0.2">
      <c r="V2626" s="163"/>
      <c r="W2626" s="158" t="str">
        <f t="shared" si="52"/>
        <v>1w</v>
      </c>
      <c r="X2626" s="168">
        <f>_xll.qlCalendarAdvance(Calendar,X2625,W2626,"f",FALSE)</f>
        <v>57585</v>
      </c>
      <c r="Y2626" s="173">
        <f>_xll.qlCalendarAdvance(Calendar,X2626,NDays&amp;"D")</f>
        <v>57585</v>
      </c>
      <c r="Z2626" s="174" t="e">
        <v>#N/A</v>
      </c>
      <c r="AA2626" s="177"/>
    </row>
    <row r="2627" spans="22:27" x14ac:dyDescent="0.2">
      <c r="V2627" s="163"/>
      <c r="W2627" s="158" t="str">
        <f t="shared" si="52"/>
        <v>1w</v>
      </c>
      <c r="X2627" s="168">
        <f>_xll.qlCalendarAdvance(Calendar,X2626,W2627,"f",FALSE)</f>
        <v>57592</v>
      </c>
      <c r="Y2627" s="173">
        <f>_xll.qlCalendarAdvance(Calendar,X2627,NDays&amp;"D")</f>
        <v>57592</v>
      </c>
      <c r="Z2627" s="174" t="e">
        <v>#N/A</v>
      </c>
      <c r="AA2627" s="177"/>
    </row>
    <row r="2628" spans="22:27" x14ac:dyDescent="0.2">
      <c r="V2628" s="163"/>
      <c r="W2628" s="158" t="str">
        <f t="shared" si="52"/>
        <v>1w</v>
      </c>
      <c r="X2628" s="168">
        <f>_xll.qlCalendarAdvance(Calendar,X2627,W2628,"f",FALSE)</f>
        <v>57599</v>
      </c>
      <c r="Y2628" s="173">
        <f>_xll.qlCalendarAdvance(Calendar,X2628,NDays&amp;"D")</f>
        <v>57599</v>
      </c>
      <c r="Z2628" s="174" t="e">
        <v>#N/A</v>
      </c>
      <c r="AA2628" s="177"/>
    </row>
    <row r="2629" spans="22:27" x14ac:dyDescent="0.2">
      <c r="V2629" s="163"/>
      <c r="W2629" s="158" t="str">
        <f t="shared" si="52"/>
        <v>1w</v>
      </c>
      <c r="X2629" s="168">
        <f>_xll.qlCalendarAdvance(Calendar,X2628,W2629,"f",FALSE)</f>
        <v>57606</v>
      </c>
      <c r="Y2629" s="173">
        <f>_xll.qlCalendarAdvance(Calendar,X2629,NDays&amp;"D")</f>
        <v>57606</v>
      </c>
      <c r="Z2629" s="174" t="e">
        <v>#N/A</v>
      </c>
      <c r="AA2629" s="177"/>
    </row>
    <row r="2630" spans="22:27" x14ac:dyDescent="0.2">
      <c r="V2630" s="163"/>
      <c r="W2630" s="158" t="str">
        <f t="shared" si="52"/>
        <v>1w</v>
      </c>
      <c r="X2630" s="168">
        <f>_xll.qlCalendarAdvance(Calendar,X2629,W2630,"f",FALSE)</f>
        <v>57613</v>
      </c>
      <c r="Y2630" s="173">
        <f>_xll.qlCalendarAdvance(Calendar,X2630,NDays&amp;"D")</f>
        <v>57613</v>
      </c>
      <c r="Z2630" s="174" t="e">
        <v>#N/A</v>
      </c>
      <c r="AA2630" s="177"/>
    </row>
    <row r="2631" spans="22:27" x14ac:dyDescent="0.2">
      <c r="V2631" s="163"/>
      <c r="W2631" s="158" t="str">
        <f t="shared" si="52"/>
        <v>1w</v>
      </c>
      <c r="X2631" s="168">
        <f>_xll.qlCalendarAdvance(Calendar,X2630,W2631,"f",FALSE)</f>
        <v>57620</v>
      </c>
      <c r="Y2631" s="173">
        <f>_xll.qlCalendarAdvance(Calendar,X2631,NDays&amp;"D")</f>
        <v>57620</v>
      </c>
      <c r="Z2631" s="174" t="e">
        <v>#N/A</v>
      </c>
      <c r="AA2631" s="177"/>
    </row>
    <row r="2632" spans="22:27" x14ac:dyDescent="0.2">
      <c r="V2632" s="163"/>
      <c r="W2632" s="158" t="str">
        <f t="shared" si="52"/>
        <v>1w</v>
      </c>
      <c r="X2632" s="168">
        <f>_xll.qlCalendarAdvance(Calendar,X2631,W2632,"f",FALSE)</f>
        <v>57627</v>
      </c>
      <c r="Y2632" s="173">
        <f>_xll.qlCalendarAdvance(Calendar,X2632,NDays&amp;"D")</f>
        <v>57627</v>
      </c>
      <c r="Z2632" s="174" t="e">
        <v>#N/A</v>
      </c>
      <c r="AA2632" s="177"/>
    </row>
    <row r="2633" spans="22:27" x14ac:dyDescent="0.2">
      <c r="V2633" s="163"/>
      <c r="W2633" s="158" t="str">
        <f t="shared" si="52"/>
        <v>1w</v>
      </c>
      <c r="X2633" s="168">
        <f>_xll.qlCalendarAdvance(Calendar,X2632,W2633,"f",FALSE)</f>
        <v>57634</v>
      </c>
      <c r="Y2633" s="173">
        <f>_xll.qlCalendarAdvance(Calendar,X2633,NDays&amp;"D")</f>
        <v>57634</v>
      </c>
      <c r="Z2633" s="174" t="e">
        <v>#N/A</v>
      </c>
      <c r="AA2633" s="177"/>
    </row>
    <row r="2634" spans="22:27" x14ac:dyDescent="0.2">
      <c r="V2634" s="163"/>
      <c r="W2634" s="158" t="str">
        <f t="shared" si="52"/>
        <v>1w</v>
      </c>
      <c r="X2634" s="168">
        <f>_xll.qlCalendarAdvance(Calendar,X2633,W2634,"f",FALSE)</f>
        <v>57641</v>
      </c>
      <c r="Y2634" s="173">
        <f>_xll.qlCalendarAdvance(Calendar,X2634,NDays&amp;"D")</f>
        <v>57641</v>
      </c>
      <c r="Z2634" s="174" t="e">
        <v>#N/A</v>
      </c>
      <c r="AA2634" s="177"/>
    </row>
    <row r="2635" spans="22:27" x14ac:dyDescent="0.2">
      <c r="V2635" s="163"/>
      <c r="W2635" s="158" t="str">
        <f t="shared" si="52"/>
        <v>1w</v>
      </c>
      <c r="X2635" s="168">
        <f>_xll.qlCalendarAdvance(Calendar,X2634,W2635,"f",FALSE)</f>
        <v>57648</v>
      </c>
      <c r="Y2635" s="173">
        <f>_xll.qlCalendarAdvance(Calendar,X2635,NDays&amp;"D")</f>
        <v>57648</v>
      </c>
      <c r="Z2635" s="174" t="e">
        <v>#N/A</v>
      </c>
      <c r="AA2635" s="177"/>
    </row>
    <row r="2636" spans="22:27" x14ac:dyDescent="0.2">
      <c r="V2636" s="163"/>
      <c r="W2636" s="158" t="str">
        <f t="shared" si="52"/>
        <v>1w</v>
      </c>
      <c r="X2636" s="168">
        <f>_xll.qlCalendarAdvance(Calendar,X2635,W2636,"f",FALSE)</f>
        <v>57655</v>
      </c>
      <c r="Y2636" s="173">
        <f>_xll.qlCalendarAdvance(Calendar,X2636,NDays&amp;"D")</f>
        <v>57655</v>
      </c>
      <c r="Z2636" s="174" t="e">
        <v>#N/A</v>
      </c>
      <c r="AA2636" s="177"/>
    </row>
    <row r="2637" spans="22:27" x14ac:dyDescent="0.2">
      <c r="V2637" s="163"/>
      <c r="W2637" s="158" t="str">
        <f t="shared" ref="W2637:W2700" si="53">W2636</f>
        <v>1w</v>
      </c>
      <c r="X2637" s="168">
        <f>_xll.qlCalendarAdvance(Calendar,X2636,W2637,"f",FALSE)</f>
        <v>57662</v>
      </c>
      <c r="Y2637" s="173">
        <f>_xll.qlCalendarAdvance(Calendar,X2637,NDays&amp;"D")</f>
        <v>57662</v>
      </c>
      <c r="Z2637" s="174" t="e">
        <v>#N/A</v>
      </c>
      <c r="AA2637" s="177"/>
    </row>
    <row r="2638" spans="22:27" x14ac:dyDescent="0.2">
      <c r="V2638" s="163"/>
      <c r="W2638" s="158" t="str">
        <f t="shared" si="53"/>
        <v>1w</v>
      </c>
      <c r="X2638" s="168">
        <f>_xll.qlCalendarAdvance(Calendar,X2637,W2638,"f",FALSE)</f>
        <v>57669</v>
      </c>
      <c r="Y2638" s="173">
        <f>_xll.qlCalendarAdvance(Calendar,X2638,NDays&amp;"D")</f>
        <v>57669</v>
      </c>
      <c r="Z2638" s="174" t="e">
        <v>#N/A</v>
      </c>
      <c r="AA2638" s="177"/>
    </row>
    <row r="2639" spans="22:27" x14ac:dyDescent="0.2">
      <c r="V2639" s="163"/>
      <c r="W2639" s="158" t="str">
        <f t="shared" si="53"/>
        <v>1w</v>
      </c>
      <c r="X2639" s="168">
        <f>_xll.qlCalendarAdvance(Calendar,X2638,W2639,"f",FALSE)</f>
        <v>57676</v>
      </c>
      <c r="Y2639" s="173">
        <f>_xll.qlCalendarAdvance(Calendar,X2639,NDays&amp;"D")</f>
        <v>57676</v>
      </c>
      <c r="Z2639" s="174" t="e">
        <v>#N/A</v>
      </c>
      <c r="AA2639" s="177"/>
    </row>
    <row r="2640" spans="22:27" x14ac:dyDescent="0.2">
      <c r="V2640" s="163"/>
      <c r="W2640" s="158" t="str">
        <f t="shared" si="53"/>
        <v>1w</v>
      </c>
      <c r="X2640" s="168">
        <f>_xll.qlCalendarAdvance(Calendar,X2639,W2640,"f",FALSE)</f>
        <v>57683</v>
      </c>
      <c r="Y2640" s="173">
        <f>_xll.qlCalendarAdvance(Calendar,X2640,NDays&amp;"D")</f>
        <v>57683</v>
      </c>
      <c r="Z2640" s="174" t="e">
        <v>#N/A</v>
      </c>
      <c r="AA2640" s="177"/>
    </row>
    <row r="2641" spans="22:27" x14ac:dyDescent="0.2">
      <c r="V2641" s="163"/>
      <c r="W2641" s="158" t="str">
        <f t="shared" si="53"/>
        <v>1w</v>
      </c>
      <c r="X2641" s="168">
        <f>_xll.qlCalendarAdvance(Calendar,X2640,W2641,"f",FALSE)</f>
        <v>57690</v>
      </c>
      <c r="Y2641" s="173">
        <f>_xll.qlCalendarAdvance(Calendar,X2641,NDays&amp;"D")</f>
        <v>57690</v>
      </c>
      <c r="Z2641" s="174" t="e">
        <v>#N/A</v>
      </c>
      <c r="AA2641" s="177"/>
    </row>
    <row r="2642" spans="22:27" x14ac:dyDescent="0.2">
      <c r="V2642" s="163"/>
      <c r="W2642" s="158" t="str">
        <f t="shared" si="53"/>
        <v>1w</v>
      </c>
      <c r="X2642" s="168">
        <f>_xll.qlCalendarAdvance(Calendar,X2641,W2642,"f",FALSE)</f>
        <v>57697</v>
      </c>
      <c r="Y2642" s="173">
        <f>_xll.qlCalendarAdvance(Calendar,X2642,NDays&amp;"D")</f>
        <v>57697</v>
      </c>
      <c r="Z2642" s="174" t="e">
        <v>#N/A</v>
      </c>
      <c r="AA2642" s="177"/>
    </row>
    <row r="2643" spans="22:27" x14ac:dyDescent="0.2">
      <c r="V2643" s="163"/>
      <c r="W2643" s="158" t="str">
        <f t="shared" si="53"/>
        <v>1w</v>
      </c>
      <c r="X2643" s="168">
        <f>_xll.qlCalendarAdvance(Calendar,X2642,W2643,"f",FALSE)</f>
        <v>57704</v>
      </c>
      <c r="Y2643" s="173">
        <f>_xll.qlCalendarAdvance(Calendar,X2643,NDays&amp;"D")</f>
        <v>57704</v>
      </c>
      <c r="Z2643" s="174" t="e">
        <v>#N/A</v>
      </c>
      <c r="AA2643" s="177"/>
    </row>
    <row r="2644" spans="22:27" x14ac:dyDescent="0.2">
      <c r="V2644" s="163"/>
      <c r="W2644" s="158" t="str">
        <f t="shared" si="53"/>
        <v>1w</v>
      </c>
      <c r="X2644" s="168">
        <f>_xll.qlCalendarAdvance(Calendar,X2643,W2644,"f",FALSE)</f>
        <v>57714</v>
      </c>
      <c r="Y2644" s="173">
        <f>_xll.qlCalendarAdvance(Calendar,X2644,NDays&amp;"D")</f>
        <v>57714</v>
      </c>
      <c r="Z2644" s="174" t="e">
        <v>#N/A</v>
      </c>
      <c r="AA2644" s="177"/>
    </row>
    <row r="2645" spans="22:27" x14ac:dyDescent="0.2">
      <c r="V2645" s="163"/>
      <c r="W2645" s="158" t="str">
        <f t="shared" si="53"/>
        <v>1w</v>
      </c>
      <c r="X2645" s="168">
        <f>_xll.qlCalendarAdvance(Calendar,X2644,W2645,"f",FALSE)</f>
        <v>57721</v>
      </c>
      <c r="Y2645" s="173">
        <f>_xll.qlCalendarAdvance(Calendar,X2645,NDays&amp;"D")</f>
        <v>57721</v>
      </c>
      <c r="Z2645" s="174" t="e">
        <v>#N/A</v>
      </c>
      <c r="AA2645" s="177"/>
    </row>
    <row r="2646" spans="22:27" x14ac:dyDescent="0.2">
      <c r="V2646" s="163"/>
      <c r="W2646" s="158" t="str">
        <f t="shared" si="53"/>
        <v>1w</v>
      </c>
      <c r="X2646" s="168">
        <f>_xll.qlCalendarAdvance(Calendar,X2645,W2646,"f",FALSE)</f>
        <v>57728</v>
      </c>
      <c r="Y2646" s="173">
        <f>_xll.qlCalendarAdvance(Calendar,X2646,NDays&amp;"D")</f>
        <v>57728</v>
      </c>
      <c r="Z2646" s="174" t="e">
        <v>#N/A</v>
      </c>
      <c r="AA2646" s="177"/>
    </row>
    <row r="2647" spans="22:27" x14ac:dyDescent="0.2">
      <c r="V2647" s="163"/>
      <c r="W2647" s="158" t="str">
        <f t="shared" si="53"/>
        <v>1w</v>
      </c>
      <c r="X2647" s="168">
        <f>_xll.qlCalendarAdvance(Calendar,X2646,W2647,"f",FALSE)</f>
        <v>57735</v>
      </c>
      <c r="Y2647" s="173">
        <f>_xll.qlCalendarAdvance(Calendar,X2647,NDays&amp;"D")</f>
        <v>57735</v>
      </c>
      <c r="Z2647" s="174" t="e">
        <v>#N/A</v>
      </c>
      <c r="AA2647" s="177"/>
    </row>
    <row r="2648" spans="22:27" x14ac:dyDescent="0.2">
      <c r="V2648" s="163"/>
      <c r="W2648" s="158" t="str">
        <f t="shared" si="53"/>
        <v>1w</v>
      </c>
      <c r="X2648" s="168">
        <f>_xll.qlCalendarAdvance(Calendar,X2647,W2648,"f",FALSE)</f>
        <v>57742</v>
      </c>
      <c r="Y2648" s="173">
        <f>_xll.qlCalendarAdvance(Calendar,X2648,NDays&amp;"D")</f>
        <v>57742</v>
      </c>
      <c r="Z2648" s="174" t="e">
        <v>#N/A</v>
      </c>
      <c r="AA2648" s="177"/>
    </row>
    <row r="2649" spans="22:27" x14ac:dyDescent="0.2">
      <c r="V2649" s="163"/>
      <c r="W2649" s="158" t="str">
        <f t="shared" si="53"/>
        <v>1w</v>
      </c>
      <c r="X2649" s="168">
        <f>_xll.qlCalendarAdvance(Calendar,X2648,W2649,"f",FALSE)</f>
        <v>57749</v>
      </c>
      <c r="Y2649" s="173">
        <f>_xll.qlCalendarAdvance(Calendar,X2649,NDays&amp;"D")</f>
        <v>57749</v>
      </c>
      <c r="Z2649" s="174" t="e">
        <v>#N/A</v>
      </c>
      <c r="AA2649" s="177"/>
    </row>
    <row r="2650" spans="22:27" x14ac:dyDescent="0.2">
      <c r="V2650" s="163"/>
      <c r="W2650" s="158" t="str">
        <f t="shared" si="53"/>
        <v>1w</v>
      </c>
      <c r="X2650" s="168">
        <f>_xll.qlCalendarAdvance(Calendar,X2649,W2650,"f",FALSE)</f>
        <v>57756</v>
      </c>
      <c r="Y2650" s="173">
        <f>_xll.qlCalendarAdvance(Calendar,X2650,NDays&amp;"D")</f>
        <v>57756</v>
      </c>
      <c r="Z2650" s="174" t="e">
        <v>#N/A</v>
      </c>
      <c r="AA2650" s="177"/>
    </row>
    <row r="2651" spans="22:27" x14ac:dyDescent="0.2">
      <c r="V2651" s="163"/>
      <c r="W2651" s="158" t="str">
        <f t="shared" si="53"/>
        <v>1w</v>
      </c>
      <c r="X2651" s="168">
        <f>_xll.qlCalendarAdvance(Calendar,X2650,W2651,"f",FALSE)</f>
        <v>57763</v>
      </c>
      <c r="Y2651" s="173">
        <f>_xll.qlCalendarAdvance(Calendar,X2651,NDays&amp;"D")</f>
        <v>57763</v>
      </c>
      <c r="Z2651" s="174" t="e">
        <v>#N/A</v>
      </c>
      <c r="AA2651" s="177"/>
    </row>
    <row r="2652" spans="22:27" x14ac:dyDescent="0.2">
      <c r="V2652" s="163"/>
      <c r="W2652" s="158" t="str">
        <f t="shared" si="53"/>
        <v>1w</v>
      </c>
      <c r="X2652" s="168">
        <f>_xll.qlCalendarAdvance(Calendar,X2651,W2652,"f",FALSE)</f>
        <v>57770</v>
      </c>
      <c r="Y2652" s="173">
        <f>_xll.qlCalendarAdvance(Calendar,X2652,NDays&amp;"D")</f>
        <v>57770</v>
      </c>
      <c r="Z2652" s="174" t="e">
        <v>#N/A</v>
      </c>
      <c r="AA2652" s="177"/>
    </row>
    <row r="2653" spans="22:27" x14ac:dyDescent="0.2">
      <c r="V2653" s="163"/>
      <c r="W2653" s="158" t="str">
        <f t="shared" si="53"/>
        <v>1w</v>
      </c>
      <c r="X2653" s="168">
        <f>_xll.qlCalendarAdvance(Calendar,X2652,W2653,"f",FALSE)</f>
        <v>57777</v>
      </c>
      <c r="Y2653" s="173">
        <f>_xll.qlCalendarAdvance(Calendar,X2653,NDays&amp;"D")</f>
        <v>57777</v>
      </c>
      <c r="Z2653" s="174" t="e">
        <v>#N/A</v>
      </c>
      <c r="AA2653" s="177"/>
    </row>
    <row r="2654" spans="22:27" x14ac:dyDescent="0.2">
      <c r="V2654" s="163"/>
      <c r="W2654" s="158" t="str">
        <f t="shared" si="53"/>
        <v>1w</v>
      </c>
      <c r="X2654" s="168">
        <f>_xll.qlCalendarAdvance(Calendar,X2653,W2654,"f",FALSE)</f>
        <v>57784</v>
      </c>
      <c r="Y2654" s="173">
        <f>_xll.qlCalendarAdvance(Calendar,X2654,NDays&amp;"D")</f>
        <v>57784</v>
      </c>
      <c r="Z2654" s="174" t="e">
        <v>#N/A</v>
      </c>
      <c r="AA2654" s="177"/>
    </row>
    <row r="2655" spans="22:27" x14ac:dyDescent="0.2">
      <c r="V2655" s="163"/>
      <c r="W2655" s="158" t="str">
        <f t="shared" si="53"/>
        <v>1w</v>
      </c>
      <c r="X2655" s="168">
        <f>_xll.qlCalendarAdvance(Calendar,X2654,W2655,"f",FALSE)</f>
        <v>57791</v>
      </c>
      <c r="Y2655" s="173">
        <f>_xll.qlCalendarAdvance(Calendar,X2655,NDays&amp;"D")</f>
        <v>57791</v>
      </c>
      <c r="Z2655" s="174" t="e">
        <v>#N/A</v>
      </c>
      <c r="AA2655" s="177"/>
    </row>
    <row r="2656" spans="22:27" x14ac:dyDescent="0.2">
      <c r="V2656" s="163"/>
      <c r="W2656" s="158" t="str">
        <f t="shared" si="53"/>
        <v>1w</v>
      </c>
      <c r="X2656" s="168">
        <f>_xll.qlCalendarAdvance(Calendar,X2655,W2656,"f",FALSE)</f>
        <v>57798</v>
      </c>
      <c r="Y2656" s="173">
        <f>_xll.qlCalendarAdvance(Calendar,X2656,NDays&amp;"D")</f>
        <v>57798</v>
      </c>
      <c r="Z2656" s="174" t="e">
        <v>#N/A</v>
      </c>
      <c r="AA2656" s="177"/>
    </row>
    <row r="2657" spans="22:27" x14ac:dyDescent="0.2">
      <c r="V2657" s="163"/>
      <c r="W2657" s="158" t="str">
        <f t="shared" si="53"/>
        <v>1w</v>
      </c>
      <c r="X2657" s="168">
        <f>_xll.qlCalendarAdvance(Calendar,X2656,W2657,"f",FALSE)</f>
        <v>57805</v>
      </c>
      <c r="Y2657" s="173">
        <f>_xll.qlCalendarAdvance(Calendar,X2657,NDays&amp;"D")</f>
        <v>57805</v>
      </c>
      <c r="Z2657" s="174" t="e">
        <v>#N/A</v>
      </c>
      <c r="AA2657" s="177"/>
    </row>
    <row r="2658" spans="22:27" x14ac:dyDescent="0.2">
      <c r="V2658" s="163"/>
      <c r="W2658" s="158" t="str">
        <f t="shared" si="53"/>
        <v>1w</v>
      </c>
      <c r="X2658" s="168">
        <f>_xll.qlCalendarAdvance(Calendar,X2657,W2658,"f",FALSE)</f>
        <v>57812</v>
      </c>
      <c r="Y2658" s="173">
        <f>_xll.qlCalendarAdvance(Calendar,X2658,NDays&amp;"D")</f>
        <v>57812</v>
      </c>
      <c r="Z2658" s="174" t="e">
        <v>#N/A</v>
      </c>
      <c r="AA2658" s="177"/>
    </row>
    <row r="2659" spans="22:27" x14ac:dyDescent="0.2">
      <c r="V2659" s="163"/>
      <c r="W2659" s="158" t="str">
        <f t="shared" si="53"/>
        <v>1w</v>
      </c>
      <c r="X2659" s="168">
        <f>_xll.qlCalendarAdvance(Calendar,X2658,W2659,"f",FALSE)</f>
        <v>57819</v>
      </c>
      <c r="Y2659" s="173">
        <f>_xll.qlCalendarAdvance(Calendar,X2659,NDays&amp;"D")</f>
        <v>57819</v>
      </c>
      <c r="Z2659" s="174" t="e">
        <v>#N/A</v>
      </c>
      <c r="AA2659" s="177"/>
    </row>
    <row r="2660" spans="22:27" x14ac:dyDescent="0.2">
      <c r="V2660" s="163"/>
      <c r="W2660" s="158" t="str">
        <f t="shared" si="53"/>
        <v>1w</v>
      </c>
      <c r="X2660" s="168">
        <f>_xll.qlCalendarAdvance(Calendar,X2659,W2660,"f",FALSE)</f>
        <v>57826</v>
      </c>
      <c r="Y2660" s="173">
        <f>_xll.qlCalendarAdvance(Calendar,X2660,NDays&amp;"D")</f>
        <v>57826</v>
      </c>
      <c r="Z2660" s="174" t="e">
        <v>#N/A</v>
      </c>
      <c r="AA2660" s="177"/>
    </row>
    <row r="2661" spans="22:27" x14ac:dyDescent="0.2">
      <c r="V2661" s="163"/>
      <c r="W2661" s="158" t="str">
        <f t="shared" si="53"/>
        <v>1w</v>
      </c>
      <c r="X2661" s="168">
        <f>_xll.qlCalendarAdvance(Calendar,X2660,W2661,"f",FALSE)</f>
        <v>57837</v>
      </c>
      <c r="Y2661" s="173">
        <f>_xll.qlCalendarAdvance(Calendar,X2661,NDays&amp;"D")</f>
        <v>57837</v>
      </c>
      <c r="Z2661" s="174" t="e">
        <v>#N/A</v>
      </c>
      <c r="AA2661" s="177"/>
    </row>
    <row r="2662" spans="22:27" x14ac:dyDescent="0.2">
      <c r="V2662" s="163"/>
      <c r="W2662" s="158" t="str">
        <f t="shared" si="53"/>
        <v>1w</v>
      </c>
      <c r="X2662" s="168">
        <f>_xll.qlCalendarAdvance(Calendar,X2661,W2662,"f",FALSE)</f>
        <v>57844</v>
      </c>
      <c r="Y2662" s="173">
        <f>_xll.qlCalendarAdvance(Calendar,X2662,NDays&amp;"D")</f>
        <v>57844</v>
      </c>
      <c r="Z2662" s="174" t="e">
        <v>#N/A</v>
      </c>
      <c r="AA2662" s="177"/>
    </row>
    <row r="2663" spans="22:27" x14ac:dyDescent="0.2">
      <c r="V2663" s="163"/>
      <c r="W2663" s="158" t="str">
        <f t="shared" si="53"/>
        <v>1w</v>
      </c>
      <c r="X2663" s="168">
        <f>_xll.qlCalendarAdvance(Calendar,X2662,W2663,"f",FALSE)</f>
        <v>57851</v>
      </c>
      <c r="Y2663" s="173">
        <f>_xll.qlCalendarAdvance(Calendar,X2663,NDays&amp;"D")</f>
        <v>57851</v>
      </c>
      <c r="Z2663" s="174" t="e">
        <v>#N/A</v>
      </c>
      <c r="AA2663" s="177"/>
    </row>
    <row r="2664" spans="22:27" x14ac:dyDescent="0.2">
      <c r="V2664" s="163"/>
      <c r="W2664" s="158" t="str">
        <f t="shared" si="53"/>
        <v>1w</v>
      </c>
      <c r="X2664" s="168">
        <f>_xll.qlCalendarAdvance(Calendar,X2663,W2664,"f",FALSE)</f>
        <v>57858</v>
      </c>
      <c r="Y2664" s="173">
        <f>_xll.qlCalendarAdvance(Calendar,X2664,NDays&amp;"D")</f>
        <v>57858</v>
      </c>
      <c r="Z2664" s="174" t="e">
        <v>#N/A</v>
      </c>
      <c r="AA2664" s="177"/>
    </row>
    <row r="2665" spans="22:27" x14ac:dyDescent="0.2">
      <c r="V2665" s="163"/>
      <c r="W2665" s="158" t="str">
        <f t="shared" si="53"/>
        <v>1w</v>
      </c>
      <c r="X2665" s="168">
        <f>_xll.qlCalendarAdvance(Calendar,X2664,W2665,"f",FALSE)</f>
        <v>57865</v>
      </c>
      <c r="Y2665" s="173">
        <f>_xll.qlCalendarAdvance(Calendar,X2665,NDays&amp;"D")</f>
        <v>57865</v>
      </c>
      <c r="Z2665" s="174" t="e">
        <v>#N/A</v>
      </c>
      <c r="AA2665" s="177"/>
    </row>
    <row r="2666" spans="22:27" x14ac:dyDescent="0.2">
      <c r="V2666" s="163"/>
      <c r="W2666" s="158" t="str">
        <f t="shared" si="53"/>
        <v>1w</v>
      </c>
      <c r="X2666" s="168">
        <f>_xll.qlCalendarAdvance(Calendar,X2665,W2666,"f",FALSE)</f>
        <v>57872</v>
      </c>
      <c r="Y2666" s="173">
        <f>_xll.qlCalendarAdvance(Calendar,X2666,NDays&amp;"D")</f>
        <v>57872</v>
      </c>
      <c r="Z2666" s="174" t="e">
        <v>#N/A</v>
      </c>
      <c r="AA2666" s="177"/>
    </row>
    <row r="2667" spans="22:27" x14ac:dyDescent="0.2">
      <c r="V2667" s="163"/>
      <c r="W2667" s="158" t="str">
        <f t="shared" si="53"/>
        <v>1w</v>
      </c>
      <c r="X2667" s="168">
        <f>_xll.qlCalendarAdvance(Calendar,X2666,W2667,"f",FALSE)</f>
        <v>57879</v>
      </c>
      <c r="Y2667" s="173">
        <f>_xll.qlCalendarAdvance(Calendar,X2667,NDays&amp;"D")</f>
        <v>57879</v>
      </c>
      <c r="Z2667" s="174" t="e">
        <v>#N/A</v>
      </c>
      <c r="AA2667" s="177"/>
    </row>
    <row r="2668" spans="22:27" x14ac:dyDescent="0.2">
      <c r="V2668" s="163"/>
      <c r="W2668" s="158" t="str">
        <f t="shared" si="53"/>
        <v>1w</v>
      </c>
      <c r="X2668" s="168">
        <f>_xll.qlCalendarAdvance(Calendar,X2667,W2668,"f",FALSE)</f>
        <v>57886</v>
      </c>
      <c r="Y2668" s="173">
        <f>_xll.qlCalendarAdvance(Calendar,X2668,NDays&amp;"D")</f>
        <v>57886</v>
      </c>
      <c r="Z2668" s="174" t="e">
        <v>#N/A</v>
      </c>
      <c r="AA2668" s="177"/>
    </row>
    <row r="2669" spans="22:27" x14ac:dyDescent="0.2">
      <c r="V2669" s="163"/>
      <c r="W2669" s="158" t="str">
        <f t="shared" si="53"/>
        <v>1w</v>
      </c>
      <c r="X2669" s="168">
        <f>_xll.qlCalendarAdvance(Calendar,X2668,W2669,"f",FALSE)</f>
        <v>57893</v>
      </c>
      <c r="Y2669" s="173">
        <f>_xll.qlCalendarAdvance(Calendar,X2669,NDays&amp;"D")</f>
        <v>57893</v>
      </c>
      <c r="Z2669" s="174" t="e">
        <v>#N/A</v>
      </c>
      <c r="AA2669" s="177"/>
    </row>
    <row r="2670" spans="22:27" x14ac:dyDescent="0.2">
      <c r="V2670" s="163"/>
      <c r="W2670" s="158" t="str">
        <f t="shared" si="53"/>
        <v>1w</v>
      </c>
      <c r="X2670" s="168">
        <f>_xll.qlCalendarAdvance(Calendar,X2669,W2670,"f",FALSE)</f>
        <v>57900</v>
      </c>
      <c r="Y2670" s="173">
        <f>_xll.qlCalendarAdvance(Calendar,X2670,NDays&amp;"D")</f>
        <v>57900</v>
      </c>
      <c r="Z2670" s="174" t="e">
        <v>#N/A</v>
      </c>
      <c r="AA2670" s="177"/>
    </row>
    <row r="2671" spans="22:27" x14ac:dyDescent="0.2">
      <c r="V2671" s="163"/>
      <c r="W2671" s="158" t="str">
        <f t="shared" si="53"/>
        <v>1w</v>
      </c>
      <c r="X2671" s="168">
        <f>_xll.qlCalendarAdvance(Calendar,X2670,W2671,"f",FALSE)</f>
        <v>57907</v>
      </c>
      <c r="Y2671" s="173">
        <f>_xll.qlCalendarAdvance(Calendar,X2671,NDays&amp;"D")</f>
        <v>57907</v>
      </c>
      <c r="Z2671" s="174" t="e">
        <v>#N/A</v>
      </c>
      <c r="AA2671" s="177"/>
    </row>
    <row r="2672" spans="22:27" x14ac:dyDescent="0.2">
      <c r="V2672" s="163"/>
      <c r="W2672" s="158" t="str">
        <f t="shared" si="53"/>
        <v>1w</v>
      </c>
      <c r="X2672" s="168">
        <f>_xll.qlCalendarAdvance(Calendar,X2671,W2672,"f",FALSE)</f>
        <v>57914</v>
      </c>
      <c r="Y2672" s="173">
        <f>_xll.qlCalendarAdvance(Calendar,X2672,NDays&amp;"D")</f>
        <v>57914</v>
      </c>
      <c r="Z2672" s="174" t="e">
        <v>#N/A</v>
      </c>
      <c r="AA2672" s="177"/>
    </row>
    <row r="2673" spans="22:27" x14ac:dyDescent="0.2">
      <c r="V2673" s="163"/>
      <c r="W2673" s="158" t="str">
        <f t="shared" si="53"/>
        <v>1w</v>
      </c>
      <c r="X2673" s="168">
        <f>_xll.qlCalendarAdvance(Calendar,X2672,W2673,"f",FALSE)</f>
        <v>57921</v>
      </c>
      <c r="Y2673" s="173">
        <f>_xll.qlCalendarAdvance(Calendar,X2673,NDays&amp;"D")</f>
        <v>57921</v>
      </c>
      <c r="Z2673" s="174" t="e">
        <v>#N/A</v>
      </c>
      <c r="AA2673" s="177"/>
    </row>
    <row r="2674" spans="22:27" x14ac:dyDescent="0.2">
      <c r="V2674" s="163"/>
      <c r="W2674" s="158" t="str">
        <f t="shared" si="53"/>
        <v>1w</v>
      </c>
      <c r="X2674" s="168">
        <f>_xll.qlCalendarAdvance(Calendar,X2673,W2674,"f",FALSE)</f>
        <v>57928</v>
      </c>
      <c r="Y2674" s="173">
        <f>_xll.qlCalendarAdvance(Calendar,X2674,NDays&amp;"D")</f>
        <v>57928</v>
      </c>
      <c r="Z2674" s="174" t="e">
        <v>#N/A</v>
      </c>
      <c r="AA2674" s="177"/>
    </row>
    <row r="2675" spans="22:27" x14ac:dyDescent="0.2">
      <c r="V2675" s="163"/>
      <c r="W2675" s="158" t="str">
        <f t="shared" si="53"/>
        <v>1w</v>
      </c>
      <c r="X2675" s="168">
        <f>_xll.qlCalendarAdvance(Calendar,X2674,W2675,"f",FALSE)</f>
        <v>57935</v>
      </c>
      <c r="Y2675" s="173">
        <f>_xll.qlCalendarAdvance(Calendar,X2675,NDays&amp;"D")</f>
        <v>57935</v>
      </c>
      <c r="Z2675" s="174" t="e">
        <v>#N/A</v>
      </c>
      <c r="AA2675" s="177"/>
    </row>
    <row r="2676" spans="22:27" x14ac:dyDescent="0.2">
      <c r="V2676" s="163"/>
      <c r="W2676" s="158" t="str">
        <f t="shared" si="53"/>
        <v>1w</v>
      </c>
      <c r="X2676" s="168">
        <f>_xll.qlCalendarAdvance(Calendar,X2675,W2676,"f",FALSE)</f>
        <v>57942</v>
      </c>
      <c r="Y2676" s="173">
        <f>_xll.qlCalendarAdvance(Calendar,X2676,NDays&amp;"D")</f>
        <v>57942</v>
      </c>
      <c r="Z2676" s="174" t="e">
        <v>#N/A</v>
      </c>
      <c r="AA2676" s="177"/>
    </row>
    <row r="2677" spans="22:27" x14ac:dyDescent="0.2">
      <c r="V2677" s="163"/>
      <c r="W2677" s="158" t="str">
        <f t="shared" si="53"/>
        <v>1w</v>
      </c>
      <c r="X2677" s="168">
        <f>_xll.qlCalendarAdvance(Calendar,X2676,W2677,"f",FALSE)</f>
        <v>57949</v>
      </c>
      <c r="Y2677" s="173">
        <f>_xll.qlCalendarAdvance(Calendar,X2677,NDays&amp;"D")</f>
        <v>57949</v>
      </c>
      <c r="Z2677" s="174" t="e">
        <v>#N/A</v>
      </c>
      <c r="AA2677" s="177"/>
    </row>
    <row r="2678" spans="22:27" x14ac:dyDescent="0.2">
      <c r="V2678" s="163"/>
      <c r="W2678" s="158" t="str">
        <f t="shared" si="53"/>
        <v>1w</v>
      </c>
      <c r="X2678" s="168">
        <f>_xll.qlCalendarAdvance(Calendar,X2677,W2678,"f",FALSE)</f>
        <v>57956</v>
      </c>
      <c r="Y2678" s="173">
        <f>_xll.qlCalendarAdvance(Calendar,X2678,NDays&amp;"D")</f>
        <v>57956</v>
      </c>
      <c r="Z2678" s="174" t="e">
        <v>#N/A</v>
      </c>
      <c r="AA2678" s="177"/>
    </row>
    <row r="2679" spans="22:27" x14ac:dyDescent="0.2">
      <c r="V2679" s="163"/>
      <c r="W2679" s="158" t="str">
        <f t="shared" si="53"/>
        <v>1w</v>
      </c>
      <c r="X2679" s="168">
        <f>_xll.qlCalendarAdvance(Calendar,X2678,W2679,"f",FALSE)</f>
        <v>57963</v>
      </c>
      <c r="Y2679" s="173">
        <f>_xll.qlCalendarAdvance(Calendar,X2679,NDays&amp;"D")</f>
        <v>57963</v>
      </c>
      <c r="Z2679" s="174" t="e">
        <v>#N/A</v>
      </c>
      <c r="AA2679" s="177"/>
    </row>
    <row r="2680" spans="22:27" x14ac:dyDescent="0.2">
      <c r="V2680" s="163"/>
      <c r="W2680" s="158" t="str">
        <f t="shared" si="53"/>
        <v>1w</v>
      </c>
      <c r="X2680" s="168">
        <f>_xll.qlCalendarAdvance(Calendar,X2679,W2680,"f",FALSE)</f>
        <v>57970</v>
      </c>
      <c r="Y2680" s="173">
        <f>_xll.qlCalendarAdvance(Calendar,X2680,NDays&amp;"D")</f>
        <v>57970</v>
      </c>
      <c r="Z2680" s="174" t="e">
        <v>#N/A</v>
      </c>
      <c r="AA2680" s="177"/>
    </row>
    <row r="2681" spans="22:27" x14ac:dyDescent="0.2">
      <c r="V2681" s="163"/>
      <c r="W2681" s="158" t="str">
        <f t="shared" si="53"/>
        <v>1w</v>
      </c>
      <c r="X2681" s="168">
        <f>_xll.qlCalendarAdvance(Calendar,X2680,W2681,"f",FALSE)</f>
        <v>57977</v>
      </c>
      <c r="Y2681" s="173">
        <f>_xll.qlCalendarAdvance(Calendar,X2681,NDays&amp;"D")</f>
        <v>57977</v>
      </c>
      <c r="Z2681" s="174" t="e">
        <v>#N/A</v>
      </c>
      <c r="AA2681" s="177"/>
    </row>
    <row r="2682" spans="22:27" x14ac:dyDescent="0.2">
      <c r="V2682" s="163"/>
      <c r="W2682" s="158" t="str">
        <f t="shared" si="53"/>
        <v>1w</v>
      </c>
      <c r="X2682" s="168">
        <f>_xll.qlCalendarAdvance(Calendar,X2681,W2682,"f",FALSE)</f>
        <v>57984</v>
      </c>
      <c r="Y2682" s="173">
        <f>_xll.qlCalendarAdvance(Calendar,X2682,NDays&amp;"D")</f>
        <v>57984</v>
      </c>
      <c r="Z2682" s="174" t="e">
        <v>#N/A</v>
      </c>
      <c r="AA2682" s="177"/>
    </row>
    <row r="2683" spans="22:27" x14ac:dyDescent="0.2">
      <c r="V2683" s="163"/>
      <c r="W2683" s="158" t="str">
        <f t="shared" si="53"/>
        <v>1w</v>
      </c>
      <c r="X2683" s="168">
        <f>_xll.qlCalendarAdvance(Calendar,X2682,W2683,"f",FALSE)</f>
        <v>57991</v>
      </c>
      <c r="Y2683" s="173">
        <f>_xll.qlCalendarAdvance(Calendar,X2683,NDays&amp;"D")</f>
        <v>57991</v>
      </c>
      <c r="Z2683" s="174" t="e">
        <v>#N/A</v>
      </c>
      <c r="AA2683" s="177"/>
    </row>
    <row r="2684" spans="22:27" x14ac:dyDescent="0.2">
      <c r="V2684" s="163"/>
      <c r="W2684" s="158" t="str">
        <f t="shared" si="53"/>
        <v>1w</v>
      </c>
      <c r="X2684" s="168">
        <f>_xll.qlCalendarAdvance(Calendar,X2683,W2684,"f",FALSE)</f>
        <v>57998</v>
      </c>
      <c r="Y2684" s="173">
        <f>_xll.qlCalendarAdvance(Calendar,X2684,NDays&amp;"D")</f>
        <v>57998</v>
      </c>
      <c r="Z2684" s="174" t="e">
        <v>#N/A</v>
      </c>
      <c r="AA2684" s="177"/>
    </row>
    <row r="2685" spans="22:27" x14ac:dyDescent="0.2">
      <c r="V2685" s="163"/>
      <c r="W2685" s="158" t="str">
        <f t="shared" si="53"/>
        <v>1w</v>
      </c>
      <c r="X2685" s="168">
        <f>_xll.qlCalendarAdvance(Calendar,X2684,W2685,"f",FALSE)</f>
        <v>58005</v>
      </c>
      <c r="Y2685" s="173">
        <f>_xll.qlCalendarAdvance(Calendar,X2685,NDays&amp;"D")</f>
        <v>58005</v>
      </c>
      <c r="Z2685" s="174" t="e">
        <v>#N/A</v>
      </c>
      <c r="AA2685" s="177"/>
    </row>
    <row r="2686" spans="22:27" x14ac:dyDescent="0.2">
      <c r="V2686" s="163"/>
      <c r="W2686" s="158" t="str">
        <f t="shared" si="53"/>
        <v>1w</v>
      </c>
      <c r="X2686" s="168">
        <f>_xll.qlCalendarAdvance(Calendar,X2685,W2686,"f",FALSE)</f>
        <v>58012</v>
      </c>
      <c r="Y2686" s="173">
        <f>_xll.qlCalendarAdvance(Calendar,X2686,NDays&amp;"D")</f>
        <v>58012</v>
      </c>
      <c r="Z2686" s="174" t="e">
        <v>#N/A</v>
      </c>
      <c r="AA2686" s="177"/>
    </row>
    <row r="2687" spans="22:27" x14ac:dyDescent="0.2">
      <c r="V2687" s="163"/>
      <c r="W2687" s="158" t="str">
        <f t="shared" si="53"/>
        <v>1w</v>
      </c>
      <c r="X2687" s="168">
        <f>_xll.qlCalendarAdvance(Calendar,X2686,W2687,"f",FALSE)</f>
        <v>58019</v>
      </c>
      <c r="Y2687" s="173">
        <f>_xll.qlCalendarAdvance(Calendar,X2687,NDays&amp;"D")</f>
        <v>58019</v>
      </c>
      <c r="Z2687" s="174" t="e">
        <v>#N/A</v>
      </c>
      <c r="AA2687" s="177"/>
    </row>
    <row r="2688" spans="22:27" x14ac:dyDescent="0.2">
      <c r="V2688" s="163"/>
      <c r="W2688" s="158" t="str">
        <f t="shared" si="53"/>
        <v>1w</v>
      </c>
      <c r="X2688" s="168">
        <f>_xll.qlCalendarAdvance(Calendar,X2687,W2688,"f",FALSE)</f>
        <v>58026</v>
      </c>
      <c r="Y2688" s="173">
        <f>_xll.qlCalendarAdvance(Calendar,X2688,NDays&amp;"D")</f>
        <v>58026</v>
      </c>
      <c r="Z2688" s="174" t="e">
        <v>#N/A</v>
      </c>
      <c r="AA2688" s="177"/>
    </row>
    <row r="2689" spans="22:27" x14ac:dyDescent="0.2">
      <c r="V2689" s="163"/>
      <c r="W2689" s="158" t="str">
        <f t="shared" si="53"/>
        <v>1w</v>
      </c>
      <c r="X2689" s="168">
        <f>_xll.qlCalendarAdvance(Calendar,X2688,W2689,"f",FALSE)</f>
        <v>58033</v>
      </c>
      <c r="Y2689" s="173">
        <f>_xll.qlCalendarAdvance(Calendar,X2689,NDays&amp;"D")</f>
        <v>58033</v>
      </c>
      <c r="Z2689" s="174" t="e">
        <v>#N/A</v>
      </c>
      <c r="AA2689" s="177"/>
    </row>
    <row r="2690" spans="22:27" x14ac:dyDescent="0.2">
      <c r="V2690" s="163"/>
      <c r="W2690" s="158" t="str">
        <f t="shared" si="53"/>
        <v>1w</v>
      </c>
      <c r="X2690" s="168">
        <f>_xll.qlCalendarAdvance(Calendar,X2689,W2690,"f",FALSE)</f>
        <v>58040</v>
      </c>
      <c r="Y2690" s="173">
        <f>_xll.qlCalendarAdvance(Calendar,X2690,NDays&amp;"D")</f>
        <v>58040</v>
      </c>
      <c r="Z2690" s="174" t="e">
        <v>#N/A</v>
      </c>
      <c r="AA2690" s="177"/>
    </row>
    <row r="2691" spans="22:27" x14ac:dyDescent="0.2">
      <c r="V2691" s="163"/>
      <c r="W2691" s="158" t="str">
        <f t="shared" si="53"/>
        <v>1w</v>
      </c>
      <c r="X2691" s="168">
        <f>_xll.qlCalendarAdvance(Calendar,X2690,W2691,"f",FALSE)</f>
        <v>58047</v>
      </c>
      <c r="Y2691" s="173">
        <f>_xll.qlCalendarAdvance(Calendar,X2691,NDays&amp;"D")</f>
        <v>58047</v>
      </c>
      <c r="Z2691" s="174" t="e">
        <v>#N/A</v>
      </c>
      <c r="AA2691" s="177"/>
    </row>
    <row r="2692" spans="22:27" x14ac:dyDescent="0.2">
      <c r="V2692" s="163"/>
      <c r="W2692" s="158" t="str">
        <f t="shared" si="53"/>
        <v>1w</v>
      </c>
      <c r="X2692" s="168">
        <f>_xll.qlCalendarAdvance(Calendar,X2691,W2692,"f",FALSE)</f>
        <v>58054</v>
      </c>
      <c r="Y2692" s="173">
        <f>_xll.qlCalendarAdvance(Calendar,X2692,NDays&amp;"D")</f>
        <v>58054</v>
      </c>
      <c r="Z2692" s="174" t="e">
        <v>#N/A</v>
      </c>
      <c r="AA2692" s="177"/>
    </row>
    <row r="2693" spans="22:27" x14ac:dyDescent="0.2">
      <c r="V2693" s="163"/>
      <c r="W2693" s="158" t="str">
        <f t="shared" si="53"/>
        <v>1w</v>
      </c>
      <c r="X2693" s="168">
        <f>_xll.qlCalendarAdvance(Calendar,X2692,W2693,"f",FALSE)</f>
        <v>58061</v>
      </c>
      <c r="Y2693" s="173">
        <f>_xll.qlCalendarAdvance(Calendar,X2693,NDays&amp;"D")</f>
        <v>58061</v>
      </c>
      <c r="Z2693" s="174" t="e">
        <v>#N/A</v>
      </c>
      <c r="AA2693" s="177"/>
    </row>
    <row r="2694" spans="22:27" x14ac:dyDescent="0.2">
      <c r="V2694" s="163"/>
      <c r="W2694" s="158" t="str">
        <f t="shared" si="53"/>
        <v>1w</v>
      </c>
      <c r="X2694" s="168">
        <f>_xll.qlCalendarAdvance(Calendar,X2693,W2694,"f",FALSE)</f>
        <v>58068</v>
      </c>
      <c r="Y2694" s="173">
        <f>_xll.qlCalendarAdvance(Calendar,X2694,NDays&amp;"D")</f>
        <v>58068</v>
      </c>
      <c r="Z2694" s="174" t="e">
        <v>#N/A</v>
      </c>
      <c r="AA2694" s="177"/>
    </row>
    <row r="2695" spans="22:27" x14ac:dyDescent="0.2">
      <c r="V2695" s="163"/>
      <c r="W2695" s="158" t="str">
        <f t="shared" si="53"/>
        <v>1w</v>
      </c>
      <c r="X2695" s="168">
        <f>_xll.qlCalendarAdvance(Calendar,X2694,W2695,"f",FALSE)</f>
        <v>58081</v>
      </c>
      <c r="Y2695" s="173">
        <f>_xll.qlCalendarAdvance(Calendar,X2695,NDays&amp;"D")</f>
        <v>58081</v>
      </c>
      <c r="Z2695" s="174" t="e">
        <v>#N/A</v>
      </c>
      <c r="AA2695" s="177"/>
    </row>
    <row r="2696" spans="22:27" x14ac:dyDescent="0.2">
      <c r="V2696" s="163"/>
      <c r="W2696" s="158" t="str">
        <f t="shared" si="53"/>
        <v>1w</v>
      </c>
      <c r="X2696" s="168">
        <f>_xll.qlCalendarAdvance(Calendar,X2695,W2696,"f",FALSE)</f>
        <v>58089</v>
      </c>
      <c r="Y2696" s="173">
        <f>_xll.qlCalendarAdvance(Calendar,X2696,NDays&amp;"D")</f>
        <v>58089</v>
      </c>
      <c r="Z2696" s="174" t="e">
        <v>#N/A</v>
      </c>
      <c r="AA2696" s="177"/>
    </row>
    <row r="2697" spans="22:27" x14ac:dyDescent="0.2">
      <c r="V2697" s="163"/>
      <c r="W2697" s="158" t="str">
        <f t="shared" si="53"/>
        <v>1w</v>
      </c>
      <c r="X2697" s="168">
        <f>_xll.qlCalendarAdvance(Calendar,X2696,W2697,"f",FALSE)</f>
        <v>58096</v>
      </c>
      <c r="Y2697" s="173">
        <f>_xll.qlCalendarAdvance(Calendar,X2697,NDays&amp;"D")</f>
        <v>58096</v>
      </c>
      <c r="Z2697" s="174" t="e">
        <v>#N/A</v>
      </c>
      <c r="AA2697" s="177"/>
    </row>
    <row r="2698" spans="22:27" x14ac:dyDescent="0.2">
      <c r="V2698" s="163"/>
      <c r="W2698" s="158" t="str">
        <f t="shared" si="53"/>
        <v>1w</v>
      </c>
      <c r="X2698" s="168">
        <f>_xll.qlCalendarAdvance(Calendar,X2697,W2698,"f",FALSE)</f>
        <v>58103</v>
      </c>
      <c r="Y2698" s="173">
        <f>_xll.qlCalendarAdvance(Calendar,X2698,NDays&amp;"D")</f>
        <v>58103</v>
      </c>
      <c r="Z2698" s="174" t="e">
        <v>#N/A</v>
      </c>
      <c r="AA2698" s="177"/>
    </row>
    <row r="2699" spans="22:27" x14ac:dyDescent="0.2">
      <c r="V2699" s="163"/>
      <c r="W2699" s="158" t="str">
        <f t="shared" si="53"/>
        <v>1w</v>
      </c>
      <c r="X2699" s="168">
        <f>_xll.qlCalendarAdvance(Calendar,X2698,W2699,"f",FALSE)</f>
        <v>58110</v>
      </c>
      <c r="Y2699" s="173">
        <f>_xll.qlCalendarAdvance(Calendar,X2699,NDays&amp;"D")</f>
        <v>58110</v>
      </c>
      <c r="Z2699" s="174" t="e">
        <v>#N/A</v>
      </c>
      <c r="AA2699" s="177"/>
    </row>
    <row r="2700" spans="22:27" x14ac:dyDescent="0.2">
      <c r="V2700" s="163"/>
      <c r="W2700" s="158" t="str">
        <f t="shared" si="53"/>
        <v>1w</v>
      </c>
      <c r="X2700" s="168">
        <f>_xll.qlCalendarAdvance(Calendar,X2699,W2700,"f",FALSE)</f>
        <v>58118</v>
      </c>
      <c r="Y2700" s="173">
        <f>_xll.qlCalendarAdvance(Calendar,X2700,NDays&amp;"D")</f>
        <v>58118</v>
      </c>
      <c r="Z2700" s="174" t="e">
        <v>#N/A</v>
      </c>
      <c r="AA2700" s="177"/>
    </row>
    <row r="2701" spans="22:27" x14ac:dyDescent="0.2">
      <c r="V2701" s="163"/>
      <c r="W2701" s="158" t="str">
        <f t="shared" ref="W2701:W2764" si="54">W2700</f>
        <v>1w</v>
      </c>
      <c r="X2701" s="168">
        <f>_xll.qlCalendarAdvance(Calendar,X2700,W2701,"f",FALSE)</f>
        <v>58125</v>
      </c>
      <c r="Y2701" s="173">
        <f>_xll.qlCalendarAdvance(Calendar,X2701,NDays&amp;"D")</f>
        <v>58125</v>
      </c>
      <c r="Z2701" s="174" t="e">
        <v>#N/A</v>
      </c>
      <c r="AA2701" s="177"/>
    </row>
    <row r="2702" spans="22:27" x14ac:dyDescent="0.2">
      <c r="V2702" s="163"/>
      <c r="W2702" s="158" t="str">
        <f t="shared" si="54"/>
        <v>1w</v>
      </c>
      <c r="X2702" s="168">
        <f>_xll.qlCalendarAdvance(Calendar,X2701,W2702,"f",FALSE)</f>
        <v>58132</v>
      </c>
      <c r="Y2702" s="173">
        <f>_xll.qlCalendarAdvance(Calendar,X2702,NDays&amp;"D")</f>
        <v>58132</v>
      </c>
      <c r="Z2702" s="174" t="e">
        <v>#N/A</v>
      </c>
      <c r="AA2702" s="177"/>
    </row>
    <row r="2703" spans="22:27" x14ac:dyDescent="0.2">
      <c r="V2703" s="163"/>
      <c r="W2703" s="158" t="str">
        <f t="shared" si="54"/>
        <v>1w</v>
      </c>
      <c r="X2703" s="168">
        <f>_xll.qlCalendarAdvance(Calendar,X2702,W2703,"f",FALSE)</f>
        <v>58139</v>
      </c>
      <c r="Y2703" s="173">
        <f>_xll.qlCalendarAdvance(Calendar,X2703,NDays&amp;"D")</f>
        <v>58139</v>
      </c>
      <c r="Z2703" s="174" t="e">
        <v>#N/A</v>
      </c>
      <c r="AA2703" s="177"/>
    </row>
    <row r="2704" spans="22:27" x14ac:dyDescent="0.2">
      <c r="V2704" s="163"/>
      <c r="W2704" s="158" t="str">
        <f t="shared" si="54"/>
        <v>1w</v>
      </c>
      <c r="X2704" s="168">
        <f>_xll.qlCalendarAdvance(Calendar,X2703,W2704,"f",FALSE)</f>
        <v>58146</v>
      </c>
      <c r="Y2704" s="173">
        <f>_xll.qlCalendarAdvance(Calendar,X2704,NDays&amp;"D")</f>
        <v>58146</v>
      </c>
      <c r="Z2704" s="174" t="e">
        <v>#N/A</v>
      </c>
      <c r="AA2704" s="177"/>
    </row>
    <row r="2705" spans="22:27" x14ac:dyDescent="0.2">
      <c r="V2705" s="163"/>
      <c r="W2705" s="158" t="str">
        <f t="shared" si="54"/>
        <v>1w</v>
      </c>
      <c r="X2705" s="168">
        <f>_xll.qlCalendarAdvance(Calendar,X2704,W2705,"f",FALSE)</f>
        <v>58153</v>
      </c>
      <c r="Y2705" s="173">
        <f>_xll.qlCalendarAdvance(Calendar,X2705,NDays&amp;"D")</f>
        <v>58153</v>
      </c>
      <c r="Z2705" s="174" t="e">
        <v>#N/A</v>
      </c>
      <c r="AA2705" s="177"/>
    </row>
    <row r="2706" spans="22:27" x14ac:dyDescent="0.2">
      <c r="V2706" s="163"/>
      <c r="W2706" s="158" t="str">
        <f t="shared" si="54"/>
        <v>1w</v>
      </c>
      <c r="X2706" s="168">
        <f>_xll.qlCalendarAdvance(Calendar,X2705,W2706,"f",FALSE)</f>
        <v>58160</v>
      </c>
      <c r="Y2706" s="173">
        <f>_xll.qlCalendarAdvance(Calendar,X2706,NDays&amp;"D")</f>
        <v>58160</v>
      </c>
      <c r="Z2706" s="174" t="e">
        <v>#N/A</v>
      </c>
      <c r="AA2706" s="177"/>
    </row>
    <row r="2707" spans="22:27" x14ac:dyDescent="0.2">
      <c r="V2707" s="163"/>
      <c r="W2707" s="158" t="str">
        <f t="shared" si="54"/>
        <v>1w</v>
      </c>
      <c r="X2707" s="168">
        <f>_xll.qlCalendarAdvance(Calendar,X2706,W2707,"f",FALSE)</f>
        <v>58167</v>
      </c>
      <c r="Y2707" s="173">
        <f>_xll.qlCalendarAdvance(Calendar,X2707,NDays&amp;"D")</f>
        <v>58167</v>
      </c>
      <c r="Z2707" s="174" t="e">
        <v>#N/A</v>
      </c>
      <c r="AA2707" s="177"/>
    </row>
    <row r="2708" spans="22:27" x14ac:dyDescent="0.2">
      <c r="V2708" s="163"/>
      <c r="W2708" s="158" t="str">
        <f t="shared" si="54"/>
        <v>1w</v>
      </c>
      <c r="X2708" s="168">
        <f>_xll.qlCalendarAdvance(Calendar,X2707,W2708,"f",FALSE)</f>
        <v>58174</v>
      </c>
      <c r="Y2708" s="173">
        <f>_xll.qlCalendarAdvance(Calendar,X2708,NDays&amp;"D")</f>
        <v>58174</v>
      </c>
      <c r="Z2708" s="174" t="e">
        <v>#N/A</v>
      </c>
      <c r="AA2708" s="177"/>
    </row>
    <row r="2709" spans="22:27" x14ac:dyDescent="0.2">
      <c r="V2709" s="163"/>
      <c r="W2709" s="158" t="str">
        <f t="shared" si="54"/>
        <v>1w</v>
      </c>
      <c r="X2709" s="168">
        <f>_xll.qlCalendarAdvance(Calendar,X2708,W2709,"f",FALSE)</f>
        <v>58181</v>
      </c>
      <c r="Y2709" s="173">
        <f>_xll.qlCalendarAdvance(Calendar,X2709,NDays&amp;"D")</f>
        <v>58181</v>
      </c>
      <c r="Z2709" s="174" t="e">
        <v>#N/A</v>
      </c>
      <c r="AA2709" s="177"/>
    </row>
    <row r="2710" spans="22:27" x14ac:dyDescent="0.2">
      <c r="V2710" s="163"/>
      <c r="W2710" s="158" t="str">
        <f t="shared" si="54"/>
        <v>1w</v>
      </c>
      <c r="X2710" s="168">
        <f>_xll.qlCalendarAdvance(Calendar,X2709,W2710,"f",FALSE)</f>
        <v>58188</v>
      </c>
      <c r="Y2710" s="173">
        <f>_xll.qlCalendarAdvance(Calendar,X2710,NDays&amp;"D")</f>
        <v>58188</v>
      </c>
      <c r="Z2710" s="174" t="e">
        <v>#N/A</v>
      </c>
      <c r="AA2710" s="177"/>
    </row>
    <row r="2711" spans="22:27" x14ac:dyDescent="0.2">
      <c r="V2711" s="163"/>
      <c r="W2711" s="158" t="str">
        <f t="shared" si="54"/>
        <v>1w</v>
      </c>
      <c r="X2711" s="168">
        <f>_xll.qlCalendarAdvance(Calendar,X2710,W2711,"f",FALSE)</f>
        <v>58195</v>
      </c>
      <c r="Y2711" s="173">
        <f>_xll.qlCalendarAdvance(Calendar,X2711,NDays&amp;"D")</f>
        <v>58195</v>
      </c>
      <c r="Z2711" s="174" t="e">
        <v>#N/A</v>
      </c>
      <c r="AA2711" s="177"/>
    </row>
    <row r="2712" spans="22:27" x14ac:dyDescent="0.2">
      <c r="V2712" s="163"/>
      <c r="W2712" s="158" t="str">
        <f t="shared" si="54"/>
        <v>1w</v>
      </c>
      <c r="X2712" s="168">
        <f>_xll.qlCalendarAdvance(Calendar,X2711,W2712,"f",FALSE)</f>
        <v>58202</v>
      </c>
      <c r="Y2712" s="173">
        <f>_xll.qlCalendarAdvance(Calendar,X2712,NDays&amp;"D")</f>
        <v>58202</v>
      </c>
      <c r="Z2712" s="174" t="e">
        <v>#N/A</v>
      </c>
      <c r="AA2712" s="177"/>
    </row>
    <row r="2713" spans="22:27" x14ac:dyDescent="0.2">
      <c r="V2713" s="163"/>
      <c r="W2713" s="158" t="str">
        <f t="shared" si="54"/>
        <v>1w</v>
      </c>
      <c r="X2713" s="168">
        <f>_xll.qlCalendarAdvance(Calendar,X2712,W2713,"f",FALSE)</f>
        <v>58209</v>
      </c>
      <c r="Y2713" s="173">
        <f>_xll.qlCalendarAdvance(Calendar,X2713,NDays&amp;"D")</f>
        <v>58209</v>
      </c>
      <c r="Z2713" s="174" t="e">
        <v>#N/A</v>
      </c>
      <c r="AA2713" s="177"/>
    </row>
    <row r="2714" spans="22:27" x14ac:dyDescent="0.2">
      <c r="V2714" s="163"/>
      <c r="W2714" s="158" t="str">
        <f t="shared" si="54"/>
        <v>1w</v>
      </c>
      <c r="X2714" s="168">
        <f>_xll.qlCalendarAdvance(Calendar,X2713,W2714,"f",FALSE)</f>
        <v>58216</v>
      </c>
      <c r="Y2714" s="173">
        <f>_xll.qlCalendarAdvance(Calendar,X2714,NDays&amp;"D")</f>
        <v>58216</v>
      </c>
      <c r="Z2714" s="174" t="e">
        <v>#N/A</v>
      </c>
      <c r="AA2714" s="177"/>
    </row>
    <row r="2715" spans="22:27" x14ac:dyDescent="0.2">
      <c r="V2715" s="163"/>
      <c r="W2715" s="158" t="str">
        <f t="shared" si="54"/>
        <v>1w</v>
      </c>
      <c r="X2715" s="168">
        <f>_xll.qlCalendarAdvance(Calendar,X2714,W2715,"f",FALSE)</f>
        <v>58223</v>
      </c>
      <c r="Y2715" s="173">
        <f>_xll.qlCalendarAdvance(Calendar,X2715,NDays&amp;"D")</f>
        <v>58223</v>
      </c>
      <c r="Z2715" s="174" t="e">
        <v>#N/A</v>
      </c>
      <c r="AA2715" s="177"/>
    </row>
    <row r="2716" spans="22:27" x14ac:dyDescent="0.2">
      <c r="V2716" s="163"/>
      <c r="W2716" s="158" t="str">
        <f t="shared" si="54"/>
        <v>1w</v>
      </c>
      <c r="X2716" s="168">
        <f>_xll.qlCalendarAdvance(Calendar,X2715,W2716,"f",FALSE)</f>
        <v>58230</v>
      </c>
      <c r="Y2716" s="173">
        <f>_xll.qlCalendarAdvance(Calendar,X2716,NDays&amp;"D")</f>
        <v>58230</v>
      </c>
      <c r="Z2716" s="174" t="e">
        <v>#N/A</v>
      </c>
      <c r="AA2716" s="177"/>
    </row>
    <row r="2717" spans="22:27" x14ac:dyDescent="0.2">
      <c r="V2717" s="163"/>
      <c r="W2717" s="158" t="str">
        <f t="shared" si="54"/>
        <v>1w</v>
      </c>
      <c r="X2717" s="168">
        <f>_xll.qlCalendarAdvance(Calendar,X2716,W2717,"f",FALSE)</f>
        <v>58237</v>
      </c>
      <c r="Y2717" s="173">
        <f>_xll.qlCalendarAdvance(Calendar,X2717,NDays&amp;"D")</f>
        <v>58237</v>
      </c>
      <c r="Z2717" s="174" t="e">
        <v>#N/A</v>
      </c>
      <c r="AA2717" s="177"/>
    </row>
    <row r="2718" spans="22:27" x14ac:dyDescent="0.2">
      <c r="V2718" s="163"/>
      <c r="W2718" s="158" t="str">
        <f t="shared" si="54"/>
        <v>1w</v>
      </c>
      <c r="X2718" s="168">
        <f>_xll.qlCalendarAdvance(Calendar,X2717,W2718,"f",FALSE)</f>
        <v>58244</v>
      </c>
      <c r="Y2718" s="173">
        <f>_xll.qlCalendarAdvance(Calendar,X2718,NDays&amp;"D")</f>
        <v>58244</v>
      </c>
      <c r="Z2718" s="174" t="e">
        <v>#N/A</v>
      </c>
      <c r="AA2718" s="177"/>
    </row>
    <row r="2719" spans="22:27" x14ac:dyDescent="0.2">
      <c r="V2719" s="163"/>
      <c r="W2719" s="158" t="str">
        <f t="shared" si="54"/>
        <v>1w</v>
      </c>
      <c r="X2719" s="168">
        <f>_xll.qlCalendarAdvance(Calendar,X2718,W2719,"f",FALSE)</f>
        <v>58251</v>
      </c>
      <c r="Y2719" s="173">
        <f>_xll.qlCalendarAdvance(Calendar,X2719,NDays&amp;"D")</f>
        <v>58251</v>
      </c>
      <c r="Z2719" s="174" t="e">
        <v>#N/A</v>
      </c>
      <c r="AA2719" s="177"/>
    </row>
    <row r="2720" spans="22:27" x14ac:dyDescent="0.2">
      <c r="V2720" s="163"/>
      <c r="W2720" s="158" t="str">
        <f t="shared" si="54"/>
        <v>1w</v>
      </c>
      <c r="X2720" s="168">
        <f>_xll.qlCalendarAdvance(Calendar,X2719,W2720,"f",FALSE)</f>
        <v>58258</v>
      </c>
      <c r="Y2720" s="173">
        <f>_xll.qlCalendarAdvance(Calendar,X2720,NDays&amp;"D")</f>
        <v>58258</v>
      </c>
      <c r="Z2720" s="174" t="e">
        <v>#N/A</v>
      </c>
      <c r="AA2720" s="177"/>
    </row>
    <row r="2721" spans="22:27" x14ac:dyDescent="0.2">
      <c r="V2721" s="163"/>
      <c r="W2721" s="158" t="str">
        <f t="shared" si="54"/>
        <v>1w</v>
      </c>
      <c r="X2721" s="168">
        <f>_xll.qlCalendarAdvance(Calendar,X2720,W2721,"f",FALSE)</f>
        <v>58265</v>
      </c>
      <c r="Y2721" s="173">
        <f>_xll.qlCalendarAdvance(Calendar,X2721,NDays&amp;"D")</f>
        <v>58265</v>
      </c>
      <c r="Z2721" s="174" t="e">
        <v>#N/A</v>
      </c>
      <c r="AA2721" s="177"/>
    </row>
    <row r="2722" spans="22:27" x14ac:dyDescent="0.2">
      <c r="V2722" s="163"/>
      <c r="W2722" s="158" t="str">
        <f t="shared" si="54"/>
        <v>1w</v>
      </c>
      <c r="X2722" s="168">
        <f>_xll.qlCalendarAdvance(Calendar,X2721,W2722,"f",FALSE)</f>
        <v>58272</v>
      </c>
      <c r="Y2722" s="173">
        <f>_xll.qlCalendarAdvance(Calendar,X2722,NDays&amp;"D")</f>
        <v>58272</v>
      </c>
      <c r="Z2722" s="174" t="e">
        <v>#N/A</v>
      </c>
      <c r="AA2722" s="177"/>
    </row>
    <row r="2723" spans="22:27" x14ac:dyDescent="0.2">
      <c r="V2723" s="163"/>
      <c r="W2723" s="158" t="str">
        <f t="shared" si="54"/>
        <v>1w</v>
      </c>
      <c r="X2723" s="168">
        <f>_xll.qlCalendarAdvance(Calendar,X2722,W2723,"f",FALSE)</f>
        <v>58279</v>
      </c>
      <c r="Y2723" s="173">
        <f>_xll.qlCalendarAdvance(Calendar,X2723,NDays&amp;"D")</f>
        <v>58279</v>
      </c>
      <c r="Z2723" s="174" t="e">
        <v>#N/A</v>
      </c>
      <c r="AA2723" s="177"/>
    </row>
    <row r="2724" spans="22:27" x14ac:dyDescent="0.2">
      <c r="V2724" s="163"/>
      <c r="W2724" s="158" t="str">
        <f t="shared" si="54"/>
        <v>1w</v>
      </c>
      <c r="X2724" s="168">
        <f>_xll.qlCalendarAdvance(Calendar,X2723,W2724,"f",FALSE)</f>
        <v>58286</v>
      </c>
      <c r="Y2724" s="173">
        <f>_xll.qlCalendarAdvance(Calendar,X2724,NDays&amp;"D")</f>
        <v>58286</v>
      </c>
      <c r="Z2724" s="174" t="e">
        <v>#N/A</v>
      </c>
      <c r="AA2724" s="177"/>
    </row>
    <row r="2725" spans="22:27" x14ac:dyDescent="0.2">
      <c r="V2725" s="163"/>
      <c r="W2725" s="158" t="str">
        <f t="shared" si="54"/>
        <v>1w</v>
      </c>
      <c r="X2725" s="168">
        <f>_xll.qlCalendarAdvance(Calendar,X2724,W2725,"f",FALSE)</f>
        <v>58293</v>
      </c>
      <c r="Y2725" s="173">
        <f>_xll.qlCalendarAdvance(Calendar,X2725,NDays&amp;"D")</f>
        <v>58293</v>
      </c>
      <c r="Z2725" s="174" t="e">
        <v>#N/A</v>
      </c>
      <c r="AA2725" s="177"/>
    </row>
    <row r="2726" spans="22:27" x14ac:dyDescent="0.2">
      <c r="V2726" s="163"/>
      <c r="W2726" s="158" t="str">
        <f t="shared" si="54"/>
        <v>1w</v>
      </c>
      <c r="X2726" s="168">
        <f>_xll.qlCalendarAdvance(Calendar,X2725,W2726,"f",FALSE)</f>
        <v>58300</v>
      </c>
      <c r="Y2726" s="173">
        <f>_xll.qlCalendarAdvance(Calendar,X2726,NDays&amp;"D")</f>
        <v>58300</v>
      </c>
      <c r="Z2726" s="174" t="e">
        <v>#N/A</v>
      </c>
      <c r="AA2726" s="177"/>
    </row>
    <row r="2727" spans="22:27" x14ac:dyDescent="0.2">
      <c r="V2727" s="163"/>
      <c r="W2727" s="158" t="str">
        <f t="shared" si="54"/>
        <v>1w</v>
      </c>
      <c r="X2727" s="168">
        <f>_xll.qlCalendarAdvance(Calendar,X2726,W2727,"f",FALSE)</f>
        <v>58307</v>
      </c>
      <c r="Y2727" s="173">
        <f>_xll.qlCalendarAdvance(Calendar,X2727,NDays&amp;"D")</f>
        <v>58307</v>
      </c>
      <c r="Z2727" s="174" t="e">
        <v>#N/A</v>
      </c>
      <c r="AA2727" s="177"/>
    </row>
    <row r="2728" spans="22:27" x14ac:dyDescent="0.2">
      <c r="V2728" s="163"/>
      <c r="W2728" s="158" t="str">
        <f t="shared" si="54"/>
        <v>1w</v>
      </c>
      <c r="X2728" s="168">
        <f>_xll.qlCalendarAdvance(Calendar,X2727,W2728,"f",FALSE)</f>
        <v>58314</v>
      </c>
      <c r="Y2728" s="173">
        <f>_xll.qlCalendarAdvance(Calendar,X2728,NDays&amp;"D")</f>
        <v>58314</v>
      </c>
      <c r="Z2728" s="174" t="e">
        <v>#N/A</v>
      </c>
      <c r="AA2728" s="177"/>
    </row>
    <row r="2729" spans="22:27" x14ac:dyDescent="0.2">
      <c r="V2729" s="163"/>
      <c r="W2729" s="158" t="str">
        <f t="shared" si="54"/>
        <v>1w</v>
      </c>
      <c r="X2729" s="168">
        <f>_xll.qlCalendarAdvance(Calendar,X2728,W2729,"f",FALSE)</f>
        <v>58321</v>
      </c>
      <c r="Y2729" s="173">
        <f>_xll.qlCalendarAdvance(Calendar,X2729,NDays&amp;"D")</f>
        <v>58321</v>
      </c>
      <c r="Z2729" s="174" t="e">
        <v>#N/A</v>
      </c>
      <c r="AA2729" s="177"/>
    </row>
    <row r="2730" spans="22:27" x14ac:dyDescent="0.2">
      <c r="V2730" s="163"/>
      <c r="W2730" s="158" t="str">
        <f t="shared" si="54"/>
        <v>1w</v>
      </c>
      <c r="X2730" s="168">
        <f>_xll.qlCalendarAdvance(Calendar,X2729,W2730,"f",FALSE)</f>
        <v>58328</v>
      </c>
      <c r="Y2730" s="173">
        <f>_xll.qlCalendarAdvance(Calendar,X2730,NDays&amp;"D")</f>
        <v>58328</v>
      </c>
      <c r="Z2730" s="174" t="e">
        <v>#N/A</v>
      </c>
      <c r="AA2730" s="177"/>
    </row>
    <row r="2731" spans="22:27" x14ac:dyDescent="0.2">
      <c r="V2731" s="163"/>
      <c r="W2731" s="158" t="str">
        <f t="shared" si="54"/>
        <v>1w</v>
      </c>
      <c r="X2731" s="168">
        <f>_xll.qlCalendarAdvance(Calendar,X2730,W2731,"f",FALSE)</f>
        <v>58335</v>
      </c>
      <c r="Y2731" s="173">
        <f>_xll.qlCalendarAdvance(Calendar,X2731,NDays&amp;"D")</f>
        <v>58335</v>
      </c>
      <c r="Z2731" s="174" t="e">
        <v>#N/A</v>
      </c>
      <c r="AA2731" s="177"/>
    </row>
    <row r="2732" spans="22:27" x14ac:dyDescent="0.2">
      <c r="V2732" s="163"/>
      <c r="W2732" s="158" t="str">
        <f t="shared" si="54"/>
        <v>1w</v>
      </c>
      <c r="X2732" s="168">
        <f>_xll.qlCalendarAdvance(Calendar,X2731,W2732,"f",FALSE)</f>
        <v>58342</v>
      </c>
      <c r="Y2732" s="173">
        <f>_xll.qlCalendarAdvance(Calendar,X2732,NDays&amp;"D")</f>
        <v>58342</v>
      </c>
      <c r="Z2732" s="174" t="e">
        <v>#N/A</v>
      </c>
      <c r="AA2732" s="177"/>
    </row>
    <row r="2733" spans="22:27" x14ac:dyDescent="0.2">
      <c r="V2733" s="163"/>
      <c r="W2733" s="158" t="str">
        <f t="shared" si="54"/>
        <v>1w</v>
      </c>
      <c r="X2733" s="168">
        <f>_xll.qlCalendarAdvance(Calendar,X2732,W2733,"f",FALSE)</f>
        <v>58349</v>
      </c>
      <c r="Y2733" s="173">
        <f>_xll.qlCalendarAdvance(Calendar,X2733,NDays&amp;"D")</f>
        <v>58349</v>
      </c>
      <c r="Z2733" s="174" t="e">
        <v>#N/A</v>
      </c>
      <c r="AA2733" s="177"/>
    </row>
    <row r="2734" spans="22:27" x14ac:dyDescent="0.2">
      <c r="V2734" s="163"/>
      <c r="W2734" s="158" t="str">
        <f t="shared" si="54"/>
        <v>1w</v>
      </c>
      <c r="X2734" s="168">
        <f>_xll.qlCalendarAdvance(Calendar,X2733,W2734,"f",FALSE)</f>
        <v>58356</v>
      </c>
      <c r="Y2734" s="173">
        <f>_xll.qlCalendarAdvance(Calendar,X2734,NDays&amp;"D")</f>
        <v>58356</v>
      </c>
      <c r="Z2734" s="174" t="e">
        <v>#N/A</v>
      </c>
      <c r="AA2734" s="177"/>
    </row>
    <row r="2735" spans="22:27" x14ac:dyDescent="0.2">
      <c r="V2735" s="163"/>
      <c r="W2735" s="158" t="str">
        <f t="shared" si="54"/>
        <v>1w</v>
      </c>
      <c r="X2735" s="168">
        <f>_xll.qlCalendarAdvance(Calendar,X2734,W2735,"f",FALSE)</f>
        <v>58363</v>
      </c>
      <c r="Y2735" s="173">
        <f>_xll.qlCalendarAdvance(Calendar,X2735,NDays&amp;"D")</f>
        <v>58363</v>
      </c>
      <c r="Z2735" s="174" t="e">
        <v>#N/A</v>
      </c>
      <c r="AA2735" s="177"/>
    </row>
    <row r="2736" spans="22:27" x14ac:dyDescent="0.2">
      <c r="V2736" s="163"/>
      <c r="W2736" s="158" t="str">
        <f t="shared" si="54"/>
        <v>1w</v>
      </c>
      <c r="X2736" s="168">
        <f>_xll.qlCalendarAdvance(Calendar,X2735,W2736,"f",FALSE)</f>
        <v>58370</v>
      </c>
      <c r="Y2736" s="173">
        <f>_xll.qlCalendarAdvance(Calendar,X2736,NDays&amp;"D")</f>
        <v>58370</v>
      </c>
      <c r="Z2736" s="174" t="e">
        <v>#N/A</v>
      </c>
      <c r="AA2736" s="177"/>
    </row>
    <row r="2737" spans="22:27" x14ac:dyDescent="0.2">
      <c r="V2737" s="163"/>
      <c r="W2737" s="158" t="str">
        <f t="shared" si="54"/>
        <v>1w</v>
      </c>
      <c r="X2737" s="168">
        <f>_xll.qlCalendarAdvance(Calendar,X2736,W2737,"f",FALSE)</f>
        <v>58377</v>
      </c>
      <c r="Y2737" s="173">
        <f>_xll.qlCalendarAdvance(Calendar,X2737,NDays&amp;"D")</f>
        <v>58377</v>
      </c>
      <c r="Z2737" s="174" t="e">
        <v>#N/A</v>
      </c>
      <c r="AA2737" s="177"/>
    </row>
    <row r="2738" spans="22:27" x14ac:dyDescent="0.2">
      <c r="V2738" s="163"/>
      <c r="W2738" s="158" t="str">
        <f t="shared" si="54"/>
        <v>1w</v>
      </c>
      <c r="X2738" s="168">
        <f>_xll.qlCalendarAdvance(Calendar,X2737,W2738,"f",FALSE)</f>
        <v>58384</v>
      </c>
      <c r="Y2738" s="173">
        <f>_xll.qlCalendarAdvance(Calendar,X2738,NDays&amp;"D")</f>
        <v>58384</v>
      </c>
      <c r="Z2738" s="174" t="e">
        <v>#N/A</v>
      </c>
      <c r="AA2738" s="177"/>
    </row>
    <row r="2739" spans="22:27" x14ac:dyDescent="0.2">
      <c r="V2739" s="163"/>
      <c r="W2739" s="158" t="str">
        <f t="shared" si="54"/>
        <v>1w</v>
      </c>
      <c r="X2739" s="168">
        <f>_xll.qlCalendarAdvance(Calendar,X2738,W2739,"f",FALSE)</f>
        <v>58391</v>
      </c>
      <c r="Y2739" s="173">
        <f>_xll.qlCalendarAdvance(Calendar,X2739,NDays&amp;"D")</f>
        <v>58391</v>
      </c>
      <c r="Z2739" s="174" t="e">
        <v>#N/A</v>
      </c>
      <c r="AA2739" s="177"/>
    </row>
    <row r="2740" spans="22:27" x14ac:dyDescent="0.2">
      <c r="V2740" s="163"/>
      <c r="W2740" s="158" t="str">
        <f t="shared" si="54"/>
        <v>1w</v>
      </c>
      <c r="X2740" s="168">
        <f>_xll.qlCalendarAdvance(Calendar,X2739,W2740,"f",FALSE)</f>
        <v>58398</v>
      </c>
      <c r="Y2740" s="173">
        <f>_xll.qlCalendarAdvance(Calendar,X2740,NDays&amp;"D")</f>
        <v>58398</v>
      </c>
      <c r="Z2740" s="174" t="e">
        <v>#N/A</v>
      </c>
      <c r="AA2740" s="177"/>
    </row>
    <row r="2741" spans="22:27" x14ac:dyDescent="0.2">
      <c r="V2741" s="163"/>
      <c r="W2741" s="158" t="str">
        <f t="shared" si="54"/>
        <v>1w</v>
      </c>
      <c r="X2741" s="168">
        <f>_xll.qlCalendarAdvance(Calendar,X2740,W2741,"f",FALSE)</f>
        <v>58405</v>
      </c>
      <c r="Y2741" s="173">
        <f>_xll.qlCalendarAdvance(Calendar,X2741,NDays&amp;"D")</f>
        <v>58405</v>
      </c>
      <c r="Z2741" s="174" t="e">
        <v>#N/A</v>
      </c>
      <c r="AA2741" s="177"/>
    </row>
    <row r="2742" spans="22:27" x14ac:dyDescent="0.2">
      <c r="V2742" s="163"/>
      <c r="W2742" s="158" t="str">
        <f t="shared" si="54"/>
        <v>1w</v>
      </c>
      <c r="X2742" s="168">
        <f>_xll.qlCalendarAdvance(Calendar,X2741,W2742,"f",FALSE)</f>
        <v>58412</v>
      </c>
      <c r="Y2742" s="173">
        <f>_xll.qlCalendarAdvance(Calendar,X2742,NDays&amp;"D")</f>
        <v>58412</v>
      </c>
      <c r="Z2742" s="174" t="e">
        <v>#N/A</v>
      </c>
      <c r="AA2742" s="177"/>
    </row>
    <row r="2743" spans="22:27" x14ac:dyDescent="0.2">
      <c r="V2743" s="163"/>
      <c r="W2743" s="158" t="str">
        <f t="shared" si="54"/>
        <v>1w</v>
      </c>
      <c r="X2743" s="168">
        <f>_xll.qlCalendarAdvance(Calendar,X2742,W2743,"f",FALSE)</f>
        <v>58419</v>
      </c>
      <c r="Y2743" s="173">
        <f>_xll.qlCalendarAdvance(Calendar,X2743,NDays&amp;"D")</f>
        <v>58419</v>
      </c>
      <c r="Z2743" s="174" t="e">
        <v>#N/A</v>
      </c>
      <c r="AA2743" s="177"/>
    </row>
    <row r="2744" spans="22:27" x14ac:dyDescent="0.2">
      <c r="V2744" s="163"/>
      <c r="W2744" s="158" t="str">
        <f t="shared" si="54"/>
        <v>1w</v>
      </c>
      <c r="X2744" s="168">
        <f>_xll.qlCalendarAdvance(Calendar,X2743,W2744,"f",FALSE)</f>
        <v>58426</v>
      </c>
      <c r="Y2744" s="173">
        <f>_xll.qlCalendarAdvance(Calendar,X2744,NDays&amp;"D")</f>
        <v>58426</v>
      </c>
      <c r="Z2744" s="174" t="e">
        <v>#N/A</v>
      </c>
      <c r="AA2744" s="177"/>
    </row>
    <row r="2745" spans="22:27" x14ac:dyDescent="0.2">
      <c r="V2745" s="163"/>
      <c r="W2745" s="158" t="str">
        <f t="shared" si="54"/>
        <v>1w</v>
      </c>
      <c r="X2745" s="168">
        <f>_xll.qlCalendarAdvance(Calendar,X2744,W2745,"f",FALSE)</f>
        <v>58433</v>
      </c>
      <c r="Y2745" s="173">
        <f>_xll.qlCalendarAdvance(Calendar,X2745,NDays&amp;"D")</f>
        <v>58433</v>
      </c>
      <c r="Z2745" s="174" t="e">
        <v>#N/A</v>
      </c>
      <c r="AA2745" s="177"/>
    </row>
    <row r="2746" spans="22:27" x14ac:dyDescent="0.2">
      <c r="V2746" s="163"/>
      <c r="W2746" s="158" t="str">
        <f t="shared" si="54"/>
        <v>1w</v>
      </c>
      <c r="X2746" s="168">
        <f>_xll.qlCalendarAdvance(Calendar,X2745,W2746,"f",FALSE)</f>
        <v>58445</v>
      </c>
      <c r="Y2746" s="173">
        <f>_xll.qlCalendarAdvance(Calendar,X2746,NDays&amp;"D")</f>
        <v>58445</v>
      </c>
      <c r="Z2746" s="174" t="e">
        <v>#N/A</v>
      </c>
      <c r="AA2746" s="177"/>
    </row>
    <row r="2747" spans="22:27" x14ac:dyDescent="0.2">
      <c r="V2747" s="163"/>
      <c r="W2747" s="158" t="str">
        <f t="shared" si="54"/>
        <v>1w</v>
      </c>
      <c r="X2747" s="168">
        <f>_xll.qlCalendarAdvance(Calendar,X2746,W2747,"f",FALSE)</f>
        <v>58453</v>
      </c>
      <c r="Y2747" s="173">
        <f>_xll.qlCalendarAdvance(Calendar,X2747,NDays&amp;"D")</f>
        <v>58453</v>
      </c>
      <c r="Z2747" s="174" t="e">
        <v>#N/A</v>
      </c>
      <c r="AA2747" s="177"/>
    </row>
    <row r="2748" spans="22:27" x14ac:dyDescent="0.2">
      <c r="V2748" s="163"/>
      <c r="W2748" s="158" t="str">
        <f t="shared" si="54"/>
        <v>1w</v>
      </c>
      <c r="X2748" s="168">
        <f>_xll.qlCalendarAdvance(Calendar,X2747,W2748,"f",FALSE)</f>
        <v>58460</v>
      </c>
      <c r="Y2748" s="173">
        <f>_xll.qlCalendarAdvance(Calendar,X2748,NDays&amp;"D")</f>
        <v>58460</v>
      </c>
      <c r="Z2748" s="174" t="e">
        <v>#N/A</v>
      </c>
      <c r="AA2748" s="177"/>
    </row>
    <row r="2749" spans="22:27" x14ac:dyDescent="0.2">
      <c r="V2749" s="163"/>
      <c r="W2749" s="158" t="str">
        <f t="shared" si="54"/>
        <v>1w</v>
      </c>
      <c r="X2749" s="168">
        <f>_xll.qlCalendarAdvance(Calendar,X2748,W2749,"f",FALSE)</f>
        <v>58467</v>
      </c>
      <c r="Y2749" s="173">
        <f>_xll.qlCalendarAdvance(Calendar,X2749,NDays&amp;"D")</f>
        <v>58467</v>
      </c>
      <c r="Z2749" s="174" t="e">
        <v>#N/A</v>
      </c>
      <c r="AA2749" s="177"/>
    </row>
    <row r="2750" spans="22:27" x14ac:dyDescent="0.2">
      <c r="V2750" s="163"/>
      <c r="W2750" s="158" t="str">
        <f t="shared" si="54"/>
        <v>1w</v>
      </c>
      <c r="X2750" s="168">
        <f>_xll.qlCalendarAdvance(Calendar,X2749,W2750,"f",FALSE)</f>
        <v>58474</v>
      </c>
      <c r="Y2750" s="173">
        <f>_xll.qlCalendarAdvance(Calendar,X2750,NDays&amp;"D")</f>
        <v>58474</v>
      </c>
      <c r="Z2750" s="174" t="e">
        <v>#N/A</v>
      </c>
      <c r="AA2750" s="177"/>
    </row>
    <row r="2751" spans="22:27" x14ac:dyDescent="0.2">
      <c r="V2751" s="163"/>
      <c r="W2751" s="158" t="str">
        <f t="shared" si="54"/>
        <v>1w</v>
      </c>
      <c r="X2751" s="168">
        <f>_xll.qlCalendarAdvance(Calendar,X2750,W2751,"f",FALSE)</f>
        <v>58481</v>
      </c>
      <c r="Y2751" s="173">
        <f>_xll.qlCalendarAdvance(Calendar,X2751,NDays&amp;"D")</f>
        <v>58481</v>
      </c>
      <c r="Z2751" s="174" t="e">
        <v>#N/A</v>
      </c>
      <c r="AA2751" s="177"/>
    </row>
    <row r="2752" spans="22:27" x14ac:dyDescent="0.2">
      <c r="V2752" s="163"/>
      <c r="W2752" s="158" t="str">
        <f t="shared" si="54"/>
        <v>1w</v>
      </c>
      <c r="X2752" s="168">
        <f>_xll.qlCalendarAdvance(Calendar,X2751,W2752,"f",FALSE)</f>
        <v>58488</v>
      </c>
      <c r="Y2752" s="173">
        <f>_xll.qlCalendarAdvance(Calendar,X2752,NDays&amp;"D")</f>
        <v>58488</v>
      </c>
      <c r="Z2752" s="174" t="e">
        <v>#N/A</v>
      </c>
      <c r="AA2752" s="177"/>
    </row>
    <row r="2753" spans="22:27" x14ac:dyDescent="0.2">
      <c r="V2753" s="163"/>
      <c r="W2753" s="158" t="str">
        <f t="shared" si="54"/>
        <v>1w</v>
      </c>
      <c r="X2753" s="168">
        <f>_xll.qlCalendarAdvance(Calendar,X2752,W2753,"f",FALSE)</f>
        <v>58495</v>
      </c>
      <c r="Y2753" s="173">
        <f>_xll.qlCalendarAdvance(Calendar,X2753,NDays&amp;"D")</f>
        <v>58495</v>
      </c>
      <c r="Z2753" s="174" t="e">
        <v>#N/A</v>
      </c>
      <c r="AA2753" s="177"/>
    </row>
    <row r="2754" spans="22:27" x14ac:dyDescent="0.2">
      <c r="V2754" s="163"/>
      <c r="W2754" s="158" t="str">
        <f t="shared" si="54"/>
        <v>1w</v>
      </c>
      <c r="X2754" s="168">
        <f>_xll.qlCalendarAdvance(Calendar,X2753,W2754,"f",FALSE)</f>
        <v>58502</v>
      </c>
      <c r="Y2754" s="173">
        <f>_xll.qlCalendarAdvance(Calendar,X2754,NDays&amp;"D")</f>
        <v>58502</v>
      </c>
      <c r="Z2754" s="174" t="e">
        <v>#N/A</v>
      </c>
      <c r="AA2754" s="177"/>
    </row>
    <row r="2755" spans="22:27" x14ac:dyDescent="0.2">
      <c r="V2755" s="163"/>
      <c r="W2755" s="158" t="str">
        <f t="shared" si="54"/>
        <v>1w</v>
      </c>
      <c r="X2755" s="168">
        <f>_xll.qlCalendarAdvance(Calendar,X2754,W2755,"f",FALSE)</f>
        <v>58509</v>
      </c>
      <c r="Y2755" s="173">
        <f>_xll.qlCalendarAdvance(Calendar,X2755,NDays&amp;"D")</f>
        <v>58509</v>
      </c>
      <c r="Z2755" s="174" t="e">
        <v>#N/A</v>
      </c>
      <c r="AA2755" s="177"/>
    </row>
    <row r="2756" spans="22:27" x14ac:dyDescent="0.2">
      <c r="V2756" s="163"/>
      <c r="W2756" s="158" t="str">
        <f t="shared" si="54"/>
        <v>1w</v>
      </c>
      <c r="X2756" s="168">
        <f>_xll.qlCalendarAdvance(Calendar,X2755,W2756,"f",FALSE)</f>
        <v>58516</v>
      </c>
      <c r="Y2756" s="173">
        <f>_xll.qlCalendarAdvance(Calendar,X2756,NDays&amp;"D")</f>
        <v>58516</v>
      </c>
      <c r="Z2756" s="174" t="e">
        <v>#N/A</v>
      </c>
      <c r="AA2756" s="177"/>
    </row>
    <row r="2757" spans="22:27" x14ac:dyDescent="0.2">
      <c r="V2757" s="163"/>
      <c r="W2757" s="158" t="str">
        <f t="shared" si="54"/>
        <v>1w</v>
      </c>
      <c r="X2757" s="168">
        <f>_xll.qlCalendarAdvance(Calendar,X2756,W2757,"f",FALSE)</f>
        <v>58523</v>
      </c>
      <c r="Y2757" s="173">
        <f>_xll.qlCalendarAdvance(Calendar,X2757,NDays&amp;"D")</f>
        <v>58523</v>
      </c>
      <c r="Z2757" s="174" t="e">
        <v>#N/A</v>
      </c>
      <c r="AA2757" s="177"/>
    </row>
    <row r="2758" spans="22:27" x14ac:dyDescent="0.2">
      <c r="V2758" s="163"/>
      <c r="W2758" s="158" t="str">
        <f t="shared" si="54"/>
        <v>1w</v>
      </c>
      <c r="X2758" s="168">
        <f>_xll.qlCalendarAdvance(Calendar,X2757,W2758,"f",FALSE)</f>
        <v>58530</v>
      </c>
      <c r="Y2758" s="173">
        <f>_xll.qlCalendarAdvance(Calendar,X2758,NDays&amp;"D")</f>
        <v>58530</v>
      </c>
      <c r="Z2758" s="174" t="e">
        <v>#N/A</v>
      </c>
      <c r="AA2758" s="177"/>
    </row>
    <row r="2759" spans="22:27" x14ac:dyDescent="0.2">
      <c r="V2759" s="163"/>
      <c r="W2759" s="158" t="str">
        <f t="shared" si="54"/>
        <v>1w</v>
      </c>
      <c r="X2759" s="168">
        <f>_xll.qlCalendarAdvance(Calendar,X2758,W2759,"f",FALSE)</f>
        <v>58537</v>
      </c>
      <c r="Y2759" s="173">
        <f>_xll.qlCalendarAdvance(Calendar,X2759,NDays&amp;"D")</f>
        <v>58537</v>
      </c>
      <c r="Z2759" s="174" t="e">
        <v>#N/A</v>
      </c>
      <c r="AA2759" s="177"/>
    </row>
    <row r="2760" spans="22:27" x14ac:dyDescent="0.2">
      <c r="V2760" s="163"/>
      <c r="W2760" s="158" t="str">
        <f t="shared" si="54"/>
        <v>1w</v>
      </c>
      <c r="X2760" s="168">
        <f>_xll.qlCalendarAdvance(Calendar,X2759,W2760,"f",FALSE)</f>
        <v>58544</v>
      </c>
      <c r="Y2760" s="173">
        <f>_xll.qlCalendarAdvance(Calendar,X2760,NDays&amp;"D")</f>
        <v>58544</v>
      </c>
      <c r="Z2760" s="174" t="e">
        <v>#N/A</v>
      </c>
      <c r="AA2760" s="177"/>
    </row>
    <row r="2761" spans="22:27" x14ac:dyDescent="0.2">
      <c r="V2761" s="163"/>
      <c r="W2761" s="158" t="str">
        <f t="shared" si="54"/>
        <v>1w</v>
      </c>
      <c r="X2761" s="168">
        <f>_xll.qlCalendarAdvance(Calendar,X2760,W2761,"f",FALSE)</f>
        <v>58551</v>
      </c>
      <c r="Y2761" s="173">
        <f>_xll.qlCalendarAdvance(Calendar,X2761,NDays&amp;"D")</f>
        <v>58551</v>
      </c>
      <c r="Z2761" s="174" t="e">
        <v>#N/A</v>
      </c>
      <c r="AA2761" s="177"/>
    </row>
    <row r="2762" spans="22:27" x14ac:dyDescent="0.2">
      <c r="V2762" s="163"/>
      <c r="W2762" s="158" t="str">
        <f t="shared" si="54"/>
        <v>1w</v>
      </c>
      <c r="X2762" s="168">
        <f>_xll.qlCalendarAdvance(Calendar,X2761,W2762,"f",FALSE)</f>
        <v>58558</v>
      </c>
      <c r="Y2762" s="173">
        <f>_xll.qlCalendarAdvance(Calendar,X2762,NDays&amp;"D")</f>
        <v>58558</v>
      </c>
      <c r="Z2762" s="174" t="e">
        <v>#N/A</v>
      </c>
      <c r="AA2762" s="177"/>
    </row>
    <row r="2763" spans="22:27" x14ac:dyDescent="0.2">
      <c r="V2763" s="163"/>
      <c r="W2763" s="158" t="str">
        <f t="shared" si="54"/>
        <v>1w</v>
      </c>
      <c r="X2763" s="168">
        <f>_xll.qlCalendarAdvance(Calendar,X2762,W2763,"f",FALSE)</f>
        <v>58567</v>
      </c>
      <c r="Y2763" s="173">
        <f>_xll.qlCalendarAdvance(Calendar,X2763,NDays&amp;"D")</f>
        <v>58567</v>
      </c>
      <c r="Z2763" s="174" t="e">
        <v>#N/A</v>
      </c>
      <c r="AA2763" s="177"/>
    </row>
    <row r="2764" spans="22:27" x14ac:dyDescent="0.2">
      <c r="V2764" s="163"/>
      <c r="W2764" s="158" t="str">
        <f t="shared" si="54"/>
        <v>1w</v>
      </c>
      <c r="X2764" s="168">
        <f>_xll.qlCalendarAdvance(Calendar,X2763,W2764,"f",FALSE)</f>
        <v>58574</v>
      </c>
      <c r="Y2764" s="173">
        <f>_xll.qlCalendarAdvance(Calendar,X2764,NDays&amp;"D")</f>
        <v>58574</v>
      </c>
      <c r="Z2764" s="174" t="e">
        <v>#N/A</v>
      </c>
      <c r="AA2764" s="177"/>
    </row>
    <row r="2765" spans="22:27" x14ac:dyDescent="0.2">
      <c r="V2765" s="163"/>
      <c r="W2765" s="158" t="str">
        <f t="shared" ref="W2765:W2828" si="55">W2764</f>
        <v>1w</v>
      </c>
      <c r="X2765" s="168">
        <f>_xll.qlCalendarAdvance(Calendar,X2764,W2765,"f",FALSE)</f>
        <v>58581</v>
      </c>
      <c r="Y2765" s="173">
        <f>_xll.qlCalendarAdvance(Calendar,X2765,NDays&amp;"D")</f>
        <v>58581</v>
      </c>
      <c r="Z2765" s="174" t="e">
        <v>#N/A</v>
      </c>
      <c r="AA2765" s="177"/>
    </row>
    <row r="2766" spans="22:27" x14ac:dyDescent="0.2">
      <c r="V2766" s="163"/>
      <c r="W2766" s="158" t="str">
        <f t="shared" si="55"/>
        <v>1w</v>
      </c>
      <c r="X2766" s="168">
        <f>_xll.qlCalendarAdvance(Calendar,X2765,W2766,"f",FALSE)</f>
        <v>58588</v>
      </c>
      <c r="Y2766" s="173">
        <f>_xll.qlCalendarAdvance(Calendar,X2766,NDays&amp;"D")</f>
        <v>58588</v>
      </c>
      <c r="Z2766" s="174" t="e">
        <v>#N/A</v>
      </c>
      <c r="AA2766" s="177"/>
    </row>
    <row r="2767" spans="22:27" x14ac:dyDescent="0.2">
      <c r="V2767" s="163"/>
      <c r="W2767" s="158" t="str">
        <f t="shared" si="55"/>
        <v>1w</v>
      </c>
      <c r="X2767" s="168">
        <f>_xll.qlCalendarAdvance(Calendar,X2766,W2767,"f",FALSE)</f>
        <v>58595</v>
      </c>
      <c r="Y2767" s="173">
        <f>_xll.qlCalendarAdvance(Calendar,X2767,NDays&amp;"D")</f>
        <v>58595</v>
      </c>
      <c r="Z2767" s="174" t="e">
        <v>#N/A</v>
      </c>
      <c r="AA2767" s="177"/>
    </row>
    <row r="2768" spans="22:27" x14ac:dyDescent="0.2">
      <c r="V2768" s="163"/>
      <c r="W2768" s="158" t="str">
        <f t="shared" si="55"/>
        <v>1w</v>
      </c>
      <c r="X2768" s="168">
        <f>_xll.qlCalendarAdvance(Calendar,X2767,W2768,"f",FALSE)</f>
        <v>58602</v>
      </c>
      <c r="Y2768" s="173">
        <f>_xll.qlCalendarAdvance(Calendar,X2768,NDays&amp;"D")</f>
        <v>58602</v>
      </c>
      <c r="Z2768" s="174" t="e">
        <v>#N/A</v>
      </c>
      <c r="AA2768" s="177"/>
    </row>
    <row r="2769" spans="22:27" x14ac:dyDescent="0.2">
      <c r="V2769" s="163"/>
      <c r="W2769" s="158" t="str">
        <f t="shared" si="55"/>
        <v>1w</v>
      </c>
      <c r="X2769" s="168">
        <f>_xll.qlCalendarAdvance(Calendar,X2768,W2769,"f",FALSE)</f>
        <v>58609</v>
      </c>
      <c r="Y2769" s="173">
        <f>_xll.qlCalendarAdvance(Calendar,X2769,NDays&amp;"D")</f>
        <v>58609</v>
      </c>
      <c r="Z2769" s="174" t="e">
        <v>#N/A</v>
      </c>
      <c r="AA2769" s="177"/>
    </row>
    <row r="2770" spans="22:27" x14ac:dyDescent="0.2">
      <c r="V2770" s="163"/>
      <c r="W2770" s="158" t="str">
        <f t="shared" si="55"/>
        <v>1w</v>
      </c>
      <c r="X2770" s="168">
        <f>_xll.qlCalendarAdvance(Calendar,X2769,W2770,"f",FALSE)</f>
        <v>58616</v>
      </c>
      <c r="Y2770" s="173">
        <f>_xll.qlCalendarAdvance(Calendar,X2770,NDays&amp;"D")</f>
        <v>58616</v>
      </c>
      <c r="Z2770" s="174" t="e">
        <v>#N/A</v>
      </c>
      <c r="AA2770" s="177"/>
    </row>
    <row r="2771" spans="22:27" x14ac:dyDescent="0.2">
      <c r="V2771" s="163"/>
      <c r="W2771" s="158" t="str">
        <f t="shared" si="55"/>
        <v>1w</v>
      </c>
      <c r="X2771" s="168">
        <f>_xll.qlCalendarAdvance(Calendar,X2770,W2771,"f",FALSE)</f>
        <v>58623</v>
      </c>
      <c r="Y2771" s="173">
        <f>_xll.qlCalendarAdvance(Calendar,X2771,NDays&amp;"D")</f>
        <v>58623</v>
      </c>
      <c r="Z2771" s="174" t="e">
        <v>#N/A</v>
      </c>
      <c r="AA2771" s="177"/>
    </row>
    <row r="2772" spans="22:27" x14ac:dyDescent="0.2">
      <c r="V2772" s="163"/>
      <c r="W2772" s="158" t="str">
        <f t="shared" si="55"/>
        <v>1w</v>
      </c>
      <c r="X2772" s="168">
        <f>_xll.qlCalendarAdvance(Calendar,X2771,W2772,"f",FALSE)</f>
        <v>58630</v>
      </c>
      <c r="Y2772" s="173">
        <f>_xll.qlCalendarAdvance(Calendar,X2772,NDays&amp;"D")</f>
        <v>58630</v>
      </c>
      <c r="Z2772" s="174" t="e">
        <v>#N/A</v>
      </c>
      <c r="AA2772" s="177"/>
    </row>
    <row r="2773" spans="22:27" x14ac:dyDescent="0.2">
      <c r="V2773" s="163"/>
      <c r="W2773" s="158" t="str">
        <f t="shared" si="55"/>
        <v>1w</v>
      </c>
      <c r="X2773" s="168">
        <f>_xll.qlCalendarAdvance(Calendar,X2772,W2773,"f",FALSE)</f>
        <v>58637</v>
      </c>
      <c r="Y2773" s="173">
        <f>_xll.qlCalendarAdvance(Calendar,X2773,NDays&amp;"D")</f>
        <v>58637</v>
      </c>
      <c r="Z2773" s="174" t="e">
        <v>#N/A</v>
      </c>
      <c r="AA2773" s="177"/>
    </row>
    <row r="2774" spans="22:27" x14ac:dyDescent="0.2">
      <c r="V2774" s="163"/>
      <c r="W2774" s="158" t="str">
        <f t="shared" si="55"/>
        <v>1w</v>
      </c>
      <c r="X2774" s="168">
        <f>_xll.qlCalendarAdvance(Calendar,X2773,W2774,"f",FALSE)</f>
        <v>58644</v>
      </c>
      <c r="Y2774" s="173">
        <f>_xll.qlCalendarAdvance(Calendar,X2774,NDays&amp;"D")</f>
        <v>58644</v>
      </c>
      <c r="Z2774" s="174" t="e">
        <v>#N/A</v>
      </c>
      <c r="AA2774" s="177"/>
    </row>
    <row r="2775" spans="22:27" x14ac:dyDescent="0.2">
      <c r="V2775" s="163"/>
      <c r="W2775" s="158" t="str">
        <f t="shared" si="55"/>
        <v>1w</v>
      </c>
      <c r="X2775" s="168">
        <f>_xll.qlCalendarAdvance(Calendar,X2774,W2775,"f",FALSE)</f>
        <v>58651</v>
      </c>
      <c r="Y2775" s="173">
        <f>_xll.qlCalendarAdvance(Calendar,X2775,NDays&amp;"D")</f>
        <v>58651</v>
      </c>
      <c r="Z2775" s="174" t="e">
        <v>#N/A</v>
      </c>
      <c r="AA2775" s="177"/>
    </row>
    <row r="2776" spans="22:27" x14ac:dyDescent="0.2">
      <c r="V2776" s="163"/>
      <c r="W2776" s="158" t="str">
        <f t="shared" si="55"/>
        <v>1w</v>
      </c>
      <c r="X2776" s="168">
        <f>_xll.qlCalendarAdvance(Calendar,X2775,W2776,"f",FALSE)</f>
        <v>58658</v>
      </c>
      <c r="Y2776" s="173">
        <f>_xll.qlCalendarAdvance(Calendar,X2776,NDays&amp;"D")</f>
        <v>58658</v>
      </c>
      <c r="Z2776" s="174" t="e">
        <v>#N/A</v>
      </c>
      <c r="AA2776" s="177"/>
    </row>
    <row r="2777" spans="22:27" x14ac:dyDescent="0.2">
      <c r="V2777" s="163"/>
      <c r="W2777" s="158" t="str">
        <f t="shared" si="55"/>
        <v>1w</v>
      </c>
      <c r="X2777" s="168">
        <f>_xll.qlCalendarAdvance(Calendar,X2776,W2777,"f",FALSE)</f>
        <v>58665</v>
      </c>
      <c r="Y2777" s="173">
        <f>_xll.qlCalendarAdvance(Calendar,X2777,NDays&amp;"D")</f>
        <v>58665</v>
      </c>
      <c r="Z2777" s="174" t="e">
        <v>#N/A</v>
      </c>
      <c r="AA2777" s="177"/>
    </row>
    <row r="2778" spans="22:27" x14ac:dyDescent="0.2">
      <c r="V2778" s="163"/>
      <c r="W2778" s="158" t="str">
        <f t="shared" si="55"/>
        <v>1w</v>
      </c>
      <c r="X2778" s="168">
        <f>_xll.qlCalendarAdvance(Calendar,X2777,W2778,"f",FALSE)</f>
        <v>58672</v>
      </c>
      <c r="Y2778" s="173">
        <f>_xll.qlCalendarAdvance(Calendar,X2778,NDays&amp;"D")</f>
        <v>58672</v>
      </c>
      <c r="Z2778" s="174" t="e">
        <v>#N/A</v>
      </c>
      <c r="AA2778" s="177"/>
    </row>
    <row r="2779" spans="22:27" x14ac:dyDescent="0.2">
      <c r="V2779" s="163"/>
      <c r="W2779" s="158" t="str">
        <f t="shared" si="55"/>
        <v>1w</v>
      </c>
      <c r="X2779" s="168">
        <f>_xll.qlCalendarAdvance(Calendar,X2778,W2779,"f",FALSE)</f>
        <v>58679</v>
      </c>
      <c r="Y2779" s="173">
        <f>_xll.qlCalendarAdvance(Calendar,X2779,NDays&amp;"D")</f>
        <v>58679</v>
      </c>
      <c r="Z2779" s="174" t="e">
        <v>#N/A</v>
      </c>
      <c r="AA2779" s="177"/>
    </row>
    <row r="2780" spans="22:27" x14ac:dyDescent="0.2">
      <c r="V2780" s="163"/>
      <c r="W2780" s="158" t="str">
        <f t="shared" si="55"/>
        <v>1w</v>
      </c>
      <c r="X2780" s="168">
        <f>_xll.qlCalendarAdvance(Calendar,X2779,W2780,"f",FALSE)</f>
        <v>58686</v>
      </c>
      <c r="Y2780" s="173">
        <f>_xll.qlCalendarAdvance(Calendar,X2780,NDays&amp;"D")</f>
        <v>58686</v>
      </c>
      <c r="Z2780" s="174" t="e">
        <v>#N/A</v>
      </c>
      <c r="AA2780" s="177"/>
    </row>
    <row r="2781" spans="22:27" x14ac:dyDescent="0.2">
      <c r="V2781" s="163"/>
      <c r="W2781" s="158" t="str">
        <f t="shared" si="55"/>
        <v>1w</v>
      </c>
      <c r="X2781" s="168">
        <f>_xll.qlCalendarAdvance(Calendar,X2780,W2781,"f",FALSE)</f>
        <v>58693</v>
      </c>
      <c r="Y2781" s="173">
        <f>_xll.qlCalendarAdvance(Calendar,X2781,NDays&amp;"D")</f>
        <v>58693</v>
      </c>
      <c r="Z2781" s="174" t="e">
        <v>#N/A</v>
      </c>
      <c r="AA2781" s="177"/>
    </row>
    <row r="2782" spans="22:27" x14ac:dyDescent="0.2">
      <c r="V2782" s="163"/>
      <c r="W2782" s="158" t="str">
        <f t="shared" si="55"/>
        <v>1w</v>
      </c>
      <c r="X2782" s="168">
        <f>_xll.qlCalendarAdvance(Calendar,X2781,W2782,"f",FALSE)</f>
        <v>58700</v>
      </c>
      <c r="Y2782" s="173">
        <f>_xll.qlCalendarAdvance(Calendar,X2782,NDays&amp;"D")</f>
        <v>58700</v>
      </c>
      <c r="Z2782" s="174" t="e">
        <v>#N/A</v>
      </c>
      <c r="AA2782" s="177"/>
    </row>
    <row r="2783" spans="22:27" x14ac:dyDescent="0.2">
      <c r="V2783" s="163"/>
      <c r="W2783" s="158" t="str">
        <f t="shared" si="55"/>
        <v>1w</v>
      </c>
      <c r="X2783" s="168">
        <f>_xll.qlCalendarAdvance(Calendar,X2782,W2783,"f",FALSE)</f>
        <v>58707</v>
      </c>
      <c r="Y2783" s="173">
        <f>_xll.qlCalendarAdvance(Calendar,X2783,NDays&amp;"D")</f>
        <v>58707</v>
      </c>
      <c r="Z2783" s="174" t="e">
        <v>#N/A</v>
      </c>
      <c r="AA2783" s="177"/>
    </row>
    <row r="2784" spans="22:27" x14ac:dyDescent="0.2">
      <c r="V2784" s="163"/>
      <c r="W2784" s="158" t="str">
        <f t="shared" si="55"/>
        <v>1w</v>
      </c>
      <c r="X2784" s="168">
        <f>_xll.qlCalendarAdvance(Calendar,X2783,W2784,"f",FALSE)</f>
        <v>58714</v>
      </c>
      <c r="Y2784" s="173">
        <f>_xll.qlCalendarAdvance(Calendar,X2784,NDays&amp;"D")</f>
        <v>58714</v>
      </c>
      <c r="Z2784" s="174" t="e">
        <v>#N/A</v>
      </c>
      <c r="AA2784" s="177"/>
    </row>
    <row r="2785" spans="22:27" x14ac:dyDescent="0.2">
      <c r="V2785" s="163"/>
      <c r="W2785" s="158" t="str">
        <f t="shared" si="55"/>
        <v>1w</v>
      </c>
      <c r="X2785" s="168">
        <f>_xll.qlCalendarAdvance(Calendar,X2784,W2785,"f",FALSE)</f>
        <v>58721</v>
      </c>
      <c r="Y2785" s="173">
        <f>_xll.qlCalendarAdvance(Calendar,X2785,NDays&amp;"D")</f>
        <v>58721</v>
      </c>
      <c r="Z2785" s="174" t="e">
        <v>#N/A</v>
      </c>
      <c r="AA2785" s="177"/>
    </row>
    <row r="2786" spans="22:27" x14ac:dyDescent="0.2">
      <c r="V2786" s="163"/>
      <c r="W2786" s="158" t="str">
        <f t="shared" si="55"/>
        <v>1w</v>
      </c>
      <c r="X2786" s="168">
        <f>_xll.qlCalendarAdvance(Calendar,X2785,W2786,"f",FALSE)</f>
        <v>58728</v>
      </c>
      <c r="Y2786" s="173">
        <f>_xll.qlCalendarAdvance(Calendar,X2786,NDays&amp;"D")</f>
        <v>58728</v>
      </c>
      <c r="Z2786" s="174" t="e">
        <v>#N/A</v>
      </c>
      <c r="AA2786" s="177"/>
    </row>
    <row r="2787" spans="22:27" x14ac:dyDescent="0.2">
      <c r="V2787" s="163"/>
      <c r="W2787" s="158" t="str">
        <f t="shared" si="55"/>
        <v>1w</v>
      </c>
      <c r="X2787" s="168">
        <f>_xll.qlCalendarAdvance(Calendar,X2786,W2787,"f",FALSE)</f>
        <v>58735</v>
      </c>
      <c r="Y2787" s="173">
        <f>_xll.qlCalendarAdvance(Calendar,X2787,NDays&amp;"D")</f>
        <v>58735</v>
      </c>
      <c r="Z2787" s="174" t="e">
        <v>#N/A</v>
      </c>
      <c r="AA2787" s="177"/>
    </row>
    <row r="2788" spans="22:27" x14ac:dyDescent="0.2">
      <c r="V2788" s="163"/>
      <c r="W2788" s="158" t="str">
        <f t="shared" si="55"/>
        <v>1w</v>
      </c>
      <c r="X2788" s="168">
        <f>_xll.qlCalendarAdvance(Calendar,X2787,W2788,"f",FALSE)</f>
        <v>58742</v>
      </c>
      <c r="Y2788" s="173">
        <f>_xll.qlCalendarAdvance(Calendar,X2788,NDays&amp;"D")</f>
        <v>58742</v>
      </c>
      <c r="Z2788" s="174" t="e">
        <v>#N/A</v>
      </c>
      <c r="AA2788" s="177"/>
    </row>
    <row r="2789" spans="22:27" x14ac:dyDescent="0.2">
      <c r="V2789" s="163"/>
      <c r="W2789" s="158" t="str">
        <f t="shared" si="55"/>
        <v>1w</v>
      </c>
      <c r="X2789" s="168">
        <f>_xll.qlCalendarAdvance(Calendar,X2788,W2789,"f",FALSE)</f>
        <v>58749</v>
      </c>
      <c r="Y2789" s="173">
        <f>_xll.qlCalendarAdvance(Calendar,X2789,NDays&amp;"D")</f>
        <v>58749</v>
      </c>
      <c r="Z2789" s="174" t="e">
        <v>#N/A</v>
      </c>
      <c r="AA2789" s="177"/>
    </row>
    <row r="2790" spans="22:27" x14ac:dyDescent="0.2">
      <c r="V2790" s="163"/>
      <c r="W2790" s="158" t="str">
        <f t="shared" si="55"/>
        <v>1w</v>
      </c>
      <c r="X2790" s="168">
        <f>_xll.qlCalendarAdvance(Calendar,X2789,W2790,"f",FALSE)</f>
        <v>58756</v>
      </c>
      <c r="Y2790" s="173">
        <f>_xll.qlCalendarAdvance(Calendar,X2790,NDays&amp;"D")</f>
        <v>58756</v>
      </c>
      <c r="Z2790" s="174" t="e">
        <v>#N/A</v>
      </c>
      <c r="AA2790" s="177"/>
    </row>
    <row r="2791" spans="22:27" x14ac:dyDescent="0.2">
      <c r="V2791" s="163"/>
      <c r="W2791" s="158" t="str">
        <f t="shared" si="55"/>
        <v>1w</v>
      </c>
      <c r="X2791" s="168">
        <f>_xll.qlCalendarAdvance(Calendar,X2790,W2791,"f",FALSE)</f>
        <v>58763</v>
      </c>
      <c r="Y2791" s="173">
        <f>_xll.qlCalendarAdvance(Calendar,X2791,NDays&amp;"D")</f>
        <v>58763</v>
      </c>
      <c r="Z2791" s="174" t="e">
        <v>#N/A</v>
      </c>
      <c r="AA2791" s="177"/>
    </row>
    <row r="2792" spans="22:27" x14ac:dyDescent="0.2">
      <c r="V2792" s="163"/>
      <c r="W2792" s="158" t="str">
        <f t="shared" si="55"/>
        <v>1w</v>
      </c>
      <c r="X2792" s="168">
        <f>_xll.qlCalendarAdvance(Calendar,X2791,W2792,"f",FALSE)</f>
        <v>58770</v>
      </c>
      <c r="Y2792" s="173">
        <f>_xll.qlCalendarAdvance(Calendar,X2792,NDays&amp;"D")</f>
        <v>58770</v>
      </c>
      <c r="Z2792" s="174" t="e">
        <v>#N/A</v>
      </c>
      <c r="AA2792" s="177"/>
    </row>
    <row r="2793" spans="22:27" x14ac:dyDescent="0.2">
      <c r="V2793" s="163"/>
      <c r="W2793" s="158" t="str">
        <f t="shared" si="55"/>
        <v>1w</v>
      </c>
      <c r="X2793" s="168">
        <f>_xll.qlCalendarAdvance(Calendar,X2792,W2793,"f",FALSE)</f>
        <v>58777</v>
      </c>
      <c r="Y2793" s="173">
        <f>_xll.qlCalendarAdvance(Calendar,X2793,NDays&amp;"D")</f>
        <v>58777</v>
      </c>
      <c r="Z2793" s="174" t="e">
        <v>#N/A</v>
      </c>
      <c r="AA2793" s="177"/>
    </row>
    <row r="2794" spans="22:27" x14ac:dyDescent="0.2">
      <c r="V2794" s="163"/>
      <c r="W2794" s="158" t="str">
        <f t="shared" si="55"/>
        <v>1w</v>
      </c>
      <c r="X2794" s="168">
        <f>_xll.qlCalendarAdvance(Calendar,X2793,W2794,"f",FALSE)</f>
        <v>58784</v>
      </c>
      <c r="Y2794" s="173">
        <f>_xll.qlCalendarAdvance(Calendar,X2794,NDays&amp;"D")</f>
        <v>58784</v>
      </c>
      <c r="Z2794" s="174" t="e">
        <v>#N/A</v>
      </c>
      <c r="AA2794" s="177"/>
    </row>
    <row r="2795" spans="22:27" x14ac:dyDescent="0.2">
      <c r="V2795" s="163"/>
      <c r="W2795" s="158" t="str">
        <f t="shared" si="55"/>
        <v>1w</v>
      </c>
      <c r="X2795" s="168">
        <f>_xll.qlCalendarAdvance(Calendar,X2794,W2795,"f",FALSE)</f>
        <v>58791</v>
      </c>
      <c r="Y2795" s="173">
        <f>_xll.qlCalendarAdvance(Calendar,X2795,NDays&amp;"D")</f>
        <v>58791</v>
      </c>
      <c r="Z2795" s="174" t="e">
        <v>#N/A</v>
      </c>
      <c r="AA2795" s="177"/>
    </row>
    <row r="2796" spans="22:27" x14ac:dyDescent="0.2">
      <c r="V2796" s="163"/>
      <c r="W2796" s="158" t="str">
        <f t="shared" si="55"/>
        <v>1w</v>
      </c>
      <c r="X2796" s="168">
        <f>_xll.qlCalendarAdvance(Calendar,X2795,W2796,"f",FALSE)</f>
        <v>58799</v>
      </c>
      <c r="Y2796" s="173">
        <f>_xll.qlCalendarAdvance(Calendar,X2796,NDays&amp;"D")</f>
        <v>58799</v>
      </c>
      <c r="Z2796" s="174" t="e">
        <v>#N/A</v>
      </c>
      <c r="AA2796" s="177"/>
    </row>
    <row r="2797" spans="22:27" x14ac:dyDescent="0.2">
      <c r="V2797" s="163"/>
      <c r="W2797" s="158" t="str">
        <f t="shared" si="55"/>
        <v>1w</v>
      </c>
      <c r="X2797" s="168">
        <f>_xll.qlCalendarAdvance(Calendar,X2796,W2797,"f",FALSE)</f>
        <v>58810</v>
      </c>
      <c r="Y2797" s="173">
        <f>_xll.qlCalendarAdvance(Calendar,X2797,NDays&amp;"D")</f>
        <v>58810</v>
      </c>
      <c r="Z2797" s="174" t="e">
        <v>#N/A</v>
      </c>
      <c r="AA2797" s="177"/>
    </row>
    <row r="2798" spans="22:27" x14ac:dyDescent="0.2">
      <c r="V2798" s="163"/>
      <c r="W2798" s="158" t="str">
        <f t="shared" si="55"/>
        <v>1w</v>
      </c>
      <c r="X2798" s="168">
        <f>_xll.qlCalendarAdvance(Calendar,X2797,W2798,"f",FALSE)</f>
        <v>58817</v>
      </c>
      <c r="Y2798" s="173">
        <f>_xll.qlCalendarAdvance(Calendar,X2798,NDays&amp;"D")</f>
        <v>58817</v>
      </c>
      <c r="Z2798" s="174" t="e">
        <v>#N/A</v>
      </c>
      <c r="AA2798" s="177"/>
    </row>
    <row r="2799" spans="22:27" x14ac:dyDescent="0.2">
      <c r="V2799" s="163"/>
      <c r="W2799" s="158" t="str">
        <f t="shared" si="55"/>
        <v>1w</v>
      </c>
      <c r="X2799" s="168">
        <f>_xll.qlCalendarAdvance(Calendar,X2798,W2799,"f",FALSE)</f>
        <v>58824</v>
      </c>
      <c r="Y2799" s="173">
        <f>_xll.qlCalendarAdvance(Calendar,X2799,NDays&amp;"D")</f>
        <v>58824</v>
      </c>
      <c r="Z2799" s="174" t="e">
        <v>#N/A</v>
      </c>
      <c r="AA2799" s="177"/>
    </row>
    <row r="2800" spans="22:27" x14ac:dyDescent="0.2">
      <c r="V2800" s="163"/>
      <c r="W2800" s="158" t="str">
        <f t="shared" si="55"/>
        <v>1w</v>
      </c>
      <c r="X2800" s="168">
        <f>_xll.qlCalendarAdvance(Calendar,X2799,W2800,"f",FALSE)</f>
        <v>58831</v>
      </c>
      <c r="Y2800" s="173">
        <f>_xll.qlCalendarAdvance(Calendar,X2800,NDays&amp;"D")</f>
        <v>58831</v>
      </c>
      <c r="Z2800" s="174" t="e">
        <v>#N/A</v>
      </c>
      <c r="AA2800" s="177"/>
    </row>
    <row r="2801" spans="22:27" x14ac:dyDescent="0.2">
      <c r="V2801" s="163"/>
      <c r="W2801" s="158" t="str">
        <f t="shared" si="55"/>
        <v>1w</v>
      </c>
      <c r="X2801" s="168">
        <f>_xll.qlCalendarAdvance(Calendar,X2800,W2801,"f",FALSE)</f>
        <v>58838</v>
      </c>
      <c r="Y2801" s="173">
        <f>_xll.qlCalendarAdvance(Calendar,X2801,NDays&amp;"D")</f>
        <v>58838</v>
      </c>
      <c r="Z2801" s="174" t="e">
        <v>#N/A</v>
      </c>
      <c r="AA2801" s="177"/>
    </row>
    <row r="2802" spans="22:27" x14ac:dyDescent="0.2">
      <c r="V2802" s="163"/>
      <c r="W2802" s="158" t="str">
        <f t="shared" si="55"/>
        <v>1w</v>
      </c>
      <c r="X2802" s="168">
        <f>_xll.qlCalendarAdvance(Calendar,X2801,W2802,"f",FALSE)</f>
        <v>58845</v>
      </c>
      <c r="Y2802" s="173">
        <f>_xll.qlCalendarAdvance(Calendar,X2802,NDays&amp;"D")</f>
        <v>58845</v>
      </c>
      <c r="Z2802" s="174" t="e">
        <v>#N/A</v>
      </c>
      <c r="AA2802" s="177"/>
    </row>
    <row r="2803" spans="22:27" x14ac:dyDescent="0.2">
      <c r="V2803" s="163"/>
      <c r="W2803" s="158" t="str">
        <f t="shared" si="55"/>
        <v>1w</v>
      </c>
      <c r="X2803" s="168">
        <f>_xll.qlCalendarAdvance(Calendar,X2802,W2803,"f",FALSE)</f>
        <v>58852</v>
      </c>
      <c r="Y2803" s="173">
        <f>_xll.qlCalendarAdvance(Calendar,X2803,NDays&amp;"D")</f>
        <v>58852</v>
      </c>
      <c r="Z2803" s="174" t="e">
        <v>#N/A</v>
      </c>
      <c r="AA2803" s="177"/>
    </row>
    <row r="2804" spans="22:27" x14ac:dyDescent="0.2">
      <c r="V2804" s="163"/>
      <c r="W2804" s="158" t="str">
        <f t="shared" si="55"/>
        <v>1w</v>
      </c>
      <c r="X2804" s="168">
        <f>_xll.qlCalendarAdvance(Calendar,X2803,W2804,"f",FALSE)</f>
        <v>58859</v>
      </c>
      <c r="Y2804" s="173">
        <f>_xll.qlCalendarAdvance(Calendar,X2804,NDays&amp;"D")</f>
        <v>58859</v>
      </c>
      <c r="Z2804" s="174" t="e">
        <v>#N/A</v>
      </c>
      <c r="AA2804" s="177"/>
    </row>
    <row r="2805" spans="22:27" x14ac:dyDescent="0.2">
      <c r="V2805" s="163"/>
      <c r="W2805" s="158" t="str">
        <f t="shared" si="55"/>
        <v>1w</v>
      </c>
      <c r="X2805" s="168">
        <f>_xll.qlCalendarAdvance(Calendar,X2804,W2805,"f",FALSE)</f>
        <v>58866</v>
      </c>
      <c r="Y2805" s="173">
        <f>_xll.qlCalendarAdvance(Calendar,X2805,NDays&amp;"D")</f>
        <v>58866</v>
      </c>
      <c r="Z2805" s="174" t="e">
        <v>#N/A</v>
      </c>
      <c r="AA2805" s="177"/>
    </row>
    <row r="2806" spans="22:27" x14ac:dyDescent="0.2">
      <c r="V2806" s="163"/>
      <c r="W2806" s="158" t="str">
        <f t="shared" si="55"/>
        <v>1w</v>
      </c>
      <c r="X2806" s="168">
        <f>_xll.qlCalendarAdvance(Calendar,X2805,W2806,"f",FALSE)</f>
        <v>58873</v>
      </c>
      <c r="Y2806" s="173">
        <f>_xll.qlCalendarAdvance(Calendar,X2806,NDays&amp;"D")</f>
        <v>58873</v>
      </c>
      <c r="Z2806" s="174" t="e">
        <v>#N/A</v>
      </c>
      <c r="AA2806" s="177"/>
    </row>
    <row r="2807" spans="22:27" x14ac:dyDescent="0.2">
      <c r="V2807" s="163"/>
      <c r="W2807" s="158" t="str">
        <f t="shared" si="55"/>
        <v>1w</v>
      </c>
      <c r="X2807" s="168">
        <f>_xll.qlCalendarAdvance(Calendar,X2806,W2807,"f",FALSE)</f>
        <v>58880</v>
      </c>
      <c r="Y2807" s="173">
        <f>_xll.qlCalendarAdvance(Calendar,X2807,NDays&amp;"D")</f>
        <v>58880</v>
      </c>
      <c r="Z2807" s="174" t="e">
        <v>#N/A</v>
      </c>
      <c r="AA2807" s="177"/>
    </row>
    <row r="2808" spans="22:27" x14ac:dyDescent="0.2">
      <c r="V2808" s="163"/>
      <c r="W2808" s="158" t="str">
        <f t="shared" si="55"/>
        <v>1w</v>
      </c>
      <c r="X2808" s="168">
        <f>_xll.qlCalendarAdvance(Calendar,X2807,W2808,"f",FALSE)</f>
        <v>58887</v>
      </c>
      <c r="Y2808" s="173">
        <f>_xll.qlCalendarAdvance(Calendar,X2808,NDays&amp;"D")</f>
        <v>58887</v>
      </c>
      <c r="Z2808" s="174" t="e">
        <v>#N/A</v>
      </c>
      <c r="AA2808" s="177"/>
    </row>
    <row r="2809" spans="22:27" x14ac:dyDescent="0.2">
      <c r="V2809" s="163"/>
      <c r="W2809" s="158" t="str">
        <f t="shared" si="55"/>
        <v>1w</v>
      </c>
      <c r="X2809" s="168">
        <f>_xll.qlCalendarAdvance(Calendar,X2808,W2809,"f",FALSE)</f>
        <v>58894</v>
      </c>
      <c r="Y2809" s="173">
        <f>_xll.qlCalendarAdvance(Calendar,X2809,NDays&amp;"D")</f>
        <v>58894</v>
      </c>
      <c r="Z2809" s="174" t="e">
        <v>#N/A</v>
      </c>
      <c r="AA2809" s="177"/>
    </row>
    <row r="2810" spans="22:27" x14ac:dyDescent="0.2">
      <c r="V2810" s="163"/>
      <c r="W2810" s="158" t="str">
        <f t="shared" si="55"/>
        <v>1w</v>
      </c>
      <c r="X2810" s="168">
        <f>_xll.qlCalendarAdvance(Calendar,X2809,W2810,"f",FALSE)</f>
        <v>58901</v>
      </c>
      <c r="Y2810" s="173">
        <f>_xll.qlCalendarAdvance(Calendar,X2810,NDays&amp;"D")</f>
        <v>58901</v>
      </c>
      <c r="Z2810" s="174" t="e">
        <v>#N/A</v>
      </c>
      <c r="AA2810" s="177"/>
    </row>
    <row r="2811" spans="22:27" x14ac:dyDescent="0.2">
      <c r="V2811" s="163"/>
      <c r="W2811" s="158" t="str">
        <f t="shared" si="55"/>
        <v>1w</v>
      </c>
      <c r="X2811" s="168">
        <f>_xll.qlCalendarAdvance(Calendar,X2810,W2811,"f",FALSE)</f>
        <v>58908</v>
      </c>
      <c r="Y2811" s="173">
        <f>_xll.qlCalendarAdvance(Calendar,X2811,NDays&amp;"D")</f>
        <v>58908</v>
      </c>
      <c r="Z2811" s="174" t="e">
        <v>#N/A</v>
      </c>
      <c r="AA2811" s="177"/>
    </row>
    <row r="2812" spans="22:27" x14ac:dyDescent="0.2">
      <c r="V2812" s="163"/>
      <c r="W2812" s="158" t="str">
        <f t="shared" si="55"/>
        <v>1w</v>
      </c>
      <c r="X2812" s="168">
        <f>_xll.qlCalendarAdvance(Calendar,X2811,W2812,"f",FALSE)</f>
        <v>58915</v>
      </c>
      <c r="Y2812" s="173">
        <f>_xll.qlCalendarAdvance(Calendar,X2812,NDays&amp;"D")</f>
        <v>58915</v>
      </c>
      <c r="Z2812" s="174" t="e">
        <v>#N/A</v>
      </c>
      <c r="AA2812" s="177"/>
    </row>
    <row r="2813" spans="22:27" x14ac:dyDescent="0.2">
      <c r="V2813" s="163"/>
      <c r="W2813" s="158" t="str">
        <f t="shared" si="55"/>
        <v>1w</v>
      </c>
      <c r="X2813" s="168">
        <f>_xll.qlCalendarAdvance(Calendar,X2812,W2813,"f",FALSE)</f>
        <v>58922</v>
      </c>
      <c r="Y2813" s="173">
        <f>_xll.qlCalendarAdvance(Calendar,X2813,NDays&amp;"D")</f>
        <v>58922</v>
      </c>
      <c r="Z2813" s="174" t="e">
        <v>#N/A</v>
      </c>
      <c r="AA2813" s="177"/>
    </row>
    <row r="2814" spans="22:27" x14ac:dyDescent="0.2">
      <c r="V2814" s="163"/>
      <c r="W2814" s="158" t="str">
        <f t="shared" si="55"/>
        <v>1w</v>
      </c>
      <c r="X2814" s="168">
        <f>_xll.qlCalendarAdvance(Calendar,X2813,W2814,"f",FALSE)</f>
        <v>58932</v>
      </c>
      <c r="Y2814" s="173">
        <f>_xll.qlCalendarAdvance(Calendar,X2814,NDays&amp;"D")</f>
        <v>58932</v>
      </c>
      <c r="Z2814" s="174" t="e">
        <v>#N/A</v>
      </c>
      <c r="AA2814" s="177"/>
    </row>
    <row r="2815" spans="22:27" x14ac:dyDescent="0.2">
      <c r="V2815" s="163"/>
      <c r="W2815" s="158" t="str">
        <f t="shared" si="55"/>
        <v>1w</v>
      </c>
      <c r="X2815" s="168">
        <f>_xll.qlCalendarAdvance(Calendar,X2814,W2815,"f",FALSE)</f>
        <v>58939</v>
      </c>
      <c r="Y2815" s="173">
        <f>_xll.qlCalendarAdvance(Calendar,X2815,NDays&amp;"D")</f>
        <v>58939</v>
      </c>
      <c r="Z2815" s="174" t="e">
        <v>#N/A</v>
      </c>
      <c r="AA2815" s="177"/>
    </row>
    <row r="2816" spans="22:27" x14ac:dyDescent="0.2">
      <c r="V2816" s="163"/>
      <c r="W2816" s="158" t="str">
        <f t="shared" si="55"/>
        <v>1w</v>
      </c>
      <c r="X2816" s="168">
        <f>_xll.qlCalendarAdvance(Calendar,X2815,W2816,"f",FALSE)</f>
        <v>58946</v>
      </c>
      <c r="Y2816" s="173">
        <f>_xll.qlCalendarAdvance(Calendar,X2816,NDays&amp;"D")</f>
        <v>58946</v>
      </c>
      <c r="Z2816" s="174" t="e">
        <v>#N/A</v>
      </c>
      <c r="AA2816" s="177"/>
    </row>
    <row r="2817" spans="22:27" x14ac:dyDescent="0.2">
      <c r="V2817" s="163"/>
      <c r="W2817" s="158" t="str">
        <f t="shared" si="55"/>
        <v>1w</v>
      </c>
      <c r="X2817" s="168">
        <f>_xll.qlCalendarAdvance(Calendar,X2816,W2817,"f",FALSE)</f>
        <v>58953</v>
      </c>
      <c r="Y2817" s="173">
        <f>_xll.qlCalendarAdvance(Calendar,X2817,NDays&amp;"D")</f>
        <v>58953</v>
      </c>
      <c r="Z2817" s="174" t="e">
        <v>#N/A</v>
      </c>
      <c r="AA2817" s="177"/>
    </row>
    <row r="2818" spans="22:27" x14ac:dyDescent="0.2">
      <c r="V2818" s="163"/>
      <c r="W2818" s="158" t="str">
        <f t="shared" si="55"/>
        <v>1w</v>
      </c>
      <c r="X2818" s="168">
        <f>_xll.qlCalendarAdvance(Calendar,X2817,W2818,"f",FALSE)</f>
        <v>58960</v>
      </c>
      <c r="Y2818" s="173">
        <f>_xll.qlCalendarAdvance(Calendar,X2818,NDays&amp;"D")</f>
        <v>58960</v>
      </c>
      <c r="Z2818" s="174" t="e">
        <v>#N/A</v>
      </c>
      <c r="AA2818" s="177"/>
    </row>
    <row r="2819" spans="22:27" x14ac:dyDescent="0.2">
      <c r="V2819" s="163"/>
      <c r="W2819" s="158" t="str">
        <f t="shared" si="55"/>
        <v>1w</v>
      </c>
      <c r="X2819" s="168">
        <f>_xll.qlCalendarAdvance(Calendar,X2818,W2819,"f",FALSE)</f>
        <v>58967</v>
      </c>
      <c r="Y2819" s="173">
        <f>_xll.qlCalendarAdvance(Calendar,X2819,NDays&amp;"D")</f>
        <v>58967</v>
      </c>
      <c r="Z2819" s="174" t="e">
        <v>#N/A</v>
      </c>
      <c r="AA2819" s="177"/>
    </row>
    <row r="2820" spans="22:27" x14ac:dyDescent="0.2">
      <c r="V2820" s="163"/>
      <c r="W2820" s="158" t="str">
        <f t="shared" si="55"/>
        <v>1w</v>
      </c>
      <c r="X2820" s="168">
        <f>_xll.qlCalendarAdvance(Calendar,X2819,W2820,"f",FALSE)</f>
        <v>58974</v>
      </c>
      <c r="Y2820" s="173">
        <f>_xll.qlCalendarAdvance(Calendar,X2820,NDays&amp;"D")</f>
        <v>58974</v>
      </c>
      <c r="Z2820" s="174" t="e">
        <v>#N/A</v>
      </c>
      <c r="AA2820" s="177"/>
    </row>
    <row r="2821" spans="22:27" x14ac:dyDescent="0.2">
      <c r="V2821" s="163"/>
      <c r="W2821" s="158" t="str">
        <f t="shared" si="55"/>
        <v>1w</v>
      </c>
      <c r="X2821" s="168">
        <f>_xll.qlCalendarAdvance(Calendar,X2820,W2821,"f",FALSE)</f>
        <v>58981</v>
      </c>
      <c r="Y2821" s="173">
        <f>_xll.qlCalendarAdvance(Calendar,X2821,NDays&amp;"D")</f>
        <v>58981</v>
      </c>
      <c r="Z2821" s="174" t="e">
        <v>#N/A</v>
      </c>
      <c r="AA2821" s="177"/>
    </row>
    <row r="2822" spans="22:27" x14ac:dyDescent="0.2">
      <c r="V2822" s="163"/>
      <c r="W2822" s="158" t="str">
        <f t="shared" si="55"/>
        <v>1w</v>
      </c>
      <c r="X2822" s="168">
        <f>_xll.qlCalendarAdvance(Calendar,X2821,W2822,"f",FALSE)</f>
        <v>58988</v>
      </c>
      <c r="Y2822" s="173">
        <f>_xll.qlCalendarAdvance(Calendar,X2822,NDays&amp;"D")</f>
        <v>58988</v>
      </c>
      <c r="Z2822" s="174" t="e">
        <v>#N/A</v>
      </c>
      <c r="AA2822" s="177"/>
    </row>
    <row r="2823" spans="22:27" x14ac:dyDescent="0.2">
      <c r="V2823" s="163"/>
      <c r="W2823" s="158" t="str">
        <f t="shared" si="55"/>
        <v>1w</v>
      </c>
      <c r="X2823" s="168">
        <f>_xll.qlCalendarAdvance(Calendar,X2822,W2823,"f",FALSE)</f>
        <v>58995</v>
      </c>
      <c r="Y2823" s="173">
        <f>_xll.qlCalendarAdvance(Calendar,X2823,NDays&amp;"D")</f>
        <v>58995</v>
      </c>
      <c r="Z2823" s="174" t="e">
        <v>#N/A</v>
      </c>
      <c r="AA2823" s="177"/>
    </row>
    <row r="2824" spans="22:27" x14ac:dyDescent="0.2">
      <c r="V2824" s="163"/>
      <c r="W2824" s="158" t="str">
        <f t="shared" si="55"/>
        <v>1w</v>
      </c>
      <c r="X2824" s="168">
        <f>_xll.qlCalendarAdvance(Calendar,X2823,W2824,"f",FALSE)</f>
        <v>59002</v>
      </c>
      <c r="Y2824" s="173">
        <f>_xll.qlCalendarAdvance(Calendar,X2824,NDays&amp;"D")</f>
        <v>59002</v>
      </c>
      <c r="Z2824" s="174" t="e">
        <v>#N/A</v>
      </c>
      <c r="AA2824" s="177"/>
    </row>
    <row r="2825" spans="22:27" x14ac:dyDescent="0.2">
      <c r="V2825" s="163"/>
      <c r="W2825" s="158" t="str">
        <f t="shared" si="55"/>
        <v>1w</v>
      </c>
      <c r="X2825" s="168">
        <f>_xll.qlCalendarAdvance(Calendar,X2824,W2825,"f",FALSE)</f>
        <v>59009</v>
      </c>
      <c r="Y2825" s="173">
        <f>_xll.qlCalendarAdvance(Calendar,X2825,NDays&amp;"D")</f>
        <v>59009</v>
      </c>
      <c r="Z2825" s="174" t="e">
        <v>#N/A</v>
      </c>
      <c r="AA2825" s="177"/>
    </row>
    <row r="2826" spans="22:27" x14ac:dyDescent="0.2">
      <c r="V2826" s="163"/>
      <c r="W2826" s="158" t="str">
        <f t="shared" si="55"/>
        <v>1w</v>
      </c>
      <c r="X2826" s="168">
        <f>_xll.qlCalendarAdvance(Calendar,X2825,W2826,"f",FALSE)</f>
        <v>59016</v>
      </c>
      <c r="Y2826" s="173">
        <f>_xll.qlCalendarAdvance(Calendar,X2826,NDays&amp;"D")</f>
        <v>59016</v>
      </c>
      <c r="Z2826" s="174" t="e">
        <v>#N/A</v>
      </c>
      <c r="AA2826" s="177"/>
    </row>
    <row r="2827" spans="22:27" x14ac:dyDescent="0.2">
      <c r="V2827" s="163"/>
      <c r="W2827" s="158" t="str">
        <f t="shared" si="55"/>
        <v>1w</v>
      </c>
      <c r="X2827" s="168">
        <f>_xll.qlCalendarAdvance(Calendar,X2826,W2827,"f",FALSE)</f>
        <v>59023</v>
      </c>
      <c r="Y2827" s="173">
        <f>_xll.qlCalendarAdvance(Calendar,X2827,NDays&amp;"D")</f>
        <v>59023</v>
      </c>
      <c r="Z2827" s="174" t="e">
        <v>#N/A</v>
      </c>
      <c r="AA2827" s="177"/>
    </row>
    <row r="2828" spans="22:27" x14ac:dyDescent="0.2">
      <c r="V2828" s="163"/>
      <c r="W2828" s="158" t="str">
        <f t="shared" si="55"/>
        <v>1w</v>
      </c>
      <c r="X2828" s="168">
        <f>_xll.qlCalendarAdvance(Calendar,X2827,W2828,"f",FALSE)</f>
        <v>59030</v>
      </c>
      <c r="Y2828" s="173">
        <f>_xll.qlCalendarAdvance(Calendar,X2828,NDays&amp;"D")</f>
        <v>59030</v>
      </c>
      <c r="Z2828" s="174" t="e">
        <v>#N/A</v>
      </c>
      <c r="AA2828" s="177"/>
    </row>
    <row r="2829" spans="22:27" x14ac:dyDescent="0.2">
      <c r="V2829" s="163"/>
      <c r="W2829" s="158" t="str">
        <f t="shared" ref="W2829:W2892" si="56">W2828</f>
        <v>1w</v>
      </c>
      <c r="X2829" s="168">
        <f>_xll.qlCalendarAdvance(Calendar,X2828,W2829,"f",FALSE)</f>
        <v>59037</v>
      </c>
      <c r="Y2829" s="173">
        <f>_xll.qlCalendarAdvance(Calendar,X2829,NDays&amp;"D")</f>
        <v>59037</v>
      </c>
      <c r="Z2829" s="174" t="e">
        <v>#N/A</v>
      </c>
      <c r="AA2829" s="177"/>
    </row>
    <row r="2830" spans="22:27" x14ac:dyDescent="0.2">
      <c r="V2830" s="163"/>
      <c r="W2830" s="158" t="str">
        <f t="shared" si="56"/>
        <v>1w</v>
      </c>
      <c r="X2830" s="168">
        <f>_xll.qlCalendarAdvance(Calendar,X2829,W2830,"f",FALSE)</f>
        <v>59044</v>
      </c>
      <c r="Y2830" s="173">
        <f>_xll.qlCalendarAdvance(Calendar,X2830,NDays&amp;"D")</f>
        <v>59044</v>
      </c>
      <c r="Z2830" s="174" t="e">
        <v>#N/A</v>
      </c>
      <c r="AA2830" s="177"/>
    </row>
    <row r="2831" spans="22:27" x14ac:dyDescent="0.2">
      <c r="V2831" s="163"/>
      <c r="W2831" s="158" t="str">
        <f t="shared" si="56"/>
        <v>1w</v>
      </c>
      <c r="X2831" s="168">
        <f>_xll.qlCalendarAdvance(Calendar,X2830,W2831,"f",FALSE)</f>
        <v>59051</v>
      </c>
      <c r="Y2831" s="173">
        <f>_xll.qlCalendarAdvance(Calendar,X2831,NDays&amp;"D")</f>
        <v>59051</v>
      </c>
      <c r="Z2831" s="174" t="e">
        <v>#N/A</v>
      </c>
      <c r="AA2831" s="177"/>
    </row>
    <row r="2832" spans="22:27" x14ac:dyDescent="0.2">
      <c r="V2832" s="163"/>
      <c r="W2832" s="158" t="str">
        <f t="shared" si="56"/>
        <v>1w</v>
      </c>
      <c r="X2832" s="168">
        <f>_xll.qlCalendarAdvance(Calendar,X2831,W2832,"f",FALSE)</f>
        <v>59058</v>
      </c>
      <c r="Y2832" s="173">
        <f>_xll.qlCalendarAdvance(Calendar,X2832,NDays&amp;"D")</f>
        <v>59058</v>
      </c>
      <c r="Z2832" s="174" t="e">
        <v>#N/A</v>
      </c>
      <c r="AA2832" s="177"/>
    </row>
    <row r="2833" spans="22:27" x14ac:dyDescent="0.2">
      <c r="V2833" s="163"/>
      <c r="W2833" s="158" t="str">
        <f t="shared" si="56"/>
        <v>1w</v>
      </c>
      <c r="X2833" s="168">
        <f>_xll.qlCalendarAdvance(Calendar,X2832,W2833,"f",FALSE)</f>
        <v>59065</v>
      </c>
      <c r="Y2833" s="173">
        <f>_xll.qlCalendarAdvance(Calendar,X2833,NDays&amp;"D")</f>
        <v>59065</v>
      </c>
      <c r="Z2833" s="174" t="e">
        <v>#N/A</v>
      </c>
      <c r="AA2833" s="177"/>
    </row>
    <row r="2834" spans="22:27" x14ac:dyDescent="0.2">
      <c r="V2834" s="163"/>
      <c r="W2834" s="158" t="str">
        <f t="shared" si="56"/>
        <v>1w</v>
      </c>
      <c r="X2834" s="168">
        <f>_xll.qlCalendarAdvance(Calendar,X2833,W2834,"f",FALSE)</f>
        <v>59072</v>
      </c>
      <c r="Y2834" s="173">
        <f>_xll.qlCalendarAdvance(Calendar,X2834,NDays&amp;"D")</f>
        <v>59072</v>
      </c>
      <c r="Z2834" s="174" t="e">
        <v>#N/A</v>
      </c>
      <c r="AA2834" s="177"/>
    </row>
    <row r="2835" spans="22:27" x14ac:dyDescent="0.2">
      <c r="V2835" s="163"/>
      <c r="W2835" s="158" t="str">
        <f t="shared" si="56"/>
        <v>1w</v>
      </c>
      <c r="X2835" s="168">
        <f>_xll.qlCalendarAdvance(Calendar,X2834,W2835,"f",FALSE)</f>
        <v>59079</v>
      </c>
      <c r="Y2835" s="173">
        <f>_xll.qlCalendarAdvance(Calendar,X2835,NDays&amp;"D")</f>
        <v>59079</v>
      </c>
      <c r="Z2835" s="174" t="e">
        <v>#N/A</v>
      </c>
      <c r="AA2835" s="177"/>
    </row>
    <row r="2836" spans="22:27" x14ac:dyDescent="0.2">
      <c r="V2836" s="163"/>
      <c r="W2836" s="158" t="str">
        <f t="shared" si="56"/>
        <v>1w</v>
      </c>
      <c r="X2836" s="168">
        <f>_xll.qlCalendarAdvance(Calendar,X2835,W2836,"f",FALSE)</f>
        <v>59086</v>
      </c>
      <c r="Y2836" s="173">
        <f>_xll.qlCalendarAdvance(Calendar,X2836,NDays&amp;"D")</f>
        <v>59086</v>
      </c>
      <c r="Z2836" s="174" t="e">
        <v>#N/A</v>
      </c>
      <c r="AA2836" s="177"/>
    </row>
    <row r="2837" spans="22:27" x14ac:dyDescent="0.2">
      <c r="V2837" s="163"/>
      <c r="W2837" s="158" t="str">
        <f t="shared" si="56"/>
        <v>1w</v>
      </c>
      <c r="X2837" s="168">
        <f>_xll.qlCalendarAdvance(Calendar,X2836,W2837,"f",FALSE)</f>
        <v>59093</v>
      </c>
      <c r="Y2837" s="173">
        <f>_xll.qlCalendarAdvance(Calendar,X2837,NDays&amp;"D")</f>
        <v>59093</v>
      </c>
      <c r="Z2837" s="174" t="e">
        <v>#N/A</v>
      </c>
      <c r="AA2837" s="177"/>
    </row>
    <row r="2838" spans="22:27" x14ac:dyDescent="0.2">
      <c r="V2838" s="163"/>
      <c r="W2838" s="158" t="str">
        <f t="shared" si="56"/>
        <v>1w</v>
      </c>
      <c r="X2838" s="168">
        <f>_xll.qlCalendarAdvance(Calendar,X2837,W2838,"f",FALSE)</f>
        <v>59100</v>
      </c>
      <c r="Y2838" s="173">
        <f>_xll.qlCalendarAdvance(Calendar,X2838,NDays&amp;"D")</f>
        <v>59100</v>
      </c>
      <c r="Z2838" s="174" t="e">
        <v>#N/A</v>
      </c>
      <c r="AA2838" s="177"/>
    </row>
    <row r="2839" spans="22:27" x14ac:dyDescent="0.2">
      <c r="V2839" s="163"/>
      <c r="W2839" s="158" t="str">
        <f t="shared" si="56"/>
        <v>1w</v>
      </c>
      <c r="X2839" s="168">
        <f>_xll.qlCalendarAdvance(Calendar,X2838,W2839,"f",FALSE)</f>
        <v>59107</v>
      </c>
      <c r="Y2839" s="173">
        <f>_xll.qlCalendarAdvance(Calendar,X2839,NDays&amp;"D")</f>
        <v>59107</v>
      </c>
      <c r="Z2839" s="174" t="e">
        <v>#N/A</v>
      </c>
      <c r="AA2839" s="177"/>
    </row>
    <row r="2840" spans="22:27" x14ac:dyDescent="0.2">
      <c r="V2840" s="163"/>
      <c r="W2840" s="158" t="str">
        <f t="shared" si="56"/>
        <v>1w</v>
      </c>
      <c r="X2840" s="168">
        <f>_xll.qlCalendarAdvance(Calendar,X2839,W2840,"f",FALSE)</f>
        <v>59114</v>
      </c>
      <c r="Y2840" s="173">
        <f>_xll.qlCalendarAdvance(Calendar,X2840,NDays&amp;"D")</f>
        <v>59114</v>
      </c>
      <c r="Z2840" s="174" t="e">
        <v>#N/A</v>
      </c>
      <c r="AA2840" s="177"/>
    </row>
    <row r="2841" spans="22:27" x14ac:dyDescent="0.2">
      <c r="V2841" s="163"/>
      <c r="W2841" s="158" t="str">
        <f t="shared" si="56"/>
        <v>1w</v>
      </c>
      <c r="X2841" s="168">
        <f>_xll.qlCalendarAdvance(Calendar,X2840,W2841,"f",FALSE)</f>
        <v>59121</v>
      </c>
      <c r="Y2841" s="173">
        <f>_xll.qlCalendarAdvance(Calendar,X2841,NDays&amp;"D")</f>
        <v>59121</v>
      </c>
      <c r="Z2841" s="174" t="e">
        <v>#N/A</v>
      </c>
      <c r="AA2841" s="177"/>
    </row>
    <row r="2842" spans="22:27" x14ac:dyDescent="0.2">
      <c r="V2842" s="163"/>
      <c r="W2842" s="158" t="str">
        <f t="shared" si="56"/>
        <v>1w</v>
      </c>
      <c r="X2842" s="168">
        <f>_xll.qlCalendarAdvance(Calendar,X2841,W2842,"f",FALSE)</f>
        <v>59128</v>
      </c>
      <c r="Y2842" s="173">
        <f>_xll.qlCalendarAdvance(Calendar,X2842,NDays&amp;"D")</f>
        <v>59128</v>
      </c>
      <c r="Z2842" s="174" t="e">
        <v>#N/A</v>
      </c>
      <c r="AA2842" s="177"/>
    </row>
    <row r="2843" spans="22:27" x14ac:dyDescent="0.2">
      <c r="V2843" s="163"/>
      <c r="W2843" s="158" t="str">
        <f t="shared" si="56"/>
        <v>1w</v>
      </c>
      <c r="X2843" s="168">
        <f>_xll.qlCalendarAdvance(Calendar,X2842,W2843,"f",FALSE)</f>
        <v>59135</v>
      </c>
      <c r="Y2843" s="173">
        <f>_xll.qlCalendarAdvance(Calendar,X2843,NDays&amp;"D")</f>
        <v>59135</v>
      </c>
      <c r="Z2843" s="174" t="e">
        <v>#N/A</v>
      </c>
      <c r="AA2843" s="177"/>
    </row>
    <row r="2844" spans="22:27" x14ac:dyDescent="0.2">
      <c r="V2844" s="163"/>
      <c r="W2844" s="158" t="str">
        <f t="shared" si="56"/>
        <v>1w</v>
      </c>
      <c r="X2844" s="168">
        <f>_xll.qlCalendarAdvance(Calendar,X2843,W2844,"f",FALSE)</f>
        <v>59142</v>
      </c>
      <c r="Y2844" s="173">
        <f>_xll.qlCalendarAdvance(Calendar,X2844,NDays&amp;"D")</f>
        <v>59142</v>
      </c>
      <c r="Z2844" s="174" t="e">
        <v>#N/A</v>
      </c>
      <c r="AA2844" s="177"/>
    </row>
    <row r="2845" spans="22:27" x14ac:dyDescent="0.2">
      <c r="V2845" s="163"/>
      <c r="W2845" s="158" t="str">
        <f t="shared" si="56"/>
        <v>1w</v>
      </c>
      <c r="X2845" s="168">
        <f>_xll.qlCalendarAdvance(Calendar,X2844,W2845,"f",FALSE)</f>
        <v>59149</v>
      </c>
      <c r="Y2845" s="173">
        <f>_xll.qlCalendarAdvance(Calendar,X2845,NDays&amp;"D")</f>
        <v>59149</v>
      </c>
      <c r="Z2845" s="174" t="e">
        <v>#N/A</v>
      </c>
      <c r="AA2845" s="177"/>
    </row>
    <row r="2846" spans="22:27" x14ac:dyDescent="0.2">
      <c r="V2846" s="163"/>
      <c r="W2846" s="158" t="str">
        <f t="shared" si="56"/>
        <v>1w</v>
      </c>
      <c r="X2846" s="168">
        <f>_xll.qlCalendarAdvance(Calendar,X2845,W2846,"f",FALSE)</f>
        <v>59156</v>
      </c>
      <c r="Y2846" s="173">
        <f>_xll.qlCalendarAdvance(Calendar,X2846,NDays&amp;"D")</f>
        <v>59156</v>
      </c>
      <c r="Z2846" s="174" t="e">
        <v>#N/A</v>
      </c>
      <c r="AA2846" s="177"/>
    </row>
    <row r="2847" spans="22:27" x14ac:dyDescent="0.2">
      <c r="V2847" s="163"/>
      <c r="W2847" s="158" t="str">
        <f t="shared" si="56"/>
        <v>1w</v>
      </c>
      <c r="X2847" s="168">
        <f>_xll.qlCalendarAdvance(Calendar,X2846,W2847,"f",FALSE)</f>
        <v>59166</v>
      </c>
      <c r="Y2847" s="173">
        <f>_xll.qlCalendarAdvance(Calendar,X2847,NDays&amp;"D")</f>
        <v>59166</v>
      </c>
      <c r="Z2847" s="174" t="e">
        <v>#N/A</v>
      </c>
      <c r="AA2847" s="177"/>
    </row>
    <row r="2848" spans="22:27" x14ac:dyDescent="0.2">
      <c r="V2848" s="163"/>
      <c r="W2848" s="158" t="str">
        <f t="shared" si="56"/>
        <v>1w</v>
      </c>
      <c r="X2848" s="168">
        <f>_xll.qlCalendarAdvance(Calendar,X2847,W2848,"f",FALSE)</f>
        <v>59175</v>
      </c>
      <c r="Y2848" s="173">
        <f>_xll.qlCalendarAdvance(Calendar,X2848,NDays&amp;"D")</f>
        <v>59175</v>
      </c>
      <c r="Z2848" s="174" t="e">
        <v>#N/A</v>
      </c>
      <c r="AA2848" s="177"/>
    </row>
    <row r="2849" spans="22:27" x14ac:dyDescent="0.2">
      <c r="V2849" s="163"/>
      <c r="W2849" s="158" t="str">
        <f t="shared" si="56"/>
        <v>1w</v>
      </c>
      <c r="X2849" s="168">
        <f>_xll.qlCalendarAdvance(Calendar,X2848,W2849,"f",FALSE)</f>
        <v>59182</v>
      </c>
      <c r="Y2849" s="173">
        <f>_xll.qlCalendarAdvance(Calendar,X2849,NDays&amp;"D")</f>
        <v>59182</v>
      </c>
      <c r="Z2849" s="174" t="e">
        <v>#N/A</v>
      </c>
      <c r="AA2849" s="177"/>
    </row>
    <row r="2850" spans="22:27" x14ac:dyDescent="0.2">
      <c r="V2850" s="163"/>
      <c r="W2850" s="158" t="str">
        <f t="shared" si="56"/>
        <v>1w</v>
      </c>
      <c r="X2850" s="168">
        <f>_xll.qlCalendarAdvance(Calendar,X2849,W2850,"f",FALSE)</f>
        <v>59189</v>
      </c>
      <c r="Y2850" s="173">
        <f>_xll.qlCalendarAdvance(Calendar,X2850,NDays&amp;"D")</f>
        <v>59189</v>
      </c>
      <c r="Z2850" s="174" t="e">
        <v>#N/A</v>
      </c>
      <c r="AA2850" s="177"/>
    </row>
    <row r="2851" spans="22:27" x14ac:dyDescent="0.2">
      <c r="V2851" s="163"/>
      <c r="W2851" s="158" t="str">
        <f t="shared" si="56"/>
        <v>1w</v>
      </c>
      <c r="X2851" s="168">
        <f>_xll.qlCalendarAdvance(Calendar,X2850,W2851,"f",FALSE)</f>
        <v>59196</v>
      </c>
      <c r="Y2851" s="173">
        <f>_xll.qlCalendarAdvance(Calendar,X2851,NDays&amp;"D")</f>
        <v>59196</v>
      </c>
      <c r="Z2851" s="174" t="e">
        <v>#N/A</v>
      </c>
      <c r="AA2851" s="177"/>
    </row>
    <row r="2852" spans="22:27" x14ac:dyDescent="0.2">
      <c r="V2852" s="163"/>
      <c r="W2852" s="158" t="str">
        <f t="shared" si="56"/>
        <v>1w</v>
      </c>
      <c r="X2852" s="168">
        <f>_xll.qlCalendarAdvance(Calendar,X2851,W2852,"f",FALSE)</f>
        <v>59203</v>
      </c>
      <c r="Y2852" s="173">
        <f>_xll.qlCalendarAdvance(Calendar,X2852,NDays&amp;"D")</f>
        <v>59203</v>
      </c>
      <c r="Z2852" s="174" t="e">
        <v>#N/A</v>
      </c>
      <c r="AA2852" s="177"/>
    </row>
    <row r="2853" spans="22:27" x14ac:dyDescent="0.2">
      <c r="V2853" s="163"/>
      <c r="W2853" s="158" t="str">
        <f t="shared" si="56"/>
        <v>1w</v>
      </c>
      <c r="X2853" s="168">
        <f>_xll.qlCalendarAdvance(Calendar,X2852,W2853,"f",FALSE)</f>
        <v>59210</v>
      </c>
      <c r="Y2853" s="173">
        <f>_xll.qlCalendarAdvance(Calendar,X2853,NDays&amp;"D")</f>
        <v>59210</v>
      </c>
      <c r="Z2853" s="174" t="e">
        <v>#N/A</v>
      </c>
      <c r="AA2853" s="177"/>
    </row>
    <row r="2854" spans="22:27" x14ac:dyDescent="0.2">
      <c r="V2854" s="163"/>
      <c r="W2854" s="158" t="str">
        <f t="shared" si="56"/>
        <v>1w</v>
      </c>
      <c r="X2854" s="168">
        <f>_xll.qlCalendarAdvance(Calendar,X2853,W2854,"f",FALSE)</f>
        <v>59217</v>
      </c>
      <c r="Y2854" s="173">
        <f>_xll.qlCalendarAdvance(Calendar,X2854,NDays&amp;"D")</f>
        <v>59217</v>
      </c>
      <c r="Z2854" s="174" t="e">
        <v>#N/A</v>
      </c>
      <c r="AA2854" s="177"/>
    </row>
    <row r="2855" spans="22:27" x14ac:dyDescent="0.2">
      <c r="V2855" s="163"/>
      <c r="W2855" s="158" t="str">
        <f t="shared" si="56"/>
        <v>1w</v>
      </c>
      <c r="X2855" s="168">
        <f>_xll.qlCalendarAdvance(Calendar,X2854,W2855,"f",FALSE)</f>
        <v>59224</v>
      </c>
      <c r="Y2855" s="173">
        <f>_xll.qlCalendarAdvance(Calendar,X2855,NDays&amp;"D")</f>
        <v>59224</v>
      </c>
      <c r="Z2855" s="174" t="e">
        <v>#N/A</v>
      </c>
      <c r="AA2855" s="177"/>
    </row>
    <row r="2856" spans="22:27" x14ac:dyDescent="0.2">
      <c r="V2856" s="163"/>
      <c r="W2856" s="158" t="str">
        <f t="shared" si="56"/>
        <v>1w</v>
      </c>
      <c r="X2856" s="168">
        <f>_xll.qlCalendarAdvance(Calendar,X2855,W2856,"f",FALSE)</f>
        <v>59231</v>
      </c>
      <c r="Y2856" s="173">
        <f>_xll.qlCalendarAdvance(Calendar,X2856,NDays&amp;"D")</f>
        <v>59231</v>
      </c>
      <c r="Z2856" s="174" t="e">
        <v>#N/A</v>
      </c>
      <c r="AA2856" s="177"/>
    </row>
    <row r="2857" spans="22:27" x14ac:dyDescent="0.2">
      <c r="V2857" s="163"/>
      <c r="W2857" s="158" t="str">
        <f t="shared" si="56"/>
        <v>1w</v>
      </c>
      <c r="X2857" s="168">
        <f>_xll.qlCalendarAdvance(Calendar,X2856,W2857,"f",FALSE)</f>
        <v>59238</v>
      </c>
      <c r="Y2857" s="173">
        <f>_xll.qlCalendarAdvance(Calendar,X2857,NDays&amp;"D")</f>
        <v>59238</v>
      </c>
      <c r="Z2857" s="174" t="e">
        <v>#N/A</v>
      </c>
      <c r="AA2857" s="177"/>
    </row>
    <row r="2858" spans="22:27" x14ac:dyDescent="0.2">
      <c r="V2858" s="163"/>
      <c r="W2858" s="158" t="str">
        <f t="shared" si="56"/>
        <v>1w</v>
      </c>
      <c r="X2858" s="168">
        <f>_xll.qlCalendarAdvance(Calendar,X2857,W2858,"f",FALSE)</f>
        <v>59245</v>
      </c>
      <c r="Y2858" s="173">
        <f>_xll.qlCalendarAdvance(Calendar,X2858,NDays&amp;"D")</f>
        <v>59245</v>
      </c>
      <c r="Z2858" s="174" t="e">
        <v>#N/A</v>
      </c>
      <c r="AA2858" s="177"/>
    </row>
    <row r="2859" spans="22:27" x14ac:dyDescent="0.2">
      <c r="V2859" s="163"/>
      <c r="W2859" s="158" t="str">
        <f t="shared" si="56"/>
        <v>1w</v>
      </c>
      <c r="X2859" s="168">
        <f>_xll.qlCalendarAdvance(Calendar,X2858,W2859,"f",FALSE)</f>
        <v>59252</v>
      </c>
      <c r="Y2859" s="173">
        <f>_xll.qlCalendarAdvance(Calendar,X2859,NDays&amp;"D")</f>
        <v>59252</v>
      </c>
      <c r="Z2859" s="174" t="e">
        <v>#N/A</v>
      </c>
      <c r="AA2859" s="177"/>
    </row>
    <row r="2860" spans="22:27" x14ac:dyDescent="0.2">
      <c r="V2860" s="163"/>
      <c r="W2860" s="158" t="str">
        <f t="shared" si="56"/>
        <v>1w</v>
      </c>
      <c r="X2860" s="168">
        <f>_xll.qlCalendarAdvance(Calendar,X2859,W2860,"f",FALSE)</f>
        <v>59259</v>
      </c>
      <c r="Y2860" s="173">
        <f>_xll.qlCalendarAdvance(Calendar,X2860,NDays&amp;"D")</f>
        <v>59259</v>
      </c>
      <c r="Z2860" s="174" t="e">
        <v>#N/A</v>
      </c>
      <c r="AA2860" s="177"/>
    </row>
    <row r="2861" spans="22:27" x14ac:dyDescent="0.2">
      <c r="V2861" s="163"/>
      <c r="W2861" s="158" t="str">
        <f t="shared" si="56"/>
        <v>1w</v>
      </c>
      <c r="X2861" s="168">
        <f>_xll.qlCalendarAdvance(Calendar,X2860,W2861,"f",FALSE)</f>
        <v>59266</v>
      </c>
      <c r="Y2861" s="173">
        <f>_xll.qlCalendarAdvance(Calendar,X2861,NDays&amp;"D")</f>
        <v>59266</v>
      </c>
      <c r="Z2861" s="174" t="e">
        <v>#N/A</v>
      </c>
      <c r="AA2861" s="177"/>
    </row>
    <row r="2862" spans="22:27" x14ac:dyDescent="0.2">
      <c r="V2862" s="163"/>
      <c r="W2862" s="158" t="str">
        <f t="shared" si="56"/>
        <v>1w</v>
      </c>
      <c r="X2862" s="168">
        <f>_xll.qlCalendarAdvance(Calendar,X2861,W2862,"f",FALSE)</f>
        <v>59273</v>
      </c>
      <c r="Y2862" s="173">
        <f>_xll.qlCalendarAdvance(Calendar,X2862,NDays&amp;"D")</f>
        <v>59273</v>
      </c>
      <c r="Z2862" s="174" t="e">
        <v>#N/A</v>
      </c>
      <c r="AA2862" s="177"/>
    </row>
    <row r="2863" spans="22:27" x14ac:dyDescent="0.2">
      <c r="V2863" s="163"/>
      <c r="W2863" s="158" t="str">
        <f t="shared" si="56"/>
        <v>1w</v>
      </c>
      <c r="X2863" s="168">
        <f>_xll.qlCalendarAdvance(Calendar,X2862,W2863,"f",FALSE)</f>
        <v>59280</v>
      </c>
      <c r="Y2863" s="173">
        <f>_xll.qlCalendarAdvance(Calendar,X2863,NDays&amp;"D")</f>
        <v>59280</v>
      </c>
      <c r="Z2863" s="174" t="e">
        <v>#N/A</v>
      </c>
      <c r="AA2863" s="177"/>
    </row>
    <row r="2864" spans="22:27" x14ac:dyDescent="0.2">
      <c r="V2864" s="163"/>
      <c r="W2864" s="158" t="str">
        <f t="shared" si="56"/>
        <v>1w</v>
      </c>
      <c r="X2864" s="168">
        <f>_xll.qlCalendarAdvance(Calendar,X2863,W2864,"f",FALSE)</f>
        <v>59287</v>
      </c>
      <c r="Y2864" s="173">
        <f>_xll.qlCalendarAdvance(Calendar,X2864,NDays&amp;"D")</f>
        <v>59287</v>
      </c>
      <c r="Z2864" s="174" t="e">
        <v>#N/A</v>
      </c>
      <c r="AA2864" s="177"/>
    </row>
    <row r="2865" spans="22:27" x14ac:dyDescent="0.2">
      <c r="V2865" s="163"/>
      <c r="W2865" s="158" t="str">
        <f t="shared" si="56"/>
        <v>1w</v>
      </c>
      <c r="X2865" s="168">
        <f>_xll.qlCalendarAdvance(Calendar,X2864,W2865,"f",FALSE)</f>
        <v>59299</v>
      </c>
      <c r="Y2865" s="173">
        <f>_xll.qlCalendarAdvance(Calendar,X2865,NDays&amp;"D")</f>
        <v>59299</v>
      </c>
      <c r="Z2865" s="174" t="e">
        <v>#N/A</v>
      </c>
      <c r="AA2865" s="177"/>
    </row>
    <row r="2866" spans="22:27" x14ac:dyDescent="0.2">
      <c r="V2866" s="163"/>
      <c r="W2866" s="158" t="str">
        <f t="shared" si="56"/>
        <v>1w</v>
      </c>
      <c r="X2866" s="168">
        <f>_xll.qlCalendarAdvance(Calendar,X2865,W2866,"f",FALSE)</f>
        <v>59306</v>
      </c>
      <c r="Y2866" s="173">
        <f>_xll.qlCalendarAdvance(Calendar,X2866,NDays&amp;"D")</f>
        <v>59306</v>
      </c>
      <c r="Z2866" s="174" t="e">
        <v>#N/A</v>
      </c>
      <c r="AA2866" s="177"/>
    </row>
    <row r="2867" spans="22:27" x14ac:dyDescent="0.2">
      <c r="V2867" s="163"/>
      <c r="W2867" s="158" t="str">
        <f t="shared" si="56"/>
        <v>1w</v>
      </c>
      <c r="X2867" s="168">
        <f>_xll.qlCalendarAdvance(Calendar,X2866,W2867,"f",FALSE)</f>
        <v>59313</v>
      </c>
      <c r="Y2867" s="173">
        <f>_xll.qlCalendarAdvance(Calendar,X2867,NDays&amp;"D")</f>
        <v>59313</v>
      </c>
      <c r="Z2867" s="174" t="e">
        <v>#N/A</v>
      </c>
      <c r="AA2867" s="177"/>
    </row>
    <row r="2868" spans="22:27" x14ac:dyDescent="0.2">
      <c r="V2868" s="163"/>
      <c r="W2868" s="158" t="str">
        <f t="shared" si="56"/>
        <v>1w</v>
      </c>
      <c r="X2868" s="168">
        <f>_xll.qlCalendarAdvance(Calendar,X2867,W2868,"f",FALSE)</f>
        <v>59320</v>
      </c>
      <c r="Y2868" s="173">
        <f>_xll.qlCalendarAdvance(Calendar,X2868,NDays&amp;"D")</f>
        <v>59320</v>
      </c>
      <c r="Z2868" s="174" t="e">
        <v>#N/A</v>
      </c>
      <c r="AA2868" s="177"/>
    </row>
    <row r="2869" spans="22:27" x14ac:dyDescent="0.2">
      <c r="V2869" s="163"/>
      <c r="W2869" s="158" t="str">
        <f t="shared" si="56"/>
        <v>1w</v>
      </c>
      <c r="X2869" s="168">
        <f>_xll.qlCalendarAdvance(Calendar,X2868,W2869,"f",FALSE)</f>
        <v>59327</v>
      </c>
      <c r="Y2869" s="173">
        <f>_xll.qlCalendarAdvance(Calendar,X2869,NDays&amp;"D")</f>
        <v>59327</v>
      </c>
      <c r="Z2869" s="174" t="e">
        <v>#N/A</v>
      </c>
      <c r="AA2869" s="177"/>
    </row>
    <row r="2870" spans="22:27" x14ac:dyDescent="0.2">
      <c r="V2870" s="163"/>
      <c r="W2870" s="158" t="str">
        <f t="shared" si="56"/>
        <v>1w</v>
      </c>
      <c r="X2870" s="168">
        <f>_xll.qlCalendarAdvance(Calendar,X2869,W2870,"f",FALSE)</f>
        <v>59334</v>
      </c>
      <c r="Y2870" s="173">
        <f>_xll.qlCalendarAdvance(Calendar,X2870,NDays&amp;"D")</f>
        <v>59334</v>
      </c>
      <c r="Z2870" s="174" t="e">
        <v>#N/A</v>
      </c>
      <c r="AA2870" s="177"/>
    </row>
    <row r="2871" spans="22:27" x14ac:dyDescent="0.2">
      <c r="V2871" s="163"/>
      <c r="W2871" s="158" t="str">
        <f t="shared" si="56"/>
        <v>1w</v>
      </c>
      <c r="X2871" s="168">
        <f>_xll.qlCalendarAdvance(Calendar,X2870,W2871,"f",FALSE)</f>
        <v>59341</v>
      </c>
      <c r="Y2871" s="173">
        <f>_xll.qlCalendarAdvance(Calendar,X2871,NDays&amp;"D")</f>
        <v>59341</v>
      </c>
      <c r="Z2871" s="174" t="e">
        <v>#N/A</v>
      </c>
      <c r="AA2871" s="177"/>
    </row>
    <row r="2872" spans="22:27" x14ac:dyDescent="0.2">
      <c r="V2872" s="163"/>
      <c r="W2872" s="158" t="str">
        <f t="shared" si="56"/>
        <v>1w</v>
      </c>
      <c r="X2872" s="168">
        <f>_xll.qlCalendarAdvance(Calendar,X2871,W2872,"f",FALSE)</f>
        <v>59348</v>
      </c>
      <c r="Y2872" s="173">
        <f>_xll.qlCalendarAdvance(Calendar,X2872,NDays&amp;"D")</f>
        <v>59348</v>
      </c>
      <c r="Z2872" s="174" t="e">
        <v>#N/A</v>
      </c>
      <c r="AA2872" s="177"/>
    </row>
    <row r="2873" spans="22:27" x14ac:dyDescent="0.2">
      <c r="V2873" s="163"/>
      <c r="W2873" s="158" t="str">
        <f t="shared" si="56"/>
        <v>1w</v>
      </c>
      <c r="X2873" s="168">
        <f>_xll.qlCalendarAdvance(Calendar,X2872,W2873,"f",FALSE)</f>
        <v>59355</v>
      </c>
      <c r="Y2873" s="173">
        <f>_xll.qlCalendarAdvance(Calendar,X2873,NDays&amp;"D")</f>
        <v>59355</v>
      </c>
      <c r="Z2873" s="174" t="e">
        <v>#N/A</v>
      </c>
      <c r="AA2873" s="177"/>
    </row>
    <row r="2874" spans="22:27" x14ac:dyDescent="0.2">
      <c r="V2874" s="163"/>
      <c r="W2874" s="158" t="str">
        <f t="shared" si="56"/>
        <v>1w</v>
      </c>
      <c r="X2874" s="168">
        <f>_xll.qlCalendarAdvance(Calendar,X2873,W2874,"f",FALSE)</f>
        <v>59362</v>
      </c>
      <c r="Y2874" s="173">
        <f>_xll.qlCalendarAdvance(Calendar,X2874,NDays&amp;"D")</f>
        <v>59362</v>
      </c>
      <c r="Z2874" s="174" t="e">
        <v>#N/A</v>
      </c>
      <c r="AA2874" s="177"/>
    </row>
    <row r="2875" spans="22:27" x14ac:dyDescent="0.2">
      <c r="V2875" s="163"/>
      <c r="W2875" s="158" t="str">
        <f t="shared" si="56"/>
        <v>1w</v>
      </c>
      <c r="X2875" s="168">
        <f>_xll.qlCalendarAdvance(Calendar,X2874,W2875,"f",FALSE)</f>
        <v>59370</v>
      </c>
      <c r="Y2875" s="173">
        <f>_xll.qlCalendarAdvance(Calendar,X2875,NDays&amp;"D")</f>
        <v>59370</v>
      </c>
      <c r="Z2875" s="174" t="e">
        <v>#N/A</v>
      </c>
      <c r="AA2875" s="177"/>
    </row>
    <row r="2876" spans="22:27" x14ac:dyDescent="0.2">
      <c r="V2876" s="163"/>
      <c r="W2876" s="158" t="str">
        <f t="shared" si="56"/>
        <v>1w</v>
      </c>
      <c r="X2876" s="168">
        <f>_xll.qlCalendarAdvance(Calendar,X2875,W2876,"f",FALSE)</f>
        <v>59377</v>
      </c>
      <c r="Y2876" s="173">
        <f>_xll.qlCalendarAdvance(Calendar,X2876,NDays&amp;"D")</f>
        <v>59377</v>
      </c>
      <c r="Z2876" s="174" t="e">
        <v>#N/A</v>
      </c>
      <c r="AA2876" s="177"/>
    </row>
    <row r="2877" spans="22:27" x14ac:dyDescent="0.2">
      <c r="V2877" s="163"/>
      <c r="W2877" s="158" t="str">
        <f t="shared" si="56"/>
        <v>1w</v>
      </c>
      <c r="X2877" s="168">
        <f>_xll.qlCalendarAdvance(Calendar,X2876,W2877,"f",FALSE)</f>
        <v>59384</v>
      </c>
      <c r="Y2877" s="173">
        <f>_xll.qlCalendarAdvance(Calendar,X2877,NDays&amp;"D")</f>
        <v>59384</v>
      </c>
      <c r="Z2877" s="174" t="e">
        <v>#N/A</v>
      </c>
      <c r="AA2877" s="177"/>
    </row>
    <row r="2878" spans="22:27" x14ac:dyDescent="0.2">
      <c r="V2878" s="163"/>
      <c r="W2878" s="158" t="str">
        <f t="shared" si="56"/>
        <v>1w</v>
      </c>
      <c r="X2878" s="168">
        <f>_xll.qlCalendarAdvance(Calendar,X2877,W2878,"f",FALSE)</f>
        <v>59391</v>
      </c>
      <c r="Y2878" s="173">
        <f>_xll.qlCalendarAdvance(Calendar,X2878,NDays&amp;"D")</f>
        <v>59391</v>
      </c>
      <c r="Z2878" s="174" t="e">
        <v>#N/A</v>
      </c>
      <c r="AA2878" s="177"/>
    </row>
    <row r="2879" spans="22:27" x14ac:dyDescent="0.2">
      <c r="V2879" s="163"/>
      <c r="W2879" s="158" t="str">
        <f t="shared" si="56"/>
        <v>1w</v>
      </c>
      <c r="X2879" s="168">
        <f>_xll.qlCalendarAdvance(Calendar,X2878,W2879,"f",FALSE)</f>
        <v>59398</v>
      </c>
      <c r="Y2879" s="173">
        <f>_xll.qlCalendarAdvance(Calendar,X2879,NDays&amp;"D")</f>
        <v>59398</v>
      </c>
      <c r="Z2879" s="174" t="e">
        <v>#N/A</v>
      </c>
      <c r="AA2879" s="177"/>
    </row>
    <row r="2880" spans="22:27" x14ac:dyDescent="0.2">
      <c r="V2880" s="163"/>
      <c r="W2880" s="158" t="str">
        <f t="shared" si="56"/>
        <v>1w</v>
      </c>
      <c r="X2880" s="168">
        <f>_xll.qlCalendarAdvance(Calendar,X2879,W2880,"f",FALSE)</f>
        <v>59405</v>
      </c>
      <c r="Y2880" s="173">
        <f>_xll.qlCalendarAdvance(Calendar,X2880,NDays&amp;"D")</f>
        <v>59405</v>
      </c>
      <c r="Z2880" s="174" t="e">
        <v>#N/A</v>
      </c>
      <c r="AA2880" s="177"/>
    </row>
    <row r="2881" spans="22:27" x14ac:dyDescent="0.2">
      <c r="V2881" s="163"/>
      <c r="W2881" s="158" t="str">
        <f t="shared" si="56"/>
        <v>1w</v>
      </c>
      <c r="X2881" s="168">
        <f>_xll.qlCalendarAdvance(Calendar,X2880,W2881,"f",FALSE)</f>
        <v>59412</v>
      </c>
      <c r="Y2881" s="173">
        <f>_xll.qlCalendarAdvance(Calendar,X2881,NDays&amp;"D")</f>
        <v>59412</v>
      </c>
      <c r="Z2881" s="174" t="e">
        <v>#N/A</v>
      </c>
      <c r="AA2881" s="177"/>
    </row>
    <row r="2882" spans="22:27" x14ac:dyDescent="0.2">
      <c r="V2882" s="163"/>
      <c r="W2882" s="158" t="str">
        <f t="shared" si="56"/>
        <v>1w</v>
      </c>
      <c r="X2882" s="168">
        <f>_xll.qlCalendarAdvance(Calendar,X2881,W2882,"f",FALSE)</f>
        <v>59419</v>
      </c>
      <c r="Y2882" s="173">
        <f>_xll.qlCalendarAdvance(Calendar,X2882,NDays&amp;"D")</f>
        <v>59419</v>
      </c>
      <c r="Z2882" s="174" t="e">
        <v>#N/A</v>
      </c>
      <c r="AA2882" s="177"/>
    </row>
    <row r="2883" spans="22:27" x14ac:dyDescent="0.2">
      <c r="V2883" s="163"/>
      <c r="W2883" s="158" t="str">
        <f t="shared" si="56"/>
        <v>1w</v>
      </c>
      <c r="X2883" s="168">
        <f>_xll.qlCalendarAdvance(Calendar,X2882,W2883,"f",FALSE)</f>
        <v>59426</v>
      </c>
      <c r="Y2883" s="173">
        <f>_xll.qlCalendarAdvance(Calendar,X2883,NDays&amp;"D")</f>
        <v>59426</v>
      </c>
      <c r="Z2883" s="174" t="e">
        <v>#N/A</v>
      </c>
      <c r="AA2883" s="177"/>
    </row>
    <row r="2884" spans="22:27" x14ac:dyDescent="0.2">
      <c r="V2884" s="163"/>
      <c r="W2884" s="158" t="str">
        <f t="shared" si="56"/>
        <v>1w</v>
      </c>
      <c r="X2884" s="168">
        <f>_xll.qlCalendarAdvance(Calendar,X2883,W2884,"f",FALSE)</f>
        <v>59433</v>
      </c>
      <c r="Y2884" s="173">
        <f>_xll.qlCalendarAdvance(Calendar,X2884,NDays&amp;"D")</f>
        <v>59433</v>
      </c>
      <c r="Z2884" s="174" t="e">
        <v>#N/A</v>
      </c>
      <c r="AA2884" s="177"/>
    </row>
    <row r="2885" spans="22:27" x14ac:dyDescent="0.2">
      <c r="V2885" s="163"/>
      <c r="W2885" s="158" t="str">
        <f t="shared" si="56"/>
        <v>1w</v>
      </c>
      <c r="X2885" s="168">
        <f>_xll.qlCalendarAdvance(Calendar,X2884,W2885,"f",FALSE)</f>
        <v>59440</v>
      </c>
      <c r="Y2885" s="173">
        <f>_xll.qlCalendarAdvance(Calendar,X2885,NDays&amp;"D")</f>
        <v>59440</v>
      </c>
      <c r="Z2885" s="174" t="e">
        <v>#N/A</v>
      </c>
      <c r="AA2885" s="177"/>
    </row>
    <row r="2886" spans="22:27" x14ac:dyDescent="0.2">
      <c r="V2886" s="163"/>
      <c r="W2886" s="158" t="str">
        <f t="shared" si="56"/>
        <v>1w</v>
      </c>
      <c r="X2886" s="168">
        <f>_xll.qlCalendarAdvance(Calendar,X2885,W2886,"f",FALSE)</f>
        <v>59447</v>
      </c>
      <c r="Y2886" s="173">
        <f>_xll.qlCalendarAdvance(Calendar,X2886,NDays&amp;"D")</f>
        <v>59447</v>
      </c>
      <c r="Z2886" s="174" t="e">
        <v>#N/A</v>
      </c>
      <c r="AA2886" s="177"/>
    </row>
    <row r="2887" spans="22:27" x14ac:dyDescent="0.2">
      <c r="V2887" s="163"/>
      <c r="W2887" s="158" t="str">
        <f t="shared" si="56"/>
        <v>1w</v>
      </c>
      <c r="X2887" s="168">
        <f>_xll.qlCalendarAdvance(Calendar,X2886,W2887,"f",FALSE)</f>
        <v>59454</v>
      </c>
      <c r="Y2887" s="173">
        <f>_xll.qlCalendarAdvance(Calendar,X2887,NDays&amp;"D")</f>
        <v>59454</v>
      </c>
      <c r="Z2887" s="174" t="e">
        <v>#N/A</v>
      </c>
      <c r="AA2887" s="177"/>
    </row>
    <row r="2888" spans="22:27" x14ac:dyDescent="0.2">
      <c r="V2888" s="163"/>
      <c r="W2888" s="158" t="str">
        <f t="shared" si="56"/>
        <v>1w</v>
      </c>
      <c r="X2888" s="168">
        <f>_xll.qlCalendarAdvance(Calendar,X2887,W2888,"f",FALSE)</f>
        <v>59461</v>
      </c>
      <c r="Y2888" s="173">
        <f>_xll.qlCalendarAdvance(Calendar,X2888,NDays&amp;"D")</f>
        <v>59461</v>
      </c>
      <c r="Z2888" s="174" t="e">
        <v>#N/A</v>
      </c>
      <c r="AA2888" s="177"/>
    </row>
    <row r="2889" spans="22:27" x14ac:dyDescent="0.2">
      <c r="V2889" s="163"/>
      <c r="W2889" s="158" t="str">
        <f t="shared" si="56"/>
        <v>1w</v>
      </c>
      <c r="X2889" s="168">
        <f>_xll.qlCalendarAdvance(Calendar,X2888,W2889,"f",FALSE)</f>
        <v>59468</v>
      </c>
      <c r="Y2889" s="173">
        <f>_xll.qlCalendarAdvance(Calendar,X2889,NDays&amp;"D")</f>
        <v>59468</v>
      </c>
      <c r="Z2889" s="174" t="e">
        <v>#N/A</v>
      </c>
      <c r="AA2889" s="177"/>
    </row>
    <row r="2890" spans="22:27" x14ac:dyDescent="0.2">
      <c r="V2890" s="163"/>
      <c r="W2890" s="158" t="str">
        <f t="shared" si="56"/>
        <v>1w</v>
      </c>
      <c r="X2890" s="168">
        <f>_xll.qlCalendarAdvance(Calendar,X2889,W2890,"f",FALSE)</f>
        <v>59475</v>
      </c>
      <c r="Y2890" s="173">
        <f>_xll.qlCalendarAdvance(Calendar,X2890,NDays&amp;"D")</f>
        <v>59475</v>
      </c>
      <c r="Z2890" s="174" t="e">
        <v>#N/A</v>
      </c>
      <c r="AA2890" s="177"/>
    </row>
    <row r="2891" spans="22:27" x14ac:dyDescent="0.2">
      <c r="V2891" s="163"/>
      <c r="W2891" s="158" t="str">
        <f t="shared" si="56"/>
        <v>1w</v>
      </c>
      <c r="X2891" s="168">
        <f>_xll.qlCalendarAdvance(Calendar,X2890,W2891,"f",FALSE)</f>
        <v>59482</v>
      </c>
      <c r="Y2891" s="173">
        <f>_xll.qlCalendarAdvance(Calendar,X2891,NDays&amp;"D")</f>
        <v>59482</v>
      </c>
      <c r="Z2891" s="174" t="e">
        <v>#N/A</v>
      </c>
      <c r="AA2891" s="177"/>
    </row>
    <row r="2892" spans="22:27" x14ac:dyDescent="0.2">
      <c r="V2892" s="163"/>
      <c r="W2892" s="158" t="str">
        <f t="shared" si="56"/>
        <v>1w</v>
      </c>
      <c r="X2892" s="168">
        <f>_xll.qlCalendarAdvance(Calendar,X2891,W2892,"f",FALSE)</f>
        <v>59489</v>
      </c>
      <c r="Y2892" s="173">
        <f>_xll.qlCalendarAdvance(Calendar,X2892,NDays&amp;"D")</f>
        <v>59489</v>
      </c>
      <c r="Z2892" s="174" t="e">
        <v>#N/A</v>
      </c>
      <c r="AA2892" s="177"/>
    </row>
    <row r="2893" spans="22:27" x14ac:dyDescent="0.2">
      <c r="V2893" s="163"/>
      <c r="W2893" s="158" t="str">
        <f t="shared" ref="W2893:W2956" si="57">W2892</f>
        <v>1w</v>
      </c>
      <c r="X2893" s="168">
        <f>_xll.qlCalendarAdvance(Calendar,X2892,W2893,"f",FALSE)</f>
        <v>59496</v>
      </c>
      <c r="Y2893" s="173">
        <f>_xll.qlCalendarAdvance(Calendar,X2893,NDays&amp;"D")</f>
        <v>59496</v>
      </c>
      <c r="Z2893" s="174" t="e">
        <v>#N/A</v>
      </c>
      <c r="AA2893" s="177"/>
    </row>
    <row r="2894" spans="22:27" x14ac:dyDescent="0.2">
      <c r="V2894" s="163"/>
      <c r="W2894" s="158" t="str">
        <f t="shared" si="57"/>
        <v>1w</v>
      </c>
      <c r="X2894" s="168">
        <f>_xll.qlCalendarAdvance(Calendar,X2893,W2894,"f",FALSE)</f>
        <v>59503</v>
      </c>
      <c r="Y2894" s="173">
        <f>_xll.qlCalendarAdvance(Calendar,X2894,NDays&amp;"D")</f>
        <v>59503</v>
      </c>
      <c r="Z2894" s="174" t="e">
        <v>#N/A</v>
      </c>
      <c r="AA2894" s="177"/>
    </row>
    <row r="2895" spans="22:27" x14ac:dyDescent="0.2">
      <c r="V2895" s="163"/>
      <c r="W2895" s="158" t="str">
        <f t="shared" si="57"/>
        <v>1w</v>
      </c>
      <c r="X2895" s="168">
        <f>_xll.qlCalendarAdvance(Calendar,X2894,W2895,"f",FALSE)</f>
        <v>59510</v>
      </c>
      <c r="Y2895" s="173">
        <f>_xll.qlCalendarAdvance(Calendar,X2895,NDays&amp;"D")</f>
        <v>59510</v>
      </c>
      <c r="Z2895" s="174" t="e">
        <v>#N/A</v>
      </c>
      <c r="AA2895" s="177"/>
    </row>
    <row r="2896" spans="22:27" x14ac:dyDescent="0.2">
      <c r="V2896" s="163"/>
      <c r="W2896" s="158" t="str">
        <f t="shared" si="57"/>
        <v>1w</v>
      </c>
      <c r="X2896" s="168">
        <f>_xll.qlCalendarAdvance(Calendar,X2895,W2896,"f",FALSE)</f>
        <v>59517</v>
      </c>
      <c r="Y2896" s="173">
        <f>_xll.qlCalendarAdvance(Calendar,X2896,NDays&amp;"D")</f>
        <v>59517</v>
      </c>
      <c r="Z2896" s="174" t="e">
        <v>#N/A</v>
      </c>
      <c r="AA2896" s="177"/>
    </row>
    <row r="2897" spans="22:27" x14ac:dyDescent="0.2">
      <c r="V2897" s="163"/>
      <c r="W2897" s="158" t="str">
        <f t="shared" si="57"/>
        <v>1w</v>
      </c>
      <c r="X2897" s="168">
        <f>_xll.qlCalendarAdvance(Calendar,X2896,W2897,"f",FALSE)</f>
        <v>59524</v>
      </c>
      <c r="Y2897" s="173">
        <f>_xll.qlCalendarAdvance(Calendar,X2897,NDays&amp;"D")</f>
        <v>59524</v>
      </c>
      <c r="Z2897" s="174" t="e">
        <v>#N/A</v>
      </c>
      <c r="AA2897" s="177"/>
    </row>
    <row r="2898" spans="22:27" x14ac:dyDescent="0.2">
      <c r="V2898" s="163"/>
      <c r="W2898" s="158" t="str">
        <f t="shared" si="57"/>
        <v>1w</v>
      </c>
      <c r="X2898" s="168">
        <f>_xll.qlCalendarAdvance(Calendar,X2897,W2898,"f",FALSE)</f>
        <v>59531</v>
      </c>
      <c r="Y2898" s="173">
        <f>_xll.qlCalendarAdvance(Calendar,X2898,NDays&amp;"D")</f>
        <v>59531</v>
      </c>
      <c r="Z2898" s="174" t="e">
        <v>#N/A</v>
      </c>
      <c r="AA2898" s="177"/>
    </row>
    <row r="2899" spans="22:27" x14ac:dyDescent="0.2">
      <c r="V2899" s="163"/>
      <c r="W2899" s="158" t="str">
        <f t="shared" si="57"/>
        <v>1w</v>
      </c>
      <c r="X2899" s="168">
        <f>_xll.qlCalendarAdvance(Calendar,X2898,W2899,"f",FALSE)</f>
        <v>59540</v>
      </c>
      <c r="Y2899" s="173">
        <f>_xll.qlCalendarAdvance(Calendar,X2899,NDays&amp;"D")</f>
        <v>59540</v>
      </c>
      <c r="Z2899" s="174" t="e">
        <v>#N/A</v>
      </c>
      <c r="AA2899" s="177"/>
    </row>
    <row r="2900" spans="22:27" x14ac:dyDescent="0.2">
      <c r="V2900" s="163"/>
      <c r="W2900" s="158" t="str">
        <f t="shared" si="57"/>
        <v>1w</v>
      </c>
      <c r="X2900" s="168">
        <f>_xll.qlCalendarAdvance(Calendar,X2899,W2900,"f",FALSE)</f>
        <v>59547</v>
      </c>
      <c r="Y2900" s="173">
        <f>_xll.qlCalendarAdvance(Calendar,X2900,NDays&amp;"D")</f>
        <v>59547</v>
      </c>
      <c r="Z2900" s="174" t="e">
        <v>#N/A</v>
      </c>
      <c r="AA2900" s="177"/>
    </row>
    <row r="2901" spans="22:27" x14ac:dyDescent="0.2">
      <c r="V2901" s="163"/>
      <c r="W2901" s="158" t="str">
        <f t="shared" si="57"/>
        <v>1w</v>
      </c>
      <c r="X2901" s="168">
        <f>_xll.qlCalendarAdvance(Calendar,X2900,W2901,"f",FALSE)</f>
        <v>59554</v>
      </c>
      <c r="Y2901" s="173">
        <f>_xll.qlCalendarAdvance(Calendar,X2901,NDays&amp;"D")</f>
        <v>59554</v>
      </c>
      <c r="Z2901" s="174" t="e">
        <v>#N/A</v>
      </c>
      <c r="AA2901" s="177"/>
    </row>
    <row r="2902" spans="22:27" x14ac:dyDescent="0.2">
      <c r="V2902" s="163"/>
      <c r="W2902" s="158" t="str">
        <f t="shared" si="57"/>
        <v>1w</v>
      </c>
      <c r="X2902" s="168">
        <f>_xll.qlCalendarAdvance(Calendar,X2901,W2902,"f",FALSE)</f>
        <v>59561</v>
      </c>
      <c r="Y2902" s="173">
        <f>_xll.qlCalendarAdvance(Calendar,X2902,NDays&amp;"D")</f>
        <v>59561</v>
      </c>
      <c r="Z2902" s="174" t="e">
        <v>#N/A</v>
      </c>
      <c r="AA2902" s="177"/>
    </row>
    <row r="2903" spans="22:27" x14ac:dyDescent="0.2">
      <c r="V2903" s="163"/>
      <c r="W2903" s="158" t="str">
        <f t="shared" si="57"/>
        <v>1w</v>
      </c>
      <c r="X2903" s="168">
        <f>_xll.qlCalendarAdvance(Calendar,X2902,W2903,"f",FALSE)</f>
        <v>59568</v>
      </c>
      <c r="Y2903" s="173">
        <f>_xll.qlCalendarAdvance(Calendar,X2903,NDays&amp;"D")</f>
        <v>59568</v>
      </c>
      <c r="Z2903" s="174" t="e">
        <v>#N/A</v>
      </c>
      <c r="AA2903" s="177"/>
    </row>
    <row r="2904" spans="22:27" x14ac:dyDescent="0.2">
      <c r="V2904" s="163"/>
      <c r="W2904" s="158" t="str">
        <f t="shared" si="57"/>
        <v>1w</v>
      </c>
      <c r="X2904" s="168">
        <f>_xll.qlCalendarAdvance(Calendar,X2903,W2904,"f",FALSE)</f>
        <v>59575</v>
      </c>
      <c r="Y2904" s="173">
        <f>_xll.qlCalendarAdvance(Calendar,X2904,NDays&amp;"D")</f>
        <v>59575</v>
      </c>
      <c r="Z2904" s="174" t="e">
        <v>#N/A</v>
      </c>
      <c r="AA2904" s="177"/>
    </row>
    <row r="2905" spans="22:27" x14ac:dyDescent="0.2">
      <c r="V2905" s="163"/>
      <c r="W2905" s="158" t="str">
        <f t="shared" si="57"/>
        <v>1w</v>
      </c>
      <c r="X2905" s="168">
        <f>_xll.qlCalendarAdvance(Calendar,X2904,W2905,"f",FALSE)</f>
        <v>59582</v>
      </c>
      <c r="Y2905" s="173">
        <f>_xll.qlCalendarAdvance(Calendar,X2905,NDays&amp;"D")</f>
        <v>59582</v>
      </c>
      <c r="Z2905" s="174" t="e">
        <v>#N/A</v>
      </c>
      <c r="AA2905" s="177"/>
    </row>
    <row r="2906" spans="22:27" x14ac:dyDescent="0.2">
      <c r="V2906" s="163"/>
      <c r="W2906" s="158" t="str">
        <f t="shared" si="57"/>
        <v>1w</v>
      </c>
      <c r="X2906" s="168">
        <f>_xll.qlCalendarAdvance(Calendar,X2905,W2906,"f",FALSE)</f>
        <v>59589</v>
      </c>
      <c r="Y2906" s="173">
        <f>_xll.qlCalendarAdvance(Calendar,X2906,NDays&amp;"D")</f>
        <v>59589</v>
      </c>
      <c r="Z2906" s="174" t="e">
        <v>#N/A</v>
      </c>
      <c r="AA2906" s="177"/>
    </row>
    <row r="2907" spans="22:27" x14ac:dyDescent="0.2">
      <c r="V2907" s="163"/>
      <c r="W2907" s="158" t="str">
        <f t="shared" si="57"/>
        <v>1w</v>
      </c>
      <c r="X2907" s="168">
        <f>_xll.qlCalendarAdvance(Calendar,X2906,W2907,"f",FALSE)</f>
        <v>59596</v>
      </c>
      <c r="Y2907" s="173">
        <f>_xll.qlCalendarAdvance(Calendar,X2907,NDays&amp;"D")</f>
        <v>59596</v>
      </c>
      <c r="Z2907" s="174" t="e">
        <v>#N/A</v>
      </c>
      <c r="AA2907" s="177"/>
    </row>
    <row r="2908" spans="22:27" x14ac:dyDescent="0.2">
      <c r="V2908" s="163"/>
      <c r="W2908" s="158" t="str">
        <f t="shared" si="57"/>
        <v>1w</v>
      </c>
      <c r="X2908" s="168">
        <f>_xll.qlCalendarAdvance(Calendar,X2907,W2908,"f",FALSE)</f>
        <v>59603</v>
      </c>
      <c r="Y2908" s="173">
        <f>_xll.qlCalendarAdvance(Calendar,X2908,NDays&amp;"D")</f>
        <v>59603</v>
      </c>
      <c r="Z2908" s="174" t="e">
        <v>#N/A</v>
      </c>
      <c r="AA2908" s="177"/>
    </row>
    <row r="2909" spans="22:27" x14ac:dyDescent="0.2">
      <c r="V2909" s="163"/>
      <c r="W2909" s="158" t="str">
        <f t="shared" si="57"/>
        <v>1w</v>
      </c>
      <c r="X2909" s="168">
        <f>_xll.qlCalendarAdvance(Calendar,X2908,W2909,"f",FALSE)</f>
        <v>59610</v>
      </c>
      <c r="Y2909" s="173">
        <f>_xll.qlCalendarAdvance(Calendar,X2909,NDays&amp;"D")</f>
        <v>59610</v>
      </c>
      <c r="Z2909" s="174" t="e">
        <v>#N/A</v>
      </c>
      <c r="AA2909" s="177"/>
    </row>
    <row r="2910" spans="22:27" x14ac:dyDescent="0.2">
      <c r="V2910" s="163"/>
      <c r="W2910" s="158" t="str">
        <f t="shared" si="57"/>
        <v>1w</v>
      </c>
      <c r="X2910" s="168">
        <f>_xll.qlCalendarAdvance(Calendar,X2909,W2910,"f",FALSE)</f>
        <v>59617</v>
      </c>
      <c r="Y2910" s="173">
        <f>_xll.qlCalendarAdvance(Calendar,X2910,NDays&amp;"D")</f>
        <v>59617</v>
      </c>
      <c r="Z2910" s="174" t="e">
        <v>#N/A</v>
      </c>
      <c r="AA2910" s="177"/>
    </row>
    <row r="2911" spans="22:27" x14ac:dyDescent="0.2">
      <c r="V2911" s="163"/>
      <c r="W2911" s="158" t="str">
        <f t="shared" si="57"/>
        <v>1w</v>
      </c>
      <c r="X2911" s="168">
        <f>_xll.qlCalendarAdvance(Calendar,X2910,W2911,"f",FALSE)</f>
        <v>59624</v>
      </c>
      <c r="Y2911" s="173">
        <f>_xll.qlCalendarAdvance(Calendar,X2911,NDays&amp;"D")</f>
        <v>59624</v>
      </c>
      <c r="Z2911" s="174" t="e">
        <v>#N/A</v>
      </c>
      <c r="AA2911" s="177"/>
    </row>
    <row r="2912" spans="22:27" x14ac:dyDescent="0.2">
      <c r="V2912" s="163"/>
      <c r="W2912" s="158" t="str">
        <f t="shared" si="57"/>
        <v>1w</v>
      </c>
      <c r="X2912" s="168">
        <f>_xll.qlCalendarAdvance(Calendar,X2911,W2912,"f",FALSE)</f>
        <v>59631</v>
      </c>
      <c r="Y2912" s="173">
        <f>_xll.qlCalendarAdvance(Calendar,X2912,NDays&amp;"D")</f>
        <v>59631</v>
      </c>
      <c r="Z2912" s="174" t="e">
        <v>#N/A</v>
      </c>
      <c r="AA2912" s="177"/>
    </row>
    <row r="2913" spans="22:27" x14ac:dyDescent="0.2">
      <c r="V2913" s="163"/>
      <c r="W2913" s="158" t="str">
        <f t="shared" si="57"/>
        <v>1w</v>
      </c>
      <c r="X2913" s="168">
        <f>_xll.qlCalendarAdvance(Calendar,X2912,W2913,"f",FALSE)</f>
        <v>59638</v>
      </c>
      <c r="Y2913" s="173">
        <f>_xll.qlCalendarAdvance(Calendar,X2913,NDays&amp;"D")</f>
        <v>59638</v>
      </c>
      <c r="Z2913" s="174" t="e">
        <v>#N/A</v>
      </c>
      <c r="AA2913" s="177"/>
    </row>
    <row r="2914" spans="22:27" x14ac:dyDescent="0.2">
      <c r="V2914" s="163"/>
      <c r="W2914" s="158" t="str">
        <f t="shared" si="57"/>
        <v>1w</v>
      </c>
      <c r="X2914" s="168">
        <f>_xll.qlCalendarAdvance(Calendar,X2913,W2914,"f",FALSE)</f>
        <v>59645</v>
      </c>
      <c r="Y2914" s="173">
        <f>_xll.qlCalendarAdvance(Calendar,X2914,NDays&amp;"D")</f>
        <v>59645</v>
      </c>
      <c r="Z2914" s="174" t="e">
        <v>#N/A</v>
      </c>
      <c r="AA2914" s="177"/>
    </row>
    <row r="2915" spans="22:27" x14ac:dyDescent="0.2">
      <c r="V2915" s="163"/>
      <c r="W2915" s="158" t="str">
        <f t="shared" si="57"/>
        <v>1w</v>
      </c>
      <c r="X2915" s="168">
        <f>_xll.qlCalendarAdvance(Calendar,X2914,W2915,"f",FALSE)</f>
        <v>59652</v>
      </c>
      <c r="Y2915" s="173">
        <f>_xll.qlCalendarAdvance(Calendar,X2915,NDays&amp;"D")</f>
        <v>59652</v>
      </c>
      <c r="Z2915" s="174" t="e">
        <v>#N/A</v>
      </c>
      <c r="AA2915" s="177"/>
    </row>
    <row r="2916" spans="22:27" x14ac:dyDescent="0.2">
      <c r="V2916" s="163"/>
      <c r="W2916" s="158" t="str">
        <f t="shared" si="57"/>
        <v>1w</v>
      </c>
      <c r="X2916" s="168">
        <f>_xll.qlCalendarAdvance(Calendar,X2915,W2916,"f",FALSE)</f>
        <v>59663</v>
      </c>
      <c r="Y2916" s="173">
        <f>_xll.qlCalendarAdvance(Calendar,X2916,NDays&amp;"D")</f>
        <v>59663</v>
      </c>
      <c r="Z2916" s="174" t="e">
        <v>#N/A</v>
      </c>
      <c r="AA2916" s="177"/>
    </row>
    <row r="2917" spans="22:27" x14ac:dyDescent="0.2">
      <c r="V2917" s="163"/>
      <c r="W2917" s="158" t="str">
        <f t="shared" si="57"/>
        <v>1w</v>
      </c>
      <c r="X2917" s="168">
        <f>_xll.qlCalendarAdvance(Calendar,X2916,W2917,"f",FALSE)</f>
        <v>59670</v>
      </c>
      <c r="Y2917" s="173">
        <f>_xll.qlCalendarAdvance(Calendar,X2917,NDays&amp;"D")</f>
        <v>59670</v>
      </c>
      <c r="Z2917" s="174" t="e">
        <v>#N/A</v>
      </c>
      <c r="AA2917" s="177"/>
    </row>
    <row r="2918" spans="22:27" x14ac:dyDescent="0.2">
      <c r="V2918" s="163"/>
      <c r="W2918" s="158" t="str">
        <f t="shared" si="57"/>
        <v>1w</v>
      </c>
      <c r="X2918" s="168">
        <f>_xll.qlCalendarAdvance(Calendar,X2917,W2918,"f",FALSE)</f>
        <v>59677</v>
      </c>
      <c r="Y2918" s="173">
        <f>_xll.qlCalendarAdvance(Calendar,X2918,NDays&amp;"D")</f>
        <v>59677</v>
      </c>
      <c r="Z2918" s="174" t="e">
        <v>#N/A</v>
      </c>
      <c r="AA2918" s="177"/>
    </row>
    <row r="2919" spans="22:27" x14ac:dyDescent="0.2">
      <c r="V2919" s="163"/>
      <c r="W2919" s="158" t="str">
        <f t="shared" si="57"/>
        <v>1w</v>
      </c>
      <c r="X2919" s="168">
        <f>_xll.qlCalendarAdvance(Calendar,X2918,W2919,"f",FALSE)</f>
        <v>59684</v>
      </c>
      <c r="Y2919" s="173">
        <f>_xll.qlCalendarAdvance(Calendar,X2919,NDays&amp;"D")</f>
        <v>59684</v>
      </c>
      <c r="Z2919" s="174" t="e">
        <v>#N/A</v>
      </c>
      <c r="AA2919" s="177"/>
    </row>
    <row r="2920" spans="22:27" x14ac:dyDescent="0.2">
      <c r="V2920" s="163"/>
      <c r="W2920" s="158" t="str">
        <f t="shared" si="57"/>
        <v>1w</v>
      </c>
      <c r="X2920" s="168">
        <f>_xll.qlCalendarAdvance(Calendar,X2919,W2920,"f",FALSE)</f>
        <v>59691</v>
      </c>
      <c r="Y2920" s="173">
        <f>_xll.qlCalendarAdvance(Calendar,X2920,NDays&amp;"D")</f>
        <v>59691</v>
      </c>
      <c r="Z2920" s="174" t="e">
        <v>#N/A</v>
      </c>
      <c r="AA2920" s="177"/>
    </row>
    <row r="2921" spans="22:27" x14ac:dyDescent="0.2">
      <c r="V2921" s="163"/>
      <c r="W2921" s="158" t="str">
        <f t="shared" si="57"/>
        <v>1w</v>
      </c>
      <c r="X2921" s="168">
        <f>_xll.qlCalendarAdvance(Calendar,X2920,W2921,"f",FALSE)</f>
        <v>59698</v>
      </c>
      <c r="Y2921" s="173">
        <f>_xll.qlCalendarAdvance(Calendar,X2921,NDays&amp;"D")</f>
        <v>59698</v>
      </c>
      <c r="Z2921" s="174" t="e">
        <v>#N/A</v>
      </c>
      <c r="AA2921" s="177"/>
    </row>
    <row r="2922" spans="22:27" x14ac:dyDescent="0.2">
      <c r="V2922" s="163"/>
      <c r="W2922" s="158" t="str">
        <f t="shared" si="57"/>
        <v>1w</v>
      </c>
      <c r="X2922" s="168">
        <f>_xll.qlCalendarAdvance(Calendar,X2921,W2922,"f",FALSE)</f>
        <v>59705</v>
      </c>
      <c r="Y2922" s="173">
        <f>_xll.qlCalendarAdvance(Calendar,X2922,NDays&amp;"D")</f>
        <v>59705</v>
      </c>
      <c r="Z2922" s="174" t="e">
        <v>#N/A</v>
      </c>
      <c r="AA2922" s="177"/>
    </row>
    <row r="2923" spans="22:27" x14ac:dyDescent="0.2">
      <c r="V2923" s="163"/>
      <c r="W2923" s="158" t="str">
        <f t="shared" si="57"/>
        <v>1w</v>
      </c>
      <c r="X2923" s="168">
        <f>_xll.qlCalendarAdvance(Calendar,X2922,W2923,"f",FALSE)</f>
        <v>59712</v>
      </c>
      <c r="Y2923" s="173">
        <f>_xll.qlCalendarAdvance(Calendar,X2923,NDays&amp;"D")</f>
        <v>59712</v>
      </c>
      <c r="Z2923" s="174" t="e">
        <v>#N/A</v>
      </c>
      <c r="AA2923" s="177"/>
    </row>
    <row r="2924" spans="22:27" x14ac:dyDescent="0.2">
      <c r="V2924" s="163"/>
      <c r="W2924" s="158" t="str">
        <f t="shared" si="57"/>
        <v>1w</v>
      </c>
      <c r="X2924" s="168">
        <f>_xll.qlCalendarAdvance(Calendar,X2923,W2924,"f",FALSE)</f>
        <v>59719</v>
      </c>
      <c r="Y2924" s="173">
        <f>_xll.qlCalendarAdvance(Calendar,X2924,NDays&amp;"D")</f>
        <v>59719</v>
      </c>
      <c r="Z2924" s="174" t="e">
        <v>#N/A</v>
      </c>
      <c r="AA2924" s="177"/>
    </row>
    <row r="2925" spans="22:27" x14ac:dyDescent="0.2">
      <c r="V2925" s="163"/>
      <c r="W2925" s="158" t="str">
        <f t="shared" si="57"/>
        <v>1w</v>
      </c>
      <c r="X2925" s="168">
        <f>_xll.qlCalendarAdvance(Calendar,X2924,W2925,"f",FALSE)</f>
        <v>59726</v>
      </c>
      <c r="Y2925" s="173">
        <f>_xll.qlCalendarAdvance(Calendar,X2925,NDays&amp;"D")</f>
        <v>59726</v>
      </c>
      <c r="Z2925" s="174" t="e">
        <v>#N/A</v>
      </c>
      <c r="AA2925" s="177"/>
    </row>
    <row r="2926" spans="22:27" x14ac:dyDescent="0.2">
      <c r="V2926" s="163"/>
      <c r="W2926" s="158" t="str">
        <f t="shared" si="57"/>
        <v>1w</v>
      </c>
      <c r="X2926" s="168">
        <f>_xll.qlCalendarAdvance(Calendar,X2925,W2926,"f",FALSE)</f>
        <v>59734</v>
      </c>
      <c r="Y2926" s="173">
        <f>_xll.qlCalendarAdvance(Calendar,X2926,NDays&amp;"D")</f>
        <v>59734</v>
      </c>
      <c r="Z2926" s="174" t="e">
        <v>#N/A</v>
      </c>
      <c r="AA2926" s="177"/>
    </row>
    <row r="2927" spans="22:27" x14ac:dyDescent="0.2">
      <c r="V2927" s="163"/>
      <c r="W2927" s="158" t="str">
        <f t="shared" si="57"/>
        <v>1w</v>
      </c>
      <c r="X2927" s="168">
        <f>_xll.qlCalendarAdvance(Calendar,X2926,W2927,"f",FALSE)</f>
        <v>59741</v>
      </c>
      <c r="Y2927" s="173">
        <f>_xll.qlCalendarAdvance(Calendar,X2927,NDays&amp;"D")</f>
        <v>59741</v>
      </c>
      <c r="Z2927" s="174" t="e">
        <v>#N/A</v>
      </c>
      <c r="AA2927" s="177"/>
    </row>
    <row r="2928" spans="22:27" x14ac:dyDescent="0.2">
      <c r="V2928" s="163"/>
      <c r="W2928" s="158" t="str">
        <f t="shared" si="57"/>
        <v>1w</v>
      </c>
      <c r="X2928" s="168">
        <f>_xll.qlCalendarAdvance(Calendar,X2927,W2928,"f",FALSE)</f>
        <v>59748</v>
      </c>
      <c r="Y2928" s="173">
        <f>_xll.qlCalendarAdvance(Calendar,X2928,NDays&amp;"D")</f>
        <v>59748</v>
      </c>
      <c r="Z2928" s="174" t="e">
        <v>#N/A</v>
      </c>
      <c r="AA2928" s="177"/>
    </row>
    <row r="2929" spans="22:27" x14ac:dyDescent="0.2">
      <c r="V2929" s="163"/>
      <c r="W2929" s="158" t="str">
        <f t="shared" si="57"/>
        <v>1w</v>
      </c>
      <c r="X2929" s="168">
        <f>_xll.qlCalendarAdvance(Calendar,X2928,W2929,"f",FALSE)</f>
        <v>59755</v>
      </c>
      <c r="Y2929" s="173">
        <f>_xll.qlCalendarAdvance(Calendar,X2929,NDays&amp;"D")</f>
        <v>59755</v>
      </c>
      <c r="Z2929" s="174" t="e">
        <v>#N/A</v>
      </c>
      <c r="AA2929" s="177"/>
    </row>
    <row r="2930" spans="22:27" x14ac:dyDescent="0.2">
      <c r="V2930" s="163"/>
      <c r="W2930" s="158" t="str">
        <f t="shared" si="57"/>
        <v>1w</v>
      </c>
      <c r="X2930" s="168">
        <f>_xll.qlCalendarAdvance(Calendar,X2929,W2930,"f",FALSE)</f>
        <v>59762</v>
      </c>
      <c r="Y2930" s="173">
        <f>_xll.qlCalendarAdvance(Calendar,X2930,NDays&amp;"D")</f>
        <v>59762</v>
      </c>
      <c r="Z2930" s="174" t="e">
        <v>#N/A</v>
      </c>
      <c r="AA2930" s="177"/>
    </row>
    <row r="2931" spans="22:27" x14ac:dyDescent="0.2">
      <c r="V2931" s="163"/>
      <c r="W2931" s="158" t="str">
        <f t="shared" si="57"/>
        <v>1w</v>
      </c>
      <c r="X2931" s="168">
        <f>_xll.qlCalendarAdvance(Calendar,X2930,W2931,"f",FALSE)</f>
        <v>59769</v>
      </c>
      <c r="Y2931" s="173">
        <f>_xll.qlCalendarAdvance(Calendar,X2931,NDays&amp;"D")</f>
        <v>59769</v>
      </c>
      <c r="Z2931" s="174" t="e">
        <v>#N/A</v>
      </c>
      <c r="AA2931" s="177"/>
    </row>
    <row r="2932" spans="22:27" x14ac:dyDescent="0.2">
      <c r="V2932" s="163"/>
      <c r="W2932" s="158" t="str">
        <f t="shared" si="57"/>
        <v>1w</v>
      </c>
      <c r="X2932" s="168">
        <f>_xll.qlCalendarAdvance(Calendar,X2931,W2932,"f",FALSE)</f>
        <v>59776</v>
      </c>
      <c r="Y2932" s="173">
        <f>_xll.qlCalendarAdvance(Calendar,X2932,NDays&amp;"D")</f>
        <v>59776</v>
      </c>
      <c r="Z2932" s="174" t="e">
        <v>#N/A</v>
      </c>
      <c r="AA2932" s="177"/>
    </row>
    <row r="2933" spans="22:27" x14ac:dyDescent="0.2">
      <c r="V2933" s="163"/>
      <c r="W2933" s="158" t="str">
        <f t="shared" si="57"/>
        <v>1w</v>
      </c>
      <c r="X2933" s="168">
        <f>_xll.qlCalendarAdvance(Calendar,X2932,W2933,"f",FALSE)</f>
        <v>59783</v>
      </c>
      <c r="Y2933" s="173">
        <f>_xll.qlCalendarAdvance(Calendar,X2933,NDays&amp;"D")</f>
        <v>59783</v>
      </c>
      <c r="Z2933" s="174" t="e">
        <v>#N/A</v>
      </c>
      <c r="AA2933" s="177"/>
    </row>
    <row r="2934" spans="22:27" x14ac:dyDescent="0.2">
      <c r="V2934" s="163"/>
      <c r="W2934" s="158" t="str">
        <f t="shared" si="57"/>
        <v>1w</v>
      </c>
      <c r="X2934" s="168">
        <f>_xll.qlCalendarAdvance(Calendar,X2933,W2934,"f",FALSE)</f>
        <v>59790</v>
      </c>
      <c r="Y2934" s="173">
        <f>_xll.qlCalendarAdvance(Calendar,X2934,NDays&amp;"D")</f>
        <v>59790</v>
      </c>
      <c r="Z2934" s="174" t="e">
        <v>#N/A</v>
      </c>
      <c r="AA2934" s="177"/>
    </row>
    <row r="2935" spans="22:27" x14ac:dyDescent="0.2">
      <c r="V2935" s="163"/>
      <c r="W2935" s="158" t="str">
        <f t="shared" si="57"/>
        <v>1w</v>
      </c>
      <c r="X2935" s="168">
        <f>_xll.qlCalendarAdvance(Calendar,X2934,W2935,"f",FALSE)</f>
        <v>59797</v>
      </c>
      <c r="Y2935" s="173">
        <f>_xll.qlCalendarAdvance(Calendar,X2935,NDays&amp;"D")</f>
        <v>59797</v>
      </c>
      <c r="Z2935" s="174" t="e">
        <v>#N/A</v>
      </c>
      <c r="AA2935" s="177"/>
    </row>
    <row r="2936" spans="22:27" x14ac:dyDescent="0.2">
      <c r="V2936" s="163"/>
      <c r="W2936" s="158" t="str">
        <f t="shared" si="57"/>
        <v>1w</v>
      </c>
      <c r="X2936" s="168">
        <f>_xll.qlCalendarAdvance(Calendar,X2935,W2936,"f",FALSE)</f>
        <v>59804</v>
      </c>
      <c r="Y2936" s="173">
        <f>_xll.qlCalendarAdvance(Calendar,X2936,NDays&amp;"D")</f>
        <v>59804</v>
      </c>
      <c r="Z2936" s="174" t="e">
        <v>#N/A</v>
      </c>
      <c r="AA2936" s="177"/>
    </row>
    <row r="2937" spans="22:27" x14ac:dyDescent="0.2">
      <c r="V2937" s="163"/>
      <c r="W2937" s="158" t="str">
        <f t="shared" si="57"/>
        <v>1w</v>
      </c>
      <c r="X2937" s="168">
        <f>_xll.qlCalendarAdvance(Calendar,X2936,W2937,"f",FALSE)</f>
        <v>59811</v>
      </c>
      <c r="Y2937" s="173">
        <f>_xll.qlCalendarAdvance(Calendar,X2937,NDays&amp;"D")</f>
        <v>59811</v>
      </c>
      <c r="Z2937" s="174" t="e">
        <v>#N/A</v>
      </c>
      <c r="AA2937" s="177"/>
    </row>
    <row r="2938" spans="22:27" x14ac:dyDescent="0.2">
      <c r="V2938" s="163"/>
      <c r="W2938" s="158" t="str">
        <f t="shared" si="57"/>
        <v>1w</v>
      </c>
      <c r="X2938" s="168">
        <f>_xll.qlCalendarAdvance(Calendar,X2937,W2938,"f",FALSE)</f>
        <v>59818</v>
      </c>
      <c r="Y2938" s="173">
        <f>_xll.qlCalendarAdvance(Calendar,X2938,NDays&amp;"D")</f>
        <v>59818</v>
      </c>
      <c r="Z2938" s="174" t="e">
        <v>#N/A</v>
      </c>
      <c r="AA2938" s="177"/>
    </row>
    <row r="2939" spans="22:27" x14ac:dyDescent="0.2">
      <c r="V2939" s="163"/>
      <c r="W2939" s="158" t="str">
        <f t="shared" si="57"/>
        <v>1w</v>
      </c>
      <c r="X2939" s="168">
        <f>_xll.qlCalendarAdvance(Calendar,X2938,W2939,"f",FALSE)</f>
        <v>59825</v>
      </c>
      <c r="Y2939" s="173">
        <f>_xll.qlCalendarAdvance(Calendar,X2939,NDays&amp;"D")</f>
        <v>59825</v>
      </c>
      <c r="Z2939" s="174" t="e">
        <v>#N/A</v>
      </c>
      <c r="AA2939" s="177"/>
    </row>
    <row r="2940" spans="22:27" x14ac:dyDescent="0.2">
      <c r="V2940" s="163"/>
      <c r="W2940" s="158" t="str">
        <f t="shared" si="57"/>
        <v>1w</v>
      </c>
      <c r="X2940" s="168">
        <f>_xll.qlCalendarAdvance(Calendar,X2939,W2940,"f",FALSE)</f>
        <v>59832</v>
      </c>
      <c r="Y2940" s="173">
        <f>_xll.qlCalendarAdvance(Calendar,X2940,NDays&amp;"D")</f>
        <v>59832</v>
      </c>
      <c r="Z2940" s="174" t="e">
        <v>#N/A</v>
      </c>
      <c r="AA2940" s="177"/>
    </row>
    <row r="2941" spans="22:27" x14ac:dyDescent="0.2">
      <c r="V2941" s="163"/>
      <c r="W2941" s="158" t="str">
        <f t="shared" si="57"/>
        <v>1w</v>
      </c>
      <c r="X2941" s="168">
        <f>_xll.qlCalendarAdvance(Calendar,X2940,W2941,"f",FALSE)</f>
        <v>59839</v>
      </c>
      <c r="Y2941" s="173">
        <f>_xll.qlCalendarAdvance(Calendar,X2941,NDays&amp;"D")</f>
        <v>59839</v>
      </c>
      <c r="Z2941" s="174" t="e">
        <v>#N/A</v>
      </c>
      <c r="AA2941" s="177"/>
    </row>
    <row r="2942" spans="22:27" x14ac:dyDescent="0.2">
      <c r="V2942" s="163"/>
      <c r="W2942" s="158" t="str">
        <f t="shared" si="57"/>
        <v>1w</v>
      </c>
      <c r="X2942" s="168">
        <f>_xll.qlCalendarAdvance(Calendar,X2941,W2942,"f",FALSE)</f>
        <v>59846</v>
      </c>
      <c r="Y2942" s="173">
        <f>_xll.qlCalendarAdvance(Calendar,X2942,NDays&amp;"D")</f>
        <v>59846</v>
      </c>
      <c r="Z2942" s="174" t="e">
        <v>#N/A</v>
      </c>
      <c r="AA2942" s="177"/>
    </row>
    <row r="2943" spans="22:27" x14ac:dyDescent="0.2">
      <c r="V2943" s="163"/>
      <c r="W2943" s="158" t="str">
        <f t="shared" si="57"/>
        <v>1w</v>
      </c>
      <c r="X2943" s="168">
        <f>_xll.qlCalendarAdvance(Calendar,X2942,W2943,"f",FALSE)</f>
        <v>59853</v>
      </c>
      <c r="Y2943" s="173">
        <f>_xll.qlCalendarAdvance(Calendar,X2943,NDays&amp;"D")</f>
        <v>59853</v>
      </c>
      <c r="Z2943" s="174" t="e">
        <v>#N/A</v>
      </c>
      <c r="AA2943" s="177"/>
    </row>
    <row r="2944" spans="22:27" x14ac:dyDescent="0.2">
      <c r="V2944" s="163"/>
      <c r="W2944" s="158" t="str">
        <f t="shared" si="57"/>
        <v>1w</v>
      </c>
      <c r="X2944" s="168">
        <f>_xll.qlCalendarAdvance(Calendar,X2943,W2944,"f",FALSE)</f>
        <v>59860</v>
      </c>
      <c r="Y2944" s="173">
        <f>_xll.qlCalendarAdvance(Calendar,X2944,NDays&amp;"D")</f>
        <v>59860</v>
      </c>
      <c r="Z2944" s="174" t="e">
        <v>#N/A</v>
      </c>
      <c r="AA2944" s="177"/>
    </row>
    <row r="2945" spans="22:27" x14ac:dyDescent="0.2">
      <c r="V2945" s="163"/>
      <c r="W2945" s="158" t="str">
        <f t="shared" si="57"/>
        <v>1w</v>
      </c>
      <c r="X2945" s="168">
        <f>_xll.qlCalendarAdvance(Calendar,X2944,W2945,"f",FALSE)</f>
        <v>59867</v>
      </c>
      <c r="Y2945" s="173">
        <f>_xll.qlCalendarAdvance(Calendar,X2945,NDays&amp;"D")</f>
        <v>59867</v>
      </c>
      <c r="Z2945" s="174" t="e">
        <v>#N/A</v>
      </c>
      <c r="AA2945" s="177"/>
    </row>
    <row r="2946" spans="22:27" x14ac:dyDescent="0.2">
      <c r="V2946" s="163"/>
      <c r="W2946" s="158" t="str">
        <f t="shared" si="57"/>
        <v>1w</v>
      </c>
      <c r="X2946" s="168">
        <f>_xll.qlCalendarAdvance(Calendar,X2945,W2946,"f",FALSE)</f>
        <v>59874</v>
      </c>
      <c r="Y2946" s="173">
        <f>_xll.qlCalendarAdvance(Calendar,X2946,NDays&amp;"D")</f>
        <v>59874</v>
      </c>
      <c r="Z2946" s="174" t="e">
        <v>#N/A</v>
      </c>
      <c r="AA2946" s="177"/>
    </row>
    <row r="2947" spans="22:27" x14ac:dyDescent="0.2">
      <c r="V2947" s="163"/>
      <c r="W2947" s="158" t="str">
        <f t="shared" si="57"/>
        <v>1w</v>
      </c>
      <c r="X2947" s="168">
        <f>_xll.qlCalendarAdvance(Calendar,X2946,W2947,"f",FALSE)</f>
        <v>59881</v>
      </c>
      <c r="Y2947" s="173">
        <f>_xll.qlCalendarAdvance(Calendar,X2947,NDays&amp;"D")</f>
        <v>59881</v>
      </c>
      <c r="Z2947" s="174" t="e">
        <v>#N/A</v>
      </c>
      <c r="AA2947" s="177"/>
    </row>
    <row r="2948" spans="22:27" x14ac:dyDescent="0.2">
      <c r="V2948" s="163"/>
      <c r="W2948" s="158" t="str">
        <f t="shared" si="57"/>
        <v>1w</v>
      </c>
      <c r="X2948" s="168">
        <f>_xll.qlCalendarAdvance(Calendar,X2947,W2948,"f",FALSE)</f>
        <v>59888</v>
      </c>
      <c r="Y2948" s="173">
        <f>_xll.qlCalendarAdvance(Calendar,X2948,NDays&amp;"D")</f>
        <v>59888</v>
      </c>
      <c r="Z2948" s="174" t="e">
        <v>#N/A</v>
      </c>
      <c r="AA2948" s="177"/>
    </row>
    <row r="2949" spans="22:27" x14ac:dyDescent="0.2">
      <c r="V2949" s="163"/>
      <c r="W2949" s="158" t="str">
        <f t="shared" si="57"/>
        <v>1w</v>
      </c>
      <c r="X2949" s="168">
        <f>_xll.qlCalendarAdvance(Calendar,X2948,W2949,"f",FALSE)</f>
        <v>59895</v>
      </c>
      <c r="Y2949" s="173">
        <f>_xll.qlCalendarAdvance(Calendar,X2949,NDays&amp;"D")</f>
        <v>59895</v>
      </c>
      <c r="Z2949" s="174" t="e">
        <v>#N/A</v>
      </c>
      <c r="AA2949" s="177"/>
    </row>
    <row r="2950" spans="22:27" x14ac:dyDescent="0.2">
      <c r="V2950" s="163"/>
      <c r="W2950" s="158" t="str">
        <f t="shared" si="57"/>
        <v>1w</v>
      </c>
      <c r="X2950" s="168">
        <f>_xll.qlCalendarAdvance(Calendar,X2949,W2950,"f",FALSE)</f>
        <v>59905</v>
      </c>
      <c r="Y2950" s="173">
        <f>_xll.qlCalendarAdvance(Calendar,X2950,NDays&amp;"D")</f>
        <v>59905</v>
      </c>
      <c r="Z2950" s="174" t="e">
        <v>#N/A</v>
      </c>
      <c r="AA2950" s="177"/>
    </row>
    <row r="2951" spans="22:27" x14ac:dyDescent="0.2">
      <c r="V2951" s="163"/>
      <c r="W2951" s="158" t="str">
        <f t="shared" si="57"/>
        <v>1w</v>
      </c>
      <c r="X2951" s="168">
        <f>_xll.qlCalendarAdvance(Calendar,X2950,W2951,"f",FALSE)</f>
        <v>59912</v>
      </c>
      <c r="Y2951" s="173">
        <f>_xll.qlCalendarAdvance(Calendar,X2951,NDays&amp;"D")</f>
        <v>59912</v>
      </c>
      <c r="Z2951" s="174" t="e">
        <v>#N/A</v>
      </c>
      <c r="AA2951" s="177"/>
    </row>
    <row r="2952" spans="22:27" x14ac:dyDescent="0.2">
      <c r="V2952" s="163"/>
      <c r="W2952" s="158" t="str">
        <f t="shared" si="57"/>
        <v>1w</v>
      </c>
      <c r="X2952" s="168">
        <f>_xll.qlCalendarAdvance(Calendar,X2951,W2952,"f",FALSE)</f>
        <v>59919</v>
      </c>
      <c r="Y2952" s="173">
        <f>_xll.qlCalendarAdvance(Calendar,X2952,NDays&amp;"D")</f>
        <v>59919</v>
      </c>
      <c r="Z2952" s="174" t="e">
        <v>#N/A</v>
      </c>
      <c r="AA2952" s="177"/>
    </row>
    <row r="2953" spans="22:27" x14ac:dyDescent="0.2">
      <c r="V2953" s="163"/>
      <c r="W2953" s="158" t="str">
        <f t="shared" si="57"/>
        <v>1w</v>
      </c>
      <c r="X2953" s="168">
        <f>_xll.qlCalendarAdvance(Calendar,X2952,W2953,"f",FALSE)</f>
        <v>59926</v>
      </c>
      <c r="Y2953" s="173">
        <f>_xll.qlCalendarAdvance(Calendar,X2953,NDays&amp;"D")</f>
        <v>59926</v>
      </c>
      <c r="Z2953" s="174" t="e">
        <v>#N/A</v>
      </c>
      <c r="AA2953" s="177"/>
    </row>
    <row r="2954" spans="22:27" x14ac:dyDescent="0.2">
      <c r="V2954" s="163"/>
      <c r="W2954" s="158" t="str">
        <f t="shared" si="57"/>
        <v>1w</v>
      </c>
      <c r="X2954" s="168">
        <f>_xll.qlCalendarAdvance(Calendar,X2953,W2954,"f",FALSE)</f>
        <v>59933</v>
      </c>
      <c r="Y2954" s="173">
        <f>_xll.qlCalendarAdvance(Calendar,X2954,NDays&amp;"D")</f>
        <v>59933</v>
      </c>
      <c r="Z2954" s="174" t="e">
        <v>#N/A</v>
      </c>
      <c r="AA2954" s="177"/>
    </row>
    <row r="2955" spans="22:27" x14ac:dyDescent="0.2">
      <c r="V2955" s="163"/>
      <c r="W2955" s="158" t="str">
        <f t="shared" si="57"/>
        <v>1w</v>
      </c>
      <c r="X2955" s="168">
        <f>_xll.qlCalendarAdvance(Calendar,X2954,W2955,"f",FALSE)</f>
        <v>59940</v>
      </c>
      <c r="Y2955" s="173">
        <f>_xll.qlCalendarAdvance(Calendar,X2955,NDays&amp;"D")</f>
        <v>59940</v>
      </c>
      <c r="Z2955" s="174" t="e">
        <v>#N/A</v>
      </c>
      <c r="AA2955" s="177"/>
    </row>
    <row r="2956" spans="22:27" x14ac:dyDescent="0.2">
      <c r="V2956" s="163"/>
      <c r="W2956" s="158" t="str">
        <f t="shared" si="57"/>
        <v>1w</v>
      </c>
      <c r="X2956" s="168">
        <f>_xll.qlCalendarAdvance(Calendar,X2955,W2956,"f",FALSE)</f>
        <v>59947</v>
      </c>
      <c r="Y2956" s="173">
        <f>_xll.qlCalendarAdvance(Calendar,X2956,NDays&amp;"D")</f>
        <v>59947</v>
      </c>
      <c r="Z2956" s="174" t="e">
        <v>#N/A</v>
      </c>
      <c r="AA2956" s="177"/>
    </row>
    <row r="2957" spans="22:27" x14ac:dyDescent="0.2">
      <c r="V2957" s="163"/>
      <c r="W2957" s="158" t="str">
        <f t="shared" ref="W2957:W3020" si="58">W2956</f>
        <v>1w</v>
      </c>
      <c r="X2957" s="168">
        <f>_xll.qlCalendarAdvance(Calendar,X2956,W2957,"f",FALSE)</f>
        <v>59954</v>
      </c>
      <c r="Y2957" s="173">
        <f>_xll.qlCalendarAdvance(Calendar,X2957,NDays&amp;"D")</f>
        <v>59954</v>
      </c>
      <c r="Z2957" s="174" t="e">
        <v>#N/A</v>
      </c>
      <c r="AA2957" s="177"/>
    </row>
    <row r="2958" spans="22:27" x14ac:dyDescent="0.2">
      <c r="V2958" s="163"/>
      <c r="W2958" s="158" t="str">
        <f t="shared" si="58"/>
        <v>1w</v>
      </c>
      <c r="X2958" s="168">
        <f>_xll.qlCalendarAdvance(Calendar,X2957,W2958,"f",FALSE)</f>
        <v>59961</v>
      </c>
      <c r="Y2958" s="173">
        <f>_xll.qlCalendarAdvance(Calendar,X2958,NDays&amp;"D")</f>
        <v>59961</v>
      </c>
      <c r="Z2958" s="174" t="e">
        <v>#N/A</v>
      </c>
      <c r="AA2958" s="177"/>
    </row>
    <row r="2959" spans="22:27" x14ac:dyDescent="0.2">
      <c r="V2959" s="163"/>
      <c r="W2959" s="158" t="str">
        <f t="shared" si="58"/>
        <v>1w</v>
      </c>
      <c r="X2959" s="168">
        <f>_xll.qlCalendarAdvance(Calendar,X2958,W2959,"f",FALSE)</f>
        <v>59968</v>
      </c>
      <c r="Y2959" s="173">
        <f>_xll.qlCalendarAdvance(Calendar,X2959,NDays&amp;"D")</f>
        <v>59968</v>
      </c>
      <c r="Z2959" s="174" t="e">
        <v>#N/A</v>
      </c>
      <c r="AA2959" s="177"/>
    </row>
    <row r="2960" spans="22:27" x14ac:dyDescent="0.2">
      <c r="V2960" s="163"/>
      <c r="W2960" s="158" t="str">
        <f t="shared" si="58"/>
        <v>1w</v>
      </c>
      <c r="X2960" s="168">
        <f>_xll.qlCalendarAdvance(Calendar,X2959,W2960,"f",FALSE)</f>
        <v>59975</v>
      </c>
      <c r="Y2960" s="173">
        <f>_xll.qlCalendarAdvance(Calendar,X2960,NDays&amp;"D")</f>
        <v>59975</v>
      </c>
      <c r="Z2960" s="174" t="e">
        <v>#N/A</v>
      </c>
      <c r="AA2960" s="177"/>
    </row>
    <row r="2961" spans="22:27" x14ac:dyDescent="0.2">
      <c r="V2961" s="163"/>
      <c r="W2961" s="158" t="str">
        <f t="shared" si="58"/>
        <v>1w</v>
      </c>
      <c r="X2961" s="168">
        <f>_xll.qlCalendarAdvance(Calendar,X2960,W2961,"f",FALSE)</f>
        <v>59982</v>
      </c>
      <c r="Y2961" s="173">
        <f>_xll.qlCalendarAdvance(Calendar,X2961,NDays&amp;"D")</f>
        <v>59982</v>
      </c>
      <c r="Z2961" s="174" t="e">
        <v>#N/A</v>
      </c>
      <c r="AA2961" s="177"/>
    </row>
    <row r="2962" spans="22:27" x14ac:dyDescent="0.2">
      <c r="V2962" s="163"/>
      <c r="W2962" s="158" t="str">
        <f t="shared" si="58"/>
        <v>1w</v>
      </c>
      <c r="X2962" s="168">
        <f>_xll.qlCalendarAdvance(Calendar,X2961,W2962,"f",FALSE)</f>
        <v>59989</v>
      </c>
      <c r="Y2962" s="173">
        <f>_xll.qlCalendarAdvance(Calendar,X2962,NDays&amp;"D")</f>
        <v>59989</v>
      </c>
      <c r="Z2962" s="174" t="e">
        <v>#N/A</v>
      </c>
      <c r="AA2962" s="177"/>
    </row>
    <row r="2963" spans="22:27" x14ac:dyDescent="0.2">
      <c r="V2963" s="163"/>
      <c r="W2963" s="158" t="str">
        <f t="shared" si="58"/>
        <v>1w</v>
      </c>
      <c r="X2963" s="168">
        <f>_xll.qlCalendarAdvance(Calendar,X2962,W2963,"f",FALSE)</f>
        <v>59996</v>
      </c>
      <c r="Y2963" s="173">
        <f>_xll.qlCalendarAdvance(Calendar,X2963,NDays&amp;"D")</f>
        <v>59996</v>
      </c>
      <c r="Z2963" s="174" t="e">
        <v>#N/A</v>
      </c>
      <c r="AA2963" s="177"/>
    </row>
    <row r="2964" spans="22:27" x14ac:dyDescent="0.2">
      <c r="V2964" s="163"/>
      <c r="W2964" s="158" t="str">
        <f t="shared" si="58"/>
        <v>1w</v>
      </c>
      <c r="X2964" s="168">
        <f>_xll.qlCalendarAdvance(Calendar,X2963,W2964,"f",FALSE)</f>
        <v>60003</v>
      </c>
      <c r="Y2964" s="173">
        <f>_xll.qlCalendarAdvance(Calendar,X2964,NDays&amp;"D")</f>
        <v>60003</v>
      </c>
      <c r="Z2964" s="174" t="e">
        <v>#N/A</v>
      </c>
      <c r="AA2964" s="177"/>
    </row>
    <row r="2965" spans="22:27" x14ac:dyDescent="0.2">
      <c r="V2965" s="163"/>
      <c r="W2965" s="158" t="str">
        <f t="shared" si="58"/>
        <v>1w</v>
      </c>
      <c r="X2965" s="168">
        <f>_xll.qlCalendarAdvance(Calendar,X2964,W2965,"f",FALSE)</f>
        <v>60010</v>
      </c>
      <c r="Y2965" s="173">
        <f>_xll.qlCalendarAdvance(Calendar,X2965,NDays&amp;"D")</f>
        <v>60010</v>
      </c>
      <c r="Z2965" s="174" t="e">
        <v>#N/A</v>
      </c>
      <c r="AA2965" s="177"/>
    </row>
    <row r="2966" spans="22:27" x14ac:dyDescent="0.2">
      <c r="V2966" s="163"/>
      <c r="W2966" s="158" t="str">
        <f t="shared" si="58"/>
        <v>1w</v>
      </c>
      <c r="X2966" s="168">
        <f>_xll.qlCalendarAdvance(Calendar,X2965,W2966,"f",FALSE)</f>
        <v>60017</v>
      </c>
      <c r="Y2966" s="173">
        <f>_xll.qlCalendarAdvance(Calendar,X2966,NDays&amp;"D")</f>
        <v>60017</v>
      </c>
      <c r="Z2966" s="174" t="e">
        <v>#N/A</v>
      </c>
      <c r="AA2966" s="177"/>
    </row>
    <row r="2967" spans="22:27" x14ac:dyDescent="0.2">
      <c r="V2967" s="163"/>
      <c r="W2967" s="158" t="str">
        <f t="shared" si="58"/>
        <v>1w</v>
      </c>
      <c r="X2967" s="168">
        <f>_xll.qlCalendarAdvance(Calendar,X2966,W2967,"f",FALSE)</f>
        <v>60024</v>
      </c>
      <c r="Y2967" s="173">
        <f>_xll.qlCalendarAdvance(Calendar,X2967,NDays&amp;"D")</f>
        <v>60024</v>
      </c>
      <c r="Z2967" s="174" t="e">
        <v>#N/A</v>
      </c>
      <c r="AA2967" s="177"/>
    </row>
    <row r="2968" spans="22:27" x14ac:dyDescent="0.2">
      <c r="V2968" s="163"/>
      <c r="W2968" s="158" t="str">
        <f t="shared" si="58"/>
        <v>1w</v>
      </c>
      <c r="X2968" s="168">
        <f>_xll.qlCalendarAdvance(Calendar,X2967,W2968,"f",FALSE)</f>
        <v>60031</v>
      </c>
      <c r="Y2968" s="173">
        <f>_xll.qlCalendarAdvance(Calendar,X2968,NDays&amp;"D")</f>
        <v>60031</v>
      </c>
      <c r="Z2968" s="174" t="e">
        <v>#N/A</v>
      </c>
      <c r="AA2968" s="177"/>
    </row>
    <row r="2969" spans="22:27" x14ac:dyDescent="0.2">
      <c r="V2969" s="163"/>
      <c r="W2969" s="158" t="str">
        <f t="shared" si="58"/>
        <v>1w</v>
      </c>
      <c r="X2969" s="168">
        <f>_xll.qlCalendarAdvance(Calendar,X2968,W2969,"f",FALSE)</f>
        <v>60038</v>
      </c>
      <c r="Y2969" s="173">
        <f>_xll.qlCalendarAdvance(Calendar,X2969,NDays&amp;"D")</f>
        <v>60038</v>
      </c>
      <c r="Z2969" s="174" t="e">
        <v>#N/A</v>
      </c>
      <c r="AA2969" s="177"/>
    </row>
    <row r="2970" spans="22:27" x14ac:dyDescent="0.2">
      <c r="V2970" s="163"/>
      <c r="W2970" s="158" t="str">
        <f t="shared" si="58"/>
        <v>1w</v>
      </c>
      <c r="X2970" s="168">
        <f>_xll.qlCalendarAdvance(Calendar,X2969,W2970,"f",FALSE)</f>
        <v>60045</v>
      </c>
      <c r="Y2970" s="173">
        <f>_xll.qlCalendarAdvance(Calendar,X2970,NDays&amp;"D")</f>
        <v>60045</v>
      </c>
      <c r="Z2970" s="174" t="e">
        <v>#N/A</v>
      </c>
      <c r="AA2970" s="177"/>
    </row>
    <row r="2971" spans="22:27" x14ac:dyDescent="0.2">
      <c r="V2971" s="163"/>
      <c r="W2971" s="158" t="str">
        <f t="shared" si="58"/>
        <v>1w</v>
      </c>
      <c r="X2971" s="168">
        <f>_xll.qlCalendarAdvance(Calendar,X2970,W2971,"f",FALSE)</f>
        <v>60052</v>
      </c>
      <c r="Y2971" s="173">
        <f>_xll.qlCalendarAdvance(Calendar,X2971,NDays&amp;"D")</f>
        <v>60052</v>
      </c>
      <c r="Z2971" s="174" t="e">
        <v>#N/A</v>
      </c>
      <c r="AA2971" s="177"/>
    </row>
    <row r="2972" spans="22:27" x14ac:dyDescent="0.2">
      <c r="V2972" s="163"/>
      <c r="W2972" s="158" t="str">
        <f t="shared" si="58"/>
        <v>1w</v>
      </c>
      <c r="X2972" s="168">
        <f>_xll.qlCalendarAdvance(Calendar,X2971,W2972,"f",FALSE)</f>
        <v>60059</v>
      </c>
      <c r="Y2972" s="173">
        <f>_xll.qlCalendarAdvance(Calendar,X2972,NDays&amp;"D")</f>
        <v>60059</v>
      </c>
      <c r="Z2972" s="174" t="e">
        <v>#N/A</v>
      </c>
      <c r="AA2972" s="177"/>
    </row>
    <row r="2973" spans="22:27" x14ac:dyDescent="0.2">
      <c r="V2973" s="163"/>
      <c r="W2973" s="158" t="str">
        <f t="shared" si="58"/>
        <v>1w</v>
      </c>
      <c r="X2973" s="168">
        <f>_xll.qlCalendarAdvance(Calendar,X2972,W2973,"f",FALSE)</f>
        <v>60066</v>
      </c>
      <c r="Y2973" s="173">
        <f>_xll.qlCalendarAdvance(Calendar,X2973,NDays&amp;"D")</f>
        <v>60066</v>
      </c>
      <c r="Z2973" s="174" t="e">
        <v>#N/A</v>
      </c>
      <c r="AA2973" s="177"/>
    </row>
    <row r="2974" spans="22:27" x14ac:dyDescent="0.2">
      <c r="V2974" s="163"/>
      <c r="W2974" s="158" t="str">
        <f t="shared" si="58"/>
        <v>1w</v>
      </c>
      <c r="X2974" s="168">
        <f>_xll.qlCalendarAdvance(Calendar,X2973,W2974,"f",FALSE)</f>
        <v>60073</v>
      </c>
      <c r="Y2974" s="173">
        <f>_xll.qlCalendarAdvance(Calendar,X2974,NDays&amp;"D")</f>
        <v>60073</v>
      </c>
      <c r="Z2974" s="174" t="e">
        <v>#N/A</v>
      </c>
      <c r="AA2974" s="177"/>
    </row>
    <row r="2975" spans="22:27" x14ac:dyDescent="0.2">
      <c r="V2975" s="163"/>
      <c r="W2975" s="158" t="str">
        <f t="shared" si="58"/>
        <v>1w</v>
      </c>
      <c r="X2975" s="168">
        <f>_xll.qlCalendarAdvance(Calendar,X2974,W2975,"f",FALSE)</f>
        <v>60080</v>
      </c>
      <c r="Y2975" s="173">
        <f>_xll.qlCalendarAdvance(Calendar,X2975,NDays&amp;"D")</f>
        <v>60080</v>
      </c>
      <c r="Z2975" s="174" t="e">
        <v>#N/A</v>
      </c>
      <c r="AA2975" s="177"/>
    </row>
    <row r="2976" spans="22:27" x14ac:dyDescent="0.2">
      <c r="V2976" s="163"/>
      <c r="W2976" s="158" t="str">
        <f t="shared" si="58"/>
        <v>1w</v>
      </c>
      <c r="X2976" s="168">
        <f>_xll.qlCalendarAdvance(Calendar,X2975,W2976,"f",FALSE)</f>
        <v>60087</v>
      </c>
      <c r="Y2976" s="173">
        <f>_xll.qlCalendarAdvance(Calendar,X2976,NDays&amp;"D")</f>
        <v>60087</v>
      </c>
      <c r="Z2976" s="174" t="e">
        <v>#N/A</v>
      </c>
      <c r="AA2976" s="177"/>
    </row>
    <row r="2977" spans="22:27" x14ac:dyDescent="0.2">
      <c r="V2977" s="163"/>
      <c r="W2977" s="158" t="str">
        <f t="shared" si="58"/>
        <v>1w</v>
      </c>
      <c r="X2977" s="168">
        <f>_xll.qlCalendarAdvance(Calendar,X2976,W2977,"f",FALSE)</f>
        <v>60094</v>
      </c>
      <c r="Y2977" s="173">
        <f>_xll.qlCalendarAdvance(Calendar,X2977,NDays&amp;"D")</f>
        <v>60094</v>
      </c>
      <c r="Z2977" s="174" t="e">
        <v>#N/A</v>
      </c>
      <c r="AA2977" s="177"/>
    </row>
    <row r="2978" spans="22:27" x14ac:dyDescent="0.2">
      <c r="V2978" s="163"/>
      <c r="W2978" s="158" t="str">
        <f t="shared" si="58"/>
        <v>1w</v>
      </c>
      <c r="X2978" s="168">
        <f>_xll.qlCalendarAdvance(Calendar,X2977,W2978,"f",FALSE)</f>
        <v>60101</v>
      </c>
      <c r="Y2978" s="173">
        <f>_xll.qlCalendarAdvance(Calendar,X2978,NDays&amp;"D")</f>
        <v>60101</v>
      </c>
      <c r="Z2978" s="174" t="e">
        <v>#N/A</v>
      </c>
      <c r="AA2978" s="177"/>
    </row>
    <row r="2979" spans="22:27" x14ac:dyDescent="0.2">
      <c r="V2979" s="163"/>
      <c r="W2979" s="158" t="str">
        <f t="shared" si="58"/>
        <v>1w</v>
      </c>
      <c r="X2979" s="168">
        <f>_xll.qlCalendarAdvance(Calendar,X2978,W2979,"f",FALSE)</f>
        <v>60108</v>
      </c>
      <c r="Y2979" s="173">
        <f>_xll.qlCalendarAdvance(Calendar,X2979,NDays&amp;"D")</f>
        <v>60108</v>
      </c>
      <c r="Z2979" s="174" t="e">
        <v>#N/A</v>
      </c>
      <c r="AA2979" s="177"/>
    </row>
    <row r="2980" spans="22:27" x14ac:dyDescent="0.2">
      <c r="V2980" s="163"/>
      <c r="W2980" s="158" t="str">
        <f t="shared" si="58"/>
        <v>1w</v>
      </c>
      <c r="X2980" s="168">
        <f>_xll.qlCalendarAdvance(Calendar,X2979,W2980,"f",FALSE)</f>
        <v>60115</v>
      </c>
      <c r="Y2980" s="173">
        <f>_xll.qlCalendarAdvance(Calendar,X2980,NDays&amp;"D")</f>
        <v>60115</v>
      </c>
      <c r="Z2980" s="174" t="e">
        <v>#N/A</v>
      </c>
      <c r="AA2980" s="177"/>
    </row>
    <row r="2981" spans="22:27" x14ac:dyDescent="0.2">
      <c r="V2981" s="163"/>
      <c r="W2981" s="158" t="str">
        <f t="shared" si="58"/>
        <v>1w</v>
      </c>
      <c r="X2981" s="168">
        <f>_xll.qlCalendarAdvance(Calendar,X2980,W2981,"f",FALSE)</f>
        <v>60122</v>
      </c>
      <c r="Y2981" s="173">
        <f>_xll.qlCalendarAdvance(Calendar,X2981,NDays&amp;"D")</f>
        <v>60122</v>
      </c>
      <c r="Z2981" s="174" t="e">
        <v>#N/A</v>
      </c>
      <c r="AA2981" s="177"/>
    </row>
    <row r="2982" spans="22:27" x14ac:dyDescent="0.2">
      <c r="V2982" s="163"/>
      <c r="W2982" s="158" t="str">
        <f t="shared" si="58"/>
        <v>1w</v>
      </c>
      <c r="X2982" s="168">
        <f>_xll.qlCalendarAdvance(Calendar,X2981,W2982,"f",FALSE)</f>
        <v>60129</v>
      </c>
      <c r="Y2982" s="173">
        <f>_xll.qlCalendarAdvance(Calendar,X2982,NDays&amp;"D")</f>
        <v>60129</v>
      </c>
      <c r="Z2982" s="174" t="e">
        <v>#N/A</v>
      </c>
      <c r="AA2982" s="177"/>
    </row>
    <row r="2983" spans="22:27" x14ac:dyDescent="0.2">
      <c r="V2983" s="163"/>
      <c r="W2983" s="158" t="str">
        <f t="shared" si="58"/>
        <v>1w</v>
      </c>
      <c r="X2983" s="168">
        <f>_xll.qlCalendarAdvance(Calendar,X2982,W2983,"f",FALSE)</f>
        <v>60136</v>
      </c>
      <c r="Y2983" s="173">
        <f>_xll.qlCalendarAdvance(Calendar,X2983,NDays&amp;"D")</f>
        <v>60136</v>
      </c>
      <c r="Z2983" s="174" t="e">
        <v>#N/A</v>
      </c>
      <c r="AA2983" s="177"/>
    </row>
    <row r="2984" spans="22:27" x14ac:dyDescent="0.2">
      <c r="V2984" s="163"/>
      <c r="W2984" s="158" t="str">
        <f t="shared" si="58"/>
        <v>1w</v>
      </c>
      <c r="X2984" s="168">
        <f>_xll.qlCalendarAdvance(Calendar,X2983,W2984,"f",FALSE)</f>
        <v>60143</v>
      </c>
      <c r="Y2984" s="173">
        <f>_xll.qlCalendarAdvance(Calendar,X2984,NDays&amp;"D")</f>
        <v>60143</v>
      </c>
      <c r="Z2984" s="174" t="e">
        <v>#N/A</v>
      </c>
      <c r="AA2984" s="177"/>
    </row>
    <row r="2985" spans="22:27" x14ac:dyDescent="0.2">
      <c r="V2985" s="163"/>
      <c r="W2985" s="158" t="str">
        <f t="shared" si="58"/>
        <v>1w</v>
      </c>
      <c r="X2985" s="168">
        <f>_xll.qlCalendarAdvance(Calendar,X2984,W2985,"f",FALSE)</f>
        <v>60150</v>
      </c>
      <c r="Y2985" s="173">
        <f>_xll.qlCalendarAdvance(Calendar,X2985,NDays&amp;"D")</f>
        <v>60150</v>
      </c>
      <c r="Z2985" s="174" t="e">
        <v>#N/A</v>
      </c>
      <c r="AA2985" s="177"/>
    </row>
    <row r="2986" spans="22:27" x14ac:dyDescent="0.2">
      <c r="V2986" s="163"/>
      <c r="W2986" s="158" t="str">
        <f t="shared" si="58"/>
        <v>1w</v>
      </c>
      <c r="X2986" s="168">
        <f>_xll.qlCalendarAdvance(Calendar,X2985,W2986,"f",FALSE)</f>
        <v>60157</v>
      </c>
      <c r="Y2986" s="173">
        <f>_xll.qlCalendarAdvance(Calendar,X2986,NDays&amp;"D")</f>
        <v>60157</v>
      </c>
      <c r="Z2986" s="174" t="e">
        <v>#N/A</v>
      </c>
      <c r="AA2986" s="177"/>
    </row>
    <row r="2987" spans="22:27" x14ac:dyDescent="0.2">
      <c r="V2987" s="163"/>
      <c r="W2987" s="158" t="str">
        <f t="shared" si="58"/>
        <v>1w</v>
      </c>
      <c r="X2987" s="168">
        <f>_xll.qlCalendarAdvance(Calendar,X2986,W2987,"f",FALSE)</f>
        <v>60164</v>
      </c>
      <c r="Y2987" s="173">
        <f>_xll.qlCalendarAdvance(Calendar,X2987,NDays&amp;"D")</f>
        <v>60164</v>
      </c>
      <c r="Z2987" s="174" t="e">
        <v>#N/A</v>
      </c>
      <c r="AA2987" s="177"/>
    </row>
    <row r="2988" spans="22:27" x14ac:dyDescent="0.2">
      <c r="V2988" s="163"/>
      <c r="W2988" s="158" t="str">
        <f t="shared" si="58"/>
        <v>1w</v>
      </c>
      <c r="X2988" s="168">
        <f>_xll.qlCalendarAdvance(Calendar,X2987,W2988,"f",FALSE)</f>
        <v>60171</v>
      </c>
      <c r="Y2988" s="173">
        <f>_xll.qlCalendarAdvance(Calendar,X2988,NDays&amp;"D")</f>
        <v>60171</v>
      </c>
      <c r="Z2988" s="174" t="e">
        <v>#N/A</v>
      </c>
      <c r="AA2988" s="177"/>
    </row>
    <row r="2989" spans="22:27" x14ac:dyDescent="0.2">
      <c r="V2989" s="163"/>
      <c r="W2989" s="158" t="str">
        <f t="shared" si="58"/>
        <v>1w</v>
      </c>
      <c r="X2989" s="168">
        <f>_xll.qlCalendarAdvance(Calendar,X2988,W2989,"f",FALSE)</f>
        <v>60178</v>
      </c>
      <c r="Y2989" s="173">
        <f>_xll.qlCalendarAdvance(Calendar,X2989,NDays&amp;"D")</f>
        <v>60178</v>
      </c>
      <c r="Z2989" s="174" t="e">
        <v>#N/A</v>
      </c>
      <c r="AA2989" s="177"/>
    </row>
    <row r="2990" spans="22:27" x14ac:dyDescent="0.2">
      <c r="V2990" s="163"/>
      <c r="W2990" s="158" t="str">
        <f t="shared" si="58"/>
        <v>1w</v>
      </c>
      <c r="X2990" s="168">
        <f>_xll.qlCalendarAdvance(Calendar,X2989,W2990,"f",FALSE)</f>
        <v>60185</v>
      </c>
      <c r="Y2990" s="173">
        <f>_xll.qlCalendarAdvance(Calendar,X2990,NDays&amp;"D")</f>
        <v>60185</v>
      </c>
      <c r="Z2990" s="174" t="e">
        <v>#N/A</v>
      </c>
      <c r="AA2990" s="177"/>
    </row>
    <row r="2991" spans="22:27" x14ac:dyDescent="0.2">
      <c r="V2991" s="163"/>
      <c r="W2991" s="158" t="str">
        <f t="shared" si="58"/>
        <v>1w</v>
      </c>
      <c r="X2991" s="168">
        <f>_xll.qlCalendarAdvance(Calendar,X2990,W2991,"f",FALSE)</f>
        <v>60192</v>
      </c>
      <c r="Y2991" s="173">
        <f>_xll.qlCalendarAdvance(Calendar,X2991,NDays&amp;"D")</f>
        <v>60192</v>
      </c>
      <c r="Z2991" s="174" t="e">
        <v>#N/A</v>
      </c>
      <c r="AA2991" s="177"/>
    </row>
    <row r="2992" spans="22:27" x14ac:dyDescent="0.2">
      <c r="V2992" s="163"/>
      <c r="W2992" s="158" t="str">
        <f t="shared" si="58"/>
        <v>1w</v>
      </c>
      <c r="X2992" s="168">
        <f>_xll.qlCalendarAdvance(Calendar,X2991,W2992,"f",FALSE)</f>
        <v>60199</v>
      </c>
      <c r="Y2992" s="173">
        <f>_xll.qlCalendarAdvance(Calendar,X2992,NDays&amp;"D")</f>
        <v>60199</v>
      </c>
      <c r="Z2992" s="174" t="e">
        <v>#N/A</v>
      </c>
      <c r="AA2992" s="177"/>
    </row>
    <row r="2993" spans="22:27" x14ac:dyDescent="0.2">
      <c r="V2993" s="163"/>
      <c r="W2993" s="158" t="str">
        <f t="shared" si="58"/>
        <v>1w</v>
      </c>
      <c r="X2993" s="168">
        <f>_xll.qlCalendarAdvance(Calendar,X2992,W2993,"f",FALSE)</f>
        <v>60206</v>
      </c>
      <c r="Y2993" s="173">
        <f>_xll.qlCalendarAdvance(Calendar,X2993,NDays&amp;"D")</f>
        <v>60206</v>
      </c>
      <c r="Z2993" s="174" t="e">
        <v>#N/A</v>
      </c>
      <c r="AA2993" s="177"/>
    </row>
    <row r="2994" spans="22:27" x14ac:dyDescent="0.2">
      <c r="V2994" s="163"/>
      <c r="W2994" s="158" t="str">
        <f t="shared" si="58"/>
        <v>1w</v>
      </c>
      <c r="X2994" s="168">
        <f>_xll.qlCalendarAdvance(Calendar,X2993,W2994,"f",FALSE)</f>
        <v>60213</v>
      </c>
      <c r="Y2994" s="173">
        <f>_xll.qlCalendarAdvance(Calendar,X2994,NDays&amp;"D")</f>
        <v>60213</v>
      </c>
      <c r="Z2994" s="174" t="e">
        <v>#N/A</v>
      </c>
      <c r="AA2994" s="177"/>
    </row>
    <row r="2995" spans="22:27" x14ac:dyDescent="0.2">
      <c r="V2995" s="163"/>
      <c r="W2995" s="158" t="str">
        <f t="shared" si="58"/>
        <v>1w</v>
      </c>
      <c r="X2995" s="168">
        <f>_xll.qlCalendarAdvance(Calendar,X2994,W2995,"f",FALSE)</f>
        <v>60220</v>
      </c>
      <c r="Y2995" s="173">
        <f>_xll.qlCalendarAdvance(Calendar,X2995,NDays&amp;"D")</f>
        <v>60220</v>
      </c>
      <c r="Z2995" s="174" t="e">
        <v>#N/A</v>
      </c>
      <c r="AA2995" s="177"/>
    </row>
    <row r="2996" spans="22:27" x14ac:dyDescent="0.2">
      <c r="V2996" s="163"/>
      <c r="W2996" s="158" t="str">
        <f t="shared" si="58"/>
        <v>1w</v>
      </c>
      <c r="X2996" s="168">
        <f>_xll.qlCalendarAdvance(Calendar,X2995,W2996,"f",FALSE)</f>
        <v>60227</v>
      </c>
      <c r="Y2996" s="173">
        <f>_xll.qlCalendarAdvance(Calendar,X2996,NDays&amp;"D")</f>
        <v>60227</v>
      </c>
      <c r="Z2996" s="174" t="e">
        <v>#N/A</v>
      </c>
      <c r="AA2996" s="177"/>
    </row>
    <row r="2997" spans="22:27" x14ac:dyDescent="0.2">
      <c r="V2997" s="163"/>
      <c r="W2997" s="158" t="str">
        <f t="shared" si="58"/>
        <v>1w</v>
      </c>
      <c r="X2997" s="168">
        <f>_xll.qlCalendarAdvance(Calendar,X2996,W2997,"f",FALSE)</f>
        <v>60234</v>
      </c>
      <c r="Y2997" s="173">
        <f>_xll.qlCalendarAdvance(Calendar,X2997,NDays&amp;"D")</f>
        <v>60234</v>
      </c>
      <c r="Z2997" s="174" t="e">
        <v>#N/A</v>
      </c>
      <c r="AA2997" s="177"/>
    </row>
    <row r="2998" spans="22:27" x14ac:dyDescent="0.2">
      <c r="V2998" s="163"/>
      <c r="W2998" s="158" t="str">
        <f t="shared" si="58"/>
        <v>1w</v>
      </c>
      <c r="X2998" s="168">
        <f>_xll.qlCalendarAdvance(Calendar,X2997,W2998,"f",FALSE)</f>
        <v>60241</v>
      </c>
      <c r="Y2998" s="173">
        <f>_xll.qlCalendarAdvance(Calendar,X2998,NDays&amp;"D")</f>
        <v>60241</v>
      </c>
      <c r="Z2998" s="174" t="e">
        <v>#N/A</v>
      </c>
      <c r="AA2998" s="177"/>
    </row>
    <row r="2999" spans="22:27" x14ac:dyDescent="0.2">
      <c r="V2999" s="163"/>
      <c r="W2999" s="158" t="str">
        <f t="shared" si="58"/>
        <v>1w</v>
      </c>
      <c r="X2999" s="168">
        <f>_xll.qlCalendarAdvance(Calendar,X2998,W2999,"f",FALSE)</f>
        <v>60248</v>
      </c>
      <c r="Y2999" s="173">
        <f>_xll.qlCalendarAdvance(Calendar,X2999,NDays&amp;"D")</f>
        <v>60248</v>
      </c>
      <c r="Z2999" s="174" t="e">
        <v>#N/A</v>
      </c>
      <c r="AA2999" s="177"/>
    </row>
    <row r="3000" spans="22:27" x14ac:dyDescent="0.2">
      <c r="V3000" s="163"/>
      <c r="W3000" s="158" t="str">
        <f t="shared" si="58"/>
        <v>1w</v>
      </c>
      <c r="X3000" s="168">
        <f>_xll.qlCalendarAdvance(Calendar,X2999,W3000,"f",FALSE)</f>
        <v>60255</v>
      </c>
      <c r="Y3000" s="173">
        <f>_xll.qlCalendarAdvance(Calendar,X3000,NDays&amp;"D")</f>
        <v>60255</v>
      </c>
      <c r="Z3000" s="174" t="e">
        <v>#N/A</v>
      </c>
      <c r="AA3000" s="177"/>
    </row>
    <row r="3001" spans="22:27" x14ac:dyDescent="0.2">
      <c r="V3001" s="163"/>
      <c r="W3001" s="158" t="str">
        <f t="shared" si="58"/>
        <v>1w</v>
      </c>
      <c r="X3001" s="168">
        <f>_xll.qlCalendarAdvance(Calendar,X3000,W3001,"f",FALSE)</f>
        <v>60262</v>
      </c>
      <c r="Y3001" s="173">
        <f>_xll.qlCalendarAdvance(Calendar,X3001,NDays&amp;"D")</f>
        <v>60262</v>
      </c>
      <c r="Z3001" s="174" t="e">
        <v>#N/A</v>
      </c>
      <c r="AA3001" s="177"/>
    </row>
    <row r="3002" spans="22:27" x14ac:dyDescent="0.2">
      <c r="V3002" s="163"/>
      <c r="W3002" s="158" t="str">
        <f t="shared" si="58"/>
        <v>1w</v>
      </c>
      <c r="X3002" s="168">
        <f>_xll.qlCalendarAdvance(Calendar,X3001,W3002,"f",FALSE)</f>
        <v>60272</v>
      </c>
      <c r="Y3002" s="173">
        <f>_xll.qlCalendarAdvance(Calendar,X3002,NDays&amp;"D")</f>
        <v>60272</v>
      </c>
      <c r="Z3002" s="174" t="e">
        <v>#N/A</v>
      </c>
      <c r="AA3002" s="177"/>
    </row>
    <row r="3003" spans="22:27" x14ac:dyDescent="0.2">
      <c r="V3003" s="163"/>
      <c r="W3003" s="158" t="str">
        <f t="shared" si="58"/>
        <v>1w</v>
      </c>
      <c r="X3003" s="168">
        <f>_xll.qlCalendarAdvance(Calendar,X3002,W3003,"f",FALSE)</f>
        <v>60280</v>
      </c>
      <c r="Y3003" s="173">
        <f>_xll.qlCalendarAdvance(Calendar,X3003,NDays&amp;"D")</f>
        <v>60280</v>
      </c>
      <c r="Z3003" s="174" t="e">
        <v>#N/A</v>
      </c>
      <c r="AA3003" s="177"/>
    </row>
    <row r="3004" spans="22:27" x14ac:dyDescent="0.2">
      <c r="V3004" s="163"/>
      <c r="W3004" s="158" t="str">
        <f t="shared" si="58"/>
        <v>1w</v>
      </c>
      <c r="X3004" s="168">
        <f>_xll.qlCalendarAdvance(Calendar,X3003,W3004,"f",FALSE)</f>
        <v>60287</v>
      </c>
      <c r="Y3004" s="173">
        <f>_xll.qlCalendarAdvance(Calendar,X3004,NDays&amp;"D")</f>
        <v>60287</v>
      </c>
      <c r="Z3004" s="174" t="e">
        <v>#N/A</v>
      </c>
      <c r="AA3004" s="177"/>
    </row>
    <row r="3005" spans="22:27" x14ac:dyDescent="0.2">
      <c r="V3005" s="163"/>
      <c r="W3005" s="158" t="str">
        <f t="shared" si="58"/>
        <v>1w</v>
      </c>
      <c r="X3005" s="168">
        <f>_xll.qlCalendarAdvance(Calendar,X3004,W3005,"f",FALSE)</f>
        <v>60294</v>
      </c>
      <c r="Y3005" s="173">
        <f>_xll.qlCalendarAdvance(Calendar,X3005,NDays&amp;"D")</f>
        <v>60294</v>
      </c>
      <c r="Z3005" s="174" t="e">
        <v>#N/A</v>
      </c>
      <c r="AA3005" s="177"/>
    </row>
    <row r="3006" spans="22:27" x14ac:dyDescent="0.2">
      <c r="V3006" s="163"/>
      <c r="W3006" s="158" t="str">
        <f t="shared" si="58"/>
        <v>1w</v>
      </c>
      <c r="X3006" s="168">
        <f>_xll.qlCalendarAdvance(Calendar,X3005,W3006,"f",FALSE)</f>
        <v>60301</v>
      </c>
      <c r="Y3006" s="173">
        <f>_xll.qlCalendarAdvance(Calendar,X3006,NDays&amp;"D")</f>
        <v>60301</v>
      </c>
      <c r="Z3006" s="174" t="e">
        <v>#N/A</v>
      </c>
      <c r="AA3006" s="177"/>
    </row>
    <row r="3007" spans="22:27" x14ac:dyDescent="0.2">
      <c r="V3007" s="163"/>
      <c r="W3007" s="158" t="str">
        <f t="shared" si="58"/>
        <v>1w</v>
      </c>
      <c r="X3007" s="168">
        <f>_xll.qlCalendarAdvance(Calendar,X3006,W3007,"f",FALSE)</f>
        <v>60308</v>
      </c>
      <c r="Y3007" s="173">
        <f>_xll.qlCalendarAdvance(Calendar,X3007,NDays&amp;"D")</f>
        <v>60308</v>
      </c>
      <c r="Z3007" s="174" t="e">
        <v>#N/A</v>
      </c>
      <c r="AA3007" s="177"/>
    </row>
    <row r="3008" spans="22:27" x14ac:dyDescent="0.2">
      <c r="V3008" s="163"/>
      <c r="W3008" s="158" t="str">
        <f t="shared" si="58"/>
        <v>1w</v>
      </c>
      <c r="X3008" s="168">
        <f>_xll.qlCalendarAdvance(Calendar,X3007,W3008,"f",FALSE)</f>
        <v>60315</v>
      </c>
      <c r="Y3008" s="173">
        <f>_xll.qlCalendarAdvance(Calendar,X3008,NDays&amp;"D")</f>
        <v>60315</v>
      </c>
      <c r="Z3008" s="174" t="e">
        <v>#N/A</v>
      </c>
      <c r="AA3008" s="177"/>
    </row>
    <row r="3009" spans="22:27" x14ac:dyDescent="0.2">
      <c r="V3009" s="163"/>
      <c r="W3009" s="158" t="str">
        <f t="shared" si="58"/>
        <v>1w</v>
      </c>
      <c r="X3009" s="168">
        <f>_xll.qlCalendarAdvance(Calendar,X3008,W3009,"f",FALSE)</f>
        <v>60322</v>
      </c>
      <c r="Y3009" s="173">
        <f>_xll.qlCalendarAdvance(Calendar,X3009,NDays&amp;"D")</f>
        <v>60322</v>
      </c>
      <c r="Z3009" s="174" t="e">
        <v>#N/A</v>
      </c>
      <c r="AA3009" s="177"/>
    </row>
    <row r="3010" spans="22:27" x14ac:dyDescent="0.2">
      <c r="V3010" s="163"/>
      <c r="W3010" s="158" t="str">
        <f t="shared" si="58"/>
        <v>1w</v>
      </c>
      <c r="X3010" s="168">
        <f>_xll.qlCalendarAdvance(Calendar,X3009,W3010,"f",FALSE)</f>
        <v>60329</v>
      </c>
      <c r="Y3010" s="173">
        <f>_xll.qlCalendarAdvance(Calendar,X3010,NDays&amp;"D")</f>
        <v>60329</v>
      </c>
      <c r="Z3010" s="174" t="e">
        <v>#N/A</v>
      </c>
      <c r="AA3010" s="177"/>
    </row>
    <row r="3011" spans="22:27" x14ac:dyDescent="0.2">
      <c r="V3011" s="163"/>
      <c r="W3011" s="158" t="str">
        <f t="shared" si="58"/>
        <v>1w</v>
      </c>
      <c r="X3011" s="168">
        <f>_xll.qlCalendarAdvance(Calendar,X3010,W3011,"f",FALSE)</f>
        <v>60336</v>
      </c>
      <c r="Y3011" s="173">
        <f>_xll.qlCalendarAdvance(Calendar,X3011,NDays&amp;"D")</f>
        <v>60336</v>
      </c>
      <c r="Z3011" s="174" t="e">
        <v>#N/A</v>
      </c>
      <c r="AA3011" s="177"/>
    </row>
    <row r="3012" spans="22:27" x14ac:dyDescent="0.2">
      <c r="V3012" s="163"/>
      <c r="W3012" s="158" t="str">
        <f t="shared" si="58"/>
        <v>1w</v>
      </c>
      <c r="X3012" s="168">
        <f>_xll.qlCalendarAdvance(Calendar,X3011,W3012,"f",FALSE)</f>
        <v>60343</v>
      </c>
      <c r="Y3012" s="173">
        <f>_xll.qlCalendarAdvance(Calendar,X3012,NDays&amp;"D")</f>
        <v>60343</v>
      </c>
      <c r="Z3012" s="174" t="e">
        <v>#N/A</v>
      </c>
      <c r="AA3012" s="177"/>
    </row>
    <row r="3013" spans="22:27" x14ac:dyDescent="0.2">
      <c r="V3013" s="163"/>
      <c r="W3013" s="158" t="str">
        <f t="shared" si="58"/>
        <v>1w</v>
      </c>
      <c r="X3013" s="168">
        <f>_xll.qlCalendarAdvance(Calendar,X3012,W3013,"f",FALSE)</f>
        <v>60350</v>
      </c>
      <c r="Y3013" s="173">
        <f>_xll.qlCalendarAdvance(Calendar,X3013,NDays&amp;"D")</f>
        <v>60350</v>
      </c>
      <c r="Z3013" s="174" t="e">
        <v>#N/A</v>
      </c>
      <c r="AA3013" s="177"/>
    </row>
    <row r="3014" spans="22:27" x14ac:dyDescent="0.2">
      <c r="V3014" s="163"/>
      <c r="W3014" s="158" t="str">
        <f t="shared" si="58"/>
        <v>1w</v>
      </c>
      <c r="X3014" s="168">
        <f>_xll.qlCalendarAdvance(Calendar,X3013,W3014,"f",FALSE)</f>
        <v>60357</v>
      </c>
      <c r="Y3014" s="173">
        <f>_xll.qlCalendarAdvance(Calendar,X3014,NDays&amp;"D")</f>
        <v>60357</v>
      </c>
      <c r="Z3014" s="174" t="e">
        <v>#N/A</v>
      </c>
      <c r="AA3014" s="177"/>
    </row>
    <row r="3015" spans="22:27" x14ac:dyDescent="0.2">
      <c r="V3015" s="163"/>
      <c r="W3015" s="158" t="str">
        <f t="shared" si="58"/>
        <v>1w</v>
      </c>
      <c r="X3015" s="168">
        <f>_xll.qlCalendarAdvance(Calendar,X3014,W3015,"f",FALSE)</f>
        <v>60364</v>
      </c>
      <c r="Y3015" s="173">
        <f>_xll.qlCalendarAdvance(Calendar,X3015,NDays&amp;"D")</f>
        <v>60364</v>
      </c>
      <c r="Z3015" s="174" t="e">
        <v>#N/A</v>
      </c>
      <c r="AA3015" s="177"/>
    </row>
    <row r="3016" spans="22:27" x14ac:dyDescent="0.2">
      <c r="V3016" s="163"/>
      <c r="W3016" s="158" t="str">
        <f t="shared" si="58"/>
        <v>1w</v>
      </c>
      <c r="X3016" s="168">
        <f>_xll.qlCalendarAdvance(Calendar,X3015,W3016,"f",FALSE)</f>
        <v>60371</v>
      </c>
      <c r="Y3016" s="173">
        <f>_xll.qlCalendarAdvance(Calendar,X3016,NDays&amp;"D")</f>
        <v>60371</v>
      </c>
      <c r="Z3016" s="174" t="e">
        <v>#N/A</v>
      </c>
      <c r="AA3016" s="177"/>
    </row>
    <row r="3017" spans="22:27" x14ac:dyDescent="0.2">
      <c r="V3017" s="163"/>
      <c r="W3017" s="158" t="str">
        <f t="shared" si="58"/>
        <v>1w</v>
      </c>
      <c r="X3017" s="168">
        <f>_xll.qlCalendarAdvance(Calendar,X3016,W3017,"f",FALSE)</f>
        <v>60378</v>
      </c>
      <c r="Y3017" s="173">
        <f>_xll.qlCalendarAdvance(Calendar,X3017,NDays&amp;"D")</f>
        <v>60378</v>
      </c>
      <c r="Z3017" s="174" t="e">
        <v>#N/A</v>
      </c>
      <c r="AA3017" s="177"/>
    </row>
    <row r="3018" spans="22:27" x14ac:dyDescent="0.2">
      <c r="V3018" s="163"/>
      <c r="W3018" s="158" t="str">
        <f t="shared" si="58"/>
        <v>1w</v>
      </c>
      <c r="X3018" s="168">
        <f>_xll.qlCalendarAdvance(Calendar,X3017,W3018,"f",FALSE)</f>
        <v>60385</v>
      </c>
      <c r="Y3018" s="173">
        <f>_xll.qlCalendarAdvance(Calendar,X3018,NDays&amp;"D")</f>
        <v>60385</v>
      </c>
      <c r="Z3018" s="174" t="e">
        <v>#N/A</v>
      </c>
      <c r="AA3018" s="177"/>
    </row>
    <row r="3019" spans="22:27" x14ac:dyDescent="0.2">
      <c r="V3019" s="163"/>
      <c r="W3019" s="158" t="str">
        <f t="shared" si="58"/>
        <v>1w</v>
      </c>
      <c r="X3019" s="168">
        <f>_xll.qlCalendarAdvance(Calendar,X3018,W3019,"f",FALSE)</f>
        <v>60394</v>
      </c>
      <c r="Y3019" s="173">
        <f>_xll.qlCalendarAdvance(Calendar,X3019,NDays&amp;"D")</f>
        <v>60394</v>
      </c>
      <c r="Z3019" s="174" t="e">
        <v>#N/A</v>
      </c>
      <c r="AA3019" s="177"/>
    </row>
    <row r="3020" spans="22:27" x14ac:dyDescent="0.2">
      <c r="V3020" s="163"/>
      <c r="W3020" s="158" t="str">
        <f t="shared" si="58"/>
        <v>1w</v>
      </c>
      <c r="X3020" s="168">
        <f>_xll.qlCalendarAdvance(Calendar,X3019,W3020,"f",FALSE)</f>
        <v>60401</v>
      </c>
      <c r="Y3020" s="173">
        <f>_xll.qlCalendarAdvance(Calendar,X3020,NDays&amp;"D")</f>
        <v>60401</v>
      </c>
      <c r="Z3020" s="174" t="e">
        <v>#N/A</v>
      </c>
      <c r="AA3020" s="177"/>
    </row>
    <row r="3021" spans="22:27" x14ac:dyDescent="0.2">
      <c r="V3021" s="163"/>
      <c r="W3021" s="158" t="str">
        <f t="shared" ref="W3021:W3084" si="59">W3020</f>
        <v>1w</v>
      </c>
      <c r="X3021" s="168">
        <f>_xll.qlCalendarAdvance(Calendar,X3020,W3021,"f",FALSE)</f>
        <v>60408</v>
      </c>
      <c r="Y3021" s="173">
        <f>_xll.qlCalendarAdvance(Calendar,X3021,NDays&amp;"D")</f>
        <v>60408</v>
      </c>
      <c r="Z3021" s="174" t="e">
        <v>#N/A</v>
      </c>
      <c r="AA3021" s="177"/>
    </row>
    <row r="3022" spans="22:27" x14ac:dyDescent="0.2">
      <c r="V3022" s="163"/>
      <c r="W3022" s="158" t="str">
        <f t="shared" si="59"/>
        <v>1w</v>
      </c>
      <c r="X3022" s="168">
        <f>_xll.qlCalendarAdvance(Calendar,X3021,W3022,"f",FALSE)</f>
        <v>60415</v>
      </c>
      <c r="Y3022" s="173">
        <f>_xll.qlCalendarAdvance(Calendar,X3022,NDays&amp;"D")</f>
        <v>60415</v>
      </c>
      <c r="Z3022" s="174" t="e">
        <v>#N/A</v>
      </c>
      <c r="AA3022" s="177"/>
    </row>
    <row r="3023" spans="22:27" x14ac:dyDescent="0.2">
      <c r="V3023" s="163"/>
      <c r="W3023" s="158" t="str">
        <f t="shared" si="59"/>
        <v>1w</v>
      </c>
      <c r="X3023" s="168">
        <f>_xll.qlCalendarAdvance(Calendar,X3022,W3023,"f",FALSE)</f>
        <v>60422</v>
      </c>
      <c r="Y3023" s="173">
        <f>_xll.qlCalendarAdvance(Calendar,X3023,NDays&amp;"D")</f>
        <v>60422</v>
      </c>
      <c r="Z3023" s="174" t="e">
        <v>#N/A</v>
      </c>
      <c r="AA3023" s="177"/>
    </row>
    <row r="3024" spans="22:27" x14ac:dyDescent="0.2">
      <c r="V3024" s="163"/>
      <c r="W3024" s="158" t="str">
        <f t="shared" si="59"/>
        <v>1w</v>
      </c>
      <c r="X3024" s="168">
        <f>_xll.qlCalendarAdvance(Calendar,X3023,W3024,"f",FALSE)</f>
        <v>60429</v>
      </c>
      <c r="Y3024" s="173">
        <f>_xll.qlCalendarAdvance(Calendar,X3024,NDays&amp;"D")</f>
        <v>60429</v>
      </c>
      <c r="Z3024" s="174" t="e">
        <v>#N/A</v>
      </c>
      <c r="AA3024" s="177"/>
    </row>
    <row r="3025" spans="22:27" x14ac:dyDescent="0.2">
      <c r="V3025" s="163"/>
      <c r="W3025" s="158" t="str">
        <f t="shared" si="59"/>
        <v>1w</v>
      </c>
      <c r="X3025" s="168">
        <f>_xll.qlCalendarAdvance(Calendar,X3024,W3025,"f",FALSE)</f>
        <v>60436</v>
      </c>
      <c r="Y3025" s="173">
        <f>_xll.qlCalendarAdvance(Calendar,X3025,NDays&amp;"D")</f>
        <v>60436</v>
      </c>
      <c r="Z3025" s="174" t="e">
        <v>#N/A</v>
      </c>
      <c r="AA3025" s="177"/>
    </row>
    <row r="3026" spans="22:27" x14ac:dyDescent="0.2">
      <c r="V3026" s="163"/>
      <c r="W3026" s="158" t="str">
        <f t="shared" si="59"/>
        <v>1w</v>
      </c>
      <c r="X3026" s="168">
        <f>_xll.qlCalendarAdvance(Calendar,X3025,W3026,"f",FALSE)</f>
        <v>60443</v>
      </c>
      <c r="Y3026" s="173">
        <f>_xll.qlCalendarAdvance(Calendar,X3026,NDays&amp;"D")</f>
        <v>60443</v>
      </c>
      <c r="Z3026" s="174" t="e">
        <v>#N/A</v>
      </c>
      <c r="AA3026" s="177"/>
    </row>
    <row r="3027" spans="22:27" x14ac:dyDescent="0.2">
      <c r="V3027" s="163"/>
      <c r="W3027" s="158" t="str">
        <f t="shared" si="59"/>
        <v>1w</v>
      </c>
      <c r="X3027" s="168">
        <f>_xll.qlCalendarAdvance(Calendar,X3026,W3027,"f",FALSE)</f>
        <v>60450</v>
      </c>
      <c r="Y3027" s="173">
        <f>_xll.qlCalendarAdvance(Calendar,X3027,NDays&amp;"D")</f>
        <v>60450</v>
      </c>
      <c r="Z3027" s="174" t="e">
        <v>#N/A</v>
      </c>
      <c r="AA3027" s="177"/>
    </row>
    <row r="3028" spans="22:27" x14ac:dyDescent="0.2">
      <c r="V3028" s="163"/>
      <c r="W3028" s="158" t="str">
        <f t="shared" si="59"/>
        <v>1w</v>
      </c>
      <c r="X3028" s="168">
        <f>_xll.qlCalendarAdvance(Calendar,X3027,W3028,"f",FALSE)</f>
        <v>60457</v>
      </c>
      <c r="Y3028" s="173">
        <f>_xll.qlCalendarAdvance(Calendar,X3028,NDays&amp;"D")</f>
        <v>60457</v>
      </c>
      <c r="Z3028" s="174" t="e">
        <v>#N/A</v>
      </c>
      <c r="AA3028" s="177"/>
    </row>
    <row r="3029" spans="22:27" x14ac:dyDescent="0.2">
      <c r="V3029" s="163"/>
      <c r="W3029" s="158" t="str">
        <f t="shared" si="59"/>
        <v>1w</v>
      </c>
      <c r="X3029" s="168">
        <f>_xll.qlCalendarAdvance(Calendar,X3028,W3029,"f",FALSE)</f>
        <v>60464</v>
      </c>
      <c r="Y3029" s="173">
        <f>_xll.qlCalendarAdvance(Calendar,X3029,NDays&amp;"D")</f>
        <v>60464</v>
      </c>
      <c r="Z3029" s="174" t="e">
        <v>#N/A</v>
      </c>
      <c r="AA3029" s="177"/>
    </row>
    <row r="3030" spans="22:27" x14ac:dyDescent="0.2">
      <c r="V3030" s="163"/>
      <c r="W3030" s="158" t="str">
        <f t="shared" si="59"/>
        <v>1w</v>
      </c>
      <c r="X3030" s="168">
        <f>_xll.qlCalendarAdvance(Calendar,X3029,W3030,"f",FALSE)</f>
        <v>60471</v>
      </c>
      <c r="Y3030" s="173">
        <f>_xll.qlCalendarAdvance(Calendar,X3030,NDays&amp;"D")</f>
        <v>60471</v>
      </c>
      <c r="Z3030" s="174" t="e">
        <v>#N/A</v>
      </c>
      <c r="AA3030" s="177"/>
    </row>
    <row r="3031" spans="22:27" x14ac:dyDescent="0.2">
      <c r="V3031" s="163"/>
      <c r="W3031" s="158" t="str">
        <f t="shared" si="59"/>
        <v>1w</v>
      </c>
      <c r="X3031" s="168">
        <f>_xll.qlCalendarAdvance(Calendar,X3030,W3031,"f",FALSE)</f>
        <v>60478</v>
      </c>
      <c r="Y3031" s="173">
        <f>_xll.qlCalendarAdvance(Calendar,X3031,NDays&amp;"D")</f>
        <v>60478</v>
      </c>
      <c r="Z3031" s="174" t="e">
        <v>#N/A</v>
      </c>
      <c r="AA3031" s="177"/>
    </row>
    <row r="3032" spans="22:27" x14ac:dyDescent="0.2">
      <c r="V3032" s="163"/>
      <c r="W3032" s="158" t="str">
        <f t="shared" si="59"/>
        <v>1w</v>
      </c>
      <c r="X3032" s="168">
        <f>_xll.qlCalendarAdvance(Calendar,X3031,W3032,"f",FALSE)</f>
        <v>60485</v>
      </c>
      <c r="Y3032" s="173">
        <f>_xll.qlCalendarAdvance(Calendar,X3032,NDays&amp;"D")</f>
        <v>60485</v>
      </c>
      <c r="Z3032" s="174" t="e">
        <v>#N/A</v>
      </c>
      <c r="AA3032" s="177"/>
    </row>
    <row r="3033" spans="22:27" x14ac:dyDescent="0.2">
      <c r="V3033" s="163"/>
      <c r="W3033" s="158" t="str">
        <f t="shared" si="59"/>
        <v>1w</v>
      </c>
      <c r="X3033" s="168">
        <f>_xll.qlCalendarAdvance(Calendar,X3032,W3033,"f",FALSE)</f>
        <v>60492</v>
      </c>
      <c r="Y3033" s="173">
        <f>_xll.qlCalendarAdvance(Calendar,X3033,NDays&amp;"D")</f>
        <v>60492</v>
      </c>
      <c r="Z3033" s="174" t="e">
        <v>#N/A</v>
      </c>
      <c r="AA3033" s="177"/>
    </row>
    <row r="3034" spans="22:27" x14ac:dyDescent="0.2">
      <c r="V3034" s="163"/>
      <c r="W3034" s="158" t="str">
        <f t="shared" si="59"/>
        <v>1w</v>
      </c>
      <c r="X3034" s="168">
        <f>_xll.qlCalendarAdvance(Calendar,X3033,W3034,"f",FALSE)</f>
        <v>60499</v>
      </c>
      <c r="Y3034" s="173">
        <f>_xll.qlCalendarAdvance(Calendar,X3034,NDays&amp;"D")</f>
        <v>60499</v>
      </c>
      <c r="Z3034" s="174" t="e">
        <v>#N/A</v>
      </c>
      <c r="AA3034" s="177"/>
    </row>
    <row r="3035" spans="22:27" x14ac:dyDescent="0.2">
      <c r="V3035" s="163"/>
      <c r="W3035" s="158" t="str">
        <f t="shared" si="59"/>
        <v>1w</v>
      </c>
      <c r="X3035" s="168">
        <f>_xll.qlCalendarAdvance(Calendar,X3034,W3035,"f",FALSE)</f>
        <v>60506</v>
      </c>
      <c r="Y3035" s="173">
        <f>_xll.qlCalendarAdvance(Calendar,X3035,NDays&amp;"D")</f>
        <v>60506</v>
      </c>
      <c r="Z3035" s="174" t="e">
        <v>#N/A</v>
      </c>
      <c r="AA3035" s="177"/>
    </row>
    <row r="3036" spans="22:27" x14ac:dyDescent="0.2">
      <c r="V3036" s="163"/>
      <c r="W3036" s="158" t="str">
        <f t="shared" si="59"/>
        <v>1w</v>
      </c>
      <c r="X3036" s="168">
        <f>_xll.qlCalendarAdvance(Calendar,X3035,W3036,"f",FALSE)</f>
        <v>60513</v>
      </c>
      <c r="Y3036" s="173">
        <f>_xll.qlCalendarAdvance(Calendar,X3036,NDays&amp;"D")</f>
        <v>60513</v>
      </c>
      <c r="Z3036" s="174" t="e">
        <v>#N/A</v>
      </c>
      <c r="AA3036" s="177"/>
    </row>
    <row r="3037" spans="22:27" x14ac:dyDescent="0.2">
      <c r="V3037" s="163"/>
      <c r="W3037" s="158" t="str">
        <f t="shared" si="59"/>
        <v>1w</v>
      </c>
      <c r="X3037" s="168">
        <f>_xll.qlCalendarAdvance(Calendar,X3036,W3037,"f",FALSE)</f>
        <v>60520</v>
      </c>
      <c r="Y3037" s="173">
        <f>_xll.qlCalendarAdvance(Calendar,X3037,NDays&amp;"D")</f>
        <v>60520</v>
      </c>
      <c r="Z3037" s="174" t="e">
        <v>#N/A</v>
      </c>
      <c r="AA3037" s="177"/>
    </row>
    <row r="3038" spans="22:27" x14ac:dyDescent="0.2">
      <c r="V3038" s="163"/>
      <c r="W3038" s="158" t="str">
        <f t="shared" si="59"/>
        <v>1w</v>
      </c>
      <c r="X3038" s="168">
        <f>_xll.qlCalendarAdvance(Calendar,X3037,W3038,"f",FALSE)</f>
        <v>60527</v>
      </c>
      <c r="Y3038" s="173">
        <f>_xll.qlCalendarAdvance(Calendar,X3038,NDays&amp;"D")</f>
        <v>60527</v>
      </c>
      <c r="Z3038" s="174" t="e">
        <v>#N/A</v>
      </c>
      <c r="AA3038" s="177"/>
    </row>
    <row r="3039" spans="22:27" x14ac:dyDescent="0.2">
      <c r="V3039" s="163"/>
      <c r="W3039" s="158" t="str">
        <f t="shared" si="59"/>
        <v>1w</v>
      </c>
      <c r="X3039" s="168">
        <f>_xll.qlCalendarAdvance(Calendar,X3038,W3039,"f",FALSE)</f>
        <v>60534</v>
      </c>
      <c r="Y3039" s="173">
        <f>_xll.qlCalendarAdvance(Calendar,X3039,NDays&amp;"D")</f>
        <v>60534</v>
      </c>
      <c r="Z3039" s="174" t="e">
        <v>#N/A</v>
      </c>
      <c r="AA3039" s="177"/>
    </row>
    <row r="3040" spans="22:27" x14ac:dyDescent="0.2">
      <c r="V3040" s="163"/>
      <c r="W3040" s="158" t="str">
        <f t="shared" si="59"/>
        <v>1w</v>
      </c>
      <c r="X3040" s="168">
        <f>_xll.qlCalendarAdvance(Calendar,X3039,W3040,"f",FALSE)</f>
        <v>60541</v>
      </c>
      <c r="Y3040" s="173">
        <f>_xll.qlCalendarAdvance(Calendar,X3040,NDays&amp;"D")</f>
        <v>60541</v>
      </c>
      <c r="Z3040" s="174" t="e">
        <v>#N/A</v>
      </c>
      <c r="AA3040" s="177"/>
    </row>
    <row r="3041" spans="22:27" x14ac:dyDescent="0.2">
      <c r="V3041" s="163"/>
      <c r="W3041" s="158" t="str">
        <f t="shared" si="59"/>
        <v>1w</v>
      </c>
      <c r="X3041" s="168">
        <f>_xll.qlCalendarAdvance(Calendar,X3040,W3041,"f",FALSE)</f>
        <v>60548</v>
      </c>
      <c r="Y3041" s="173">
        <f>_xll.qlCalendarAdvance(Calendar,X3041,NDays&amp;"D")</f>
        <v>60548</v>
      </c>
      <c r="Z3041" s="174" t="e">
        <v>#N/A</v>
      </c>
      <c r="AA3041" s="177"/>
    </row>
    <row r="3042" spans="22:27" x14ac:dyDescent="0.2">
      <c r="V3042" s="163"/>
      <c r="W3042" s="158" t="str">
        <f t="shared" si="59"/>
        <v>1w</v>
      </c>
      <c r="X3042" s="168">
        <f>_xll.qlCalendarAdvance(Calendar,X3041,W3042,"f",FALSE)</f>
        <v>60555</v>
      </c>
      <c r="Y3042" s="173">
        <f>_xll.qlCalendarAdvance(Calendar,X3042,NDays&amp;"D")</f>
        <v>60555</v>
      </c>
      <c r="Z3042" s="174" t="e">
        <v>#N/A</v>
      </c>
      <c r="AA3042" s="177"/>
    </row>
    <row r="3043" spans="22:27" x14ac:dyDescent="0.2">
      <c r="V3043" s="163"/>
      <c r="W3043" s="158" t="str">
        <f t="shared" si="59"/>
        <v>1w</v>
      </c>
      <c r="X3043" s="168">
        <f>_xll.qlCalendarAdvance(Calendar,X3042,W3043,"f",FALSE)</f>
        <v>60562</v>
      </c>
      <c r="Y3043" s="173">
        <f>_xll.qlCalendarAdvance(Calendar,X3043,NDays&amp;"D")</f>
        <v>60562</v>
      </c>
      <c r="Z3043" s="174" t="e">
        <v>#N/A</v>
      </c>
      <c r="AA3043" s="177"/>
    </row>
    <row r="3044" spans="22:27" x14ac:dyDescent="0.2">
      <c r="V3044" s="163"/>
      <c r="W3044" s="158" t="str">
        <f t="shared" si="59"/>
        <v>1w</v>
      </c>
      <c r="X3044" s="168">
        <f>_xll.qlCalendarAdvance(Calendar,X3043,W3044,"f",FALSE)</f>
        <v>60569</v>
      </c>
      <c r="Y3044" s="173">
        <f>_xll.qlCalendarAdvance(Calendar,X3044,NDays&amp;"D")</f>
        <v>60569</v>
      </c>
      <c r="Z3044" s="174" t="e">
        <v>#N/A</v>
      </c>
      <c r="AA3044" s="177"/>
    </row>
    <row r="3045" spans="22:27" x14ac:dyDescent="0.2">
      <c r="V3045" s="163"/>
      <c r="W3045" s="158" t="str">
        <f t="shared" si="59"/>
        <v>1w</v>
      </c>
      <c r="X3045" s="168">
        <f>_xll.qlCalendarAdvance(Calendar,X3044,W3045,"f",FALSE)</f>
        <v>60576</v>
      </c>
      <c r="Y3045" s="173">
        <f>_xll.qlCalendarAdvance(Calendar,X3045,NDays&amp;"D")</f>
        <v>60576</v>
      </c>
      <c r="Z3045" s="174" t="e">
        <v>#N/A</v>
      </c>
      <c r="AA3045" s="177"/>
    </row>
    <row r="3046" spans="22:27" x14ac:dyDescent="0.2">
      <c r="V3046" s="163"/>
      <c r="W3046" s="158" t="str">
        <f t="shared" si="59"/>
        <v>1w</v>
      </c>
      <c r="X3046" s="168">
        <f>_xll.qlCalendarAdvance(Calendar,X3045,W3046,"f",FALSE)</f>
        <v>60583</v>
      </c>
      <c r="Y3046" s="173">
        <f>_xll.qlCalendarAdvance(Calendar,X3046,NDays&amp;"D")</f>
        <v>60583</v>
      </c>
      <c r="Z3046" s="174" t="e">
        <v>#N/A</v>
      </c>
      <c r="AA3046" s="177"/>
    </row>
    <row r="3047" spans="22:27" x14ac:dyDescent="0.2">
      <c r="V3047" s="163"/>
      <c r="W3047" s="158" t="str">
        <f t="shared" si="59"/>
        <v>1w</v>
      </c>
      <c r="X3047" s="168">
        <f>_xll.qlCalendarAdvance(Calendar,X3046,W3047,"f",FALSE)</f>
        <v>60590</v>
      </c>
      <c r="Y3047" s="173">
        <f>_xll.qlCalendarAdvance(Calendar,X3047,NDays&amp;"D")</f>
        <v>60590</v>
      </c>
      <c r="Z3047" s="174" t="e">
        <v>#N/A</v>
      </c>
      <c r="AA3047" s="177"/>
    </row>
    <row r="3048" spans="22:27" x14ac:dyDescent="0.2">
      <c r="V3048" s="163"/>
      <c r="W3048" s="158" t="str">
        <f t="shared" si="59"/>
        <v>1w</v>
      </c>
      <c r="X3048" s="168">
        <f>_xll.qlCalendarAdvance(Calendar,X3047,W3048,"f",FALSE)</f>
        <v>60597</v>
      </c>
      <c r="Y3048" s="173">
        <f>_xll.qlCalendarAdvance(Calendar,X3048,NDays&amp;"D")</f>
        <v>60597</v>
      </c>
      <c r="Z3048" s="174" t="e">
        <v>#N/A</v>
      </c>
      <c r="AA3048" s="177"/>
    </row>
    <row r="3049" spans="22:27" x14ac:dyDescent="0.2">
      <c r="V3049" s="163"/>
      <c r="W3049" s="158" t="str">
        <f t="shared" si="59"/>
        <v>1w</v>
      </c>
      <c r="X3049" s="168">
        <f>_xll.qlCalendarAdvance(Calendar,X3048,W3049,"f",FALSE)</f>
        <v>60604</v>
      </c>
      <c r="Y3049" s="173">
        <f>_xll.qlCalendarAdvance(Calendar,X3049,NDays&amp;"D")</f>
        <v>60604</v>
      </c>
      <c r="Z3049" s="174" t="e">
        <v>#N/A</v>
      </c>
      <c r="AA3049" s="177"/>
    </row>
    <row r="3050" spans="22:27" x14ac:dyDescent="0.2">
      <c r="V3050" s="163"/>
      <c r="W3050" s="158" t="str">
        <f t="shared" si="59"/>
        <v>1w</v>
      </c>
      <c r="X3050" s="168">
        <f>_xll.qlCalendarAdvance(Calendar,X3049,W3050,"f",FALSE)</f>
        <v>60611</v>
      </c>
      <c r="Y3050" s="173">
        <f>_xll.qlCalendarAdvance(Calendar,X3050,NDays&amp;"D")</f>
        <v>60611</v>
      </c>
      <c r="Z3050" s="174" t="e">
        <v>#N/A</v>
      </c>
      <c r="AA3050" s="177"/>
    </row>
    <row r="3051" spans="22:27" x14ac:dyDescent="0.2">
      <c r="V3051" s="163"/>
      <c r="W3051" s="158" t="str">
        <f t="shared" si="59"/>
        <v>1w</v>
      </c>
      <c r="X3051" s="168">
        <f>_xll.qlCalendarAdvance(Calendar,X3050,W3051,"f",FALSE)</f>
        <v>60618</v>
      </c>
      <c r="Y3051" s="173">
        <f>_xll.qlCalendarAdvance(Calendar,X3051,NDays&amp;"D")</f>
        <v>60618</v>
      </c>
      <c r="Z3051" s="174" t="e">
        <v>#N/A</v>
      </c>
      <c r="AA3051" s="177"/>
    </row>
    <row r="3052" spans="22:27" x14ac:dyDescent="0.2">
      <c r="V3052" s="163"/>
      <c r="W3052" s="158" t="str">
        <f t="shared" si="59"/>
        <v>1w</v>
      </c>
      <c r="X3052" s="168">
        <f>_xll.qlCalendarAdvance(Calendar,X3051,W3052,"f",FALSE)</f>
        <v>60625</v>
      </c>
      <c r="Y3052" s="173">
        <f>_xll.qlCalendarAdvance(Calendar,X3052,NDays&amp;"D")</f>
        <v>60625</v>
      </c>
      <c r="Z3052" s="174" t="e">
        <v>#N/A</v>
      </c>
      <c r="AA3052" s="177"/>
    </row>
    <row r="3053" spans="22:27" x14ac:dyDescent="0.2">
      <c r="V3053" s="163"/>
      <c r="W3053" s="158" t="str">
        <f t="shared" si="59"/>
        <v>1w</v>
      </c>
      <c r="X3053" s="168">
        <f>_xll.qlCalendarAdvance(Calendar,X3052,W3053,"f",FALSE)</f>
        <v>60636</v>
      </c>
      <c r="Y3053" s="173">
        <f>_xll.qlCalendarAdvance(Calendar,X3053,NDays&amp;"D")</f>
        <v>60636</v>
      </c>
      <c r="Z3053" s="174" t="e">
        <v>#N/A</v>
      </c>
      <c r="AA3053" s="177"/>
    </row>
    <row r="3054" spans="22:27" x14ac:dyDescent="0.2">
      <c r="V3054" s="163"/>
      <c r="W3054" s="158" t="str">
        <f t="shared" si="59"/>
        <v>1w</v>
      </c>
      <c r="X3054" s="168">
        <f>_xll.qlCalendarAdvance(Calendar,X3053,W3054,"f",FALSE)</f>
        <v>60644</v>
      </c>
      <c r="Y3054" s="173">
        <f>_xll.qlCalendarAdvance(Calendar,X3054,NDays&amp;"D")</f>
        <v>60644</v>
      </c>
      <c r="Z3054" s="174" t="e">
        <v>#N/A</v>
      </c>
      <c r="AA3054" s="177"/>
    </row>
    <row r="3055" spans="22:27" x14ac:dyDescent="0.2">
      <c r="V3055" s="163"/>
      <c r="W3055" s="158" t="str">
        <f t="shared" si="59"/>
        <v>1w</v>
      </c>
      <c r="X3055" s="168">
        <f>_xll.qlCalendarAdvance(Calendar,X3054,W3055,"f",FALSE)</f>
        <v>60651</v>
      </c>
      <c r="Y3055" s="173">
        <f>_xll.qlCalendarAdvance(Calendar,X3055,NDays&amp;"D")</f>
        <v>60651</v>
      </c>
      <c r="Z3055" s="174" t="e">
        <v>#N/A</v>
      </c>
      <c r="AA3055" s="177"/>
    </row>
    <row r="3056" spans="22:27" x14ac:dyDescent="0.2">
      <c r="V3056" s="163"/>
      <c r="W3056" s="158" t="str">
        <f t="shared" si="59"/>
        <v>1w</v>
      </c>
      <c r="X3056" s="168">
        <f>_xll.qlCalendarAdvance(Calendar,X3055,W3056,"f",FALSE)</f>
        <v>60658</v>
      </c>
      <c r="Y3056" s="173">
        <f>_xll.qlCalendarAdvance(Calendar,X3056,NDays&amp;"D")</f>
        <v>60658</v>
      </c>
      <c r="Z3056" s="174" t="e">
        <v>#N/A</v>
      </c>
      <c r="AA3056" s="177"/>
    </row>
    <row r="3057" spans="22:27" x14ac:dyDescent="0.2">
      <c r="V3057" s="163"/>
      <c r="W3057" s="158" t="str">
        <f t="shared" si="59"/>
        <v>1w</v>
      </c>
      <c r="X3057" s="168">
        <f>_xll.qlCalendarAdvance(Calendar,X3056,W3057,"f",FALSE)</f>
        <v>60665</v>
      </c>
      <c r="Y3057" s="173">
        <f>_xll.qlCalendarAdvance(Calendar,X3057,NDays&amp;"D")</f>
        <v>60665</v>
      </c>
      <c r="Z3057" s="174" t="e">
        <v>#N/A</v>
      </c>
      <c r="AA3057" s="177"/>
    </row>
    <row r="3058" spans="22:27" x14ac:dyDescent="0.2">
      <c r="V3058" s="163"/>
      <c r="W3058" s="158" t="str">
        <f t="shared" si="59"/>
        <v>1w</v>
      </c>
      <c r="X3058" s="168">
        <f>_xll.qlCalendarAdvance(Calendar,X3057,W3058,"f",FALSE)</f>
        <v>60672</v>
      </c>
      <c r="Y3058" s="173">
        <f>_xll.qlCalendarAdvance(Calendar,X3058,NDays&amp;"D")</f>
        <v>60672</v>
      </c>
      <c r="Z3058" s="174" t="e">
        <v>#N/A</v>
      </c>
      <c r="AA3058" s="177"/>
    </row>
    <row r="3059" spans="22:27" x14ac:dyDescent="0.2">
      <c r="V3059" s="163"/>
      <c r="W3059" s="158" t="str">
        <f t="shared" si="59"/>
        <v>1w</v>
      </c>
      <c r="X3059" s="168">
        <f>_xll.qlCalendarAdvance(Calendar,X3058,W3059,"f",FALSE)</f>
        <v>60679</v>
      </c>
      <c r="Y3059" s="173">
        <f>_xll.qlCalendarAdvance(Calendar,X3059,NDays&amp;"D")</f>
        <v>60679</v>
      </c>
      <c r="Z3059" s="174" t="e">
        <v>#N/A</v>
      </c>
      <c r="AA3059" s="177"/>
    </row>
    <row r="3060" spans="22:27" x14ac:dyDescent="0.2">
      <c r="V3060" s="163"/>
      <c r="W3060" s="158" t="str">
        <f t="shared" si="59"/>
        <v>1w</v>
      </c>
      <c r="X3060" s="168">
        <f>_xll.qlCalendarAdvance(Calendar,X3059,W3060,"f",FALSE)</f>
        <v>60686</v>
      </c>
      <c r="Y3060" s="173">
        <f>_xll.qlCalendarAdvance(Calendar,X3060,NDays&amp;"D")</f>
        <v>60686</v>
      </c>
      <c r="Z3060" s="174" t="e">
        <v>#N/A</v>
      </c>
      <c r="AA3060" s="177"/>
    </row>
    <row r="3061" spans="22:27" x14ac:dyDescent="0.2">
      <c r="V3061" s="163"/>
      <c r="W3061" s="158" t="str">
        <f t="shared" si="59"/>
        <v>1w</v>
      </c>
      <c r="X3061" s="168">
        <f>_xll.qlCalendarAdvance(Calendar,X3060,W3061,"f",FALSE)</f>
        <v>60693</v>
      </c>
      <c r="Y3061" s="173">
        <f>_xll.qlCalendarAdvance(Calendar,X3061,NDays&amp;"D")</f>
        <v>60693</v>
      </c>
      <c r="Z3061" s="174" t="e">
        <v>#N/A</v>
      </c>
      <c r="AA3061" s="177"/>
    </row>
    <row r="3062" spans="22:27" x14ac:dyDescent="0.2">
      <c r="V3062" s="163"/>
      <c r="W3062" s="158" t="str">
        <f t="shared" si="59"/>
        <v>1w</v>
      </c>
      <c r="X3062" s="168">
        <f>_xll.qlCalendarAdvance(Calendar,X3061,W3062,"f",FALSE)</f>
        <v>60700</v>
      </c>
      <c r="Y3062" s="173">
        <f>_xll.qlCalendarAdvance(Calendar,X3062,NDays&amp;"D")</f>
        <v>60700</v>
      </c>
      <c r="Z3062" s="174" t="e">
        <v>#N/A</v>
      </c>
      <c r="AA3062" s="177"/>
    </row>
    <row r="3063" spans="22:27" x14ac:dyDescent="0.2">
      <c r="V3063" s="163"/>
      <c r="W3063" s="158" t="str">
        <f t="shared" si="59"/>
        <v>1w</v>
      </c>
      <c r="X3063" s="168">
        <f>_xll.qlCalendarAdvance(Calendar,X3062,W3063,"f",FALSE)</f>
        <v>60707</v>
      </c>
      <c r="Y3063" s="173">
        <f>_xll.qlCalendarAdvance(Calendar,X3063,NDays&amp;"D")</f>
        <v>60707</v>
      </c>
      <c r="Z3063" s="174" t="e">
        <v>#N/A</v>
      </c>
      <c r="AA3063" s="177"/>
    </row>
    <row r="3064" spans="22:27" x14ac:dyDescent="0.2">
      <c r="V3064" s="163"/>
      <c r="W3064" s="158" t="str">
        <f t="shared" si="59"/>
        <v>1w</v>
      </c>
      <c r="X3064" s="168">
        <f>_xll.qlCalendarAdvance(Calendar,X3063,W3064,"f",FALSE)</f>
        <v>60714</v>
      </c>
      <c r="Y3064" s="173">
        <f>_xll.qlCalendarAdvance(Calendar,X3064,NDays&amp;"D")</f>
        <v>60714</v>
      </c>
      <c r="Z3064" s="174" t="e">
        <v>#N/A</v>
      </c>
      <c r="AA3064" s="177"/>
    </row>
    <row r="3065" spans="22:27" x14ac:dyDescent="0.2">
      <c r="V3065" s="163"/>
      <c r="W3065" s="158" t="str">
        <f t="shared" si="59"/>
        <v>1w</v>
      </c>
      <c r="X3065" s="168">
        <f>_xll.qlCalendarAdvance(Calendar,X3064,W3065,"f",FALSE)</f>
        <v>60721</v>
      </c>
      <c r="Y3065" s="173">
        <f>_xll.qlCalendarAdvance(Calendar,X3065,NDays&amp;"D")</f>
        <v>60721</v>
      </c>
      <c r="Z3065" s="174" t="e">
        <v>#N/A</v>
      </c>
      <c r="AA3065" s="177"/>
    </row>
    <row r="3066" spans="22:27" x14ac:dyDescent="0.2">
      <c r="V3066" s="163"/>
      <c r="W3066" s="158" t="str">
        <f t="shared" si="59"/>
        <v>1w</v>
      </c>
      <c r="X3066" s="168">
        <f>_xll.qlCalendarAdvance(Calendar,X3065,W3066,"f",FALSE)</f>
        <v>60728</v>
      </c>
      <c r="Y3066" s="173">
        <f>_xll.qlCalendarAdvance(Calendar,X3066,NDays&amp;"D")</f>
        <v>60728</v>
      </c>
      <c r="Z3066" s="174" t="e">
        <v>#N/A</v>
      </c>
      <c r="AA3066" s="177"/>
    </row>
    <row r="3067" spans="22:27" x14ac:dyDescent="0.2">
      <c r="V3067" s="163"/>
      <c r="W3067" s="158" t="str">
        <f t="shared" si="59"/>
        <v>1w</v>
      </c>
      <c r="X3067" s="168">
        <f>_xll.qlCalendarAdvance(Calendar,X3066,W3067,"f",FALSE)</f>
        <v>60735</v>
      </c>
      <c r="Y3067" s="173">
        <f>_xll.qlCalendarAdvance(Calendar,X3067,NDays&amp;"D")</f>
        <v>60735</v>
      </c>
      <c r="Z3067" s="174" t="e">
        <v>#N/A</v>
      </c>
      <c r="AA3067" s="177"/>
    </row>
    <row r="3068" spans="22:27" x14ac:dyDescent="0.2">
      <c r="V3068" s="163"/>
      <c r="W3068" s="158" t="str">
        <f t="shared" si="59"/>
        <v>1w</v>
      </c>
      <c r="X3068" s="168">
        <f>_xll.qlCalendarAdvance(Calendar,X3067,W3068,"f",FALSE)</f>
        <v>60742</v>
      </c>
      <c r="Y3068" s="173">
        <f>_xll.qlCalendarAdvance(Calendar,X3068,NDays&amp;"D")</f>
        <v>60742</v>
      </c>
      <c r="Z3068" s="174" t="e">
        <v>#N/A</v>
      </c>
      <c r="AA3068" s="177"/>
    </row>
    <row r="3069" spans="22:27" x14ac:dyDescent="0.2">
      <c r="V3069" s="163"/>
      <c r="W3069" s="158" t="str">
        <f t="shared" si="59"/>
        <v>1w</v>
      </c>
      <c r="X3069" s="168">
        <f>_xll.qlCalendarAdvance(Calendar,X3068,W3069,"f",FALSE)</f>
        <v>60749</v>
      </c>
      <c r="Y3069" s="173">
        <f>_xll.qlCalendarAdvance(Calendar,X3069,NDays&amp;"D")</f>
        <v>60749</v>
      </c>
      <c r="Z3069" s="174" t="e">
        <v>#N/A</v>
      </c>
      <c r="AA3069" s="177"/>
    </row>
    <row r="3070" spans="22:27" x14ac:dyDescent="0.2">
      <c r="V3070" s="163"/>
      <c r="W3070" s="158" t="str">
        <f t="shared" si="59"/>
        <v>1w</v>
      </c>
      <c r="X3070" s="168">
        <f>_xll.qlCalendarAdvance(Calendar,X3069,W3070,"f",FALSE)</f>
        <v>60758</v>
      </c>
      <c r="Y3070" s="173">
        <f>_xll.qlCalendarAdvance(Calendar,X3070,NDays&amp;"D")</f>
        <v>60758</v>
      </c>
      <c r="Z3070" s="174" t="e">
        <v>#N/A</v>
      </c>
      <c r="AA3070" s="177"/>
    </row>
    <row r="3071" spans="22:27" x14ac:dyDescent="0.2">
      <c r="V3071" s="163"/>
      <c r="W3071" s="158" t="str">
        <f t="shared" si="59"/>
        <v>1w</v>
      </c>
      <c r="X3071" s="168">
        <f>_xll.qlCalendarAdvance(Calendar,X3070,W3071,"f",FALSE)</f>
        <v>60765</v>
      </c>
      <c r="Y3071" s="173">
        <f>_xll.qlCalendarAdvance(Calendar,X3071,NDays&amp;"D")</f>
        <v>60765</v>
      </c>
      <c r="Z3071" s="174" t="e">
        <v>#N/A</v>
      </c>
      <c r="AA3071" s="177"/>
    </row>
    <row r="3072" spans="22:27" x14ac:dyDescent="0.2">
      <c r="V3072" s="163"/>
      <c r="W3072" s="158" t="str">
        <f t="shared" si="59"/>
        <v>1w</v>
      </c>
      <c r="X3072" s="168">
        <f>_xll.qlCalendarAdvance(Calendar,X3071,W3072,"f",FALSE)</f>
        <v>60772</v>
      </c>
      <c r="Y3072" s="173">
        <f>_xll.qlCalendarAdvance(Calendar,X3072,NDays&amp;"D")</f>
        <v>60772</v>
      </c>
      <c r="Z3072" s="174" t="e">
        <v>#N/A</v>
      </c>
      <c r="AA3072" s="177"/>
    </row>
    <row r="3073" spans="22:27" x14ac:dyDescent="0.2">
      <c r="V3073" s="163"/>
      <c r="W3073" s="158" t="str">
        <f t="shared" si="59"/>
        <v>1w</v>
      </c>
      <c r="X3073" s="168">
        <f>_xll.qlCalendarAdvance(Calendar,X3072,W3073,"f",FALSE)</f>
        <v>60779</v>
      </c>
      <c r="Y3073" s="173">
        <f>_xll.qlCalendarAdvance(Calendar,X3073,NDays&amp;"D")</f>
        <v>60779</v>
      </c>
      <c r="Z3073" s="174" t="e">
        <v>#N/A</v>
      </c>
      <c r="AA3073" s="177"/>
    </row>
    <row r="3074" spans="22:27" x14ac:dyDescent="0.2">
      <c r="V3074" s="163"/>
      <c r="W3074" s="158" t="str">
        <f t="shared" si="59"/>
        <v>1w</v>
      </c>
      <c r="X3074" s="168">
        <f>_xll.qlCalendarAdvance(Calendar,X3073,W3074,"f",FALSE)</f>
        <v>60786</v>
      </c>
      <c r="Y3074" s="173">
        <f>_xll.qlCalendarAdvance(Calendar,X3074,NDays&amp;"D")</f>
        <v>60786</v>
      </c>
      <c r="Z3074" s="174" t="e">
        <v>#N/A</v>
      </c>
      <c r="AA3074" s="177"/>
    </row>
    <row r="3075" spans="22:27" x14ac:dyDescent="0.2">
      <c r="V3075" s="163"/>
      <c r="W3075" s="158" t="str">
        <f t="shared" si="59"/>
        <v>1w</v>
      </c>
      <c r="X3075" s="168">
        <f>_xll.qlCalendarAdvance(Calendar,X3074,W3075,"f",FALSE)</f>
        <v>60793</v>
      </c>
      <c r="Y3075" s="173">
        <f>_xll.qlCalendarAdvance(Calendar,X3075,NDays&amp;"D")</f>
        <v>60793</v>
      </c>
      <c r="Z3075" s="174" t="e">
        <v>#N/A</v>
      </c>
      <c r="AA3075" s="177"/>
    </row>
    <row r="3076" spans="22:27" x14ac:dyDescent="0.2">
      <c r="V3076" s="163"/>
      <c r="W3076" s="158" t="str">
        <f t="shared" si="59"/>
        <v>1w</v>
      </c>
      <c r="X3076" s="168">
        <f>_xll.qlCalendarAdvance(Calendar,X3075,W3076,"f",FALSE)</f>
        <v>60800</v>
      </c>
      <c r="Y3076" s="173">
        <f>_xll.qlCalendarAdvance(Calendar,X3076,NDays&amp;"D")</f>
        <v>60800</v>
      </c>
      <c r="Z3076" s="174" t="e">
        <v>#N/A</v>
      </c>
      <c r="AA3076" s="177"/>
    </row>
    <row r="3077" spans="22:27" x14ac:dyDescent="0.2">
      <c r="V3077" s="163"/>
      <c r="W3077" s="158" t="str">
        <f t="shared" si="59"/>
        <v>1w</v>
      </c>
      <c r="X3077" s="168">
        <f>_xll.qlCalendarAdvance(Calendar,X3076,W3077,"f",FALSE)</f>
        <v>60807</v>
      </c>
      <c r="Y3077" s="173">
        <f>_xll.qlCalendarAdvance(Calendar,X3077,NDays&amp;"D")</f>
        <v>60807</v>
      </c>
      <c r="Z3077" s="174" t="e">
        <v>#N/A</v>
      </c>
      <c r="AA3077" s="177"/>
    </row>
    <row r="3078" spans="22:27" x14ac:dyDescent="0.2">
      <c r="V3078" s="163"/>
      <c r="W3078" s="158" t="str">
        <f t="shared" si="59"/>
        <v>1w</v>
      </c>
      <c r="X3078" s="168">
        <f>_xll.qlCalendarAdvance(Calendar,X3077,W3078,"f",FALSE)</f>
        <v>60814</v>
      </c>
      <c r="Y3078" s="173">
        <f>_xll.qlCalendarAdvance(Calendar,X3078,NDays&amp;"D")</f>
        <v>60814</v>
      </c>
      <c r="Z3078" s="174" t="e">
        <v>#N/A</v>
      </c>
      <c r="AA3078" s="177"/>
    </row>
    <row r="3079" spans="22:27" x14ac:dyDescent="0.2">
      <c r="V3079" s="163"/>
      <c r="W3079" s="158" t="str">
        <f t="shared" si="59"/>
        <v>1w</v>
      </c>
      <c r="X3079" s="168">
        <f>_xll.qlCalendarAdvance(Calendar,X3078,W3079,"f",FALSE)</f>
        <v>60821</v>
      </c>
      <c r="Y3079" s="173">
        <f>_xll.qlCalendarAdvance(Calendar,X3079,NDays&amp;"D")</f>
        <v>60821</v>
      </c>
      <c r="Z3079" s="174" t="e">
        <v>#N/A</v>
      </c>
      <c r="AA3079" s="177"/>
    </row>
    <row r="3080" spans="22:27" x14ac:dyDescent="0.2">
      <c r="V3080" s="163"/>
      <c r="W3080" s="158" t="str">
        <f t="shared" si="59"/>
        <v>1w</v>
      </c>
      <c r="X3080" s="168">
        <f>_xll.qlCalendarAdvance(Calendar,X3079,W3080,"f",FALSE)</f>
        <v>60828</v>
      </c>
      <c r="Y3080" s="173">
        <f>_xll.qlCalendarAdvance(Calendar,X3080,NDays&amp;"D")</f>
        <v>60828</v>
      </c>
      <c r="Z3080" s="174" t="e">
        <v>#N/A</v>
      </c>
      <c r="AA3080" s="177"/>
    </row>
    <row r="3081" spans="22:27" x14ac:dyDescent="0.2">
      <c r="V3081" s="163"/>
      <c r="W3081" s="158" t="str">
        <f t="shared" si="59"/>
        <v>1w</v>
      </c>
      <c r="X3081" s="168">
        <f>_xll.qlCalendarAdvance(Calendar,X3080,W3081,"f",FALSE)</f>
        <v>60835</v>
      </c>
      <c r="Y3081" s="173">
        <f>_xll.qlCalendarAdvance(Calendar,X3081,NDays&amp;"D")</f>
        <v>60835</v>
      </c>
      <c r="Z3081" s="174" t="e">
        <v>#N/A</v>
      </c>
      <c r="AA3081" s="177"/>
    </row>
    <row r="3082" spans="22:27" x14ac:dyDescent="0.2">
      <c r="V3082" s="163"/>
      <c r="W3082" s="158" t="str">
        <f t="shared" si="59"/>
        <v>1w</v>
      </c>
      <c r="X3082" s="168">
        <f>_xll.qlCalendarAdvance(Calendar,X3081,W3082,"f",FALSE)</f>
        <v>60842</v>
      </c>
      <c r="Y3082" s="173">
        <f>_xll.qlCalendarAdvance(Calendar,X3082,NDays&amp;"D")</f>
        <v>60842</v>
      </c>
      <c r="Z3082" s="174" t="e">
        <v>#N/A</v>
      </c>
      <c r="AA3082" s="177"/>
    </row>
    <row r="3083" spans="22:27" x14ac:dyDescent="0.2">
      <c r="V3083" s="163"/>
      <c r="W3083" s="158" t="str">
        <f t="shared" si="59"/>
        <v>1w</v>
      </c>
      <c r="X3083" s="168">
        <f>_xll.qlCalendarAdvance(Calendar,X3082,W3083,"f",FALSE)</f>
        <v>60849</v>
      </c>
      <c r="Y3083" s="173">
        <f>_xll.qlCalendarAdvance(Calendar,X3083,NDays&amp;"D")</f>
        <v>60849</v>
      </c>
      <c r="Z3083" s="174" t="e">
        <v>#N/A</v>
      </c>
      <c r="AA3083" s="177"/>
    </row>
    <row r="3084" spans="22:27" x14ac:dyDescent="0.2">
      <c r="V3084" s="163"/>
      <c r="W3084" s="158" t="str">
        <f t="shared" si="59"/>
        <v>1w</v>
      </c>
      <c r="X3084" s="168">
        <f>_xll.qlCalendarAdvance(Calendar,X3083,W3084,"f",FALSE)</f>
        <v>60856</v>
      </c>
      <c r="Y3084" s="173">
        <f>_xll.qlCalendarAdvance(Calendar,X3084,NDays&amp;"D")</f>
        <v>60856</v>
      </c>
      <c r="Z3084" s="174" t="e">
        <v>#N/A</v>
      </c>
      <c r="AA3084" s="177"/>
    </row>
    <row r="3085" spans="22:27" x14ac:dyDescent="0.2">
      <c r="V3085" s="163"/>
      <c r="W3085" s="158" t="str">
        <f t="shared" ref="W3085:W3148" si="60">W3084</f>
        <v>1w</v>
      </c>
      <c r="X3085" s="168">
        <f>_xll.qlCalendarAdvance(Calendar,X3084,W3085,"f",FALSE)</f>
        <v>60863</v>
      </c>
      <c r="Y3085" s="173">
        <f>_xll.qlCalendarAdvance(Calendar,X3085,NDays&amp;"D")</f>
        <v>60863</v>
      </c>
      <c r="Z3085" s="174" t="e">
        <v>#N/A</v>
      </c>
      <c r="AA3085" s="177"/>
    </row>
    <row r="3086" spans="22:27" x14ac:dyDescent="0.2">
      <c r="V3086" s="163"/>
      <c r="W3086" s="158" t="str">
        <f t="shared" si="60"/>
        <v>1w</v>
      </c>
      <c r="X3086" s="168">
        <f>_xll.qlCalendarAdvance(Calendar,X3085,W3086,"f",FALSE)</f>
        <v>60870</v>
      </c>
      <c r="Y3086" s="173">
        <f>_xll.qlCalendarAdvance(Calendar,X3086,NDays&amp;"D")</f>
        <v>60870</v>
      </c>
      <c r="Z3086" s="174" t="e">
        <v>#N/A</v>
      </c>
      <c r="AA3086" s="177"/>
    </row>
    <row r="3087" spans="22:27" x14ac:dyDescent="0.2">
      <c r="V3087" s="163"/>
      <c r="W3087" s="158" t="str">
        <f t="shared" si="60"/>
        <v>1w</v>
      </c>
      <c r="X3087" s="168">
        <f>_xll.qlCalendarAdvance(Calendar,X3086,W3087,"f",FALSE)</f>
        <v>60877</v>
      </c>
      <c r="Y3087" s="173">
        <f>_xll.qlCalendarAdvance(Calendar,X3087,NDays&amp;"D")</f>
        <v>60877</v>
      </c>
      <c r="Z3087" s="174" t="e">
        <v>#N/A</v>
      </c>
      <c r="AA3087" s="177"/>
    </row>
    <row r="3088" spans="22:27" x14ac:dyDescent="0.2">
      <c r="V3088" s="163"/>
      <c r="W3088" s="158" t="str">
        <f t="shared" si="60"/>
        <v>1w</v>
      </c>
      <c r="X3088" s="168">
        <f>_xll.qlCalendarAdvance(Calendar,X3087,W3088,"f",FALSE)</f>
        <v>60884</v>
      </c>
      <c r="Y3088" s="173">
        <f>_xll.qlCalendarAdvance(Calendar,X3088,NDays&amp;"D")</f>
        <v>60884</v>
      </c>
      <c r="Z3088" s="174" t="e">
        <v>#N/A</v>
      </c>
      <c r="AA3088" s="177"/>
    </row>
    <row r="3089" spans="22:27" x14ac:dyDescent="0.2">
      <c r="V3089" s="163"/>
      <c r="W3089" s="158" t="str">
        <f t="shared" si="60"/>
        <v>1w</v>
      </c>
      <c r="X3089" s="168">
        <f>_xll.qlCalendarAdvance(Calendar,X3088,W3089,"f",FALSE)</f>
        <v>60891</v>
      </c>
      <c r="Y3089" s="173">
        <f>_xll.qlCalendarAdvance(Calendar,X3089,NDays&amp;"D")</f>
        <v>60891</v>
      </c>
      <c r="Z3089" s="174" t="e">
        <v>#N/A</v>
      </c>
      <c r="AA3089" s="177"/>
    </row>
    <row r="3090" spans="22:27" x14ac:dyDescent="0.2">
      <c r="V3090" s="163"/>
      <c r="W3090" s="158" t="str">
        <f t="shared" si="60"/>
        <v>1w</v>
      </c>
      <c r="X3090" s="168">
        <f>_xll.qlCalendarAdvance(Calendar,X3089,W3090,"f",FALSE)</f>
        <v>60899</v>
      </c>
      <c r="Y3090" s="173">
        <f>_xll.qlCalendarAdvance(Calendar,X3090,NDays&amp;"D")</f>
        <v>60899</v>
      </c>
      <c r="Z3090" s="174" t="e">
        <v>#N/A</v>
      </c>
      <c r="AA3090" s="177"/>
    </row>
    <row r="3091" spans="22:27" x14ac:dyDescent="0.2">
      <c r="V3091" s="163"/>
      <c r="W3091" s="158" t="str">
        <f t="shared" si="60"/>
        <v>1w</v>
      </c>
      <c r="X3091" s="168">
        <f>_xll.qlCalendarAdvance(Calendar,X3090,W3091,"f",FALSE)</f>
        <v>60906</v>
      </c>
      <c r="Y3091" s="173">
        <f>_xll.qlCalendarAdvance(Calendar,X3091,NDays&amp;"D")</f>
        <v>60906</v>
      </c>
      <c r="Z3091" s="174" t="e">
        <v>#N/A</v>
      </c>
      <c r="AA3091" s="177"/>
    </row>
    <row r="3092" spans="22:27" x14ac:dyDescent="0.2">
      <c r="V3092" s="163"/>
      <c r="W3092" s="158" t="str">
        <f t="shared" si="60"/>
        <v>1w</v>
      </c>
      <c r="X3092" s="168">
        <f>_xll.qlCalendarAdvance(Calendar,X3091,W3092,"f",FALSE)</f>
        <v>60913</v>
      </c>
      <c r="Y3092" s="173">
        <f>_xll.qlCalendarAdvance(Calendar,X3092,NDays&amp;"D")</f>
        <v>60913</v>
      </c>
      <c r="Z3092" s="174" t="e">
        <v>#N/A</v>
      </c>
      <c r="AA3092" s="177"/>
    </row>
    <row r="3093" spans="22:27" x14ac:dyDescent="0.2">
      <c r="V3093" s="163"/>
      <c r="W3093" s="158" t="str">
        <f t="shared" si="60"/>
        <v>1w</v>
      </c>
      <c r="X3093" s="168">
        <f>_xll.qlCalendarAdvance(Calendar,X3092,W3093,"f",FALSE)</f>
        <v>60920</v>
      </c>
      <c r="Y3093" s="173">
        <f>_xll.qlCalendarAdvance(Calendar,X3093,NDays&amp;"D")</f>
        <v>60920</v>
      </c>
      <c r="Z3093" s="174" t="e">
        <v>#N/A</v>
      </c>
      <c r="AA3093" s="177"/>
    </row>
    <row r="3094" spans="22:27" x14ac:dyDescent="0.2">
      <c r="V3094" s="163"/>
      <c r="W3094" s="158" t="str">
        <f t="shared" si="60"/>
        <v>1w</v>
      </c>
      <c r="X3094" s="168">
        <f>_xll.qlCalendarAdvance(Calendar,X3093,W3094,"f",FALSE)</f>
        <v>60927</v>
      </c>
      <c r="Y3094" s="173">
        <f>_xll.qlCalendarAdvance(Calendar,X3094,NDays&amp;"D")</f>
        <v>60927</v>
      </c>
      <c r="Z3094" s="174" t="e">
        <v>#N/A</v>
      </c>
      <c r="AA3094" s="177"/>
    </row>
    <row r="3095" spans="22:27" x14ac:dyDescent="0.2">
      <c r="V3095" s="163"/>
      <c r="W3095" s="158" t="str">
        <f t="shared" si="60"/>
        <v>1w</v>
      </c>
      <c r="X3095" s="168">
        <f>_xll.qlCalendarAdvance(Calendar,X3094,W3095,"f",FALSE)</f>
        <v>60934</v>
      </c>
      <c r="Y3095" s="173">
        <f>_xll.qlCalendarAdvance(Calendar,X3095,NDays&amp;"D")</f>
        <v>60934</v>
      </c>
      <c r="Z3095" s="174" t="e">
        <v>#N/A</v>
      </c>
      <c r="AA3095" s="177"/>
    </row>
    <row r="3096" spans="22:27" x14ac:dyDescent="0.2">
      <c r="V3096" s="163"/>
      <c r="W3096" s="158" t="str">
        <f t="shared" si="60"/>
        <v>1w</v>
      </c>
      <c r="X3096" s="168">
        <f>_xll.qlCalendarAdvance(Calendar,X3095,W3096,"f",FALSE)</f>
        <v>60941</v>
      </c>
      <c r="Y3096" s="173">
        <f>_xll.qlCalendarAdvance(Calendar,X3096,NDays&amp;"D")</f>
        <v>60941</v>
      </c>
      <c r="Z3096" s="174" t="e">
        <v>#N/A</v>
      </c>
      <c r="AA3096" s="177"/>
    </row>
    <row r="3097" spans="22:27" x14ac:dyDescent="0.2">
      <c r="V3097" s="163"/>
      <c r="W3097" s="158" t="str">
        <f t="shared" si="60"/>
        <v>1w</v>
      </c>
      <c r="X3097" s="168">
        <f>_xll.qlCalendarAdvance(Calendar,X3096,W3097,"f",FALSE)</f>
        <v>60948</v>
      </c>
      <c r="Y3097" s="173">
        <f>_xll.qlCalendarAdvance(Calendar,X3097,NDays&amp;"D")</f>
        <v>60948</v>
      </c>
      <c r="Z3097" s="174" t="e">
        <v>#N/A</v>
      </c>
      <c r="AA3097" s="177"/>
    </row>
    <row r="3098" spans="22:27" x14ac:dyDescent="0.2">
      <c r="V3098" s="163"/>
      <c r="W3098" s="158" t="str">
        <f t="shared" si="60"/>
        <v>1w</v>
      </c>
      <c r="X3098" s="168">
        <f>_xll.qlCalendarAdvance(Calendar,X3097,W3098,"f",FALSE)</f>
        <v>60955</v>
      </c>
      <c r="Y3098" s="173">
        <f>_xll.qlCalendarAdvance(Calendar,X3098,NDays&amp;"D")</f>
        <v>60955</v>
      </c>
      <c r="Z3098" s="174" t="e">
        <v>#N/A</v>
      </c>
      <c r="AA3098" s="177"/>
    </row>
    <row r="3099" spans="22:27" x14ac:dyDescent="0.2">
      <c r="V3099" s="163"/>
      <c r="W3099" s="158" t="str">
        <f t="shared" si="60"/>
        <v>1w</v>
      </c>
      <c r="X3099" s="168">
        <f>_xll.qlCalendarAdvance(Calendar,X3098,W3099,"f",FALSE)</f>
        <v>60962</v>
      </c>
      <c r="Y3099" s="173">
        <f>_xll.qlCalendarAdvance(Calendar,X3099,NDays&amp;"D")</f>
        <v>60962</v>
      </c>
      <c r="Z3099" s="174" t="e">
        <v>#N/A</v>
      </c>
      <c r="AA3099" s="177"/>
    </row>
    <row r="3100" spans="22:27" x14ac:dyDescent="0.2">
      <c r="V3100" s="163"/>
      <c r="W3100" s="158" t="str">
        <f t="shared" si="60"/>
        <v>1w</v>
      </c>
      <c r="X3100" s="168">
        <f>_xll.qlCalendarAdvance(Calendar,X3099,W3100,"f",FALSE)</f>
        <v>60969</v>
      </c>
      <c r="Y3100" s="173">
        <f>_xll.qlCalendarAdvance(Calendar,X3100,NDays&amp;"D")</f>
        <v>60969</v>
      </c>
      <c r="Z3100" s="174" t="e">
        <v>#N/A</v>
      </c>
      <c r="AA3100" s="177"/>
    </row>
    <row r="3101" spans="22:27" x14ac:dyDescent="0.2">
      <c r="V3101" s="163"/>
      <c r="W3101" s="158" t="str">
        <f t="shared" si="60"/>
        <v>1w</v>
      </c>
      <c r="X3101" s="168">
        <f>_xll.qlCalendarAdvance(Calendar,X3100,W3101,"f",FALSE)</f>
        <v>60976</v>
      </c>
      <c r="Y3101" s="173">
        <f>_xll.qlCalendarAdvance(Calendar,X3101,NDays&amp;"D")</f>
        <v>60976</v>
      </c>
      <c r="Z3101" s="174" t="e">
        <v>#N/A</v>
      </c>
      <c r="AA3101" s="177"/>
    </row>
    <row r="3102" spans="22:27" x14ac:dyDescent="0.2">
      <c r="V3102" s="163"/>
      <c r="W3102" s="158" t="str">
        <f t="shared" si="60"/>
        <v>1w</v>
      </c>
      <c r="X3102" s="168">
        <f>_xll.qlCalendarAdvance(Calendar,X3101,W3102,"f",FALSE)</f>
        <v>60983</v>
      </c>
      <c r="Y3102" s="173">
        <f>_xll.qlCalendarAdvance(Calendar,X3102,NDays&amp;"D")</f>
        <v>60983</v>
      </c>
      <c r="Z3102" s="174" t="e">
        <v>#N/A</v>
      </c>
      <c r="AA3102" s="177"/>
    </row>
    <row r="3103" spans="22:27" x14ac:dyDescent="0.2">
      <c r="V3103" s="163"/>
      <c r="W3103" s="158" t="str">
        <f t="shared" si="60"/>
        <v>1w</v>
      </c>
      <c r="X3103" s="168">
        <f>_xll.qlCalendarAdvance(Calendar,X3102,W3103,"f",FALSE)</f>
        <v>60990</v>
      </c>
      <c r="Y3103" s="173">
        <f>_xll.qlCalendarAdvance(Calendar,X3103,NDays&amp;"D")</f>
        <v>60990</v>
      </c>
      <c r="Z3103" s="174" t="e">
        <v>#N/A</v>
      </c>
      <c r="AA3103" s="177"/>
    </row>
    <row r="3104" spans="22:27" x14ac:dyDescent="0.2">
      <c r="V3104" s="163"/>
      <c r="W3104" s="158" t="str">
        <f t="shared" si="60"/>
        <v>1w</v>
      </c>
      <c r="X3104" s="168">
        <f>_xll.qlCalendarAdvance(Calendar,X3103,W3104,"f",FALSE)</f>
        <v>61001</v>
      </c>
      <c r="Y3104" s="173">
        <f>_xll.qlCalendarAdvance(Calendar,X3104,NDays&amp;"D")</f>
        <v>61001</v>
      </c>
      <c r="Z3104" s="174" t="e">
        <v>#N/A</v>
      </c>
      <c r="AA3104" s="177"/>
    </row>
    <row r="3105" spans="22:27" x14ac:dyDescent="0.2">
      <c r="V3105" s="163"/>
      <c r="W3105" s="158" t="str">
        <f t="shared" si="60"/>
        <v>1w</v>
      </c>
      <c r="X3105" s="168">
        <f>_xll.qlCalendarAdvance(Calendar,X3104,W3105,"f",FALSE)</f>
        <v>61008</v>
      </c>
      <c r="Y3105" s="173">
        <f>_xll.qlCalendarAdvance(Calendar,X3105,NDays&amp;"D")</f>
        <v>61008</v>
      </c>
      <c r="Z3105" s="174" t="e">
        <v>#N/A</v>
      </c>
      <c r="AA3105" s="177"/>
    </row>
    <row r="3106" spans="22:27" x14ac:dyDescent="0.2">
      <c r="V3106" s="163"/>
      <c r="W3106" s="158" t="str">
        <f t="shared" si="60"/>
        <v>1w</v>
      </c>
      <c r="X3106" s="168">
        <f>_xll.qlCalendarAdvance(Calendar,X3105,W3106,"f",FALSE)</f>
        <v>61015</v>
      </c>
      <c r="Y3106" s="173">
        <f>_xll.qlCalendarAdvance(Calendar,X3106,NDays&amp;"D")</f>
        <v>61015</v>
      </c>
      <c r="Z3106" s="174" t="e">
        <v>#N/A</v>
      </c>
      <c r="AA3106" s="177"/>
    </row>
    <row r="3107" spans="22:27" x14ac:dyDescent="0.2">
      <c r="V3107" s="163"/>
      <c r="W3107" s="158" t="str">
        <f t="shared" si="60"/>
        <v>1w</v>
      </c>
      <c r="X3107" s="168">
        <f>_xll.qlCalendarAdvance(Calendar,X3106,W3107,"f",FALSE)</f>
        <v>61022</v>
      </c>
      <c r="Y3107" s="173">
        <f>_xll.qlCalendarAdvance(Calendar,X3107,NDays&amp;"D")</f>
        <v>61022</v>
      </c>
      <c r="Z3107" s="174" t="e">
        <v>#N/A</v>
      </c>
      <c r="AA3107" s="177"/>
    </row>
    <row r="3108" spans="22:27" x14ac:dyDescent="0.2">
      <c r="V3108" s="163"/>
      <c r="W3108" s="158" t="str">
        <f t="shared" si="60"/>
        <v>1w</v>
      </c>
      <c r="X3108" s="168">
        <f>_xll.qlCalendarAdvance(Calendar,X3107,W3108,"f",FALSE)</f>
        <v>61029</v>
      </c>
      <c r="Y3108" s="173">
        <f>_xll.qlCalendarAdvance(Calendar,X3108,NDays&amp;"D")</f>
        <v>61029</v>
      </c>
      <c r="Z3108" s="174" t="e">
        <v>#N/A</v>
      </c>
      <c r="AA3108" s="177"/>
    </row>
    <row r="3109" spans="22:27" x14ac:dyDescent="0.2">
      <c r="V3109" s="163"/>
      <c r="W3109" s="158" t="str">
        <f t="shared" si="60"/>
        <v>1w</v>
      </c>
      <c r="X3109" s="168">
        <f>_xll.qlCalendarAdvance(Calendar,X3108,W3109,"f",FALSE)</f>
        <v>61036</v>
      </c>
      <c r="Y3109" s="173">
        <f>_xll.qlCalendarAdvance(Calendar,X3109,NDays&amp;"D")</f>
        <v>61036</v>
      </c>
      <c r="Z3109" s="174" t="e">
        <v>#N/A</v>
      </c>
      <c r="AA3109" s="177"/>
    </row>
    <row r="3110" spans="22:27" x14ac:dyDescent="0.2">
      <c r="V3110" s="163"/>
      <c r="W3110" s="158" t="str">
        <f t="shared" si="60"/>
        <v>1w</v>
      </c>
      <c r="X3110" s="168">
        <f>_xll.qlCalendarAdvance(Calendar,X3109,W3110,"f",FALSE)</f>
        <v>61043</v>
      </c>
      <c r="Y3110" s="173">
        <f>_xll.qlCalendarAdvance(Calendar,X3110,NDays&amp;"D")</f>
        <v>61043</v>
      </c>
      <c r="Z3110" s="174" t="e">
        <v>#N/A</v>
      </c>
      <c r="AA3110" s="177"/>
    </row>
    <row r="3111" spans="22:27" x14ac:dyDescent="0.2">
      <c r="V3111" s="163"/>
      <c r="W3111" s="158" t="str">
        <f t="shared" si="60"/>
        <v>1w</v>
      </c>
      <c r="X3111" s="168">
        <f>_xll.qlCalendarAdvance(Calendar,X3110,W3111,"f",FALSE)</f>
        <v>61050</v>
      </c>
      <c r="Y3111" s="173">
        <f>_xll.qlCalendarAdvance(Calendar,X3111,NDays&amp;"D")</f>
        <v>61050</v>
      </c>
      <c r="Z3111" s="174" t="e">
        <v>#N/A</v>
      </c>
      <c r="AA3111" s="177"/>
    </row>
    <row r="3112" spans="22:27" x14ac:dyDescent="0.2">
      <c r="V3112" s="163"/>
      <c r="W3112" s="158" t="str">
        <f t="shared" si="60"/>
        <v>1w</v>
      </c>
      <c r="X3112" s="168">
        <f>_xll.qlCalendarAdvance(Calendar,X3111,W3112,"f",FALSE)</f>
        <v>61057</v>
      </c>
      <c r="Y3112" s="173">
        <f>_xll.qlCalendarAdvance(Calendar,X3112,NDays&amp;"D")</f>
        <v>61057</v>
      </c>
      <c r="Z3112" s="174" t="e">
        <v>#N/A</v>
      </c>
      <c r="AA3112" s="177"/>
    </row>
    <row r="3113" spans="22:27" x14ac:dyDescent="0.2">
      <c r="V3113" s="163"/>
      <c r="W3113" s="158" t="str">
        <f t="shared" si="60"/>
        <v>1w</v>
      </c>
      <c r="X3113" s="168">
        <f>_xll.qlCalendarAdvance(Calendar,X3112,W3113,"f",FALSE)</f>
        <v>61064</v>
      </c>
      <c r="Y3113" s="173">
        <f>_xll.qlCalendarAdvance(Calendar,X3113,NDays&amp;"D")</f>
        <v>61064</v>
      </c>
      <c r="Z3113" s="174" t="e">
        <v>#N/A</v>
      </c>
      <c r="AA3113" s="177"/>
    </row>
    <row r="3114" spans="22:27" x14ac:dyDescent="0.2">
      <c r="V3114" s="163"/>
      <c r="W3114" s="158" t="str">
        <f t="shared" si="60"/>
        <v>1w</v>
      </c>
      <c r="X3114" s="168">
        <f>_xll.qlCalendarAdvance(Calendar,X3113,W3114,"f",FALSE)</f>
        <v>61071</v>
      </c>
      <c r="Y3114" s="173">
        <f>_xll.qlCalendarAdvance(Calendar,X3114,NDays&amp;"D")</f>
        <v>61071</v>
      </c>
      <c r="Z3114" s="174" t="e">
        <v>#N/A</v>
      </c>
      <c r="AA3114" s="177"/>
    </row>
    <row r="3115" spans="22:27" x14ac:dyDescent="0.2">
      <c r="V3115" s="163"/>
      <c r="W3115" s="158" t="str">
        <f t="shared" si="60"/>
        <v>1w</v>
      </c>
      <c r="X3115" s="168">
        <f>_xll.qlCalendarAdvance(Calendar,X3114,W3115,"f",FALSE)</f>
        <v>61078</v>
      </c>
      <c r="Y3115" s="173">
        <f>_xll.qlCalendarAdvance(Calendar,X3115,NDays&amp;"D")</f>
        <v>61078</v>
      </c>
      <c r="Z3115" s="174" t="e">
        <v>#N/A</v>
      </c>
      <c r="AA3115" s="177"/>
    </row>
    <row r="3116" spans="22:27" x14ac:dyDescent="0.2">
      <c r="V3116" s="163"/>
      <c r="W3116" s="158" t="str">
        <f t="shared" si="60"/>
        <v>1w</v>
      </c>
      <c r="X3116" s="168">
        <f>_xll.qlCalendarAdvance(Calendar,X3115,W3116,"f",FALSE)</f>
        <v>61085</v>
      </c>
      <c r="Y3116" s="173">
        <f>_xll.qlCalendarAdvance(Calendar,X3116,NDays&amp;"D")</f>
        <v>61085</v>
      </c>
      <c r="Z3116" s="174" t="e">
        <v>#N/A</v>
      </c>
      <c r="AA3116" s="177"/>
    </row>
    <row r="3117" spans="22:27" x14ac:dyDescent="0.2">
      <c r="V3117" s="163"/>
      <c r="W3117" s="158" t="str">
        <f t="shared" si="60"/>
        <v>1w</v>
      </c>
      <c r="X3117" s="168">
        <f>_xll.qlCalendarAdvance(Calendar,X3116,W3117,"f",FALSE)</f>
        <v>61092</v>
      </c>
      <c r="Y3117" s="173">
        <f>_xll.qlCalendarAdvance(Calendar,X3117,NDays&amp;"D")</f>
        <v>61092</v>
      </c>
      <c r="Z3117" s="174" t="e">
        <v>#N/A</v>
      </c>
      <c r="AA3117" s="177"/>
    </row>
    <row r="3118" spans="22:27" x14ac:dyDescent="0.2">
      <c r="V3118" s="163"/>
      <c r="W3118" s="158" t="str">
        <f t="shared" si="60"/>
        <v>1w</v>
      </c>
      <c r="X3118" s="168">
        <f>_xll.qlCalendarAdvance(Calendar,X3117,W3118,"f",FALSE)</f>
        <v>61099</v>
      </c>
      <c r="Y3118" s="173">
        <f>_xll.qlCalendarAdvance(Calendar,X3118,NDays&amp;"D")</f>
        <v>61099</v>
      </c>
      <c r="Z3118" s="174" t="e">
        <v>#N/A</v>
      </c>
      <c r="AA3118" s="177"/>
    </row>
    <row r="3119" spans="22:27" x14ac:dyDescent="0.2">
      <c r="V3119" s="163"/>
      <c r="W3119" s="158" t="str">
        <f t="shared" si="60"/>
        <v>1w</v>
      </c>
      <c r="X3119" s="168">
        <f>_xll.qlCalendarAdvance(Calendar,X3118,W3119,"f",FALSE)</f>
        <v>61106</v>
      </c>
      <c r="Y3119" s="173">
        <f>_xll.qlCalendarAdvance(Calendar,X3119,NDays&amp;"D")</f>
        <v>61106</v>
      </c>
      <c r="Z3119" s="174" t="e">
        <v>#N/A</v>
      </c>
      <c r="AA3119" s="177"/>
    </row>
    <row r="3120" spans="22:27" x14ac:dyDescent="0.2">
      <c r="V3120" s="163"/>
      <c r="W3120" s="158" t="str">
        <f t="shared" si="60"/>
        <v>1w</v>
      </c>
      <c r="X3120" s="168">
        <f>_xll.qlCalendarAdvance(Calendar,X3119,W3120,"f",FALSE)</f>
        <v>61113</v>
      </c>
      <c r="Y3120" s="173">
        <f>_xll.qlCalendarAdvance(Calendar,X3120,NDays&amp;"D")</f>
        <v>61113</v>
      </c>
      <c r="Z3120" s="174" t="e">
        <v>#N/A</v>
      </c>
      <c r="AA3120" s="177"/>
    </row>
    <row r="3121" spans="22:27" x14ac:dyDescent="0.2">
      <c r="V3121" s="163"/>
      <c r="W3121" s="158" t="str">
        <f t="shared" si="60"/>
        <v>1w</v>
      </c>
      <c r="X3121" s="168">
        <f>_xll.qlCalendarAdvance(Calendar,X3120,W3121,"f",FALSE)</f>
        <v>61123</v>
      </c>
      <c r="Y3121" s="173">
        <f>_xll.qlCalendarAdvance(Calendar,X3121,NDays&amp;"D")</f>
        <v>61123</v>
      </c>
      <c r="Z3121" s="174" t="e">
        <v>#N/A</v>
      </c>
      <c r="AA3121" s="177"/>
    </row>
    <row r="3122" spans="22:27" x14ac:dyDescent="0.2">
      <c r="V3122" s="163"/>
      <c r="W3122" s="158" t="str">
        <f t="shared" si="60"/>
        <v>1w</v>
      </c>
      <c r="X3122" s="168">
        <f>_xll.qlCalendarAdvance(Calendar,X3121,W3122,"f",FALSE)</f>
        <v>61130</v>
      </c>
      <c r="Y3122" s="173">
        <f>_xll.qlCalendarAdvance(Calendar,X3122,NDays&amp;"D")</f>
        <v>61130</v>
      </c>
      <c r="Z3122" s="174" t="e">
        <v>#N/A</v>
      </c>
      <c r="AA3122" s="177"/>
    </row>
    <row r="3123" spans="22:27" x14ac:dyDescent="0.2">
      <c r="V3123" s="163"/>
      <c r="W3123" s="158" t="str">
        <f t="shared" si="60"/>
        <v>1w</v>
      </c>
      <c r="X3123" s="168">
        <f>_xll.qlCalendarAdvance(Calendar,X3122,W3123,"f",FALSE)</f>
        <v>61137</v>
      </c>
      <c r="Y3123" s="173">
        <f>_xll.qlCalendarAdvance(Calendar,X3123,NDays&amp;"D")</f>
        <v>61137</v>
      </c>
      <c r="Z3123" s="174" t="e">
        <v>#N/A</v>
      </c>
      <c r="AA3123" s="177"/>
    </row>
    <row r="3124" spans="22:27" x14ac:dyDescent="0.2">
      <c r="V3124" s="163"/>
      <c r="W3124" s="158" t="str">
        <f t="shared" si="60"/>
        <v>1w</v>
      </c>
      <c r="X3124" s="168">
        <f>_xll.qlCalendarAdvance(Calendar,X3123,W3124,"f",FALSE)</f>
        <v>61144</v>
      </c>
      <c r="Y3124" s="173">
        <f>_xll.qlCalendarAdvance(Calendar,X3124,NDays&amp;"D")</f>
        <v>61144</v>
      </c>
      <c r="Z3124" s="174" t="e">
        <v>#N/A</v>
      </c>
      <c r="AA3124" s="177"/>
    </row>
    <row r="3125" spans="22:27" x14ac:dyDescent="0.2">
      <c r="V3125" s="163"/>
      <c r="W3125" s="158" t="str">
        <f t="shared" si="60"/>
        <v>1w</v>
      </c>
      <c r="X3125" s="168">
        <f>_xll.qlCalendarAdvance(Calendar,X3124,W3125,"f",FALSE)</f>
        <v>61151</v>
      </c>
      <c r="Y3125" s="173">
        <f>_xll.qlCalendarAdvance(Calendar,X3125,NDays&amp;"D")</f>
        <v>61151</v>
      </c>
      <c r="Z3125" s="174" t="e">
        <v>#N/A</v>
      </c>
      <c r="AA3125" s="177"/>
    </row>
    <row r="3126" spans="22:27" x14ac:dyDescent="0.2">
      <c r="V3126" s="163"/>
      <c r="W3126" s="158" t="str">
        <f t="shared" si="60"/>
        <v>1w</v>
      </c>
      <c r="X3126" s="168">
        <f>_xll.qlCalendarAdvance(Calendar,X3125,W3126,"f",FALSE)</f>
        <v>61158</v>
      </c>
      <c r="Y3126" s="173">
        <f>_xll.qlCalendarAdvance(Calendar,X3126,NDays&amp;"D")</f>
        <v>61158</v>
      </c>
      <c r="Z3126" s="174" t="e">
        <v>#N/A</v>
      </c>
      <c r="AA3126" s="177"/>
    </row>
    <row r="3127" spans="22:27" x14ac:dyDescent="0.2">
      <c r="V3127" s="163"/>
      <c r="W3127" s="158" t="str">
        <f t="shared" si="60"/>
        <v>1w</v>
      </c>
      <c r="X3127" s="168">
        <f>_xll.qlCalendarAdvance(Calendar,X3126,W3127,"f",FALSE)</f>
        <v>61165</v>
      </c>
      <c r="Y3127" s="173">
        <f>_xll.qlCalendarAdvance(Calendar,X3127,NDays&amp;"D")</f>
        <v>61165</v>
      </c>
      <c r="Z3127" s="174" t="e">
        <v>#N/A</v>
      </c>
      <c r="AA3127" s="177"/>
    </row>
    <row r="3128" spans="22:27" x14ac:dyDescent="0.2">
      <c r="V3128" s="163"/>
      <c r="W3128" s="158" t="str">
        <f t="shared" si="60"/>
        <v>1w</v>
      </c>
      <c r="X3128" s="168">
        <f>_xll.qlCalendarAdvance(Calendar,X3127,W3128,"f",FALSE)</f>
        <v>61172</v>
      </c>
      <c r="Y3128" s="173">
        <f>_xll.qlCalendarAdvance(Calendar,X3128,NDays&amp;"D")</f>
        <v>61172</v>
      </c>
      <c r="Z3128" s="174" t="e">
        <v>#N/A</v>
      </c>
      <c r="AA3128" s="177"/>
    </row>
    <row r="3129" spans="22:27" x14ac:dyDescent="0.2">
      <c r="V3129" s="163"/>
      <c r="W3129" s="158" t="str">
        <f t="shared" si="60"/>
        <v>1w</v>
      </c>
      <c r="X3129" s="168">
        <f>_xll.qlCalendarAdvance(Calendar,X3128,W3129,"f",FALSE)</f>
        <v>61179</v>
      </c>
      <c r="Y3129" s="173">
        <f>_xll.qlCalendarAdvance(Calendar,X3129,NDays&amp;"D")</f>
        <v>61179</v>
      </c>
      <c r="Z3129" s="174" t="e">
        <v>#N/A</v>
      </c>
      <c r="AA3129" s="177"/>
    </row>
    <row r="3130" spans="22:27" x14ac:dyDescent="0.2">
      <c r="V3130" s="163"/>
      <c r="W3130" s="158" t="str">
        <f t="shared" si="60"/>
        <v>1w</v>
      </c>
      <c r="X3130" s="168">
        <f>_xll.qlCalendarAdvance(Calendar,X3129,W3130,"f",FALSE)</f>
        <v>61186</v>
      </c>
      <c r="Y3130" s="173">
        <f>_xll.qlCalendarAdvance(Calendar,X3130,NDays&amp;"D")</f>
        <v>61186</v>
      </c>
      <c r="Z3130" s="174" t="e">
        <v>#N/A</v>
      </c>
      <c r="AA3130" s="177"/>
    </row>
    <row r="3131" spans="22:27" x14ac:dyDescent="0.2">
      <c r="V3131" s="163"/>
      <c r="W3131" s="158" t="str">
        <f t="shared" si="60"/>
        <v>1w</v>
      </c>
      <c r="X3131" s="168">
        <f>_xll.qlCalendarAdvance(Calendar,X3130,W3131,"f",FALSE)</f>
        <v>61193</v>
      </c>
      <c r="Y3131" s="173">
        <f>_xll.qlCalendarAdvance(Calendar,X3131,NDays&amp;"D")</f>
        <v>61193</v>
      </c>
      <c r="Z3131" s="174" t="e">
        <v>#N/A</v>
      </c>
      <c r="AA3131" s="177"/>
    </row>
    <row r="3132" spans="22:27" x14ac:dyDescent="0.2">
      <c r="V3132" s="163"/>
      <c r="W3132" s="158" t="str">
        <f t="shared" si="60"/>
        <v>1w</v>
      </c>
      <c r="X3132" s="168">
        <f>_xll.qlCalendarAdvance(Calendar,X3131,W3132,"f",FALSE)</f>
        <v>61200</v>
      </c>
      <c r="Y3132" s="173">
        <f>_xll.qlCalendarAdvance(Calendar,X3132,NDays&amp;"D")</f>
        <v>61200</v>
      </c>
      <c r="Z3132" s="174" t="e">
        <v>#N/A</v>
      </c>
      <c r="AA3132" s="177"/>
    </row>
    <row r="3133" spans="22:27" x14ac:dyDescent="0.2">
      <c r="V3133" s="163"/>
      <c r="W3133" s="158" t="str">
        <f t="shared" si="60"/>
        <v>1w</v>
      </c>
      <c r="X3133" s="168">
        <f>_xll.qlCalendarAdvance(Calendar,X3132,W3133,"f",FALSE)</f>
        <v>61207</v>
      </c>
      <c r="Y3133" s="173">
        <f>_xll.qlCalendarAdvance(Calendar,X3133,NDays&amp;"D")</f>
        <v>61207</v>
      </c>
      <c r="Z3133" s="174" t="e">
        <v>#N/A</v>
      </c>
      <c r="AA3133" s="177"/>
    </row>
    <row r="3134" spans="22:27" x14ac:dyDescent="0.2">
      <c r="V3134" s="163"/>
      <c r="W3134" s="158" t="str">
        <f t="shared" si="60"/>
        <v>1w</v>
      </c>
      <c r="X3134" s="168">
        <f>_xll.qlCalendarAdvance(Calendar,X3133,W3134,"f",FALSE)</f>
        <v>61214</v>
      </c>
      <c r="Y3134" s="173">
        <f>_xll.qlCalendarAdvance(Calendar,X3134,NDays&amp;"D")</f>
        <v>61214</v>
      </c>
      <c r="Z3134" s="174" t="e">
        <v>#N/A</v>
      </c>
      <c r="AA3134" s="177"/>
    </row>
    <row r="3135" spans="22:27" x14ac:dyDescent="0.2">
      <c r="V3135" s="163"/>
      <c r="W3135" s="158" t="str">
        <f t="shared" si="60"/>
        <v>1w</v>
      </c>
      <c r="X3135" s="168">
        <f>_xll.qlCalendarAdvance(Calendar,X3134,W3135,"f",FALSE)</f>
        <v>61221</v>
      </c>
      <c r="Y3135" s="173">
        <f>_xll.qlCalendarAdvance(Calendar,X3135,NDays&amp;"D")</f>
        <v>61221</v>
      </c>
      <c r="Z3135" s="174" t="e">
        <v>#N/A</v>
      </c>
      <c r="AA3135" s="177"/>
    </row>
    <row r="3136" spans="22:27" x14ac:dyDescent="0.2">
      <c r="V3136" s="163"/>
      <c r="W3136" s="158" t="str">
        <f t="shared" si="60"/>
        <v>1w</v>
      </c>
      <c r="X3136" s="168">
        <f>_xll.qlCalendarAdvance(Calendar,X3135,W3136,"f",FALSE)</f>
        <v>61228</v>
      </c>
      <c r="Y3136" s="173">
        <f>_xll.qlCalendarAdvance(Calendar,X3136,NDays&amp;"D")</f>
        <v>61228</v>
      </c>
      <c r="Z3136" s="174" t="e">
        <v>#N/A</v>
      </c>
      <c r="AA3136" s="177"/>
    </row>
    <row r="3137" spans="22:27" x14ac:dyDescent="0.2">
      <c r="V3137" s="163"/>
      <c r="W3137" s="158" t="str">
        <f t="shared" si="60"/>
        <v>1w</v>
      </c>
      <c r="X3137" s="168">
        <f>_xll.qlCalendarAdvance(Calendar,X3136,W3137,"f",FALSE)</f>
        <v>61235</v>
      </c>
      <c r="Y3137" s="173">
        <f>_xll.qlCalendarAdvance(Calendar,X3137,NDays&amp;"D")</f>
        <v>61235</v>
      </c>
      <c r="Z3137" s="174" t="e">
        <v>#N/A</v>
      </c>
      <c r="AA3137" s="177"/>
    </row>
    <row r="3138" spans="22:27" x14ac:dyDescent="0.2">
      <c r="V3138" s="163"/>
      <c r="W3138" s="158" t="str">
        <f t="shared" si="60"/>
        <v>1w</v>
      </c>
      <c r="X3138" s="168">
        <f>_xll.qlCalendarAdvance(Calendar,X3137,W3138,"f",FALSE)</f>
        <v>61242</v>
      </c>
      <c r="Y3138" s="173">
        <f>_xll.qlCalendarAdvance(Calendar,X3138,NDays&amp;"D")</f>
        <v>61242</v>
      </c>
      <c r="Z3138" s="174" t="e">
        <v>#N/A</v>
      </c>
      <c r="AA3138" s="177"/>
    </row>
    <row r="3139" spans="22:27" x14ac:dyDescent="0.2">
      <c r="V3139" s="163"/>
      <c r="W3139" s="158" t="str">
        <f t="shared" si="60"/>
        <v>1w</v>
      </c>
      <c r="X3139" s="168">
        <f>_xll.qlCalendarAdvance(Calendar,X3138,W3139,"f",FALSE)</f>
        <v>61249</v>
      </c>
      <c r="Y3139" s="173">
        <f>_xll.qlCalendarAdvance(Calendar,X3139,NDays&amp;"D")</f>
        <v>61249</v>
      </c>
      <c r="Z3139" s="174" t="e">
        <v>#N/A</v>
      </c>
      <c r="AA3139" s="177"/>
    </row>
    <row r="3140" spans="22:27" x14ac:dyDescent="0.2">
      <c r="V3140" s="163"/>
      <c r="W3140" s="158" t="str">
        <f t="shared" si="60"/>
        <v>1w</v>
      </c>
      <c r="X3140" s="168">
        <f>_xll.qlCalendarAdvance(Calendar,X3139,W3140,"f",FALSE)</f>
        <v>61256</v>
      </c>
      <c r="Y3140" s="173">
        <f>_xll.qlCalendarAdvance(Calendar,X3140,NDays&amp;"D")</f>
        <v>61256</v>
      </c>
      <c r="Z3140" s="174" t="e">
        <v>#N/A</v>
      </c>
      <c r="AA3140" s="177"/>
    </row>
    <row r="3141" spans="22:27" x14ac:dyDescent="0.2">
      <c r="V3141" s="163"/>
      <c r="W3141" s="158" t="str">
        <f t="shared" si="60"/>
        <v>1w</v>
      </c>
      <c r="X3141" s="168">
        <f>_xll.qlCalendarAdvance(Calendar,X3140,W3141,"f",FALSE)</f>
        <v>61266</v>
      </c>
      <c r="Y3141" s="173">
        <f>_xll.qlCalendarAdvance(Calendar,X3141,NDays&amp;"D")</f>
        <v>61266</v>
      </c>
      <c r="Z3141" s="174" t="e">
        <v>#N/A</v>
      </c>
      <c r="AA3141" s="177"/>
    </row>
    <row r="3142" spans="22:27" x14ac:dyDescent="0.2">
      <c r="V3142" s="163"/>
      <c r="W3142" s="158" t="str">
        <f t="shared" si="60"/>
        <v>1w</v>
      </c>
      <c r="X3142" s="168">
        <f>_xll.qlCalendarAdvance(Calendar,X3141,W3142,"f",FALSE)</f>
        <v>61273</v>
      </c>
      <c r="Y3142" s="173">
        <f>_xll.qlCalendarAdvance(Calendar,X3142,NDays&amp;"D")</f>
        <v>61273</v>
      </c>
      <c r="Z3142" s="174" t="e">
        <v>#N/A</v>
      </c>
      <c r="AA3142" s="177"/>
    </row>
    <row r="3143" spans="22:27" x14ac:dyDescent="0.2">
      <c r="V3143" s="163"/>
      <c r="W3143" s="158" t="str">
        <f t="shared" si="60"/>
        <v>1w</v>
      </c>
      <c r="X3143" s="168">
        <f>_xll.qlCalendarAdvance(Calendar,X3142,W3143,"f",FALSE)</f>
        <v>61281</v>
      </c>
      <c r="Y3143" s="173">
        <f>_xll.qlCalendarAdvance(Calendar,X3143,NDays&amp;"D")</f>
        <v>61281</v>
      </c>
      <c r="Z3143" s="174" t="e">
        <v>#N/A</v>
      </c>
      <c r="AA3143" s="177"/>
    </row>
    <row r="3144" spans="22:27" x14ac:dyDescent="0.2">
      <c r="V3144" s="163"/>
      <c r="W3144" s="158" t="str">
        <f t="shared" si="60"/>
        <v>1w</v>
      </c>
      <c r="X3144" s="168">
        <f>_xll.qlCalendarAdvance(Calendar,X3143,W3144,"f",FALSE)</f>
        <v>61288</v>
      </c>
      <c r="Y3144" s="173">
        <f>_xll.qlCalendarAdvance(Calendar,X3144,NDays&amp;"D")</f>
        <v>61288</v>
      </c>
      <c r="Z3144" s="174" t="e">
        <v>#N/A</v>
      </c>
      <c r="AA3144" s="177"/>
    </row>
    <row r="3145" spans="22:27" x14ac:dyDescent="0.2">
      <c r="V3145" s="163"/>
      <c r="W3145" s="158" t="str">
        <f t="shared" si="60"/>
        <v>1w</v>
      </c>
      <c r="X3145" s="168">
        <f>_xll.qlCalendarAdvance(Calendar,X3144,W3145,"f",FALSE)</f>
        <v>61295</v>
      </c>
      <c r="Y3145" s="173">
        <f>_xll.qlCalendarAdvance(Calendar,X3145,NDays&amp;"D")</f>
        <v>61295</v>
      </c>
      <c r="Z3145" s="174" t="e">
        <v>#N/A</v>
      </c>
      <c r="AA3145" s="177"/>
    </row>
    <row r="3146" spans="22:27" x14ac:dyDescent="0.2">
      <c r="V3146" s="163"/>
      <c r="W3146" s="158" t="str">
        <f t="shared" si="60"/>
        <v>1w</v>
      </c>
      <c r="X3146" s="168">
        <f>_xll.qlCalendarAdvance(Calendar,X3145,W3146,"f",FALSE)</f>
        <v>61302</v>
      </c>
      <c r="Y3146" s="173">
        <f>_xll.qlCalendarAdvance(Calendar,X3146,NDays&amp;"D")</f>
        <v>61302</v>
      </c>
      <c r="Z3146" s="174" t="e">
        <v>#N/A</v>
      </c>
      <c r="AA3146" s="177"/>
    </row>
    <row r="3147" spans="22:27" x14ac:dyDescent="0.2">
      <c r="V3147" s="163"/>
      <c r="W3147" s="158" t="str">
        <f t="shared" si="60"/>
        <v>1w</v>
      </c>
      <c r="X3147" s="168">
        <f>_xll.qlCalendarAdvance(Calendar,X3146,W3147,"f",FALSE)</f>
        <v>61309</v>
      </c>
      <c r="Y3147" s="173">
        <f>_xll.qlCalendarAdvance(Calendar,X3147,NDays&amp;"D")</f>
        <v>61309</v>
      </c>
      <c r="Z3147" s="174" t="e">
        <v>#N/A</v>
      </c>
      <c r="AA3147" s="177"/>
    </row>
    <row r="3148" spans="22:27" x14ac:dyDescent="0.2">
      <c r="V3148" s="163"/>
      <c r="W3148" s="158" t="str">
        <f t="shared" si="60"/>
        <v>1w</v>
      </c>
      <c r="X3148" s="168">
        <f>_xll.qlCalendarAdvance(Calendar,X3147,W3148,"f",FALSE)</f>
        <v>61316</v>
      </c>
      <c r="Y3148" s="173">
        <f>_xll.qlCalendarAdvance(Calendar,X3148,NDays&amp;"D")</f>
        <v>61316</v>
      </c>
      <c r="Z3148" s="174" t="e">
        <v>#N/A</v>
      </c>
      <c r="AA3148" s="177"/>
    </row>
    <row r="3149" spans="22:27" x14ac:dyDescent="0.2">
      <c r="V3149" s="163"/>
      <c r="W3149" s="158" t="str">
        <f t="shared" ref="W3149:W3212" si="61">W3148</f>
        <v>1w</v>
      </c>
      <c r="X3149" s="168">
        <f>_xll.qlCalendarAdvance(Calendar,X3148,W3149,"f",FALSE)</f>
        <v>61323</v>
      </c>
      <c r="Y3149" s="173">
        <f>_xll.qlCalendarAdvance(Calendar,X3149,NDays&amp;"D")</f>
        <v>61323</v>
      </c>
      <c r="Z3149" s="174" t="e">
        <v>#N/A</v>
      </c>
      <c r="AA3149" s="177"/>
    </row>
    <row r="3150" spans="22:27" x14ac:dyDescent="0.2">
      <c r="V3150" s="163"/>
      <c r="W3150" s="158" t="str">
        <f t="shared" si="61"/>
        <v>1w</v>
      </c>
      <c r="X3150" s="168">
        <f>_xll.qlCalendarAdvance(Calendar,X3149,W3150,"f",FALSE)</f>
        <v>61330</v>
      </c>
      <c r="Y3150" s="173">
        <f>_xll.qlCalendarAdvance(Calendar,X3150,NDays&amp;"D")</f>
        <v>61330</v>
      </c>
      <c r="Z3150" s="174" t="e">
        <v>#N/A</v>
      </c>
      <c r="AA3150" s="177"/>
    </row>
    <row r="3151" spans="22:27" x14ac:dyDescent="0.2">
      <c r="V3151" s="163"/>
      <c r="W3151" s="158" t="str">
        <f t="shared" si="61"/>
        <v>1w</v>
      </c>
      <c r="X3151" s="168">
        <f>_xll.qlCalendarAdvance(Calendar,X3150,W3151,"f",FALSE)</f>
        <v>61337</v>
      </c>
      <c r="Y3151" s="173">
        <f>_xll.qlCalendarAdvance(Calendar,X3151,NDays&amp;"D")</f>
        <v>61337</v>
      </c>
      <c r="Z3151" s="174" t="e">
        <v>#N/A</v>
      </c>
      <c r="AA3151" s="177"/>
    </row>
    <row r="3152" spans="22:27" x14ac:dyDescent="0.2">
      <c r="V3152" s="163"/>
      <c r="W3152" s="158" t="str">
        <f t="shared" si="61"/>
        <v>1w</v>
      </c>
      <c r="X3152" s="168">
        <f>_xll.qlCalendarAdvance(Calendar,X3151,W3152,"f",FALSE)</f>
        <v>61344</v>
      </c>
      <c r="Y3152" s="173">
        <f>_xll.qlCalendarAdvance(Calendar,X3152,NDays&amp;"D")</f>
        <v>61344</v>
      </c>
      <c r="Z3152" s="174" t="e">
        <v>#N/A</v>
      </c>
      <c r="AA3152" s="177"/>
    </row>
    <row r="3153" spans="22:27" x14ac:dyDescent="0.2">
      <c r="V3153" s="163"/>
      <c r="W3153" s="158" t="str">
        <f t="shared" si="61"/>
        <v>1w</v>
      </c>
      <c r="X3153" s="168">
        <f>_xll.qlCalendarAdvance(Calendar,X3152,W3153,"f",FALSE)</f>
        <v>61351</v>
      </c>
      <c r="Y3153" s="173">
        <f>_xll.qlCalendarAdvance(Calendar,X3153,NDays&amp;"D")</f>
        <v>61351</v>
      </c>
      <c r="Z3153" s="174" t="e">
        <v>#N/A</v>
      </c>
      <c r="AA3153" s="177"/>
    </row>
    <row r="3154" spans="22:27" x14ac:dyDescent="0.2">
      <c r="V3154" s="163"/>
      <c r="W3154" s="158" t="str">
        <f t="shared" si="61"/>
        <v>1w</v>
      </c>
      <c r="X3154" s="168">
        <f>_xll.qlCalendarAdvance(Calendar,X3153,W3154,"f",FALSE)</f>
        <v>61358</v>
      </c>
      <c r="Y3154" s="173">
        <f>_xll.qlCalendarAdvance(Calendar,X3154,NDays&amp;"D")</f>
        <v>61358</v>
      </c>
      <c r="Z3154" s="174" t="e">
        <v>#N/A</v>
      </c>
      <c r="AA3154" s="177"/>
    </row>
    <row r="3155" spans="22:27" x14ac:dyDescent="0.2">
      <c r="V3155" s="163"/>
      <c r="W3155" s="158" t="str">
        <f t="shared" si="61"/>
        <v>1w</v>
      </c>
      <c r="X3155" s="168">
        <f>_xll.qlCalendarAdvance(Calendar,X3154,W3155,"f",FALSE)</f>
        <v>61366</v>
      </c>
      <c r="Y3155" s="173">
        <f>_xll.qlCalendarAdvance(Calendar,X3155,NDays&amp;"D")</f>
        <v>61366</v>
      </c>
      <c r="Z3155" s="174" t="e">
        <v>#N/A</v>
      </c>
      <c r="AA3155" s="177"/>
    </row>
    <row r="3156" spans="22:27" x14ac:dyDescent="0.2">
      <c r="V3156" s="163"/>
      <c r="W3156" s="158" t="str">
        <f t="shared" si="61"/>
        <v>1w</v>
      </c>
      <c r="X3156" s="168">
        <f>_xll.qlCalendarAdvance(Calendar,X3155,W3156,"f",FALSE)</f>
        <v>61373</v>
      </c>
      <c r="Y3156" s="173">
        <f>_xll.qlCalendarAdvance(Calendar,X3156,NDays&amp;"D")</f>
        <v>61373</v>
      </c>
      <c r="Z3156" s="174" t="e">
        <v>#N/A</v>
      </c>
      <c r="AA3156" s="177"/>
    </row>
    <row r="3157" spans="22:27" x14ac:dyDescent="0.2">
      <c r="V3157" s="163"/>
      <c r="W3157" s="158" t="str">
        <f t="shared" si="61"/>
        <v>1w</v>
      </c>
      <c r="X3157" s="168">
        <f>_xll.qlCalendarAdvance(Calendar,X3156,W3157,"f",FALSE)</f>
        <v>61380</v>
      </c>
      <c r="Y3157" s="173">
        <f>_xll.qlCalendarAdvance(Calendar,X3157,NDays&amp;"D")</f>
        <v>61380</v>
      </c>
      <c r="Z3157" s="174" t="e">
        <v>#N/A</v>
      </c>
      <c r="AA3157" s="177"/>
    </row>
    <row r="3158" spans="22:27" x14ac:dyDescent="0.2">
      <c r="V3158" s="163"/>
      <c r="W3158" s="158" t="str">
        <f t="shared" si="61"/>
        <v>1w</v>
      </c>
      <c r="X3158" s="168">
        <f>_xll.qlCalendarAdvance(Calendar,X3157,W3158,"f",FALSE)</f>
        <v>61387</v>
      </c>
      <c r="Y3158" s="173">
        <f>_xll.qlCalendarAdvance(Calendar,X3158,NDays&amp;"D")</f>
        <v>61387</v>
      </c>
      <c r="Z3158" s="174" t="e">
        <v>#N/A</v>
      </c>
      <c r="AA3158" s="177"/>
    </row>
    <row r="3159" spans="22:27" x14ac:dyDescent="0.2">
      <c r="V3159" s="163"/>
      <c r="W3159" s="158" t="str">
        <f t="shared" si="61"/>
        <v>1w</v>
      </c>
      <c r="X3159" s="168">
        <f>_xll.qlCalendarAdvance(Calendar,X3158,W3159,"f",FALSE)</f>
        <v>61394</v>
      </c>
      <c r="Y3159" s="173">
        <f>_xll.qlCalendarAdvance(Calendar,X3159,NDays&amp;"D")</f>
        <v>61394</v>
      </c>
      <c r="Z3159" s="174" t="e">
        <v>#N/A</v>
      </c>
      <c r="AA3159" s="177"/>
    </row>
    <row r="3160" spans="22:27" x14ac:dyDescent="0.2">
      <c r="V3160" s="163"/>
      <c r="W3160" s="158" t="str">
        <f t="shared" si="61"/>
        <v>1w</v>
      </c>
      <c r="X3160" s="168">
        <f>_xll.qlCalendarAdvance(Calendar,X3159,W3160,"f",FALSE)</f>
        <v>61401</v>
      </c>
      <c r="Y3160" s="173">
        <f>_xll.qlCalendarAdvance(Calendar,X3160,NDays&amp;"D")</f>
        <v>61401</v>
      </c>
      <c r="Z3160" s="174" t="e">
        <v>#N/A</v>
      </c>
      <c r="AA3160" s="177"/>
    </row>
    <row r="3161" spans="22:27" x14ac:dyDescent="0.2">
      <c r="V3161" s="163"/>
      <c r="W3161" s="158" t="str">
        <f t="shared" si="61"/>
        <v>1w</v>
      </c>
      <c r="X3161" s="168">
        <f>_xll.qlCalendarAdvance(Calendar,X3160,W3161,"f",FALSE)</f>
        <v>61408</v>
      </c>
      <c r="Y3161" s="173">
        <f>_xll.qlCalendarAdvance(Calendar,X3161,NDays&amp;"D")</f>
        <v>61408</v>
      </c>
      <c r="Z3161" s="174" t="e">
        <v>#N/A</v>
      </c>
      <c r="AA3161" s="177"/>
    </row>
    <row r="3162" spans="22:27" x14ac:dyDescent="0.2">
      <c r="V3162" s="163"/>
      <c r="W3162" s="158" t="str">
        <f t="shared" si="61"/>
        <v>1w</v>
      </c>
      <c r="X3162" s="168">
        <f>_xll.qlCalendarAdvance(Calendar,X3161,W3162,"f",FALSE)</f>
        <v>61415</v>
      </c>
      <c r="Y3162" s="173">
        <f>_xll.qlCalendarAdvance(Calendar,X3162,NDays&amp;"D")</f>
        <v>61415</v>
      </c>
      <c r="Z3162" s="174" t="e">
        <v>#N/A</v>
      </c>
      <c r="AA3162" s="177"/>
    </row>
    <row r="3163" spans="22:27" x14ac:dyDescent="0.2">
      <c r="V3163" s="163"/>
      <c r="W3163" s="158" t="str">
        <f t="shared" si="61"/>
        <v>1w</v>
      </c>
      <c r="X3163" s="168">
        <f>_xll.qlCalendarAdvance(Calendar,X3162,W3163,"f",FALSE)</f>
        <v>61422</v>
      </c>
      <c r="Y3163" s="173">
        <f>_xll.qlCalendarAdvance(Calendar,X3163,NDays&amp;"D")</f>
        <v>61422</v>
      </c>
      <c r="Z3163" s="174" t="e">
        <v>#N/A</v>
      </c>
      <c r="AA3163" s="177"/>
    </row>
    <row r="3164" spans="22:27" x14ac:dyDescent="0.2">
      <c r="V3164" s="163"/>
      <c r="W3164" s="158" t="str">
        <f t="shared" si="61"/>
        <v>1w</v>
      </c>
      <c r="X3164" s="168">
        <f>_xll.qlCalendarAdvance(Calendar,X3163,W3164,"f",FALSE)</f>
        <v>61429</v>
      </c>
      <c r="Y3164" s="173">
        <f>_xll.qlCalendarAdvance(Calendar,X3164,NDays&amp;"D")</f>
        <v>61429</v>
      </c>
      <c r="Z3164" s="174" t="e">
        <v>#N/A</v>
      </c>
      <c r="AA3164" s="177"/>
    </row>
    <row r="3165" spans="22:27" x14ac:dyDescent="0.2">
      <c r="V3165" s="163"/>
      <c r="W3165" s="158" t="str">
        <f t="shared" si="61"/>
        <v>1w</v>
      </c>
      <c r="X3165" s="168">
        <f>_xll.qlCalendarAdvance(Calendar,X3164,W3165,"f",FALSE)</f>
        <v>61436</v>
      </c>
      <c r="Y3165" s="173">
        <f>_xll.qlCalendarAdvance(Calendar,X3165,NDays&amp;"D")</f>
        <v>61436</v>
      </c>
      <c r="Z3165" s="174" t="e">
        <v>#N/A</v>
      </c>
      <c r="AA3165" s="177"/>
    </row>
    <row r="3166" spans="22:27" x14ac:dyDescent="0.2">
      <c r="V3166" s="163"/>
      <c r="W3166" s="158" t="str">
        <f t="shared" si="61"/>
        <v>1w</v>
      </c>
      <c r="X3166" s="168">
        <f>_xll.qlCalendarAdvance(Calendar,X3165,W3166,"f",FALSE)</f>
        <v>61443</v>
      </c>
      <c r="Y3166" s="173">
        <f>_xll.qlCalendarAdvance(Calendar,X3166,NDays&amp;"D")</f>
        <v>61443</v>
      </c>
      <c r="Z3166" s="174" t="e">
        <v>#N/A</v>
      </c>
      <c r="AA3166" s="177"/>
    </row>
    <row r="3167" spans="22:27" x14ac:dyDescent="0.2">
      <c r="V3167" s="163"/>
      <c r="W3167" s="158" t="str">
        <f t="shared" si="61"/>
        <v>1w</v>
      </c>
      <c r="X3167" s="168">
        <f>_xll.qlCalendarAdvance(Calendar,X3166,W3167,"f",FALSE)</f>
        <v>61450</v>
      </c>
      <c r="Y3167" s="173">
        <f>_xll.qlCalendarAdvance(Calendar,X3167,NDays&amp;"D")</f>
        <v>61450</v>
      </c>
      <c r="Z3167" s="174" t="e">
        <v>#N/A</v>
      </c>
      <c r="AA3167" s="177"/>
    </row>
    <row r="3168" spans="22:27" x14ac:dyDescent="0.2">
      <c r="V3168" s="163"/>
      <c r="W3168" s="158" t="str">
        <f t="shared" si="61"/>
        <v>1w</v>
      </c>
      <c r="X3168" s="168">
        <f>_xll.qlCalendarAdvance(Calendar,X3167,W3168,"f",FALSE)</f>
        <v>61457</v>
      </c>
      <c r="Y3168" s="173">
        <f>_xll.qlCalendarAdvance(Calendar,X3168,NDays&amp;"D")</f>
        <v>61457</v>
      </c>
      <c r="Z3168" s="174" t="e">
        <v>#N/A</v>
      </c>
      <c r="AA3168" s="177"/>
    </row>
    <row r="3169" spans="22:27" x14ac:dyDescent="0.2">
      <c r="V3169" s="163"/>
      <c r="W3169" s="158" t="str">
        <f t="shared" si="61"/>
        <v>1w</v>
      </c>
      <c r="X3169" s="168">
        <f>_xll.qlCalendarAdvance(Calendar,X3168,W3169,"f",FALSE)</f>
        <v>61464</v>
      </c>
      <c r="Y3169" s="173">
        <f>_xll.qlCalendarAdvance(Calendar,X3169,NDays&amp;"D")</f>
        <v>61464</v>
      </c>
      <c r="Z3169" s="174" t="e">
        <v>#N/A</v>
      </c>
      <c r="AA3169" s="177"/>
    </row>
    <row r="3170" spans="22:27" x14ac:dyDescent="0.2">
      <c r="V3170" s="163"/>
      <c r="W3170" s="158" t="str">
        <f t="shared" si="61"/>
        <v>1w</v>
      </c>
      <c r="X3170" s="168">
        <f>_xll.qlCalendarAdvance(Calendar,X3169,W3170,"f",FALSE)</f>
        <v>61471</v>
      </c>
      <c r="Y3170" s="173">
        <f>_xll.qlCalendarAdvance(Calendar,X3170,NDays&amp;"D")</f>
        <v>61471</v>
      </c>
      <c r="Z3170" s="174" t="e">
        <v>#N/A</v>
      </c>
      <c r="AA3170" s="177"/>
    </row>
    <row r="3171" spans="22:27" x14ac:dyDescent="0.2">
      <c r="V3171" s="163"/>
      <c r="W3171" s="158" t="str">
        <f t="shared" si="61"/>
        <v>1w</v>
      </c>
      <c r="X3171" s="168">
        <f>_xll.qlCalendarAdvance(Calendar,X3170,W3171,"f",FALSE)</f>
        <v>61478</v>
      </c>
      <c r="Y3171" s="173">
        <f>_xll.qlCalendarAdvance(Calendar,X3171,NDays&amp;"D")</f>
        <v>61478</v>
      </c>
      <c r="Z3171" s="174" t="e">
        <v>#N/A</v>
      </c>
      <c r="AA3171" s="177"/>
    </row>
    <row r="3172" spans="22:27" x14ac:dyDescent="0.2">
      <c r="V3172" s="163"/>
      <c r="W3172" s="158" t="str">
        <f t="shared" si="61"/>
        <v>1w</v>
      </c>
      <c r="X3172" s="168">
        <f>_xll.qlCalendarAdvance(Calendar,X3171,W3172,"f",FALSE)</f>
        <v>61485</v>
      </c>
      <c r="Y3172" s="173">
        <f>_xll.qlCalendarAdvance(Calendar,X3172,NDays&amp;"D")</f>
        <v>61485</v>
      </c>
      <c r="Z3172" s="174" t="e">
        <v>#N/A</v>
      </c>
      <c r="AA3172" s="177"/>
    </row>
    <row r="3173" spans="22:27" x14ac:dyDescent="0.2">
      <c r="V3173" s="163"/>
      <c r="W3173" s="158" t="str">
        <f t="shared" si="61"/>
        <v>1w</v>
      </c>
      <c r="X3173" s="168">
        <f>_xll.qlCalendarAdvance(Calendar,X3172,W3173,"f",FALSE)</f>
        <v>61492</v>
      </c>
      <c r="Y3173" s="173">
        <f>_xll.qlCalendarAdvance(Calendar,X3173,NDays&amp;"D")</f>
        <v>61492</v>
      </c>
      <c r="Z3173" s="174" t="e">
        <v>#N/A</v>
      </c>
      <c r="AA3173" s="177"/>
    </row>
    <row r="3174" spans="22:27" x14ac:dyDescent="0.2">
      <c r="V3174" s="163"/>
      <c r="W3174" s="158" t="str">
        <f t="shared" si="61"/>
        <v>1w</v>
      </c>
      <c r="X3174" s="168">
        <f>_xll.qlCalendarAdvance(Calendar,X3173,W3174,"f",FALSE)</f>
        <v>61499</v>
      </c>
      <c r="Y3174" s="173">
        <f>_xll.qlCalendarAdvance(Calendar,X3174,NDays&amp;"D")</f>
        <v>61499</v>
      </c>
      <c r="Z3174" s="174" t="e">
        <v>#N/A</v>
      </c>
      <c r="AA3174" s="177"/>
    </row>
    <row r="3175" spans="22:27" x14ac:dyDescent="0.2">
      <c r="V3175" s="163"/>
      <c r="W3175" s="158" t="str">
        <f t="shared" si="61"/>
        <v>1w</v>
      </c>
      <c r="X3175" s="168">
        <f>_xll.qlCalendarAdvance(Calendar,X3174,W3175,"f",FALSE)</f>
        <v>61506</v>
      </c>
      <c r="Y3175" s="173">
        <f>_xll.qlCalendarAdvance(Calendar,X3175,NDays&amp;"D")</f>
        <v>61506</v>
      </c>
      <c r="Z3175" s="174" t="e">
        <v>#N/A</v>
      </c>
      <c r="AA3175" s="177"/>
    </row>
    <row r="3176" spans="22:27" x14ac:dyDescent="0.2">
      <c r="V3176" s="163"/>
      <c r="W3176" s="158" t="str">
        <f t="shared" si="61"/>
        <v>1w</v>
      </c>
      <c r="X3176" s="168">
        <f>_xll.qlCalendarAdvance(Calendar,X3175,W3176,"f",FALSE)</f>
        <v>61513</v>
      </c>
      <c r="Y3176" s="173">
        <f>_xll.qlCalendarAdvance(Calendar,X3176,NDays&amp;"D")</f>
        <v>61513</v>
      </c>
      <c r="Z3176" s="174" t="e">
        <v>#N/A</v>
      </c>
      <c r="AA3176" s="177"/>
    </row>
    <row r="3177" spans="22:27" x14ac:dyDescent="0.2">
      <c r="V3177" s="163"/>
      <c r="W3177" s="158" t="str">
        <f t="shared" si="61"/>
        <v>1w</v>
      </c>
      <c r="X3177" s="168">
        <f>_xll.qlCalendarAdvance(Calendar,X3176,W3177,"f",FALSE)</f>
        <v>61520</v>
      </c>
      <c r="Y3177" s="173">
        <f>_xll.qlCalendarAdvance(Calendar,X3177,NDays&amp;"D")</f>
        <v>61520</v>
      </c>
      <c r="Z3177" s="174" t="e">
        <v>#N/A</v>
      </c>
      <c r="AA3177" s="177"/>
    </row>
    <row r="3178" spans="22:27" x14ac:dyDescent="0.2">
      <c r="V3178" s="163"/>
      <c r="W3178" s="158" t="str">
        <f t="shared" si="61"/>
        <v>1w</v>
      </c>
      <c r="X3178" s="168">
        <f>_xll.qlCalendarAdvance(Calendar,X3177,W3178,"f",FALSE)</f>
        <v>61527</v>
      </c>
      <c r="Y3178" s="173">
        <f>_xll.qlCalendarAdvance(Calendar,X3178,NDays&amp;"D")</f>
        <v>61527</v>
      </c>
      <c r="Z3178" s="174" t="e">
        <v>#N/A</v>
      </c>
      <c r="AA3178" s="177"/>
    </row>
    <row r="3179" spans="22:27" x14ac:dyDescent="0.2">
      <c r="V3179" s="163"/>
      <c r="W3179" s="158" t="str">
        <f t="shared" si="61"/>
        <v>1w</v>
      </c>
      <c r="X3179" s="168">
        <f>_xll.qlCalendarAdvance(Calendar,X3178,W3179,"f",FALSE)</f>
        <v>61534</v>
      </c>
      <c r="Y3179" s="173">
        <f>_xll.qlCalendarAdvance(Calendar,X3179,NDays&amp;"D")</f>
        <v>61534</v>
      </c>
      <c r="Z3179" s="174" t="e">
        <v>#N/A</v>
      </c>
      <c r="AA3179" s="177"/>
    </row>
    <row r="3180" spans="22:27" x14ac:dyDescent="0.2">
      <c r="V3180" s="163"/>
      <c r="W3180" s="158" t="str">
        <f t="shared" si="61"/>
        <v>1w</v>
      </c>
      <c r="X3180" s="168">
        <f>_xll.qlCalendarAdvance(Calendar,X3179,W3180,"f",FALSE)</f>
        <v>61541</v>
      </c>
      <c r="Y3180" s="173">
        <f>_xll.qlCalendarAdvance(Calendar,X3180,NDays&amp;"D")</f>
        <v>61541</v>
      </c>
      <c r="Z3180" s="174" t="e">
        <v>#N/A</v>
      </c>
      <c r="AA3180" s="177"/>
    </row>
    <row r="3181" spans="22:27" x14ac:dyDescent="0.2">
      <c r="V3181" s="163"/>
      <c r="W3181" s="158" t="str">
        <f t="shared" si="61"/>
        <v>1w</v>
      </c>
      <c r="X3181" s="168">
        <f>_xll.qlCalendarAdvance(Calendar,X3180,W3181,"f",FALSE)</f>
        <v>61548</v>
      </c>
      <c r="Y3181" s="173">
        <f>_xll.qlCalendarAdvance(Calendar,X3181,NDays&amp;"D")</f>
        <v>61548</v>
      </c>
      <c r="Z3181" s="174" t="e">
        <v>#N/A</v>
      </c>
      <c r="AA3181" s="177"/>
    </row>
    <row r="3182" spans="22:27" x14ac:dyDescent="0.2">
      <c r="V3182" s="163"/>
      <c r="W3182" s="158" t="str">
        <f t="shared" si="61"/>
        <v>1w</v>
      </c>
      <c r="X3182" s="168">
        <f>_xll.qlCalendarAdvance(Calendar,X3181,W3182,"f",FALSE)</f>
        <v>61555</v>
      </c>
      <c r="Y3182" s="173">
        <f>_xll.qlCalendarAdvance(Calendar,X3182,NDays&amp;"D")</f>
        <v>61555</v>
      </c>
      <c r="Z3182" s="174" t="e">
        <v>#N/A</v>
      </c>
      <c r="AA3182" s="177"/>
    </row>
    <row r="3183" spans="22:27" x14ac:dyDescent="0.2">
      <c r="V3183" s="163"/>
      <c r="W3183" s="158" t="str">
        <f t="shared" si="61"/>
        <v>1w</v>
      </c>
      <c r="X3183" s="168">
        <f>_xll.qlCalendarAdvance(Calendar,X3182,W3183,"f",FALSE)</f>
        <v>61562</v>
      </c>
      <c r="Y3183" s="173">
        <f>_xll.qlCalendarAdvance(Calendar,X3183,NDays&amp;"D")</f>
        <v>61562</v>
      </c>
      <c r="Z3183" s="174" t="e">
        <v>#N/A</v>
      </c>
      <c r="AA3183" s="177"/>
    </row>
    <row r="3184" spans="22:27" x14ac:dyDescent="0.2">
      <c r="V3184" s="163"/>
      <c r="W3184" s="158" t="str">
        <f t="shared" si="61"/>
        <v>1w</v>
      </c>
      <c r="X3184" s="168">
        <f>_xll.qlCalendarAdvance(Calendar,X3183,W3184,"f",FALSE)</f>
        <v>61569</v>
      </c>
      <c r="Y3184" s="173">
        <f>_xll.qlCalendarAdvance(Calendar,X3184,NDays&amp;"D")</f>
        <v>61569</v>
      </c>
      <c r="Z3184" s="174" t="e">
        <v>#N/A</v>
      </c>
      <c r="AA3184" s="177"/>
    </row>
    <row r="3185" spans="22:27" x14ac:dyDescent="0.2">
      <c r="V3185" s="163"/>
      <c r="W3185" s="158" t="str">
        <f t="shared" si="61"/>
        <v>1w</v>
      </c>
      <c r="X3185" s="168">
        <f>_xll.qlCalendarAdvance(Calendar,X3184,W3185,"f",FALSE)</f>
        <v>61576</v>
      </c>
      <c r="Y3185" s="173">
        <f>_xll.qlCalendarAdvance(Calendar,X3185,NDays&amp;"D")</f>
        <v>61576</v>
      </c>
      <c r="Z3185" s="174" t="e">
        <v>#N/A</v>
      </c>
      <c r="AA3185" s="177"/>
    </row>
    <row r="3186" spans="22:27" x14ac:dyDescent="0.2">
      <c r="V3186" s="163"/>
      <c r="W3186" s="158" t="str">
        <f t="shared" si="61"/>
        <v>1w</v>
      </c>
      <c r="X3186" s="168">
        <f>_xll.qlCalendarAdvance(Calendar,X3185,W3186,"f",FALSE)</f>
        <v>61583</v>
      </c>
      <c r="Y3186" s="173">
        <f>_xll.qlCalendarAdvance(Calendar,X3186,NDays&amp;"D")</f>
        <v>61583</v>
      </c>
      <c r="Z3186" s="174" t="e">
        <v>#N/A</v>
      </c>
      <c r="AA3186" s="177"/>
    </row>
    <row r="3187" spans="22:27" x14ac:dyDescent="0.2">
      <c r="V3187" s="163"/>
      <c r="W3187" s="158" t="str">
        <f t="shared" si="61"/>
        <v>1w</v>
      </c>
      <c r="X3187" s="168">
        <f>_xll.qlCalendarAdvance(Calendar,X3186,W3187,"f",FALSE)</f>
        <v>61590</v>
      </c>
      <c r="Y3187" s="173">
        <f>_xll.qlCalendarAdvance(Calendar,X3187,NDays&amp;"D")</f>
        <v>61590</v>
      </c>
      <c r="Z3187" s="174" t="e">
        <v>#N/A</v>
      </c>
      <c r="AA3187" s="177"/>
    </row>
    <row r="3188" spans="22:27" x14ac:dyDescent="0.2">
      <c r="V3188" s="163"/>
      <c r="W3188" s="158" t="str">
        <f t="shared" si="61"/>
        <v>1w</v>
      </c>
      <c r="X3188" s="168">
        <f>_xll.qlCalendarAdvance(Calendar,X3187,W3188,"f",FALSE)</f>
        <v>61597</v>
      </c>
      <c r="Y3188" s="173">
        <f>_xll.qlCalendarAdvance(Calendar,X3188,NDays&amp;"D")</f>
        <v>61597</v>
      </c>
      <c r="Z3188" s="174" t="e">
        <v>#N/A</v>
      </c>
      <c r="AA3188" s="177"/>
    </row>
    <row r="3189" spans="22:27" x14ac:dyDescent="0.2">
      <c r="V3189" s="163"/>
      <c r="W3189" s="158" t="str">
        <f t="shared" si="61"/>
        <v>1w</v>
      </c>
      <c r="X3189" s="168">
        <f>_xll.qlCalendarAdvance(Calendar,X3188,W3189,"f",FALSE)</f>
        <v>61604</v>
      </c>
      <c r="Y3189" s="173">
        <f>_xll.qlCalendarAdvance(Calendar,X3189,NDays&amp;"D")</f>
        <v>61604</v>
      </c>
      <c r="Z3189" s="174" t="e">
        <v>#N/A</v>
      </c>
      <c r="AA3189" s="177"/>
    </row>
    <row r="3190" spans="22:27" x14ac:dyDescent="0.2">
      <c r="V3190" s="163"/>
      <c r="W3190" s="158" t="str">
        <f t="shared" si="61"/>
        <v>1w</v>
      </c>
      <c r="X3190" s="168">
        <f>_xll.qlCalendarAdvance(Calendar,X3189,W3190,"f",FALSE)</f>
        <v>61611</v>
      </c>
      <c r="Y3190" s="173">
        <f>_xll.qlCalendarAdvance(Calendar,X3190,NDays&amp;"D")</f>
        <v>61611</v>
      </c>
      <c r="Z3190" s="174" t="e">
        <v>#N/A</v>
      </c>
      <c r="AA3190" s="177"/>
    </row>
    <row r="3191" spans="22:27" x14ac:dyDescent="0.2">
      <c r="V3191" s="163"/>
      <c r="W3191" s="158" t="str">
        <f t="shared" si="61"/>
        <v>1w</v>
      </c>
      <c r="X3191" s="168">
        <f>_xll.qlCalendarAdvance(Calendar,X3190,W3191,"f",FALSE)</f>
        <v>61618</v>
      </c>
      <c r="Y3191" s="173">
        <f>_xll.qlCalendarAdvance(Calendar,X3191,NDays&amp;"D")</f>
        <v>61618</v>
      </c>
      <c r="Z3191" s="174" t="e">
        <v>#N/A</v>
      </c>
      <c r="AA3191" s="177"/>
    </row>
    <row r="3192" spans="22:27" x14ac:dyDescent="0.2">
      <c r="V3192" s="163"/>
      <c r="W3192" s="158" t="str">
        <f t="shared" si="61"/>
        <v>1w</v>
      </c>
      <c r="X3192" s="168">
        <f>_xll.qlCalendarAdvance(Calendar,X3191,W3192,"f",FALSE)</f>
        <v>61625</v>
      </c>
      <c r="Y3192" s="173">
        <f>_xll.qlCalendarAdvance(Calendar,X3192,NDays&amp;"D")</f>
        <v>61625</v>
      </c>
      <c r="Z3192" s="174" t="e">
        <v>#N/A</v>
      </c>
      <c r="AA3192" s="177"/>
    </row>
    <row r="3193" spans="22:27" x14ac:dyDescent="0.2">
      <c r="V3193" s="163"/>
      <c r="W3193" s="158" t="str">
        <f t="shared" si="61"/>
        <v>1w</v>
      </c>
      <c r="X3193" s="168">
        <f>_xll.qlCalendarAdvance(Calendar,X3192,W3193,"f",FALSE)</f>
        <v>61632</v>
      </c>
      <c r="Y3193" s="173">
        <f>_xll.qlCalendarAdvance(Calendar,X3193,NDays&amp;"D")</f>
        <v>61632</v>
      </c>
      <c r="Z3193" s="174" t="e">
        <v>#N/A</v>
      </c>
      <c r="AA3193" s="177"/>
    </row>
    <row r="3194" spans="22:27" x14ac:dyDescent="0.2">
      <c r="V3194" s="163"/>
      <c r="W3194" s="158" t="str">
        <f t="shared" si="61"/>
        <v>1w</v>
      </c>
      <c r="X3194" s="168">
        <f>_xll.qlCalendarAdvance(Calendar,X3193,W3194,"f",FALSE)</f>
        <v>61639</v>
      </c>
      <c r="Y3194" s="173">
        <f>_xll.qlCalendarAdvance(Calendar,X3194,NDays&amp;"D")</f>
        <v>61639</v>
      </c>
      <c r="Z3194" s="174" t="e">
        <v>#N/A</v>
      </c>
      <c r="AA3194" s="177"/>
    </row>
    <row r="3195" spans="22:27" x14ac:dyDescent="0.2">
      <c r="V3195" s="163"/>
      <c r="W3195" s="158" t="str">
        <f t="shared" si="61"/>
        <v>1w</v>
      </c>
      <c r="X3195" s="168">
        <f>_xll.qlCalendarAdvance(Calendar,X3194,W3195,"f",FALSE)</f>
        <v>61646</v>
      </c>
      <c r="Y3195" s="173">
        <f>_xll.qlCalendarAdvance(Calendar,X3195,NDays&amp;"D")</f>
        <v>61646</v>
      </c>
      <c r="Z3195" s="174" t="e">
        <v>#N/A</v>
      </c>
      <c r="AA3195" s="177"/>
    </row>
    <row r="3196" spans="22:27" x14ac:dyDescent="0.2">
      <c r="V3196" s="163"/>
      <c r="W3196" s="158" t="str">
        <f t="shared" si="61"/>
        <v>1w</v>
      </c>
      <c r="X3196" s="168">
        <f>_xll.qlCalendarAdvance(Calendar,X3195,W3196,"f",FALSE)</f>
        <v>61653</v>
      </c>
      <c r="Y3196" s="173">
        <f>_xll.qlCalendarAdvance(Calendar,X3196,NDays&amp;"D")</f>
        <v>61653</v>
      </c>
      <c r="Z3196" s="174" t="e">
        <v>#N/A</v>
      </c>
      <c r="AA3196" s="177"/>
    </row>
    <row r="3197" spans="22:27" x14ac:dyDescent="0.2">
      <c r="V3197" s="163"/>
      <c r="W3197" s="158" t="str">
        <f t="shared" si="61"/>
        <v>1w</v>
      </c>
      <c r="X3197" s="168">
        <f>_xll.qlCalendarAdvance(Calendar,X3196,W3197,"f",FALSE)</f>
        <v>61660</v>
      </c>
      <c r="Y3197" s="173">
        <f>_xll.qlCalendarAdvance(Calendar,X3197,NDays&amp;"D")</f>
        <v>61660</v>
      </c>
      <c r="Z3197" s="174" t="e">
        <v>#N/A</v>
      </c>
      <c r="AA3197" s="177"/>
    </row>
    <row r="3198" spans="22:27" x14ac:dyDescent="0.2">
      <c r="V3198" s="163"/>
      <c r="W3198" s="158" t="str">
        <f t="shared" si="61"/>
        <v>1w</v>
      </c>
      <c r="X3198" s="168">
        <f>_xll.qlCalendarAdvance(Calendar,X3197,W3198,"f",FALSE)</f>
        <v>61667</v>
      </c>
      <c r="Y3198" s="173">
        <f>_xll.qlCalendarAdvance(Calendar,X3198,NDays&amp;"D")</f>
        <v>61667</v>
      </c>
      <c r="Z3198" s="174" t="e">
        <v>#N/A</v>
      </c>
      <c r="AA3198" s="177"/>
    </row>
    <row r="3199" spans="22:27" x14ac:dyDescent="0.2">
      <c r="V3199" s="163"/>
      <c r="W3199" s="158" t="str">
        <f t="shared" si="61"/>
        <v>1w</v>
      </c>
      <c r="X3199" s="168">
        <f>_xll.qlCalendarAdvance(Calendar,X3198,W3199,"f",FALSE)</f>
        <v>61674</v>
      </c>
      <c r="Y3199" s="173">
        <f>_xll.qlCalendarAdvance(Calendar,X3199,NDays&amp;"D")</f>
        <v>61674</v>
      </c>
      <c r="Z3199" s="174" t="e">
        <v>#N/A</v>
      </c>
      <c r="AA3199" s="177"/>
    </row>
    <row r="3200" spans="22:27" x14ac:dyDescent="0.2">
      <c r="V3200" s="163"/>
      <c r="W3200" s="158" t="str">
        <f t="shared" si="61"/>
        <v>1w</v>
      </c>
      <c r="X3200" s="168">
        <f>_xll.qlCalendarAdvance(Calendar,X3199,W3200,"f",FALSE)</f>
        <v>61681</v>
      </c>
      <c r="Y3200" s="173">
        <f>_xll.qlCalendarAdvance(Calendar,X3200,NDays&amp;"D")</f>
        <v>61681</v>
      </c>
      <c r="Z3200" s="174" t="e">
        <v>#N/A</v>
      </c>
      <c r="AA3200" s="177"/>
    </row>
    <row r="3201" spans="22:27" x14ac:dyDescent="0.2">
      <c r="V3201" s="163"/>
      <c r="W3201" s="158" t="str">
        <f t="shared" si="61"/>
        <v>1w</v>
      </c>
      <c r="X3201" s="168">
        <f>_xll.qlCalendarAdvance(Calendar,X3200,W3201,"f",FALSE)</f>
        <v>61688</v>
      </c>
      <c r="Y3201" s="173">
        <f>_xll.qlCalendarAdvance(Calendar,X3201,NDays&amp;"D")</f>
        <v>61688</v>
      </c>
      <c r="Z3201" s="174" t="e">
        <v>#N/A</v>
      </c>
      <c r="AA3201" s="177"/>
    </row>
    <row r="3202" spans="22:27" x14ac:dyDescent="0.2">
      <c r="V3202" s="163"/>
      <c r="W3202" s="158" t="str">
        <f t="shared" si="61"/>
        <v>1w</v>
      </c>
      <c r="X3202" s="168">
        <f>_xll.qlCalendarAdvance(Calendar,X3201,W3202,"f",FALSE)</f>
        <v>61695</v>
      </c>
      <c r="Y3202" s="173">
        <f>_xll.qlCalendarAdvance(Calendar,X3202,NDays&amp;"D")</f>
        <v>61695</v>
      </c>
      <c r="Z3202" s="174" t="e">
        <v>#N/A</v>
      </c>
      <c r="AA3202" s="177"/>
    </row>
    <row r="3203" spans="22:27" x14ac:dyDescent="0.2">
      <c r="V3203" s="163"/>
      <c r="W3203" s="158" t="str">
        <f t="shared" si="61"/>
        <v>1w</v>
      </c>
      <c r="X3203" s="168">
        <f>_xll.qlCalendarAdvance(Calendar,X3202,W3203,"f",FALSE)</f>
        <v>61702</v>
      </c>
      <c r="Y3203" s="173">
        <f>_xll.qlCalendarAdvance(Calendar,X3203,NDays&amp;"D")</f>
        <v>61702</v>
      </c>
      <c r="Z3203" s="174" t="e">
        <v>#N/A</v>
      </c>
      <c r="AA3203" s="177"/>
    </row>
    <row r="3204" spans="22:27" x14ac:dyDescent="0.2">
      <c r="V3204" s="163"/>
      <c r="W3204" s="158" t="str">
        <f t="shared" si="61"/>
        <v>1w</v>
      </c>
      <c r="X3204" s="168">
        <f>_xll.qlCalendarAdvance(Calendar,X3203,W3204,"f",FALSE)</f>
        <v>61709</v>
      </c>
      <c r="Y3204" s="173">
        <f>_xll.qlCalendarAdvance(Calendar,X3204,NDays&amp;"D")</f>
        <v>61709</v>
      </c>
      <c r="Z3204" s="174" t="e">
        <v>#N/A</v>
      </c>
      <c r="AA3204" s="177"/>
    </row>
    <row r="3205" spans="22:27" x14ac:dyDescent="0.2">
      <c r="V3205" s="163"/>
      <c r="W3205" s="158" t="str">
        <f t="shared" si="61"/>
        <v>1w</v>
      </c>
      <c r="X3205" s="168">
        <f>_xll.qlCalendarAdvance(Calendar,X3204,W3205,"f",FALSE)</f>
        <v>61716</v>
      </c>
      <c r="Y3205" s="173">
        <f>_xll.qlCalendarAdvance(Calendar,X3205,NDays&amp;"D")</f>
        <v>61716</v>
      </c>
      <c r="Z3205" s="174" t="e">
        <v>#N/A</v>
      </c>
      <c r="AA3205" s="177"/>
    </row>
    <row r="3206" spans="22:27" x14ac:dyDescent="0.2">
      <c r="V3206" s="163"/>
      <c r="W3206" s="158" t="str">
        <f t="shared" si="61"/>
        <v>1w</v>
      </c>
      <c r="X3206" s="168">
        <f>_xll.qlCalendarAdvance(Calendar,X3205,W3206,"f",FALSE)</f>
        <v>61723</v>
      </c>
      <c r="Y3206" s="173">
        <f>_xll.qlCalendarAdvance(Calendar,X3206,NDays&amp;"D")</f>
        <v>61723</v>
      </c>
      <c r="Z3206" s="174" t="e">
        <v>#N/A</v>
      </c>
      <c r="AA3206" s="177"/>
    </row>
    <row r="3207" spans="22:27" x14ac:dyDescent="0.2">
      <c r="V3207" s="163"/>
      <c r="W3207" s="158" t="str">
        <f t="shared" si="61"/>
        <v>1w</v>
      </c>
      <c r="X3207" s="168">
        <f>_xll.qlCalendarAdvance(Calendar,X3206,W3207,"f",FALSE)</f>
        <v>61732</v>
      </c>
      <c r="Y3207" s="173">
        <f>_xll.qlCalendarAdvance(Calendar,X3207,NDays&amp;"D")</f>
        <v>61732</v>
      </c>
      <c r="Z3207" s="174" t="e">
        <v>#N/A</v>
      </c>
      <c r="AA3207" s="177"/>
    </row>
    <row r="3208" spans="22:27" x14ac:dyDescent="0.2">
      <c r="V3208" s="163"/>
      <c r="W3208" s="158" t="str">
        <f t="shared" si="61"/>
        <v>1w</v>
      </c>
      <c r="X3208" s="168">
        <f>_xll.qlCalendarAdvance(Calendar,X3207,W3208,"f",FALSE)</f>
        <v>61739</v>
      </c>
      <c r="Y3208" s="173">
        <f>_xll.qlCalendarAdvance(Calendar,X3208,NDays&amp;"D")</f>
        <v>61739</v>
      </c>
      <c r="Z3208" s="174" t="e">
        <v>#N/A</v>
      </c>
      <c r="AA3208" s="177"/>
    </row>
    <row r="3209" spans="22:27" x14ac:dyDescent="0.2">
      <c r="V3209" s="163"/>
      <c r="W3209" s="158" t="str">
        <f t="shared" si="61"/>
        <v>1w</v>
      </c>
      <c r="X3209" s="168">
        <f>_xll.qlCalendarAdvance(Calendar,X3208,W3209,"f",FALSE)</f>
        <v>61746</v>
      </c>
      <c r="Y3209" s="173">
        <f>_xll.qlCalendarAdvance(Calendar,X3209,NDays&amp;"D")</f>
        <v>61746</v>
      </c>
      <c r="Z3209" s="174" t="e">
        <v>#N/A</v>
      </c>
      <c r="AA3209" s="177"/>
    </row>
    <row r="3210" spans="22:27" x14ac:dyDescent="0.2">
      <c r="V3210" s="163"/>
      <c r="W3210" s="158" t="str">
        <f t="shared" si="61"/>
        <v>1w</v>
      </c>
      <c r="X3210" s="168">
        <f>_xll.qlCalendarAdvance(Calendar,X3209,W3210,"f",FALSE)</f>
        <v>61753</v>
      </c>
      <c r="Y3210" s="173">
        <f>_xll.qlCalendarAdvance(Calendar,X3210,NDays&amp;"D")</f>
        <v>61753</v>
      </c>
      <c r="Z3210" s="174" t="e">
        <v>#N/A</v>
      </c>
      <c r="AA3210" s="177"/>
    </row>
    <row r="3211" spans="22:27" x14ac:dyDescent="0.2">
      <c r="V3211" s="163"/>
      <c r="W3211" s="158" t="str">
        <f t="shared" si="61"/>
        <v>1w</v>
      </c>
      <c r="X3211" s="168">
        <f>_xll.qlCalendarAdvance(Calendar,X3210,W3211,"f",FALSE)</f>
        <v>61760</v>
      </c>
      <c r="Y3211" s="173">
        <f>_xll.qlCalendarAdvance(Calendar,X3211,NDays&amp;"D")</f>
        <v>61760</v>
      </c>
      <c r="Z3211" s="174" t="e">
        <v>#N/A</v>
      </c>
      <c r="AA3211" s="177"/>
    </row>
    <row r="3212" spans="22:27" x14ac:dyDescent="0.2">
      <c r="V3212" s="163"/>
      <c r="W3212" s="158" t="str">
        <f t="shared" si="61"/>
        <v>1w</v>
      </c>
      <c r="X3212" s="168">
        <f>_xll.qlCalendarAdvance(Calendar,X3211,W3212,"f",FALSE)</f>
        <v>61767</v>
      </c>
      <c r="Y3212" s="173">
        <f>_xll.qlCalendarAdvance(Calendar,X3212,NDays&amp;"D")</f>
        <v>61767</v>
      </c>
      <c r="Z3212" s="174" t="e">
        <v>#N/A</v>
      </c>
      <c r="AA3212" s="177"/>
    </row>
    <row r="3213" spans="22:27" x14ac:dyDescent="0.2">
      <c r="V3213" s="163"/>
      <c r="W3213" s="158" t="str">
        <f t="shared" ref="W3213:W3276" si="62">W3212</f>
        <v>1w</v>
      </c>
      <c r="X3213" s="168">
        <f>_xll.qlCalendarAdvance(Calendar,X3212,W3213,"f",FALSE)</f>
        <v>61774</v>
      </c>
      <c r="Y3213" s="173">
        <f>_xll.qlCalendarAdvance(Calendar,X3213,NDays&amp;"D")</f>
        <v>61774</v>
      </c>
      <c r="Z3213" s="174" t="e">
        <v>#N/A</v>
      </c>
      <c r="AA3213" s="177"/>
    </row>
    <row r="3214" spans="22:27" x14ac:dyDescent="0.2">
      <c r="V3214" s="163"/>
      <c r="W3214" s="158" t="str">
        <f t="shared" si="62"/>
        <v>1w</v>
      </c>
      <c r="X3214" s="168">
        <f>_xll.qlCalendarAdvance(Calendar,X3213,W3214,"f",FALSE)</f>
        <v>61781</v>
      </c>
      <c r="Y3214" s="173">
        <f>_xll.qlCalendarAdvance(Calendar,X3214,NDays&amp;"D")</f>
        <v>61781</v>
      </c>
      <c r="Z3214" s="174" t="e">
        <v>#N/A</v>
      </c>
      <c r="AA3214" s="177"/>
    </row>
    <row r="3215" spans="22:27" x14ac:dyDescent="0.2">
      <c r="V3215" s="163"/>
      <c r="W3215" s="158" t="str">
        <f t="shared" si="62"/>
        <v>1w</v>
      </c>
      <c r="X3215" s="168">
        <f>_xll.qlCalendarAdvance(Calendar,X3214,W3215,"f",FALSE)</f>
        <v>61788</v>
      </c>
      <c r="Y3215" s="173">
        <f>_xll.qlCalendarAdvance(Calendar,X3215,NDays&amp;"D")</f>
        <v>61788</v>
      </c>
      <c r="Z3215" s="174" t="e">
        <v>#N/A</v>
      </c>
      <c r="AA3215" s="177"/>
    </row>
    <row r="3216" spans="22:27" x14ac:dyDescent="0.2">
      <c r="V3216" s="163"/>
      <c r="W3216" s="158" t="str">
        <f t="shared" si="62"/>
        <v>1w</v>
      </c>
      <c r="X3216" s="168">
        <f>_xll.qlCalendarAdvance(Calendar,X3215,W3216,"f",FALSE)</f>
        <v>61795</v>
      </c>
      <c r="Y3216" s="173">
        <f>_xll.qlCalendarAdvance(Calendar,X3216,NDays&amp;"D")</f>
        <v>61795</v>
      </c>
      <c r="Z3216" s="174" t="e">
        <v>#N/A</v>
      </c>
      <c r="AA3216" s="177"/>
    </row>
    <row r="3217" spans="22:27" x14ac:dyDescent="0.2">
      <c r="V3217" s="163"/>
      <c r="W3217" s="158" t="str">
        <f t="shared" si="62"/>
        <v>1w</v>
      </c>
      <c r="X3217" s="168">
        <f>_xll.qlCalendarAdvance(Calendar,X3216,W3217,"f",FALSE)</f>
        <v>61802</v>
      </c>
      <c r="Y3217" s="173">
        <f>_xll.qlCalendarAdvance(Calendar,X3217,NDays&amp;"D")</f>
        <v>61802</v>
      </c>
      <c r="Z3217" s="174" t="e">
        <v>#N/A</v>
      </c>
      <c r="AA3217" s="177"/>
    </row>
    <row r="3218" spans="22:27" x14ac:dyDescent="0.2">
      <c r="V3218" s="163"/>
      <c r="W3218" s="158" t="str">
        <f t="shared" si="62"/>
        <v>1w</v>
      </c>
      <c r="X3218" s="168">
        <f>_xll.qlCalendarAdvance(Calendar,X3217,W3218,"f",FALSE)</f>
        <v>61809</v>
      </c>
      <c r="Y3218" s="173">
        <f>_xll.qlCalendarAdvance(Calendar,X3218,NDays&amp;"D")</f>
        <v>61809</v>
      </c>
      <c r="Z3218" s="174" t="e">
        <v>#N/A</v>
      </c>
      <c r="AA3218" s="177"/>
    </row>
    <row r="3219" spans="22:27" x14ac:dyDescent="0.2">
      <c r="V3219" s="163"/>
      <c r="W3219" s="158" t="str">
        <f t="shared" si="62"/>
        <v>1w</v>
      </c>
      <c r="X3219" s="168">
        <f>_xll.qlCalendarAdvance(Calendar,X3218,W3219,"f",FALSE)</f>
        <v>61816</v>
      </c>
      <c r="Y3219" s="173">
        <f>_xll.qlCalendarAdvance(Calendar,X3219,NDays&amp;"D")</f>
        <v>61816</v>
      </c>
      <c r="Z3219" s="174" t="e">
        <v>#N/A</v>
      </c>
      <c r="AA3219" s="177"/>
    </row>
    <row r="3220" spans="22:27" x14ac:dyDescent="0.2">
      <c r="V3220" s="163"/>
      <c r="W3220" s="158" t="str">
        <f t="shared" si="62"/>
        <v>1w</v>
      </c>
      <c r="X3220" s="168">
        <f>_xll.qlCalendarAdvance(Calendar,X3219,W3220,"f",FALSE)</f>
        <v>61823</v>
      </c>
      <c r="Y3220" s="173">
        <f>_xll.qlCalendarAdvance(Calendar,X3220,NDays&amp;"D")</f>
        <v>61823</v>
      </c>
      <c r="Z3220" s="174" t="e">
        <v>#N/A</v>
      </c>
      <c r="AA3220" s="177"/>
    </row>
    <row r="3221" spans="22:27" x14ac:dyDescent="0.2">
      <c r="V3221" s="163"/>
      <c r="W3221" s="158" t="str">
        <f t="shared" si="62"/>
        <v>1w</v>
      </c>
      <c r="X3221" s="168">
        <f>_xll.qlCalendarAdvance(Calendar,X3220,W3221,"f",FALSE)</f>
        <v>61830</v>
      </c>
      <c r="Y3221" s="173">
        <f>_xll.qlCalendarAdvance(Calendar,X3221,NDays&amp;"D")</f>
        <v>61830</v>
      </c>
      <c r="Z3221" s="174" t="e">
        <v>#N/A</v>
      </c>
      <c r="AA3221" s="177"/>
    </row>
    <row r="3222" spans="22:27" x14ac:dyDescent="0.2">
      <c r="V3222" s="163"/>
      <c r="W3222" s="158" t="str">
        <f t="shared" si="62"/>
        <v>1w</v>
      </c>
      <c r="X3222" s="168">
        <f>_xll.qlCalendarAdvance(Calendar,X3221,W3222,"f",FALSE)</f>
        <v>61837</v>
      </c>
      <c r="Y3222" s="173">
        <f>_xll.qlCalendarAdvance(Calendar,X3222,NDays&amp;"D")</f>
        <v>61837</v>
      </c>
      <c r="Z3222" s="174" t="e">
        <v>#N/A</v>
      </c>
      <c r="AA3222" s="177"/>
    </row>
    <row r="3223" spans="22:27" x14ac:dyDescent="0.2">
      <c r="V3223" s="163"/>
      <c r="W3223" s="158" t="str">
        <f t="shared" si="62"/>
        <v>1w</v>
      </c>
      <c r="X3223" s="168">
        <f>_xll.qlCalendarAdvance(Calendar,X3222,W3223,"f",FALSE)</f>
        <v>61844</v>
      </c>
      <c r="Y3223" s="173">
        <f>_xll.qlCalendarAdvance(Calendar,X3223,NDays&amp;"D")</f>
        <v>61844</v>
      </c>
      <c r="Z3223" s="174" t="e">
        <v>#N/A</v>
      </c>
      <c r="AA3223" s="177"/>
    </row>
    <row r="3224" spans="22:27" x14ac:dyDescent="0.2">
      <c r="V3224" s="163"/>
      <c r="W3224" s="158" t="str">
        <f t="shared" si="62"/>
        <v>1w</v>
      </c>
      <c r="X3224" s="168">
        <f>_xll.qlCalendarAdvance(Calendar,X3223,W3224,"f",FALSE)</f>
        <v>61855</v>
      </c>
      <c r="Y3224" s="173">
        <f>_xll.qlCalendarAdvance(Calendar,X3224,NDays&amp;"D")</f>
        <v>61855</v>
      </c>
      <c r="Z3224" s="174" t="e">
        <v>#N/A</v>
      </c>
      <c r="AA3224" s="177"/>
    </row>
    <row r="3225" spans="22:27" x14ac:dyDescent="0.2">
      <c r="V3225" s="163"/>
      <c r="W3225" s="158" t="str">
        <f t="shared" si="62"/>
        <v>1w</v>
      </c>
      <c r="X3225" s="168">
        <f>_xll.qlCalendarAdvance(Calendar,X3224,W3225,"f",FALSE)</f>
        <v>61862</v>
      </c>
      <c r="Y3225" s="173">
        <f>_xll.qlCalendarAdvance(Calendar,X3225,NDays&amp;"D")</f>
        <v>61862</v>
      </c>
      <c r="Z3225" s="174" t="e">
        <v>#N/A</v>
      </c>
      <c r="AA3225" s="177"/>
    </row>
    <row r="3226" spans="22:27" x14ac:dyDescent="0.2">
      <c r="V3226" s="163"/>
      <c r="W3226" s="158" t="str">
        <f t="shared" si="62"/>
        <v>1w</v>
      </c>
      <c r="X3226" s="168">
        <f>_xll.qlCalendarAdvance(Calendar,X3225,W3226,"f",FALSE)</f>
        <v>61869</v>
      </c>
      <c r="Y3226" s="173">
        <f>_xll.qlCalendarAdvance(Calendar,X3226,NDays&amp;"D")</f>
        <v>61869</v>
      </c>
      <c r="Z3226" s="174" t="e">
        <v>#N/A</v>
      </c>
      <c r="AA3226" s="177"/>
    </row>
    <row r="3227" spans="22:27" x14ac:dyDescent="0.2">
      <c r="V3227" s="163"/>
      <c r="W3227" s="158" t="str">
        <f t="shared" si="62"/>
        <v>1w</v>
      </c>
      <c r="X3227" s="168">
        <f>_xll.qlCalendarAdvance(Calendar,X3226,W3227,"f",FALSE)</f>
        <v>61876</v>
      </c>
      <c r="Y3227" s="173">
        <f>_xll.qlCalendarAdvance(Calendar,X3227,NDays&amp;"D")</f>
        <v>61876</v>
      </c>
      <c r="Z3227" s="174" t="e">
        <v>#N/A</v>
      </c>
      <c r="AA3227" s="177"/>
    </row>
    <row r="3228" spans="22:27" x14ac:dyDescent="0.2">
      <c r="V3228" s="163"/>
      <c r="W3228" s="158" t="str">
        <f t="shared" si="62"/>
        <v>1w</v>
      </c>
      <c r="X3228" s="168">
        <f>_xll.qlCalendarAdvance(Calendar,X3227,W3228,"f",FALSE)</f>
        <v>61883</v>
      </c>
      <c r="Y3228" s="173">
        <f>_xll.qlCalendarAdvance(Calendar,X3228,NDays&amp;"D")</f>
        <v>61883</v>
      </c>
      <c r="Z3228" s="174" t="e">
        <v>#N/A</v>
      </c>
      <c r="AA3228" s="177"/>
    </row>
    <row r="3229" spans="22:27" x14ac:dyDescent="0.2">
      <c r="V3229" s="163"/>
      <c r="W3229" s="158" t="str">
        <f t="shared" si="62"/>
        <v>1w</v>
      </c>
      <c r="X3229" s="168">
        <f>_xll.qlCalendarAdvance(Calendar,X3228,W3229,"f",FALSE)</f>
        <v>61890</v>
      </c>
      <c r="Y3229" s="173">
        <f>_xll.qlCalendarAdvance(Calendar,X3229,NDays&amp;"D")</f>
        <v>61890</v>
      </c>
      <c r="Z3229" s="174" t="e">
        <v>#N/A</v>
      </c>
      <c r="AA3229" s="177"/>
    </row>
    <row r="3230" spans="22:27" x14ac:dyDescent="0.2">
      <c r="V3230" s="163"/>
      <c r="W3230" s="158" t="str">
        <f t="shared" si="62"/>
        <v>1w</v>
      </c>
      <c r="X3230" s="168">
        <f>_xll.qlCalendarAdvance(Calendar,X3229,W3230,"f",FALSE)</f>
        <v>61897</v>
      </c>
      <c r="Y3230" s="173">
        <f>_xll.qlCalendarAdvance(Calendar,X3230,NDays&amp;"D")</f>
        <v>61897</v>
      </c>
      <c r="Z3230" s="174" t="e">
        <v>#N/A</v>
      </c>
      <c r="AA3230" s="177"/>
    </row>
    <row r="3231" spans="22:27" x14ac:dyDescent="0.2">
      <c r="V3231" s="163"/>
      <c r="W3231" s="158" t="str">
        <f t="shared" si="62"/>
        <v>1w</v>
      </c>
      <c r="X3231" s="168">
        <f>_xll.qlCalendarAdvance(Calendar,X3230,W3231,"f",FALSE)</f>
        <v>61904</v>
      </c>
      <c r="Y3231" s="173">
        <f>_xll.qlCalendarAdvance(Calendar,X3231,NDays&amp;"D")</f>
        <v>61904</v>
      </c>
      <c r="Z3231" s="174" t="e">
        <v>#N/A</v>
      </c>
      <c r="AA3231" s="177"/>
    </row>
    <row r="3232" spans="22:27" x14ac:dyDescent="0.2">
      <c r="V3232" s="163"/>
      <c r="W3232" s="158" t="str">
        <f t="shared" si="62"/>
        <v>1w</v>
      </c>
      <c r="X3232" s="168">
        <f>_xll.qlCalendarAdvance(Calendar,X3231,W3232,"f",FALSE)</f>
        <v>61911</v>
      </c>
      <c r="Y3232" s="173">
        <f>_xll.qlCalendarAdvance(Calendar,X3232,NDays&amp;"D")</f>
        <v>61911</v>
      </c>
      <c r="Z3232" s="174" t="e">
        <v>#N/A</v>
      </c>
      <c r="AA3232" s="177"/>
    </row>
    <row r="3233" spans="22:27" x14ac:dyDescent="0.2">
      <c r="V3233" s="163"/>
      <c r="W3233" s="158" t="str">
        <f t="shared" si="62"/>
        <v>1w</v>
      </c>
      <c r="X3233" s="168">
        <f>_xll.qlCalendarAdvance(Calendar,X3232,W3233,"f",FALSE)</f>
        <v>61918</v>
      </c>
      <c r="Y3233" s="173">
        <f>_xll.qlCalendarAdvance(Calendar,X3233,NDays&amp;"D")</f>
        <v>61918</v>
      </c>
      <c r="Z3233" s="174" t="e">
        <v>#N/A</v>
      </c>
      <c r="AA3233" s="177"/>
    </row>
    <row r="3234" spans="22:27" x14ac:dyDescent="0.2">
      <c r="V3234" s="163"/>
      <c r="W3234" s="158" t="str">
        <f t="shared" si="62"/>
        <v>1w</v>
      </c>
      <c r="X3234" s="168">
        <f>_xll.qlCalendarAdvance(Calendar,X3233,W3234,"f",FALSE)</f>
        <v>61925</v>
      </c>
      <c r="Y3234" s="173">
        <f>_xll.qlCalendarAdvance(Calendar,X3234,NDays&amp;"D")</f>
        <v>61925</v>
      </c>
      <c r="Z3234" s="174" t="e">
        <v>#N/A</v>
      </c>
      <c r="AA3234" s="177"/>
    </row>
    <row r="3235" spans="22:27" x14ac:dyDescent="0.2">
      <c r="V3235" s="163"/>
      <c r="W3235" s="158" t="str">
        <f t="shared" si="62"/>
        <v>1w</v>
      </c>
      <c r="X3235" s="168">
        <f>_xll.qlCalendarAdvance(Calendar,X3234,W3235,"f",FALSE)</f>
        <v>61932</v>
      </c>
      <c r="Y3235" s="173">
        <f>_xll.qlCalendarAdvance(Calendar,X3235,NDays&amp;"D")</f>
        <v>61932</v>
      </c>
      <c r="Z3235" s="174" t="e">
        <v>#N/A</v>
      </c>
      <c r="AA3235" s="177"/>
    </row>
    <row r="3236" spans="22:27" x14ac:dyDescent="0.2">
      <c r="V3236" s="163"/>
      <c r="W3236" s="158" t="str">
        <f t="shared" si="62"/>
        <v>1w</v>
      </c>
      <c r="X3236" s="168">
        <f>_xll.qlCalendarAdvance(Calendar,X3235,W3236,"f",FALSE)</f>
        <v>61939</v>
      </c>
      <c r="Y3236" s="173">
        <f>_xll.qlCalendarAdvance(Calendar,X3236,NDays&amp;"D")</f>
        <v>61939</v>
      </c>
      <c r="Z3236" s="174" t="e">
        <v>#N/A</v>
      </c>
      <c r="AA3236" s="177"/>
    </row>
    <row r="3237" spans="22:27" x14ac:dyDescent="0.2">
      <c r="V3237" s="163"/>
      <c r="W3237" s="158" t="str">
        <f t="shared" si="62"/>
        <v>1w</v>
      </c>
      <c r="X3237" s="168">
        <f>_xll.qlCalendarAdvance(Calendar,X3236,W3237,"f",FALSE)</f>
        <v>61946</v>
      </c>
      <c r="Y3237" s="173">
        <f>_xll.qlCalendarAdvance(Calendar,X3237,NDays&amp;"D")</f>
        <v>61946</v>
      </c>
      <c r="Z3237" s="174" t="e">
        <v>#N/A</v>
      </c>
      <c r="AA3237" s="177"/>
    </row>
    <row r="3238" spans="22:27" x14ac:dyDescent="0.2">
      <c r="V3238" s="163"/>
      <c r="W3238" s="158" t="str">
        <f t="shared" si="62"/>
        <v>1w</v>
      </c>
      <c r="X3238" s="168">
        <f>_xll.qlCalendarAdvance(Calendar,X3237,W3238,"f",FALSE)</f>
        <v>61953</v>
      </c>
      <c r="Y3238" s="173">
        <f>_xll.qlCalendarAdvance(Calendar,X3238,NDays&amp;"D")</f>
        <v>61953</v>
      </c>
      <c r="Z3238" s="174" t="e">
        <v>#N/A</v>
      </c>
      <c r="AA3238" s="177"/>
    </row>
    <row r="3239" spans="22:27" x14ac:dyDescent="0.2">
      <c r="V3239" s="163"/>
      <c r="W3239" s="158" t="str">
        <f t="shared" si="62"/>
        <v>1w</v>
      </c>
      <c r="X3239" s="168">
        <f>_xll.qlCalendarAdvance(Calendar,X3238,W3239,"f",FALSE)</f>
        <v>61960</v>
      </c>
      <c r="Y3239" s="173">
        <f>_xll.qlCalendarAdvance(Calendar,X3239,NDays&amp;"D")</f>
        <v>61960</v>
      </c>
      <c r="Z3239" s="174" t="e">
        <v>#N/A</v>
      </c>
      <c r="AA3239" s="177"/>
    </row>
    <row r="3240" spans="22:27" x14ac:dyDescent="0.2">
      <c r="V3240" s="163"/>
      <c r="W3240" s="158" t="str">
        <f t="shared" si="62"/>
        <v>1w</v>
      </c>
      <c r="X3240" s="168">
        <f>_xll.qlCalendarAdvance(Calendar,X3239,W3240,"f",FALSE)</f>
        <v>61967</v>
      </c>
      <c r="Y3240" s="173">
        <f>_xll.qlCalendarAdvance(Calendar,X3240,NDays&amp;"D")</f>
        <v>61967</v>
      </c>
      <c r="Z3240" s="174" t="e">
        <v>#N/A</v>
      </c>
      <c r="AA3240" s="177"/>
    </row>
    <row r="3241" spans="22:27" x14ac:dyDescent="0.2">
      <c r="V3241" s="163"/>
      <c r="W3241" s="158" t="str">
        <f t="shared" si="62"/>
        <v>1w</v>
      </c>
      <c r="X3241" s="168">
        <f>_xll.qlCalendarAdvance(Calendar,X3240,W3241,"f",FALSE)</f>
        <v>61974</v>
      </c>
      <c r="Y3241" s="173">
        <f>_xll.qlCalendarAdvance(Calendar,X3241,NDays&amp;"D")</f>
        <v>61974</v>
      </c>
      <c r="Z3241" s="174" t="e">
        <v>#N/A</v>
      </c>
      <c r="AA3241" s="177"/>
    </row>
    <row r="3242" spans="22:27" x14ac:dyDescent="0.2">
      <c r="V3242" s="163"/>
      <c r="W3242" s="158" t="str">
        <f t="shared" si="62"/>
        <v>1w</v>
      </c>
      <c r="X3242" s="168">
        <f>_xll.qlCalendarAdvance(Calendar,X3241,W3242,"f",FALSE)</f>
        <v>61981</v>
      </c>
      <c r="Y3242" s="173">
        <f>_xll.qlCalendarAdvance(Calendar,X3242,NDays&amp;"D")</f>
        <v>61981</v>
      </c>
      <c r="Z3242" s="174" t="e">
        <v>#N/A</v>
      </c>
      <c r="AA3242" s="177"/>
    </row>
    <row r="3243" spans="22:27" x14ac:dyDescent="0.2">
      <c r="V3243" s="163"/>
      <c r="W3243" s="158" t="str">
        <f t="shared" si="62"/>
        <v>1w</v>
      </c>
      <c r="X3243" s="168">
        <f>_xll.qlCalendarAdvance(Calendar,X3242,W3243,"f",FALSE)</f>
        <v>61988</v>
      </c>
      <c r="Y3243" s="173">
        <f>_xll.qlCalendarAdvance(Calendar,X3243,NDays&amp;"D")</f>
        <v>61988</v>
      </c>
      <c r="Z3243" s="174" t="e">
        <v>#N/A</v>
      </c>
      <c r="AA3243" s="177"/>
    </row>
    <row r="3244" spans="22:27" x14ac:dyDescent="0.2">
      <c r="V3244" s="163"/>
      <c r="W3244" s="158" t="str">
        <f t="shared" si="62"/>
        <v>1w</v>
      </c>
      <c r="X3244" s="168">
        <f>_xll.qlCalendarAdvance(Calendar,X3243,W3244,"f",FALSE)</f>
        <v>61995</v>
      </c>
      <c r="Y3244" s="173">
        <f>_xll.qlCalendarAdvance(Calendar,X3244,NDays&amp;"D")</f>
        <v>61995</v>
      </c>
      <c r="Z3244" s="174" t="e">
        <v>#N/A</v>
      </c>
      <c r="AA3244" s="177"/>
    </row>
    <row r="3245" spans="22:27" x14ac:dyDescent="0.2">
      <c r="V3245" s="163"/>
      <c r="W3245" s="158" t="str">
        <f t="shared" si="62"/>
        <v>1w</v>
      </c>
      <c r="X3245" s="168">
        <f>_xll.qlCalendarAdvance(Calendar,X3244,W3245,"f",FALSE)</f>
        <v>62002</v>
      </c>
      <c r="Y3245" s="173">
        <f>_xll.qlCalendarAdvance(Calendar,X3245,NDays&amp;"D")</f>
        <v>62002</v>
      </c>
      <c r="Z3245" s="174" t="e">
        <v>#N/A</v>
      </c>
      <c r="AA3245" s="177"/>
    </row>
    <row r="3246" spans="22:27" x14ac:dyDescent="0.2">
      <c r="V3246" s="163"/>
      <c r="W3246" s="158" t="str">
        <f t="shared" si="62"/>
        <v>1w</v>
      </c>
      <c r="X3246" s="168">
        <f>_xll.qlCalendarAdvance(Calendar,X3245,W3246,"f",FALSE)</f>
        <v>62009</v>
      </c>
      <c r="Y3246" s="173">
        <f>_xll.qlCalendarAdvance(Calendar,X3246,NDays&amp;"D")</f>
        <v>62009</v>
      </c>
      <c r="Z3246" s="174" t="e">
        <v>#N/A</v>
      </c>
      <c r="AA3246" s="177"/>
    </row>
    <row r="3247" spans="22:27" x14ac:dyDescent="0.2">
      <c r="V3247" s="163"/>
      <c r="W3247" s="158" t="str">
        <f t="shared" si="62"/>
        <v>1w</v>
      </c>
      <c r="X3247" s="168">
        <f>_xll.qlCalendarAdvance(Calendar,X3246,W3247,"f",FALSE)</f>
        <v>62016</v>
      </c>
      <c r="Y3247" s="173">
        <f>_xll.qlCalendarAdvance(Calendar,X3247,NDays&amp;"D")</f>
        <v>62016</v>
      </c>
      <c r="Z3247" s="174" t="e">
        <v>#N/A</v>
      </c>
      <c r="AA3247" s="177"/>
    </row>
    <row r="3248" spans="22:27" x14ac:dyDescent="0.2">
      <c r="V3248" s="163"/>
      <c r="W3248" s="158" t="str">
        <f t="shared" si="62"/>
        <v>1w</v>
      </c>
      <c r="X3248" s="168">
        <f>_xll.qlCalendarAdvance(Calendar,X3247,W3248,"f",FALSE)</f>
        <v>62023</v>
      </c>
      <c r="Y3248" s="173">
        <f>_xll.qlCalendarAdvance(Calendar,X3248,NDays&amp;"D")</f>
        <v>62023</v>
      </c>
      <c r="Z3248" s="174" t="e">
        <v>#N/A</v>
      </c>
      <c r="AA3248" s="177"/>
    </row>
    <row r="3249" spans="22:27" x14ac:dyDescent="0.2">
      <c r="V3249" s="163"/>
      <c r="W3249" s="158" t="str">
        <f t="shared" si="62"/>
        <v>1w</v>
      </c>
      <c r="X3249" s="168">
        <f>_xll.qlCalendarAdvance(Calendar,X3248,W3249,"f",FALSE)</f>
        <v>62030</v>
      </c>
      <c r="Y3249" s="173">
        <f>_xll.qlCalendarAdvance(Calendar,X3249,NDays&amp;"D")</f>
        <v>62030</v>
      </c>
      <c r="Z3249" s="174" t="e">
        <v>#N/A</v>
      </c>
      <c r="AA3249" s="177"/>
    </row>
    <row r="3250" spans="22:27" x14ac:dyDescent="0.2">
      <c r="V3250" s="163"/>
      <c r="W3250" s="158" t="str">
        <f t="shared" si="62"/>
        <v>1w</v>
      </c>
      <c r="X3250" s="168">
        <f>_xll.qlCalendarAdvance(Calendar,X3249,W3250,"f",FALSE)</f>
        <v>62037</v>
      </c>
      <c r="Y3250" s="173">
        <f>_xll.qlCalendarAdvance(Calendar,X3250,NDays&amp;"D")</f>
        <v>62037</v>
      </c>
      <c r="Z3250" s="174" t="e">
        <v>#N/A</v>
      </c>
      <c r="AA3250" s="177"/>
    </row>
    <row r="3251" spans="22:27" x14ac:dyDescent="0.2">
      <c r="V3251" s="163"/>
      <c r="W3251" s="158" t="str">
        <f t="shared" si="62"/>
        <v>1w</v>
      </c>
      <c r="X3251" s="168">
        <f>_xll.qlCalendarAdvance(Calendar,X3250,W3251,"f",FALSE)</f>
        <v>62044</v>
      </c>
      <c r="Y3251" s="173">
        <f>_xll.qlCalendarAdvance(Calendar,X3251,NDays&amp;"D")</f>
        <v>62044</v>
      </c>
      <c r="Z3251" s="174" t="e">
        <v>#N/A</v>
      </c>
      <c r="AA3251" s="177"/>
    </row>
    <row r="3252" spans="22:27" x14ac:dyDescent="0.2">
      <c r="V3252" s="163"/>
      <c r="W3252" s="158" t="str">
        <f t="shared" si="62"/>
        <v>1w</v>
      </c>
      <c r="X3252" s="168">
        <f>_xll.qlCalendarAdvance(Calendar,X3251,W3252,"f",FALSE)</f>
        <v>62051</v>
      </c>
      <c r="Y3252" s="173">
        <f>_xll.qlCalendarAdvance(Calendar,X3252,NDays&amp;"D")</f>
        <v>62051</v>
      </c>
      <c r="Z3252" s="174" t="e">
        <v>#N/A</v>
      </c>
      <c r="AA3252" s="177"/>
    </row>
    <row r="3253" spans="22:27" x14ac:dyDescent="0.2">
      <c r="V3253" s="163"/>
      <c r="W3253" s="158" t="str">
        <f t="shared" si="62"/>
        <v>1w</v>
      </c>
      <c r="X3253" s="168">
        <f>_xll.qlCalendarAdvance(Calendar,X3252,W3253,"f",FALSE)</f>
        <v>62058</v>
      </c>
      <c r="Y3253" s="173">
        <f>_xll.qlCalendarAdvance(Calendar,X3253,NDays&amp;"D")</f>
        <v>62058</v>
      </c>
      <c r="Z3253" s="174" t="e">
        <v>#N/A</v>
      </c>
      <c r="AA3253" s="177"/>
    </row>
    <row r="3254" spans="22:27" x14ac:dyDescent="0.2">
      <c r="V3254" s="163"/>
      <c r="W3254" s="158" t="str">
        <f t="shared" si="62"/>
        <v>1w</v>
      </c>
      <c r="X3254" s="168">
        <f>_xll.qlCalendarAdvance(Calendar,X3253,W3254,"f",FALSE)</f>
        <v>62065</v>
      </c>
      <c r="Y3254" s="173">
        <f>_xll.qlCalendarAdvance(Calendar,X3254,NDays&amp;"D")</f>
        <v>62065</v>
      </c>
      <c r="Z3254" s="174" t="e">
        <v>#N/A</v>
      </c>
      <c r="AA3254" s="177"/>
    </row>
    <row r="3255" spans="22:27" x14ac:dyDescent="0.2">
      <c r="V3255" s="163"/>
      <c r="W3255" s="158" t="str">
        <f t="shared" si="62"/>
        <v>1w</v>
      </c>
      <c r="X3255" s="168">
        <f>_xll.qlCalendarAdvance(Calendar,X3254,W3255,"f",FALSE)</f>
        <v>62072</v>
      </c>
      <c r="Y3255" s="173">
        <f>_xll.qlCalendarAdvance(Calendar,X3255,NDays&amp;"D")</f>
        <v>62072</v>
      </c>
      <c r="Z3255" s="174" t="e">
        <v>#N/A</v>
      </c>
      <c r="AA3255" s="177"/>
    </row>
    <row r="3256" spans="22:27" x14ac:dyDescent="0.2">
      <c r="V3256" s="163"/>
      <c r="W3256" s="158" t="str">
        <f t="shared" si="62"/>
        <v>1w</v>
      </c>
      <c r="X3256" s="168">
        <f>_xll.qlCalendarAdvance(Calendar,X3255,W3256,"f",FALSE)</f>
        <v>62079</v>
      </c>
      <c r="Y3256" s="173">
        <f>_xll.qlCalendarAdvance(Calendar,X3256,NDays&amp;"D")</f>
        <v>62079</v>
      </c>
      <c r="Z3256" s="174" t="e">
        <v>#N/A</v>
      </c>
      <c r="AA3256" s="177"/>
    </row>
    <row r="3257" spans="22:27" x14ac:dyDescent="0.2">
      <c r="V3257" s="163"/>
      <c r="W3257" s="158" t="str">
        <f t="shared" si="62"/>
        <v>1w</v>
      </c>
      <c r="X3257" s="168">
        <f>_xll.qlCalendarAdvance(Calendar,X3256,W3257,"f",FALSE)</f>
        <v>62086</v>
      </c>
      <c r="Y3257" s="173">
        <f>_xll.qlCalendarAdvance(Calendar,X3257,NDays&amp;"D")</f>
        <v>62086</v>
      </c>
      <c r="Z3257" s="174" t="e">
        <v>#N/A</v>
      </c>
      <c r="AA3257" s="177"/>
    </row>
    <row r="3258" spans="22:27" x14ac:dyDescent="0.2">
      <c r="V3258" s="163"/>
      <c r="W3258" s="158" t="str">
        <f t="shared" si="62"/>
        <v>1w</v>
      </c>
      <c r="X3258" s="168">
        <f>_xll.qlCalendarAdvance(Calendar,X3257,W3258,"f",FALSE)</f>
        <v>62099</v>
      </c>
      <c r="Y3258" s="173">
        <f>_xll.qlCalendarAdvance(Calendar,X3258,NDays&amp;"D")</f>
        <v>62099</v>
      </c>
      <c r="Z3258" s="174" t="e">
        <v>#N/A</v>
      </c>
      <c r="AA3258" s="177"/>
    </row>
    <row r="3259" spans="22:27" x14ac:dyDescent="0.2">
      <c r="V3259" s="163"/>
      <c r="W3259" s="158" t="str">
        <f t="shared" si="62"/>
        <v>1w</v>
      </c>
      <c r="X3259" s="168">
        <f>_xll.qlCalendarAdvance(Calendar,X3258,W3259,"f",FALSE)</f>
        <v>62107</v>
      </c>
      <c r="Y3259" s="173">
        <f>_xll.qlCalendarAdvance(Calendar,X3259,NDays&amp;"D")</f>
        <v>62107</v>
      </c>
      <c r="Z3259" s="174" t="e">
        <v>#N/A</v>
      </c>
      <c r="AA3259" s="177"/>
    </row>
    <row r="3260" spans="22:27" x14ac:dyDescent="0.2">
      <c r="V3260" s="163"/>
      <c r="W3260" s="158" t="str">
        <f t="shared" si="62"/>
        <v>1w</v>
      </c>
      <c r="X3260" s="168">
        <f>_xll.qlCalendarAdvance(Calendar,X3259,W3260,"f",FALSE)</f>
        <v>62114</v>
      </c>
      <c r="Y3260" s="173">
        <f>_xll.qlCalendarAdvance(Calendar,X3260,NDays&amp;"D")</f>
        <v>62114</v>
      </c>
      <c r="Z3260" s="174" t="e">
        <v>#N/A</v>
      </c>
      <c r="AA3260" s="177"/>
    </row>
    <row r="3261" spans="22:27" x14ac:dyDescent="0.2">
      <c r="V3261" s="163"/>
      <c r="W3261" s="158" t="str">
        <f t="shared" si="62"/>
        <v>1w</v>
      </c>
      <c r="X3261" s="168">
        <f>_xll.qlCalendarAdvance(Calendar,X3260,W3261,"f",FALSE)</f>
        <v>62121</v>
      </c>
      <c r="Y3261" s="173">
        <f>_xll.qlCalendarAdvance(Calendar,X3261,NDays&amp;"D")</f>
        <v>62121</v>
      </c>
      <c r="Z3261" s="174" t="e">
        <v>#N/A</v>
      </c>
      <c r="AA3261" s="177"/>
    </row>
    <row r="3262" spans="22:27" x14ac:dyDescent="0.2">
      <c r="V3262" s="163"/>
      <c r="W3262" s="158" t="str">
        <f t="shared" si="62"/>
        <v>1w</v>
      </c>
      <c r="X3262" s="168">
        <f>_xll.qlCalendarAdvance(Calendar,X3261,W3262,"f",FALSE)</f>
        <v>62128</v>
      </c>
      <c r="Y3262" s="173">
        <f>_xll.qlCalendarAdvance(Calendar,X3262,NDays&amp;"D")</f>
        <v>62128</v>
      </c>
      <c r="Z3262" s="174" t="e">
        <v>#N/A</v>
      </c>
      <c r="AA3262" s="177"/>
    </row>
    <row r="3263" spans="22:27" x14ac:dyDescent="0.2">
      <c r="V3263" s="163"/>
      <c r="W3263" s="158" t="str">
        <f t="shared" si="62"/>
        <v>1w</v>
      </c>
      <c r="X3263" s="168">
        <f>_xll.qlCalendarAdvance(Calendar,X3262,W3263,"f",FALSE)</f>
        <v>62136</v>
      </c>
      <c r="Y3263" s="173">
        <f>_xll.qlCalendarAdvance(Calendar,X3263,NDays&amp;"D")</f>
        <v>62136</v>
      </c>
      <c r="Z3263" s="174" t="e">
        <v>#N/A</v>
      </c>
      <c r="AA3263" s="177"/>
    </row>
    <row r="3264" spans="22:27" x14ac:dyDescent="0.2">
      <c r="V3264" s="163"/>
      <c r="W3264" s="158" t="str">
        <f t="shared" si="62"/>
        <v>1w</v>
      </c>
      <c r="X3264" s="168">
        <f>_xll.qlCalendarAdvance(Calendar,X3263,W3264,"f",FALSE)</f>
        <v>62143</v>
      </c>
      <c r="Y3264" s="173">
        <f>_xll.qlCalendarAdvance(Calendar,X3264,NDays&amp;"D")</f>
        <v>62143</v>
      </c>
      <c r="Z3264" s="174" t="e">
        <v>#N/A</v>
      </c>
      <c r="AA3264" s="177"/>
    </row>
    <row r="3265" spans="22:27" x14ac:dyDescent="0.2">
      <c r="V3265" s="163"/>
      <c r="W3265" s="158" t="str">
        <f t="shared" si="62"/>
        <v>1w</v>
      </c>
      <c r="X3265" s="168">
        <f>_xll.qlCalendarAdvance(Calendar,X3264,W3265,"f",FALSE)</f>
        <v>62150</v>
      </c>
      <c r="Y3265" s="173">
        <f>_xll.qlCalendarAdvance(Calendar,X3265,NDays&amp;"D")</f>
        <v>62150</v>
      </c>
      <c r="Z3265" s="174" t="e">
        <v>#N/A</v>
      </c>
      <c r="AA3265" s="177"/>
    </row>
    <row r="3266" spans="22:27" x14ac:dyDescent="0.2">
      <c r="V3266" s="163"/>
      <c r="W3266" s="158" t="str">
        <f t="shared" si="62"/>
        <v>1w</v>
      </c>
      <c r="X3266" s="168">
        <f>_xll.qlCalendarAdvance(Calendar,X3265,W3266,"f",FALSE)</f>
        <v>62157</v>
      </c>
      <c r="Y3266" s="173">
        <f>_xll.qlCalendarAdvance(Calendar,X3266,NDays&amp;"D")</f>
        <v>62157</v>
      </c>
      <c r="Z3266" s="174" t="e">
        <v>#N/A</v>
      </c>
      <c r="AA3266" s="177"/>
    </row>
    <row r="3267" spans="22:27" x14ac:dyDescent="0.2">
      <c r="V3267" s="163"/>
      <c r="W3267" s="158" t="str">
        <f t="shared" si="62"/>
        <v>1w</v>
      </c>
      <c r="X3267" s="168">
        <f>_xll.qlCalendarAdvance(Calendar,X3266,W3267,"f",FALSE)</f>
        <v>62164</v>
      </c>
      <c r="Y3267" s="173">
        <f>_xll.qlCalendarAdvance(Calendar,X3267,NDays&amp;"D")</f>
        <v>62164</v>
      </c>
      <c r="Z3267" s="174" t="e">
        <v>#N/A</v>
      </c>
      <c r="AA3267" s="177"/>
    </row>
    <row r="3268" spans="22:27" x14ac:dyDescent="0.2">
      <c r="V3268" s="163"/>
      <c r="W3268" s="158" t="str">
        <f t="shared" si="62"/>
        <v>1w</v>
      </c>
      <c r="X3268" s="168">
        <f>_xll.qlCalendarAdvance(Calendar,X3267,W3268,"f",FALSE)</f>
        <v>62171</v>
      </c>
      <c r="Y3268" s="173">
        <f>_xll.qlCalendarAdvance(Calendar,X3268,NDays&amp;"D")</f>
        <v>62171</v>
      </c>
      <c r="Z3268" s="174" t="e">
        <v>#N/A</v>
      </c>
      <c r="AA3268" s="177"/>
    </row>
    <row r="3269" spans="22:27" x14ac:dyDescent="0.2">
      <c r="V3269" s="163"/>
      <c r="W3269" s="158" t="str">
        <f t="shared" si="62"/>
        <v>1w</v>
      </c>
      <c r="X3269" s="168">
        <f>_xll.qlCalendarAdvance(Calendar,X3268,W3269,"f",FALSE)</f>
        <v>62178</v>
      </c>
      <c r="Y3269" s="173">
        <f>_xll.qlCalendarAdvance(Calendar,X3269,NDays&amp;"D")</f>
        <v>62178</v>
      </c>
      <c r="Z3269" s="174" t="e">
        <v>#N/A</v>
      </c>
      <c r="AA3269" s="177"/>
    </row>
    <row r="3270" spans="22:27" x14ac:dyDescent="0.2">
      <c r="V3270" s="163"/>
      <c r="W3270" s="158" t="str">
        <f t="shared" si="62"/>
        <v>1w</v>
      </c>
      <c r="X3270" s="168">
        <f>_xll.qlCalendarAdvance(Calendar,X3269,W3270,"f",FALSE)</f>
        <v>62185</v>
      </c>
      <c r="Y3270" s="173">
        <f>_xll.qlCalendarAdvance(Calendar,X3270,NDays&amp;"D")</f>
        <v>62185</v>
      </c>
      <c r="Z3270" s="174" t="e">
        <v>#N/A</v>
      </c>
      <c r="AA3270" s="177"/>
    </row>
    <row r="3271" spans="22:27" x14ac:dyDescent="0.2">
      <c r="V3271" s="163"/>
      <c r="W3271" s="158" t="str">
        <f t="shared" si="62"/>
        <v>1w</v>
      </c>
      <c r="X3271" s="168">
        <f>_xll.qlCalendarAdvance(Calendar,X3270,W3271,"f",FALSE)</f>
        <v>62192</v>
      </c>
      <c r="Y3271" s="173">
        <f>_xll.qlCalendarAdvance(Calendar,X3271,NDays&amp;"D")</f>
        <v>62192</v>
      </c>
      <c r="Z3271" s="174" t="e">
        <v>#N/A</v>
      </c>
      <c r="AA3271" s="177"/>
    </row>
    <row r="3272" spans="22:27" x14ac:dyDescent="0.2">
      <c r="V3272" s="163"/>
      <c r="W3272" s="158" t="str">
        <f t="shared" si="62"/>
        <v>1w</v>
      </c>
      <c r="X3272" s="168">
        <f>_xll.qlCalendarAdvance(Calendar,X3271,W3272,"f",FALSE)</f>
        <v>62199</v>
      </c>
      <c r="Y3272" s="173">
        <f>_xll.qlCalendarAdvance(Calendar,X3272,NDays&amp;"D")</f>
        <v>62199</v>
      </c>
      <c r="Z3272" s="174" t="e">
        <v>#N/A</v>
      </c>
      <c r="AA3272" s="177"/>
    </row>
    <row r="3273" spans="22:27" x14ac:dyDescent="0.2">
      <c r="V3273" s="163"/>
      <c r="W3273" s="158" t="str">
        <f t="shared" si="62"/>
        <v>1w</v>
      </c>
      <c r="X3273" s="168">
        <f>_xll.qlCalendarAdvance(Calendar,X3272,W3273,"f",FALSE)</f>
        <v>62206</v>
      </c>
      <c r="Y3273" s="173">
        <f>_xll.qlCalendarAdvance(Calendar,X3273,NDays&amp;"D")</f>
        <v>62206</v>
      </c>
      <c r="Z3273" s="174" t="e">
        <v>#N/A</v>
      </c>
      <c r="AA3273" s="177"/>
    </row>
    <row r="3274" spans="22:27" x14ac:dyDescent="0.2">
      <c r="V3274" s="163"/>
      <c r="W3274" s="158" t="str">
        <f t="shared" si="62"/>
        <v>1w</v>
      </c>
      <c r="X3274" s="168">
        <f>_xll.qlCalendarAdvance(Calendar,X3273,W3274,"f",FALSE)</f>
        <v>62213</v>
      </c>
      <c r="Y3274" s="173">
        <f>_xll.qlCalendarAdvance(Calendar,X3274,NDays&amp;"D")</f>
        <v>62213</v>
      </c>
      <c r="Z3274" s="174" t="e">
        <v>#N/A</v>
      </c>
      <c r="AA3274" s="177"/>
    </row>
    <row r="3275" spans="22:27" x14ac:dyDescent="0.2">
      <c r="V3275" s="163"/>
      <c r="W3275" s="158" t="str">
        <f t="shared" si="62"/>
        <v>1w</v>
      </c>
      <c r="X3275" s="168">
        <f>_xll.qlCalendarAdvance(Calendar,X3274,W3275,"f",FALSE)</f>
        <v>62220</v>
      </c>
      <c r="Y3275" s="173">
        <f>_xll.qlCalendarAdvance(Calendar,X3275,NDays&amp;"D")</f>
        <v>62220</v>
      </c>
      <c r="Z3275" s="174" t="e">
        <v>#N/A</v>
      </c>
      <c r="AA3275" s="177"/>
    </row>
    <row r="3276" spans="22:27" x14ac:dyDescent="0.2">
      <c r="V3276" s="163"/>
      <c r="W3276" s="158" t="str">
        <f t="shared" si="62"/>
        <v>1w</v>
      </c>
      <c r="X3276" s="168">
        <f>_xll.qlCalendarAdvance(Calendar,X3275,W3276,"f",FALSE)</f>
        <v>62227</v>
      </c>
      <c r="Y3276" s="173">
        <f>_xll.qlCalendarAdvance(Calendar,X3276,NDays&amp;"D")</f>
        <v>62227</v>
      </c>
      <c r="Z3276" s="174" t="e">
        <v>#N/A</v>
      </c>
      <c r="AA3276" s="177"/>
    </row>
    <row r="3277" spans="22:27" x14ac:dyDescent="0.2">
      <c r="V3277" s="163"/>
      <c r="W3277" s="158" t="str">
        <f t="shared" ref="W3277:W3340" si="63">W3276</f>
        <v>1w</v>
      </c>
      <c r="X3277" s="168">
        <f>_xll.qlCalendarAdvance(Calendar,X3276,W3277,"f",FALSE)</f>
        <v>62234</v>
      </c>
      <c r="Y3277" s="173">
        <f>_xll.qlCalendarAdvance(Calendar,X3277,NDays&amp;"D")</f>
        <v>62234</v>
      </c>
      <c r="Z3277" s="174" t="e">
        <v>#N/A</v>
      </c>
      <c r="AA3277" s="177"/>
    </row>
    <row r="3278" spans="22:27" x14ac:dyDescent="0.2">
      <c r="V3278" s="163"/>
      <c r="W3278" s="158" t="str">
        <f t="shared" si="63"/>
        <v>1w</v>
      </c>
      <c r="X3278" s="168">
        <f>_xll.qlCalendarAdvance(Calendar,X3277,W3278,"f",FALSE)</f>
        <v>62241</v>
      </c>
      <c r="Y3278" s="173">
        <f>_xll.qlCalendarAdvance(Calendar,X3278,NDays&amp;"D")</f>
        <v>62241</v>
      </c>
      <c r="Z3278" s="174" t="e">
        <v>#N/A</v>
      </c>
      <c r="AA3278" s="177"/>
    </row>
    <row r="3279" spans="22:27" x14ac:dyDescent="0.2">
      <c r="V3279" s="163"/>
      <c r="W3279" s="158" t="str">
        <f t="shared" si="63"/>
        <v>1w</v>
      </c>
      <c r="X3279" s="168">
        <f>_xll.qlCalendarAdvance(Calendar,X3278,W3279,"f",FALSE)</f>
        <v>62248</v>
      </c>
      <c r="Y3279" s="173">
        <f>_xll.qlCalendarAdvance(Calendar,X3279,NDays&amp;"D")</f>
        <v>62248</v>
      </c>
      <c r="Z3279" s="174" t="e">
        <v>#N/A</v>
      </c>
      <c r="AA3279" s="177"/>
    </row>
    <row r="3280" spans="22:27" x14ac:dyDescent="0.2">
      <c r="V3280" s="163"/>
      <c r="W3280" s="158" t="str">
        <f t="shared" si="63"/>
        <v>1w</v>
      </c>
      <c r="X3280" s="168">
        <f>_xll.qlCalendarAdvance(Calendar,X3279,W3280,"f",FALSE)</f>
        <v>62255</v>
      </c>
      <c r="Y3280" s="173">
        <f>_xll.qlCalendarAdvance(Calendar,X3280,NDays&amp;"D")</f>
        <v>62255</v>
      </c>
      <c r="Z3280" s="174" t="e">
        <v>#N/A</v>
      </c>
      <c r="AA3280" s="177"/>
    </row>
    <row r="3281" spans="22:27" x14ac:dyDescent="0.2">
      <c r="V3281" s="163"/>
      <c r="W3281" s="158" t="str">
        <f t="shared" si="63"/>
        <v>1w</v>
      </c>
      <c r="X3281" s="168">
        <f>_xll.qlCalendarAdvance(Calendar,X3280,W3281,"f",FALSE)</f>
        <v>62262</v>
      </c>
      <c r="Y3281" s="173">
        <f>_xll.qlCalendarAdvance(Calendar,X3281,NDays&amp;"D")</f>
        <v>62262</v>
      </c>
      <c r="Z3281" s="174" t="e">
        <v>#N/A</v>
      </c>
      <c r="AA3281" s="177"/>
    </row>
    <row r="3282" spans="22:27" x14ac:dyDescent="0.2">
      <c r="V3282" s="163"/>
      <c r="W3282" s="158" t="str">
        <f t="shared" si="63"/>
        <v>1w</v>
      </c>
      <c r="X3282" s="168">
        <f>_xll.qlCalendarAdvance(Calendar,X3281,W3282,"f",FALSE)</f>
        <v>62269</v>
      </c>
      <c r="Y3282" s="173">
        <f>_xll.qlCalendarAdvance(Calendar,X3282,NDays&amp;"D")</f>
        <v>62269</v>
      </c>
      <c r="Z3282" s="174" t="e">
        <v>#N/A</v>
      </c>
      <c r="AA3282" s="177"/>
    </row>
    <row r="3283" spans="22:27" x14ac:dyDescent="0.2">
      <c r="V3283" s="163"/>
      <c r="W3283" s="158" t="str">
        <f t="shared" si="63"/>
        <v>1w</v>
      </c>
      <c r="X3283" s="168">
        <f>_xll.qlCalendarAdvance(Calendar,X3282,W3283,"f",FALSE)</f>
        <v>62276</v>
      </c>
      <c r="Y3283" s="173">
        <f>_xll.qlCalendarAdvance(Calendar,X3283,NDays&amp;"D")</f>
        <v>62276</v>
      </c>
      <c r="Z3283" s="174" t="e">
        <v>#N/A</v>
      </c>
      <c r="AA3283" s="177"/>
    </row>
    <row r="3284" spans="22:27" x14ac:dyDescent="0.2">
      <c r="V3284" s="163"/>
      <c r="W3284" s="158" t="str">
        <f t="shared" si="63"/>
        <v>1w</v>
      </c>
      <c r="X3284" s="168">
        <f>_xll.qlCalendarAdvance(Calendar,X3283,W3284,"f",FALSE)</f>
        <v>62283</v>
      </c>
      <c r="Y3284" s="173">
        <f>_xll.qlCalendarAdvance(Calendar,X3284,NDays&amp;"D")</f>
        <v>62283</v>
      </c>
      <c r="Z3284" s="174" t="e">
        <v>#N/A</v>
      </c>
      <c r="AA3284" s="177"/>
    </row>
    <row r="3285" spans="22:27" x14ac:dyDescent="0.2">
      <c r="V3285" s="163"/>
      <c r="W3285" s="158" t="str">
        <f t="shared" si="63"/>
        <v>1w</v>
      </c>
      <c r="X3285" s="168">
        <f>_xll.qlCalendarAdvance(Calendar,X3284,W3285,"f",FALSE)</f>
        <v>62290</v>
      </c>
      <c r="Y3285" s="173">
        <f>_xll.qlCalendarAdvance(Calendar,X3285,NDays&amp;"D")</f>
        <v>62290</v>
      </c>
      <c r="Z3285" s="174" t="e">
        <v>#N/A</v>
      </c>
      <c r="AA3285" s="177"/>
    </row>
    <row r="3286" spans="22:27" x14ac:dyDescent="0.2">
      <c r="V3286" s="163"/>
      <c r="W3286" s="158" t="str">
        <f t="shared" si="63"/>
        <v>1w</v>
      </c>
      <c r="X3286" s="168">
        <f>_xll.qlCalendarAdvance(Calendar,X3285,W3286,"f",FALSE)</f>
        <v>62297</v>
      </c>
      <c r="Y3286" s="173">
        <f>_xll.qlCalendarAdvance(Calendar,X3286,NDays&amp;"D")</f>
        <v>62297</v>
      </c>
      <c r="Z3286" s="174" t="e">
        <v>#N/A</v>
      </c>
      <c r="AA3286" s="177"/>
    </row>
    <row r="3287" spans="22:27" x14ac:dyDescent="0.2">
      <c r="V3287" s="163"/>
      <c r="W3287" s="158" t="str">
        <f t="shared" si="63"/>
        <v>1w</v>
      </c>
      <c r="X3287" s="168">
        <f>_xll.qlCalendarAdvance(Calendar,X3286,W3287,"f",FALSE)</f>
        <v>62304</v>
      </c>
      <c r="Y3287" s="173">
        <f>_xll.qlCalendarAdvance(Calendar,X3287,NDays&amp;"D")</f>
        <v>62304</v>
      </c>
      <c r="Z3287" s="174" t="e">
        <v>#N/A</v>
      </c>
      <c r="AA3287" s="177"/>
    </row>
    <row r="3288" spans="22:27" x14ac:dyDescent="0.2">
      <c r="V3288" s="163"/>
      <c r="W3288" s="158" t="str">
        <f t="shared" si="63"/>
        <v>1w</v>
      </c>
      <c r="X3288" s="168">
        <f>_xll.qlCalendarAdvance(Calendar,X3287,W3288,"f",FALSE)</f>
        <v>62311</v>
      </c>
      <c r="Y3288" s="173">
        <f>_xll.qlCalendarAdvance(Calendar,X3288,NDays&amp;"D")</f>
        <v>62311</v>
      </c>
      <c r="Z3288" s="174" t="e">
        <v>#N/A</v>
      </c>
      <c r="AA3288" s="177"/>
    </row>
    <row r="3289" spans="22:27" x14ac:dyDescent="0.2">
      <c r="V3289" s="163"/>
      <c r="W3289" s="158" t="str">
        <f t="shared" si="63"/>
        <v>1w</v>
      </c>
      <c r="X3289" s="168">
        <f>_xll.qlCalendarAdvance(Calendar,X3288,W3289,"f",FALSE)</f>
        <v>62318</v>
      </c>
      <c r="Y3289" s="173">
        <f>_xll.qlCalendarAdvance(Calendar,X3289,NDays&amp;"D")</f>
        <v>62318</v>
      </c>
      <c r="Z3289" s="174" t="e">
        <v>#N/A</v>
      </c>
      <c r="AA3289" s="177"/>
    </row>
    <row r="3290" spans="22:27" x14ac:dyDescent="0.2">
      <c r="V3290" s="163"/>
      <c r="W3290" s="158" t="str">
        <f t="shared" si="63"/>
        <v>1w</v>
      </c>
      <c r="X3290" s="168">
        <f>_xll.qlCalendarAdvance(Calendar,X3289,W3290,"f",FALSE)</f>
        <v>62325</v>
      </c>
      <c r="Y3290" s="173">
        <f>_xll.qlCalendarAdvance(Calendar,X3290,NDays&amp;"D")</f>
        <v>62325</v>
      </c>
      <c r="Z3290" s="174" t="e">
        <v>#N/A</v>
      </c>
      <c r="AA3290" s="177"/>
    </row>
    <row r="3291" spans="22:27" x14ac:dyDescent="0.2">
      <c r="V3291" s="163"/>
      <c r="W3291" s="158" t="str">
        <f t="shared" si="63"/>
        <v>1w</v>
      </c>
      <c r="X3291" s="168">
        <f>_xll.qlCalendarAdvance(Calendar,X3290,W3291,"f",FALSE)</f>
        <v>62332</v>
      </c>
      <c r="Y3291" s="173">
        <f>_xll.qlCalendarAdvance(Calendar,X3291,NDays&amp;"D")</f>
        <v>62332</v>
      </c>
      <c r="Z3291" s="174" t="e">
        <v>#N/A</v>
      </c>
      <c r="AA3291" s="177"/>
    </row>
    <row r="3292" spans="22:27" x14ac:dyDescent="0.2">
      <c r="V3292" s="163"/>
      <c r="W3292" s="158" t="str">
        <f t="shared" si="63"/>
        <v>1w</v>
      </c>
      <c r="X3292" s="168">
        <f>_xll.qlCalendarAdvance(Calendar,X3291,W3292,"f",FALSE)</f>
        <v>62339</v>
      </c>
      <c r="Y3292" s="173">
        <f>_xll.qlCalendarAdvance(Calendar,X3292,NDays&amp;"D")</f>
        <v>62339</v>
      </c>
      <c r="Z3292" s="174" t="e">
        <v>#N/A</v>
      </c>
      <c r="AA3292" s="177"/>
    </row>
    <row r="3293" spans="22:27" x14ac:dyDescent="0.2">
      <c r="V3293" s="163"/>
      <c r="W3293" s="158" t="str">
        <f t="shared" si="63"/>
        <v>1w</v>
      </c>
      <c r="X3293" s="168">
        <f>_xll.qlCalendarAdvance(Calendar,X3292,W3293,"f",FALSE)</f>
        <v>62346</v>
      </c>
      <c r="Y3293" s="173">
        <f>_xll.qlCalendarAdvance(Calendar,X3293,NDays&amp;"D")</f>
        <v>62346</v>
      </c>
      <c r="Z3293" s="174" t="e">
        <v>#N/A</v>
      </c>
      <c r="AA3293" s="177"/>
    </row>
    <row r="3294" spans="22:27" x14ac:dyDescent="0.2">
      <c r="V3294" s="163"/>
      <c r="W3294" s="158" t="str">
        <f t="shared" si="63"/>
        <v>1w</v>
      </c>
      <c r="X3294" s="168">
        <f>_xll.qlCalendarAdvance(Calendar,X3293,W3294,"f",FALSE)</f>
        <v>62353</v>
      </c>
      <c r="Y3294" s="173">
        <f>_xll.qlCalendarAdvance(Calendar,X3294,NDays&amp;"D")</f>
        <v>62353</v>
      </c>
      <c r="Z3294" s="174" t="e">
        <v>#N/A</v>
      </c>
      <c r="AA3294" s="177"/>
    </row>
    <row r="3295" spans="22:27" x14ac:dyDescent="0.2">
      <c r="V3295" s="163"/>
      <c r="W3295" s="158" t="str">
        <f t="shared" si="63"/>
        <v>1w</v>
      </c>
      <c r="X3295" s="168">
        <f>_xll.qlCalendarAdvance(Calendar,X3294,W3295,"f",FALSE)</f>
        <v>62360</v>
      </c>
      <c r="Y3295" s="173">
        <f>_xll.qlCalendarAdvance(Calendar,X3295,NDays&amp;"D")</f>
        <v>62360</v>
      </c>
      <c r="Z3295" s="174" t="e">
        <v>#N/A</v>
      </c>
      <c r="AA3295" s="177"/>
    </row>
    <row r="3296" spans="22:27" x14ac:dyDescent="0.2">
      <c r="V3296" s="163"/>
      <c r="W3296" s="158" t="str">
        <f t="shared" si="63"/>
        <v>1w</v>
      </c>
      <c r="X3296" s="168">
        <f>_xll.qlCalendarAdvance(Calendar,X3295,W3296,"f",FALSE)</f>
        <v>62367</v>
      </c>
      <c r="Y3296" s="173">
        <f>_xll.qlCalendarAdvance(Calendar,X3296,NDays&amp;"D")</f>
        <v>62367</v>
      </c>
      <c r="Z3296" s="174" t="e">
        <v>#N/A</v>
      </c>
      <c r="AA3296" s="177"/>
    </row>
    <row r="3297" spans="22:27" x14ac:dyDescent="0.2">
      <c r="V3297" s="163"/>
      <c r="W3297" s="158" t="str">
        <f t="shared" si="63"/>
        <v>1w</v>
      </c>
      <c r="X3297" s="168">
        <f>_xll.qlCalendarAdvance(Calendar,X3296,W3297,"f",FALSE)</f>
        <v>62374</v>
      </c>
      <c r="Y3297" s="173">
        <f>_xll.qlCalendarAdvance(Calendar,X3297,NDays&amp;"D")</f>
        <v>62374</v>
      </c>
      <c r="Z3297" s="174" t="e">
        <v>#N/A</v>
      </c>
      <c r="AA3297" s="177"/>
    </row>
    <row r="3298" spans="22:27" x14ac:dyDescent="0.2">
      <c r="V3298" s="163"/>
      <c r="W3298" s="158" t="str">
        <f t="shared" si="63"/>
        <v>1w</v>
      </c>
      <c r="X3298" s="168">
        <f>_xll.qlCalendarAdvance(Calendar,X3297,W3298,"f",FALSE)</f>
        <v>62381</v>
      </c>
      <c r="Y3298" s="173">
        <f>_xll.qlCalendarAdvance(Calendar,X3298,NDays&amp;"D")</f>
        <v>62381</v>
      </c>
      <c r="Z3298" s="174" t="e">
        <v>#N/A</v>
      </c>
      <c r="AA3298" s="177"/>
    </row>
    <row r="3299" spans="22:27" x14ac:dyDescent="0.2">
      <c r="V3299" s="163"/>
      <c r="W3299" s="158" t="str">
        <f t="shared" si="63"/>
        <v>1w</v>
      </c>
      <c r="X3299" s="168">
        <f>_xll.qlCalendarAdvance(Calendar,X3298,W3299,"f",FALSE)</f>
        <v>62388</v>
      </c>
      <c r="Y3299" s="173">
        <f>_xll.qlCalendarAdvance(Calendar,X3299,NDays&amp;"D")</f>
        <v>62388</v>
      </c>
      <c r="Z3299" s="174" t="e">
        <v>#N/A</v>
      </c>
      <c r="AA3299" s="177"/>
    </row>
    <row r="3300" spans="22:27" x14ac:dyDescent="0.2">
      <c r="V3300" s="163"/>
      <c r="W3300" s="158" t="str">
        <f t="shared" si="63"/>
        <v>1w</v>
      </c>
      <c r="X3300" s="168">
        <f>_xll.qlCalendarAdvance(Calendar,X3299,W3300,"f",FALSE)</f>
        <v>62395</v>
      </c>
      <c r="Y3300" s="173">
        <f>_xll.qlCalendarAdvance(Calendar,X3300,NDays&amp;"D")</f>
        <v>62395</v>
      </c>
      <c r="Z3300" s="174" t="e">
        <v>#N/A</v>
      </c>
      <c r="AA3300" s="177"/>
    </row>
    <row r="3301" spans="22:27" x14ac:dyDescent="0.2">
      <c r="V3301" s="163"/>
      <c r="W3301" s="158" t="str">
        <f t="shared" si="63"/>
        <v>1w</v>
      </c>
      <c r="X3301" s="168">
        <f>_xll.qlCalendarAdvance(Calendar,X3300,W3301,"f",FALSE)</f>
        <v>62402</v>
      </c>
      <c r="Y3301" s="173">
        <f>_xll.qlCalendarAdvance(Calendar,X3301,NDays&amp;"D")</f>
        <v>62402</v>
      </c>
      <c r="Z3301" s="174" t="e">
        <v>#N/A</v>
      </c>
      <c r="AA3301" s="177"/>
    </row>
    <row r="3302" spans="22:27" x14ac:dyDescent="0.2">
      <c r="V3302" s="163"/>
      <c r="W3302" s="158" t="str">
        <f t="shared" si="63"/>
        <v>1w</v>
      </c>
      <c r="X3302" s="168">
        <f>_xll.qlCalendarAdvance(Calendar,X3301,W3302,"f",FALSE)</f>
        <v>62409</v>
      </c>
      <c r="Y3302" s="173">
        <f>_xll.qlCalendarAdvance(Calendar,X3302,NDays&amp;"D")</f>
        <v>62409</v>
      </c>
      <c r="Z3302" s="174" t="e">
        <v>#N/A</v>
      </c>
      <c r="AA3302" s="177"/>
    </row>
    <row r="3303" spans="22:27" x14ac:dyDescent="0.2">
      <c r="V3303" s="163"/>
      <c r="W3303" s="158" t="str">
        <f t="shared" si="63"/>
        <v>1w</v>
      </c>
      <c r="X3303" s="168">
        <f>_xll.qlCalendarAdvance(Calendar,X3302,W3303,"f",FALSE)</f>
        <v>62416</v>
      </c>
      <c r="Y3303" s="173">
        <f>_xll.qlCalendarAdvance(Calendar,X3303,NDays&amp;"D")</f>
        <v>62416</v>
      </c>
      <c r="Z3303" s="174" t="e">
        <v>#N/A</v>
      </c>
      <c r="AA3303" s="177"/>
    </row>
    <row r="3304" spans="22:27" x14ac:dyDescent="0.2">
      <c r="V3304" s="163"/>
      <c r="W3304" s="158" t="str">
        <f t="shared" si="63"/>
        <v>1w</v>
      </c>
      <c r="X3304" s="168">
        <f>_xll.qlCalendarAdvance(Calendar,X3303,W3304,"f",FALSE)</f>
        <v>62423</v>
      </c>
      <c r="Y3304" s="173">
        <f>_xll.qlCalendarAdvance(Calendar,X3304,NDays&amp;"D")</f>
        <v>62423</v>
      </c>
      <c r="Z3304" s="174" t="e">
        <v>#N/A</v>
      </c>
      <c r="AA3304" s="177"/>
    </row>
    <row r="3305" spans="22:27" x14ac:dyDescent="0.2">
      <c r="V3305" s="163"/>
      <c r="W3305" s="158" t="str">
        <f t="shared" si="63"/>
        <v>1w</v>
      </c>
      <c r="X3305" s="168">
        <f>_xll.qlCalendarAdvance(Calendar,X3304,W3305,"f",FALSE)</f>
        <v>62430</v>
      </c>
      <c r="Y3305" s="173">
        <f>_xll.qlCalendarAdvance(Calendar,X3305,NDays&amp;"D")</f>
        <v>62430</v>
      </c>
      <c r="Z3305" s="174" t="e">
        <v>#N/A</v>
      </c>
      <c r="AA3305" s="177"/>
    </row>
    <row r="3306" spans="22:27" x14ac:dyDescent="0.2">
      <c r="V3306" s="163"/>
      <c r="W3306" s="158" t="str">
        <f t="shared" si="63"/>
        <v>1w</v>
      </c>
      <c r="X3306" s="168">
        <f>_xll.qlCalendarAdvance(Calendar,X3305,W3306,"f",FALSE)</f>
        <v>62437</v>
      </c>
      <c r="Y3306" s="173">
        <f>_xll.qlCalendarAdvance(Calendar,X3306,NDays&amp;"D")</f>
        <v>62437</v>
      </c>
      <c r="Z3306" s="174" t="e">
        <v>#N/A</v>
      </c>
      <c r="AA3306" s="177"/>
    </row>
    <row r="3307" spans="22:27" x14ac:dyDescent="0.2">
      <c r="V3307" s="163"/>
      <c r="W3307" s="158" t="str">
        <f t="shared" si="63"/>
        <v>1w</v>
      </c>
      <c r="X3307" s="168">
        <f>_xll.qlCalendarAdvance(Calendar,X3306,W3307,"f",FALSE)</f>
        <v>62444</v>
      </c>
      <c r="Y3307" s="173">
        <f>_xll.qlCalendarAdvance(Calendar,X3307,NDays&amp;"D")</f>
        <v>62444</v>
      </c>
      <c r="Z3307" s="174" t="e">
        <v>#N/A</v>
      </c>
      <c r="AA3307" s="177"/>
    </row>
    <row r="3308" spans="22:27" x14ac:dyDescent="0.2">
      <c r="V3308" s="163"/>
      <c r="W3308" s="158" t="str">
        <f t="shared" si="63"/>
        <v>1w</v>
      </c>
      <c r="X3308" s="168">
        <f>_xll.qlCalendarAdvance(Calendar,X3307,W3308,"f",FALSE)</f>
        <v>62451</v>
      </c>
      <c r="Y3308" s="173">
        <f>_xll.qlCalendarAdvance(Calendar,X3308,NDays&amp;"D")</f>
        <v>62451</v>
      </c>
      <c r="Z3308" s="174" t="e">
        <v>#N/A</v>
      </c>
      <c r="AA3308" s="177"/>
    </row>
    <row r="3309" spans="22:27" x14ac:dyDescent="0.2">
      <c r="V3309" s="163"/>
      <c r="W3309" s="158" t="str">
        <f t="shared" si="63"/>
        <v>1w</v>
      </c>
      <c r="X3309" s="168">
        <f>_xll.qlCalendarAdvance(Calendar,X3308,W3309,"f",FALSE)</f>
        <v>62463</v>
      </c>
      <c r="Y3309" s="173">
        <f>_xll.qlCalendarAdvance(Calendar,X3309,NDays&amp;"D")</f>
        <v>62463</v>
      </c>
      <c r="Z3309" s="174" t="e">
        <v>#N/A</v>
      </c>
      <c r="AA3309" s="177"/>
    </row>
    <row r="3310" spans="22:27" x14ac:dyDescent="0.2">
      <c r="V3310" s="163"/>
      <c r="W3310" s="158" t="str">
        <f t="shared" si="63"/>
        <v>1w</v>
      </c>
      <c r="X3310" s="168">
        <f>_xll.qlCalendarAdvance(Calendar,X3309,W3310,"f",FALSE)</f>
        <v>62471</v>
      </c>
      <c r="Y3310" s="173">
        <f>_xll.qlCalendarAdvance(Calendar,X3310,NDays&amp;"D")</f>
        <v>62471</v>
      </c>
      <c r="Z3310" s="174" t="e">
        <v>#N/A</v>
      </c>
      <c r="AA3310" s="177"/>
    </row>
    <row r="3311" spans="22:27" x14ac:dyDescent="0.2">
      <c r="V3311" s="163"/>
      <c r="W3311" s="158" t="str">
        <f t="shared" si="63"/>
        <v>1w</v>
      </c>
      <c r="X3311" s="168">
        <f>_xll.qlCalendarAdvance(Calendar,X3310,W3311,"f",FALSE)</f>
        <v>62478</v>
      </c>
      <c r="Y3311" s="173">
        <f>_xll.qlCalendarAdvance(Calendar,X3311,NDays&amp;"D")</f>
        <v>62478</v>
      </c>
      <c r="Z3311" s="174" t="e">
        <v>#N/A</v>
      </c>
      <c r="AA3311" s="177"/>
    </row>
    <row r="3312" spans="22:27" x14ac:dyDescent="0.2">
      <c r="V3312" s="163"/>
      <c r="W3312" s="158" t="str">
        <f t="shared" si="63"/>
        <v>1w</v>
      </c>
      <c r="X3312" s="168">
        <f>_xll.qlCalendarAdvance(Calendar,X3311,W3312,"f",FALSE)</f>
        <v>62485</v>
      </c>
      <c r="Y3312" s="173">
        <f>_xll.qlCalendarAdvance(Calendar,X3312,NDays&amp;"D")</f>
        <v>62485</v>
      </c>
      <c r="Z3312" s="174" t="e">
        <v>#N/A</v>
      </c>
      <c r="AA3312" s="177"/>
    </row>
    <row r="3313" spans="22:27" x14ac:dyDescent="0.2">
      <c r="V3313" s="163"/>
      <c r="W3313" s="158" t="str">
        <f t="shared" si="63"/>
        <v>1w</v>
      </c>
      <c r="X3313" s="168">
        <f>_xll.qlCalendarAdvance(Calendar,X3312,W3313,"f",FALSE)</f>
        <v>62492</v>
      </c>
      <c r="Y3313" s="173">
        <f>_xll.qlCalendarAdvance(Calendar,X3313,NDays&amp;"D")</f>
        <v>62492</v>
      </c>
      <c r="Z3313" s="174" t="e">
        <v>#N/A</v>
      </c>
      <c r="AA3313" s="177"/>
    </row>
    <row r="3314" spans="22:27" x14ac:dyDescent="0.2">
      <c r="V3314" s="163"/>
      <c r="W3314" s="158" t="str">
        <f t="shared" si="63"/>
        <v>1w</v>
      </c>
      <c r="X3314" s="168">
        <f>_xll.qlCalendarAdvance(Calendar,X3313,W3314,"f",FALSE)</f>
        <v>62499</v>
      </c>
      <c r="Y3314" s="173">
        <f>_xll.qlCalendarAdvance(Calendar,X3314,NDays&amp;"D")</f>
        <v>62499</v>
      </c>
      <c r="Z3314" s="174" t="e">
        <v>#N/A</v>
      </c>
      <c r="AA3314" s="177"/>
    </row>
    <row r="3315" spans="22:27" x14ac:dyDescent="0.2">
      <c r="V3315" s="163"/>
      <c r="W3315" s="158" t="str">
        <f t="shared" si="63"/>
        <v>1w</v>
      </c>
      <c r="X3315" s="168">
        <f>_xll.qlCalendarAdvance(Calendar,X3314,W3315,"f",FALSE)</f>
        <v>62506</v>
      </c>
      <c r="Y3315" s="173">
        <f>_xll.qlCalendarAdvance(Calendar,X3315,NDays&amp;"D")</f>
        <v>62506</v>
      </c>
      <c r="Z3315" s="174" t="e">
        <v>#N/A</v>
      </c>
      <c r="AA3315" s="177"/>
    </row>
    <row r="3316" spans="22:27" x14ac:dyDescent="0.2">
      <c r="V3316" s="163"/>
      <c r="W3316" s="158" t="str">
        <f t="shared" si="63"/>
        <v>1w</v>
      </c>
      <c r="X3316" s="168">
        <f>_xll.qlCalendarAdvance(Calendar,X3315,W3316,"f",FALSE)</f>
        <v>62513</v>
      </c>
      <c r="Y3316" s="173">
        <f>_xll.qlCalendarAdvance(Calendar,X3316,NDays&amp;"D")</f>
        <v>62513</v>
      </c>
      <c r="Z3316" s="174" t="e">
        <v>#N/A</v>
      </c>
      <c r="AA3316" s="177"/>
    </row>
    <row r="3317" spans="22:27" x14ac:dyDescent="0.2">
      <c r="V3317" s="163"/>
      <c r="W3317" s="158" t="str">
        <f t="shared" si="63"/>
        <v>1w</v>
      </c>
      <c r="X3317" s="168">
        <f>_xll.qlCalendarAdvance(Calendar,X3316,W3317,"f",FALSE)</f>
        <v>62520</v>
      </c>
      <c r="Y3317" s="173">
        <f>_xll.qlCalendarAdvance(Calendar,X3317,NDays&amp;"D")</f>
        <v>62520</v>
      </c>
      <c r="Z3317" s="174" t="e">
        <v>#N/A</v>
      </c>
      <c r="AA3317" s="177"/>
    </row>
    <row r="3318" spans="22:27" x14ac:dyDescent="0.2">
      <c r="V3318" s="163"/>
      <c r="W3318" s="158" t="str">
        <f t="shared" si="63"/>
        <v>1w</v>
      </c>
      <c r="X3318" s="168">
        <f>_xll.qlCalendarAdvance(Calendar,X3317,W3318,"f",FALSE)</f>
        <v>62527</v>
      </c>
      <c r="Y3318" s="173">
        <f>_xll.qlCalendarAdvance(Calendar,X3318,NDays&amp;"D")</f>
        <v>62527</v>
      </c>
      <c r="Z3318" s="174" t="e">
        <v>#N/A</v>
      </c>
      <c r="AA3318" s="177"/>
    </row>
    <row r="3319" spans="22:27" x14ac:dyDescent="0.2">
      <c r="V3319" s="163"/>
      <c r="W3319" s="158" t="str">
        <f t="shared" si="63"/>
        <v>1w</v>
      </c>
      <c r="X3319" s="168">
        <f>_xll.qlCalendarAdvance(Calendar,X3318,W3319,"f",FALSE)</f>
        <v>62534</v>
      </c>
      <c r="Y3319" s="173">
        <f>_xll.qlCalendarAdvance(Calendar,X3319,NDays&amp;"D")</f>
        <v>62534</v>
      </c>
      <c r="Z3319" s="174" t="e">
        <v>#N/A</v>
      </c>
      <c r="AA3319" s="177"/>
    </row>
    <row r="3320" spans="22:27" x14ac:dyDescent="0.2">
      <c r="V3320" s="163"/>
      <c r="W3320" s="158" t="str">
        <f t="shared" si="63"/>
        <v>1w</v>
      </c>
      <c r="X3320" s="168">
        <f>_xll.qlCalendarAdvance(Calendar,X3319,W3320,"f",FALSE)</f>
        <v>62541</v>
      </c>
      <c r="Y3320" s="173">
        <f>_xll.qlCalendarAdvance(Calendar,X3320,NDays&amp;"D")</f>
        <v>62541</v>
      </c>
      <c r="Z3320" s="174" t="e">
        <v>#N/A</v>
      </c>
      <c r="AA3320" s="177"/>
    </row>
    <row r="3321" spans="22:27" x14ac:dyDescent="0.2">
      <c r="V3321" s="163"/>
      <c r="W3321" s="158" t="str">
        <f t="shared" si="63"/>
        <v>1w</v>
      </c>
      <c r="X3321" s="168">
        <f>_xll.qlCalendarAdvance(Calendar,X3320,W3321,"f",FALSE)</f>
        <v>62548</v>
      </c>
      <c r="Y3321" s="173">
        <f>_xll.qlCalendarAdvance(Calendar,X3321,NDays&amp;"D")</f>
        <v>62548</v>
      </c>
      <c r="Z3321" s="174" t="e">
        <v>#N/A</v>
      </c>
      <c r="AA3321" s="177"/>
    </row>
    <row r="3322" spans="22:27" x14ac:dyDescent="0.2">
      <c r="V3322" s="163"/>
      <c r="W3322" s="158" t="str">
        <f t="shared" si="63"/>
        <v>1w</v>
      </c>
      <c r="X3322" s="168">
        <f>_xll.qlCalendarAdvance(Calendar,X3321,W3322,"f",FALSE)</f>
        <v>62555</v>
      </c>
      <c r="Y3322" s="173">
        <f>_xll.qlCalendarAdvance(Calendar,X3322,NDays&amp;"D")</f>
        <v>62555</v>
      </c>
      <c r="Z3322" s="174" t="e">
        <v>#N/A</v>
      </c>
      <c r="AA3322" s="177"/>
    </row>
    <row r="3323" spans="22:27" x14ac:dyDescent="0.2">
      <c r="V3323" s="163"/>
      <c r="W3323" s="158" t="str">
        <f t="shared" si="63"/>
        <v>1w</v>
      </c>
      <c r="X3323" s="168">
        <f>_xll.qlCalendarAdvance(Calendar,X3322,W3323,"f",FALSE)</f>
        <v>62562</v>
      </c>
      <c r="Y3323" s="173">
        <f>_xll.qlCalendarAdvance(Calendar,X3323,NDays&amp;"D")</f>
        <v>62562</v>
      </c>
      <c r="Z3323" s="174" t="e">
        <v>#N/A</v>
      </c>
      <c r="AA3323" s="177"/>
    </row>
    <row r="3324" spans="22:27" x14ac:dyDescent="0.2">
      <c r="V3324" s="163"/>
      <c r="W3324" s="158" t="str">
        <f t="shared" si="63"/>
        <v>1w</v>
      </c>
      <c r="X3324" s="168">
        <f>_xll.qlCalendarAdvance(Calendar,X3323,W3324,"f",FALSE)</f>
        <v>62569</v>
      </c>
      <c r="Y3324" s="173">
        <f>_xll.qlCalendarAdvance(Calendar,X3324,NDays&amp;"D")</f>
        <v>62569</v>
      </c>
      <c r="Z3324" s="174" t="e">
        <v>#N/A</v>
      </c>
      <c r="AA3324" s="177"/>
    </row>
    <row r="3325" spans="22:27" x14ac:dyDescent="0.2">
      <c r="V3325" s="163"/>
      <c r="W3325" s="158" t="str">
        <f t="shared" si="63"/>
        <v>1w</v>
      </c>
      <c r="X3325" s="168">
        <f>_xll.qlCalendarAdvance(Calendar,X3324,W3325,"f",FALSE)</f>
        <v>62576</v>
      </c>
      <c r="Y3325" s="173">
        <f>_xll.qlCalendarAdvance(Calendar,X3325,NDays&amp;"D")</f>
        <v>62576</v>
      </c>
      <c r="Z3325" s="174" t="e">
        <v>#N/A</v>
      </c>
      <c r="AA3325" s="177"/>
    </row>
    <row r="3326" spans="22:27" x14ac:dyDescent="0.2">
      <c r="V3326" s="163"/>
      <c r="W3326" s="158" t="str">
        <f t="shared" si="63"/>
        <v>1w</v>
      </c>
      <c r="X3326" s="168">
        <f>_xll.qlCalendarAdvance(Calendar,X3325,W3326,"f",FALSE)</f>
        <v>62585</v>
      </c>
      <c r="Y3326" s="173">
        <f>_xll.qlCalendarAdvance(Calendar,X3326,NDays&amp;"D")</f>
        <v>62585</v>
      </c>
      <c r="Z3326" s="174" t="e">
        <v>#N/A</v>
      </c>
      <c r="AA3326" s="177"/>
    </row>
    <row r="3327" spans="22:27" x14ac:dyDescent="0.2">
      <c r="V3327" s="163"/>
      <c r="W3327" s="158" t="str">
        <f t="shared" si="63"/>
        <v>1w</v>
      </c>
      <c r="X3327" s="168">
        <f>_xll.qlCalendarAdvance(Calendar,X3326,W3327,"f",FALSE)</f>
        <v>62592</v>
      </c>
      <c r="Y3327" s="173">
        <f>_xll.qlCalendarAdvance(Calendar,X3327,NDays&amp;"D")</f>
        <v>62592</v>
      </c>
      <c r="Z3327" s="174" t="e">
        <v>#N/A</v>
      </c>
      <c r="AA3327" s="177"/>
    </row>
    <row r="3328" spans="22:27" x14ac:dyDescent="0.2">
      <c r="V3328" s="163"/>
      <c r="W3328" s="158" t="str">
        <f t="shared" si="63"/>
        <v>1w</v>
      </c>
      <c r="X3328" s="168">
        <f>_xll.qlCalendarAdvance(Calendar,X3327,W3328,"f",FALSE)</f>
        <v>62599</v>
      </c>
      <c r="Y3328" s="173">
        <f>_xll.qlCalendarAdvance(Calendar,X3328,NDays&amp;"D")</f>
        <v>62599</v>
      </c>
      <c r="Z3328" s="174" t="e">
        <v>#N/A</v>
      </c>
      <c r="AA3328" s="177"/>
    </row>
    <row r="3329" spans="22:27" x14ac:dyDescent="0.2">
      <c r="V3329" s="163"/>
      <c r="W3329" s="158" t="str">
        <f t="shared" si="63"/>
        <v>1w</v>
      </c>
      <c r="X3329" s="168">
        <f>_xll.qlCalendarAdvance(Calendar,X3328,W3329,"f",FALSE)</f>
        <v>62606</v>
      </c>
      <c r="Y3329" s="173">
        <f>_xll.qlCalendarAdvance(Calendar,X3329,NDays&amp;"D")</f>
        <v>62606</v>
      </c>
      <c r="Z3329" s="174" t="e">
        <v>#N/A</v>
      </c>
      <c r="AA3329" s="177"/>
    </row>
    <row r="3330" spans="22:27" x14ac:dyDescent="0.2">
      <c r="V3330" s="163"/>
      <c r="W3330" s="158" t="str">
        <f t="shared" si="63"/>
        <v>1w</v>
      </c>
      <c r="X3330" s="168">
        <f>_xll.qlCalendarAdvance(Calendar,X3329,W3330,"f",FALSE)</f>
        <v>62613</v>
      </c>
      <c r="Y3330" s="173">
        <f>_xll.qlCalendarAdvance(Calendar,X3330,NDays&amp;"D")</f>
        <v>62613</v>
      </c>
      <c r="Z3330" s="174" t="e">
        <v>#N/A</v>
      </c>
      <c r="AA3330" s="177"/>
    </row>
    <row r="3331" spans="22:27" x14ac:dyDescent="0.2">
      <c r="V3331" s="163"/>
      <c r="W3331" s="158" t="str">
        <f t="shared" si="63"/>
        <v>1w</v>
      </c>
      <c r="X3331" s="168">
        <f>_xll.qlCalendarAdvance(Calendar,X3330,W3331,"f",FALSE)</f>
        <v>62620</v>
      </c>
      <c r="Y3331" s="173">
        <f>_xll.qlCalendarAdvance(Calendar,X3331,NDays&amp;"D")</f>
        <v>62620</v>
      </c>
      <c r="Z3331" s="174" t="e">
        <v>#N/A</v>
      </c>
      <c r="AA3331" s="177"/>
    </row>
    <row r="3332" spans="22:27" x14ac:dyDescent="0.2">
      <c r="V3332" s="163"/>
      <c r="W3332" s="158" t="str">
        <f t="shared" si="63"/>
        <v>1w</v>
      </c>
      <c r="X3332" s="168">
        <f>_xll.qlCalendarAdvance(Calendar,X3331,W3332,"f",FALSE)</f>
        <v>62627</v>
      </c>
      <c r="Y3332" s="173">
        <f>_xll.qlCalendarAdvance(Calendar,X3332,NDays&amp;"D")</f>
        <v>62627</v>
      </c>
      <c r="Z3332" s="174" t="e">
        <v>#N/A</v>
      </c>
      <c r="AA3332" s="177"/>
    </row>
    <row r="3333" spans="22:27" x14ac:dyDescent="0.2">
      <c r="V3333" s="163"/>
      <c r="W3333" s="158" t="str">
        <f t="shared" si="63"/>
        <v>1w</v>
      </c>
      <c r="X3333" s="168">
        <f>_xll.qlCalendarAdvance(Calendar,X3332,W3333,"f",FALSE)</f>
        <v>62634</v>
      </c>
      <c r="Y3333" s="173">
        <f>_xll.qlCalendarAdvance(Calendar,X3333,NDays&amp;"D")</f>
        <v>62634</v>
      </c>
      <c r="Z3333" s="174" t="e">
        <v>#N/A</v>
      </c>
      <c r="AA3333" s="177"/>
    </row>
    <row r="3334" spans="22:27" x14ac:dyDescent="0.2">
      <c r="V3334" s="163"/>
      <c r="W3334" s="158" t="str">
        <f t="shared" si="63"/>
        <v>1w</v>
      </c>
      <c r="X3334" s="168">
        <f>_xll.qlCalendarAdvance(Calendar,X3333,W3334,"f",FALSE)</f>
        <v>62641</v>
      </c>
      <c r="Y3334" s="173">
        <f>_xll.qlCalendarAdvance(Calendar,X3334,NDays&amp;"D")</f>
        <v>62641</v>
      </c>
      <c r="Z3334" s="174" t="e">
        <v>#N/A</v>
      </c>
      <c r="AA3334" s="177"/>
    </row>
    <row r="3335" spans="22:27" x14ac:dyDescent="0.2">
      <c r="V3335" s="163"/>
      <c r="W3335" s="158" t="str">
        <f t="shared" si="63"/>
        <v>1w</v>
      </c>
      <c r="X3335" s="168">
        <f>_xll.qlCalendarAdvance(Calendar,X3334,W3335,"f",FALSE)</f>
        <v>62648</v>
      </c>
      <c r="Y3335" s="173">
        <f>_xll.qlCalendarAdvance(Calendar,X3335,NDays&amp;"D")</f>
        <v>62648</v>
      </c>
      <c r="Z3335" s="174" t="e">
        <v>#N/A</v>
      </c>
      <c r="AA3335" s="177"/>
    </row>
    <row r="3336" spans="22:27" x14ac:dyDescent="0.2">
      <c r="V3336" s="163"/>
      <c r="W3336" s="158" t="str">
        <f t="shared" si="63"/>
        <v>1w</v>
      </c>
      <c r="X3336" s="168">
        <f>_xll.qlCalendarAdvance(Calendar,X3335,W3336,"f",FALSE)</f>
        <v>62655</v>
      </c>
      <c r="Y3336" s="173">
        <f>_xll.qlCalendarAdvance(Calendar,X3336,NDays&amp;"D")</f>
        <v>62655</v>
      </c>
      <c r="Z3336" s="174" t="e">
        <v>#N/A</v>
      </c>
      <c r="AA3336" s="177"/>
    </row>
    <row r="3337" spans="22:27" x14ac:dyDescent="0.2">
      <c r="V3337" s="163"/>
      <c r="W3337" s="158" t="str">
        <f t="shared" si="63"/>
        <v>1w</v>
      </c>
      <c r="X3337" s="168">
        <f>_xll.qlCalendarAdvance(Calendar,X3336,W3337,"f",FALSE)</f>
        <v>62662</v>
      </c>
      <c r="Y3337" s="173">
        <f>_xll.qlCalendarAdvance(Calendar,X3337,NDays&amp;"D")</f>
        <v>62662</v>
      </c>
      <c r="Z3337" s="174" t="e">
        <v>#N/A</v>
      </c>
      <c r="AA3337" s="177"/>
    </row>
    <row r="3338" spans="22:27" x14ac:dyDescent="0.2">
      <c r="V3338" s="163"/>
      <c r="W3338" s="158" t="str">
        <f t="shared" si="63"/>
        <v>1w</v>
      </c>
      <c r="X3338" s="168">
        <f>_xll.qlCalendarAdvance(Calendar,X3337,W3338,"f",FALSE)</f>
        <v>62669</v>
      </c>
      <c r="Y3338" s="173">
        <f>_xll.qlCalendarAdvance(Calendar,X3338,NDays&amp;"D")</f>
        <v>62669</v>
      </c>
      <c r="Z3338" s="174" t="e">
        <v>#N/A</v>
      </c>
      <c r="AA3338" s="177"/>
    </row>
    <row r="3339" spans="22:27" x14ac:dyDescent="0.2">
      <c r="V3339" s="163"/>
      <c r="W3339" s="158" t="str">
        <f t="shared" si="63"/>
        <v>1w</v>
      </c>
      <c r="X3339" s="168">
        <f>_xll.qlCalendarAdvance(Calendar,X3338,W3339,"f",FALSE)</f>
        <v>62676</v>
      </c>
      <c r="Y3339" s="173">
        <f>_xll.qlCalendarAdvance(Calendar,X3339,NDays&amp;"D")</f>
        <v>62676</v>
      </c>
      <c r="Z3339" s="174" t="e">
        <v>#N/A</v>
      </c>
      <c r="AA3339" s="177"/>
    </row>
    <row r="3340" spans="22:27" x14ac:dyDescent="0.2">
      <c r="V3340" s="163"/>
      <c r="W3340" s="158" t="str">
        <f t="shared" si="63"/>
        <v>1w</v>
      </c>
      <c r="X3340" s="168">
        <f>_xll.qlCalendarAdvance(Calendar,X3339,W3340,"f",FALSE)</f>
        <v>62683</v>
      </c>
      <c r="Y3340" s="173">
        <f>_xll.qlCalendarAdvance(Calendar,X3340,NDays&amp;"D")</f>
        <v>62683</v>
      </c>
      <c r="Z3340" s="174" t="e">
        <v>#N/A</v>
      </c>
      <c r="AA3340" s="177"/>
    </row>
    <row r="3341" spans="22:27" x14ac:dyDescent="0.2">
      <c r="V3341" s="163"/>
      <c r="W3341" s="158" t="str">
        <f t="shared" ref="W3341:W3404" si="64">W3340</f>
        <v>1w</v>
      </c>
      <c r="X3341" s="168">
        <f>_xll.qlCalendarAdvance(Calendar,X3340,W3341,"f",FALSE)</f>
        <v>62690</v>
      </c>
      <c r="Y3341" s="173">
        <f>_xll.qlCalendarAdvance(Calendar,X3341,NDays&amp;"D")</f>
        <v>62690</v>
      </c>
      <c r="Z3341" s="174" t="e">
        <v>#N/A</v>
      </c>
      <c r="AA3341" s="177"/>
    </row>
    <row r="3342" spans="22:27" x14ac:dyDescent="0.2">
      <c r="V3342" s="163"/>
      <c r="W3342" s="158" t="str">
        <f t="shared" si="64"/>
        <v>1w</v>
      </c>
      <c r="X3342" s="168">
        <f>_xll.qlCalendarAdvance(Calendar,X3341,W3342,"f",FALSE)</f>
        <v>62697</v>
      </c>
      <c r="Y3342" s="173">
        <f>_xll.qlCalendarAdvance(Calendar,X3342,NDays&amp;"D")</f>
        <v>62697</v>
      </c>
      <c r="Z3342" s="174" t="e">
        <v>#N/A</v>
      </c>
      <c r="AA3342" s="177"/>
    </row>
    <row r="3343" spans="22:27" x14ac:dyDescent="0.2">
      <c r="V3343" s="163"/>
      <c r="W3343" s="158" t="str">
        <f t="shared" si="64"/>
        <v>1w</v>
      </c>
      <c r="X3343" s="168">
        <f>_xll.qlCalendarAdvance(Calendar,X3342,W3343,"f",FALSE)</f>
        <v>62704</v>
      </c>
      <c r="Y3343" s="173">
        <f>_xll.qlCalendarAdvance(Calendar,X3343,NDays&amp;"D")</f>
        <v>62704</v>
      </c>
      <c r="Z3343" s="174" t="e">
        <v>#N/A</v>
      </c>
      <c r="AA3343" s="177"/>
    </row>
    <row r="3344" spans="22:27" x14ac:dyDescent="0.2">
      <c r="V3344" s="163"/>
      <c r="W3344" s="158" t="str">
        <f t="shared" si="64"/>
        <v>1w</v>
      </c>
      <c r="X3344" s="168">
        <f>_xll.qlCalendarAdvance(Calendar,X3343,W3344,"f",FALSE)</f>
        <v>62711</v>
      </c>
      <c r="Y3344" s="173">
        <f>_xll.qlCalendarAdvance(Calendar,X3344,NDays&amp;"D")</f>
        <v>62711</v>
      </c>
      <c r="Z3344" s="174" t="e">
        <v>#N/A</v>
      </c>
      <c r="AA3344" s="177"/>
    </row>
    <row r="3345" spans="22:27" x14ac:dyDescent="0.2">
      <c r="V3345" s="163"/>
      <c r="W3345" s="158" t="str">
        <f t="shared" si="64"/>
        <v>1w</v>
      </c>
      <c r="X3345" s="168">
        <f>_xll.qlCalendarAdvance(Calendar,X3344,W3345,"f",FALSE)</f>
        <v>62718</v>
      </c>
      <c r="Y3345" s="173">
        <f>_xll.qlCalendarAdvance(Calendar,X3345,NDays&amp;"D")</f>
        <v>62718</v>
      </c>
      <c r="Z3345" s="174" t="e">
        <v>#N/A</v>
      </c>
      <c r="AA3345" s="177"/>
    </row>
    <row r="3346" spans="22:27" x14ac:dyDescent="0.2">
      <c r="V3346" s="163"/>
      <c r="W3346" s="158" t="str">
        <f t="shared" si="64"/>
        <v>1w</v>
      </c>
      <c r="X3346" s="168">
        <f>_xll.qlCalendarAdvance(Calendar,X3345,W3346,"f",FALSE)</f>
        <v>62725</v>
      </c>
      <c r="Y3346" s="173">
        <f>_xll.qlCalendarAdvance(Calendar,X3346,NDays&amp;"D")</f>
        <v>62725</v>
      </c>
      <c r="Z3346" s="174" t="e">
        <v>#N/A</v>
      </c>
      <c r="AA3346" s="177"/>
    </row>
    <row r="3347" spans="22:27" x14ac:dyDescent="0.2">
      <c r="V3347" s="163"/>
      <c r="W3347" s="158" t="str">
        <f t="shared" si="64"/>
        <v>1w</v>
      </c>
      <c r="X3347" s="168">
        <f>_xll.qlCalendarAdvance(Calendar,X3346,W3347,"f",FALSE)</f>
        <v>62732</v>
      </c>
      <c r="Y3347" s="173">
        <f>_xll.qlCalendarAdvance(Calendar,X3347,NDays&amp;"D")</f>
        <v>62732</v>
      </c>
      <c r="Z3347" s="174" t="e">
        <v>#N/A</v>
      </c>
      <c r="AA3347" s="177"/>
    </row>
    <row r="3348" spans="22:27" x14ac:dyDescent="0.2">
      <c r="V3348" s="163"/>
      <c r="W3348" s="158" t="str">
        <f t="shared" si="64"/>
        <v>1w</v>
      </c>
      <c r="X3348" s="168">
        <f>_xll.qlCalendarAdvance(Calendar,X3347,W3348,"f",FALSE)</f>
        <v>62739</v>
      </c>
      <c r="Y3348" s="173">
        <f>_xll.qlCalendarAdvance(Calendar,X3348,NDays&amp;"D")</f>
        <v>62739</v>
      </c>
      <c r="Z3348" s="174" t="e">
        <v>#N/A</v>
      </c>
      <c r="AA3348" s="177"/>
    </row>
    <row r="3349" spans="22:27" x14ac:dyDescent="0.2">
      <c r="V3349" s="163"/>
      <c r="W3349" s="158" t="str">
        <f t="shared" si="64"/>
        <v>1w</v>
      </c>
      <c r="X3349" s="168">
        <f>_xll.qlCalendarAdvance(Calendar,X3348,W3349,"f",FALSE)</f>
        <v>62746</v>
      </c>
      <c r="Y3349" s="173">
        <f>_xll.qlCalendarAdvance(Calendar,X3349,NDays&amp;"D")</f>
        <v>62746</v>
      </c>
      <c r="Z3349" s="174" t="e">
        <v>#N/A</v>
      </c>
      <c r="AA3349" s="177"/>
    </row>
    <row r="3350" spans="22:27" x14ac:dyDescent="0.2">
      <c r="V3350" s="163"/>
      <c r="W3350" s="158" t="str">
        <f t="shared" si="64"/>
        <v>1w</v>
      </c>
      <c r="X3350" s="168">
        <f>_xll.qlCalendarAdvance(Calendar,X3349,W3350,"f",FALSE)</f>
        <v>62753</v>
      </c>
      <c r="Y3350" s="173">
        <f>_xll.qlCalendarAdvance(Calendar,X3350,NDays&amp;"D")</f>
        <v>62753</v>
      </c>
      <c r="Z3350" s="174" t="e">
        <v>#N/A</v>
      </c>
      <c r="AA3350" s="177"/>
    </row>
    <row r="3351" spans="22:27" x14ac:dyDescent="0.2">
      <c r="V3351" s="163"/>
      <c r="W3351" s="158" t="str">
        <f t="shared" si="64"/>
        <v>1w</v>
      </c>
      <c r="X3351" s="168">
        <f>_xll.qlCalendarAdvance(Calendar,X3350,W3351,"f",FALSE)</f>
        <v>62760</v>
      </c>
      <c r="Y3351" s="173">
        <f>_xll.qlCalendarAdvance(Calendar,X3351,NDays&amp;"D")</f>
        <v>62760</v>
      </c>
      <c r="Z3351" s="174" t="e">
        <v>#N/A</v>
      </c>
      <c r="AA3351" s="177"/>
    </row>
    <row r="3352" spans="22:27" x14ac:dyDescent="0.2">
      <c r="V3352" s="163"/>
      <c r="W3352" s="158" t="str">
        <f t="shared" si="64"/>
        <v>1w</v>
      </c>
      <c r="X3352" s="168">
        <f>_xll.qlCalendarAdvance(Calendar,X3351,W3352,"f",FALSE)</f>
        <v>62767</v>
      </c>
      <c r="Y3352" s="173">
        <f>_xll.qlCalendarAdvance(Calendar,X3352,NDays&amp;"D")</f>
        <v>62767</v>
      </c>
      <c r="Z3352" s="174" t="e">
        <v>#N/A</v>
      </c>
      <c r="AA3352" s="177"/>
    </row>
    <row r="3353" spans="22:27" x14ac:dyDescent="0.2">
      <c r="V3353" s="163"/>
      <c r="W3353" s="158" t="str">
        <f t="shared" si="64"/>
        <v>1w</v>
      </c>
      <c r="X3353" s="168">
        <f>_xll.qlCalendarAdvance(Calendar,X3352,W3353,"f",FALSE)</f>
        <v>62774</v>
      </c>
      <c r="Y3353" s="173">
        <f>_xll.qlCalendarAdvance(Calendar,X3353,NDays&amp;"D")</f>
        <v>62774</v>
      </c>
      <c r="Z3353" s="174" t="e">
        <v>#N/A</v>
      </c>
      <c r="AA3353" s="177"/>
    </row>
    <row r="3354" spans="22:27" x14ac:dyDescent="0.2">
      <c r="V3354" s="163"/>
      <c r="W3354" s="158" t="str">
        <f t="shared" si="64"/>
        <v>1w</v>
      </c>
      <c r="X3354" s="168">
        <f>_xll.qlCalendarAdvance(Calendar,X3353,W3354,"f",FALSE)</f>
        <v>62781</v>
      </c>
      <c r="Y3354" s="173">
        <f>_xll.qlCalendarAdvance(Calendar,X3354,NDays&amp;"D")</f>
        <v>62781</v>
      </c>
      <c r="Z3354" s="174" t="e">
        <v>#N/A</v>
      </c>
      <c r="AA3354" s="177"/>
    </row>
    <row r="3355" spans="22:27" x14ac:dyDescent="0.2">
      <c r="V3355" s="163"/>
      <c r="W3355" s="158" t="str">
        <f t="shared" si="64"/>
        <v>1w</v>
      </c>
      <c r="X3355" s="168">
        <f>_xll.qlCalendarAdvance(Calendar,X3354,W3355,"f",FALSE)</f>
        <v>62788</v>
      </c>
      <c r="Y3355" s="173">
        <f>_xll.qlCalendarAdvance(Calendar,X3355,NDays&amp;"D")</f>
        <v>62788</v>
      </c>
      <c r="Z3355" s="174" t="e">
        <v>#N/A</v>
      </c>
      <c r="AA3355" s="177"/>
    </row>
    <row r="3356" spans="22:27" x14ac:dyDescent="0.2">
      <c r="V3356" s="163"/>
      <c r="W3356" s="158" t="str">
        <f t="shared" si="64"/>
        <v>1w</v>
      </c>
      <c r="X3356" s="168">
        <f>_xll.qlCalendarAdvance(Calendar,X3355,W3356,"f",FALSE)</f>
        <v>62795</v>
      </c>
      <c r="Y3356" s="173">
        <f>_xll.qlCalendarAdvance(Calendar,X3356,NDays&amp;"D")</f>
        <v>62795</v>
      </c>
      <c r="Z3356" s="174" t="e">
        <v>#N/A</v>
      </c>
      <c r="AA3356" s="177"/>
    </row>
    <row r="3357" spans="22:27" x14ac:dyDescent="0.2">
      <c r="V3357" s="163"/>
      <c r="W3357" s="158" t="str">
        <f t="shared" si="64"/>
        <v>1w</v>
      </c>
      <c r="X3357" s="168">
        <f>_xll.qlCalendarAdvance(Calendar,X3356,W3357,"f",FALSE)</f>
        <v>62802</v>
      </c>
      <c r="Y3357" s="173">
        <f>_xll.qlCalendarAdvance(Calendar,X3357,NDays&amp;"D")</f>
        <v>62802</v>
      </c>
      <c r="Z3357" s="174" t="e">
        <v>#N/A</v>
      </c>
      <c r="AA3357" s="177"/>
    </row>
    <row r="3358" spans="22:27" x14ac:dyDescent="0.2">
      <c r="V3358" s="163"/>
      <c r="W3358" s="158" t="str">
        <f t="shared" si="64"/>
        <v>1w</v>
      </c>
      <c r="X3358" s="168">
        <f>_xll.qlCalendarAdvance(Calendar,X3357,W3358,"f",FALSE)</f>
        <v>62809</v>
      </c>
      <c r="Y3358" s="173">
        <f>_xll.qlCalendarAdvance(Calendar,X3358,NDays&amp;"D")</f>
        <v>62809</v>
      </c>
      <c r="Z3358" s="174" t="e">
        <v>#N/A</v>
      </c>
      <c r="AA3358" s="177"/>
    </row>
    <row r="3359" spans="22:27" x14ac:dyDescent="0.2">
      <c r="V3359" s="163"/>
      <c r="W3359" s="158" t="str">
        <f t="shared" si="64"/>
        <v>1w</v>
      </c>
      <c r="X3359" s="168">
        <f>_xll.qlCalendarAdvance(Calendar,X3358,W3359,"f",FALSE)</f>
        <v>62816</v>
      </c>
      <c r="Y3359" s="173">
        <f>_xll.qlCalendarAdvance(Calendar,X3359,NDays&amp;"D")</f>
        <v>62816</v>
      </c>
      <c r="Z3359" s="174" t="e">
        <v>#N/A</v>
      </c>
      <c r="AA3359" s="177"/>
    </row>
    <row r="3360" spans="22:27" x14ac:dyDescent="0.2">
      <c r="V3360" s="163"/>
      <c r="W3360" s="158" t="str">
        <f t="shared" si="64"/>
        <v>1w</v>
      </c>
      <c r="X3360" s="168">
        <f>_xll.qlCalendarAdvance(Calendar,X3359,W3360,"f",FALSE)</f>
        <v>62827</v>
      </c>
      <c r="Y3360" s="173">
        <f>_xll.qlCalendarAdvance(Calendar,X3360,NDays&amp;"D")</f>
        <v>62827</v>
      </c>
      <c r="Z3360" s="174" t="e">
        <v>#N/A</v>
      </c>
      <c r="AA3360" s="177"/>
    </row>
    <row r="3361" spans="22:27" x14ac:dyDescent="0.2">
      <c r="V3361" s="163"/>
      <c r="W3361" s="158" t="str">
        <f t="shared" si="64"/>
        <v>1w</v>
      </c>
      <c r="X3361" s="168">
        <f>_xll.qlCalendarAdvance(Calendar,X3360,W3361,"f",FALSE)</f>
        <v>62835</v>
      </c>
      <c r="Y3361" s="173">
        <f>_xll.qlCalendarAdvance(Calendar,X3361,NDays&amp;"D")</f>
        <v>62835</v>
      </c>
      <c r="Z3361" s="174" t="e">
        <v>#N/A</v>
      </c>
      <c r="AA3361" s="177"/>
    </row>
    <row r="3362" spans="22:27" x14ac:dyDescent="0.2">
      <c r="V3362" s="163"/>
      <c r="W3362" s="158" t="str">
        <f t="shared" si="64"/>
        <v>1w</v>
      </c>
      <c r="X3362" s="168">
        <f>_xll.qlCalendarAdvance(Calendar,X3361,W3362,"f",FALSE)</f>
        <v>62842</v>
      </c>
      <c r="Y3362" s="173">
        <f>_xll.qlCalendarAdvance(Calendar,X3362,NDays&amp;"D")</f>
        <v>62842</v>
      </c>
      <c r="Z3362" s="174" t="e">
        <v>#N/A</v>
      </c>
      <c r="AA3362" s="177"/>
    </row>
    <row r="3363" spans="22:27" x14ac:dyDescent="0.2">
      <c r="V3363" s="163"/>
      <c r="W3363" s="158" t="str">
        <f t="shared" si="64"/>
        <v>1w</v>
      </c>
      <c r="X3363" s="168">
        <f>_xll.qlCalendarAdvance(Calendar,X3362,W3363,"f",FALSE)</f>
        <v>62849</v>
      </c>
      <c r="Y3363" s="173">
        <f>_xll.qlCalendarAdvance(Calendar,X3363,NDays&amp;"D")</f>
        <v>62849</v>
      </c>
      <c r="Z3363" s="174" t="e">
        <v>#N/A</v>
      </c>
      <c r="AA3363" s="177"/>
    </row>
    <row r="3364" spans="22:27" x14ac:dyDescent="0.2">
      <c r="V3364" s="163"/>
      <c r="W3364" s="158" t="str">
        <f t="shared" si="64"/>
        <v>1w</v>
      </c>
      <c r="X3364" s="168">
        <f>_xll.qlCalendarAdvance(Calendar,X3363,W3364,"f",FALSE)</f>
        <v>62856</v>
      </c>
      <c r="Y3364" s="173">
        <f>_xll.qlCalendarAdvance(Calendar,X3364,NDays&amp;"D")</f>
        <v>62856</v>
      </c>
      <c r="Z3364" s="174" t="e">
        <v>#N/A</v>
      </c>
      <c r="AA3364" s="177"/>
    </row>
    <row r="3365" spans="22:27" x14ac:dyDescent="0.2">
      <c r="V3365" s="163"/>
      <c r="W3365" s="158" t="str">
        <f t="shared" si="64"/>
        <v>1w</v>
      </c>
      <c r="X3365" s="168">
        <f>_xll.qlCalendarAdvance(Calendar,X3364,W3365,"f",FALSE)</f>
        <v>62863</v>
      </c>
      <c r="Y3365" s="173">
        <f>_xll.qlCalendarAdvance(Calendar,X3365,NDays&amp;"D")</f>
        <v>62863</v>
      </c>
      <c r="Z3365" s="174" t="e">
        <v>#N/A</v>
      </c>
      <c r="AA3365" s="177"/>
    </row>
    <row r="3366" spans="22:27" x14ac:dyDescent="0.2">
      <c r="V3366" s="163"/>
      <c r="W3366" s="158" t="str">
        <f t="shared" si="64"/>
        <v>1w</v>
      </c>
      <c r="X3366" s="168">
        <f>_xll.qlCalendarAdvance(Calendar,X3365,W3366,"f",FALSE)</f>
        <v>62870</v>
      </c>
      <c r="Y3366" s="173">
        <f>_xll.qlCalendarAdvance(Calendar,X3366,NDays&amp;"D")</f>
        <v>62870</v>
      </c>
      <c r="Z3366" s="174" t="e">
        <v>#N/A</v>
      </c>
      <c r="AA3366" s="177"/>
    </row>
    <row r="3367" spans="22:27" x14ac:dyDescent="0.2">
      <c r="V3367" s="163"/>
      <c r="W3367" s="158" t="str">
        <f t="shared" si="64"/>
        <v>1w</v>
      </c>
      <c r="X3367" s="168">
        <f>_xll.qlCalendarAdvance(Calendar,X3366,W3367,"f",FALSE)</f>
        <v>62877</v>
      </c>
      <c r="Y3367" s="173">
        <f>_xll.qlCalendarAdvance(Calendar,X3367,NDays&amp;"D")</f>
        <v>62877</v>
      </c>
      <c r="Z3367" s="174" t="e">
        <v>#N/A</v>
      </c>
      <c r="AA3367" s="177"/>
    </row>
    <row r="3368" spans="22:27" x14ac:dyDescent="0.2">
      <c r="V3368" s="163"/>
      <c r="W3368" s="158" t="str">
        <f t="shared" si="64"/>
        <v>1w</v>
      </c>
      <c r="X3368" s="168">
        <f>_xll.qlCalendarAdvance(Calendar,X3367,W3368,"f",FALSE)</f>
        <v>62884</v>
      </c>
      <c r="Y3368" s="173">
        <f>_xll.qlCalendarAdvance(Calendar,X3368,NDays&amp;"D")</f>
        <v>62884</v>
      </c>
      <c r="Z3368" s="174" t="e">
        <v>#N/A</v>
      </c>
      <c r="AA3368" s="177"/>
    </row>
    <row r="3369" spans="22:27" x14ac:dyDescent="0.2">
      <c r="V3369" s="163"/>
      <c r="W3369" s="158" t="str">
        <f t="shared" si="64"/>
        <v>1w</v>
      </c>
      <c r="X3369" s="168">
        <f>_xll.qlCalendarAdvance(Calendar,X3368,W3369,"f",FALSE)</f>
        <v>62891</v>
      </c>
      <c r="Y3369" s="173">
        <f>_xll.qlCalendarAdvance(Calendar,X3369,NDays&amp;"D")</f>
        <v>62891</v>
      </c>
      <c r="Z3369" s="174" t="e">
        <v>#N/A</v>
      </c>
      <c r="AA3369" s="177"/>
    </row>
    <row r="3370" spans="22:27" x14ac:dyDescent="0.2">
      <c r="V3370" s="163"/>
      <c r="W3370" s="158" t="str">
        <f t="shared" si="64"/>
        <v>1w</v>
      </c>
      <c r="X3370" s="168">
        <f>_xll.qlCalendarAdvance(Calendar,X3369,W3370,"f",FALSE)</f>
        <v>62898</v>
      </c>
      <c r="Y3370" s="173">
        <f>_xll.qlCalendarAdvance(Calendar,X3370,NDays&amp;"D")</f>
        <v>62898</v>
      </c>
      <c r="Z3370" s="174" t="e">
        <v>#N/A</v>
      </c>
      <c r="AA3370" s="177"/>
    </row>
    <row r="3371" spans="22:27" x14ac:dyDescent="0.2">
      <c r="V3371" s="163"/>
      <c r="W3371" s="158" t="str">
        <f t="shared" si="64"/>
        <v>1w</v>
      </c>
      <c r="X3371" s="168">
        <f>_xll.qlCalendarAdvance(Calendar,X3370,W3371,"f",FALSE)</f>
        <v>62905</v>
      </c>
      <c r="Y3371" s="173">
        <f>_xll.qlCalendarAdvance(Calendar,X3371,NDays&amp;"D")</f>
        <v>62905</v>
      </c>
      <c r="Z3371" s="174" t="e">
        <v>#N/A</v>
      </c>
      <c r="AA3371" s="177"/>
    </row>
    <row r="3372" spans="22:27" x14ac:dyDescent="0.2">
      <c r="V3372" s="163"/>
      <c r="W3372" s="158" t="str">
        <f t="shared" si="64"/>
        <v>1w</v>
      </c>
      <c r="X3372" s="168">
        <f>_xll.qlCalendarAdvance(Calendar,X3371,W3372,"f",FALSE)</f>
        <v>62912</v>
      </c>
      <c r="Y3372" s="173">
        <f>_xll.qlCalendarAdvance(Calendar,X3372,NDays&amp;"D")</f>
        <v>62912</v>
      </c>
      <c r="Z3372" s="174" t="e">
        <v>#N/A</v>
      </c>
      <c r="AA3372" s="177"/>
    </row>
    <row r="3373" spans="22:27" x14ac:dyDescent="0.2">
      <c r="V3373" s="163"/>
      <c r="W3373" s="158" t="str">
        <f t="shared" si="64"/>
        <v>1w</v>
      </c>
      <c r="X3373" s="168">
        <f>_xll.qlCalendarAdvance(Calendar,X3372,W3373,"f",FALSE)</f>
        <v>62919</v>
      </c>
      <c r="Y3373" s="173">
        <f>_xll.qlCalendarAdvance(Calendar,X3373,NDays&amp;"D")</f>
        <v>62919</v>
      </c>
      <c r="Z3373" s="174" t="e">
        <v>#N/A</v>
      </c>
      <c r="AA3373" s="177"/>
    </row>
    <row r="3374" spans="22:27" x14ac:dyDescent="0.2">
      <c r="V3374" s="163"/>
      <c r="W3374" s="158" t="str">
        <f t="shared" si="64"/>
        <v>1w</v>
      </c>
      <c r="X3374" s="168">
        <f>_xll.qlCalendarAdvance(Calendar,X3373,W3374,"f",FALSE)</f>
        <v>62926</v>
      </c>
      <c r="Y3374" s="173">
        <f>_xll.qlCalendarAdvance(Calendar,X3374,NDays&amp;"D")</f>
        <v>62926</v>
      </c>
      <c r="Z3374" s="174" t="e">
        <v>#N/A</v>
      </c>
      <c r="AA3374" s="177"/>
    </row>
    <row r="3375" spans="22:27" x14ac:dyDescent="0.2">
      <c r="V3375" s="163"/>
      <c r="W3375" s="158" t="str">
        <f t="shared" si="64"/>
        <v>1w</v>
      </c>
      <c r="X3375" s="168">
        <f>_xll.qlCalendarAdvance(Calendar,X3374,W3375,"f",FALSE)</f>
        <v>62933</v>
      </c>
      <c r="Y3375" s="173">
        <f>_xll.qlCalendarAdvance(Calendar,X3375,NDays&amp;"D")</f>
        <v>62933</v>
      </c>
      <c r="Z3375" s="174" t="e">
        <v>#N/A</v>
      </c>
      <c r="AA3375" s="177"/>
    </row>
    <row r="3376" spans="22:27" x14ac:dyDescent="0.2">
      <c r="V3376" s="163"/>
      <c r="W3376" s="158" t="str">
        <f t="shared" si="64"/>
        <v>1w</v>
      </c>
      <c r="X3376" s="168">
        <f>_xll.qlCalendarAdvance(Calendar,X3375,W3376,"f",FALSE)</f>
        <v>62940</v>
      </c>
      <c r="Y3376" s="173">
        <f>_xll.qlCalendarAdvance(Calendar,X3376,NDays&amp;"D")</f>
        <v>62940</v>
      </c>
      <c r="Z3376" s="174" t="e">
        <v>#N/A</v>
      </c>
      <c r="AA3376" s="177"/>
    </row>
    <row r="3377" spans="22:27" x14ac:dyDescent="0.2">
      <c r="V3377" s="163"/>
      <c r="W3377" s="158" t="str">
        <f t="shared" si="64"/>
        <v>1w</v>
      </c>
      <c r="X3377" s="168">
        <f>_xll.qlCalendarAdvance(Calendar,X3376,W3377,"f",FALSE)</f>
        <v>62950</v>
      </c>
      <c r="Y3377" s="173">
        <f>_xll.qlCalendarAdvance(Calendar,X3377,NDays&amp;"D")</f>
        <v>62950</v>
      </c>
      <c r="Z3377" s="174" t="e">
        <v>#N/A</v>
      </c>
      <c r="AA3377" s="177"/>
    </row>
    <row r="3378" spans="22:27" x14ac:dyDescent="0.2">
      <c r="V3378" s="163"/>
      <c r="W3378" s="158" t="str">
        <f t="shared" si="64"/>
        <v>1w</v>
      </c>
      <c r="X3378" s="168">
        <f>_xll.qlCalendarAdvance(Calendar,X3377,W3378,"f",FALSE)</f>
        <v>62957</v>
      </c>
      <c r="Y3378" s="173">
        <f>_xll.qlCalendarAdvance(Calendar,X3378,NDays&amp;"D")</f>
        <v>62957</v>
      </c>
      <c r="Z3378" s="174" t="e">
        <v>#N/A</v>
      </c>
      <c r="AA3378" s="177"/>
    </row>
    <row r="3379" spans="22:27" x14ac:dyDescent="0.2">
      <c r="V3379" s="163"/>
      <c r="W3379" s="158" t="str">
        <f t="shared" si="64"/>
        <v>1w</v>
      </c>
      <c r="X3379" s="168">
        <f>_xll.qlCalendarAdvance(Calendar,X3378,W3379,"f",FALSE)</f>
        <v>62964</v>
      </c>
      <c r="Y3379" s="173">
        <f>_xll.qlCalendarAdvance(Calendar,X3379,NDays&amp;"D")</f>
        <v>62964</v>
      </c>
      <c r="Z3379" s="174" t="e">
        <v>#N/A</v>
      </c>
      <c r="AA3379" s="177"/>
    </row>
    <row r="3380" spans="22:27" x14ac:dyDescent="0.2">
      <c r="V3380" s="163"/>
      <c r="W3380" s="158" t="str">
        <f t="shared" si="64"/>
        <v>1w</v>
      </c>
      <c r="X3380" s="168">
        <f>_xll.qlCalendarAdvance(Calendar,X3379,W3380,"f",FALSE)</f>
        <v>62971</v>
      </c>
      <c r="Y3380" s="173">
        <f>_xll.qlCalendarAdvance(Calendar,X3380,NDays&amp;"D")</f>
        <v>62971</v>
      </c>
      <c r="Z3380" s="174" t="e">
        <v>#N/A</v>
      </c>
      <c r="AA3380" s="177"/>
    </row>
    <row r="3381" spans="22:27" x14ac:dyDescent="0.2">
      <c r="V3381" s="163"/>
      <c r="W3381" s="158" t="str">
        <f t="shared" si="64"/>
        <v>1w</v>
      </c>
      <c r="X3381" s="168">
        <f>_xll.qlCalendarAdvance(Calendar,X3380,W3381,"f",FALSE)</f>
        <v>62978</v>
      </c>
      <c r="Y3381" s="173">
        <f>_xll.qlCalendarAdvance(Calendar,X3381,NDays&amp;"D")</f>
        <v>62978</v>
      </c>
      <c r="Z3381" s="174" t="e">
        <v>#N/A</v>
      </c>
      <c r="AA3381" s="177"/>
    </row>
    <row r="3382" spans="22:27" x14ac:dyDescent="0.2">
      <c r="V3382" s="163"/>
      <c r="W3382" s="158" t="str">
        <f t="shared" si="64"/>
        <v>1w</v>
      </c>
      <c r="X3382" s="168">
        <f>_xll.qlCalendarAdvance(Calendar,X3381,W3382,"f",FALSE)</f>
        <v>62985</v>
      </c>
      <c r="Y3382" s="173">
        <f>_xll.qlCalendarAdvance(Calendar,X3382,NDays&amp;"D")</f>
        <v>62985</v>
      </c>
      <c r="Z3382" s="174" t="e">
        <v>#N/A</v>
      </c>
      <c r="AA3382" s="177"/>
    </row>
    <row r="3383" spans="22:27" x14ac:dyDescent="0.2">
      <c r="V3383" s="163"/>
      <c r="W3383" s="158" t="str">
        <f t="shared" si="64"/>
        <v>1w</v>
      </c>
      <c r="X3383" s="168">
        <f>_xll.qlCalendarAdvance(Calendar,X3382,W3383,"f",FALSE)</f>
        <v>62992</v>
      </c>
      <c r="Y3383" s="173">
        <f>_xll.qlCalendarAdvance(Calendar,X3383,NDays&amp;"D")</f>
        <v>62992</v>
      </c>
      <c r="Z3383" s="174" t="e">
        <v>#N/A</v>
      </c>
      <c r="AA3383" s="177"/>
    </row>
    <row r="3384" spans="22:27" x14ac:dyDescent="0.2">
      <c r="V3384" s="163"/>
      <c r="W3384" s="158" t="str">
        <f t="shared" si="64"/>
        <v>1w</v>
      </c>
      <c r="X3384" s="168">
        <f>_xll.qlCalendarAdvance(Calendar,X3383,W3384,"f",FALSE)</f>
        <v>62999</v>
      </c>
      <c r="Y3384" s="173">
        <f>_xll.qlCalendarAdvance(Calendar,X3384,NDays&amp;"D")</f>
        <v>62999</v>
      </c>
      <c r="Z3384" s="174" t="e">
        <v>#N/A</v>
      </c>
      <c r="AA3384" s="177"/>
    </row>
    <row r="3385" spans="22:27" x14ac:dyDescent="0.2">
      <c r="V3385" s="163"/>
      <c r="W3385" s="158" t="str">
        <f t="shared" si="64"/>
        <v>1w</v>
      </c>
      <c r="X3385" s="168">
        <f>_xll.qlCalendarAdvance(Calendar,X3384,W3385,"f",FALSE)</f>
        <v>63006</v>
      </c>
      <c r="Y3385" s="173">
        <f>_xll.qlCalendarAdvance(Calendar,X3385,NDays&amp;"D")</f>
        <v>63006</v>
      </c>
      <c r="Z3385" s="174" t="e">
        <v>#N/A</v>
      </c>
      <c r="AA3385" s="177"/>
    </row>
    <row r="3386" spans="22:27" x14ac:dyDescent="0.2">
      <c r="V3386" s="163"/>
      <c r="W3386" s="158" t="str">
        <f t="shared" si="64"/>
        <v>1w</v>
      </c>
      <c r="X3386" s="168">
        <f>_xll.qlCalendarAdvance(Calendar,X3385,W3386,"f",FALSE)</f>
        <v>63013</v>
      </c>
      <c r="Y3386" s="173">
        <f>_xll.qlCalendarAdvance(Calendar,X3386,NDays&amp;"D")</f>
        <v>63013</v>
      </c>
      <c r="Z3386" s="174" t="e">
        <v>#N/A</v>
      </c>
      <c r="AA3386" s="177"/>
    </row>
    <row r="3387" spans="22:27" x14ac:dyDescent="0.2">
      <c r="V3387" s="163"/>
      <c r="W3387" s="158" t="str">
        <f t="shared" si="64"/>
        <v>1w</v>
      </c>
      <c r="X3387" s="168">
        <f>_xll.qlCalendarAdvance(Calendar,X3386,W3387,"f",FALSE)</f>
        <v>63020</v>
      </c>
      <c r="Y3387" s="173">
        <f>_xll.qlCalendarAdvance(Calendar,X3387,NDays&amp;"D")</f>
        <v>63020</v>
      </c>
      <c r="Z3387" s="174" t="e">
        <v>#N/A</v>
      </c>
      <c r="AA3387" s="177"/>
    </row>
    <row r="3388" spans="22:27" x14ac:dyDescent="0.2">
      <c r="V3388" s="163"/>
      <c r="W3388" s="158" t="str">
        <f t="shared" si="64"/>
        <v>1w</v>
      </c>
      <c r="X3388" s="168">
        <f>_xll.qlCalendarAdvance(Calendar,X3387,W3388,"f",FALSE)</f>
        <v>63027</v>
      </c>
      <c r="Y3388" s="173">
        <f>_xll.qlCalendarAdvance(Calendar,X3388,NDays&amp;"D")</f>
        <v>63027</v>
      </c>
      <c r="Z3388" s="174" t="e">
        <v>#N/A</v>
      </c>
      <c r="AA3388" s="177"/>
    </row>
    <row r="3389" spans="22:27" x14ac:dyDescent="0.2">
      <c r="V3389" s="163"/>
      <c r="W3389" s="158" t="str">
        <f t="shared" si="64"/>
        <v>1w</v>
      </c>
      <c r="X3389" s="168">
        <f>_xll.qlCalendarAdvance(Calendar,X3388,W3389,"f",FALSE)</f>
        <v>63034</v>
      </c>
      <c r="Y3389" s="173">
        <f>_xll.qlCalendarAdvance(Calendar,X3389,NDays&amp;"D")</f>
        <v>63034</v>
      </c>
      <c r="Z3389" s="174" t="e">
        <v>#N/A</v>
      </c>
      <c r="AA3389" s="177"/>
    </row>
    <row r="3390" spans="22:27" x14ac:dyDescent="0.2">
      <c r="V3390" s="163"/>
      <c r="W3390" s="158" t="str">
        <f t="shared" si="64"/>
        <v>1w</v>
      </c>
      <c r="X3390" s="168">
        <f>_xll.qlCalendarAdvance(Calendar,X3389,W3390,"f",FALSE)</f>
        <v>63041</v>
      </c>
      <c r="Y3390" s="173">
        <f>_xll.qlCalendarAdvance(Calendar,X3390,NDays&amp;"D")</f>
        <v>63041</v>
      </c>
      <c r="Z3390" s="174" t="e">
        <v>#N/A</v>
      </c>
      <c r="AA3390" s="177"/>
    </row>
    <row r="3391" spans="22:27" x14ac:dyDescent="0.2">
      <c r="V3391" s="163"/>
      <c r="W3391" s="158" t="str">
        <f t="shared" si="64"/>
        <v>1w</v>
      </c>
      <c r="X3391" s="168">
        <f>_xll.qlCalendarAdvance(Calendar,X3390,W3391,"f",FALSE)</f>
        <v>63048</v>
      </c>
      <c r="Y3391" s="173">
        <f>_xll.qlCalendarAdvance(Calendar,X3391,NDays&amp;"D")</f>
        <v>63048</v>
      </c>
      <c r="Z3391" s="174" t="e">
        <v>#N/A</v>
      </c>
      <c r="AA3391" s="177"/>
    </row>
    <row r="3392" spans="22:27" x14ac:dyDescent="0.2">
      <c r="V3392" s="163"/>
      <c r="W3392" s="158" t="str">
        <f t="shared" si="64"/>
        <v>1w</v>
      </c>
      <c r="X3392" s="168">
        <f>_xll.qlCalendarAdvance(Calendar,X3391,W3392,"f",FALSE)</f>
        <v>63055</v>
      </c>
      <c r="Y3392" s="173">
        <f>_xll.qlCalendarAdvance(Calendar,X3392,NDays&amp;"D")</f>
        <v>63055</v>
      </c>
      <c r="Z3392" s="174" t="e">
        <v>#N/A</v>
      </c>
      <c r="AA3392" s="177"/>
    </row>
    <row r="3393" spans="22:27" x14ac:dyDescent="0.2">
      <c r="V3393" s="163"/>
      <c r="W3393" s="158" t="str">
        <f t="shared" si="64"/>
        <v>1w</v>
      </c>
      <c r="X3393" s="168">
        <f>_xll.qlCalendarAdvance(Calendar,X3392,W3393,"f",FALSE)</f>
        <v>63062</v>
      </c>
      <c r="Y3393" s="173">
        <f>_xll.qlCalendarAdvance(Calendar,X3393,NDays&amp;"D")</f>
        <v>63062</v>
      </c>
      <c r="Z3393" s="174" t="e">
        <v>#N/A</v>
      </c>
      <c r="AA3393" s="177"/>
    </row>
    <row r="3394" spans="22:27" x14ac:dyDescent="0.2">
      <c r="V3394" s="163"/>
      <c r="W3394" s="158" t="str">
        <f t="shared" si="64"/>
        <v>1w</v>
      </c>
      <c r="X3394" s="168">
        <f>_xll.qlCalendarAdvance(Calendar,X3393,W3394,"f",FALSE)</f>
        <v>63069</v>
      </c>
      <c r="Y3394" s="173">
        <f>_xll.qlCalendarAdvance(Calendar,X3394,NDays&amp;"D")</f>
        <v>63069</v>
      </c>
      <c r="Z3394" s="174" t="e">
        <v>#N/A</v>
      </c>
      <c r="AA3394" s="177"/>
    </row>
    <row r="3395" spans="22:27" x14ac:dyDescent="0.2">
      <c r="V3395" s="163"/>
      <c r="W3395" s="158" t="str">
        <f t="shared" si="64"/>
        <v>1w</v>
      </c>
      <c r="X3395" s="168">
        <f>_xll.qlCalendarAdvance(Calendar,X3394,W3395,"f",FALSE)</f>
        <v>63076</v>
      </c>
      <c r="Y3395" s="173">
        <f>_xll.qlCalendarAdvance(Calendar,X3395,NDays&amp;"D")</f>
        <v>63076</v>
      </c>
      <c r="Z3395" s="174" t="e">
        <v>#N/A</v>
      </c>
      <c r="AA3395" s="177"/>
    </row>
    <row r="3396" spans="22:27" x14ac:dyDescent="0.2">
      <c r="V3396" s="163"/>
      <c r="W3396" s="158" t="str">
        <f t="shared" si="64"/>
        <v>1w</v>
      </c>
      <c r="X3396" s="168">
        <f>_xll.qlCalendarAdvance(Calendar,X3395,W3396,"f",FALSE)</f>
        <v>63083</v>
      </c>
      <c r="Y3396" s="173">
        <f>_xll.qlCalendarAdvance(Calendar,X3396,NDays&amp;"D")</f>
        <v>63083</v>
      </c>
      <c r="Z3396" s="174" t="e">
        <v>#N/A</v>
      </c>
      <c r="AA3396" s="177"/>
    </row>
    <row r="3397" spans="22:27" x14ac:dyDescent="0.2">
      <c r="V3397" s="163"/>
      <c r="W3397" s="158" t="str">
        <f t="shared" si="64"/>
        <v>1w</v>
      </c>
      <c r="X3397" s="168">
        <f>_xll.qlCalendarAdvance(Calendar,X3396,W3397,"f",FALSE)</f>
        <v>63090</v>
      </c>
      <c r="Y3397" s="173">
        <f>_xll.qlCalendarAdvance(Calendar,X3397,NDays&amp;"D")</f>
        <v>63090</v>
      </c>
      <c r="Z3397" s="174" t="e">
        <v>#N/A</v>
      </c>
      <c r="AA3397" s="177"/>
    </row>
    <row r="3398" spans="22:27" x14ac:dyDescent="0.2">
      <c r="V3398" s="163"/>
      <c r="W3398" s="158" t="str">
        <f t="shared" si="64"/>
        <v>1w</v>
      </c>
      <c r="X3398" s="168">
        <f>_xll.qlCalendarAdvance(Calendar,X3397,W3398,"f",FALSE)</f>
        <v>63097</v>
      </c>
      <c r="Y3398" s="173">
        <f>_xll.qlCalendarAdvance(Calendar,X3398,NDays&amp;"D")</f>
        <v>63097</v>
      </c>
      <c r="Z3398" s="174" t="e">
        <v>#N/A</v>
      </c>
      <c r="AA3398" s="177"/>
    </row>
    <row r="3399" spans="22:27" x14ac:dyDescent="0.2">
      <c r="V3399" s="163"/>
      <c r="W3399" s="158" t="str">
        <f t="shared" si="64"/>
        <v>1w</v>
      </c>
      <c r="X3399" s="168">
        <f>_xll.qlCalendarAdvance(Calendar,X3398,W3399,"f",FALSE)</f>
        <v>63104</v>
      </c>
      <c r="Y3399" s="173">
        <f>_xll.qlCalendarAdvance(Calendar,X3399,NDays&amp;"D")</f>
        <v>63104</v>
      </c>
      <c r="Z3399" s="174" t="e">
        <v>#N/A</v>
      </c>
      <c r="AA3399" s="177"/>
    </row>
    <row r="3400" spans="22:27" x14ac:dyDescent="0.2">
      <c r="V3400" s="163"/>
      <c r="W3400" s="158" t="str">
        <f t="shared" si="64"/>
        <v>1w</v>
      </c>
      <c r="X3400" s="168">
        <f>_xll.qlCalendarAdvance(Calendar,X3399,W3400,"f",FALSE)</f>
        <v>63111</v>
      </c>
      <c r="Y3400" s="173">
        <f>_xll.qlCalendarAdvance(Calendar,X3400,NDays&amp;"D")</f>
        <v>63111</v>
      </c>
      <c r="Z3400" s="174" t="e">
        <v>#N/A</v>
      </c>
      <c r="AA3400" s="177"/>
    </row>
    <row r="3401" spans="22:27" x14ac:dyDescent="0.2">
      <c r="V3401" s="163"/>
      <c r="W3401" s="158" t="str">
        <f t="shared" si="64"/>
        <v>1w</v>
      </c>
      <c r="X3401" s="168">
        <f>_xll.qlCalendarAdvance(Calendar,X3400,W3401,"f",FALSE)</f>
        <v>63118</v>
      </c>
      <c r="Y3401" s="173">
        <f>_xll.qlCalendarAdvance(Calendar,X3401,NDays&amp;"D")</f>
        <v>63118</v>
      </c>
      <c r="Z3401" s="174" t="e">
        <v>#N/A</v>
      </c>
      <c r="AA3401" s="177"/>
    </row>
    <row r="3402" spans="22:27" x14ac:dyDescent="0.2">
      <c r="V3402" s="163"/>
      <c r="W3402" s="158" t="str">
        <f t="shared" si="64"/>
        <v>1w</v>
      </c>
      <c r="X3402" s="168">
        <f>_xll.qlCalendarAdvance(Calendar,X3401,W3402,"f",FALSE)</f>
        <v>63125</v>
      </c>
      <c r="Y3402" s="173">
        <f>_xll.qlCalendarAdvance(Calendar,X3402,NDays&amp;"D")</f>
        <v>63125</v>
      </c>
      <c r="Z3402" s="174" t="e">
        <v>#N/A</v>
      </c>
      <c r="AA3402" s="177"/>
    </row>
    <row r="3403" spans="22:27" x14ac:dyDescent="0.2">
      <c r="V3403" s="163"/>
      <c r="W3403" s="158" t="str">
        <f t="shared" si="64"/>
        <v>1w</v>
      </c>
      <c r="X3403" s="168">
        <f>_xll.qlCalendarAdvance(Calendar,X3402,W3403,"f",FALSE)</f>
        <v>63132</v>
      </c>
      <c r="Y3403" s="173">
        <f>_xll.qlCalendarAdvance(Calendar,X3403,NDays&amp;"D")</f>
        <v>63132</v>
      </c>
      <c r="Z3403" s="174" t="e">
        <v>#N/A</v>
      </c>
      <c r="AA3403" s="177"/>
    </row>
    <row r="3404" spans="22:27" x14ac:dyDescent="0.2">
      <c r="V3404" s="163"/>
      <c r="W3404" s="158" t="str">
        <f t="shared" si="64"/>
        <v>1w</v>
      </c>
      <c r="X3404" s="168">
        <f>_xll.qlCalendarAdvance(Calendar,X3403,W3404,"f",FALSE)</f>
        <v>63139</v>
      </c>
      <c r="Y3404" s="173">
        <f>_xll.qlCalendarAdvance(Calendar,X3404,NDays&amp;"D")</f>
        <v>63139</v>
      </c>
      <c r="Z3404" s="174" t="e">
        <v>#N/A</v>
      </c>
      <c r="AA3404" s="177"/>
    </row>
    <row r="3405" spans="22:27" x14ac:dyDescent="0.2">
      <c r="V3405" s="163"/>
      <c r="W3405" s="158" t="str">
        <f t="shared" ref="W3405:W3468" si="65">W3404</f>
        <v>1w</v>
      </c>
      <c r="X3405" s="168">
        <f>_xll.qlCalendarAdvance(Calendar,X3404,W3405,"f",FALSE)</f>
        <v>63146</v>
      </c>
      <c r="Y3405" s="173">
        <f>_xll.qlCalendarAdvance(Calendar,X3405,NDays&amp;"D")</f>
        <v>63146</v>
      </c>
      <c r="Z3405" s="174" t="e">
        <v>#N/A</v>
      </c>
      <c r="AA3405" s="177"/>
    </row>
    <row r="3406" spans="22:27" x14ac:dyDescent="0.2">
      <c r="V3406" s="163"/>
      <c r="W3406" s="158" t="str">
        <f t="shared" si="65"/>
        <v>1w</v>
      </c>
      <c r="X3406" s="168">
        <f>_xll.qlCalendarAdvance(Calendar,X3405,W3406,"f",FALSE)</f>
        <v>63153</v>
      </c>
      <c r="Y3406" s="173">
        <f>_xll.qlCalendarAdvance(Calendar,X3406,NDays&amp;"D")</f>
        <v>63153</v>
      </c>
      <c r="Z3406" s="174" t="e">
        <v>#N/A</v>
      </c>
      <c r="AA3406" s="177"/>
    </row>
    <row r="3407" spans="22:27" x14ac:dyDescent="0.2">
      <c r="V3407" s="163"/>
      <c r="W3407" s="158" t="str">
        <f t="shared" si="65"/>
        <v>1w</v>
      </c>
      <c r="X3407" s="168">
        <f>_xll.qlCalendarAdvance(Calendar,X3406,W3407,"f",FALSE)</f>
        <v>63160</v>
      </c>
      <c r="Y3407" s="173">
        <f>_xll.qlCalendarAdvance(Calendar,X3407,NDays&amp;"D")</f>
        <v>63160</v>
      </c>
      <c r="Z3407" s="174" t="e">
        <v>#N/A</v>
      </c>
      <c r="AA3407" s="177"/>
    </row>
    <row r="3408" spans="22:27" x14ac:dyDescent="0.2">
      <c r="V3408" s="163"/>
      <c r="W3408" s="158" t="str">
        <f t="shared" si="65"/>
        <v>1w</v>
      </c>
      <c r="X3408" s="168">
        <f>_xll.qlCalendarAdvance(Calendar,X3407,W3408,"f",FALSE)</f>
        <v>63167</v>
      </c>
      <c r="Y3408" s="173">
        <f>_xll.qlCalendarAdvance(Calendar,X3408,NDays&amp;"D")</f>
        <v>63167</v>
      </c>
      <c r="Z3408" s="174" t="e">
        <v>#N/A</v>
      </c>
      <c r="AA3408" s="177"/>
    </row>
    <row r="3409" spans="22:27" x14ac:dyDescent="0.2">
      <c r="V3409" s="163"/>
      <c r="W3409" s="158" t="str">
        <f t="shared" si="65"/>
        <v>1w</v>
      </c>
      <c r="X3409" s="168">
        <f>_xll.qlCalendarAdvance(Calendar,X3408,W3409,"f",FALSE)</f>
        <v>63174</v>
      </c>
      <c r="Y3409" s="173">
        <f>_xll.qlCalendarAdvance(Calendar,X3409,NDays&amp;"D")</f>
        <v>63174</v>
      </c>
      <c r="Z3409" s="174" t="e">
        <v>#N/A</v>
      </c>
      <c r="AA3409" s="177"/>
    </row>
    <row r="3410" spans="22:27" x14ac:dyDescent="0.2">
      <c r="V3410" s="163"/>
      <c r="W3410" s="158" t="str">
        <f t="shared" si="65"/>
        <v>1w</v>
      </c>
      <c r="X3410" s="168">
        <f>_xll.qlCalendarAdvance(Calendar,X3409,W3410,"f",FALSE)</f>
        <v>63184</v>
      </c>
      <c r="Y3410" s="173">
        <f>_xll.qlCalendarAdvance(Calendar,X3410,NDays&amp;"D")</f>
        <v>63184</v>
      </c>
      <c r="Z3410" s="174" t="e">
        <v>#N/A</v>
      </c>
      <c r="AA3410" s="177"/>
    </row>
    <row r="3411" spans="22:27" x14ac:dyDescent="0.2">
      <c r="V3411" s="163"/>
      <c r="W3411" s="158" t="str">
        <f t="shared" si="65"/>
        <v>1w</v>
      </c>
      <c r="X3411" s="168">
        <f>_xll.qlCalendarAdvance(Calendar,X3410,W3411,"f",FALSE)</f>
        <v>63193</v>
      </c>
      <c r="Y3411" s="173">
        <f>_xll.qlCalendarAdvance(Calendar,X3411,NDays&amp;"D")</f>
        <v>63193</v>
      </c>
      <c r="Z3411" s="174" t="e">
        <v>#N/A</v>
      </c>
      <c r="AA3411" s="177"/>
    </row>
    <row r="3412" spans="22:27" x14ac:dyDescent="0.2">
      <c r="V3412" s="163"/>
      <c r="W3412" s="158" t="str">
        <f t="shared" si="65"/>
        <v>1w</v>
      </c>
      <c r="X3412" s="168">
        <f>_xll.qlCalendarAdvance(Calendar,X3411,W3412,"f",FALSE)</f>
        <v>63200</v>
      </c>
      <c r="Y3412" s="173">
        <f>_xll.qlCalendarAdvance(Calendar,X3412,NDays&amp;"D")</f>
        <v>63200</v>
      </c>
      <c r="Z3412" s="174" t="e">
        <v>#N/A</v>
      </c>
      <c r="AA3412" s="177"/>
    </row>
    <row r="3413" spans="22:27" x14ac:dyDescent="0.2">
      <c r="V3413" s="163"/>
      <c r="W3413" s="158" t="str">
        <f t="shared" si="65"/>
        <v>1w</v>
      </c>
      <c r="X3413" s="168">
        <f>_xll.qlCalendarAdvance(Calendar,X3412,W3413,"f",FALSE)</f>
        <v>63207</v>
      </c>
      <c r="Y3413" s="173">
        <f>_xll.qlCalendarAdvance(Calendar,X3413,NDays&amp;"D")</f>
        <v>63207</v>
      </c>
      <c r="Z3413" s="174" t="e">
        <v>#N/A</v>
      </c>
      <c r="AA3413" s="177"/>
    </row>
    <row r="3414" spans="22:27" x14ac:dyDescent="0.2">
      <c r="V3414" s="163"/>
      <c r="W3414" s="158" t="str">
        <f t="shared" si="65"/>
        <v>1w</v>
      </c>
      <c r="X3414" s="168">
        <f>_xll.qlCalendarAdvance(Calendar,X3413,W3414,"f",FALSE)</f>
        <v>63214</v>
      </c>
      <c r="Y3414" s="173">
        <f>_xll.qlCalendarAdvance(Calendar,X3414,NDays&amp;"D")</f>
        <v>63214</v>
      </c>
      <c r="Z3414" s="174" t="e">
        <v>#N/A</v>
      </c>
      <c r="AA3414" s="177"/>
    </row>
    <row r="3415" spans="22:27" x14ac:dyDescent="0.2">
      <c r="V3415" s="163"/>
      <c r="W3415" s="158" t="str">
        <f t="shared" si="65"/>
        <v>1w</v>
      </c>
      <c r="X3415" s="168">
        <f>_xll.qlCalendarAdvance(Calendar,X3414,W3415,"f",FALSE)</f>
        <v>63221</v>
      </c>
      <c r="Y3415" s="173">
        <f>_xll.qlCalendarAdvance(Calendar,X3415,NDays&amp;"D")</f>
        <v>63221</v>
      </c>
      <c r="Z3415" s="174" t="e">
        <v>#N/A</v>
      </c>
      <c r="AA3415" s="177"/>
    </row>
    <row r="3416" spans="22:27" x14ac:dyDescent="0.2">
      <c r="V3416" s="163"/>
      <c r="W3416" s="158" t="str">
        <f t="shared" si="65"/>
        <v>1w</v>
      </c>
      <c r="X3416" s="168">
        <f>_xll.qlCalendarAdvance(Calendar,X3415,W3416,"f",FALSE)</f>
        <v>63228</v>
      </c>
      <c r="Y3416" s="173">
        <f>_xll.qlCalendarAdvance(Calendar,X3416,NDays&amp;"D")</f>
        <v>63228</v>
      </c>
      <c r="Z3416" s="174" t="e">
        <v>#N/A</v>
      </c>
      <c r="AA3416" s="177"/>
    </row>
    <row r="3417" spans="22:27" x14ac:dyDescent="0.2">
      <c r="V3417" s="163"/>
      <c r="W3417" s="158" t="str">
        <f t="shared" si="65"/>
        <v>1w</v>
      </c>
      <c r="X3417" s="168">
        <f>_xll.qlCalendarAdvance(Calendar,X3416,W3417,"f",FALSE)</f>
        <v>63235</v>
      </c>
      <c r="Y3417" s="173">
        <f>_xll.qlCalendarAdvance(Calendar,X3417,NDays&amp;"D")</f>
        <v>63235</v>
      </c>
      <c r="Z3417" s="174" t="e">
        <v>#N/A</v>
      </c>
      <c r="AA3417" s="177"/>
    </row>
    <row r="3418" spans="22:27" x14ac:dyDescent="0.2">
      <c r="V3418" s="163"/>
      <c r="W3418" s="158" t="str">
        <f t="shared" si="65"/>
        <v>1w</v>
      </c>
      <c r="X3418" s="168">
        <f>_xll.qlCalendarAdvance(Calendar,X3417,W3418,"f",FALSE)</f>
        <v>63242</v>
      </c>
      <c r="Y3418" s="173">
        <f>_xll.qlCalendarAdvance(Calendar,X3418,NDays&amp;"D")</f>
        <v>63242</v>
      </c>
      <c r="Z3418" s="174" t="e">
        <v>#N/A</v>
      </c>
      <c r="AA3418" s="177"/>
    </row>
    <row r="3419" spans="22:27" x14ac:dyDescent="0.2">
      <c r="V3419" s="163"/>
      <c r="W3419" s="158" t="str">
        <f t="shared" si="65"/>
        <v>1w</v>
      </c>
      <c r="X3419" s="168">
        <f>_xll.qlCalendarAdvance(Calendar,X3418,W3419,"f",FALSE)</f>
        <v>63249</v>
      </c>
      <c r="Y3419" s="173">
        <f>_xll.qlCalendarAdvance(Calendar,X3419,NDays&amp;"D")</f>
        <v>63249</v>
      </c>
      <c r="Z3419" s="174" t="e">
        <v>#N/A</v>
      </c>
      <c r="AA3419" s="177"/>
    </row>
    <row r="3420" spans="22:27" x14ac:dyDescent="0.2">
      <c r="V3420" s="163"/>
      <c r="W3420" s="158" t="str">
        <f t="shared" si="65"/>
        <v>1w</v>
      </c>
      <c r="X3420" s="168">
        <f>_xll.qlCalendarAdvance(Calendar,X3419,W3420,"f",FALSE)</f>
        <v>63256</v>
      </c>
      <c r="Y3420" s="173">
        <f>_xll.qlCalendarAdvance(Calendar,X3420,NDays&amp;"D")</f>
        <v>63256</v>
      </c>
      <c r="Z3420" s="174" t="e">
        <v>#N/A</v>
      </c>
      <c r="AA3420" s="177"/>
    </row>
    <row r="3421" spans="22:27" x14ac:dyDescent="0.2">
      <c r="V3421" s="163"/>
      <c r="W3421" s="158" t="str">
        <f t="shared" si="65"/>
        <v>1w</v>
      </c>
      <c r="X3421" s="168">
        <f>_xll.qlCalendarAdvance(Calendar,X3420,W3421,"f",FALSE)</f>
        <v>63263</v>
      </c>
      <c r="Y3421" s="173">
        <f>_xll.qlCalendarAdvance(Calendar,X3421,NDays&amp;"D")</f>
        <v>63263</v>
      </c>
      <c r="Z3421" s="174" t="e">
        <v>#N/A</v>
      </c>
      <c r="AA3421" s="177"/>
    </row>
    <row r="3422" spans="22:27" x14ac:dyDescent="0.2">
      <c r="V3422" s="163"/>
      <c r="W3422" s="158" t="str">
        <f t="shared" si="65"/>
        <v>1w</v>
      </c>
      <c r="X3422" s="168">
        <f>_xll.qlCalendarAdvance(Calendar,X3421,W3422,"f",FALSE)</f>
        <v>63270</v>
      </c>
      <c r="Y3422" s="173">
        <f>_xll.qlCalendarAdvance(Calendar,X3422,NDays&amp;"D")</f>
        <v>63270</v>
      </c>
      <c r="Z3422" s="174" t="e">
        <v>#N/A</v>
      </c>
      <c r="AA3422" s="177"/>
    </row>
    <row r="3423" spans="22:27" x14ac:dyDescent="0.2">
      <c r="V3423" s="163"/>
      <c r="W3423" s="158" t="str">
        <f t="shared" si="65"/>
        <v>1w</v>
      </c>
      <c r="X3423" s="168">
        <f>_xll.qlCalendarAdvance(Calendar,X3422,W3423,"f",FALSE)</f>
        <v>63277</v>
      </c>
      <c r="Y3423" s="173">
        <f>_xll.qlCalendarAdvance(Calendar,X3423,NDays&amp;"D")</f>
        <v>63277</v>
      </c>
      <c r="Z3423" s="174" t="e">
        <v>#N/A</v>
      </c>
      <c r="AA3423" s="177"/>
    </row>
    <row r="3424" spans="22:27" x14ac:dyDescent="0.2">
      <c r="V3424" s="163"/>
      <c r="W3424" s="158" t="str">
        <f t="shared" si="65"/>
        <v>1w</v>
      </c>
      <c r="X3424" s="168">
        <f>_xll.qlCalendarAdvance(Calendar,X3423,W3424,"f",FALSE)</f>
        <v>63284</v>
      </c>
      <c r="Y3424" s="173">
        <f>_xll.qlCalendarAdvance(Calendar,X3424,NDays&amp;"D")</f>
        <v>63284</v>
      </c>
      <c r="Z3424" s="174" t="e">
        <v>#N/A</v>
      </c>
      <c r="AA3424" s="177"/>
    </row>
    <row r="3425" spans="22:27" x14ac:dyDescent="0.2">
      <c r="V3425" s="163"/>
      <c r="W3425" s="158" t="str">
        <f t="shared" si="65"/>
        <v>1w</v>
      </c>
      <c r="X3425" s="168">
        <f>_xll.qlCalendarAdvance(Calendar,X3424,W3425,"f",FALSE)</f>
        <v>63291</v>
      </c>
      <c r="Y3425" s="173">
        <f>_xll.qlCalendarAdvance(Calendar,X3425,NDays&amp;"D")</f>
        <v>63291</v>
      </c>
      <c r="Z3425" s="174" t="e">
        <v>#N/A</v>
      </c>
      <c r="AA3425" s="177"/>
    </row>
    <row r="3426" spans="22:27" x14ac:dyDescent="0.2">
      <c r="V3426" s="163"/>
      <c r="W3426" s="158" t="str">
        <f t="shared" si="65"/>
        <v>1w</v>
      </c>
      <c r="X3426" s="168">
        <f>_xll.qlCalendarAdvance(Calendar,X3425,W3426,"f",FALSE)</f>
        <v>63298</v>
      </c>
      <c r="Y3426" s="173">
        <f>_xll.qlCalendarAdvance(Calendar,X3426,NDays&amp;"D")</f>
        <v>63298</v>
      </c>
      <c r="Z3426" s="174" t="e">
        <v>#N/A</v>
      </c>
      <c r="AA3426" s="177"/>
    </row>
    <row r="3427" spans="22:27" x14ac:dyDescent="0.2">
      <c r="V3427" s="163"/>
      <c r="W3427" s="158" t="str">
        <f t="shared" si="65"/>
        <v>1w</v>
      </c>
      <c r="X3427" s="168">
        <f>_xll.qlCalendarAdvance(Calendar,X3426,W3427,"f",FALSE)</f>
        <v>63305</v>
      </c>
      <c r="Y3427" s="173">
        <f>_xll.qlCalendarAdvance(Calendar,X3427,NDays&amp;"D")</f>
        <v>63305</v>
      </c>
      <c r="Z3427" s="174" t="e">
        <v>#N/A</v>
      </c>
      <c r="AA3427" s="177"/>
    </row>
    <row r="3428" spans="22:27" x14ac:dyDescent="0.2">
      <c r="V3428" s="163"/>
      <c r="W3428" s="158" t="str">
        <f t="shared" si="65"/>
        <v>1w</v>
      </c>
      <c r="X3428" s="168">
        <f>_xll.qlCalendarAdvance(Calendar,X3427,W3428,"f",FALSE)</f>
        <v>63317</v>
      </c>
      <c r="Y3428" s="173">
        <f>_xll.qlCalendarAdvance(Calendar,X3428,NDays&amp;"D")</f>
        <v>63317</v>
      </c>
      <c r="Z3428" s="174" t="e">
        <v>#N/A</v>
      </c>
      <c r="AA3428" s="177"/>
    </row>
    <row r="3429" spans="22:27" x14ac:dyDescent="0.2">
      <c r="V3429" s="163"/>
      <c r="W3429" s="158" t="str">
        <f t="shared" si="65"/>
        <v>1w</v>
      </c>
      <c r="X3429" s="168">
        <f>_xll.qlCalendarAdvance(Calendar,X3428,W3429,"f",FALSE)</f>
        <v>63324</v>
      </c>
      <c r="Y3429" s="173">
        <f>_xll.qlCalendarAdvance(Calendar,X3429,NDays&amp;"D")</f>
        <v>63324</v>
      </c>
      <c r="Z3429" s="174" t="e">
        <v>#N/A</v>
      </c>
      <c r="AA3429" s="177"/>
    </row>
    <row r="3430" spans="22:27" x14ac:dyDescent="0.2">
      <c r="V3430" s="163"/>
      <c r="W3430" s="158" t="str">
        <f t="shared" si="65"/>
        <v>1w</v>
      </c>
      <c r="X3430" s="168">
        <f>_xll.qlCalendarAdvance(Calendar,X3429,W3430,"f",FALSE)</f>
        <v>63331</v>
      </c>
      <c r="Y3430" s="173">
        <f>_xll.qlCalendarAdvance(Calendar,X3430,NDays&amp;"D")</f>
        <v>63331</v>
      </c>
      <c r="Z3430" s="174" t="e">
        <v>#N/A</v>
      </c>
      <c r="AA3430" s="177"/>
    </row>
    <row r="3431" spans="22:27" x14ac:dyDescent="0.2">
      <c r="V3431" s="163"/>
      <c r="W3431" s="158" t="str">
        <f t="shared" si="65"/>
        <v>1w</v>
      </c>
      <c r="X3431" s="168">
        <f>_xll.qlCalendarAdvance(Calendar,X3430,W3431,"f",FALSE)</f>
        <v>63338</v>
      </c>
      <c r="Y3431" s="173">
        <f>_xll.qlCalendarAdvance(Calendar,X3431,NDays&amp;"D")</f>
        <v>63338</v>
      </c>
      <c r="Z3431" s="174" t="e">
        <v>#N/A</v>
      </c>
      <c r="AA3431" s="177"/>
    </row>
    <row r="3432" spans="22:27" x14ac:dyDescent="0.2">
      <c r="V3432" s="163"/>
      <c r="W3432" s="158" t="str">
        <f t="shared" si="65"/>
        <v>1w</v>
      </c>
      <c r="X3432" s="168">
        <f>_xll.qlCalendarAdvance(Calendar,X3431,W3432,"f",FALSE)</f>
        <v>63345</v>
      </c>
      <c r="Y3432" s="173">
        <f>_xll.qlCalendarAdvance(Calendar,X3432,NDays&amp;"D")</f>
        <v>63345</v>
      </c>
      <c r="Z3432" s="174" t="e">
        <v>#N/A</v>
      </c>
      <c r="AA3432" s="177"/>
    </row>
    <row r="3433" spans="22:27" x14ac:dyDescent="0.2">
      <c r="V3433" s="163"/>
      <c r="W3433" s="158" t="str">
        <f t="shared" si="65"/>
        <v>1w</v>
      </c>
      <c r="X3433" s="168">
        <f>_xll.qlCalendarAdvance(Calendar,X3432,W3433,"f",FALSE)</f>
        <v>63352</v>
      </c>
      <c r="Y3433" s="173">
        <f>_xll.qlCalendarAdvance(Calendar,X3433,NDays&amp;"D")</f>
        <v>63352</v>
      </c>
      <c r="Z3433" s="174" t="e">
        <v>#N/A</v>
      </c>
      <c r="AA3433" s="177"/>
    </row>
    <row r="3434" spans="22:27" x14ac:dyDescent="0.2">
      <c r="V3434" s="163"/>
      <c r="W3434" s="158" t="str">
        <f t="shared" si="65"/>
        <v>1w</v>
      </c>
      <c r="X3434" s="168">
        <f>_xll.qlCalendarAdvance(Calendar,X3433,W3434,"f",FALSE)</f>
        <v>63359</v>
      </c>
      <c r="Y3434" s="173">
        <f>_xll.qlCalendarAdvance(Calendar,X3434,NDays&amp;"D")</f>
        <v>63359</v>
      </c>
      <c r="Z3434" s="174" t="e">
        <v>#N/A</v>
      </c>
      <c r="AA3434" s="177"/>
    </row>
    <row r="3435" spans="22:27" x14ac:dyDescent="0.2">
      <c r="V3435" s="163"/>
      <c r="W3435" s="158" t="str">
        <f t="shared" si="65"/>
        <v>1w</v>
      </c>
      <c r="X3435" s="168">
        <f>_xll.qlCalendarAdvance(Calendar,X3434,W3435,"f",FALSE)</f>
        <v>63366</v>
      </c>
      <c r="Y3435" s="173">
        <f>_xll.qlCalendarAdvance(Calendar,X3435,NDays&amp;"D")</f>
        <v>63366</v>
      </c>
      <c r="Z3435" s="174" t="e">
        <v>#N/A</v>
      </c>
      <c r="AA3435" s="177"/>
    </row>
    <row r="3436" spans="22:27" x14ac:dyDescent="0.2">
      <c r="V3436" s="163"/>
      <c r="W3436" s="158" t="str">
        <f t="shared" si="65"/>
        <v>1w</v>
      </c>
      <c r="X3436" s="168">
        <f>_xll.qlCalendarAdvance(Calendar,X3435,W3436,"f",FALSE)</f>
        <v>63373</v>
      </c>
      <c r="Y3436" s="173">
        <f>_xll.qlCalendarAdvance(Calendar,X3436,NDays&amp;"D")</f>
        <v>63373</v>
      </c>
      <c r="Z3436" s="174" t="e">
        <v>#N/A</v>
      </c>
      <c r="AA3436" s="177"/>
    </row>
    <row r="3437" spans="22:27" x14ac:dyDescent="0.2">
      <c r="V3437" s="163"/>
      <c r="W3437" s="158" t="str">
        <f t="shared" si="65"/>
        <v>1w</v>
      </c>
      <c r="X3437" s="168">
        <f>_xll.qlCalendarAdvance(Calendar,X3436,W3437,"f",FALSE)</f>
        <v>63380</v>
      </c>
      <c r="Y3437" s="173">
        <f>_xll.qlCalendarAdvance(Calendar,X3437,NDays&amp;"D")</f>
        <v>63380</v>
      </c>
      <c r="Z3437" s="174" t="e">
        <v>#N/A</v>
      </c>
      <c r="AA3437" s="177"/>
    </row>
    <row r="3438" spans="22:27" x14ac:dyDescent="0.2">
      <c r="V3438" s="163"/>
      <c r="W3438" s="158" t="str">
        <f t="shared" si="65"/>
        <v>1w</v>
      </c>
      <c r="X3438" s="168">
        <f>_xll.qlCalendarAdvance(Calendar,X3437,W3438,"f",FALSE)</f>
        <v>63388</v>
      </c>
      <c r="Y3438" s="173">
        <f>_xll.qlCalendarAdvance(Calendar,X3438,NDays&amp;"D")</f>
        <v>63388</v>
      </c>
      <c r="Z3438" s="174" t="e">
        <v>#N/A</v>
      </c>
      <c r="AA3438" s="177"/>
    </row>
    <row r="3439" spans="22:27" x14ac:dyDescent="0.2">
      <c r="V3439" s="163"/>
      <c r="W3439" s="158" t="str">
        <f t="shared" si="65"/>
        <v>1w</v>
      </c>
      <c r="X3439" s="168">
        <f>_xll.qlCalendarAdvance(Calendar,X3438,W3439,"f",FALSE)</f>
        <v>63395</v>
      </c>
      <c r="Y3439" s="173">
        <f>_xll.qlCalendarAdvance(Calendar,X3439,NDays&amp;"D")</f>
        <v>63395</v>
      </c>
      <c r="Z3439" s="174" t="e">
        <v>#N/A</v>
      </c>
      <c r="AA3439" s="177"/>
    </row>
    <row r="3440" spans="22:27" x14ac:dyDescent="0.2">
      <c r="V3440" s="163"/>
      <c r="W3440" s="158" t="str">
        <f t="shared" si="65"/>
        <v>1w</v>
      </c>
      <c r="X3440" s="168">
        <f>_xll.qlCalendarAdvance(Calendar,X3439,W3440,"f",FALSE)</f>
        <v>63402</v>
      </c>
      <c r="Y3440" s="173">
        <f>_xll.qlCalendarAdvance(Calendar,X3440,NDays&amp;"D")</f>
        <v>63402</v>
      </c>
      <c r="Z3440" s="174" t="e">
        <v>#N/A</v>
      </c>
      <c r="AA3440" s="177"/>
    </row>
    <row r="3441" spans="22:27" x14ac:dyDescent="0.2">
      <c r="V3441" s="163"/>
      <c r="W3441" s="158" t="str">
        <f t="shared" si="65"/>
        <v>1w</v>
      </c>
      <c r="X3441" s="168">
        <f>_xll.qlCalendarAdvance(Calendar,X3440,W3441,"f",FALSE)</f>
        <v>63409</v>
      </c>
      <c r="Y3441" s="173">
        <f>_xll.qlCalendarAdvance(Calendar,X3441,NDays&amp;"D")</f>
        <v>63409</v>
      </c>
      <c r="Z3441" s="174" t="e">
        <v>#N/A</v>
      </c>
      <c r="AA3441" s="177"/>
    </row>
    <row r="3442" spans="22:27" x14ac:dyDescent="0.2">
      <c r="V3442" s="163"/>
      <c r="W3442" s="158" t="str">
        <f t="shared" si="65"/>
        <v>1w</v>
      </c>
      <c r="X3442" s="168">
        <f>_xll.qlCalendarAdvance(Calendar,X3441,W3442,"f",FALSE)</f>
        <v>63416</v>
      </c>
      <c r="Y3442" s="173">
        <f>_xll.qlCalendarAdvance(Calendar,X3442,NDays&amp;"D")</f>
        <v>63416</v>
      </c>
      <c r="Z3442" s="174" t="e">
        <v>#N/A</v>
      </c>
      <c r="AA3442" s="177"/>
    </row>
    <row r="3443" spans="22:27" x14ac:dyDescent="0.2">
      <c r="V3443" s="163"/>
      <c r="W3443" s="158" t="str">
        <f t="shared" si="65"/>
        <v>1w</v>
      </c>
      <c r="X3443" s="168">
        <f>_xll.qlCalendarAdvance(Calendar,X3442,W3443,"f",FALSE)</f>
        <v>63423</v>
      </c>
      <c r="Y3443" s="173">
        <f>_xll.qlCalendarAdvance(Calendar,X3443,NDays&amp;"D")</f>
        <v>63423</v>
      </c>
      <c r="Z3443" s="174" t="e">
        <v>#N/A</v>
      </c>
      <c r="AA3443" s="177"/>
    </row>
    <row r="3444" spans="22:27" x14ac:dyDescent="0.2">
      <c r="V3444" s="163"/>
      <c r="W3444" s="158" t="str">
        <f t="shared" si="65"/>
        <v>1w</v>
      </c>
      <c r="X3444" s="168">
        <f>_xll.qlCalendarAdvance(Calendar,X3443,W3444,"f",FALSE)</f>
        <v>63430</v>
      </c>
      <c r="Y3444" s="173">
        <f>_xll.qlCalendarAdvance(Calendar,X3444,NDays&amp;"D")</f>
        <v>63430</v>
      </c>
      <c r="Z3444" s="174" t="e">
        <v>#N/A</v>
      </c>
      <c r="AA3444" s="177"/>
    </row>
    <row r="3445" spans="22:27" x14ac:dyDescent="0.2">
      <c r="V3445" s="163"/>
      <c r="W3445" s="158" t="str">
        <f t="shared" si="65"/>
        <v>1w</v>
      </c>
      <c r="X3445" s="168">
        <f>_xll.qlCalendarAdvance(Calendar,X3444,W3445,"f",FALSE)</f>
        <v>63437</v>
      </c>
      <c r="Y3445" s="173">
        <f>_xll.qlCalendarAdvance(Calendar,X3445,NDays&amp;"D")</f>
        <v>63437</v>
      </c>
      <c r="Z3445" s="174" t="e">
        <v>#N/A</v>
      </c>
      <c r="AA3445" s="177"/>
    </row>
    <row r="3446" spans="22:27" x14ac:dyDescent="0.2">
      <c r="V3446" s="163"/>
      <c r="W3446" s="158" t="str">
        <f t="shared" si="65"/>
        <v>1w</v>
      </c>
      <c r="X3446" s="168">
        <f>_xll.qlCalendarAdvance(Calendar,X3445,W3446,"f",FALSE)</f>
        <v>63444</v>
      </c>
      <c r="Y3446" s="173">
        <f>_xll.qlCalendarAdvance(Calendar,X3446,NDays&amp;"D")</f>
        <v>63444</v>
      </c>
      <c r="Z3446" s="174" t="e">
        <v>#N/A</v>
      </c>
      <c r="AA3446" s="177"/>
    </row>
    <row r="3447" spans="22:27" x14ac:dyDescent="0.2">
      <c r="V3447" s="163"/>
      <c r="W3447" s="158" t="str">
        <f t="shared" si="65"/>
        <v>1w</v>
      </c>
      <c r="X3447" s="168">
        <f>_xll.qlCalendarAdvance(Calendar,X3446,W3447,"f",FALSE)</f>
        <v>63451</v>
      </c>
      <c r="Y3447" s="173">
        <f>_xll.qlCalendarAdvance(Calendar,X3447,NDays&amp;"D")</f>
        <v>63451</v>
      </c>
      <c r="Z3447" s="174" t="e">
        <v>#N/A</v>
      </c>
      <c r="AA3447" s="177"/>
    </row>
    <row r="3448" spans="22:27" x14ac:dyDescent="0.2">
      <c r="V3448" s="163"/>
      <c r="W3448" s="158" t="str">
        <f t="shared" si="65"/>
        <v>1w</v>
      </c>
      <c r="X3448" s="168">
        <f>_xll.qlCalendarAdvance(Calendar,X3447,W3448,"f",FALSE)</f>
        <v>63458</v>
      </c>
      <c r="Y3448" s="173">
        <f>_xll.qlCalendarAdvance(Calendar,X3448,NDays&amp;"D")</f>
        <v>63458</v>
      </c>
      <c r="Z3448" s="174" t="e">
        <v>#N/A</v>
      </c>
      <c r="AA3448" s="177"/>
    </row>
    <row r="3449" spans="22:27" x14ac:dyDescent="0.2">
      <c r="V3449" s="163"/>
      <c r="W3449" s="158" t="str">
        <f t="shared" si="65"/>
        <v>1w</v>
      </c>
      <c r="X3449" s="168">
        <f>_xll.qlCalendarAdvance(Calendar,X3448,W3449,"f",FALSE)</f>
        <v>63465</v>
      </c>
      <c r="Y3449" s="173">
        <f>_xll.qlCalendarAdvance(Calendar,X3449,NDays&amp;"D")</f>
        <v>63465</v>
      </c>
      <c r="Z3449" s="174" t="e">
        <v>#N/A</v>
      </c>
      <c r="AA3449" s="177"/>
    </row>
    <row r="3450" spans="22:27" x14ac:dyDescent="0.2">
      <c r="V3450" s="163"/>
      <c r="W3450" s="158" t="str">
        <f t="shared" si="65"/>
        <v>1w</v>
      </c>
      <c r="X3450" s="168">
        <f>_xll.qlCalendarAdvance(Calendar,X3449,W3450,"f",FALSE)</f>
        <v>63472</v>
      </c>
      <c r="Y3450" s="173">
        <f>_xll.qlCalendarAdvance(Calendar,X3450,NDays&amp;"D")</f>
        <v>63472</v>
      </c>
      <c r="Z3450" s="174" t="e">
        <v>#N/A</v>
      </c>
      <c r="AA3450" s="177"/>
    </row>
    <row r="3451" spans="22:27" x14ac:dyDescent="0.2">
      <c r="V3451" s="163"/>
      <c r="W3451" s="158" t="str">
        <f t="shared" si="65"/>
        <v>1w</v>
      </c>
      <c r="X3451" s="168">
        <f>_xll.qlCalendarAdvance(Calendar,X3450,W3451,"f",FALSE)</f>
        <v>63479</v>
      </c>
      <c r="Y3451" s="173">
        <f>_xll.qlCalendarAdvance(Calendar,X3451,NDays&amp;"D")</f>
        <v>63479</v>
      </c>
      <c r="Z3451" s="174" t="e">
        <v>#N/A</v>
      </c>
      <c r="AA3451" s="177"/>
    </row>
    <row r="3452" spans="22:27" x14ac:dyDescent="0.2">
      <c r="V3452" s="163"/>
      <c r="W3452" s="158" t="str">
        <f t="shared" si="65"/>
        <v>1w</v>
      </c>
      <c r="X3452" s="168">
        <f>_xll.qlCalendarAdvance(Calendar,X3451,W3452,"f",FALSE)</f>
        <v>63486</v>
      </c>
      <c r="Y3452" s="173">
        <f>_xll.qlCalendarAdvance(Calendar,X3452,NDays&amp;"D")</f>
        <v>63486</v>
      </c>
      <c r="Z3452" s="174" t="e">
        <v>#N/A</v>
      </c>
      <c r="AA3452" s="177"/>
    </row>
    <row r="3453" spans="22:27" x14ac:dyDescent="0.2">
      <c r="V3453" s="163"/>
      <c r="W3453" s="158" t="str">
        <f t="shared" si="65"/>
        <v>1w</v>
      </c>
      <c r="X3453" s="168">
        <f>_xll.qlCalendarAdvance(Calendar,X3452,W3453,"f",FALSE)</f>
        <v>63493</v>
      </c>
      <c r="Y3453" s="173">
        <f>_xll.qlCalendarAdvance(Calendar,X3453,NDays&amp;"D")</f>
        <v>63493</v>
      </c>
      <c r="Z3453" s="174" t="e">
        <v>#N/A</v>
      </c>
      <c r="AA3453" s="177"/>
    </row>
    <row r="3454" spans="22:27" x14ac:dyDescent="0.2">
      <c r="V3454" s="163"/>
      <c r="W3454" s="158" t="str">
        <f t="shared" si="65"/>
        <v>1w</v>
      </c>
      <c r="X3454" s="168">
        <f>_xll.qlCalendarAdvance(Calendar,X3453,W3454,"f",FALSE)</f>
        <v>63500</v>
      </c>
      <c r="Y3454" s="173">
        <f>_xll.qlCalendarAdvance(Calendar,X3454,NDays&amp;"D")</f>
        <v>63500</v>
      </c>
      <c r="Z3454" s="174" t="e">
        <v>#N/A</v>
      </c>
      <c r="AA3454" s="177"/>
    </row>
    <row r="3455" spans="22:27" x14ac:dyDescent="0.2">
      <c r="V3455" s="163"/>
      <c r="W3455" s="158" t="str">
        <f t="shared" si="65"/>
        <v>1w</v>
      </c>
      <c r="X3455" s="168">
        <f>_xll.qlCalendarAdvance(Calendar,X3454,W3455,"f",FALSE)</f>
        <v>63507</v>
      </c>
      <c r="Y3455" s="173">
        <f>_xll.qlCalendarAdvance(Calendar,X3455,NDays&amp;"D")</f>
        <v>63507</v>
      </c>
      <c r="Z3455" s="174" t="e">
        <v>#N/A</v>
      </c>
      <c r="AA3455" s="177"/>
    </row>
    <row r="3456" spans="22:27" x14ac:dyDescent="0.2">
      <c r="V3456" s="163"/>
      <c r="W3456" s="158" t="str">
        <f t="shared" si="65"/>
        <v>1w</v>
      </c>
      <c r="X3456" s="168">
        <f>_xll.qlCalendarAdvance(Calendar,X3455,W3456,"f",FALSE)</f>
        <v>63514</v>
      </c>
      <c r="Y3456" s="173">
        <f>_xll.qlCalendarAdvance(Calendar,X3456,NDays&amp;"D")</f>
        <v>63514</v>
      </c>
      <c r="Z3456" s="174" t="e">
        <v>#N/A</v>
      </c>
      <c r="AA3456" s="177"/>
    </row>
    <row r="3457" spans="22:27" x14ac:dyDescent="0.2">
      <c r="V3457" s="163"/>
      <c r="W3457" s="158" t="str">
        <f t="shared" si="65"/>
        <v>1w</v>
      </c>
      <c r="X3457" s="168">
        <f>_xll.qlCalendarAdvance(Calendar,X3456,W3457,"f",FALSE)</f>
        <v>63521</v>
      </c>
      <c r="Y3457" s="173">
        <f>_xll.qlCalendarAdvance(Calendar,X3457,NDays&amp;"D")</f>
        <v>63521</v>
      </c>
      <c r="Z3457" s="174" t="e">
        <v>#N/A</v>
      </c>
      <c r="AA3457" s="177"/>
    </row>
    <row r="3458" spans="22:27" x14ac:dyDescent="0.2">
      <c r="V3458" s="163"/>
      <c r="W3458" s="158" t="str">
        <f t="shared" si="65"/>
        <v>1w</v>
      </c>
      <c r="X3458" s="168">
        <f>_xll.qlCalendarAdvance(Calendar,X3457,W3458,"f",FALSE)</f>
        <v>63528</v>
      </c>
      <c r="Y3458" s="173">
        <f>_xll.qlCalendarAdvance(Calendar,X3458,NDays&amp;"D")</f>
        <v>63528</v>
      </c>
      <c r="Z3458" s="174" t="e">
        <v>#N/A</v>
      </c>
      <c r="AA3458" s="177"/>
    </row>
    <row r="3459" spans="22:27" x14ac:dyDescent="0.2">
      <c r="V3459" s="163"/>
      <c r="W3459" s="158" t="str">
        <f t="shared" si="65"/>
        <v>1w</v>
      </c>
      <c r="X3459" s="168">
        <f>_xll.qlCalendarAdvance(Calendar,X3458,W3459,"f",FALSE)</f>
        <v>63535</v>
      </c>
      <c r="Y3459" s="173">
        <f>_xll.qlCalendarAdvance(Calendar,X3459,NDays&amp;"D")</f>
        <v>63535</v>
      </c>
      <c r="Z3459" s="174" t="e">
        <v>#N/A</v>
      </c>
      <c r="AA3459" s="177"/>
    </row>
    <row r="3460" spans="22:27" x14ac:dyDescent="0.2">
      <c r="V3460" s="163"/>
      <c r="W3460" s="158" t="str">
        <f t="shared" si="65"/>
        <v>1w</v>
      </c>
      <c r="X3460" s="168">
        <f>_xll.qlCalendarAdvance(Calendar,X3459,W3460,"f",FALSE)</f>
        <v>63542</v>
      </c>
      <c r="Y3460" s="173">
        <f>_xll.qlCalendarAdvance(Calendar,X3460,NDays&amp;"D")</f>
        <v>63542</v>
      </c>
      <c r="Z3460" s="174" t="e">
        <v>#N/A</v>
      </c>
      <c r="AA3460" s="177"/>
    </row>
    <row r="3461" spans="22:27" x14ac:dyDescent="0.2">
      <c r="V3461" s="163"/>
      <c r="W3461" s="158" t="str">
        <f t="shared" si="65"/>
        <v>1w</v>
      </c>
      <c r="X3461" s="168">
        <f>_xll.qlCalendarAdvance(Calendar,X3460,W3461,"f",FALSE)</f>
        <v>63549</v>
      </c>
      <c r="Y3461" s="173">
        <f>_xll.qlCalendarAdvance(Calendar,X3461,NDays&amp;"D")</f>
        <v>63549</v>
      </c>
      <c r="Z3461" s="174" t="e">
        <v>#N/A</v>
      </c>
      <c r="AA3461" s="177"/>
    </row>
    <row r="3462" spans="22:27" x14ac:dyDescent="0.2">
      <c r="V3462" s="163"/>
      <c r="W3462" s="158" t="str">
        <f t="shared" si="65"/>
        <v>1w</v>
      </c>
      <c r="X3462" s="168">
        <f>_xll.qlCalendarAdvance(Calendar,X3461,W3462,"f",FALSE)</f>
        <v>63558</v>
      </c>
      <c r="Y3462" s="173">
        <f>_xll.qlCalendarAdvance(Calendar,X3462,NDays&amp;"D")</f>
        <v>63558</v>
      </c>
      <c r="Z3462" s="174" t="e">
        <v>#N/A</v>
      </c>
      <c r="AA3462" s="177"/>
    </row>
    <row r="3463" spans="22:27" x14ac:dyDescent="0.2">
      <c r="V3463" s="163"/>
      <c r="W3463" s="158" t="str">
        <f t="shared" si="65"/>
        <v>1w</v>
      </c>
      <c r="X3463" s="168">
        <f>_xll.qlCalendarAdvance(Calendar,X3462,W3463,"f",FALSE)</f>
        <v>63565</v>
      </c>
      <c r="Y3463" s="173">
        <f>_xll.qlCalendarAdvance(Calendar,X3463,NDays&amp;"D")</f>
        <v>63565</v>
      </c>
      <c r="Z3463" s="174" t="e">
        <v>#N/A</v>
      </c>
      <c r="AA3463" s="177"/>
    </row>
    <row r="3464" spans="22:27" x14ac:dyDescent="0.2">
      <c r="V3464" s="163"/>
      <c r="W3464" s="158" t="str">
        <f t="shared" si="65"/>
        <v>1w</v>
      </c>
      <c r="X3464" s="168">
        <f>_xll.qlCalendarAdvance(Calendar,X3463,W3464,"f",FALSE)</f>
        <v>63572</v>
      </c>
      <c r="Y3464" s="173">
        <f>_xll.qlCalendarAdvance(Calendar,X3464,NDays&amp;"D")</f>
        <v>63572</v>
      </c>
      <c r="Z3464" s="174" t="e">
        <v>#N/A</v>
      </c>
      <c r="AA3464" s="177"/>
    </row>
    <row r="3465" spans="22:27" x14ac:dyDescent="0.2">
      <c r="V3465" s="163"/>
      <c r="W3465" s="158" t="str">
        <f t="shared" si="65"/>
        <v>1w</v>
      </c>
      <c r="X3465" s="168">
        <f>_xll.qlCalendarAdvance(Calendar,X3464,W3465,"f",FALSE)</f>
        <v>63579</v>
      </c>
      <c r="Y3465" s="173">
        <f>_xll.qlCalendarAdvance(Calendar,X3465,NDays&amp;"D")</f>
        <v>63579</v>
      </c>
      <c r="Z3465" s="174" t="e">
        <v>#N/A</v>
      </c>
      <c r="AA3465" s="177"/>
    </row>
    <row r="3466" spans="22:27" x14ac:dyDescent="0.2">
      <c r="V3466" s="163"/>
      <c r="W3466" s="158" t="str">
        <f t="shared" si="65"/>
        <v>1w</v>
      </c>
      <c r="X3466" s="168">
        <f>_xll.qlCalendarAdvance(Calendar,X3465,W3466,"f",FALSE)</f>
        <v>63586</v>
      </c>
      <c r="Y3466" s="173">
        <f>_xll.qlCalendarAdvance(Calendar,X3466,NDays&amp;"D")</f>
        <v>63586</v>
      </c>
      <c r="Z3466" s="174" t="e">
        <v>#N/A</v>
      </c>
      <c r="AA3466" s="177"/>
    </row>
    <row r="3467" spans="22:27" x14ac:dyDescent="0.2">
      <c r="V3467" s="163"/>
      <c r="W3467" s="158" t="str">
        <f t="shared" si="65"/>
        <v>1w</v>
      </c>
      <c r="X3467" s="168">
        <f>_xll.qlCalendarAdvance(Calendar,X3466,W3467,"f",FALSE)</f>
        <v>63593</v>
      </c>
      <c r="Y3467" s="173">
        <f>_xll.qlCalendarAdvance(Calendar,X3467,NDays&amp;"D")</f>
        <v>63593</v>
      </c>
      <c r="Z3467" s="174" t="e">
        <v>#N/A</v>
      </c>
      <c r="AA3467" s="177"/>
    </row>
    <row r="3468" spans="22:27" x14ac:dyDescent="0.2">
      <c r="V3468" s="163"/>
      <c r="W3468" s="158" t="str">
        <f t="shared" si="65"/>
        <v>1w</v>
      </c>
      <c r="X3468" s="168">
        <f>_xll.qlCalendarAdvance(Calendar,X3467,W3468,"f",FALSE)</f>
        <v>63600</v>
      </c>
      <c r="Y3468" s="173">
        <f>_xll.qlCalendarAdvance(Calendar,X3468,NDays&amp;"D")</f>
        <v>63600</v>
      </c>
      <c r="Z3468" s="174" t="e">
        <v>#N/A</v>
      </c>
      <c r="AA3468" s="177"/>
    </row>
    <row r="3469" spans="22:27" x14ac:dyDescent="0.2">
      <c r="V3469" s="163"/>
      <c r="W3469" s="158" t="str">
        <f t="shared" ref="W3469:W3532" si="66">W3468</f>
        <v>1w</v>
      </c>
      <c r="X3469" s="168">
        <f>_xll.qlCalendarAdvance(Calendar,X3468,W3469,"f",FALSE)</f>
        <v>63607</v>
      </c>
      <c r="Y3469" s="173">
        <f>_xll.qlCalendarAdvance(Calendar,X3469,NDays&amp;"D")</f>
        <v>63607</v>
      </c>
      <c r="Z3469" s="174" t="e">
        <v>#N/A</v>
      </c>
      <c r="AA3469" s="177"/>
    </row>
    <row r="3470" spans="22:27" x14ac:dyDescent="0.2">
      <c r="V3470" s="163"/>
      <c r="W3470" s="158" t="str">
        <f t="shared" si="66"/>
        <v>1w</v>
      </c>
      <c r="X3470" s="168">
        <f>_xll.qlCalendarAdvance(Calendar,X3469,W3470,"f",FALSE)</f>
        <v>63614</v>
      </c>
      <c r="Y3470" s="173">
        <f>_xll.qlCalendarAdvance(Calendar,X3470,NDays&amp;"D")</f>
        <v>63614</v>
      </c>
      <c r="Z3470" s="174" t="e">
        <v>#N/A</v>
      </c>
      <c r="AA3470" s="177"/>
    </row>
    <row r="3471" spans="22:27" x14ac:dyDescent="0.2">
      <c r="V3471" s="163"/>
      <c r="W3471" s="158" t="str">
        <f t="shared" si="66"/>
        <v>1w</v>
      </c>
      <c r="X3471" s="168">
        <f>_xll.qlCalendarAdvance(Calendar,X3470,W3471,"f",FALSE)</f>
        <v>63621</v>
      </c>
      <c r="Y3471" s="173">
        <f>_xll.qlCalendarAdvance(Calendar,X3471,NDays&amp;"D")</f>
        <v>63621</v>
      </c>
      <c r="Z3471" s="174" t="e">
        <v>#N/A</v>
      </c>
      <c r="AA3471" s="177"/>
    </row>
    <row r="3472" spans="22:27" x14ac:dyDescent="0.2">
      <c r="V3472" s="163"/>
      <c r="W3472" s="158" t="str">
        <f t="shared" si="66"/>
        <v>1w</v>
      </c>
      <c r="X3472" s="168">
        <f>_xll.qlCalendarAdvance(Calendar,X3471,W3472,"f",FALSE)</f>
        <v>63628</v>
      </c>
      <c r="Y3472" s="173">
        <f>_xll.qlCalendarAdvance(Calendar,X3472,NDays&amp;"D")</f>
        <v>63628</v>
      </c>
      <c r="Z3472" s="174" t="e">
        <v>#N/A</v>
      </c>
      <c r="AA3472" s="177"/>
    </row>
    <row r="3473" spans="22:27" x14ac:dyDescent="0.2">
      <c r="V3473" s="163"/>
      <c r="W3473" s="158" t="str">
        <f t="shared" si="66"/>
        <v>1w</v>
      </c>
      <c r="X3473" s="168">
        <f>_xll.qlCalendarAdvance(Calendar,X3472,W3473,"f",FALSE)</f>
        <v>63635</v>
      </c>
      <c r="Y3473" s="173">
        <f>_xll.qlCalendarAdvance(Calendar,X3473,NDays&amp;"D")</f>
        <v>63635</v>
      </c>
      <c r="Z3473" s="174" t="e">
        <v>#N/A</v>
      </c>
      <c r="AA3473" s="177"/>
    </row>
    <row r="3474" spans="22:27" x14ac:dyDescent="0.2">
      <c r="V3474" s="163"/>
      <c r="W3474" s="158" t="str">
        <f t="shared" si="66"/>
        <v>1w</v>
      </c>
      <c r="X3474" s="168">
        <f>_xll.qlCalendarAdvance(Calendar,X3473,W3474,"f",FALSE)</f>
        <v>63642</v>
      </c>
      <c r="Y3474" s="173">
        <f>_xll.qlCalendarAdvance(Calendar,X3474,NDays&amp;"D")</f>
        <v>63642</v>
      </c>
      <c r="Z3474" s="174" t="e">
        <v>#N/A</v>
      </c>
      <c r="AA3474" s="177"/>
    </row>
    <row r="3475" spans="22:27" x14ac:dyDescent="0.2">
      <c r="V3475" s="163"/>
      <c r="W3475" s="158" t="str">
        <f t="shared" si="66"/>
        <v>1w</v>
      </c>
      <c r="X3475" s="168">
        <f>_xll.qlCalendarAdvance(Calendar,X3474,W3475,"f",FALSE)</f>
        <v>63649</v>
      </c>
      <c r="Y3475" s="173">
        <f>_xll.qlCalendarAdvance(Calendar,X3475,NDays&amp;"D")</f>
        <v>63649</v>
      </c>
      <c r="Z3475" s="174" t="e">
        <v>#N/A</v>
      </c>
      <c r="AA3475" s="177"/>
    </row>
    <row r="3476" spans="22:27" x14ac:dyDescent="0.2">
      <c r="V3476" s="163"/>
      <c r="W3476" s="158" t="str">
        <f t="shared" si="66"/>
        <v>1w</v>
      </c>
      <c r="X3476" s="168">
        <f>_xll.qlCalendarAdvance(Calendar,X3475,W3476,"f",FALSE)</f>
        <v>63656</v>
      </c>
      <c r="Y3476" s="173">
        <f>_xll.qlCalendarAdvance(Calendar,X3476,NDays&amp;"D")</f>
        <v>63656</v>
      </c>
      <c r="Z3476" s="174" t="e">
        <v>#N/A</v>
      </c>
      <c r="AA3476" s="177"/>
    </row>
    <row r="3477" spans="22:27" x14ac:dyDescent="0.2">
      <c r="V3477" s="163"/>
      <c r="W3477" s="158" t="str">
        <f t="shared" si="66"/>
        <v>1w</v>
      </c>
      <c r="X3477" s="168">
        <f>_xll.qlCalendarAdvance(Calendar,X3476,W3477,"f",FALSE)</f>
        <v>63663</v>
      </c>
      <c r="Y3477" s="173">
        <f>_xll.qlCalendarAdvance(Calendar,X3477,NDays&amp;"D")</f>
        <v>63663</v>
      </c>
      <c r="Z3477" s="174" t="e">
        <v>#N/A</v>
      </c>
      <c r="AA3477" s="177"/>
    </row>
    <row r="3478" spans="22:27" x14ac:dyDescent="0.2">
      <c r="V3478" s="163"/>
      <c r="W3478" s="158" t="str">
        <f t="shared" si="66"/>
        <v>1w</v>
      </c>
      <c r="X3478" s="168">
        <f>_xll.qlCalendarAdvance(Calendar,X3477,W3478,"f",FALSE)</f>
        <v>63670</v>
      </c>
      <c r="Y3478" s="173">
        <f>_xll.qlCalendarAdvance(Calendar,X3478,NDays&amp;"D")</f>
        <v>63670</v>
      </c>
      <c r="Z3478" s="174" t="e">
        <v>#N/A</v>
      </c>
      <c r="AA3478" s="177"/>
    </row>
    <row r="3479" spans="22:27" x14ac:dyDescent="0.2">
      <c r="V3479" s="163"/>
      <c r="W3479" s="158" t="str">
        <f t="shared" si="66"/>
        <v>1w</v>
      </c>
      <c r="X3479" s="168">
        <f>_xll.qlCalendarAdvance(Calendar,X3478,W3479,"f",FALSE)</f>
        <v>63681</v>
      </c>
      <c r="Y3479" s="173">
        <f>_xll.qlCalendarAdvance(Calendar,X3479,NDays&amp;"D")</f>
        <v>63681</v>
      </c>
      <c r="Z3479" s="174" t="e">
        <v>#N/A</v>
      </c>
      <c r="AA3479" s="177"/>
    </row>
    <row r="3480" spans="22:27" x14ac:dyDescent="0.2">
      <c r="V3480" s="163"/>
      <c r="W3480" s="158" t="str">
        <f t="shared" si="66"/>
        <v>1w</v>
      </c>
      <c r="X3480" s="168">
        <f>_xll.qlCalendarAdvance(Calendar,X3479,W3480,"f",FALSE)</f>
        <v>63688</v>
      </c>
      <c r="Y3480" s="173">
        <f>_xll.qlCalendarAdvance(Calendar,X3480,NDays&amp;"D")</f>
        <v>63688</v>
      </c>
      <c r="Z3480" s="174" t="e">
        <v>#N/A</v>
      </c>
      <c r="AA3480" s="177"/>
    </row>
    <row r="3481" spans="22:27" x14ac:dyDescent="0.2">
      <c r="V3481" s="163"/>
      <c r="W3481" s="158" t="str">
        <f t="shared" si="66"/>
        <v>1w</v>
      </c>
      <c r="X3481" s="168">
        <f>_xll.qlCalendarAdvance(Calendar,X3480,W3481,"f",FALSE)</f>
        <v>63695</v>
      </c>
      <c r="Y3481" s="173">
        <f>_xll.qlCalendarAdvance(Calendar,X3481,NDays&amp;"D")</f>
        <v>63695</v>
      </c>
      <c r="Z3481" s="174" t="e">
        <v>#N/A</v>
      </c>
      <c r="AA3481" s="177"/>
    </row>
    <row r="3482" spans="22:27" x14ac:dyDescent="0.2">
      <c r="V3482" s="163"/>
      <c r="W3482" s="158" t="str">
        <f t="shared" si="66"/>
        <v>1w</v>
      </c>
      <c r="X3482" s="168">
        <f>_xll.qlCalendarAdvance(Calendar,X3481,W3482,"f",FALSE)</f>
        <v>63702</v>
      </c>
      <c r="Y3482" s="173">
        <f>_xll.qlCalendarAdvance(Calendar,X3482,NDays&amp;"D")</f>
        <v>63702</v>
      </c>
      <c r="Z3482" s="174" t="e">
        <v>#N/A</v>
      </c>
      <c r="AA3482" s="177"/>
    </row>
    <row r="3483" spans="22:27" x14ac:dyDescent="0.2">
      <c r="V3483" s="163"/>
      <c r="W3483" s="158" t="str">
        <f t="shared" si="66"/>
        <v>1w</v>
      </c>
      <c r="X3483" s="168">
        <f>_xll.qlCalendarAdvance(Calendar,X3482,W3483,"f",FALSE)</f>
        <v>63709</v>
      </c>
      <c r="Y3483" s="173">
        <f>_xll.qlCalendarAdvance(Calendar,X3483,NDays&amp;"D")</f>
        <v>63709</v>
      </c>
      <c r="Z3483" s="174" t="e">
        <v>#N/A</v>
      </c>
      <c r="AA3483" s="177"/>
    </row>
    <row r="3484" spans="22:27" x14ac:dyDescent="0.2">
      <c r="V3484" s="163"/>
      <c r="W3484" s="158" t="str">
        <f t="shared" si="66"/>
        <v>1w</v>
      </c>
      <c r="X3484" s="168">
        <f>_xll.qlCalendarAdvance(Calendar,X3483,W3484,"f",FALSE)</f>
        <v>63716</v>
      </c>
      <c r="Y3484" s="173">
        <f>_xll.qlCalendarAdvance(Calendar,X3484,NDays&amp;"D")</f>
        <v>63716</v>
      </c>
      <c r="Z3484" s="174" t="e">
        <v>#N/A</v>
      </c>
      <c r="AA3484" s="177"/>
    </row>
    <row r="3485" spans="22:27" x14ac:dyDescent="0.2">
      <c r="V3485" s="163"/>
      <c r="W3485" s="158" t="str">
        <f t="shared" si="66"/>
        <v>1w</v>
      </c>
      <c r="X3485" s="168">
        <f>_xll.qlCalendarAdvance(Calendar,X3484,W3485,"f",FALSE)</f>
        <v>63723</v>
      </c>
      <c r="Y3485" s="173">
        <f>_xll.qlCalendarAdvance(Calendar,X3485,NDays&amp;"D")</f>
        <v>63723</v>
      </c>
      <c r="Z3485" s="174" t="e">
        <v>#N/A</v>
      </c>
      <c r="AA3485" s="177"/>
    </row>
    <row r="3486" spans="22:27" x14ac:dyDescent="0.2">
      <c r="V3486" s="163"/>
      <c r="W3486" s="158" t="str">
        <f t="shared" si="66"/>
        <v>1w</v>
      </c>
      <c r="X3486" s="168">
        <f>_xll.qlCalendarAdvance(Calendar,X3485,W3486,"f",FALSE)</f>
        <v>63730</v>
      </c>
      <c r="Y3486" s="173">
        <f>_xll.qlCalendarAdvance(Calendar,X3486,NDays&amp;"D")</f>
        <v>63730</v>
      </c>
      <c r="Z3486" s="174" t="e">
        <v>#N/A</v>
      </c>
      <c r="AA3486" s="177"/>
    </row>
    <row r="3487" spans="22:27" x14ac:dyDescent="0.2">
      <c r="V3487" s="163"/>
      <c r="W3487" s="158" t="str">
        <f t="shared" si="66"/>
        <v>1w</v>
      </c>
      <c r="X3487" s="168">
        <f>_xll.qlCalendarAdvance(Calendar,X3486,W3487,"f",FALSE)</f>
        <v>63737</v>
      </c>
      <c r="Y3487" s="173">
        <f>_xll.qlCalendarAdvance(Calendar,X3487,NDays&amp;"D")</f>
        <v>63737</v>
      </c>
      <c r="Z3487" s="174" t="e">
        <v>#N/A</v>
      </c>
      <c r="AA3487" s="177"/>
    </row>
    <row r="3488" spans="22:27" x14ac:dyDescent="0.2">
      <c r="V3488" s="163"/>
      <c r="W3488" s="158" t="str">
        <f t="shared" si="66"/>
        <v>1w</v>
      </c>
      <c r="X3488" s="168">
        <f>_xll.qlCalendarAdvance(Calendar,X3487,W3488,"f",FALSE)</f>
        <v>63744</v>
      </c>
      <c r="Y3488" s="173">
        <f>_xll.qlCalendarAdvance(Calendar,X3488,NDays&amp;"D")</f>
        <v>63744</v>
      </c>
      <c r="Z3488" s="174" t="e">
        <v>#N/A</v>
      </c>
      <c r="AA3488" s="177"/>
    </row>
    <row r="3489" spans="22:27" x14ac:dyDescent="0.2">
      <c r="V3489" s="163"/>
      <c r="W3489" s="158" t="str">
        <f t="shared" si="66"/>
        <v>1w</v>
      </c>
      <c r="X3489" s="168">
        <f>_xll.qlCalendarAdvance(Calendar,X3488,W3489,"f",FALSE)</f>
        <v>63752</v>
      </c>
      <c r="Y3489" s="173">
        <f>_xll.qlCalendarAdvance(Calendar,X3489,NDays&amp;"D")</f>
        <v>63752</v>
      </c>
      <c r="Z3489" s="174" t="e">
        <v>#N/A</v>
      </c>
      <c r="AA3489" s="177"/>
    </row>
    <row r="3490" spans="22:27" x14ac:dyDescent="0.2">
      <c r="V3490" s="163"/>
      <c r="W3490" s="158" t="str">
        <f t="shared" si="66"/>
        <v>1w</v>
      </c>
      <c r="X3490" s="168">
        <f>_xll.qlCalendarAdvance(Calendar,X3489,W3490,"f",FALSE)</f>
        <v>63759</v>
      </c>
      <c r="Y3490" s="173">
        <f>_xll.qlCalendarAdvance(Calendar,X3490,NDays&amp;"D")</f>
        <v>63759</v>
      </c>
      <c r="Z3490" s="174" t="e">
        <v>#N/A</v>
      </c>
      <c r="AA3490" s="177"/>
    </row>
    <row r="3491" spans="22:27" x14ac:dyDescent="0.2">
      <c r="V3491" s="163"/>
      <c r="W3491" s="158" t="str">
        <f t="shared" si="66"/>
        <v>1w</v>
      </c>
      <c r="X3491" s="168">
        <f>_xll.qlCalendarAdvance(Calendar,X3490,W3491,"f",FALSE)</f>
        <v>63766</v>
      </c>
      <c r="Y3491" s="173">
        <f>_xll.qlCalendarAdvance(Calendar,X3491,NDays&amp;"D")</f>
        <v>63766</v>
      </c>
      <c r="Z3491" s="174" t="e">
        <v>#N/A</v>
      </c>
      <c r="AA3491" s="177"/>
    </row>
    <row r="3492" spans="22:27" x14ac:dyDescent="0.2">
      <c r="V3492" s="163"/>
      <c r="W3492" s="158" t="str">
        <f t="shared" si="66"/>
        <v>1w</v>
      </c>
      <c r="X3492" s="168">
        <f>_xll.qlCalendarAdvance(Calendar,X3491,W3492,"f",FALSE)</f>
        <v>63773</v>
      </c>
      <c r="Y3492" s="173">
        <f>_xll.qlCalendarAdvance(Calendar,X3492,NDays&amp;"D")</f>
        <v>63773</v>
      </c>
      <c r="Z3492" s="174" t="e">
        <v>#N/A</v>
      </c>
      <c r="AA3492" s="177"/>
    </row>
    <row r="3493" spans="22:27" x14ac:dyDescent="0.2">
      <c r="V3493" s="163"/>
      <c r="W3493" s="158" t="str">
        <f t="shared" si="66"/>
        <v>1w</v>
      </c>
      <c r="X3493" s="168">
        <f>_xll.qlCalendarAdvance(Calendar,X3492,W3493,"f",FALSE)</f>
        <v>63780</v>
      </c>
      <c r="Y3493" s="173">
        <f>_xll.qlCalendarAdvance(Calendar,X3493,NDays&amp;"D")</f>
        <v>63780</v>
      </c>
      <c r="Z3493" s="174" t="e">
        <v>#N/A</v>
      </c>
      <c r="AA3493" s="177"/>
    </row>
    <row r="3494" spans="22:27" x14ac:dyDescent="0.2">
      <c r="V3494" s="163"/>
      <c r="W3494" s="158" t="str">
        <f t="shared" si="66"/>
        <v>1w</v>
      </c>
      <c r="X3494" s="168">
        <f>_xll.qlCalendarAdvance(Calendar,X3493,W3494,"f",FALSE)</f>
        <v>63787</v>
      </c>
      <c r="Y3494" s="173">
        <f>_xll.qlCalendarAdvance(Calendar,X3494,NDays&amp;"D")</f>
        <v>63787</v>
      </c>
      <c r="Z3494" s="174" t="e">
        <v>#N/A</v>
      </c>
      <c r="AA3494" s="177"/>
    </row>
    <row r="3495" spans="22:27" x14ac:dyDescent="0.2">
      <c r="V3495" s="163"/>
      <c r="W3495" s="158" t="str">
        <f t="shared" si="66"/>
        <v>1w</v>
      </c>
      <c r="X3495" s="168">
        <f>_xll.qlCalendarAdvance(Calendar,X3494,W3495,"f",FALSE)</f>
        <v>63794</v>
      </c>
      <c r="Y3495" s="173">
        <f>_xll.qlCalendarAdvance(Calendar,X3495,NDays&amp;"D")</f>
        <v>63794</v>
      </c>
      <c r="Z3495" s="174" t="e">
        <v>#N/A</v>
      </c>
      <c r="AA3495" s="177"/>
    </row>
    <row r="3496" spans="22:27" x14ac:dyDescent="0.2">
      <c r="V3496" s="163"/>
      <c r="W3496" s="158" t="str">
        <f t="shared" si="66"/>
        <v>1w</v>
      </c>
      <c r="X3496" s="168">
        <f>_xll.qlCalendarAdvance(Calendar,X3495,W3496,"f",FALSE)</f>
        <v>63801</v>
      </c>
      <c r="Y3496" s="173">
        <f>_xll.qlCalendarAdvance(Calendar,X3496,NDays&amp;"D")</f>
        <v>63801</v>
      </c>
      <c r="Z3496" s="174" t="e">
        <v>#N/A</v>
      </c>
      <c r="AA3496" s="177"/>
    </row>
    <row r="3497" spans="22:27" x14ac:dyDescent="0.2">
      <c r="V3497" s="163"/>
      <c r="W3497" s="158" t="str">
        <f t="shared" si="66"/>
        <v>1w</v>
      </c>
      <c r="X3497" s="168">
        <f>_xll.qlCalendarAdvance(Calendar,X3496,W3497,"f",FALSE)</f>
        <v>63808</v>
      </c>
      <c r="Y3497" s="173">
        <f>_xll.qlCalendarAdvance(Calendar,X3497,NDays&amp;"D")</f>
        <v>63808</v>
      </c>
      <c r="Z3497" s="174" t="e">
        <v>#N/A</v>
      </c>
      <c r="AA3497" s="177"/>
    </row>
    <row r="3498" spans="22:27" x14ac:dyDescent="0.2">
      <c r="V3498" s="163"/>
      <c r="W3498" s="158" t="str">
        <f t="shared" si="66"/>
        <v>1w</v>
      </c>
      <c r="X3498" s="168">
        <f>_xll.qlCalendarAdvance(Calendar,X3497,W3498,"f",FALSE)</f>
        <v>63815</v>
      </c>
      <c r="Y3498" s="173">
        <f>_xll.qlCalendarAdvance(Calendar,X3498,NDays&amp;"D")</f>
        <v>63815</v>
      </c>
      <c r="Z3498" s="174" t="e">
        <v>#N/A</v>
      </c>
      <c r="AA3498" s="177"/>
    </row>
    <row r="3499" spans="22:27" x14ac:dyDescent="0.2">
      <c r="V3499" s="163"/>
      <c r="W3499" s="158" t="str">
        <f t="shared" si="66"/>
        <v>1w</v>
      </c>
      <c r="X3499" s="168">
        <f>_xll.qlCalendarAdvance(Calendar,X3498,W3499,"f",FALSE)</f>
        <v>63822</v>
      </c>
      <c r="Y3499" s="173">
        <f>_xll.qlCalendarAdvance(Calendar,X3499,NDays&amp;"D")</f>
        <v>63822</v>
      </c>
      <c r="Z3499" s="174" t="e">
        <v>#N/A</v>
      </c>
      <c r="AA3499" s="177"/>
    </row>
    <row r="3500" spans="22:27" x14ac:dyDescent="0.2">
      <c r="V3500" s="163"/>
      <c r="W3500" s="158" t="str">
        <f t="shared" si="66"/>
        <v>1w</v>
      </c>
      <c r="X3500" s="168">
        <f>_xll.qlCalendarAdvance(Calendar,X3499,W3500,"f",FALSE)</f>
        <v>63829</v>
      </c>
      <c r="Y3500" s="173">
        <f>_xll.qlCalendarAdvance(Calendar,X3500,NDays&amp;"D")</f>
        <v>63829</v>
      </c>
      <c r="Z3500" s="174" t="e">
        <v>#N/A</v>
      </c>
      <c r="AA3500" s="177"/>
    </row>
    <row r="3501" spans="22:27" x14ac:dyDescent="0.2">
      <c r="V3501" s="163"/>
      <c r="W3501" s="158" t="str">
        <f t="shared" si="66"/>
        <v>1w</v>
      </c>
      <c r="X3501" s="168">
        <f>_xll.qlCalendarAdvance(Calendar,X3500,W3501,"f",FALSE)</f>
        <v>63836</v>
      </c>
      <c r="Y3501" s="173">
        <f>_xll.qlCalendarAdvance(Calendar,X3501,NDays&amp;"D")</f>
        <v>63836</v>
      </c>
      <c r="Z3501" s="174" t="e">
        <v>#N/A</v>
      </c>
      <c r="AA3501" s="177"/>
    </row>
    <row r="3502" spans="22:27" x14ac:dyDescent="0.2">
      <c r="V3502" s="163"/>
      <c r="W3502" s="158" t="str">
        <f t="shared" si="66"/>
        <v>1w</v>
      </c>
      <c r="X3502" s="168">
        <f>_xll.qlCalendarAdvance(Calendar,X3501,W3502,"f",FALSE)</f>
        <v>63843</v>
      </c>
      <c r="Y3502" s="173">
        <f>_xll.qlCalendarAdvance(Calendar,X3502,NDays&amp;"D")</f>
        <v>63843</v>
      </c>
      <c r="Z3502" s="174" t="e">
        <v>#N/A</v>
      </c>
      <c r="AA3502" s="177"/>
    </row>
    <row r="3503" spans="22:27" x14ac:dyDescent="0.2">
      <c r="V3503" s="163"/>
      <c r="W3503" s="158" t="str">
        <f t="shared" si="66"/>
        <v>1w</v>
      </c>
      <c r="X3503" s="168">
        <f>_xll.qlCalendarAdvance(Calendar,X3502,W3503,"f",FALSE)</f>
        <v>63850</v>
      </c>
      <c r="Y3503" s="173">
        <f>_xll.qlCalendarAdvance(Calendar,X3503,NDays&amp;"D")</f>
        <v>63850</v>
      </c>
      <c r="Z3503" s="174" t="e">
        <v>#N/A</v>
      </c>
      <c r="AA3503" s="177"/>
    </row>
    <row r="3504" spans="22:27" x14ac:dyDescent="0.2">
      <c r="V3504" s="163"/>
      <c r="W3504" s="158" t="str">
        <f t="shared" si="66"/>
        <v>1w</v>
      </c>
      <c r="X3504" s="168">
        <f>_xll.qlCalendarAdvance(Calendar,X3503,W3504,"f",FALSE)</f>
        <v>63857</v>
      </c>
      <c r="Y3504" s="173">
        <f>_xll.qlCalendarAdvance(Calendar,X3504,NDays&amp;"D")</f>
        <v>63857</v>
      </c>
      <c r="Z3504" s="174" t="e">
        <v>#N/A</v>
      </c>
      <c r="AA3504" s="177"/>
    </row>
    <row r="3505" spans="22:27" x14ac:dyDescent="0.2">
      <c r="V3505" s="163"/>
      <c r="W3505" s="158" t="str">
        <f t="shared" si="66"/>
        <v>1w</v>
      </c>
      <c r="X3505" s="168">
        <f>_xll.qlCalendarAdvance(Calendar,X3504,W3505,"f",FALSE)</f>
        <v>63864</v>
      </c>
      <c r="Y3505" s="173">
        <f>_xll.qlCalendarAdvance(Calendar,X3505,NDays&amp;"D")</f>
        <v>63864</v>
      </c>
      <c r="Z3505" s="174" t="e">
        <v>#N/A</v>
      </c>
      <c r="AA3505" s="177"/>
    </row>
    <row r="3506" spans="22:27" x14ac:dyDescent="0.2">
      <c r="V3506" s="163"/>
      <c r="W3506" s="158" t="str">
        <f t="shared" si="66"/>
        <v>1w</v>
      </c>
      <c r="X3506" s="168">
        <f>_xll.qlCalendarAdvance(Calendar,X3505,W3506,"f",FALSE)</f>
        <v>63871</v>
      </c>
      <c r="Y3506" s="173">
        <f>_xll.qlCalendarAdvance(Calendar,X3506,NDays&amp;"D")</f>
        <v>63871</v>
      </c>
      <c r="Z3506" s="174" t="e">
        <v>#N/A</v>
      </c>
      <c r="AA3506" s="177"/>
    </row>
    <row r="3507" spans="22:27" x14ac:dyDescent="0.2">
      <c r="V3507" s="163"/>
      <c r="W3507" s="158" t="str">
        <f t="shared" si="66"/>
        <v>1w</v>
      </c>
      <c r="X3507" s="168">
        <f>_xll.qlCalendarAdvance(Calendar,X3506,W3507,"f",FALSE)</f>
        <v>63878</v>
      </c>
      <c r="Y3507" s="173">
        <f>_xll.qlCalendarAdvance(Calendar,X3507,NDays&amp;"D")</f>
        <v>63878</v>
      </c>
      <c r="Z3507" s="174" t="e">
        <v>#N/A</v>
      </c>
      <c r="AA3507" s="177"/>
    </row>
    <row r="3508" spans="22:27" x14ac:dyDescent="0.2">
      <c r="V3508" s="163"/>
      <c r="W3508" s="158" t="str">
        <f t="shared" si="66"/>
        <v>1w</v>
      </c>
      <c r="X3508" s="168">
        <f>_xll.qlCalendarAdvance(Calendar,X3507,W3508,"f",FALSE)</f>
        <v>63885</v>
      </c>
      <c r="Y3508" s="173">
        <f>_xll.qlCalendarAdvance(Calendar,X3508,NDays&amp;"D")</f>
        <v>63885</v>
      </c>
      <c r="Z3508" s="174" t="e">
        <v>#N/A</v>
      </c>
      <c r="AA3508" s="177"/>
    </row>
    <row r="3509" spans="22:27" x14ac:dyDescent="0.2">
      <c r="V3509" s="163"/>
      <c r="W3509" s="158" t="str">
        <f t="shared" si="66"/>
        <v>1w</v>
      </c>
      <c r="X3509" s="168">
        <f>_xll.qlCalendarAdvance(Calendar,X3508,W3509,"f",FALSE)</f>
        <v>63892</v>
      </c>
      <c r="Y3509" s="173">
        <f>_xll.qlCalendarAdvance(Calendar,X3509,NDays&amp;"D")</f>
        <v>63892</v>
      </c>
      <c r="Z3509" s="174" t="e">
        <v>#N/A</v>
      </c>
      <c r="AA3509" s="177"/>
    </row>
    <row r="3510" spans="22:27" x14ac:dyDescent="0.2">
      <c r="V3510" s="163"/>
      <c r="W3510" s="158" t="str">
        <f t="shared" si="66"/>
        <v>1w</v>
      </c>
      <c r="X3510" s="168">
        <f>_xll.qlCalendarAdvance(Calendar,X3509,W3510,"f",FALSE)</f>
        <v>63899</v>
      </c>
      <c r="Y3510" s="173">
        <f>_xll.qlCalendarAdvance(Calendar,X3510,NDays&amp;"D")</f>
        <v>63899</v>
      </c>
      <c r="Z3510" s="174" t="e">
        <v>#N/A</v>
      </c>
      <c r="AA3510" s="177"/>
    </row>
    <row r="3511" spans="22:27" x14ac:dyDescent="0.2">
      <c r="V3511" s="163"/>
      <c r="W3511" s="158" t="str">
        <f t="shared" si="66"/>
        <v>1w</v>
      </c>
      <c r="X3511" s="168">
        <f>_xll.qlCalendarAdvance(Calendar,X3510,W3511,"f",FALSE)</f>
        <v>63906</v>
      </c>
      <c r="Y3511" s="173">
        <f>_xll.qlCalendarAdvance(Calendar,X3511,NDays&amp;"D")</f>
        <v>63906</v>
      </c>
      <c r="Z3511" s="174" t="e">
        <v>#N/A</v>
      </c>
      <c r="AA3511" s="177"/>
    </row>
    <row r="3512" spans="22:27" x14ac:dyDescent="0.2">
      <c r="V3512" s="163"/>
      <c r="W3512" s="158" t="str">
        <f t="shared" si="66"/>
        <v>1w</v>
      </c>
      <c r="X3512" s="168">
        <f>_xll.qlCalendarAdvance(Calendar,X3511,W3512,"f",FALSE)</f>
        <v>63913</v>
      </c>
      <c r="Y3512" s="173">
        <f>_xll.qlCalendarAdvance(Calendar,X3512,NDays&amp;"D")</f>
        <v>63913</v>
      </c>
      <c r="Z3512" s="174" t="e">
        <v>#N/A</v>
      </c>
      <c r="AA3512" s="177"/>
    </row>
    <row r="3513" spans="22:27" x14ac:dyDescent="0.2">
      <c r="V3513" s="163"/>
      <c r="W3513" s="158" t="str">
        <f t="shared" si="66"/>
        <v>1w</v>
      </c>
      <c r="X3513" s="168">
        <f>_xll.qlCalendarAdvance(Calendar,X3512,W3513,"f",FALSE)</f>
        <v>63923</v>
      </c>
      <c r="Y3513" s="173">
        <f>_xll.qlCalendarAdvance(Calendar,X3513,NDays&amp;"D")</f>
        <v>63923</v>
      </c>
      <c r="Z3513" s="174" t="e">
        <v>#N/A</v>
      </c>
      <c r="AA3513" s="177"/>
    </row>
    <row r="3514" spans="22:27" x14ac:dyDescent="0.2">
      <c r="V3514" s="163"/>
      <c r="W3514" s="158" t="str">
        <f t="shared" si="66"/>
        <v>1w</v>
      </c>
      <c r="X3514" s="168">
        <f>_xll.qlCalendarAdvance(Calendar,X3513,W3514,"f",FALSE)</f>
        <v>63930</v>
      </c>
      <c r="Y3514" s="173">
        <f>_xll.qlCalendarAdvance(Calendar,X3514,NDays&amp;"D")</f>
        <v>63930</v>
      </c>
      <c r="Z3514" s="174" t="e">
        <v>#N/A</v>
      </c>
      <c r="AA3514" s="177"/>
    </row>
    <row r="3515" spans="22:27" x14ac:dyDescent="0.2">
      <c r="V3515" s="163"/>
      <c r="W3515" s="158" t="str">
        <f t="shared" si="66"/>
        <v>1w</v>
      </c>
      <c r="X3515" s="168">
        <f>_xll.qlCalendarAdvance(Calendar,X3514,W3515,"f",FALSE)</f>
        <v>63937</v>
      </c>
      <c r="Y3515" s="173">
        <f>_xll.qlCalendarAdvance(Calendar,X3515,NDays&amp;"D")</f>
        <v>63937</v>
      </c>
      <c r="Z3515" s="174" t="e">
        <v>#N/A</v>
      </c>
      <c r="AA3515" s="177"/>
    </row>
    <row r="3516" spans="22:27" x14ac:dyDescent="0.2">
      <c r="V3516" s="163"/>
      <c r="W3516" s="158" t="str">
        <f t="shared" si="66"/>
        <v>1w</v>
      </c>
      <c r="X3516" s="168">
        <f>_xll.qlCalendarAdvance(Calendar,X3515,W3516,"f",FALSE)</f>
        <v>63944</v>
      </c>
      <c r="Y3516" s="173">
        <f>_xll.qlCalendarAdvance(Calendar,X3516,NDays&amp;"D")</f>
        <v>63944</v>
      </c>
      <c r="Z3516" s="174" t="e">
        <v>#N/A</v>
      </c>
      <c r="AA3516" s="177"/>
    </row>
    <row r="3517" spans="22:27" x14ac:dyDescent="0.2">
      <c r="V3517" s="163"/>
      <c r="W3517" s="158" t="str">
        <f t="shared" si="66"/>
        <v>1w</v>
      </c>
      <c r="X3517" s="168">
        <f>_xll.qlCalendarAdvance(Calendar,X3516,W3517,"f",FALSE)</f>
        <v>63951</v>
      </c>
      <c r="Y3517" s="173">
        <f>_xll.qlCalendarAdvance(Calendar,X3517,NDays&amp;"D")</f>
        <v>63951</v>
      </c>
      <c r="Z3517" s="174" t="e">
        <v>#N/A</v>
      </c>
      <c r="AA3517" s="177"/>
    </row>
    <row r="3518" spans="22:27" x14ac:dyDescent="0.2">
      <c r="V3518" s="163"/>
      <c r="W3518" s="158" t="str">
        <f t="shared" si="66"/>
        <v>1w</v>
      </c>
      <c r="X3518" s="168">
        <f>_xll.qlCalendarAdvance(Calendar,X3517,W3518,"f",FALSE)</f>
        <v>63958</v>
      </c>
      <c r="Y3518" s="173">
        <f>_xll.qlCalendarAdvance(Calendar,X3518,NDays&amp;"D")</f>
        <v>63958</v>
      </c>
      <c r="Z3518" s="174" t="e">
        <v>#N/A</v>
      </c>
      <c r="AA3518" s="177"/>
    </row>
    <row r="3519" spans="22:27" x14ac:dyDescent="0.2">
      <c r="V3519" s="163"/>
      <c r="W3519" s="158" t="str">
        <f t="shared" si="66"/>
        <v>1w</v>
      </c>
      <c r="X3519" s="168">
        <f>_xll.qlCalendarAdvance(Calendar,X3518,W3519,"f",FALSE)</f>
        <v>63965</v>
      </c>
      <c r="Y3519" s="173">
        <f>_xll.qlCalendarAdvance(Calendar,X3519,NDays&amp;"D")</f>
        <v>63965</v>
      </c>
      <c r="Z3519" s="174" t="e">
        <v>#N/A</v>
      </c>
      <c r="AA3519" s="177"/>
    </row>
    <row r="3520" spans="22:27" x14ac:dyDescent="0.2">
      <c r="V3520" s="163"/>
      <c r="W3520" s="158" t="str">
        <f t="shared" si="66"/>
        <v>1w</v>
      </c>
      <c r="X3520" s="168">
        <f>_xll.qlCalendarAdvance(Calendar,X3519,W3520,"f",FALSE)</f>
        <v>63972</v>
      </c>
      <c r="Y3520" s="173">
        <f>_xll.qlCalendarAdvance(Calendar,X3520,NDays&amp;"D")</f>
        <v>63972</v>
      </c>
      <c r="Z3520" s="174" t="e">
        <v>#N/A</v>
      </c>
      <c r="AA3520" s="177"/>
    </row>
    <row r="3521" spans="22:27" x14ac:dyDescent="0.2">
      <c r="V3521" s="163"/>
      <c r="W3521" s="158" t="str">
        <f t="shared" si="66"/>
        <v>1w</v>
      </c>
      <c r="X3521" s="168">
        <f>_xll.qlCalendarAdvance(Calendar,X3520,W3521,"f",FALSE)</f>
        <v>63979</v>
      </c>
      <c r="Y3521" s="173">
        <f>_xll.qlCalendarAdvance(Calendar,X3521,NDays&amp;"D")</f>
        <v>63979</v>
      </c>
      <c r="Z3521" s="174" t="e">
        <v>#N/A</v>
      </c>
      <c r="AA3521" s="177"/>
    </row>
    <row r="3522" spans="22:27" x14ac:dyDescent="0.2">
      <c r="V3522" s="163"/>
      <c r="W3522" s="158" t="str">
        <f t="shared" si="66"/>
        <v>1w</v>
      </c>
      <c r="X3522" s="168">
        <f>_xll.qlCalendarAdvance(Calendar,X3521,W3522,"f",FALSE)</f>
        <v>63986</v>
      </c>
      <c r="Y3522" s="173">
        <f>_xll.qlCalendarAdvance(Calendar,X3522,NDays&amp;"D")</f>
        <v>63986</v>
      </c>
      <c r="Z3522" s="174" t="e">
        <v>#N/A</v>
      </c>
      <c r="AA3522" s="177"/>
    </row>
    <row r="3523" spans="22:27" x14ac:dyDescent="0.2">
      <c r="V3523" s="163"/>
      <c r="W3523" s="158" t="str">
        <f t="shared" si="66"/>
        <v>1w</v>
      </c>
      <c r="X3523" s="168">
        <f>_xll.qlCalendarAdvance(Calendar,X3522,W3523,"f",FALSE)</f>
        <v>63993</v>
      </c>
      <c r="Y3523" s="173">
        <f>_xll.qlCalendarAdvance(Calendar,X3523,NDays&amp;"D")</f>
        <v>63993</v>
      </c>
      <c r="Z3523" s="174" t="e">
        <v>#N/A</v>
      </c>
      <c r="AA3523" s="177"/>
    </row>
    <row r="3524" spans="22:27" x14ac:dyDescent="0.2">
      <c r="V3524" s="163"/>
      <c r="W3524" s="158" t="str">
        <f t="shared" si="66"/>
        <v>1w</v>
      </c>
      <c r="X3524" s="168">
        <f>_xll.qlCalendarAdvance(Calendar,X3523,W3524,"f",FALSE)</f>
        <v>64000</v>
      </c>
      <c r="Y3524" s="173">
        <f>_xll.qlCalendarAdvance(Calendar,X3524,NDays&amp;"D")</f>
        <v>64000</v>
      </c>
      <c r="Z3524" s="174" t="e">
        <v>#N/A</v>
      </c>
      <c r="AA3524" s="177"/>
    </row>
    <row r="3525" spans="22:27" x14ac:dyDescent="0.2">
      <c r="V3525" s="163"/>
      <c r="W3525" s="158" t="str">
        <f t="shared" si="66"/>
        <v>1w</v>
      </c>
      <c r="X3525" s="168">
        <f>_xll.qlCalendarAdvance(Calendar,X3524,W3525,"f",FALSE)</f>
        <v>64007</v>
      </c>
      <c r="Y3525" s="173">
        <f>_xll.qlCalendarAdvance(Calendar,X3525,NDays&amp;"D")</f>
        <v>64007</v>
      </c>
      <c r="Z3525" s="174" t="e">
        <v>#N/A</v>
      </c>
      <c r="AA3525" s="177"/>
    </row>
    <row r="3526" spans="22:27" x14ac:dyDescent="0.2">
      <c r="V3526" s="163"/>
      <c r="W3526" s="158" t="str">
        <f t="shared" si="66"/>
        <v>1w</v>
      </c>
      <c r="X3526" s="168">
        <f>_xll.qlCalendarAdvance(Calendar,X3525,W3526,"f",FALSE)</f>
        <v>64014</v>
      </c>
      <c r="Y3526" s="173">
        <f>_xll.qlCalendarAdvance(Calendar,X3526,NDays&amp;"D")</f>
        <v>64014</v>
      </c>
      <c r="Z3526" s="174" t="e">
        <v>#N/A</v>
      </c>
      <c r="AA3526" s="177"/>
    </row>
    <row r="3527" spans="22:27" x14ac:dyDescent="0.2">
      <c r="V3527" s="163"/>
      <c r="W3527" s="158" t="str">
        <f t="shared" si="66"/>
        <v>1w</v>
      </c>
      <c r="X3527" s="168">
        <f>_xll.qlCalendarAdvance(Calendar,X3526,W3527,"f",FALSE)</f>
        <v>64021</v>
      </c>
      <c r="Y3527" s="173">
        <f>_xll.qlCalendarAdvance(Calendar,X3527,NDays&amp;"D")</f>
        <v>64021</v>
      </c>
      <c r="Z3527" s="174" t="e">
        <v>#N/A</v>
      </c>
      <c r="AA3527" s="177"/>
    </row>
    <row r="3528" spans="22:27" x14ac:dyDescent="0.2">
      <c r="V3528" s="163"/>
      <c r="W3528" s="158" t="str">
        <f t="shared" si="66"/>
        <v>1w</v>
      </c>
      <c r="X3528" s="168">
        <f>_xll.qlCalendarAdvance(Calendar,X3527,W3528,"f",FALSE)</f>
        <v>64028</v>
      </c>
      <c r="Y3528" s="173">
        <f>_xll.qlCalendarAdvance(Calendar,X3528,NDays&amp;"D")</f>
        <v>64028</v>
      </c>
      <c r="Z3528" s="174" t="e">
        <v>#N/A</v>
      </c>
      <c r="AA3528" s="177"/>
    </row>
    <row r="3529" spans="22:27" x14ac:dyDescent="0.2">
      <c r="V3529" s="163"/>
      <c r="W3529" s="158" t="str">
        <f t="shared" si="66"/>
        <v>1w</v>
      </c>
      <c r="X3529" s="168">
        <f>_xll.qlCalendarAdvance(Calendar,X3528,W3529,"f",FALSE)</f>
        <v>64035</v>
      </c>
      <c r="Y3529" s="173">
        <f>_xll.qlCalendarAdvance(Calendar,X3529,NDays&amp;"D")</f>
        <v>64035</v>
      </c>
      <c r="Z3529" s="174" t="e">
        <v>#N/A</v>
      </c>
      <c r="AA3529" s="177"/>
    </row>
    <row r="3530" spans="22:27" x14ac:dyDescent="0.2">
      <c r="V3530" s="163"/>
      <c r="W3530" s="158" t="str">
        <f t="shared" si="66"/>
        <v>1w</v>
      </c>
      <c r="X3530" s="168">
        <f>_xll.qlCalendarAdvance(Calendar,X3529,W3530,"f",FALSE)</f>
        <v>64046</v>
      </c>
      <c r="Y3530" s="173">
        <f>_xll.qlCalendarAdvance(Calendar,X3530,NDays&amp;"D")</f>
        <v>64046</v>
      </c>
      <c r="Z3530" s="174" t="e">
        <v>#N/A</v>
      </c>
      <c r="AA3530" s="177"/>
    </row>
    <row r="3531" spans="22:27" x14ac:dyDescent="0.2">
      <c r="V3531" s="163"/>
      <c r="W3531" s="158" t="str">
        <f t="shared" si="66"/>
        <v>1w</v>
      </c>
      <c r="X3531" s="168">
        <f>_xll.qlCalendarAdvance(Calendar,X3530,W3531,"f",FALSE)</f>
        <v>64053</v>
      </c>
      <c r="Y3531" s="173">
        <f>_xll.qlCalendarAdvance(Calendar,X3531,NDays&amp;"D")</f>
        <v>64053</v>
      </c>
      <c r="Z3531" s="174" t="e">
        <v>#N/A</v>
      </c>
      <c r="AA3531" s="177"/>
    </row>
    <row r="3532" spans="22:27" x14ac:dyDescent="0.2">
      <c r="V3532" s="163"/>
      <c r="W3532" s="158" t="str">
        <f t="shared" si="66"/>
        <v>1w</v>
      </c>
      <c r="X3532" s="168">
        <f>_xll.qlCalendarAdvance(Calendar,X3531,W3532,"f",FALSE)</f>
        <v>64060</v>
      </c>
      <c r="Y3532" s="173">
        <f>_xll.qlCalendarAdvance(Calendar,X3532,NDays&amp;"D")</f>
        <v>64060</v>
      </c>
      <c r="Z3532" s="174" t="e">
        <v>#N/A</v>
      </c>
      <c r="AA3532" s="177"/>
    </row>
    <row r="3533" spans="22:27" x14ac:dyDescent="0.2">
      <c r="V3533" s="163"/>
      <c r="W3533" s="158" t="str">
        <f t="shared" ref="W3533:W3544" si="67">W3532</f>
        <v>1w</v>
      </c>
      <c r="X3533" s="168">
        <f>_xll.qlCalendarAdvance(Calendar,X3532,W3533,"f",FALSE)</f>
        <v>64067</v>
      </c>
      <c r="Y3533" s="173">
        <f>_xll.qlCalendarAdvance(Calendar,X3533,NDays&amp;"D")</f>
        <v>64067</v>
      </c>
      <c r="Z3533" s="174" t="e">
        <v>#N/A</v>
      </c>
      <c r="AA3533" s="177"/>
    </row>
    <row r="3534" spans="22:27" x14ac:dyDescent="0.2">
      <c r="V3534" s="163"/>
      <c r="W3534" s="158" t="str">
        <f t="shared" si="67"/>
        <v>1w</v>
      </c>
      <c r="X3534" s="168">
        <f>_xll.qlCalendarAdvance(Calendar,X3533,W3534,"f",FALSE)</f>
        <v>64074</v>
      </c>
      <c r="Y3534" s="173">
        <f>_xll.qlCalendarAdvance(Calendar,X3534,NDays&amp;"D")</f>
        <v>64074</v>
      </c>
      <c r="Z3534" s="174" t="e">
        <v>#N/A</v>
      </c>
      <c r="AA3534" s="177"/>
    </row>
    <row r="3535" spans="22:27" x14ac:dyDescent="0.2">
      <c r="V3535" s="163"/>
      <c r="W3535" s="158" t="str">
        <f t="shared" si="67"/>
        <v>1w</v>
      </c>
      <c r="X3535" s="168">
        <f>_xll.qlCalendarAdvance(Calendar,X3534,W3535,"f",FALSE)</f>
        <v>64081</v>
      </c>
      <c r="Y3535" s="173">
        <f>_xll.qlCalendarAdvance(Calendar,X3535,NDays&amp;"D")</f>
        <v>64081</v>
      </c>
      <c r="Z3535" s="174" t="e">
        <v>#N/A</v>
      </c>
      <c r="AA3535" s="177"/>
    </row>
    <row r="3536" spans="22:27" x14ac:dyDescent="0.2">
      <c r="V3536" s="163"/>
      <c r="W3536" s="158" t="str">
        <f t="shared" si="67"/>
        <v>1w</v>
      </c>
      <c r="X3536" s="168">
        <f>_xll.qlCalendarAdvance(Calendar,X3535,W3536,"f",FALSE)</f>
        <v>64088</v>
      </c>
      <c r="Y3536" s="173">
        <f>_xll.qlCalendarAdvance(Calendar,X3536,NDays&amp;"D")</f>
        <v>64088</v>
      </c>
      <c r="Z3536" s="174" t="e">
        <v>#N/A</v>
      </c>
      <c r="AA3536" s="177"/>
    </row>
    <row r="3537" spans="2:27" x14ac:dyDescent="0.2">
      <c r="V3537" s="163"/>
      <c r="W3537" s="158" t="str">
        <f t="shared" si="67"/>
        <v>1w</v>
      </c>
      <c r="X3537" s="168">
        <f>_xll.qlCalendarAdvance(Calendar,X3536,W3537,"f",FALSE)</f>
        <v>64095</v>
      </c>
      <c r="Y3537" s="173">
        <f>_xll.qlCalendarAdvance(Calendar,X3537,NDays&amp;"D")</f>
        <v>64095</v>
      </c>
      <c r="Z3537" s="174" t="e">
        <v>#N/A</v>
      </c>
      <c r="AA3537" s="177"/>
    </row>
    <row r="3538" spans="2:27" x14ac:dyDescent="0.2">
      <c r="V3538" s="163"/>
      <c r="W3538" s="158" t="str">
        <f t="shared" si="67"/>
        <v>1w</v>
      </c>
      <c r="X3538" s="168">
        <f>_xll.qlCalendarAdvance(Calendar,X3537,W3538,"f",FALSE)</f>
        <v>64102</v>
      </c>
      <c r="Y3538" s="173">
        <f>_xll.qlCalendarAdvance(Calendar,X3538,NDays&amp;"D")</f>
        <v>64102</v>
      </c>
      <c r="Z3538" s="174" t="e">
        <v>#N/A</v>
      </c>
      <c r="AA3538" s="177"/>
    </row>
    <row r="3539" spans="2:27" x14ac:dyDescent="0.2">
      <c r="B3539" s="168"/>
      <c r="C3539" s="173"/>
      <c r="D3539" s="174"/>
      <c r="E3539" s="174"/>
      <c r="V3539" s="163"/>
      <c r="W3539" s="158" t="str">
        <f t="shared" si="67"/>
        <v>1w</v>
      </c>
      <c r="X3539" s="168">
        <f>_xll.qlCalendarAdvance(Calendar,X3538,W3539,"f",FALSE)</f>
        <v>64109</v>
      </c>
      <c r="Y3539" s="173">
        <f>_xll.qlCalendarAdvance(Calendar,X3539,NDays&amp;"D")</f>
        <v>64109</v>
      </c>
      <c r="Z3539" s="174" t="e">
        <v>#N/A</v>
      </c>
      <c r="AA3539" s="177"/>
    </row>
    <row r="3540" spans="2:27" x14ac:dyDescent="0.2">
      <c r="B3540" s="168"/>
      <c r="C3540" s="173"/>
      <c r="D3540" s="174"/>
      <c r="E3540" s="174"/>
      <c r="V3540" s="163"/>
      <c r="W3540" s="158" t="str">
        <f t="shared" si="67"/>
        <v>1w</v>
      </c>
      <c r="X3540" s="168">
        <f>_xll.qlCalendarAdvance(Calendar,X3539,W3540,"f",FALSE)</f>
        <v>64116</v>
      </c>
      <c r="Y3540" s="173">
        <f>_xll.qlCalendarAdvance(Calendar,X3540,NDays&amp;"D")</f>
        <v>64116</v>
      </c>
      <c r="Z3540" s="174" t="e">
        <v>#N/A</v>
      </c>
      <c r="AA3540" s="177"/>
    </row>
    <row r="3541" spans="2:27" x14ac:dyDescent="0.2">
      <c r="B3541" s="168"/>
      <c r="C3541" s="173"/>
      <c r="D3541" s="174"/>
      <c r="E3541" s="174"/>
      <c r="V3541" s="163"/>
      <c r="W3541" s="158" t="str">
        <f t="shared" si="67"/>
        <v>1w</v>
      </c>
      <c r="X3541" s="168">
        <f>_xll.qlCalendarAdvance(Calendar,X3540,W3541,"f",FALSE)</f>
        <v>64123</v>
      </c>
      <c r="Y3541" s="173">
        <f>_xll.qlCalendarAdvance(Calendar,X3541,NDays&amp;"D")</f>
        <v>64123</v>
      </c>
      <c r="Z3541" s="174" t="e">
        <v>#N/A</v>
      </c>
      <c r="AA3541" s="177"/>
    </row>
    <row r="3542" spans="2:27" x14ac:dyDescent="0.2">
      <c r="B3542" s="168"/>
      <c r="C3542" s="173"/>
      <c r="D3542" s="174"/>
      <c r="E3542" s="174"/>
      <c r="V3542" s="163"/>
      <c r="W3542" s="158" t="str">
        <f t="shared" si="67"/>
        <v>1w</v>
      </c>
      <c r="X3542" s="168">
        <f>_xll.qlCalendarAdvance(Calendar,X3541,W3542,"f",FALSE)</f>
        <v>64130</v>
      </c>
      <c r="Y3542" s="173">
        <f>_xll.qlCalendarAdvance(Calendar,X3542,NDays&amp;"D")</f>
        <v>64130</v>
      </c>
      <c r="Z3542" s="174" t="e">
        <v>#N/A</v>
      </c>
      <c r="AA3542" s="177"/>
    </row>
    <row r="3543" spans="2:27" x14ac:dyDescent="0.2">
      <c r="B3543" s="168"/>
      <c r="C3543" s="173"/>
      <c r="D3543" s="174"/>
      <c r="E3543" s="174"/>
      <c r="V3543" s="163"/>
      <c r="W3543" s="158" t="str">
        <f t="shared" si="67"/>
        <v>1w</v>
      </c>
      <c r="X3543" s="168">
        <f>_xll.qlCalendarAdvance(Calendar,X3542,W3543,"f",FALSE)</f>
        <v>64137</v>
      </c>
      <c r="Y3543" s="173">
        <f>_xll.qlCalendarAdvance(Calendar,X3543,NDays&amp;"D")</f>
        <v>64137</v>
      </c>
      <c r="Z3543" s="174" t="e">
        <v>#N/A</v>
      </c>
      <c r="AA3543" s="177"/>
    </row>
    <row r="3544" spans="2:27" ht="12" thickBot="1" x14ac:dyDescent="0.25">
      <c r="B3544" s="168"/>
      <c r="C3544" s="173"/>
      <c r="D3544" s="174"/>
      <c r="E3544" s="174"/>
      <c r="V3544" s="163"/>
      <c r="W3544" s="181" t="str">
        <f t="shared" si="67"/>
        <v>1w</v>
      </c>
      <c r="X3544" s="182">
        <f>_xll.qlCalendarAdvance(Calendar,X3543,W3544,"f",FALSE)</f>
        <v>64144</v>
      </c>
      <c r="Y3544" s="183">
        <f>_xll.qlCalendarAdvance(Calendar,X3544,NDays&amp;"D")</f>
        <v>64144</v>
      </c>
      <c r="Z3544" s="175" t="e">
        <v>#N/A</v>
      </c>
      <c r="AA3544" s="165"/>
    </row>
    <row r="3545" spans="2:27" x14ac:dyDescent="0.2">
      <c r="B3545" s="168"/>
      <c r="C3545" s="173"/>
      <c r="D3545" s="174"/>
      <c r="E3545" s="174"/>
    </row>
    <row r="3546" spans="2:27" x14ac:dyDescent="0.2">
      <c r="B3546" s="168"/>
      <c r="C3546" s="173"/>
      <c r="D3546" s="174"/>
      <c r="E3546" s="174"/>
    </row>
    <row r="3547" spans="2:27" x14ac:dyDescent="0.2">
      <c r="B3547" s="168"/>
      <c r="C3547" s="173"/>
      <c r="D3547" s="174"/>
      <c r="E3547" s="174"/>
    </row>
    <row r="3548" spans="2:27" x14ac:dyDescent="0.2">
      <c r="B3548" s="168"/>
      <c r="C3548" s="173"/>
      <c r="D3548" s="174"/>
      <c r="E3548" s="174"/>
    </row>
    <row r="3549" spans="2:27" x14ac:dyDescent="0.2">
      <c r="B3549" s="168"/>
      <c r="C3549" s="173"/>
      <c r="D3549" s="174"/>
      <c r="E3549" s="174"/>
    </row>
    <row r="3550" spans="2:27" x14ac:dyDescent="0.2">
      <c r="B3550" s="168"/>
      <c r="C3550" s="173"/>
      <c r="D3550" s="174"/>
      <c r="E3550" s="174"/>
    </row>
    <row r="3551" spans="2:27" x14ac:dyDescent="0.2">
      <c r="B3551" s="168"/>
      <c r="C3551" s="173"/>
      <c r="D3551" s="174"/>
      <c r="E3551" s="174"/>
      <c r="W3551" s="178"/>
    </row>
    <row r="3552" spans="2:27" x14ac:dyDescent="0.2">
      <c r="B3552" s="168"/>
      <c r="C3552" s="173"/>
      <c r="D3552" s="174"/>
      <c r="E3552" s="174"/>
      <c r="W3552" s="178"/>
    </row>
    <row r="3553" spans="2:23" x14ac:dyDescent="0.2">
      <c r="B3553" s="168"/>
      <c r="C3553" s="173"/>
      <c r="D3553" s="174"/>
      <c r="E3553" s="174"/>
      <c r="W3553" s="178"/>
    </row>
    <row r="3554" spans="2:23" x14ac:dyDescent="0.2">
      <c r="B3554" s="168"/>
      <c r="C3554" s="173"/>
      <c r="D3554" s="174"/>
      <c r="E3554" s="174"/>
      <c r="W3554" s="178"/>
    </row>
    <row r="3555" spans="2:23" x14ac:dyDescent="0.2">
      <c r="B3555" s="168"/>
      <c r="C3555" s="173"/>
      <c r="D3555" s="174"/>
      <c r="E3555" s="174"/>
      <c r="W3555" s="178"/>
    </row>
    <row r="3556" spans="2:23" x14ac:dyDescent="0.2">
      <c r="B3556" s="168"/>
      <c r="C3556" s="173"/>
      <c r="D3556" s="174"/>
      <c r="E3556" s="174"/>
      <c r="W3556" s="178"/>
    </row>
    <row r="3557" spans="2:23" x14ac:dyDescent="0.2">
      <c r="B3557" s="168"/>
      <c r="C3557" s="173"/>
      <c r="D3557" s="174"/>
      <c r="E3557" s="174"/>
      <c r="W3557" s="178"/>
    </row>
    <row r="3558" spans="2:23" x14ac:dyDescent="0.2">
      <c r="B3558" s="168"/>
      <c r="C3558" s="173"/>
      <c r="D3558" s="174"/>
      <c r="E3558" s="174"/>
      <c r="W3558" s="178"/>
    </row>
    <row r="3559" spans="2:23" x14ac:dyDescent="0.2">
      <c r="B3559" s="168"/>
      <c r="C3559" s="173"/>
      <c r="D3559" s="174"/>
      <c r="E3559" s="174"/>
      <c r="W3559" s="17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2014-07-10T13:28:39Z</dcterms:modified>
</cp:coreProperties>
</file>
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225" yWindow="45" windowWidth="15270" windowHeight="7845" activeTab="2"/>
  </bookViews>
  <sheets>
    <sheet name="General Settings" sheetId="6" r:id="rId1"/>
    <sheet name="RateHelpers" sheetId="4" r:id="rId2"/>
    <sheet name="Selected" sheetId="5" r:id="rId3"/>
    <sheet name="Synthetic Deposits" sheetId="7" r:id="rId4"/>
    <sheet name="SwapsFromBasis" sheetId="13" r:id="rId5"/>
    <sheet name="Monitor" sheetId="12" r:id="rId6"/>
  </sheets>
  <externalReferences>
    <externalReference r:id="rId7"/>
  </externalReferences>
  <definedNames>
    <definedName name="_xlnm._FilterDatabase" localSheetId="5" hidden="1">Monitor!$B$11:$F$3553</definedName>
    <definedName name="Accuracy">'General Settings'!$D$23</definedName>
    <definedName name="BondBasisDayCounter">'General Settings'!$K$13</definedName>
    <definedName name="Calendar">'General Settings'!$D$18</definedName>
    <definedName name="Currency">'General Settings'!$D$4</definedName>
    <definedName name="DataTable">Monitor!$B$3:$K$16</definedName>
    <definedName name="DayCounter">'General Settings'!$D$19</definedName>
    <definedName name="DepoInclusionCriteria">Selected!$B$5</definedName>
    <definedName name="Discounting">'General Settings'!$K$15</definedName>
    <definedName name="FamilyName">'General Settings'!$K$11</definedName>
    <definedName name="FileOverwrite">'General Settings'!$K$6</definedName>
    <definedName name="FrontFuturesRollingDays">Selected!$B$4</definedName>
    <definedName name="IborIndex">Monitor!$Q$16</definedName>
    <definedName name="IborType">'General Settings'!$D$7</definedName>
    <definedName name="IMMFutSeries">IF(CheckIMMFut=FALSE,IMMFutNull,IMMFutQuotes)</definedName>
    <definedName name="IndexTenor">'General Settings'!$D$6</definedName>
    <definedName name="InterpolatorID">'General Settings'!$D$25</definedName>
    <definedName name="MinDistance">RateHelpers!$G$2:$G$29</definedName>
    <definedName name="MoneyMarketDayCounter">'General Settings'!$K$14</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Quotes">Monitor!$R$19:$R$363</definedName>
    <definedName name="ONValueDates">Monitor!$P$19:$P$363</definedName>
    <definedName name="OverNightIndex">Monitor!$R$16</definedName>
    <definedName name="Permanent">'General Settings'!$D$10</definedName>
    <definedName name="QuoteSuffix">'General Settings'!$K$12</definedName>
    <definedName name="RateHelperPrefix">'General Settings'!$D$9</definedName>
    <definedName name="RateHelpers">RateHelpers!$A$2:$A$29</definedName>
    <definedName name="RateHelpersIncluded">RateHelpers!$E$2:$E$29</definedName>
    <definedName name="RateHelpersPriority">RateHelpers!$F$2:$F$29</definedName>
    <definedName name="RateHelpersSelected">Selected!$A$7</definedName>
    <definedName name="RecalcTrigger">Monitor!$J$20</definedName>
    <definedName name="SerializationPath">'General Settings'!$K$5</definedName>
    <definedName name="Serialize">'General Settings'!$K$4</definedName>
    <definedName name="SwapFixedFreq">'General Settings'!$D$8</definedName>
    <definedName name="TraitsID">'General Settings'!$D$24</definedName>
    <definedName name="Trigger">'General Settings'!$D$11</definedName>
    <definedName name="YieldCurve">'General Settings'!$D$14</definedName>
  </definedNames>
  <calcPr calcId="145621"/>
</workbook>
</file>

<file path=xl/calcChain.xml><?xml version="1.0" encoding="utf-8"?>
<calcChain xmlns="http://schemas.openxmlformats.org/spreadsheetml/2006/main">
  <c r="L26" i="13" l="1"/>
  <c r="L18" i="13"/>
  <c r="L10" i="13"/>
  <c r="L25" i="13"/>
  <c r="L17" i="13"/>
  <c r="L9" i="13"/>
  <c r="L24" i="13"/>
  <c r="L16" i="13"/>
  <c r="L8" i="13"/>
  <c r="L23" i="13"/>
  <c r="L15" i="13"/>
  <c r="L7" i="13"/>
  <c r="L22" i="13"/>
  <c r="L14" i="13"/>
  <c r="L6" i="13"/>
  <c r="L21" i="13"/>
  <c r="L13" i="13"/>
  <c r="L20" i="13"/>
  <c r="L12" i="13"/>
  <c r="L19" i="13"/>
  <c r="L11" i="13"/>
  <c r="L5" i="13"/>
  <c r="J8" i="7" l="1"/>
  <c r="L8" i="7"/>
  <c r="K8" i="7"/>
  <c r="K3" i="7"/>
  <c r="I5" i="7"/>
  <c r="K4" i="7"/>
  <c r="I6" i="7"/>
  <c r="I3" i="7"/>
  <c r="I8" i="7"/>
  <c r="K5" i="7"/>
  <c r="I4" i="7"/>
  <c r="K6" i="7"/>
  <c r="I7" i="7"/>
  <c r="K7" i="7"/>
  <c r="A7" i="4" l="1"/>
  <c r="A6" i="4"/>
  <c r="A5" i="4"/>
  <c r="A4" i="4"/>
  <c r="A3" i="4"/>
  <c r="K6" i="13"/>
  <c r="K7" i="13"/>
  <c r="K8" i="13"/>
  <c r="K9" i="13"/>
  <c r="K10" i="13"/>
  <c r="K11" i="13"/>
  <c r="K12" i="13"/>
  <c r="K13" i="13"/>
  <c r="K14" i="13"/>
  <c r="K15" i="13"/>
  <c r="K16" i="13"/>
  <c r="K17" i="13"/>
  <c r="K18" i="13"/>
  <c r="K19" i="13"/>
  <c r="K20" i="13"/>
  <c r="K21" i="13"/>
  <c r="K22" i="13"/>
  <c r="K23" i="13"/>
  <c r="K24" i="13"/>
  <c r="K25" i="13"/>
  <c r="K26" i="13"/>
  <c r="K5" i="13"/>
  <c r="J6" i="13"/>
  <c r="J7" i="13"/>
  <c r="J8" i="13"/>
  <c r="J9" i="13"/>
  <c r="J10" i="13"/>
  <c r="J11" i="13"/>
  <c r="J12" i="13"/>
  <c r="J13" i="13"/>
  <c r="J14" i="13"/>
  <c r="J15" i="13"/>
  <c r="J16" i="13"/>
  <c r="J17" i="13"/>
  <c r="J18" i="13"/>
  <c r="J19" i="13"/>
  <c r="J20" i="13"/>
  <c r="J21" i="13"/>
  <c r="J22" i="13"/>
  <c r="J23" i="13"/>
  <c r="J24" i="13"/>
  <c r="J25" i="13"/>
  <c r="J26" i="13"/>
  <c r="J5" i="13"/>
  <c r="I1" i="7"/>
  <c r="C30" i="6"/>
  <c r="I6" i="4"/>
  <c r="H6" i="4"/>
  <c r="C6" i="4"/>
  <c r="B6" i="4"/>
  <c r="L3" i="13"/>
  <c r="L2" i="13" l="1"/>
  <c r="M2" i="13"/>
  <c r="A10" i="4" l="1"/>
  <c r="N538" i="12"/>
  <c r="N539" i="12" s="1"/>
  <c r="N540" i="12" s="1"/>
  <c r="N541" i="12" s="1"/>
  <c r="N542" i="12" s="1"/>
  <c r="N543" i="12" s="1"/>
  <c r="N544" i="12" s="1"/>
  <c r="N545" i="12" s="1"/>
  <c r="N546" i="12" s="1"/>
  <c r="N547" i="12" s="1"/>
  <c r="N548" i="12" s="1"/>
  <c r="N549" i="12" s="1"/>
  <c r="N550" i="12" s="1"/>
  <c r="N551" i="12" s="1"/>
  <c r="N552" i="12" s="1"/>
  <c r="N553" i="12" s="1"/>
  <c r="N554" i="12" s="1"/>
  <c r="N555" i="12" s="1"/>
  <c r="N556" i="12" s="1"/>
  <c r="N557" i="12" s="1"/>
  <c r="N558" i="12" s="1"/>
  <c r="N559" i="12" s="1"/>
  <c r="N560" i="12" s="1"/>
  <c r="N561" i="12" s="1"/>
  <c r="N562" i="12" s="1"/>
  <c r="N563" i="12" s="1"/>
  <c r="N564" i="12" s="1"/>
  <c r="N565" i="12" s="1"/>
  <c r="N566" i="12" s="1"/>
  <c r="N567" i="12" s="1"/>
  <c r="N568" i="12" s="1"/>
  <c r="N569" i="12" s="1"/>
  <c r="N570" i="12" s="1"/>
  <c r="N571" i="12" s="1"/>
  <c r="N572" i="12" s="1"/>
  <c r="N573" i="12" s="1"/>
  <c r="N574" i="12" s="1"/>
  <c r="N575" i="12" s="1"/>
  <c r="N576" i="12" s="1"/>
  <c r="N577" i="12" s="1"/>
  <c r="N578" i="12" s="1"/>
  <c r="N579" i="12" s="1"/>
  <c r="N580" i="12" s="1"/>
  <c r="N581" i="12" s="1"/>
  <c r="N582" i="12" s="1"/>
  <c r="N583" i="12" s="1"/>
  <c r="N584" i="12" s="1"/>
  <c r="N585" i="12" s="1"/>
  <c r="N586" i="12" s="1"/>
  <c r="N587" i="12" s="1"/>
  <c r="N588" i="12" s="1"/>
  <c r="N589" i="12" s="1"/>
  <c r="N590" i="12" s="1"/>
  <c r="N591" i="12" s="1"/>
  <c r="N592" i="12" s="1"/>
  <c r="N593" i="12" s="1"/>
  <c r="N594" i="12" s="1"/>
  <c r="N595" i="12" s="1"/>
  <c r="N596" i="12" s="1"/>
  <c r="N597" i="12" s="1"/>
  <c r="N598" i="12" s="1"/>
  <c r="N599" i="12" s="1"/>
  <c r="N600" i="12" s="1"/>
  <c r="N601" i="12" s="1"/>
  <c r="N602" i="12" s="1"/>
  <c r="N603" i="12" s="1"/>
  <c r="N604" i="12" s="1"/>
  <c r="N605" i="12" s="1"/>
  <c r="N606" i="12" s="1"/>
  <c r="N607" i="12" s="1"/>
  <c r="N608" i="12" s="1"/>
  <c r="N609" i="12" s="1"/>
  <c r="N610" i="12" s="1"/>
  <c r="N611" i="12" s="1"/>
  <c r="N612" i="12" s="1"/>
  <c r="N613" i="12" s="1"/>
  <c r="N614" i="12" s="1"/>
  <c r="N615" i="12" s="1"/>
  <c r="N616" i="12" s="1"/>
  <c r="N617" i="12" s="1"/>
  <c r="N618" i="12" s="1"/>
  <c r="N619" i="12" s="1"/>
  <c r="N620" i="12" s="1"/>
  <c r="N621" i="12" s="1"/>
  <c r="N622" i="12" s="1"/>
  <c r="N623" i="12" s="1"/>
  <c r="N624" i="12" s="1"/>
  <c r="N625" i="12" s="1"/>
  <c r="N626" i="12" s="1"/>
  <c r="N627" i="12" s="1"/>
  <c r="N628" i="12" s="1"/>
  <c r="N629" i="12" s="1"/>
  <c r="N630" i="12" s="1"/>
  <c r="N631" i="12" s="1"/>
  <c r="N632" i="12" s="1"/>
  <c r="N633" i="12" s="1"/>
  <c r="N634" i="12" s="1"/>
  <c r="N635" i="12" s="1"/>
  <c r="N636" i="12" s="1"/>
  <c r="N637" i="12" s="1"/>
  <c r="N638" i="12" s="1"/>
  <c r="N639" i="12" s="1"/>
  <c r="N640" i="12" s="1"/>
  <c r="N641" i="12" s="1"/>
  <c r="N642" i="12" s="1"/>
  <c r="N643" i="12" s="1"/>
  <c r="N644" i="12" s="1"/>
  <c r="N645" i="12" s="1"/>
  <c r="N646" i="12" s="1"/>
  <c r="N647" i="12" s="1"/>
  <c r="N648" i="12" s="1"/>
  <c r="N649" i="12" s="1"/>
  <c r="N650" i="12" s="1"/>
  <c r="N651" i="12" s="1"/>
  <c r="N652" i="12" s="1"/>
  <c r="N653" i="12" s="1"/>
  <c r="N654" i="12" s="1"/>
  <c r="N655" i="12" s="1"/>
  <c r="N656" i="12" s="1"/>
  <c r="N657" i="12" s="1"/>
  <c r="N658" i="12" s="1"/>
  <c r="N659" i="12" s="1"/>
  <c r="N660" i="12" s="1"/>
  <c r="N661" i="12" s="1"/>
  <c r="N662" i="12" s="1"/>
  <c r="N663" i="12" s="1"/>
  <c r="N664" i="12" s="1"/>
  <c r="N665" i="12" s="1"/>
  <c r="N666" i="12" s="1"/>
  <c r="N667" i="12" s="1"/>
  <c r="N668" i="12" s="1"/>
  <c r="N669" i="12" s="1"/>
  <c r="N670" i="12" s="1"/>
  <c r="N671" i="12" s="1"/>
  <c r="N672" i="12" s="1"/>
  <c r="N673" i="12" s="1"/>
  <c r="N674" i="12" s="1"/>
  <c r="N675" i="12" s="1"/>
  <c r="N676" i="12" s="1"/>
  <c r="N677" i="12" s="1"/>
  <c r="N678" i="12" s="1"/>
  <c r="N679" i="12" s="1"/>
  <c r="N680" i="12" s="1"/>
  <c r="N681" i="12" s="1"/>
  <c r="N682" i="12" s="1"/>
  <c r="N683" i="12" s="1"/>
  <c r="N684" i="12" s="1"/>
  <c r="N685" i="12" s="1"/>
  <c r="N686" i="12" s="1"/>
  <c r="N687" i="12" s="1"/>
  <c r="N688" i="12" s="1"/>
  <c r="N689" i="12" s="1"/>
  <c r="N690" i="12" s="1"/>
  <c r="N691" i="12" s="1"/>
  <c r="N692" i="12" s="1"/>
  <c r="N693" i="12" s="1"/>
  <c r="N694" i="12" s="1"/>
  <c r="N695" i="12" s="1"/>
  <c r="N696" i="12" s="1"/>
  <c r="N697" i="12" s="1"/>
  <c r="N698" i="12" s="1"/>
  <c r="N699" i="12" s="1"/>
  <c r="N700" i="12" s="1"/>
  <c r="N701" i="12" s="1"/>
  <c r="N702" i="12" s="1"/>
  <c r="N703" i="12" s="1"/>
  <c r="N704" i="12" s="1"/>
  <c r="N705" i="12" s="1"/>
  <c r="N706" i="12" s="1"/>
  <c r="N707" i="12" s="1"/>
  <c r="N708" i="12" s="1"/>
  <c r="N709" i="12" s="1"/>
  <c r="N710" i="12" s="1"/>
  <c r="N711" i="12" s="1"/>
  <c r="N712" i="12" s="1"/>
  <c r="N713" i="12" s="1"/>
  <c r="N714" i="12" s="1"/>
  <c r="N715" i="12" s="1"/>
  <c r="N716" i="12" s="1"/>
  <c r="N717" i="12" s="1"/>
  <c r="N718" i="12" s="1"/>
  <c r="N719" i="12" s="1"/>
  <c r="N720" i="12" s="1"/>
  <c r="N721" i="12" s="1"/>
  <c r="N722" i="12" s="1"/>
  <c r="N723" i="12" s="1"/>
  <c r="N724" i="12" s="1"/>
  <c r="N725" i="12" s="1"/>
  <c r="N726" i="12" s="1"/>
  <c r="N727" i="12" s="1"/>
  <c r="N728" i="12" s="1"/>
  <c r="N729" i="12" s="1"/>
  <c r="N730" i="12" s="1"/>
  <c r="N731" i="12" s="1"/>
  <c r="N732" i="12" s="1"/>
  <c r="N733" i="12" s="1"/>
  <c r="N734" i="12" s="1"/>
  <c r="N735" i="12" s="1"/>
  <c r="N736" i="12" s="1"/>
  <c r="N737" i="12" s="1"/>
  <c r="N738" i="12" s="1"/>
  <c r="N739" i="12" s="1"/>
  <c r="N740" i="12" s="1"/>
  <c r="N741" i="12" s="1"/>
  <c r="N742" i="12" s="1"/>
  <c r="N743" i="12" s="1"/>
  <c r="N744" i="12" s="1"/>
  <c r="N745" i="12" s="1"/>
  <c r="N746" i="12" s="1"/>
  <c r="N747" i="12" s="1"/>
  <c r="N748" i="12" s="1"/>
  <c r="N749" i="12" s="1"/>
  <c r="N750" i="12" s="1"/>
  <c r="N751" i="12" s="1"/>
  <c r="N752" i="12" s="1"/>
  <c r="N753" i="12" s="1"/>
  <c r="N754" i="12" s="1"/>
  <c r="N755" i="12" s="1"/>
  <c r="N756" i="12" s="1"/>
  <c r="N757" i="12" s="1"/>
  <c r="N758" i="12" s="1"/>
  <c r="N759" i="12" s="1"/>
  <c r="N760" i="12" s="1"/>
  <c r="N761" i="12" s="1"/>
  <c r="N762" i="12" s="1"/>
  <c r="N763" i="12" s="1"/>
  <c r="N764" i="12" s="1"/>
  <c r="N765" i="12" s="1"/>
  <c r="N766" i="12" s="1"/>
  <c r="N767" i="12" s="1"/>
  <c r="N768" i="12" s="1"/>
  <c r="N769" i="12" s="1"/>
  <c r="N770" i="12" s="1"/>
  <c r="N771" i="12" s="1"/>
  <c r="N772" i="12" s="1"/>
  <c r="N773" i="12" s="1"/>
  <c r="N774" i="12" s="1"/>
  <c r="N775" i="12" s="1"/>
  <c r="N776" i="12" s="1"/>
  <c r="N777" i="12" s="1"/>
  <c r="N778" i="12" s="1"/>
  <c r="N779" i="12" s="1"/>
  <c r="N780" i="12" s="1"/>
  <c r="N781" i="12" s="1"/>
  <c r="N782" i="12" s="1"/>
  <c r="N783" i="12" s="1"/>
  <c r="N784" i="12" s="1"/>
  <c r="N785" i="12" s="1"/>
  <c r="N786" i="12" s="1"/>
  <c r="N787" i="12" s="1"/>
  <c r="N788" i="12" s="1"/>
  <c r="N789" i="12" s="1"/>
  <c r="N790" i="12" s="1"/>
  <c r="N791" i="12" s="1"/>
  <c r="N792" i="12" s="1"/>
  <c r="N793" i="12" s="1"/>
  <c r="N794" i="12" s="1"/>
  <c r="N795" i="12" s="1"/>
  <c r="N796" i="12" s="1"/>
  <c r="N797" i="12" s="1"/>
  <c r="N798" i="12" s="1"/>
  <c r="N799" i="12" s="1"/>
  <c r="N800" i="12" s="1"/>
  <c r="N801" i="12" s="1"/>
  <c r="N802" i="12" s="1"/>
  <c r="N803" i="12" s="1"/>
  <c r="N804" i="12" s="1"/>
  <c r="N805" i="12" s="1"/>
  <c r="N806" i="12" s="1"/>
  <c r="N807" i="12" s="1"/>
  <c r="N808" i="12" s="1"/>
  <c r="N809" i="12" s="1"/>
  <c r="N810" i="12" s="1"/>
  <c r="N811" i="12" s="1"/>
  <c r="N812" i="12" s="1"/>
  <c r="N813" i="12" s="1"/>
  <c r="N814" i="12" s="1"/>
  <c r="N815" i="12" s="1"/>
  <c r="N816" i="12" s="1"/>
  <c r="N817" i="12" s="1"/>
  <c r="N818" i="12" s="1"/>
  <c r="N819" i="12" s="1"/>
  <c r="N820" i="12" s="1"/>
  <c r="N821" i="12" s="1"/>
  <c r="N822" i="12" s="1"/>
  <c r="N823" i="12" s="1"/>
  <c r="N824" i="12" s="1"/>
  <c r="N825" i="12" s="1"/>
  <c r="N826" i="12" s="1"/>
  <c r="N827" i="12" s="1"/>
  <c r="N828" i="12" s="1"/>
  <c r="N829" i="12" s="1"/>
  <c r="N830" i="12" s="1"/>
  <c r="N831" i="12" s="1"/>
  <c r="N832" i="12" s="1"/>
  <c r="N833" i="12" s="1"/>
  <c r="N834" i="12" s="1"/>
  <c r="N835" i="12" s="1"/>
  <c r="N836" i="12" s="1"/>
  <c r="N837" i="12" s="1"/>
  <c r="N838" i="12" s="1"/>
  <c r="N839" i="12" s="1"/>
  <c r="N840" i="12" s="1"/>
  <c r="N841" i="12" s="1"/>
  <c r="N842" i="12" s="1"/>
  <c r="N843" i="12" s="1"/>
  <c r="N844" i="12" s="1"/>
  <c r="N845" i="12" s="1"/>
  <c r="N846" i="12" s="1"/>
  <c r="N847" i="12" s="1"/>
  <c r="N848" i="12" s="1"/>
  <c r="N849" i="12" s="1"/>
  <c r="N850" i="12" s="1"/>
  <c r="N851" i="12" s="1"/>
  <c r="N852" i="12" s="1"/>
  <c r="N853" i="12" s="1"/>
  <c r="N854" i="12" s="1"/>
  <c r="N855" i="12" s="1"/>
  <c r="N856" i="12" s="1"/>
  <c r="N857" i="12" s="1"/>
  <c r="N858" i="12" s="1"/>
  <c r="N859" i="12" s="1"/>
  <c r="N860" i="12" s="1"/>
  <c r="N861" i="12" s="1"/>
  <c r="N862" i="12" s="1"/>
  <c r="N863" i="12" s="1"/>
  <c r="N864" i="12" s="1"/>
  <c r="N865" i="12" s="1"/>
  <c r="N866" i="12" s="1"/>
  <c r="N867" i="12" s="1"/>
  <c r="N868" i="12" s="1"/>
  <c r="N869" i="12" s="1"/>
  <c r="N870" i="12" s="1"/>
  <c r="N871" i="12" s="1"/>
  <c r="N872" i="12" s="1"/>
  <c r="N873" i="12" s="1"/>
  <c r="N874" i="12" s="1"/>
  <c r="N875" i="12" s="1"/>
  <c r="N876" i="12" s="1"/>
  <c r="N877" i="12" s="1"/>
  <c r="N878" i="12" s="1"/>
  <c r="N879" i="12" s="1"/>
  <c r="N880" i="12" s="1"/>
  <c r="N881" i="12" s="1"/>
  <c r="N882" i="12" s="1"/>
  <c r="N883" i="12" s="1"/>
  <c r="N884" i="12" s="1"/>
  <c r="N885" i="12" s="1"/>
  <c r="N886" i="12" s="1"/>
  <c r="N887" i="12" s="1"/>
  <c r="N888" i="12" s="1"/>
  <c r="N889" i="12" s="1"/>
  <c r="N890" i="12" s="1"/>
  <c r="N891" i="12" s="1"/>
  <c r="N892" i="12" s="1"/>
  <c r="N893" i="12" s="1"/>
  <c r="N894" i="12" s="1"/>
  <c r="N895" i="12" s="1"/>
  <c r="N896" i="12" s="1"/>
  <c r="N897" i="12" s="1"/>
  <c r="N898" i="12" s="1"/>
  <c r="N899" i="12" s="1"/>
  <c r="N900" i="12" s="1"/>
  <c r="N901" i="12" s="1"/>
  <c r="N902" i="12" s="1"/>
  <c r="N903" i="12" s="1"/>
  <c r="N904" i="12" s="1"/>
  <c r="N905" i="12" s="1"/>
  <c r="N906" i="12" s="1"/>
  <c r="N907" i="12" s="1"/>
  <c r="N908" i="12" s="1"/>
  <c r="N909" i="12" s="1"/>
  <c r="N910" i="12" s="1"/>
  <c r="N911" i="12" s="1"/>
  <c r="N912" i="12" s="1"/>
  <c r="N913" i="12" s="1"/>
  <c r="N914" i="12" s="1"/>
  <c r="N915" i="12" s="1"/>
  <c r="N916" i="12" s="1"/>
  <c r="N917" i="12" s="1"/>
  <c r="N918" i="12" s="1"/>
  <c r="N919" i="12" s="1"/>
  <c r="N920" i="12" s="1"/>
  <c r="N921" i="12" s="1"/>
  <c r="N922" i="12" s="1"/>
  <c r="N923" i="12" s="1"/>
  <c r="N924" i="12" s="1"/>
  <c r="N925" i="12" s="1"/>
  <c r="N926" i="12" s="1"/>
  <c r="N927" i="12" s="1"/>
  <c r="N928" i="12" s="1"/>
  <c r="N929" i="12" s="1"/>
  <c r="N930" i="12" s="1"/>
  <c r="N931" i="12" s="1"/>
  <c r="N932" i="12" s="1"/>
  <c r="N933" i="12" s="1"/>
  <c r="N934" i="12" s="1"/>
  <c r="N935" i="12" s="1"/>
  <c r="N936" i="12" s="1"/>
  <c r="N937" i="12" s="1"/>
  <c r="N938" i="12" s="1"/>
  <c r="N939" i="12" s="1"/>
  <c r="N940" i="12" s="1"/>
  <c r="N941" i="12" s="1"/>
  <c r="N942" i="12" s="1"/>
  <c r="N943" i="12" s="1"/>
  <c r="N944" i="12" s="1"/>
  <c r="N945" i="12" s="1"/>
  <c r="N946" i="12" s="1"/>
  <c r="N947" i="12" s="1"/>
  <c r="N948" i="12" s="1"/>
  <c r="N949" i="12" s="1"/>
  <c r="N950" i="12" s="1"/>
  <c r="N951" i="12" s="1"/>
  <c r="N952" i="12" s="1"/>
  <c r="N953" i="12" s="1"/>
  <c r="N954" i="12" s="1"/>
  <c r="N955" i="12" s="1"/>
  <c r="N956" i="12" s="1"/>
  <c r="N957" i="12" s="1"/>
  <c r="N958" i="12" s="1"/>
  <c r="N959" i="12" s="1"/>
  <c r="N960" i="12" s="1"/>
  <c r="N961" i="12" s="1"/>
  <c r="N962" i="12" s="1"/>
  <c r="N963" i="12" s="1"/>
  <c r="N964" i="12" s="1"/>
  <c r="N965" i="12" s="1"/>
  <c r="N966" i="12" s="1"/>
  <c r="N967" i="12" s="1"/>
  <c r="N968" i="12" s="1"/>
  <c r="N969" i="12" s="1"/>
  <c r="N970" i="12" s="1"/>
  <c r="N971" i="12" s="1"/>
  <c r="N972" i="12" s="1"/>
  <c r="N973" i="12" s="1"/>
  <c r="N974" i="12" s="1"/>
  <c r="N975" i="12" s="1"/>
  <c r="N976" i="12" s="1"/>
  <c r="N977" i="12" s="1"/>
  <c r="N978" i="12" s="1"/>
  <c r="N979" i="12" s="1"/>
  <c r="N980" i="12" s="1"/>
  <c r="N981" i="12" s="1"/>
  <c r="N982" i="12" s="1"/>
  <c r="N983" i="12" s="1"/>
  <c r="N984" i="12" s="1"/>
  <c r="N985" i="12" s="1"/>
  <c r="N986" i="12" s="1"/>
  <c r="N987" i="12" s="1"/>
  <c r="N988" i="12" s="1"/>
  <c r="N989" i="12" s="1"/>
  <c r="N990" i="12" s="1"/>
  <c r="N991" i="12" s="1"/>
  <c r="N992" i="12" s="1"/>
  <c r="N993" i="12" s="1"/>
  <c r="N994" i="12" s="1"/>
  <c r="N995" i="12" s="1"/>
  <c r="N996" i="12" s="1"/>
  <c r="N997" i="12" s="1"/>
  <c r="N998" i="12" s="1"/>
  <c r="N999" i="12" s="1"/>
  <c r="N1000" i="12" s="1"/>
  <c r="N1001" i="12" s="1"/>
  <c r="N1002" i="12" s="1"/>
  <c r="N1003" i="12" s="1"/>
  <c r="N1004" i="12" s="1"/>
  <c r="N1005" i="12" s="1"/>
  <c r="N1006" i="12" s="1"/>
  <c r="N1007" i="12" s="1"/>
  <c r="N1008" i="12" s="1"/>
  <c r="N1009" i="12" s="1"/>
  <c r="N1010" i="12" s="1"/>
  <c r="N1011" i="12" s="1"/>
  <c r="N1012" i="12" s="1"/>
  <c r="N1013" i="12" s="1"/>
  <c r="N1014" i="12" s="1"/>
  <c r="N1015" i="12" s="1"/>
  <c r="N1016" i="12" s="1"/>
  <c r="N1017" i="12" s="1"/>
  <c r="N1018" i="12" s="1"/>
  <c r="N1019" i="12" s="1"/>
  <c r="N1020" i="12" s="1"/>
  <c r="N1021" i="12" s="1"/>
  <c r="N1022" i="12" s="1"/>
  <c r="N1023" i="12" s="1"/>
  <c r="N1024" i="12" s="1"/>
  <c r="N1025" i="12" s="1"/>
  <c r="N1026" i="12" s="1"/>
  <c r="N1027" i="12" s="1"/>
  <c r="N1028" i="12" s="1"/>
  <c r="N1029" i="12" s="1"/>
  <c r="N1030" i="12" s="1"/>
  <c r="N1031" i="12" s="1"/>
  <c r="N1032" i="12" s="1"/>
  <c r="N1033" i="12" s="1"/>
  <c r="N1034" i="12" s="1"/>
  <c r="N1035" i="12" s="1"/>
  <c r="N1036" i="12" s="1"/>
  <c r="N1037" i="12" s="1"/>
  <c r="N1038" i="12" s="1"/>
  <c r="N1039" i="12" s="1"/>
  <c r="N1040" i="12" s="1"/>
  <c r="N1041" i="12" s="1"/>
  <c r="N1042" i="12" s="1"/>
  <c r="N1043" i="12" s="1"/>
  <c r="N1044" i="12" s="1"/>
  <c r="N1045" i="12" s="1"/>
  <c r="N1046" i="12" s="1"/>
  <c r="N1047" i="12" s="1"/>
  <c r="N1048" i="12" s="1"/>
  <c r="N1049" i="12" s="1"/>
  <c r="N1050" i="12" s="1"/>
  <c r="N1051" i="12" s="1"/>
  <c r="N1052" i="12" s="1"/>
  <c r="N1053" i="12" s="1"/>
  <c r="N1054" i="12" s="1"/>
  <c r="N1055" i="12" s="1"/>
  <c r="N1056" i="12" s="1"/>
  <c r="N1057" i="12" s="1"/>
  <c r="N1058" i="12" s="1"/>
  <c r="N1059" i="12" s="1"/>
  <c r="N1060" i="12" s="1"/>
  <c r="N1061" i="12" s="1"/>
  <c r="N1062" i="12" s="1"/>
  <c r="N1063" i="12" s="1"/>
  <c r="N1064" i="12" s="1"/>
  <c r="N1065" i="12" s="1"/>
  <c r="N1066" i="12" s="1"/>
  <c r="N1067" i="12" s="1"/>
  <c r="N1068" i="12" s="1"/>
  <c r="N1069" i="12" s="1"/>
  <c r="N1070" i="12" s="1"/>
  <c r="N1071" i="12" s="1"/>
  <c r="N1072" i="12" s="1"/>
  <c r="N1073" i="12" s="1"/>
  <c r="N1074" i="12" s="1"/>
  <c r="N1075" i="12" s="1"/>
  <c r="N1076" i="12" s="1"/>
  <c r="N1077" i="12" s="1"/>
  <c r="N1078" i="12" s="1"/>
  <c r="N1079" i="12" s="1"/>
  <c r="N1080" i="12" s="1"/>
  <c r="N1081" i="12" s="1"/>
  <c r="N1082" i="12" s="1"/>
  <c r="N1083" i="12" s="1"/>
  <c r="N1084" i="12" s="1"/>
  <c r="N1085" i="12" s="1"/>
  <c r="N1086" i="12" s="1"/>
  <c r="N1087" i="12" s="1"/>
  <c r="N1088" i="12" s="1"/>
  <c r="N1089" i="12" s="1"/>
  <c r="N1090" i="12" s="1"/>
  <c r="N1091" i="12" s="1"/>
  <c r="N1092" i="12" s="1"/>
  <c r="N1093" i="12" s="1"/>
  <c r="N1094" i="12" s="1"/>
  <c r="N1095" i="12" s="1"/>
  <c r="N1096" i="12" s="1"/>
  <c r="N1097" i="12" s="1"/>
  <c r="N1098" i="12" s="1"/>
  <c r="N1099" i="12" s="1"/>
  <c r="N1100" i="12" s="1"/>
  <c r="N1101" i="12" s="1"/>
  <c r="N1102" i="12" s="1"/>
  <c r="N1103" i="12" s="1"/>
  <c r="N1104" i="12" s="1"/>
  <c r="N1105" i="12" s="1"/>
  <c r="N1106" i="12" s="1"/>
  <c r="N1107" i="12" s="1"/>
  <c r="N1108" i="12" s="1"/>
  <c r="N1109" i="12" s="1"/>
  <c r="N1110" i="12" s="1"/>
  <c r="N1111" i="12" s="1"/>
  <c r="N1112" i="12" s="1"/>
  <c r="N1113" i="12" s="1"/>
  <c r="N1114" i="12" s="1"/>
  <c r="N1115" i="12" s="1"/>
  <c r="N1116" i="12" s="1"/>
  <c r="N1117" i="12" s="1"/>
  <c r="N1118" i="12" s="1"/>
  <c r="N1119" i="12" s="1"/>
  <c r="N1120" i="12" s="1"/>
  <c r="N1121" i="12" s="1"/>
  <c r="N1122" i="12" s="1"/>
  <c r="N1123" i="12" s="1"/>
  <c r="N1124" i="12" s="1"/>
  <c r="N1125" i="12" s="1"/>
  <c r="N1126" i="12" s="1"/>
  <c r="N1127" i="12" s="1"/>
  <c r="N1128" i="12" s="1"/>
  <c r="N1129" i="12" s="1"/>
  <c r="N1130" i="12" s="1"/>
  <c r="N1131" i="12" s="1"/>
  <c r="N1132" i="12" s="1"/>
  <c r="N1133" i="12" s="1"/>
  <c r="N1134" i="12" s="1"/>
  <c r="N1135" i="12" s="1"/>
  <c r="N1136" i="12" s="1"/>
  <c r="N1137" i="12" s="1"/>
  <c r="N1138" i="12" s="1"/>
  <c r="N1139" i="12" s="1"/>
  <c r="N1140" i="12" s="1"/>
  <c r="N1141" i="12" s="1"/>
  <c r="N1142" i="12" s="1"/>
  <c r="N1143" i="12" s="1"/>
  <c r="N1144" i="12" s="1"/>
  <c r="N1145" i="12" s="1"/>
  <c r="N1146" i="12" s="1"/>
  <c r="N1147" i="12" s="1"/>
  <c r="N1148" i="12" s="1"/>
  <c r="N1149" i="12" s="1"/>
  <c r="N1150" i="12" s="1"/>
  <c r="N1151" i="12" s="1"/>
  <c r="N1152" i="12" s="1"/>
  <c r="N1153" i="12" s="1"/>
  <c r="N1154" i="12" s="1"/>
  <c r="N1155" i="12" s="1"/>
  <c r="N1156" i="12" s="1"/>
  <c r="N1157" i="12" s="1"/>
  <c r="N1158" i="12" s="1"/>
  <c r="N1159" i="12" s="1"/>
  <c r="N1160" i="12" s="1"/>
  <c r="N1161" i="12" s="1"/>
  <c r="N1162" i="12" s="1"/>
  <c r="N1163" i="12" s="1"/>
  <c r="N1164" i="12" s="1"/>
  <c r="N1165" i="12" s="1"/>
  <c r="N1166" i="12" s="1"/>
  <c r="N1167" i="12" s="1"/>
  <c r="N1168" i="12" s="1"/>
  <c r="N1169" i="12" s="1"/>
  <c r="N1170" i="12" s="1"/>
  <c r="N1171" i="12" s="1"/>
  <c r="N1172" i="12" s="1"/>
  <c r="N1173" i="12" s="1"/>
  <c r="N1174" i="12" s="1"/>
  <c r="N1175" i="12" s="1"/>
  <c r="N1176" i="12" s="1"/>
  <c r="N1177" i="12" s="1"/>
  <c r="N1178" i="12" s="1"/>
  <c r="N1179" i="12" s="1"/>
  <c r="N1180" i="12" s="1"/>
  <c r="N1181" i="12" s="1"/>
  <c r="N1182" i="12" s="1"/>
  <c r="N1183" i="12" s="1"/>
  <c r="N1184" i="12" s="1"/>
  <c r="N1185" i="12" s="1"/>
  <c r="N1186" i="12" s="1"/>
  <c r="N1187" i="12" s="1"/>
  <c r="N1188" i="12" s="1"/>
  <c r="N1189" i="12" s="1"/>
  <c r="N1190" i="12" s="1"/>
  <c r="N1191" i="12" s="1"/>
  <c r="N1192" i="12" s="1"/>
  <c r="N1193" i="12" s="1"/>
  <c r="N1194" i="12" s="1"/>
  <c r="N1195" i="12" s="1"/>
  <c r="N1196" i="12" s="1"/>
  <c r="N1197" i="12" s="1"/>
  <c r="N1198" i="12" s="1"/>
  <c r="N1199" i="12" s="1"/>
  <c r="N1200" i="12" s="1"/>
  <c r="N1201" i="12" s="1"/>
  <c r="N1202" i="12" s="1"/>
  <c r="N1203" i="12" s="1"/>
  <c r="N1204" i="12" s="1"/>
  <c r="N1205" i="12" s="1"/>
  <c r="N1206" i="12" s="1"/>
  <c r="N1207" i="12" s="1"/>
  <c r="N1208" i="12" s="1"/>
  <c r="N1209" i="12" s="1"/>
  <c r="N1210" i="12" s="1"/>
  <c r="N1211" i="12" s="1"/>
  <c r="N1212" i="12" s="1"/>
  <c r="N1213" i="12" s="1"/>
  <c r="N1214" i="12" s="1"/>
  <c r="N1215" i="12" s="1"/>
  <c r="N1216" i="12" s="1"/>
  <c r="N1217" i="12" s="1"/>
  <c r="N1218" i="12" s="1"/>
  <c r="N1219" i="12" s="1"/>
  <c r="N1220" i="12" s="1"/>
  <c r="N1221" i="12" s="1"/>
  <c r="N1222" i="12" s="1"/>
  <c r="N1223" i="12" s="1"/>
  <c r="N1224" i="12" s="1"/>
  <c r="N1225" i="12" s="1"/>
  <c r="N1226" i="12" s="1"/>
  <c r="N1227" i="12" s="1"/>
  <c r="N1228" i="12" s="1"/>
  <c r="N1229" i="12" s="1"/>
  <c r="N1230" i="12" s="1"/>
  <c r="N1231" i="12" s="1"/>
  <c r="N1232" i="12" s="1"/>
  <c r="N1233" i="12" s="1"/>
  <c r="N1234" i="12" s="1"/>
  <c r="N1235" i="12" s="1"/>
  <c r="N1236" i="12" s="1"/>
  <c r="N1237" i="12" s="1"/>
  <c r="N1238" i="12" s="1"/>
  <c r="N1239" i="12" s="1"/>
  <c r="N1240" i="12" s="1"/>
  <c r="N1241" i="12" s="1"/>
  <c r="N1242" i="12" s="1"/>
  <c r="N1243" i="12" s="1"/>
  <c r="N1244" i="12" s="1"/>
  <c r="N1245" i="12" s="1"/>
  <c r="N1246" i="12" s="1"/>
  <c r="N1247" i="12" s="1"/>
  <c r="N1248" i="12" s="1"/>
  <c r="N1249" i="12" s="1"/>
  <c r="N1250" i="12" s="1"/>
  <c r="N1251" i="12" s="1"/>
  <c r="N1252" i="12" s="1"/>
  <c r="N1253" i="12" s="1"/>
  <c r="N1254" i="12" s="1"/>
  <c r="N1255" i="12" s="1"/>
  <c r="N1256" i="12" s="1"/>
  <c r="N1257" i="12" s="1"/>
  <c r="N1258" i="12" s="1"/>
  <c r="N1259" i="12" s="1"/>
  <c r="N1260" i="12" s="1"/>
  <c r="N1261" i="12" s="1"/>
  <c r="N1262" i="12" s="1"/>
  <c r="N1263" i="12" s="1"/>
  <c r="N1264" i="12" s="1"/>
  <c r="N1265" i="12" s="1"/>
  <c r="N1266" i="12" s="1"/>
  <c r="N1267" i="12" s="1"/>
  <c r="N1268" i="12" s="1"/>
  <c r="N1269" i="12" s="1"/>
  <c r="N1270" i="12" s="1"/>
  <c r="N1271" i="12" s="1"/>
  <c r="N1272" i="12" s="1"/>
  <c r="N1273" i="12" s="1"/>
  <c r="N1274" i="12" s="1"/>
  <c r="N1275" i="12" s="1"/>
  <c r="N1276" i="12" s="1"/>
  <c r="N1277" i="12" s="1"/>
  <c r="N1278" i="12" s="1"/>
  <c r="N1279" i="12" s="1"/>
  <c r="N1280" i="12" s="1"/>
  <c r="N1281" i="12" s="1"/>
  <c r="N1282" i="12" s="1"/>
  <c r="N1283" i="12" s="1"/>
  <c r="N1284" i="12" s="1"/>
  <c r="N1285" i="12" s="1"/>
  <c r="N1286" i="12" s="1"/>
  <c r="N1287" i="12" s="1"/>
  <c r="N1288" i="12" s="1"/>
  <c r="N1289" i="12" s="1"/>
  <c r="N1290" i="12" s="1"/>
  <c r="N1291" i="12" s="1"/>
  <c r="N1292" i="12" s="1"/>
  <c r="N1293" i="12" s="1"/>
  <c r="N1294" i="12" s="1"/>
  <c r="N1295" i="12" s="1"/>
  <c r="N1296" i="12" s="1"/>
  <c r="N1297" i="12" s="1"/>
  <c r="N1298" i="12" s="1"/>
  <c r="N1299" i="12" s="1"/>
  <c r="N1300" i="12" s="1"/>
  <c r="N1301" i="12" s="1"/>
  <c r="N1302" i="12" s="1"/>
  <c r="N1303" i="12" s="1"/>
  <c r="N1304" i="12" s="1"/>
  <c r="N1305" i="12" s="1"/>
  <c r="N1306" i="12" s="1"/>
  <c r="N1307" i="12" s="1"/>
  <c r="N1308" i="12" s="1"/>
  <c r="N1309" i="12" s="1"/>
  <c r="N1310" i="12" s="1"/>
  <c r="N1311" i="12" s="1"/>
  <c r="N1312" i="12" s="1"/>
  <c r="N1313" i="12" s="1"/>
  <c r="N1314" i="12" s="1"/>
  <c r="N1315" i="12" s="1"/>
  <c r="N1316" i="12" s="1"/>
  <c r="N1317" i="12" s="1"/>
  <c r="N1318" i="12" s="1"/>
  <c r="N1319" i="12" s="1"/>
  <c r="N1320" i="12" s="1"/>
  <c r="N1321" i="12" s="1"/>
  <c r="N1322" i="12" s="1"/>
  <c r="N1323" i="12" s="1"/>
  <c r="N1324" i="12" s="1"/>
  <c r="N1325" i="12" s="1"/>
  <c r="N1326" i="12" s="1"/>
  <c r="N1327" i="12" s="1"/>
  <c r="N1328" i="12" s="1"/>
  <c r="N1329" i="12" s="1"/>
  <c r="N1330" i="12" s="1"/>
  <c r="N1331" i="12" s="1"/>
  <c r="N1332" i="12" s="1"/>
  <c r="N1333" i="12" s="1"/>
  <c r="N1334" i="12" s="1"/>
  <c r="N1335" i="12" s="1"/>
  <c r="N1336" i="12" s="1"/>
  <c r="N1337" i="12" s="1"/>
  <c r="N1338" i="12" s="1"/>
  <c r="N1339" i="12" s="1"/>
  <c r="N1340" i="12" s="1"/>
  <c r="N1341" i="12" s="1"/>
  <c r="N1342" i="12" s="1"/>
  <c r="N1343" i="12" s="1"/>
  <c r="N1344" i="12" s="1"/>
  <c r="N1345" i="12" s="1"/>
  <c r="N1346" i="12" s="1"/>
  <c r="N1347" i="12" s="1"/>
  <c r="N1348" i="12" s="1"/>
  <c r="N1349" i="12" s="1"/>
  <c r="N1350" i="12" s="1"/>
  <c r="N1351" i="12" s="1"/>
  <c r="N1352" i="12" s="1"/>
  <c r="N1353" i="12" s="1"/>
  <c r="N1354" i="12" s="1"/>
  <c r="N1355" i="12" s="1"/>
  <c r="N1356" i="12" s="1"/>
  <c r="N1357" i="12" s="1"/>
  <c r="N1358" i="12" s="1"/>
  <c r="N1359" i="12" s="1"/>
  <c r="N1360" i="12" s="1"/>
  <c r="N1361" i="12" s="1"/>
  <c r="N1362" i="12" s="1"/>
  <c r="N1363" i="12" s="1"/>
  <c r="N1364" i="12" s="1"/>
  <c r="N1365" i="12" s="1"/>
  <c r="N1366" i="12" s="1"/>
  <c r="N1367" i="12" s="1"/>
  <c r="N1368" i="12" s="1"/>
  <c r="N1369" i="12" s="1"/>
  <c r="N1370" i="12" s="1"/>
  <c r="N1371" i="12" s="1"/>
  <c r="N1372" i="12" s="1"/>
  <c r="N1373" i="12" s="1"/>
  <c r="N1374" i="12" s="1"/>
  <c r="N1375" i="12" s="1"/>
  <c r="N1376" i="12" s="1"/>
  <c r="N1377" i="12" s="1"/>
  <c r="N1378" i="12" s="1"/>
  <c r="N1379" i="12" s="1"/>
  <c r="N1380" i="12" s="1"/>
  <c r="N1381" i="12" s="1"/>
  <c r="N1382" i="12" s="1"/>
  <c r="N1383" i="12" s="1"/>
  <c r="N1384" i="12" s="1"/>
  <c r="N1385" i="12" s="1"/>
  <c r="N1386" i="12" s="1"/>
  <c r="N1387" i="12" s="1"/>
  <c r="N1388" i="12" s="1"/>
  <c r="N1389" i="12" s="1"/>
  <c r="N1390" i="12" s="1"/>
  <c r="N1391" i="12" s="1"/>
  <c r="N1392" i="12" s="1"/>
  <c r="N1393" i="12" s="1"/>
  <c r="N1394" i="12" s="1"/>
  <c r="N1395" i="12" s="1"/>
  <c r="N1396" i="12" s="1"/>
  <c r="N1397" i="12" s="1"/>
  <c r="N1398" i="12" s="1"/>
  <c r="N1399" i="12" s="1"/>
  <c r="N1400" i="12" s="1"/>
  <c r="N1401" i="12" s="1"/>
  <c r="N1402" i="12" s="1"/>
  <c r="N1403" i="12" s="1"/>
  <c r="N1404" i="12" s="1"/>
  <c r="N1405" i="12" s="1"/>
  <c r="N1406" i="12" s="1"/>
  <c r="N1407" i="12" s="1"/>
  <c r="N1408" i="12" s="1"/>
  <c r="N1409" i="12" s="1"/>
  <c r="N1410" i="12" s="1"/>
  <c r="N1411" i="12" s="1"/>
  <c r="N1412" i="12" s="1"/>
  <c r="N1413" i="12" s="1"/>
  <c r="N1414" i="12" s="1"/>
  <c r="N1415" i="12" s="1"/>
  <c r="N1416" i="12" s="1"/>
  <c r="N1417" i="12" s="1"/>
  <c r="N1418" i="12" s="1"/>
  <c r="N1419" i="12" s="1"/>
  <c r="N1420" i="12" s="1"/>
  <c r="N1421" i="12" s="1"/>
  <c r="N1422" i="12" s="1"/>
  <c r="N1423" i="12" s="1"/>
  <c r="N1424" i="12" s="1"/>
  <c r="N1425" i="12" s="1"/>
  <c r="N1426" i="12" s="1"/>
  <c r="N1427" i="12" s="1"/>
  <c r="N1428" i="12" s="1"/>
  <c r="N1429" i="12" s="1"/>
  <c r="N1430" i="12" s="1"/>
  <c r="N1431" i="12" s="1"/>
  <c r="N1432" i="12" s="1"/>
  <c r="N1433" i="12" s="1"/>
  <c r="N1434" i="12" s="1"/>
  <c r="N1435" i="12" s="1"/>
  <c r="N1436" i="12" s="1"/>
  <c r="N1437" i="12" s="1"/>
  <c r="N1438" i="12" s="1"/>
  <c r="N1439" i="12" s="1"/>
  <c r="N1440" i="12" s="1"/>
  <c r="N1441" i="12" s="1"/>
  <c r="N1442" i="12" s="1"/>
  <c r="N1443" i="12" s="1"/>
  <c r="N1444" i="12" s="1"/>
  <c r="N1445" i="12" s="1"/>
  <c r="N1446" i="12" s="1"/>
  <c r="N1447" i="12" s="1"/>
  <c r="N1448" i="12" s="1"/>
  <c r="N1449" i="12" s="1"/>
  <c r="N1450" i="12" s="1"/>
  <c r="N1451" i="12" s="1"/>
  <c r="N1452" i="12" s="1"/>
  <c r="N1453" i="12" s="1"/>
  <c r="N1454" i="12" s="1"/>
  <c r="N1455" i="12" s="1"/>
  <c r="N1456" i="12" s="1"/>
  <c r="N1457" i="12" s="1"/>
  <c r="N1458" i="12" s="1"/>
  <c r="N1459" i="12" s="1"/>
  <c r="N1460" i="12" s="1"/>
  <c r="N1461" i="12" s="1"/>
  <c r="N1462" i="12" s="1"/>
  <c r="N1463" i="12" s="1"/>
  <c r="N1464" i="12" s="1"/>
  <c r="N1465" i="12" s="1"/>
  <c r="N1466" i="12" s="1"/>
  <c r="N1467" i="12" s="1"/>
  <c r="N1468" i="12" s="1"/>
  <c r="N1469" i="12" s="1"/>
  <c r="N1470" i="12" s="1"/>
  <c r="N1471" i="12" s="1"/>
  <c r="N1472" i="12" s="1"/>
  <c r="N1473" i="12" s="1"/>
  <c r="N1474" i="12" s="1"/>
  <c r="N1475" i="12" s="1"/>
  <c r="N1476" i="12" s="1"/>
  <c r="N1477" i="12" s="1"/>
  <c r="N1478" i="12" s="1"/>
  <c r="N1479" i="12" s="1"/>
  <c r="N1480" i="12" s="1"/>
  <c r="N1481" i="12" s="1"/>
  <c r="N1482" i="12" s="1"/>
  <c r="N1483" i="12" s="1"/>
  <c r="N1484" i="12" s="1"/>
  <c r="N1485" i="12" s="1"/>
  <c r="N1486" i="12" s="1"/>
  <c r="N1487" i="12" s="1"/>
  <c r="N1488" i="12" s="1"/>
  <c r="N1489" i="12" s="1"/>
  <c r="N1490" i="12" s="1"/>
  <c r="N1491" i="12" s="1"/>
  <c r="N1492" i="12" s="1"/>
  <c r="N1493" i="12" s="1"/>
  <c r="N1494" i="12" s="1"/>
  <c r="N1495" i="12" s="1"/>
  <c r="N1496" i="12" s="1"/>
  <c r="N1497" i="12" s="1"/>
  <c r="N1498" i="12" s="1"/>
  <c r="N1499" i="12" s="1"/>
  <c r="N1500" i="12" s="1"/>
  <c r="N1501" i="12" s="1"/>
  <c r="N1502" i="12" s="1"/>
  <c r="N1503" i="12" s="1"/>
  <c r="N1504" i="12" s="1"/>
  <c r="N1505" i="12" s="1"/>
  <c r="N1506" i="12" s="1"/>
  <c r="N1507" i="12" s="1"/>
  <c r="N1508" i="12" s="1"/>
  <c r="N1509" i="12" s="1"/>
  <c r="N1510" i="12" s="1"/>
  <c r="N1511" i="12" s="1"/>
  <c r="N1512" i="12" s="1"/>
  <c r="N1513" i="12" s="1"/>
  <c r="N1514" i="12" s="1"/>
  <c r="N1515" i="12" s="1"/>
  <c r="N1516" i="12" s="1"/>
  <c r="N1517" i="12" s="1"/>
  <c r="N1518" i="12" s="1"/>
  <c r="N1519" i="12" s="1"/>
  <c r="N1520" i="12" s="1"/>
  <c r="N1521" i="12" s="1"/>
  <c r="N1522" i="12" s="1"/>
  <c r="N1523" i="12" s="1"/>
  <c r="N1524" i="12" s="1"/>
  <c r="N1525" i="12" s="1"/>
  <c r="N1526" i="12" s="1"/>
  <c r="N1527" i="12" s="1"/>
  <c r="N1528" i="12" s="1"/>
  <c r="N1529" i="12" s="1"/>
  <c r="N1530" i="12" s="1"/>
  <c r="N1531" i="12" s="1"/>
  <c r="N1532" i="12" s="1"/>
  <c r="N1533" i="12" s="1"/>
  <c r="N1534" i="12" s="1"/>
  <c r="N1535" i="12" s="1"/>
  <c r="N1536" i="12" s="1"/>
  <c r="N1537" i="12" s="1"/>
  <c r="N1538" i="12" s="1"/>
  <c r="N1539" i="12" s="1"/>
  <c r="N1540" i="12" s="1"/>
  <c r="N1541" i="12" s="1"/>
  <c r="N1542" i="12" s="1"/>
  <c r="N1543" i="12" s="1"/>
  <c r="N1544" i="12" s="1"/>
  <c r="N1545" i="12" s="1"/>
  <c r="N1546" i="12" s="1"/>
  <c r="N1547" i="12" s="1"/>
  <c r="N1548" i="12" s="1"/>
  <c r="N1549" i="12" s="1"/>
  <c r="N1550" i="12" s="1"/>
  <c r="N1551" i="12" s="1"/>
  <c r="N1552" i="12" s="1"/>
  <c r="N1553" i="12" s="1"/>
  <c r="N1554" i="12" s="1"/>
  <c r="N1555" i="12" s="1"/>
  <c r="N1556" i="12" s="1"/>
  <c r="N1557" i="12" s="1"/>
  <c r="N1558" i="12" s="1"/>
  <c r="N1559" i="12" s="1"/>
  <c r="N1560" i="12" s="1"/>
  <c r="N1561" i="12" s="1"/>
  <c r="N1562" i="12" s="1"/>
  <c r="N1563" i="12" s="1"/>
  <c r="N1564" i="12" s="1"/>
  <c r="N1565" i="12" s="1"/>
  <c r="N1566" i="12" s="1"/>
  <c r="N1567" i="12" s="1"/>
  <c r="N1568" i="12" s="1"/>
  <c r="N1569" i="12" s="1"/>
  <c r="N1570" i="12" s="1"/>
  <c r="N1571" i="12" s="1"/>
  <c r="N1572" i="12" s="1"/>
  <c r="N1573" i="12" s="1"/>
  <c r="N1574" i="12" s="1"/>
  <c r="N1575" i="12" s="1"/>
  <c r="N1576" i="12" s="1"/>
  <c r="N1577" i="12" s="1"/>
  <c r="N1578" i="12" s="1"/>
  <c r="N1579" i="12" s="1"/>
  <c r="N1580" i="12" s="1"/>
  <c r="N1581" i="12" s="1"/>
  <c r="N1582" i="12" s="1"/>
  <c r="N1583" i="12" s="1"/>
  <c r="N1584" i="12" s="1"/>
  <c r="N1585" i="12" s="1"/>
  <c r="N1586" i="12" s="1"/>
  <c r="N1587" i="12" s="1"/>
  <c r="N1588" i="12" s="1"/>
  <c r="N1589" i="12" s="1"/>
  <c r="N1590" i="12" s="1"/>
  <c r="N1591" i="12" s="1"/>
  <c r="N1592" i="12" s="1"/>
  <c r="N1593" i="12" s="1"/>
  <c r="N1594" i="12" s="1"/>
  <c r="N1595" i="12" s="1"/>
  <c r="N1596" i="12" s="1"/>
  <c r="N1597" i="12" s="1"/>
  <c r="N1598" i="12" s="1"/>
  <c r="N1599" i="12" s="1"/>
  <c r="N1600" i="12" s="1"/>
  <c r="N1601" i="12" s="1"/>
  <c r="N1602" i="12" s="1"/>
  <c r="N1603" i="12" s="1"/>
  <c r="N1604" i="12" s="1"/>
  <c r="N1605" i="12" s="1"/>
  <c r="N1606" i="12" s="1"/>
  <c r="N1607" i="12" s="1"/>
  <c r="N1608" i="12" s="1"/>
  <c r="N1609" i="12" s="1"/>
  <c r="N1610" i="12" s="1"/>
  <c r="N1611" i="12" s="1"/>
  <c r="N1612" i="12" s="1"/>
  <c r="N1613" i="12" s="1"/>
  <c r="N1614" i="12" s="1"/>
  <c r="N1615" i="12" s="1"/>
  <c r="N1616" i="12" s="1"/>
  <c r="N1617" i="12" s="1"/>
  <c r="N1618" i="12" s="1"/>
  <c r="N1619" i="12" s="1"/>
  <c r="N1620" i="12" s="1"/>
  <c r="N1621" i="12" s="1"/>
  <c r="N1622" i="12" s="1"/>
  <c r="N1623" i="12" s="1"/>
  <c r="N1624" i="12" s="1"/>
  <c r="N1625" i="12" s="1"/>
  <c r="N1626" i="12" s="1"/>
  <c r="N1627" i="12" s="1"/>
  <c r="N1628" i="12" s="1"/>
  <c r="N1629" i="12" s="1"/>
  <c r="N1630" i="12" s="1"/>
  <c r="N1631" i="12" s="1"/>
  <c r="N1632" i="12" s="1"/>
  <c r="N1633" i="12" s="1"/>
  <c r="N1634" i="12" s="1"/>
  <c r="N1635" i="12" s="1"/>
  <c r="N1636" i="12" s="1"/>
  <c r="N1637" i="12" s="1"/>
  <c r="N1638" i="12" s="1"/>
  <c r="N1639" i="12" s="1"/>
  <c r="N1640" i="12" s="1"/>
  <c r="N1641" i="12" s="1"/>
  <c r="N1642" i="12" s="1"/>
  <c r="N1643" i="12" s="1"/>
  <c r="N1644" i="12" s="1"/>
  <c r="N1645" i="12" s="1"/>
  <c r="N1646" i="12" s="1"/>
  <c r="N1647" i="12" s="1"/>
  <c r="N1648" i="12" s="1"/>
  <c r="N1649" i="12" s="1"/>
  <c r="N1650" i="12" s="1"/>
  <c r="N1651" i="12" s="1"/>
  <c r="N1652" i="12" s="1"/>
  <c r="N1653" i="12" s="1"/>
  <c r="N1654" i="12" s="1"/>
  <c r="N1655" i="12" s="1"/>
  <c r="N1656" i="12" s="1"/>
  <c r="N1657" i="12" s="1"/>
  <c r="N1658" i="12" s="1"/>
  <c r="N1659" i="12" s="1"/>
  <c r="N1660" i="12" s="1"/>
  <c r="N1661" i="12" s="1"/>
  <c r="N1662" i="12" s="1"/>
  <c r="N1663" i="12" s="1"/>
  <c r="N1664" i="12" s="1"/>
  <c r="N1665" i="12" s="1"/>
  <c r="N1666" i="12" s="1"/>
  <c r="N1667" i="12" s="1"/>
  <c r="N1668" i="12" s="1"/>
  <c r="N1669" i="12" s="1"/>
  <c r="N1670" i="12" s="1"/>
  <c r="N1671" i="12" s="1"/>
  <c r="N1672" i="12" s="1"/>
  <c r="N1673" i="12" s="1"/>
  <c r="N1674" i="12" s="1"/>
  <c r="N1675" i="12" s="1"/>
  <c r="N1676" i="12" s="1"/>
  <c r="N1677" i="12" s="1"/>
  <c r="N1678" i="12" s="1"/>
  <c r="N1679" i="12" s="1"/>
  <c r="N1680" i="12" s="1"/>
  <c r="N1681" i="12" s="1"/>
  <c r="N1682" i="12" s="1"/>
  <c r="N1683" i="12" s="1"/>
  <c r="N1684" i="12" s="1"/>
  <c r="N1685" i="12" s="1"/>
  <c r="N1686" i="12" s="1"/>
  <c r="N1687" i="12" s="1"/>
  <c r="N1688" i="12" s="1"/>
  <c r="N1689" i="12" s="1"/>
  <c r="N1690" i="12" s="1"/>
  <c r="N1691" i="12" s="1"/>
  <c r="N1692" i="12" s="1"/>
  <c r="N1693" i="12" s="1"/>
  <c r="N1694" i="12" s="1"/>
  <c r="N1695" i="12" s="1"/>
  <c r="N1696" i="12" s="1"/>
  <c r="N1697" i="12" s="1"/>
  <c r="N1698" i="12" s="1"/>
  <c r="N1699" i="12" s="1"/>
  <c r="N1700" i="12" s="1"/>
  <c r="N1701" i="12" s="1"/>
  <c r="N1702" i="12" s="1"/>
  <c r="N1703" i="12" s="1"/>
  <c r="N1704" i="12" s="1"/>
  <c r="N1705" i="12" s="1"/>
  <c r="N1706" i="12" s="1"/>
  <c r="N1707" i="12" s="1"/>
  <c r="N1708" i="12" s="1"/>
  <c r="N1709" i="12" s="1"/>
  <c r="N1710" i="12" s="1"/>
  <c r="N1711" i="12" s="1"/>
  <c r="N1712" i="12" s="1"/>
  <c r="N1713" i="12" s="1"/>
  <c r="N1714" i="12" s="1"/>
  <c r="N1715" i="12" s="1"/>
  <c r="N1716" i="12" s="1"/>
  <c r="N1717" i="12" s="1"/>
  <c r="N1718" i="12" s="1"/>
  <c r="N1719" i="12" s="1"/>
  <c r="N1720" i="12" s="1"/>
  <c r="N1721" i="12" s="1"/>
  <c r="N1722" i="12" s="1"/>
  <c r="N1723" i="12" s="1"/>
  <c r="N1724" i="12" s="1"/>
  <c r="N1725" i="12" s="1"/>
  <c r="N1726" i="12" s="1"/>
  <c r="N1727" i="12" s="1"/>
  <c r="N1728" i="12" s="1"/>
  <c r="N1729" i="12" s="1"/>
  <c r="N1730" i="12" s="1"/>
  <c r="N1731" i="12" s="1"/>
  <c r="N1732" i="12" s="1"/>
  <c r="N1733" i="12" s="1"/>
  <c r="N1734" i="12" s="1"/>
  <c r="N1735" i="12" s="1"/>
  <c r="N1736" i="12" s="1"/>
  <c r="N1737" i="12" s="1"/>
  <c r="N1738" i="12" s="1"/>
  <c r="N1739" i="12" s="1"/>
  <c r="N1740" i="12" s="1"/>
  <c r="N1741" i="12" s="1"/>
  <c r="N1742" i="12" s="1"/>
  <c r="N1743" i="12" s="1"/>
  <c r="N1744" i="12" s="1"/>
  <c r="N1745" i="12" s="1"/>
  <c r="N1746" i="12" s="1"/>
  <c r="N1747" i="12" s="1"/>
  <c r="N1748" i="12" s="1"/>
  <c r="N1749" i="12" s="1"/>
  <c r="N1750" i="12" s="1"/>
  <c r="N1751" i="12" s="1"/>
  <c r="N1752" i="12" s="1"/>
  <c r="N1753" i="12" s="1"/>
  <c r="N1754" i="12" s="1"/>
  <c r="N1755" i="12" s="1"/>
  <c r="N1756" i="12" s="1"/>
  <c r="N1757" i="12" s="1"/>
  <c r="N1758" i="12" s="1"/>
  <c r="N1759" i="12" s="1"/>
  <c r="N1760" i="12" s="1"/>
  <c r="N1761" i="12" s="1"/>
  <c r="N1762" i="12" s="1"/>
  <c r="N1763" i="12" s="1"/>
  <c r="N1764" i="12" s="1"/>
  <c r="N1765" i="12" s="1"/>
  <c r="N1766" i="12" s="1"/>
  <c r="N1767" i="12" s="1"/>
  <c r="N1768" i="12" s="1"/>
  <c r="N1769" i="12" s="1"/>
  <c r="N1770" i="12" s="1"/>
  <c r="N1771" i="12" s="1"/>
  <c r="N1772" i="12" s="1"/>
  <c r="N1773" i="12" s="1"/>
  <c r="N1774" i="12" s="1"/>
  <c r="N1775" i="12" s="1"/>
  <c r="N1776" i="12" s="1"/>
  <c r="N1777" i="12" s="1"/>
  <c r="N1778" i="12" s="1"/>
  <c r="N1779" i="12" s="1"/>
  <c r="N1780" i="12" s="1"/>
  <c r="N1781" i="12" s="1"/>
  <c r="N1782" i="12" s="1"/>
  <c r="N1783" i="12" s="1"/>
  <c r="N1784" i="12" s="1"/>
  <c r="N1785" i="12" s="1"/>
  <c r="N1786" i="12" s="1"/>
  <c r="N1787" i="12" s="1"/>
  <c r="N1788" i="12" s="1"/>
  <c r="N1789" i="12" s="1"/>
  <c r="N1790" i="12" s="1"/>
  <c r="N1791" i="12" s="1"/>
  <c r="N1792" i="12" s="1"/>
  <c r="N1793" i="12" s="1"/>
  <c r="N1794" i="12" s="1"/>
  <c r="N1795" i="12" s="1"/>
  <c r="N1796" i="12" s="1"/>
  <c r="N1797" i="12" s="1"/>
  <c r="N1798" i="12" s="1"/>
  <c r="N1799" i="12" s="1"/>
  <c r="N1800" i="12" s="1"/>
  <c r="N1801" i="12" s="1"/>
  <c r="N1802" i="12" s="1"/>
  <c r="N1803" i="12" s="1"/>
  <c r="N1804" i="12" s="1"/>
  <c r="N1805" i="12" s="1"/>
  <c r="N1806" i="12" s="1"/>
  <c r="N1807" i="12" s="1"/>
  <c r="N1808" i="12" s="1"/>
  <c r="N1809" i="12" s="1"/>
  <c r="N1810" i="12" s="1"/>
  <c r="N1811" i="12" s="1"/>
  <c r="N1812" i="12" s="1"/>
  <c r="N1813" i="12" s="1"/>
  <c r="N1814" i="12" s="1"/>
  <c r="N1815" i="12" s="1"/>
  <c r="N1816" i="12" s="1"/>
  <c r="N1817" i="12" s="1"/>
  <c r="N1818" i="12" s="1"/>
  <c r="N1819" i="12" s="1"/>
  <c r="N1820" i="12" s="1"/>
  <c r="N1821" i="12" s="1"/>
  <c r="N1822" i="12" s="1"/>
  <c r="N1823" i="12" s="1"/>
  <c r="N1824" i="12" s="1"/>
  <c r="N1825" i="12" s="1"/>
  <c r="N1826" i="12" s="1"/>
  <c r="N1827" i="12" s="1"/>
  <c r="N1828" i="12" s="1"/>
  <c r="N1829" i="12" s="1"/>
  <c r="N1830" i="12" s="1"/>
  <c r="N1831" i="12" s="1"/>
  <c r="N1832" i="12" s="1"/>
  <c r="N1833" i="12" s="1"/>
  <c r="N1834" i="12" s="1"/>
  <c r="N1835" i="12" s="1"/>
  <c r="N1836" i="12" s="1"/>
  <c r="N1837" i="12" s="1"/>
  <c r="N1838" i="12" s="1"/>
  <c r="N1839" i="12" s="1"/>
  <c r="N1840" i="12" s="1"/>
  <c r="N1841" i="12" s="1"/>
  <c r="N1842" i="12" s="1"/>
  <c r="N1843" i="12" s="1"/>
  <c r="N1844" i="12" s="1"/>
  <c r="N1845" i="12" s="1"/>
  <c r="N1846" i="12" s="1"/>
  <c r="N1847" i="12" s="1"/>
  <c r="N1848" i="12" s="1"/>
  <c r="N1849" i="12" s="1"/>
  <c r="N1850" i="12" s="1"/>
  <c r="N1851" i="12" s="1"/>
  <c r="N1852" i="12" s="1"/>
  <c r="N1853" i="12" s="1"/>
  <c r="N1854" i="12" s="1"/>
  <c r="N1855" i="12" s="1"/>
  <c r="N1856" i="12" s="1"/>
  <c r="N1857" i="12" s="1"/>
  <c r="N1858" i="12" s="1"/>
  <c r="N1859" i="12" s="1"/>
  <c r="N1860" i="12" s="1"/>
  <c r="N1861" i="12" s="1"/>
  <c r="N1862" i="12" s="1"/>
  <c r="N1863" i="12" s="1"/>
  <c r="N1864" i="12" s="1"/>
  <c r="N1865" i="12" s="1"/>
  <c r="N1866" i="12" s="1"/>
  <c r="N1867" i="12" s="1"/>
  <c r="N1868" i="12" s="1"/>
  <c r="N1869" i="12" s="1"/>
  <c r="N1870" i="12" s="1"/>
  <c r="N1871" i="12" s="1"/>
  <c r="N1872" i="12" s="1"/>
  <c r="N1873" i="12" s="1"/>
  <c r="N1874" i="12" s="1"/>
  <c r="N1875" i="12" s="1"/>
  <c r="N1876" i="12" s="1"/>
  <c r="N1877" i="12" s="1"/>
  <c r="N1878" i="12" s="1"/>
  <c r="N1879" i="12" s="1"/>
  <c r="N1880" i="12" s="1"/>
  <c r="N1881" i="12" s="1"/>
  <c r="N1882" i="12" s="1"/>
  <c r="N1883" i="12" s="1"/>
  <c r="N1884" i="12" s="1"/>
  <c r="N1885" i="12" s="1"/>
  <c r="N1886" i="12" s="1"/>
  <c r="N1887" i="12" s="1"/>
  <c r="N1888" i="12" s="1"/>
  <c r="N1889" i="12" s="1"/>
  <c r="N1890" i="12" s="1"/>
  <c r="N1891" i="12" s="1"/>
  <c r="N1892" i="12" s="1"/>
  <c r="N1893" i="12" s="1"/>
  <c r="N1894" i="12" s="1"/>
  <c r="N1895" i="12" s="1"/>
  <c r="N1896" i="12" s="1"/>
  <c r="N1897" i="12" s="1"/>
  <c r="N1898" i="12" s="1"/>
  <c r="N1899" i="12" s="1"/>
  <c r="N1900" i="12" s="1"/>
  <c r="N1901" i="12" s="1"/>
  <c r="N1902" i="12" s="1"/>
  <c r="N1903" i="12" s="1"/>
  <c r="N1904" i="12" s="1"/>
  <c r="N1905" i="12" s="1"/>
  <c r="N1906" i="12" s="1"/>
  <c r="N1907" i="12" s="1"/>
  <c r="N1908" i="12" s="1"/>
  <c r="N1909" i="12" s="1"/>
  <c r="N1910" i="12" s="1"/>
  <c r="N1911" i="12" s="1"/>
  <c r="N1912" i="12" s="1"/>
  <c r="N1913" i="12" s="1"/>
  <c r="N1914" i="12" s="1"/>
  <c r="N1915" i="12" s="1"/>
  <c r="N1916" i="12" s="1"/>
  <c r="N1917" i="12" s="1"/>
  <c r="N1918" i="12" s="1"/>
  <c r="N1919" i="12" s="1"/>
  <c r="N1920" i="12" s="1"/>
  <c r="N1921" i="12" s="1"/>
  <c r="N1922" i="12" s="1"/>
  <c r="N1923" i="12" s="1"/>
  <c r="N1924" i="12" s="1"/>
  <c r="N1925" i="12" s="1"/>
  <c r="N1926" i="12" s="1"/>
  <c r="N1927" i="12" s="1"/>
  <c r="N1928" i="12" s="1"/>
  <c r="N1929" i="12" s="1"/>
  <c r="N1930" i="12" s="1"/>
  <c r="N1931" i="12" s="1"/>
  <c r="N1932" i="12" s="1"/>
  <c r="N1933" i="12" s="1"/>
  <c r="N1934" i="12" s="1"/>
  <c r="N1935" i="12" s="1"/>
  <c r="N1936" i="12" s="1"/>
  <c r="N1937" i="12" s="1"/>
  <c r="N1938" i="12" s="1"/>
  <c r="N1939" i="12" s="1"/>
  <c r="N1940" i="12" s="1"/>
  <c r="N1941" i="12" s="1"/>
  <c r="N1942" i="12" s="1"/>
  <c r="N1943" i="12" s="1"/>
  <c r="N1944" i="12" s="1"/>
  <c r="N1945" i="12" s="1"/>
  <c r="N1946" i="12" s="1"/>
  <c r="N1947" i="12" s="1"/>
  <c r="N1948" i="12" s="1"/>
  <c r="N1949" i="12" s="1"/>
  <c r="N1950" i="12" s="1"/>
  <c r="N1951" i="12" s="1"/>
  <c r="N1952" i="12" s="1"/>
  <c r="N1953" i="12" s="1"/>
  <c r="N1954" i="12" s="1"/>
  <c r="N1955" i="12" s="1"/>
  <c r="N1956" i="12" s="1"/>
  <c r="N1957" i="12" s="1"/>
  <c r="N1958" i="12" s="1"/>
  <c r="N1959" i="12" s="1"/>
  <c r="N1960" i="12" s="1"/>
  <c r="N1961" i="12" s="1"/>
  <c r="N1962" i="12" s="1"/>
  <c r="N1963" i="12" s="1"/>
  <c r="N1964" i="12" s="1"/>
  <c r="N1965" i="12" s="1"/>
  <c r="N1966" i="12" s="1"/>
  <c r="N1967" i="12" s="1"/>
  <c r="N1968" i="12" s="1"/>
  <c r="N1969" i="12" s="1"/>
  <c r="N1970" i="12" s="1"/>
  <c r="N1971" i="12" s="1"/>
  <c r="N1972" i="12" s="1"/>
  <c r="N1973" i="12" s="1"/>
  <c r="N1974" i="12" s="1"/>
  <c r="N1975" i="12" s="1"/>
  <c r="N1976" i="12" s="1"/>
  <c r="N1977" i="12" s="1"/>
  <c r="N1978" i="12" s="1"/>
  <c r="N1979" i="12" s="1"/>
  <c r="N1980" i="12" s="1"/>
  <c r="N1981" i="12" s="1"/>
  <c r="N1982" i="12" s="1"/>
  <c r="N1983" i="12" s="1"/>
  <c r="N1984" i="12" s="1"/>
  <c r="N1985" i="12" s="1"/>
  <c r="N1986" i="12" s="1"/>
  <c r="N1987" i="12" s="1"/>
  <c r="N1988" i="12" s="1"/>
  <c r="N1989" i="12" s="1"/>
  <c r="N1990" i="12" s="1"/>
  <c r="N1991" i="12" s="1"/>
  <c r="N1992" i="12" s="1"/>
  <c r="N1993" i="12" s="1"/>
  <c r="N1994" i="12" s="1"/>
  <c r="N1995" i="12" s="1"/>
  <c r="N1996" i="12" s="1"/>
  <c r="N1997" i="12" s="1"/>
  <c r="N1998" i="12" s="1"/>
  <c r="N1999" i="12" s="1"/>
  <c r="N2000" i="12" s="1"/>
  <c r="N2001" i="12" s="1"/>
  <c r="N2002" i="12" s="1"/>
  <c r="N2003" i="12" s="1"/>
  <c r="N2004" i="12" s="1"/>
  <c r="N2005" i="12" s="1"/>
  <c r="N2006" i="12" s="1"/>
  <c r="N2007" i="12" s="1"/>
  <c r="N2008" i="12" s="1"/>
  <c r="N2009" i="12" s="1"/>
  <c r="N2010" i="12" s="1"/>
  <c r="N2011" i="12" s="1"/>
  <c r="N2012" i="12" s="1"/>
  <c r="N2013" i="12" s="1"/>
  <c r="N2014" i="12" s="1"/>
  <c r="N2015" i="12" s="1"/>
  <c r="N2016" i="12" s="1"/>
  <c r="N2017" i="12" s="1"/>
  <c r="N2018" i="12" s="1"/>
  <c r="N2019" i="12" s="1"/>
  <c r="N2020" i="12" s="1"/>
  <c r="N2021" i="12" s="1"/>
  <c r="N2022" i="12" s="1"/>
  <c r="N2023" i="12" s="1"/>
  <c r="N2024" i="12" s="1"/>
  <c r="N2025" i="12" s="1"/>
  <c r="N2026" i="12" s="1"/>
  <c r="N2027" i="12" s="1"/>
  <c r="N2028" i="12" s="1"/>
  <c r="N2029" i="12" s="1"/>
  <c r="N2030" i="12" s="1"/>
  <c r="N2031" i="12" s="1"/>
  <c r="N2032" i="12" s="1"/>
  <c r="N2033" i="12" s="1"/>
  <c r="N2034" i="12" s="1"/>
  <c r="N2035" i="12" s="1"/>
  <c r="N2036" i="12" s="1"/>
  <c r="N2037" i="12" s="1"/>
  <c r="N2038" i="12" s="1"/>
  <c r="N2039" i="12" s="1"/>
  <c r="N2040" i="12" s="1"/>
  <c r="N2041" i="12" s="1"/>
  <c r="N2042" i="12" s="1"/>
  <c r="N2043" i="12" s="1"/>
  <c r="N2044" i="12" s="1"/>
  <c r="N2045" i="12" s="1"/>
  <c r="N2046" i="12" s="1"/>
  <c r="N2047" i="12" s="1"/>
  <c r="N2048" i="12" s="1"/>
  <c r="N2049" i="12" s="1"/>
  <c r="N2050" i="12" s="1"/>
  <c r="N2051" i="12" s="1"/>
  <c r="N2052" i="12" s="1"/>
  <c r="N2053" i="12" s="1"/>
  <c r="N2054" i="12" s="1"/>
  <c r="N2055" i="12" s="1"/>
  <c r="N2056" i="12" s="1"/>
  <c r="N2057" i="12" s="1"/>
  <c r="N2058" i="12" s="1"/>
  <c r="N2059" i="12" s="1"/>
  <c r="N2060" i="12" s="1"/>
  <c r="N2061" i="12" s="1"/>
  <c r="N2062" i="12" s="1"/>
  <c r="N2063" i="12" s="1"/>
  <c r="N2064" i="12" s="1"/>
  <c r="N2065" i="12" s="1"/>
  <c r="N2066" i="12" s="1"/>
  <c r="N2067" i="12" s="1"/>
  <c r="N2068" i="12" s="1"/>
  <c r="N2069" i="12" s="1"/>
  <c r="N2070" i="12" s="1"/>
  <c r="N2071" i="12" s="1"/>
  <c r="N2072" i="12" s="1"/>
  <c r="N2073" i="12" s="1"/>
  <c r="N2074" i="12" s="1"/>
  <c r="N2075" i="12" s="1"/>
  <c r="N2076" i="12" s="1"/>
  <c r="N2077" i="12" s="1"/>
  <c r="N2078" i="12" s="1"/>
  <c r="N2079" i="12" s="1"/>
  <c r="N2080" i="12" s="1"/>
  <c r="N2081" i="12" s="1"/>
  <c r="N2082" i="12" s="1"/>
  <c r="N2083" i="12" s="1"/>
  <c r="N2084" i="12" s="1"/>
  <c r="N2085" i="12" s="1"/>
  <c r="N2086" i="12" s="1"/>
  <c r="N2087" i="12" s="1"/>
  <c r="N2088" i="12" s="1"/>
  <c r="N2089" i="12" s="1"/>
  <c r="N2090" i="12" s="1"/>
  <c r="N2091" i="12" s="1"/>
  <c r="N2092" i="12" s="1"/>
  <c r="N2093" i="12" s="1"/>
  <c r="N2094" i="12" s="1"/>
  <c r="N2095" i="12" s="1"/>
  <c r="N2096" i="12" s="1"/>
  <c r="N2097" i="12" s="1"/>
  <c r="N2098" i="12" s="1"/>
  <c r="N2099" i="12" s="1"/>
  <c r="N2100" i="12" s="1"/>
  <c r="N2101" i="12" s="1"/>
  <c r="N2102" i="12" s="1"/>
  <c r="N2103" i="12" s="1"/>
  <c r="N2104" i="12" s="1"/>
  <c r="N2105" i="12" s="1"/>
  <c r="N2106" i="12" s="1"/>
  <c r="N2107" i="12" s="1"/>
  <c r="N2108" i="12" s="1"/>
  <c r="N2109" i="12" s="1"/>
  <c r="N2110" i="12" s="1"/>
  <c r="N2111" i="12" s="1"/>
  <c r="N2112" i="12" s="1"/>
  <c r="N2113" i="12" s="1"/>
  <c r="N2114" i="12" s="1"/>
  <c r="N2115" i="12" s="1"/>
  <c r="N2116" i="12" s="1"/>
  <c r="N2117" i="12" s="1"/>
  <c r="N2118" i="12" s="1"/>
  <c r="N2119" i="12" s="1"/>
  <c r="N2120" i="12" s="1"/>
  <c r="N2121" i="12" s="1"/>
  <c r="N2122" i="12" s="1"/>
  <c r="N2123" i="12" s="1"/>
  <c r="N2124" i="12" s="1"/>
  <c r="N2125" i="12" s="1"/>
  <c r="N2126" i="12" s="1"/>
  <c r="N2127" i="12" s="1"/>
  <c r="N2128" i="12" s="1"/>
  <c r="N2129" i="12" s="1"/>
  <c r="N2130" i="12" s="1"/>
  <c r="N2131" i="12" s="1"/>
  <c r="N2132" i="12" s="1"/>
  <c r="N2133" i="12" s="1"/>
  <c r="N2134" i="12" s="1"/>
  <c r="N2135" i="12" s="1"/>
  <c r="N2136" i="12" s="1"/>
  <c r="N2137" i="12" s="1"/>
  <c r="N2138" i="12" s="1"/>
  <c r="N2139" i="12" s="1"/>
  <c r="N2140" i="12" s="1"/>
  <c r="N2141" i="12" s="1"/>
  <c r="N2142" i="12" s="1"/>
  <c r="N2143" i="12" s="1"/>
  <c r="N2144" i="12" s="1"/>
  <c r="N2145" i="12" s="1"/>
  <c r="N2146" i="12" s="1"/>
  <c r="N2147" i="12" s="1"/>
  <c r="N2148" i="12" s="1"/>
  <c r="N2149" i="12" s="1"/>
  <c r="N2150" i="12" s="1"/>
  <c r="N2151" i="12" s="1"/>
  <c r="N2152" i="12" s="1"/>
  <c r="N2153" i="12" s="1"/>
  <c r="N2154" i="12" s="1"/>
  <c r="N2155" i="12" s="1"/>
  <c r="N2156" i="12" s="1"/>
  <c r="N2157" i="12" s="1"/>
  <c r="N2158" i="12" s="1"/>
  <c r="N2159" i="12" s="1"/>
  <c r="N2160" i="12" s="1"/>
  <c r="N2161" i="12" s="1"/>
  <c r="N2162" i="12" s="1"/>
  <c r="N2163" i="12" s="1"/>
  <c r="N2164" i="12" s="1"/>
  <c r="N2165" i="12" s="1"/>
  <c r="N2166" i="12" s="1"/>
  <c r="N2167" i="12" s="1"/>
  <c r="N2168" i="12" s="1"/>
  <c r="N2169" i="12" s="1"/>
  <c r="N2170" i="12" s="1"/>
  <c r="N2171" i="12" s="1"/>
  <c r="N2172" i="12" s="1"/>
  <c r="N2173" i="12" s="1"/>
  <c r="N2174" i="12" s="1"/>
  <c r="N2175" i="12" s="1"/>
  <c r="N2176" i="12" s="1"/>
  <c r="N2177" i="12" s="1"/>
  <c r="N2178" i="12" s="1"/>
  <c r="N2179" i="12" s="1"/>
  <c r="N2180" i="12" s="1"/>
  <c r="N2181" i="12" s="1"/>
  <c r="N2182" i="12" s="1"/>
  <c r="N2183" i="12" s="1"/>
  <c r="N2184" i="12" s="1"/>
  <c r="N2185" i="12" s="1"/>
  <c r="N2186" i="12" s="1"/>
  <c r="N2187" i="12" s="1"/>
  <c r="N2188" i="12" s="1"/>
  <c r="N2189" i="12" s="1"/>
  <c r="N2190" i="12" s="1"/>
  <c r="N2191" i="12" s="1"/>
  <c r="N2192" i="12" s="1"/>
  <c r="N2193" i="12" s="1"/>
  <c r="N2194" i="12" s="1"/>
  <c r="N2195" i="12" s="1"/>
  <c r="N2196" i="12" s="1"/>
  <c r="N2197" i="12" s="1"/>
  <c r="N2198" i="12" s="1"/>
  <c r="N2199" i="12" s="1"/>
  <c r="N2200" i="12" s="1"/>
  <c r="N2201" i="12" s="1"/>
  <c r="N2202" i="12" s="1"/>
  <c r="N2203" i="12" s="1"/>
  <c r="N2204" i="12" s="1"/>
  <c r="N2205" i="12" s="1"/>
  <c r="N2206" i="12" s="1"/>
  <c r="N2207" i="12" s="1"/>
  <c r="N2208" i="12" s="1"/>
  <c r="N2209" i="12" s="1"/>
  <c r="N2210" i="12" s="1"/>
  <c r="N2211" i="12" s="1"/>
  <c r="N2212" i="12" s="1"/>
  <c r="N2213" i="12" s="1"/>
  <c r="N2214" i="12" s="1"/>
  <c r="N2215" i="12" s="1"/>
  <c r="N2216" i="12" s="1"/>
  <c r="N2217" i="12" s="1"/>
  <c r="N2218" i="12" s="1"/>
  <c r="N2219" i="12" s="1"/>
  <c r="N2220" i="12" s="1"/>
  <c r="N2221" i="12" s="1"/>
  <c r="N2222" i="12" s="1"/>
  <c r="N2223" i="12" s="1"/>
  <c r="N2224" i="12" s="1"/>
  <c r="N2225" i="12" s="1"/>
  <c r="N2226" i="12" s="1"/>
  <c r="N2227" i="12" s="1"/>
  <c r="N2228" i="12" s="1"/>
  <c r="N2229" i="12" s="1"/>
  <c r="N2230" i="12" s="1"/>
  <c r="N2231" i="12" s="1"/>
  <c r="N2232" i="12" s="1"/>
  <c r="N2233" i="12" s="1"/>
  <c r="N2234" i="12" s="1"/>
  <c r="N2235" i="12" s="1"/>
  <c r="N2236" i="12" s="1"/>
  <c r="N2237" i="12" s="1"/>
  <c r="N2238" i="12" s="1"/>
  <c r="N2239" i="12" s="1"/>
  <c r="N2240" i="12" s="1"/>
  <c r="N2241" i="12" s="1"/>
  <c r="N2242" i="12" s="1"/>
  <c r="N2243" i="12" s="1"/>
  <c r="N2244" i="12" s="1"/>
  <c r="N2245" i="12" s="1"/>
  <c r="N2246" i="12" s="1"/>
  <c r="N2247" i="12" s="1"/>
  <c r="N2248" i="12" s="1"/>
  <c r="N2249" i="12" s="1"/>
  <c r="N2250" i="12" s="1"/>
  <c r="N2251" i="12" s="1"/>
  <c r="N2252" i="12" s="1"/>
  <c r="N2253" i="12" s="1"/>
  <c r="N2254" i="12" s="1"/>
  <c r="N2255" i="12" s="1"/>
  <c r="N2256" i="12" s="1"/>
  <c r="N2257" i="12" s="1"/>
  <c r="N2258" i="12" s="1"/>
  <c r="N2259" i="12" s="1"/>
  <c r="N2260" i="12" s="1"/>
  <c r="N2261" i="12" s="1"/>
  <c r="N2262" i="12" s="1"/>
  <c r="N2263" i="12" s="1"/>
  <c r="N2264" i="12" s="1"/>
  <c r="N2265" i="12" s="1"/>
  <c r="N2266" i="12" s="1"/>
  <c r="N2267" i="12" s="1"/>
  <c r="N2268" i="12" s="1"/>
  <c r="N2269" i="12" s="1"/>
  <c r="N2270" i="12" s="1"/>
  <c r="N2271" i="12" s="1"/>
  <c r="N2272" i="12" s="1"/>
  <c r="N2273" i="12" s="1"/>
  <c r="N2274" i="12" s="1"/>
  <c r="N2275" i="12" s="1"/>
  <c r="N2276" i="12" s="1"/>
  <c r="N2277" i="12" s="1"/>
  <c r="N2278" i="12" s="1"/>
  <c r="N2279" i="12" s="1"/>
  <c r="N2280" i="12" s="1"/>
  <c r="N2281" i="12" s="1"/>
  <c r="N2282" i="12" s="1"/>
  <c r="N2283" i="12" s="1"/>
  <c r="N2284" i="12" s="1"/>
  <c r="N2285" i="12" s="1"/>
  <c r="N2286" i="12" s="1"/>
  <c r="N2287" i="12" s="1"/>
  <c r="N2288" i="12" s="1"/>
  <c r="N2289" i="12" s="1"/>
  <c r="N2290" i="12" s="1"/>
  <c r="N2291" i="12" s="1"/>
  <c r="N2292" i="12" s="1"/>
  <c r="N2293" i="12" s="1"/>
  <c r="N2294" i="12" s="1"/>
  <c r="N2295" i="12" s="1"/>
  <c r="N2296" i="12" s="1"/>
  <c r="N2297" i="12" s="1"/>
  <c r="N2298" i="12" s="1"/>
  <c r="N2299" i="12" s="1"/>
  <c r="N2300" i="12" s="1"/>
  <c r="N2301" i="12" s="1"/>
  <c r="N2302" i="12" s="1"/>
  <c r="N2303" i="12" s="1"/>
  <c r="N2304" i="12" s="1"/>
  <c r="N2305" i="12" s="1"/>
  <c r="N2306" i="12" s="1"/>
  <c r="N2307" i="12" s="1"/>
  <c r="N2308" i="12" s="1"/>
  <c r="N2309" i="12" s="1"/>
  <c r="N2310" i="12" s="1"/>
  <c r="N2311" i="12" s="1"/>
  <c r="N2312" i="12" s="1"/>
  <c r="N2313" i="12" s="1"/>
  <c r="N2314" i="12" s="1"/>
  <c r="N2315" i="12" s="1"/>
  <c r="N2316" i="12" s="1"/>
  <c r="N2317" i="12" s="1"/>
  <c r="N2318" i="12" s="1"/>
  <c r="N2319" i="12" s="1"/>
  <c r="N2320" i="12" s="1"/>
  <c r="N2321" i="12" s="1"/>
  <c r="N2322" i="12" s="1"/>
  <c r="N2323" i="12" s="1"/>
  <c r="N2324" i="12" s="1"/>
  <c r="N2325" i="12" s="1"/>
  <c r="N2326" i="12" s="1"/>
  <c r="N2327" i="12" s="1"/>
  <c r="N2328" i="12" s="1"/>
  <c r="N2329" i="12" s="1"/>
  <c r="N2330" i="12" s="1"/>
  <c r="N2331" i="12" s="1"/>
  <c r="N2332" i="12" s="1"/>
  <c r="N2333" i="12" s="1"/>
  <c r="N2334" i="12" s="1"/>
  <c r="N2335" i="12" s="1"/>
  <c r="N2336" i="12" s="1"/>
  <c r="N2337" i="12" s="1"/>
  <c r="N2338" i="12" s="1"/>
  <c r="N2339" i="12" s="1"/>
  <c r="N2340" i="12" s="1"/>
  <c r="N2341" i="12" s="1"/>
  <c r="N2342" i="12" s="1"/>
  <c r="N2343" i="12" s="1"/>
  <c r="N2344" i="12" s="1"/>
  <c r="N2345" i="12" s="1"/>
  <c r="N2346" i="12" s="1"/>
  <c r="N2347" i="12" s="1"/>
  <c r="N2348" i="12" s="1"/>
  <c r="N2349" i="12" s="1"/>
  <c r="N2350" i="12" s="1"/>
  <c r="N2351" i="12" s="1"/>
  <c r="N2352" i="12" s="1"/>
  <c r="N2353" i="12" s="1"/>
  <c r="N2354" i="12" s="1"/>
  <c r="N2355" i="12" s="1"/>
  <c r="N2356" i="12" s="1"/>
  <c r="N2357" i="12" s="1"/>
  <c r="N2358" i="12" s="1"/>
  <c r="N2359" i="12" s="1"/>
  <c r="N2360" i="12" s="1"/>
  <c r="N2361" i="12" s="1"/>
  <c r="N2362" i="12" s="1"/>
  <c r="N2363" i="12" s="1"/>
  <c r="N2364" i="12" s="1"/>
  <c r="N2365" i="12" s="1"/>
  <c r="N2366" i="12" s="1"/>
  <c r="N2367" i="12" s="1"/>
  <c r="N2368" i="12" s="1"/>
  <c r="N2369" i="12" s="1"/>
  <c r="N2370" i="12" s="1"/>
  <c r="N2371" i="12" s="1"/>
  <c r="N2372" i="12" s="1"/>
  <c r="N2373" i="12" s="1"/>
  <c r="N2374" i="12" s="1"/>
  <c r="N2375" i="12" s="1"/>
  <c r="N2376" i="12" s="1"/>
  <c r="N2377" i="12" s="1"/>
  <c r="N2378" i="12" s="1"/>
  <c r="N2379" i="12" s="1"/>
  <c r="N2380" i="12" s="1"/>
  <c r="N2381" i="12" s="1"/>
  <c r="N2382" i="12" s="1"/>
  <c r="N2383" i="12" s="1"/>
  <c r="N2384" i="12" s="1"/>
  <c r="N2385" i="12" s="1"/>
  <c r="N2386" i="12" s="1"/>
  <c r="N2387" i="12" s="1"/>
  <c r="N2388" i="12" s="1"/>
  <c r="N2389" i="12" s="1"/>
  <c r="N2390" i="12" s="1"/>
  <c r="N2391" i="12" s="1"/>
  <c r="N2392" i="12" s="1"/>
  <c r="N2393" i="12" s="1"/>
  <c r="N2394" i="12" s="1"/>
  <c r="N2395" i="12" s="1"/>
  <c r="N2396" i="12" s="1"/>
  <c r="N2397" i="12" s="1"/>
  <c r="N2398" i="12" s="1"/>
  <c r="N2399" i="12" s="1"/>
  <c r="N2400" i="12" s="1"/>
  <c r="N2401" i="12" s="1"/>
  <c r="N2402" i="12" s="1"/>
  <c r="N2403" i="12" s="1"/>
  <c r="N2404" i="12" s="1"/>
  <c r="N2405" i="12" s="1"/>
  <c r="N2406" i="12" s="1"/>
  <c r="N2407" i="12" s="1"/>
  <c r="N2408" i="12" s="1"/>
  <c r="N2409" i="12" s="1"/>
  <c r="N2410" i="12" s="1"/>
  <c r="N2411" i="12" s="1"/>
  <c r="N2412" i="12" s="1"/>
  <c r="N2413" i="12" s="1"/>
  <c r="N2414" i="12" s="1"/>
  <c r="N2415" i="12" s="1"/>
  <c r="N2416" i="12" s="1"/>
  <c r="N2417" i="12" s="1"/>
  <c r="N2418" i="12" s="1"/>
  <c r="N2419" i="12" s="1"/>
  <c r="N2420" i="12" s="1"/>
  <c r="N2421" i="12" s="1"/>
  <c r="N2422" i="12" s="1"/>
  <c r="N2423" i="12" s="1"/>
  <c r="N2424" i="12" s="1"/>
  <c r="N2425" i="12" s="1"/>
  <c r="N2426" i="12" s="1"/>
  <c r="N2427" i="12" s="1"/>
  <c r="N2428" i="12" s="1"/>
  <c r="N2429" i="12" s="1"/>
  <c r="N2430" i="12" s="1"/>
  <c r="N2431" i="12" s="1"/>
  <c r="N2432" i="12" s="1"/>
  <c r="N2433" i="12" s="1"/>
  <c r="N2434" i="12" s="1"/>
  <c r="N2435" i="12" s="1"/>
  <c r="N2436" i="12" s="1"/>
  <c r="N2437" i="12" s="1"/>
  <c r="N2438" i="12" s="1"/>
  <c r="N2439" i="12" s="1"/>
  <c r="N2440" i="12" s="1"/>
  <c r="N2441" i="12" s="1"/>
  <c r="N2442" i="12" s="1"/>
  <c r="N2443" i="12" s="1"/>
  <c r="N2444" i="12" s="1"/>
  <c r="N2445" i="12" s="1"/>
  <c r="N2446" i="12" s="1"/>
  <c r="N2447" i="12" s="1"/>
  <c r="N2448" i="12" s="1"/>
  <c r="N2449" i="12" s="1"/>
  <c r="N2450" i="12" s="1"/>
  <c r="N2451" i="12" s="1"/>
  <c r="N2452" i="12" s="1"/>
  <c r="N2453" i="12" s="1"/>
  <c r="N2454" i="12" s="1"/>
  <c r="N2455" i="12" s="1"/>
  <c r="N2456" i="12" s="1"/>
  <c r="N2457" i="12" s="1"/>
  <c r="N2458" i="12" s="1"/>
  <c r="N2459" i="12" s="1"/>
  <c r="N2460" i="12" s="1"/>
  <c r="N2461" i="12" s="1"/>
  <c r="N2462" i="12" s="1"/>
  <c r="N2463" i="12" s="1"/>
  <c r="N2464" i="12" s="1"/>
  <c r="N2465" i="12" s="1"/>
  <c r="N2466" i="12" s="1"/>
  <c r="N2467" i="12" s="1"/>
  <c r="N2468" i="12" s="1"/>
  <c r="N2469" i="12" s="1"/>
  <c r="N2470" i="12" s="1"/>
  <c r="N2471" i="12" s="1"/>
  <c r="N2472" i="12" s="1"/>
  <c r="N2473" i="12" s="1"/>
  <c r="N2474" i="12" s="1"/>
  <c r="N2475" i="12" s="1"/>
  <c r="N2476" i="12" s="1"/>
  <c r="N2477" i="12" s="1"/>
  <c r="N2478" i="12" s="1"/>
  <c r="N2479" i="12" s="1"/>
  <c r="N2480" i="12" s="1"/>
  <c r="N2481" i="12" s="1"/>
  <c r="N2482" i="12" s="1"/>
  <c r="N2483" i="12" s="1"/>
  <c r="N2484" i="12" s="1"/>
  <c r="N2485" i="12" s="1"/>
  <c r="N2486" i="12" s="1"/>
  <c r="N2487" i="12" s="1"/>
  <c r="N2488" i="12" s="1"/>
  <c r="N2489" i="12" s="1"/>
  <c r="N2490" i="12" s="1"/>
  <c r="N2491" i="12" s="1"/>
  <c r="N2492" i="12" s="1"/>
  <c r="N2493" i="12" s="1"/>
  <c r="N2494" i="12" s="1"/>
  <c r="N2495" i="12" s="1"/>
  <c r="N2496" i="12" s="1"/>
  <c r="N2497" i="12" s="1"/>
  <c r="N2498" i="12" s="1"/>
  <c r="N2499" i="12" s="1"/>
  <c r="N2500" i="12" s="1"/>
  <c r="N2501" i="12" s="1"/>
  <c r="N2502" i="12" s="1"/>
  <c r="N2503" i="12" s="1"/>
  <c r="N2504" i="12" s="1"/>
  <c r="N2505" i="12" s="1"/>
  <c r="N2506" i="12" s="1"/>
  <c r="N2507" i="12" s="1"/>
  <c r="N2508" i="12" s="1"/>
  <c r="N2509" i="12" s="1"/>
  <c r="N2510" i="12" s="1"/>
  <c r="N2511" i="12" s="1"/>
  <c r="N2512" i="12" s="1"/>
  <c r="N2513" i="12" s="1"/>
  <c r="N2514" i="12" s="1"/>
  <c r="N2515" i="12" s="1"/>
  <c r="N2516" i="12" s="1"/>
  <c r="N2517" i="12" s="1"/>
  <c r="N2518" i="12" s="1"/>
  <c r="N2519" i="12" s="1"/>
  <c r="N2520" i="12" s="1"/>
  <c r="N2521" i="12" s="1"/>
  <c r="N2522" i="12" s="1"/>
  <c r="N2523" i="12" s="1"/>
  <c r="N2524" i="12" s="1"/>
  <c r="N2525" i="12" s="1"/>
  <c r="N2526" i="12" s="1"/>
  <c r="N2527" i="12" s="1"/>
  <c r="N2528" i="12" s="1"/>
  <c r="N2529" i="12" s="1"/>
  <c r="N2530" i="12" s="1"/>
  <c r="N2531" i="12" s="1"/>
  <c r="N2532" i="12" s="1"/>
  <c r="N2533" i="12" s="1"/>
  <c r="N2534" i="12" s="1"/>
  <c r="N2535" i="12" s="1"/>
  <c r="N2536" i="12" s="1"/>
  <c r="N2537" i="12" s="1"/>
  <c r="N2538" i="12" s="1"/>
  <c r="N2539" i="12" s="1"/>
  <c r="N2540" i="12" s="1"/>
  <c r="N2541" i="12" s="1"/>
  <c r="N2542" i="12" s="1"/>
  <c r="N2543" i="12" s="1"/>
  <c r="N2544" i="12" s="1"/>
  <c r="N2545" i="12" s="1"/>
  <c r="N2546" i="12" s="1"/>
  <c r="N2547" i="12" s="1"/>
  <c r="N2548" i="12" s="1"/>
  <c r="N2549" i="12" s="1"/>
  <c r="N2550" i="12" s="1"/>
  <c r="N2551" i="12" s="1"/>
  <c r="N2552" i="12" s="1"/>
  <c r="N2553" i="12" s="1"/>
  <c r="N2554" i="12" s="1"/>
  <c r="N2555" i="12" s="1"/>
  <c r="N2556" i="12" s="1"/>
  <c r="N2557" i="12" s="1"/>
  <c r="N2558" i="12" s="1"/>
  <c r="N2559" i="12" s="1"/>
  <c r="N2560" i="12" s="1"/>
  <c r="N2561" i="12" s="1"/>
  <c r="N2562" i="12" s="1"/>
  <c r="N2563" i="12" s="1"/>
  <c r="N2564" i="12" s="1"/>
  <c r="N2565" i="12" s="1"/>
  <c r="N2566" i="12" s="1"/>
  <c r="N2567" i="12" s="1"/>
  <c r="N2568" i="12" s="1"/>
  <c r="N2569" i="12" s="1"/>
  <c r="N2570" i="12" s="1"/>
  <c r="N2571" i="12" s="1"/>
  <c r="N2572" i="12" s="1"/>
  <c r="N2573" i="12" s="1"/>
  <c r="N2574" i="12" s="1"/>
  <c r="N2575" i="12" s="1"/>
  <c r="N2576" i="12" s="1"/>
  <c r="N2577" i="12" s="1"/>
  <c r="N2578" i="12" s="1"/>
  <c r="N2579" i="12" s="1"/>
  <c r="N2580" i="12" s="1"/>
  <c r="N2581" i="12" s="1"/>
  <c r="N2582" i="12" s="1"/>
  <c r="N2583" i="12" s="1"/>
  <c r="N2584" i="12" s="1"/>
  <c r="N2585" i="12" s="1"/>
  <c r="N2586" i="12" s="1"/>
  <c r="N2587" i="12" s="1"/>
  <c r="N2588" i="12" s="1"/>
  <c r="N2589" i="12" s="1"/>
  <c r="N2590" i="12" s="1"/>
  <c r="N2591" i="12" s="1"/>
  <c r="N2592" i="12" s="1"/>
  <c r="N2593" i="12" s="1"/>
  <c r="N2594" i="12" s="1"/>
  <c r="N2595" i="12" s="1"/>
  <c r="N2596" i="12" s="1"/>
  <c r="N2597" i="12" s="1"/>
  <c r="N2598" i="12" s="1"/>
  <c r="N2599" i="12" s="1"/>
  <c r="N2600" i="12" s="1"/>
  <c r="N2601" i="12" s="1"/>
  <c r="N2602" i="12" s="1"/>
  <c r="N2603" i="12" s="1"/>
  <c r="N2604" i="12" s="1"/>
  <c r="N2605" i="12" s="1"/>
  <c r="N2606" i="12" s="1"/>
  <c r="N2607" i="12" s="1"/>
  <c r="N2608" i="12" s="1"/>
  <c r="N2609" i="12" s="1"/>
  <c r="N2610" i="12" s="1"/>
  <c r="N2611" i="12" s="1"/>
  <c r="N2612" i="12" s="1"/>
  <c r="N2613" i="12" s="1"/>
  <c r="N2614" i="12" s="1"/>
  <c r="N2615" i="12" s="1"/>
  <c r="N2616" i="12" s="1"/>
  <c r="N2617" i="12" s="1"/>
  <c r="N2618" i="12" s="1"/>
  <c r="N2619" i="12" s="1"/>
  <c r="N2620" i="12" s="1"/>
  <c r="N2621" i="12" s="1"/>
  <c r="N2622" i="12" s="1"/>
  <c r="N2623" i="12" s="1"/>
  <c r="N2624" i="12" s="1"/>
  <c r="N2625" i="12" s="1"/>
  <c r="N2626" i="12" s="1"/>
  <c r="N2627" i="12" s="1"/>
  <c r="N2628" i="12" s="1"/>
  <c r="N2629" i="12" s="1"/>
  <c r="N2630" i="12" s="1"/>
  <c r="N2631" i="12" s="1"/>
  <c r="N2632" i="12" s="1"/>
  <c r="N2633" i="12" s="1"/>
  <c r="N2634" i="12" s="1"/>
  <c r="N2635" i="12" s="1"/>
  <c r="N2636" i="12" s="1"/>
  <c r="N2637" i="12" s="1"/>
  <c r="N2638" i="12" s="1"/>
  <c r="N2639" i="12" s="1"/>
  <c r="N2640" i="12" s="1"/>
  <c r="N2641" i="12" s="1"/>
  <c r="N2642" i="12" s="1"/>
  <c r="N2643" i="12" s="1"/>
  <c r="N2644" i="12" s="1"/>
  <c r="N2645" i="12" s="1"/>
  <c r="N2646" i="12" s="1"/>
  <c r="N2647" i="12" s="1"/>
  <c r="N2648" i="12" s="1"/>
  <c r="N2649" i="12" s="1"/>
  <c r="N2650" i="12" s="1"/>
  <c r="N2651" i="12" s="1"/>
  <c r="N2652" i="12" s="1"/>
  <c r="N2653" i="12" s="1"/>
  <c r="N2654" i="12" s="1"/>
  <c r="N2655" i="12" s="1"/>
  <c r="N2656" i="12" s="1"/>
  <c r="N2657" i="12" s="1"/>
  <c r="N2658" i="12" s="1"/>
  <c r="N2659" i="12" s="1"/>
  <c r="N2660" i="12" s="1"/>
  <c r="N2661" i="12" s="1"/>
  <c r="N2662" i="12" s="1"/>
  <c r="N2663" i="12" s="1"/>
  <c r="N2664" i="12" s="1"/>
  <c r="N2665" i="12" s="1"/>
  <c r="N2666" i="12" s="1"/>
  <c r="N2667" i="12" s="1"/>
  <c r="N2668" i="12" s="1"/>
  <c r="N2669" i="12" s="1"/>
  <c r="N2670" i="12" s="1"/>
  <c r="N2671" i="12" s="1"/>
  <c r="N2672" i="12" s="1"/>
  <c r="N2673" i="12" s="1"/>
  <c r="N2674" i="12" s="1"/>
  <c r="N2675" i="12" s="1"/>
  <c r="N2676" i="12" s="1"/>
  <c r="N2677" i="12" s="1"/>
  <c r="N2678" i="12" s="1"/>
  <c r="N2679" i="12" s="1"/>
  <c r="N2680" i="12" s="1"/>
  <c r="N2681" i="12" s="1"/>
  <c r="N2682" i="12" s="1"/>
  <c r="N2683" i="12" s="1"/>
  <c r="N2684" i="12" s="1"/>
  <c r="N2685" i="12" s="1"/>
  <c r="N2686" i="12" s="1"/>
  <c r="N2687" i="12" s="1"/>
  <c r="N2688" i="12" s="1"/>
  <c r="N2689" i="12" s="1"/>
  <c r="N2690" i="12" s="1"/>
  <c r="N2691" i="12" s="1"/>
  <c r="N2692" i="12" s="1"/>
  <c r="N2693" i="12" s="1"/>
  <c r="N2694" i="12" s="1"/>
  <c r="N2695" i="12" s="1"/>
  <c r="N2696" i="12" s="1"/>
  <c r="N2697" i="12" s="1"/>
  <c r="N2698" i="12" s="1"/>
  <c r="N2699" i="12" s="1"/>
  <c r="N2700" i="12" s="1"/>
  <c r="N2701" i="12" s="1"/>
  <c r="N2702" i="12" s="1"/>
  <c r="N2703" i="12" s="1"/>
  <c r="N2704" i="12" s="1"/>
  <c r="N2705" i="12" s="1"/>
  <c r="N2706" i="12" s="1"/>
  <c r="N2707" i="12" s="1"/>
  <c r="N2708" i="12" s="1"/>
  <c r="N2709" i="12" s="1"/>
  <c r="N2710" i="12" s="1"/>
  <c r="N2711" i="12" s="1"/>
  <c r="N2712" i="12" s="1"/>
  <c r="N2713" i="12" s="1"/>
  <c r="N2714" i="12" s="1"/>
  <c r="N2715" i="12" s="1"/>
  <c r="N2716" i="12" s="1"/>
  <c r="N2717" i="12" s="1"/>
  <c r="N2718" i="12" s="1"/>
  <c r="N2719" i="12" s="1"/>
  <c r="N2720" i="12" s="1"/>
  <c r="N2721" i="12" s="1"/>
  <c r="N2722" i="12" s="1"/>
  <c r="N2723" i="12" s="1"/>
  <c r="N2724" i="12" s="1"/>
  <c r="N2725" i="12" s="1"/>
  <c r="N2726" i="12" s="1"/>
  <c r="N2727" i="12" s="1"/>
  <c r="N2728" i="12" s="1"/>
  <c r="N2729" i="12" s="1"/>
  <c r="N2730" i="12" s="1"/>
  <c r="N2731" i="12" s="1"/>
  <c r="N2732" i="12" s="1"/>
  <c r="N2733" i="12" s="1"/>
  <c r="N2734" i="12" s="1"/>
  <c r="N2735" i="12" s="1"/>
  <c r="N2736" i="12" s="1"/>
  <c r="N2737" i="12" s="1"/>
  <c r="N2738" i="12" s="1"/>
  <c r="N2739" i="12" s="1"/>
  <c r="N2740" i="12" s="1"/>
  <c r="N2741" i="12" s="1"/>
  <c r="N2742" i="12" s="1"/>
  <c r="N2743" i="12" s="1"/>
  <c r="N2744" i="12" s="1"/>
  <c r="N2745" i="12" s="1"/>
  <c r="N2746" i="12" s="1"/>
  <c r="N2747" i="12" s="1"/>
  <c r="N2748" i="12" s="1"/>
  <c r="N2749" i="12" s="1"/>
  <c r="N2750" i="12" s="1"/>
  <c r="N2751" i="12" s="1"/>
  <c r="N2752" i="12" s="1"/>
  <c r="N2753" i="12" s="1"/>
  <c r="N2754" i="12" s="1"/>
  <c r="N2755" i="12" s="1"/>
  <c r="N2756" i="12" s="1"/>
  <c r="N2757" i="12" s="1"/>
  <c r="N2758" i="12" s="1"/>
  <c r="N2759" i="12" s="1"/>
  <c r="N2760" i="12" s="1"/>
  <c r="N2761" i="12" s="1"/>
  <c r="N2762" i="12" s="1"/>
  <c r="N2763" i="12" s="1"/>
  <c r="N2764" i="12" s="1"/>
  <c r="N2765" i="12" s="1"/>
  <c r="N2766" i="12" s="1"/>
  <c r="N2767" i="12" s="1"/>
  <c r="N2768" i="12" s="1"/>
  <c r="N2769" i="12" s="1"/>
  <c r="N2770" i="12" s="1"/>
  <c r="N2771" i="12" s="1"/>
  <c r="N2772" i="12" s="1"/>
  <c r="N2773" i="12" s="1"/>
  <c r="N2774" i="12" s="1"/>
  <c r="N2775" i="12" s="1"/>
  <c r="N2776" i="12" s="1"/>
  <c r="N2777" i="12" s="1"/>
  <c r="N2778" i="12" s="1"/>
  <c r="N2779" i="12" s="1"/>
  <c r="N2780" i="12" s="1"/>
  <c r="N2781" i="12" s="1"/>
  <c r="N2782" i="12" s="1"/>
  <c r="N2783" i="12" s="1"/>
  <c r="N2784" i="12" s="1"/>
  <c r="N2785" i="12" s="1"/>
  <c r="N2786" i="12" s="1"/>
  <c r="N2787" i="12" s="1"/>
  <c r="N2788" i="12" s="1"/>
  <c r="N2789" i="12" s="1"/>
  <c r="N2790" i="12" s="1"/>
  <c r="N2791" i="12" s="1"/>
  <c r="N2792" i="12" s="1"/>
  <c r="N2793" i="12" s="1"/>
  <c r="N2794" i="12" s="1"/>
  <c r="N2795" i="12" s="1"/>
  <c r="N2796" i="12" s="1"/>
  <c r="N2797" i="12" s="1"/>
  <c r="N2798" i="12" s="1"/>
  <c r="N2799" i="12" s="1"/>
  <c r="N2800" i="12" s="1"/>
  <c r="N2801" i="12" s="1"/>
  <c r="N2802" i="12" s="1"/>
  <c r="N2803" i="12" s="1"/>
  <c r="N2804" i="12" s="1"/>
  <c r="N2805" i="12" s="1"/>
  <c r="N2806" i="12" s="1"/>
  <c r="N2807" i="12" s="1"/>
  <c r="N2808" i="12" s="1"/>
  <c r="N2809" i="12" s="1"/>
  <c r="N2810" i="12" s="1"/>
  <c r="N2811" i="12" s="1"/>
  <c r="N2812" i="12" s="1"/>
  <c r="N2813" i="12" s="1"/>
  <c r="N2814" i="12" s="1"/>
  <c r="N2815" i="12" s="1"/>
  <c r="N2816" i="12" s="1"/>
  <c r="N2817" i="12" s="1"/>
  <c r="N2818" i="12" s="1"/>
  <c r="N2819" i="12" s="1"/>
  <c r="N2820" i="12" s="1"/>
  <c r="N2821" i="12" s="1"/>
  <c r="N2822" i="12" s="1"/>
  <c r="N2823" i="12" s="1"/>
  <c r="N2824" i="12" s="1"/>
  <c r="N2825" i="12" s="1"/>
  <c r="N2826" i="12" s="1"/>
  <c r="N2827" i="12" s="1"/>
  <c r="N2828" i="12" s="1"/>
  <c r="N2829" i="12" s="1"/>
  <c r="N2830" i="12" s="1"/>
  <c r="N2831" i="12" s="1"/>
  <c r="N2832" i="12" s="1"/>
  <c r="N2833" i="12" s="1"/>
  <c r="N2834" i="12" s="1"/>
  <c r="N2835" i="12" s="1"/>
  <c r="N2836" i="12" s="1"/>
  <c r="N2837" i="12" s="1"/>
  <c r="N2838" i="12" s="1"/>
  <c r="N2839" i="12" s="1"/>
  <c r="N2840" i="12" s="1"/>
  <c r="N2841" i="12" s="1"/>
  <c r="N2842" i="12" s="1"/>
  <c r="N2843" i="12" s="1"/>
  <c r="N2844" i="12" s="1"/>
  <c r="N2845" i="12" s="1"/>
  <c r="N2846" i="12" s="1"/>
  <c r="N2847" i="12" s="1"/>
  <c r="N2848" i="12" s="1"/>
  <c r="N2849" i="12" s="1"/>
  <c r="N2850" i="12" s="1"/>
  <c r="N2851" i="12" s="1"/>
  <c r="N2852" i="12" s="1"/>
  <c r="N2853" i="12" s="1"/>
  <c r="N2854" i="12" s="1"/>
  <c r="N2855" i="12" s="1"/>
  <c r="N2856" i="12" s="1"/>
  <c r="N2857" i="12" s="1"/>
  <c r="N2858" i="12" s="1"/>
  <c r="N2859" i="12" s="1"/>
  <c r="N2860" i="12" s="1"/>
  <c r="N2861" i="12" s="1"/>
  <c r="N2862" i="12" s="1"/>
  <c r="N2863" i="12" s="1"/>
  <c r="N2864" i="12" s="1"/>
  <c r="N2865" i="12" s="1"/>
  <c r="N2866" i="12" s="1"/>
  <c r="N2867" i="12" s="1"/>
  <c r="N2868" i="12" s="1"/>
  <c r="N2869" i="12" s="1"/>
  <c r="N2870" i="12" s="1"/>
  <c r="N2871" i="12" s="1"/>
  <c r="N2872" i="12" s="1"/>
  <c r="N2873" i="12" s="1"/>
  <c r="N2874" i="12" s="1"/>
  <c r="N2875" i="12" s="1"/>
  <c r="N2876" i="12" s="1"/>
  <c r="N2877" i="12" s="1"/>
  <c r="N2878" i="12" s="1"/>
  <c r="N2879" i="12" s="1"/>
  <c r="N2880" i="12" s="1"/>
  <c r="N2881" i="12" s="1"/>
  <c r="N2882" i="12" s="1"/>
  <c r="N2883" i="12" s="1"/>
  <c r="N2884" i="12" s="1"/>
  <c r="N2885" i="12" s="1"/>
  <c r="N2886" i="12" s="1"/>
  <c r="N2887" i="12" s="1"/>
  <c r="N2888" i="12" s="1"/>
  <c r="N2889" i="12" s="1"/>
  <c r="N2890" i="12" s="1"/>
  <c r="N2891" i="12" s="1"/>
  <c r="N2892" i="12" s="1"/>
  <c r="N2893" i="12" s="1"/>
  <c r="N2894" i="12" s="1"/>
  <c r="N2895" i="12" s="1"/>
  <c r="N2896" i="12" s="1"/>
  <c r="N2897" i="12" s="1"/>
  <c r="N2898" i="12" s="1"/>
  <c r="N2899" i="12" s="1"/>
  <c r="N2900" i="12" s="1"/>
  <c r="N2901" i="12" s="1"/>
  <c r="N2902" i="12" s="1"/>
  <c r="N2903" i="12" s="1"/>
  <c r="N2904" i="12" s="1"/>
  <c r="N2905" i="12" s="1"/>
  <c r="N2906" i="12" s="1"/>
  <c r="N2907" i="12" s="1"/>
  <c r="N2908" i="12" s="1"/>
  <c r="N2909" i="12" s="1"/>
  <c r="N2910" i="12" s="1"/>
  <c r="N2911" i="12" s="1"/>
  <c r="N2912" i="12" s="1"/>
  <c r="N2913" i="12" s="1"/>
  <c r="N2914" i="12" s="1"/>
  <c r="N2915" i="12" s="1"/>
  <c r="N2916" i="12" s="1"/>
  <c r="N2917" i="12" s="1"/>
  <c r="N2918" i="12" s="1"/>
  <c r="N2919" i="12" s="1"/>
  <c r="N2920" i="12" s="1"/>
  <c r="N2921" i="12" s="1"/>
  <c r="N2922" i="12" s="1"/>
  <c r="N2923" i="12" s="1"/>
  <c r="N2924" i="12" s="1"/>
  <c r="N2925" i="12" s="1"/>
  <c r="N2926" i="12" s="1"/>
  <c r="N2927" i="12" s="1"/>
  <c r="N2928" i="12" s="1"/>
  <c r="N2929" i="12" s="1"/>
  <c r="N2930" i="12" s="1"/>
  <c r="N2931" i="12" s="1"/>
  <c r="N2932" i="12" s="1"/>
  <c r="N2933" i="12" s="1"/>
  <c r="N2934" i="12" s="1"/>
  <c r="N2935" i="12" s="1"/>
  <c r="N2936" i="12" s="1"/>
  <c r="N2937" i="12" s="1"/>
  <c r="N2938" i="12" s="1"/>
  <c r="N2939" i="12" s="1"/>
  <c r="N2940" i="12" s="1"/>
  <c r="N2941" i="12" s="1"/>
  <c r="N2942" i="12" s="1"/>
  <c r="N2943" i="12" s="1"/>
  <c r="N2944" i="12" s="1"/>
  <c r="N2945" i="12" s="1"/>
  <c r="N2946" i="12" s="1"/>
  <c r="N2947" i="12" s="1"/>
  <c r="N2948" i="12" s="1"/>
  <c r="N2949" i="12" s="1"/>
  <c r="N2950" i="12" s="1"/>
  <c r="N2951" i="12" s="1"/>
  <c r="N2952" i="12" s="1"/>
  <c r="N2953" i="12" s="1"/>
  <c r="N2954" i="12" s="1"/>
  <c r="N2955" i="12" s="1"/>
  <c r="N2956" i="12" s="1"/>
  <c r="N2957" i="12" s="1"/>
  <c r="N2958" i="12" s="1"/>
  <c r="N2959" i="12" s="1"/>
  <c r="N2960" i="12" s="1"/>
  <c r="N2961" i="12" s="1"/>
  <c r="N2962" i="12" s="1"/>
  <c r="N2963" i="12" s="1"/>
  <c r="N2964" i="12" s="1"/>
  <c r="N2965" i="12" s="1"/>
  <c r="N2966" i="12" s="1"/>
  <c r="N2967" i="12" s="1"/>
  <c r="N2968" i="12" s="1"/>
  <c r="N2969" i="12" s="1"/>
  <c r="N2970" i="12" s="1"/>
  <c r="N2971" i="12" s="1"/>
  <c r="N2972" i="12" s="1"/>
  <c r="N2973" i="12" s="1"/>
  <c r="N2974" i="12" s="1"/>
  <c r="N2975" i="12" s="1"/>
  <c r="N2976" i="12" s="1"/>
  <c r="N2977" i="12" s="1"/>
  <c r="N2978" i="12" s="1"/>
  <c r="N2979" i="12" s="1"/>
  <c r="N2980" i="12" s="1"/>
  <c r="N2981" i="12" s="1"/>
  <c r="N2982" i="12" s="1"/>
  <c r="N2983" i="12" s="1"/>
  <c r="N2984" i="12" s="1"/>
  <c r="N2985" i="12" s="1"/>
  <c r="N2986" i="12" s="1"/>
  <c r="N2987" i="12" s="1"/>
  <c r="N2988" i="12" s="1"/>
  <c r="N2989" i="12" s="1"/>
  <c r="N2990" i="12" s="1"/>
  <c r="N2991" i="12" s="1"/>
  <c r="N2992" i="12" s="1"/>
  <c r="N2993" i="12" s="1"/>
  <c r="N2994" i="12" s="1"/>
  <c r="N2995" i="12" s="1"/>
  <c r="N2996" i="12" s="1"/>
  <c r="N2997" i="12" s="1"/>
  <c r="N2998" i="12" s="1"/>
  <c r="N2999" i="12" s="1"/>
  <c r="N3000" i="12" s="1"/>
  <c r="N3001" i="12" s="1"/>
  <c r="N3002" i="12" s="1"/>
  <c r="N3003" i="12" s="1"/>
  <c r="N3004" i="12" s="1"/>
  <c r="N3005" i="12" s="1"/>
  <c r="N3006" i="12" s="1"/>
  <c r="N3007" i="12" s="1"/>
  <c r="N3008" i="12" s="1"/>
  <c r="N3009" i="12" s="1"/>
  <c r="N3010" i="12" s="1"/>
  <c r="N3011" i="12" s="1"/>
  <c r="N3012" i="12" s="1"/>
  <c r="N3013" i="12" s="1"/>
  <c r="N3014" i="12" s="1"/>
  <c r="N3015" i="12" s="1"/>
  <c r="N3016" i="12" s="1"/>
  <c r="N3017" i="12" s="1"/>
  <c r="N3018" i="12" s="1"/>
  <c r="N3019" i="12" s="1"/>
  <c r="N3020" i="12" s="1"/>
  <c r="N3021" i="12" s="1"/>
  <c r="N3022" i="12" s="1"/>
  <c r="N3023" i="12" s="1"/>
  <c r="N3024" i="12" s="1"/>
  <c r="N3025" i="12" s="1"/>
  <c r="N3026" i="12" s="1"/>
  <c r="N3027" i="12" s="1"/>
  <c r="N3028" i="12" s="1"/>
  <c r="N3029" i="12" s="1"/>
  <c r="N3030" i="12" s="1"/>
  <c r="N3031" i="12" s="1"/>
  <c r="N3032" i="12" s="1"/>
  <c r="N3033" i="12" s="1"/>
  <c r="N3034" i="12" s="1"/>
  <c r="N3035" i="12" s="1"/>
  <c r="N3036" i="12" s="1"/>
  <c r="N3037" i="12" s="1"/>
  <c r="N3038" i="12" s="1"/>
  <c r="N3039" i="12" s="1"/>
  <c r="N3040" i="12" s="1"/>
  <c r="N3041" i="12" s="1"/>
  <c r="N3042" i="12" s="1"/>
  <c r="N3043" i="12" s="1"/>
  <c r="N3044" i="12" s="1"/>
  <c r="N3045" i="12" s="1"/>
  <c r="N3046" i="12" s="1"/>
  <c r="N3047" i="12" s="1"/>
  <c r="N3048" i="12" s="1"/>
  <c r="N3049" i="12" s="1"/>
  <c r="N3050" i="12" s="1"/>
  <c r="N3051" i="12" s="1"/>
  <c r="N3052" i="12" s="1"/>
  <c r="N3053" i="12" s="1"/>
  <c r="N3054" i="12" s="1"/>
  <c r="N3055" i="12" s="1"/>
  <c r="N3056" i="12" s="1"/>
  <c r="N3057" i="12" s="1"/>
  <c r="N3058" i="12" s="1"/>
  <c r="N3059" i="12" s="1"/>
  <c r="N3060" i="12" s="1"/>
  <c r="N3061" i="12" s="1"/>
  <c r="N3062" i="12" s="1"/>
  <c r="N3063" i="12" s="1"/>
  <c r="N3064" i="12" s="1"/>
  <c r="N3065" i="12" s="1"/>
  <c r="N3066" i="12" s="1"/>
  <c r="N3067" i="12" s="1"/>
  <c r="N3068" i="12" s="1"/>
  <c r="N3069" i="12" s="1"/>
  <c r="N3070" i="12" s="1"/>
  <c r="N3071" i="12" s="1"/>
  <c r="N3072" i="12" s="1"/>
  <c r="N3073" i="12" s="1"/>
  <c r="N3074" i="12" s="1"/>
  <c r="N3075" i="12" s="1"/>
  <c r="N3076" i="12" s="1"/>
  <c r="N3077" i="12" s="1"/>
  <c r="N3078" i="12" s="1"/>
  <c r="N3079" i="12" s="1"/>
  <c r="N3080" i="12" s="1"/>
  <c r="N3081" i="12" s="1"/>
  <c r="N3082" i="12" s="1"/>
  <c r="N3083" i="12" s="1"/>
  <c r="N3084" i="12" s="1"/>
  <c r="N3085" i="12" s="1"/>
  <c r="N3086" i="12" s="1"/>
  <c r="N3087" i="12" s="1"/>
  <c r="N3088" i="12" s="1"/>
  <c r="N3089" i="12" s="1"/>
  <c r="N3090" i="12" s="1"/>
  <c r="N3091" i="12" s="1"/>
  <c r="N3092" i="12" s="1"/>
  <c r="N3093" i="12" s="1"/>
  <c r="N3094" i="12" s="1"/>
  <c r="N3095" i="12" s="1"/>
  <c r="N3096" i="12" s="1"/>
  <c r="N3097" i="12" s="1"/>
  <c r="N3098" i="12" s="1"/>
  <c r="N3099" i="12" s="1"/>
  <c r="N3100" i="12" s="1"/>
  <c r="N3101" i="12" s="1"/>
  <c r="N3102" i="12" s="1"/>
  <c r="N3103" i="12" s="1"/>
  <c r="N3104" i="12" s="1"/>
  <c r="N3105" i="12" s="1"/>
  <c r="N3106" i="12" s="1"/>
  <c r="N3107" i="12" s="1"/>
  <c r="N3108" i="12" s="1"/>
  <c r="N3109" i="12" s="1"/>
  <c r="N3110" i="12" s="1"/>
  <c r="N3111" i="12" s="1"/>
  <c r="N3112" i="12" s="1"/>
  <c r="N3113" i="12" s="1"/>
  <c r="N3114" i="12" s="1"/>
  <c r="N3115" i="12" s="1"/>
  <c r="N3116" i="12" s="1"/>
  <c r="N3117" i="12" s="1"/>
  <c r="N3118" i="12" s="1"/>
  <c r="N3119" i="12" s="1"/>
  <c r="N3120" i="12" s="1"/>
  <c r="N3121" i="12" s="1"/>
  <c r="N3122" i="12" s="1"/>
  <c r="N3123" i="12" s="1"/>
  <c r="N3124" i="12" s="1"/>
  <c r="N3125" i="12" s="1"/>
  <c r="N3126" i="12" s="1"/>
  <c r="N3127" i="12" s="1"/>
  <c r="N3128" i="12" s="1"/>
  <c r="N3129" i="12" s="1"/>
  <c r="N3130" i="12" s="1"/>
  <c r="N3131" i="12" s="1"/>
  <c r="N3132" i="12" s="1"/>
  <c r="N3133" i="12" s="1"/>
  <c r="N3134" i="12" s="1"/>
  <c r="N3135" i="12" s="1"/>
  <c r="N3136" i="12" s="1"/>
  <c r="N3137" i="12" s="1"/>
  <c r="N3138" i="12" s="1"/>
  <c r="N3139" i="12" s="1"/>
  <c r="N3140" i="12" s="1"/>
  <c r="N3141" i="12" s="1"/>
  <c r="N3142" i="12" s="1"/>
  <c r="N3143" i="12" s="1"/>
  <c r="N3144" i="12" s="1"/>
  <c r="N3145" i="12" s="1"/>
  <c r="N3146" i="12" s="1"/>
  <c r="N3147" i="12" s="1"/>
  <c r="N3148" i="12" s="1"/>
  <c r="N3149" i="12" s="1"/>
  <c r="N3150" i="12" s="1"/>
  <c r="N3151" i="12" s="1"/>
  <c r="N3152" i="12" s="1"/>
  <c r="N3153" i="12" s="1"/>
  <c r="N3154" i="12" s="1"/>
  <c r="N3155" i="12" s="1"/>
  <c r="N3156" i="12" s="1"/>
  <c r="N3157" i="12" s="1"/>
  <c r="N3158" i="12" s="1"/>
  <c r="N3159" i="12" s="1"/>
  <c r="N3160" i="12" s="1"/>
  <c r="N3161" i="12" s="1"/>
  <c r="N3162" i="12" s="1"/>
  <c r="N3163" i="12" s="1"/>
  <c r="N3164" i="12" s="1"/>
  <c r="N3165" i="12" s="1"/>
  <c r="N3166" i="12" s="1"/>
  <c r="N3167" i="12" s="1"/>
  <c r="N3168" i="12" s="1"/>
  <c r="N3169" i="12" s="1"/>
  <c r="N3170" i="12" s="1"/>
  <c r="N3171" i="12" s="1"/>
  <c r="N3172" i="12" s="1"/>
  <c r="N3173" i="12" s="1"/>
  <c r="N3174" i="12" s="1"/>
  <c r="N3175" i="12" s="1"/>
  <c r="N3176" i="12" s="1"/>
  <c r="N3177" i="12" s="1"/>
  <c r="N3178" i="12" s="1"/>
  <c r="N3179" i="12" s="1"/>
  <c r="N3180" i="12" s="1"/>
  <c r="N3181" i="12" s="1"/>
  <c r="N3182" i="12" s="1"/>
  <c r="N3183" i="12" s="1"/>
  <c r="N3184" i="12" s="1"/>
  <c r="N3185" i="12" s="1"/>
  <c r="N3186" i="12" s="1"/>
  <c r="N3187" i="12" s="1"/>
  <c r="N3188" i="12" s="1"/>
  <c r="N3189" i="12" s="1"/>
  <c r="N3190" i="12" s="1"/>
  <c r="N3191" i="12" s="1"/>
  <c r="N3192" i="12" s="1"/>
  <c r="N3193" i="12" s="1"/>
  <c r="N3194" i="12" s="1"/>
  <c r="N3195" i="12" s="1"/>
  <c r="N3196" i="12" s="1"/>
  <c r="N3197" i="12" s="1"/>
  <c r="N3198" i="12" s="1"/>
  <c r="N3199" i="12" s="1"/>
  <c r="N3200" i="12" s="1"/>
  <c r="N3201" i="12" s="1"/>
  <c r="N3202" i="12" s="1"/>
  <c r="N3203" i="12" s="1"/>
  <c r="N3204" i="12" s="1"/>
  <c r="N3205" i="12" s="1"/>
  <c r="N3206" i="12" s="1"/>
  <c r="N3207" i="12" s="1"/>
  <c r="N3208" i="12" s="1"/>
  <c r="N3209" i="12" s="1"/>
  <c r="N3210" i="12" s="1"/>
  <c r="N3211" i="12" s="1"/>
  <c r="N3212" i="12" s="1"/>
  <c r="N3213" i="12" s="1"/>
  <c r="N3214" i="12" s="1"/>
  <c r="N3215" i="12" s="1"/>
  <c r="N3216" i="12" s="1"/>
  <c r="N3217" i="12" s="1"/>
  <c r="N3218" i="12" s="1"/>
  <c r="N3219" i="12" s="1"/>
  <c r="N3220" i="12" s="1"/>
  <c r="N3221" i="12" s="1"/>
  <c r="N3222" i="12" s="1"/>
  <c r="N3223" i="12" s="1"/>
  <c r="N3224" i="12" s="1"/>
  <c r="N3225" i="12" s="1"/>
  <c r="N3226" i="12" s="1"/>
  <c r="N3227" i="12" s="1"/>
  <c r="N3228" i="12" s="1"/>
  <c r="N3229" i="12" s="1"/>
  <c r="N3230" i="12" s="1"/>
  <c r="N3231" i="12" s="1"/>
  <c r="N3232" i="12" s="1"/>
  <c r="N3233" i="12" s="1"/>
  <c r="N3234" i="12" s="1"/>
  <c r="N3235" i="12" s="1"/>
  <c r="N3236" i="12" s="1"/>
  <c r="N3237" i="12" s="1"/>
  <c r="N3238" i="12" s="1"/>
  <c r="N3239" i="12" s="1"/>
  <c r="N3240" i="12" s="1"/>
  <c r="N3241" i="12" s="1"/>
  <c r="N3242" i="12" s="1"/>
  <c r="N3243" i="12" s="1"/>
  <c r="N3244" i="12" s="1"/>
  <c r="N3245" i="12" s="1"/>
  <c r="N3246" i="12" s="1"/>
  <c r="N3247" i="12" s="1"/>
  <c r="N3248" i="12" s="1"/>
  <c r="N3249" i="12" s="1"/>
  <c r="N3250" i="12" s="1"/>
  <c r="N3251" i="12" s="1"/>
  <c r="N3252" i="12" s="1"/>
  <c r="N3253" i="12" s="1"/>
  <c r="N3254" i="12" s="1"/>
  <c r="N3255" i="12" s="1"/>
  <c r="N3256" i="12" s="1"/>
  <c r="N3257" i="12" s="1"/>
  <c r="N3258" i="12" s="1"/>
  <c r="N3259" i="12" s="1"/>
  <c r="N3260" i="12" s="1"/>
  <c r="N3261" i="12" s="1"/>
  <c r="N3262" i="12" s="1"/>
  <c r="N3263" i="12" s="1"/>
  <c r="N3264" i="12" s="1"/>
  <c r="N3265" i="12" s="1"/>
  <c r="N3266" i="12" s="1"/>
  <c r="N3267" i="12" s="1"/>
  <c r="N3268" i="12" s="1"/>
  <c r="N3269" i="12" s="1"/>
  <c r="N3270" i="12" s="1"/>
  <c r="N3271" i="12" s="1"/>
  <c r="N3272" i="12" s="1"/>
  <c r="N3273" i="12" s="1"/>
  <c r="N3274" i="12" s="1"/>
  <c r="N3275" i="12" s="1"/>
  <c r="N3276" i="12" s="1"/>
  <c r="N3277" i="12" s="1"/>
  <c r="N3278" i="12" s="1"/>
  <c r="N3279" i="12" s="1"/>
  <c r="N3280" i="12" s="1"/>
  <c r="N3281" i="12" s="1"/>
  <c r="N3282" i="12" s="1"/>
  <c r="N3283" i="12" s="1"/>
  <c r="N3284" i="12" s="1"/>
  <c r="N3285" i="12" s="1"/>
  <c r="N3286" i="12" s="1"/>
  <c r="N3287" i="12" s="1"/>
  <c r="N3288" i="12" s="1"/>
  <c r="N3289" i="12" s="1"/>
  <c r="N3290" i="12" s="1"/>
  <c r="N3291" i="12" s="1"/>
  <c r="N3292" i="12" s="1"/>
  <c r="N3293" i="12" s="1"/>
  <c r="N3294" i="12" s="1"/>
  <c r="N3295" i="12" s="1"/>
  <c r="N3296" i="12" s="1"/>
  <c r="N3297" i="12" s="1"/>
  <c r="N3298" i="12" s="1"/>
  <c r="N3299" i="12" s="1"/>
  <c r="N3300" i="12" s="1"/>
  <c r="N3301" i="12" s="1"/>
  <c r="N3302" i="12" s="1"/>
  <c r="N3303" i="12" s="1"/>
  <c r="N3304" i="12" s="1"/>
  <c r="N3305" i="12" s="1"/>
  <c r="N3306" i="12" s="1"/>
  <c r="N3307" i="12" s="1"/>
  <c r="N3308" i="12" s="1"/>
  <c r="N3309" i="12" s="1"/>
  <c r="N3310" i="12" s="1"/>
  <c r="N3311" i="12" s="1"/>
  <c r="N3312" i="12" s="1"/>
  <c r="N3313" i="12" s="1"/>
  <c r="N3314" i="12" s="1"/>
  <c r="N3315" i="12" s="1"/>
  <c r="N3316" i="12" s="1"/>
  <c r="N3317" i="12" s="1"/>
  <c r="N3318" i="12" s="1"/>
  <c r="N3319" i="12" s="1"/>
  <c r="N3320" i="12" s="1"/>
  <c r="N3321" i="12" s="1"/>
  <c r="N3322" i="12" s="1"/>
  <c r="N3323" i="12" s="1"/>
  <c r="N3324" i="12" s="1"/>
  <c r="N3325" i="12" s="1"/>
  <c r="N3326" i="12" s="1"/>
  <c r="N3327" i="12" s="1"/>
  <c r="N3328" i="12" s="1"/>
  <c r="N3329" i="12" s="1"/>
  <c r="N3330" i="12" s="1"/>
  <c r="N3331" i="12" s="1"/>
  <c r="N3332" i="12" s="1"/>
  <c r="N3333" i="12" s="1"/>
  <c r="N3334" i="12" s="1"/>
  <c r="N3335" i="12" s="1"/>
  <c r="N3336" i="12" s="1"/>
  <c r="N3337" i="12" s="1"/>
  <c r="N3338" i="12" s="1"/>
  <c r="N3339" i="12" s="1"/>
  <c r="N3340" i="12" s="1"/>
  <c r="N3341" i="12" s="1"/>
  <c r="N3342" i="12" s="1"/>
  <c r="N3343" i="12" s="1"/>
  <c r="N3344" i="12" s="1"/>
  <c r="N3345" i="12" s="1"/>
  <c r="N3346" i="12" s="1"/>
  <c r="N3347" i="12" s="1"/>
  <c r="N3348" i="12" s="1"/>
  <c r="N3349" i="12" s="1"/>
  <c r="N3350" i="12" s="1"/>
  <c r="N3351" i="12" s="1"/>
  <c r="N3352" i="12" s="1"/>
  <c r="N3353" i="12" s="1"/>
  <c r="N3354" i="12" s="1"/>
  <c r="N3355" i="12" s="1"/>
  <c r="N3356" i="12" s="1"/>
  <c r="N3357" i="12" s="1"/>
  <c r="N3358" i="12" s="1"/>
  <c r="N3359" i="12" s="1"/>
  <c r="N3360" i="12" s="1"/>
  <c r="N3361" i="12" s="1"/>
  <c r="N3362" i="12" s="1"/>
  <c r="N3363" i="12" s="1"/>
  <c r="N3364" i="12" s="1"/>
  <c r="N3365" i="12" s="1"/>
  <c r="N3366" i="12" s="1"/>
  <c r="N3367" i="12" s="1"/>
  <c r="N3368" i="12" s="1"/>
  <c r="N3369" i="12" s="1"/>
  <c r="N3370" i="12" s="1"/>
  <c r="N3371" i="12" s="1"/>
  <c r="N3372" i="12" s="1"/>
  <c r="N3373" i="12" s="1"/>
  <c r="N3374" i="12" s="1"/>
  <c r="N3375" i="12" s="1"/>
  <c r="N3376" i="12" s="1"/>
  <c r="N3377" i="12" s="1"/>
  <c r="N3378" i="12" s="1"/>
  <c r="N3379" i="12" s="1"/>
  <c r="N3380" i="12" s="1"/>
  <c r="N3381" i="12" s="1"/>
  <c r="N3382" i="12" s="1"/>
  <c r="N3383" i="12" s="1"/>
  <c r="N3384" i="12" s="1"/>
  <c r="N3385" i="12" s="1"/>
  <c r="N3386" i="12" s="1"/>
  <c r="N3387" i="12" s="1"/>
  <c r="N3388" i="12" s="1"/>
  <c r="N3389" i="12" s="1"/>
  <c r="N3390" i="12" s="1"/>
  <c r="N3391" i="12" s="1"/>
  <c r="N3392" i="12" s="1"/>
  <c r="N3393" i="12" s="1"/>
  <c r="N3394" i="12" s="1"/>
  <c r="N3395" i="12" s="1"/>
  <c r="N3396" i="12" s="1"/>
  <c r="N3397" i="12" s="1"/>
  <c r="N3398" i="12" s="1"/>
  <c r="N3399" i="12" s="1"/>
  <c r="N3400" i="12" s="1"/>
  <c r="N3401" i="12" s="1"/>
  <c r="N3402" i="12" s="1"/>
  <c r="N3403" i="12" s="1"/>
  <c r="N3404" i="12" s="1"/>
  <c r="N3405" i="12" s="1"/>
  <c r="N3406" i="12" s="1"/>
  <c r="N3407" i="12" s="1"/>
  <c r="N3408" i="12" s="1"/>
  <c r="N3409" i="12" s="1"/>
  <c r="N3410" i="12" s="1"/>
  <c r="N3411" i="12" s="1"/>
  <c r="N3412" i="12" s="1"/>
  <c r="N3413" i="12" s="1"/>
  <c r="N3414" i="12" s="1"/>
  <c r="N3415" i="12" s="1"/>
  <c r="N3416" i="12" s="1"/>
  <c r="N3417" i="12" s="1"/>
  <c r="N3418" i="12" s="1"/>
  <c r="N3419" i="12" s="1"/>
  <c r="N3420" i="12" s="1"/>
  <c r="N3421" i="12" s="1"/>
  <c r="N3422" i="12" s="1"/>
  <c r="N3423" i="12" s="1"/>
  <c r="N3424" i="12" s="1"/>
  <c r="N3425" i="12" s="1"/>
  <c r="N3426" i="12" s="1"/>
  <c r="N3427" i="12" s="1"/>
  <c r="N3428" i="12" s="1"/>
  <c r="N3429" i="12" s="1"/>
  <c r="N3430" i="12" s="1"/>
  <c r="N3431" i="12" s="1"/>
  <c r="N3432" i="12" s="1"/>
  <c r="N3433" i="12" s="1"/>
  <c r="N3434" i="12" s="1"/>
  <c r="N3435" i="12" s="1"/>
  <c r="N3436" i="12" s="1"/>
  <c r="N3437" i="12" s="1"/>
  <c r="N3438" i="12" s="1"/>
  <c r="N3439" i="12" s="1"/>
  <c r="N3440" i="12" s="1"/>
  <c r="N3441" i="12" s="1"/>
  <c r="N3442" i="12" s="1"/>
  <c r="N3443" i="12" s="1"/>
  <c r="N3444" i="12" s="1"/>
  <c r="N3445" i="12" s="1"/>
  <c r="N3446" i="12" s="1"/>
  <c r="N3447" i="12" s="1"/>
  <c r="N3448" i="12" s="1"/>
  <c r="N3449" i="12" s="1"/>
  <c r="N3450" i="12" s="1"/>
  <c r="N3451" i="12" s="1"/>
  <c r="N3452" i="12" s="1"/>
  <c r="N3453" i="12" s="1"/>
  <c r="N3454" i="12" s="1"/>
  <c r="N3455" i="12" s="1"/>
  <c r="N3456" i="12" s="1"/>
  <c r="N3457" i="12" s="1"/>
  <c r="N3458" i="12" s="1"/>
  <c r="N3459" i="12" s="1"/>
  <c r="N3460" i="12" s="1"/>
  <c r="N3461" i="12" s="1"/>
  <c r="N3462" i="12" s="1"/>
  <c r="N3463" i="12" s="1"/>
  <c r="N3464" i="12" s="1"/>
  <c r="N3465" i="12" s="1"/>
  <c r="N3466" i="12" s="1"/>
  <c r="N3467" i="12" s="1"/>
  <c r="N3468" i="12" s="1"/>
  <c r="N3469" i="12" s="1"/>
  <c r="N3470" i="12" s="1"/>
  <c r="N3471" i="12" s="1"/>
  <c r="N3472" i="12" s="1"/>
  <c r="N3473" i="12" s="1"/>
  <c r="N3474" i="12" s="1"/>
  <c r="N3475" i="12" s="1"/>
  <c r="N3476" i="12" s="1"/>
  <c r="N3477" i="12" s="1"/>
  <c r="N3478" i="12" s="1"/>
  <c r="N3479" i="12" s="1"/>
  <c r="N3480" i="12" s="1"/>
  <c r="N3481" i="12" s="1"/>
  <c r="N3482" i="12" s="1"/>
  <c r="N3483" i="12" s="1"/>
  <c r="N3484" i="12" s="1"/>
  <c r="N3485" i="12" s="1"/>
  <c r="N3486" i="12" s="1"/>
  <c r="N3487" i="12" s="1"/>
  <c r="N3488" i="12" s="1"/>
  <c r="N3489" i="12" s="1"/>
  <c r="N3490" i="12" s="1"/>
  <c r="N3491" i="12" s="1"/>
  <c r="N3492" i="12" s="1"/>
  <c r="N3493" i="12" s="1"/>
  <c r="N3494" i="12" s="1"/>
  <c r="N3495" i="12" s="1"/>
  <c r="N3496" i="12" s="1"/>
  <c r="N3497" i="12" s="1"/>
  <c r="N3498" i="12" s="1"/>
  <c r="N3499" i="12" s="1"/>
  <c r="N3500" i="12" s="1"/>
  <c r="N3501" i="12" s="1"/>
  <c r="N3502" i="12" s="1"/>
  <c r="N3503" i="12" s="1"/>
  <c r="N3504" i="12" s="1"/>
  <c r="N3505" i="12" s="1"/>
  <c r="N3506" i="12" s="1"/>
  <c r="N3507" i="12" s="1"/>
  <c r="N3508" i="12" s="1"/>
  <c r="N3509" i="12" s="1"/>
  <c r="N3510" i="12" s="1"/>
  <c r="N3511" i="12" s="1"/>
  <c r="N3512" i="12" s="1"/>
  <c r="N3513" i="12" s="1"/>
  <c r="N3514" i="12" s="1"/>
  <c r="N3515" i="12" s="1"/>
  <c r="N3516" i="12" s="1"/>
  <c r="N3517" i="12" s="1"/>
  <c r="N3518" i="12" s="1"/>
  <c r="N3519" i="12" s="1"/>
  <c r="N3520" i="12" s="1"/>
  <c r="N3521" i="12" s="1"/>
  <c r="N3522" i="12" s="1"/>
  <c r="N3523" i="12" s="1"/>
  <c r="N3524" i="12" s="1"/>
  <c r="N3525" i="12" s="1"/>
  <c r="N3526" i="12" s="1"/>
  <c r="N3527" i="12" s="1"/>
  <c r="N3528" i="12" s="1"/>
  <c r="N3529" i="12" s="1"/>
  <c r="N3530" i="12" s="1"/>
  <c r="N3531" i="12" s="1"/>
  <c r="N3532" i="12" s="1"/>
  <c r="N3533" i="12" s="1"/>
  <c r="N3534" i="12" s="1"/>
  <c r="N3535" i="12" s="1"/>
  <c r="N3536" i="12" s="1"/>
  <c r="N3537" i="12" s="1"/>
  <c r="N3538" i="12" s="1"/>
  <c r="N3539" i="12" s="1"/>
  <c r="N3540" i="12" s="1"/>
  <c r="N3541" i="12" s="1"/>
  <c r="N3542" i="12" s="1"/>
  <c r="N3543" i="12" s="1"/>
  <c r="N3544" i="12" s="1"/>
  <c r="N3545" i="12" s="1"/>
  <c r="N3546" i="12" s="1"/>
  <c r="N3547" i="12" s="1"/>
  <c r="N3548" i="12" s="1"/>
  <c r="N3549" i="12" s="1"/>
  <c r="N3550" i="12" s="1"/>
  <c r="N3551" i="12" s="1"/>
  <c r="N3552" i="12" s="1"/>
  <c r="N20" i="12"/>
  <c r="N21" i="12" s="1"/>
  <c r="N22" i="12" s="1"/>
  <c r="N23" i="12" s="1"/>
  <c r="N24" i="12" s="1"/>
  <c r="N25" i="12" s="1"/>
  <c r="N26" i="12" s="1"/>
  <c r="N27" i="12" s="1"/>
  <c r="N28" i="12" s="1"/>
  <c r="N29" i="12" s="1"/>
  <c r="N30" i="12" s="1"/>
  <c r="N31" i="12" s="1"/>
  <c r="N32" i="12" s="1"/>
  <c r="N33" i="12" s="1"/>
  <c r="N34" i="12" s="1"/>
  <c r="N35" i="12" s="1"/>
  <c r="N36" i="12" s="1"/>
  <c r="N37" i="12" s="1"/>
  <c r="N38" i="12" s="1"/>
  <c r="N39" i="12" s="1"/>
  <c r="N40" i="12" s="1"/>
  <c r="N41" i="12" s="1"/>
  <c r="N42" i="12" s="1"/>
  <c r="N43" i="12" s="1"/>
  <c r="N44" i="12" s="1"/>
  <c r="N45" i="12" s="1"/>
  <c r="N46" i="12" s="1"/>
  <c r="N47" i="12" s="1"/>
  <c r="N48" i="12" s="1"/>
  <c r="N49" i="12" s="1"/>
  <c r="N50" i="12" s="1"/>
  <c r="N51" i="12" s="1"/>
  <c r="N52" i="12" s="1"/>
  <c r="N53" i="12" s="1"/>
  <c r="N54" i="12" s="1"/>
  <c r="N55" i="12" s="1"/>
  <c r="N56" i="12" s="1"/>
  <c r="N57" i="12" s="1"/>
  <c r="N58" i="12" s="1"/>
  <c r="N59" i="12" s="1"/>
  <c r="N60" i="12" s="1"/>
  <c r="N61" i="12" s="1"/>
  <c r="N62" i="12" s="1"/>
  <c r="N63" i="12" s="1"/>
  <c r="N64" i="12" s="1"/>
  <c r="N65" i="12" s="1"/>
  <c r="N66" i="12" s="1"/>
  <c r="N67" i="12" s="1"/>
  <c r="N68" i="12" s="1"/>
  <c r="N69" i="12" s="1"/>
  <c r="N70" i="12" s="1"/>
  <c r="N71" i="12" s="1"/>
  <c r="N72" i="12" s="1"/>
  <c r="N73" i="12" s="1"/>
  <c r="N74" i="12" s="1"/>
  <c r="N75" i="12" s="1"/>
  <c r="N76" i="12" s="1"/>
  <c r="N77" i="12" s="1"/>
  <c r="N78" i="12" s="1"/>
  <c r="N79" i="12" s="1"/>
  <c r="N80" i="12" s="1"/>
  <c r="N81" i="12" s="1"/>
  <c r="N82" i="12" s="1"/>
  <c r="N83" i="12" s="1"/>
  <c r="N84" i="12" s="1"/>
  <c r="N85" i="12" s="1"/>
  <c r="N86" i="12" s="1"/>
  <c r="N87" i="12" s="1"/>
  <c r="N88" i="12" s="1"/>
  <c r="N89" i="12" s="1"/>
  <c r="N90" i="12" s="1"/>
  <c r="N91" i="12" s="1"/>
  <c r="N92" i="12" s="1"/>
  <c r="N93" i="12" s="1"/>
  <c r="N94" i="12" s="1"/>
  <c r="N95" i="12" s="1"/>
  <c r="N96" i="12" s="1"/>
  <c r="N97" i="12" s="1"/>
  <c r="N98" i="12" s="1"/>
  <c r="N99" i="12" s="1"/>
  <c r="N100" i="12" s="1"/>
  <c r="N101" i="12" s="1"/>
  <c r="N102" i="12" s="1"/>
  <c r="N103" i="12" s="1"/>
  <c r="N104" i="12" s="1"/>
  <c r="N105" i="12" s="1"/>
  <c r="N106" i="12" s="1"/>
  <c r="N107" i="12" s="1"/>
  <c r="N108" i="12" s="1"/>
  <c r="N109" i="12" s="1"/>
  <c r="N110" i="12" s="1"/>
  <c r="N111" i="12" s="1"/>
  <c r="N112" i="12" s="1"/>
  <c r="N113" i="12" s="1"/>
  <c r="N114" i="12" s="1"/>
  <c r="N115" i="12" s="1"/>
  <c r="N116" i="12" s="1"/>
  <c r="N117" i="12" s="1"/>
  <c r="N118" i="12" s="1"/>
  <c r="N119" i="12" s="1"/>
  <c r="N120" i="12" s="1"/>
  <c r="N121" i="12" s="1"/>
  <c r="N122" i="12" s="1"/>
  <c r="N123" i="12" s="1"/>
  <c r="N124" i="12" s="1"/>
  <c r="N125" i="12" s="1"/>
  <c r="N126" i="12" s="1"/>
  <c r="N127" i="12" s="1"/>
  <c r="N128" i="12" s="1"/>
  <c r="N129" i="12" s="1"/>
  <c r="N130" i="12" s="1"/>
  <c r="N131" i="12" s="1"/>
  <c r="N132" i="12" s="1"/>
  <c r="N133" i="12" s="1"/>
  <c r="N134" i="12" s="1"/>
  <c r="N135" i="12" s="1"/>
  <c r="N136" i="12" s="1"/>
  <c r="N137" i="12" s="1"/>
  <c r="N138" i="12" s="1"/>
  <c r="N139" i="12" s="1"/>
  <c r="N140" i="12" s="1"/>
  <c r="N141" i="12" s="1"/>
  <c r="N142" i="12" s="1"/>
  <c r="N143" i="12" s="1"/>
  <c r="N144" i="12" s="1"/>
  <c r="N145" i="12" s="1"/>
  <c r="N146" i="12" s="1"/>
  <c r="N147" i="12" s="1"/>
  <c r="N148" i="12" s="1"/>
  <c r="N149" i="12" s="1"/>
  <c r="N150" i="12" s="1"/>
  <c r="N151" i="12" s="1"/>
  <c r="N152" i="12" s="1"/>
  <c r="N153" i="12" s="1"/>
  <c r="N154" i="12" s="1"/>
  <c r="N155" i="12" s="1"/>
  <c r="N156" i="12" s="1"/>
  <c r="N157" i="12" s="1"/>
  <c r="N158" i="12" s="1"/>
  <c r="N159" i="12" s="1"/>
  <c r="N160" i="12" s="1"/>
  <c r="N161" i="12" s="1"/>
  <c r="N162" i="12" s="1"/>
  <c r="N163" i="12" s="1"/>
  <c r="N164" i="12" s="1"/>
  <c r="N165" i="12" s="1"/>
  <c r="N166" i="12" s="1"/>
  <c r="N167" i="12" s="1"/>
  <c r="N168" i="12" s="1"/>
  <c r="N169" i="12" s="1"/>
  <c r="N170" i="12" s="1"/>
  <c r="N171" i="12" s="1"/>
  <c r="N172" i="12" s="1"/>
  <c r="N173" i="12" s="1"/>
  <c r="N174" i="12" s="1"/>
  <c r="N175" i="12" s="1"/>
  <c r="N176" i="12" s="1"/>
  <c r="N177" i="12" s="1"/>
  <c r="N178" i="12" s="1"/>
  <c r="N179" i="12" s="1"/>
  <c r="N180" i="12" s="1"/>
  <c r="N181" i="12" s="1"/>
  <c r="N182" i="12" s="1"/>
  <c r="N183" i="12" s="1"/>
  <c r="N184" i="12" s="1"/>
  <c r="N185" i="12" s="1"/>
  <c r="N186" i="12" s="1"/>
  <c r="N187" i="12" s="1"/>
  <c r="N188" i="12" s="1"/>
  <c r="N189" i="12" s="1"/>
  <c r="N190" i="12" s="1"/>
  <c r="N191" i="12" s="1"/>
  <c r="N192" i="12" s="1"/>
  <c r="N193" i="12" s="1"/>
  <c r="N194" i="12" s="1"/>
  <c r="N195" i="12" s="1"/>
  <c r="N196" i="12" s="1"/>
  <c r="N197" i="12" s="1"/>
  <c r="N198" i="12" s="1"/>
  <c r="N199" i="12" s="1"/>
  <c r="N200" i="12" s="1"/>
  <c r="N201" i="12" s="1"/>
  <c r="N202" i="12" s="1"/>
  <c r="N203" i="12" s="1"/>
  <c r="N204" i="12" s="1"/>
  <c r="N205" i="12" s="1"/>
  <c r="N206" i="12" s="1"/>
  <c r="N207" i="12" s="1"/>
  <c r="N208" i="12" s="1"/>
  <c r="N209" i="12" s="1"/>
  <c r="N210" i="12" s="1"/>
  <c r="N211" i="12" s="1"/>
  <c r="N212" i="12" s="1"/>
  <c r="N213" i="12" s="1"/>
  <c r="N214" i="12" s="1"/>
  <c r="N215" i="12" s="1"/>
  <c r="N216" i="12" s="1"/>
  <c r="N217" i="12" s="1"/>
  <c r="N218" i="12" s="1"/>
  <c r="N219" i="12" s="1"/>
  <c r="N220" i="12" s="1"/>
  <c r="N221" i="12" s="1"/>
  <c r="N222" i="12" s="1"/>
  <c r="N223" i="12" s="1"/>
  <c r="N224" i="12" s="1"/>
  <c r="N225" i="12" s="1"/>
  <c r="N226" i="12" s="1"/>
  <c r="N227" i="12" s="1"/>
  <c r="N228" i="12" s="1"/>
  <c r="N229" i="12" s="1"/>
  <c r="N230" i="12" s="1"/>
  <c r="N231" i="12" s="1"/>
  <c r="N232" i="12" s="1"/>
  <c r="N233" i="12" s="1"/>
  <c r="N234" i="12" s="1"/>
  <c r="N235" i="12" s="1"/>
  <c r="N236" i="12" s="1"/>
  <c r="N237" i="12" s="1"/>
  <c r="N238" i="12" s="1"/>
  <c r="N239" i="12" s="1"/>
  <c r="N240" i="12" s="1"/>
  <c r="N241" i="12" s="1"/>
  <c r="N242" i="12" s="1"/>
  <c r="N243" i="12" s="1"/>
  <c r="N244" i="12" s="1"/>
  <c r="N245" i="12" s="1"/>
  <c r="N246" i="12" s="1"/>
  <c r="N247" i="12" s="1"/>
  <c r="N248" i="12" s="1"/>
  <c r="N249" i="12" s="1"/>
  <c r="N250" i="12" s="1"/>
  <c r="N251" i="12" s="1"/>
  <c r="N252" i="12" s="1"/>
  <c r="N253" i="12" s="1"/>
  <c r="N254" i="12" s="1"/>
  <c r="N255" i="12" s="1"/>
  <c r="N256" i="12" s="1"/>
  <c r="N257" i="12" s="1"/>
  <c r="N258" i="12" s="1"/>
  <c r="N259" i="12" s="1"/>
  <c r="N260" i="12" s="1"/>
  <c r="N261" i="12" s="1"/>
  <c r="N262" i="12" s="1"/>
  <c r="N263" i="12" s="1"/>
  <c r="N264" i="12" s="1"/>
  <c r="N265" i="12" s="1"/>
  <c r="N266" i="12" s="1"/>
  <c r="N267" i="12" s="1"/>
  <c r="N268" i="12" s="1"/>
  <c r="N269" i="12" s="1"/>
  <c r="N270" i="12" s="1"/>
  <c r="N271" i="12" s="1"/>
  <c r="N272" i="12" s="1"/>
  <c r="N273" i="12" s="1"/>
  <c r="N274" i="12" s="1"/>
  <c r="N275" i="12" s="1"/>
  <c r="N276" i="12" s="1"/>
  <c r="N277" i="12" s="1"/>
  <c r="N278" i="12" s="1"/>
  <c r="N279" i="12" s="1"/>
  <c r="N280" i="12" s="1"/>
  <c r="N281" i="12" s="1"/>
  <c r="N282" i="12" s="1"/>
  <c r="N283" i="12" s="1"/>
  <c r="N284" i="12" s="1"/>
  <c r="N285" i="12" s="1"/>
  <c r="N286" i="12" s="1"/>
  <c r="N287" i="12" s="1"/>
  <c r="N288" i="12" s="1"/>
  <c r="N289" i="12" s="1"/>
  <c r="N290" i="12" s="1"/>
  <c r="N291" i="12" s="1"/>
  <c r="N292" i="12" s="1"/>
  <c r="N293" i="12" s="1"/>
  <c r="N294" i="12" s="1"/>
  <c r="N295" i="12" s="1"/>
  <c r="N296" i="12" s="1"/>
  <c r="N297" i="12" s="1"/>
  <c r="N298" i="12" s="1"/>
  <c r="N299" i="12" s="1"/>
  <c r="N300" i="12" s="1"/>
  <c r="N301" i="12" s="1"/>
  <c r="N302" i="12" s="1"/>
  <c r="N303" i="12" s="1"/>
  <c r="N304" i="12" s="1"/>
  <c r="N305" i="12" s="1"/>
  <c r="N306" i="12" s="1"/>
  <c r="N307" i="12" s="1"/>
  <c r="N308" i="12" s="1"/>
  <c r="N309" i="12" s="1"/>
  <c r="N310" i="12" s="1"/>
  <c r="N311" i="12" s="1"/>
  <c r="N312" i="12" s="1"/>
  <c r="N313" i="12" s="1"/>
  <c r="N314" i="12" s="1"/>
  <c r="N315" i="12" s="1"/>
  <c r="N316" i="12" s="1"/>
  <c r="N317" i="12" s="1"/>
  <c r="N318" i="12" s="1"/>
  <c r="N319" i="12" s="1"/>
  <c r="N320" i="12" s="1"/>
  <c r="N321" i="12" s="1"/>
  <c r="N322" i="12" s="1"/>
  <c r="N323" i="12" s="1"/>
  <c r="N324" i="12" s="1"/>
  <c r="N325" i="12" s="1"/>
  <c r="N326" i="12" s="1"/>
  <c r="N327" i="12" s="1"/>
  <c r="N328" i="12" s="1"/>
  <c r="N329" i="12" s="1"/>
  <c r="N330" i="12" s="1"/>
  <c r="N331" i="12" s="1"/>
  <c r="N332" i="12" s="1"/>
  <c r="N333" i="12" s="1"/>
  <c r="N334" i="12" s="1"/>
  <c r="N335" i="12" s="1"/>
  <c r="N336" i="12" s="1"/>
  <c r="N337" i="12" s="1"/>
  <c r="N338" i="12" s="1"/>
  <c r="N339" i="12" s="1"/>
  <c r="N340" i="12" s="1"/>
  <c r="N341" i="12" s="1"/>
  <c r="N342" i="12" s="1"/>
  <c r="N343" i="12" s="1"/>
  <c r="N344" i="12" s="1"/>
  <c r="N345" i="12" s="1"/>
  <c r="N346" i="12" s="1"/>
  <c r="N347" i="12" s="1"/>
  <c r="N348" i="12" s="1"/>
  <c r="N349" i="12" s="1"/>
  <c r="N350" i="12" s="1"/>
  <c r="N351" i="12" s="1"/>
  <c r="N352" i="12" s="1"/>
  <c r="N353" i="12" s="1"/>
  <c r="N354" i="12" s="1"/>
  <c r="N355" i="12" s="1"/>
  <c r="N356" i="12" s="1"/>
  <c r="N357" i="12" s="1"/>
  <c r="N358" i="12" s="1"/>
  <c r="N359" i="12" s="1"/>
  <c r="N360" i="12" s="1"/>
  <c r="N361" i="12" s="1"/>
  <c r="N362" i="12" s="1"/>
  <c r="N363" i="12" s="1"/>
  <c r="N364" i="12" s="1"/>
  <c r="N365" i="12" s="1"/>
  <c r="N366" i="12" s="1"/>
  <c r="N367" i="12" s="1"/>
  <c r="N368" i="12" s="1"/>
  <c r="N369" i="12" s="1"/>
  <c r="N370" i="12" s="1"/>
  <c r="N371" i="12" s="1"/>
  <c r="N372" i="12" s="1"/>
  <c r="N373" i="12" s="1"/>
  <c r="N374" i="12" s="1"/>
  <c r="N375" i="12" s="1"/>
  <c r="N376" i="12" s="1"/>
  <c r="N377" i="12" s="1"/>
  <c r="N378" i="12" s="1"/>
  <c r="N379" i="12" s="1"/>
  <c r="N380" i="12" s="1"/>
  <c r="N381" i="12" s="1"/>
  <c r="N382" i="12" s="1"/>
  <c r="N383" i="12" s="1"/>
  <c r="N384" i="12" s="1"/>
  <c r="N385" i="12" s="1"/>
  <c r="N386" i="12" s="1"/>
  <c r="N387" i="12" s="1"/>
  <c r="N388" i="12" s="1"/>
  <c r="N389" i="12" s="1"/>
  <c r="N390" i="12" s="1"/>
  <c r="N391" i="12" s="1"/>
  <c r="N392" i="12" s="1"/>
  <c r="N393" i="12" s="1"/>
  <c r="N394" i="12" s="1"/>
  <c r="N395" i="12" s="1"/>
  <c r="N396" i="12" s="1"/>
  <c r="N397" i="12" s="1"/>
  <c r="N398" i="12" s="1"/>
  <c r="N399" i="12" s="1"/>
  <c r="N400" i="12" s="1"/>
  <c r="N401" i="12" s="1"/>
  <c r="N402" i="12" s="1"/>
  <c r="N403" i="12" s="1"/>
  <c r="N404" i="12" s="1"/>
  <c r="N405" i="12" s="1"/>
  <c r="N406" i="12" s="1"/>
  <c r="N407" i="12" s="1"/>
  <c r="N408" i="12" s="1"/>
  <c r="N409" i="12" s="1"/>
  <c r="N410" i="12" s="1"/>
  <c r="N411" i="12" s="1"/>
  <c r="N412" i="12" s="1"/>
  <c r="N413" i="12" s="1"/>
  <c r="N414" i="12" s="1"/>
  <c r="N415" i="12" s="1"/>
  <c r="N416" i="12" s="1"/>
  <c r="N417" i="12" s="1"/>
  <c r="N418" i="12" s="1"/>
  <c r="N419" i="12" s="1"/>
  <c r="N420" i="12" s="1"/>
  <c r="N421" i="12" s="1"/>
  <c r="N422" i="12" s="1"/>
  <c r="N423" i="12" s="1"/>
  <c r="N424" i="12" s="1"/>
  <c r="N425" i="12" s="1"/>
  <c r="N426" i="12" s="1"/>
  <c r="N427" i="12" s="1"/>
  <c r="N428" i="12" s="1"/>
  <c r="N429" i="12" s="1"/>
  <c r="N430" i="12" s="1"/>
  <c r="N431" i="12" s="1"/>
  <c r="N432" i="12" s="1"/>
  <c r="N433" i="12" s="1"/>
  <c r="N434" i="12" s="1"/>
  <c r="N435" i="12" s="1"/>
  <c r="N436" i="12" s="1"/>
  <c r="N437" i="12" s="1"/>
  <c r="N438" i="12" s="1"/>
  <c r="N439" i="12" s="1"/>
  <c r="N440" i="12" s="1"/>
  <c r="N441" i="12" s="1"/>
  <c r="N442" i="12" s="1"/>
  <c r="N443" i="12" s="1"/>
  <c r="N444" i="12" s="1"/>
  <c r="N445" i="12" s="1"/>
  <c r="N446" i="12" s="1"/>
  <c r="N447" i="12" s="1"/>
  <c r="N448" i="12" s="1"/>
  <c r="N449" i="12" s="1"/>
  <c r="N450" i="12" s="1"/>
  <c r="N451" i="12" s="1"/>
  <c r="N452" i="12" s="1"/>
  <c r="N453" i="12" s="1"/>
  <c r="N454" i="12" s="1"/>
  <c r="N455" i="12" s="1"/>
  <c r="N456" i="12" s="1"/>
  <c r="N457" i="12" s="1"/>
  <c r="N458" i="12" s="1"/>
  <c r="N459" i="12" s="1"/>
  <c r="N460" i="12" s="1"/>
  <c r="N461" i="12" s="1"/>
  <c r="N462" i="12" s="1"/>
  <c r="N463" i="12" s="1"/>
  <c r="N464" i="12" s="1"/>
  <c r="N465" i="12" s="1"/>
  <c r="N466" i="12" s="1"/>
  <c r="N467" i="12" s="1"/>
  <c r="N468" i="12" s="1"/>
  <c r="N469" i="12" s="1"/>
  <c r="N470" i="12" s="1"/>
  <c r="N471" i="12" s="1"/>
  <c r="N472" i="12" s="1"/>
  <c r="N473" i="12" s="1"/>
  <c r="N474" i="12" s="1"/>
  <c r="N475" i="12" s="1"/>
  <c r="N476" i="12" s="1"/>
  <c r="N477" i="12" s="1"/>
  <c r="N478" i="12" s="1"/>
  <c r="N479" i="12" s="1"/>
  <c r="N480" i="12" s="1"/>
  <c r="N481" i="12" s="1"/>
  <c r="N482" i="12" s="1"/>
  <c r="N483" i="12" s="1"/>
  <c r="N484" i="12" s="1"/>
  <c r="N485" i="12" s="1"/>
  <c r="N486" i="12" s="1"/>
  <c r="N487" i="12" s="1"/>
  <c r="N488" i="12" s="1"/>
  <c r="N489" i="12" s="1"/>
  <c r="N490" i="12" s="1"/>
  <c r="N491" i="12" s="1"/>
  <c r="N492" i="12" s="1"/>
  <c r="N493" i="12" s="1"/>
  <c r="N494" i="12" s="1"/>
  <c r="N495" i="12" s="1"/>
  <c r="N496" i="12" s="1"/>
  <c r="N497" i="12" s="1"/>
  <c r="N498" i="12" s="1"/>
  <c r="N499" i="12" s="1"/>
  <c r="N500" i="12" s="1"/>
  <c r="N501" i="12" s="1"/>
  <c r="N502" i="12" s="1"/>
  <c r="N503" i="12" s="1"/>
  <c r="N504" i="12" s="1"/>
  <c r="N505" i="12" s="1"/>
  <c r="N506" i="12" s="1"/>
  <c r="N507" i="12" s="1"/>
  <c r="N508" i="12" s="1"/>
  <c r="N509" i="12" s="1"/>
  <c r="N510" i="12" s="1"/>
  <c r="N511" i="12" s="1"/>
  <c r="N512" i="12" s="1"/>
  <c r="N513" i="12" s="1"/>
  <c r="N514" i="12" s="1"/>
  <c r="N515" i="12" s="1"/>
  <c r="N516" i="12" s="1"/>
  <c r="N517" i="12" s="1"/>
  <c r="N518" i="12" s="1"/>
  <c r="N519" i="12" s="1"/>
  <c r="N520" i="12" s="1"/>
  <c r="N521" i="12" s="1"/>
  <c r="N522" i="12" s="1"/>
  <c r="N523" i="12" s="1"/>
  <c r="N524" i="12" s="1"/>
  <c r="N525" i="12" s="1"/>
  <c r="N526" i="12" s="1"/>
  <c r="N527" i="12" s="1"/>
  <c r="N528" i="12" s="1"/>
  <c r="N529" i="12" s="1"/>
  <c r="N530" i="12" s="1"/>
  <c r="N531" i="12" s="1"/>
  <c r="N532" i="12" s="1"/>
  <c r="N533" i="12" s="1"/>
  <c r="N534" i="12" s="1"/>
  <c r="N535" i="12" s="1"/>
  <c r="N536" i="12" s="1"/>
  <c r="F16" i="12"/>
  <c r="F15" i="12"/>
  <c r="F14" i="12"/>
  <c r="F13" i="12"/>
  <c r="F12" i="12"/>
  <c r="F11" i="12"/>
  <c r="F10" i="12"/>
  <c r="F9" i="12"/>
  <c r="F8" i="12"/>
  <c r="F7" i="12"/>
  <c r="F6" i="12"/>
  <c r="F5" i="12"/>
  <c r="F4" i="12"/>
  <c r="F3" i="12"/>
  <c r="B9" i="12"/>
  <c r="B6" i="12"/>
  <c r="B10" i="12"/>
  <c r="B7" i="12"/>
  <c r="B3" i="12"/>
  <c r="B5" i="12"/>
  <c r="B4" i="12"/>
  <c r="B11" i="12"/>
  <c r="B14" i="12"/>
  <c r="B13" i="12"/>
  <c r="B12" i="12"/>
  <c r="B15" i="12"/>
  <c r="B8" i="12"/>
  <c r="B16" i="12"/>
  <c r="O19" i="12"/>
  <c r="J4" i="7" l="1"/>
  <c r="J5" i="7"/>
  <c r="J6" i="7"/>
  <c r="J7" i="7"/>
  <c r="J3" i="7"/>
  <c r="O20" i="12"/>
  <c r="A1" i="7" l="1"/>
  <c r="L4" i="7"/>
  <c r="L6" i="7"/>
  <c r="L7" i="7"/>
  <c r="L5" i="7"/>
  <c r="L3" i="7"/>
  <c r="O21" i="12"/>
  <c r="K15" i="6" l="1"/>
  <c r="O22" i="12"/>
  <c r="A2" i="4" l="1"/>
  <c r="H3" i="4"/>
  <c r="B2" i="4"/>
  <c r="C2" i="4"/>
  <c r="H2" i="4"/>
  <c r="C7" i="4"/>
  <c r="C4" i="12"/>
  <c r="C5" i="4"/>
  <c r="B7" i="4"/>
  <c r="I7" i="4"/>
  <c r="H4" i="4"/>
  <c r="C3" i="12"/>
  <c r="I5" i="4"/>
  <c r="B3" i="4"/>
  <c r="I4" i="4"/>
  <c r="O23" i="12"/>
  <c r="C5" i="12"/>
  <c r="B5" i="4"/>
  <c r="H5" i="4"/>
  <c r="C3" i="4"/>
  <c r="H7" i="4"/>
  <c r="I2" i="4"/>
  <c r="B4" i="4"/>
  <c r="I3" i="4"/>
  <c r="C4" i="4"/>
  <c r="C11" i="12" l="1"/>
  <c r="C6" i="12"/>
  <c r="C13" i="12" s="1"/>
  <c r="C12" i="12"/>
  <c r="C10" i="12"/>
  <c r="J1" i="7"/>
  <c r="O24" i="12"/>
  <c r="K1" i="7" l="1"/>
  <c r="K2" i="7"/>
  <c r="O25" i="12"/>
  <c r="D7" i="6" l="1"/>
  <c r="D23" i="6"/>
  <c r="C7" i="12"/>
  <c r="D6" i="6"/>
  <c r="L2" i="7"/>
  <c r="O26" i="12"/>
  <c r="M22" i="13"/>
  <c r="M20" i="13"/>
  <c r="M8" i="13"/>
  <c r="B1" i="6"/>
  <c r="M12" i="13"/>
  <c r="M3" i="13"/>
  <c r="M7" i="13"/>
  <c r="M21" i="13"/>
  <c r="D21" i="6"/>
  <c r="M10" i="13"/>
  <c r="M9" i="13"/>
  <c r="M13" i="13"/>
  <c r="A20" i="4" l="1"/>
  <c r="A27" i="4"/>
  <c r="A9" i="4"/>
  <c r="A16" i="4"/>
  <c r="A8" i="4"/>
  <c r="A21" i="4"/>
  <c r="A11" i="4"/>
  <c r="A19" i="4"/>
  <c r="A14" i="4"/>
  <c r="A25" i="4"/>
  <c r="A29" i="4"/>
  <c r="A24" i="4"/>
  <c r="A23" i="4"/>
  <c r="A12" i="4"/>
  <c r="A13" i="4"/>
  <c r="A22" i="4"/>
  <c r="A17" i="4"/>
  <c r="A18" i="4"/>
  <c r="A26" i="4"/>
  <c r="A15" i="4"/>
  <c r="A28" i="4"/>
  <c r="J1" i="13"/>
  <c r="K1" i="13" s="1"/>
  <c r="L1" i="13" s="1"/>
  <c r="C8" i="12"/>
  <c r="C14" i="12"/>
  <c r="D9" i="6"/>
  <c r="D16" i="6"/>
  <c r="D20" i="6"/>
  <c r="E20" i="6"/>
  <c r="E21" i="6"/>
  <c r="B10" i="4"/>
  <c r="O27" i="12"/>
  <c r="M25" i="13"/>
  <c r="B27" i="4"/>
  <c r="B22" i="4"/>
  <c r="B25" i="4"/>
  <c r="B23" i="4"/>
  <c r="M15" i="13"/>
  <c r="M23" i="13"/>
  <c r="M5" i="13"/>
  <c r="B14" i="4"/>
  <c r="B16" i="4"/>
  <c r="B11" i="4"/>
  <c r="M18" i="13"/>
  <c r="M26" i="13"/>
  <c r="B8" i="4"/>
  <c r="B28" i="4"/>
  <c r="B15" i="4"/>
  <c r="M24" i="13"/>
  <c r="B26" i="4"/>
  <c r="B13" i="4"/>
  <c r="M6" i="13"/>
  <c r="B24" i="4"/>
  <c r="B20" i="4"/>
  <c r="M19" i="13"/>
  <c r="M11" i="13"/>
  <c r="M17" i="13"/>
  <c r="M16" i="13"/>
  <c r="B19" i="4"/>
  <c r="B9" i="4"/>
  <c r="B29" i="4"/>
  <c r="B21" i="4"/>
  <c r="M14" i="13"/>
  <c r="B18" i="4"/>
  <c r="B17" i="4"/>
  <c r="B12" i="4"/>
  <c r="C15" i="12" l="1"/>
  <c r="C9" i="12"/>
  <c r="C16" i="12" s="1"/>
  <c r="I12" i="4"/>
  <c r="D23" i="4"/>
  <c r="C13" i="4"/>
  <c r="D26" i="4"/>
  <c r="H22" i="4"/>
  <c r="H10" i="4"/>
  <c r="I14" i="4"/>
  <c r="H25" i="4"/>
  <c r="C29" i="4"/>
  <c r="H23" i="4"/>
  <c r="I22" i="4"/>
  <c r="H29" i="4"/>
  <c r="C12" i="4"/>
  <c r="D27" i="4"/>
  <c r="H26" i="4"/>
  <c r="D15" i="4"/>
  <c r="O28" i="12"/>
  <c r="C18" i="4"/>
  <c r="C15" i="4"/>
  <c r="H27" i="4"/>
  <c r="H15" i="4"/>
  <c r="D14" i="4"/>
  <c r="I17" i="4"/>
  <c r="D17" i="4"/>
  <c r="H16" i="4"/>
  <c r="H24" i="4"/>
  <c r="I24" i="4"/>
  <c r="C14" i="4"/>
  <c r="H19" i="4"/>
  <c r="C28" i="4"/>
  <c r="I10" i="4"/>
  <c r="C27" i="4"/>
  <c r="D12" i="4"/>
  <c r="D11" i="4"/>
  <c r="C23" i="4"/>
  <c r="I18" i="4"/>
  <c r="D8" i="4"/>
  <c r="I9" i="4"/>
  <c r="D22" i="4"/>
  <c r="I23" i="4"/>
  <c r="C19" i="4"/>
  <c r="I27" i="4"/>
  <c r="D24" i="4"/>
  <c r="C20" i="4"/>
  <c r="H9" i="4"/>
  <c r="C24" i="4"/>
  <c r="D19" i="4"/>
  <c r="I20" i="4"/>
  <c r="H12" i="4"/>
  <c r="C16" i="4"/>
  <c r="I15" i="4"/>
  <c r="I19" i="4"/>
  <c r="D29" i="4"/>
  <c r="H13" i="4"/>
  <c r="I26" i="4"/>
  <c r="I16" i="4"/>
  <c r="I21" i="4"/>
  <c r="I25" i="4"/>
  <c r="D10" i="4"/>
  <c r="H21" i="4"/>
  <c r="H14" i="4"/>
  <c r="C21" i="4"/>
  <c r="I28" i="4"/>
  <c r="I11" i="4"/>
  <c r="D16" i="4"/>
  <c r="I8" i="4"/>
  <c r="C9" i="4"/>
  <c r="D21" i="4"/>
  <c r="D20" i="4"/>
  <c r="I29" i="4"/>
  <c r="C10" i="4"/>
  <c r="H17" i="4"/>
  <c r="C11" i="4"/>
  <c r="D13" i="4"/>
  <c r="D18" i="4"/>
  <c r="H20" i="4"/>
  <c r="C17" i="4"/>
  <c r="D28" i="4"/>
  <c r="C22" i="4"/>
  <c r="C25" i="4"/>
  <c r="H18" i="4"/>
  <c r="H8" i="4"/>
  <c r="H28" i="4"/>
  <c r="I13" i="4"/>
  <c r="D25" i="4"/>
  <c r="C26" i="4"/>
  <c r="D2" i="5" a="1"/>
  <c r="C8" i="4"/>
  <c r="H11" i="4"/>
  <c r="D9" i="4"/>
  <c r="D118" i="5" l="1"/>
  <c r="D17" i="5"/>
  <c r="D92" i="5"/>
  <c r="D101" i="5"/>
  <c r="D54" i="5"/>
  <c r="D43" i="5"/>
  <c r="D97" i="5"/>
  <c r="D53" i="5"/>
  <c r="D12" i="5"/>
  <c r="D21" i="5"/>
  <c r="D47" i="5"/>
  <c r="D115" i="5"/>
  <c r="D16" i="5"/>
  <c r="D104" i="5"/>
  <c r="D18" i="5"/>
  <c r="D116" i="5"/>
  <c r="D4" i="5"/>
  <c r="D67" i="5"/>
  <c r="D35" i="5"/>
  <c r="D111" i="5"/>
  <c r="D105" i="5"/>
  <c r="D10" i="5"/>
  <c r="D20" i="5"/>
  <c r="D65" i="5"/>
  <c r="D25" i="5"/>
  <c r="D52" i="5"/>
  <c r="D91" i="5"/>
  <c r="D96" i="5"/>
  <c r="D107" i="5"/>
  <c r="D5" i="5"/>
  <c r="D41" i="5"/>
  <c r="D55" i="5"/>
  <c r="D112" i="5"/>
  <c r="D70" i="5"/>
  <c r="D80" i="5"/>
  <c r="D110" i="5"/>
  <c r="D88" i="5"/>
  <c r="D50" i="5"/>
  <c r="D69" i="5"/>
  <c r="D103" i="5"/>
  <c r="D34" i="5"/>
  <c r="D24" i="5"/>
  <c r="D62" i="5"/>
  <c r="D90" i="5"/>
  <c r="D120" i="5"/>
  <c r="D99" i="5"/>
  <c r="D36" i="5"/>
  <c r="D33" i="5"/>
  <c r="D15" i="5"/>
  <c r="D49" i="5"/>
  <c r="D119" i="5"/>
  <c r="D45" i="5"/>
  <c r="D38" i="5"/>
  <c r="D82" i="5"/>
  <c r="D109" i="5"/>
  <c r="D57" i="5"/>
  <c r="D3" i="5"/>
  <c r="D14" i="5"/>
  <c r="D78" i="5"/>
  <c r="D117" i="5"/>
  <c r="D26" i="5"/>
  <c r="D8" i="5"/>
  <c r="D126" i="5"/>
  <c r="D95" i="5"/>
  <c r="D64" i="5"/>
  <c r="D59" i="5"/>
  <c r="D2" i="5"/>
  <c r="D56" i="5"/>
  <c r="D63" i="5"/>
  <c r="D71" i="5"/>
  <c r="D31" i="5"/>
  <c r="D94" i="5"/>
  <c r="D13" i="5"/>
  <c r="D106" i="5"/>
  <c r="D7" i="5"/>
  <c r="D108" i="5"/>
  <c r="D39" i="5"/>
  <c r="D27" i="5"/>
  <c r="D40" i="5"/>
  <c r="D30" i="5"/>
  <c r="D124" i="5"/>
  <c r="D125" i="5"/>
  <c r="D46" i="5"/>
  <c r="D86" i="5"/>
  <c r="D28" i="5"/>
  <c r="D44" i="5"/>
  <c r="D32" i="5"/>
  <c r="D122" i="5"/>
  <c r="D114" i="5"/>
  <c r="D100" i="5"/>
  <c r="D89" i="5"/>
  <c r="D85" i="5"/>
  <c r="D76" i="5"/>
  <c r="D42" i="5"/>
  <c r="D74" i="5"/>
  <c r="D72" i="5"/>
  <c r="D102" i="5"/>
  <c r="D83" i="5"/>
  <c r="D93" i="5"/>
  <c r="D66" i="5"/>
  <c r="D60" i="5"/>
  <c r="D23" i="5"/>
  <c r="D61" i="5"/>
  <c r="D77" i="5"/>
  <c r="D121" i="5"/>
  <c r="D81" i="5"/>
  <c r="D9" i="5"/>
  <c r="D51" i="5"/>
  <c r="D68" i="5"/>
  <c r="D11" i="5"/>
  <c r="D6" i="5"/>
  <c r="D113" i="5"/>
  <c r="D19" i="5"/>
  <c r="D48" i="5"/>
  <c r="D87" i="5"/>
  <c r="D73" i="5"/>
  <c r="D37" i="5"/>
  <c r="D98" i="5"/>
  <c r="D123" i="5"/>
  <c r="D22" i="5"/>
  <c r="D75" i="5"/>
  <c r="D29" i="5"/>
  <c r="D79" i="5"/>
  <c r="D58" i="5"/>
  <c r="D84" i="5"/>
  <c r="H81" i="5"/>
  <c r="I64" i="5"/>
  <c r="H82" i="5"/>
  <c r="I66" i="5"/>
  <c r="H15" i="5"/>
  <c r="I78" i="5"/>
  <c r="I44" i="5"/>
  <c r="G40" i="5"/>
  <c r="I115" i="5"/>
  <c r="E59" i="5"/>
  <c r="I24" i="5"/>
  <c r="I73" i="5"/>
  <c r="G21" i="5"/>
  <c r="H100" i="5"/>
  <c r="I58" i="5"/>
  <c r="F51" i="5"/>
  <c r="E6" i="5"/>
  <c r="E109" i="5"/>
  <c r="I36" i="5"/>
  <c r="E25" i="5"/>
  <c r="E121" i="5"/>
  <c r="H57" i="5"/>
  <c r="E31" i="5"/>
  <c r="E8" i="5"/>
  <c r="E65" i="5"/>
  <c r="F18" i="5"/>
  <c r="H6" i="5"/>
  <c r="H116" i="5"/>
  <c r="G71" i="5"/>
  <c r="H31" i="5"/>
  <c r="G73" i="5"/>
  <c r="I89" i="5"/>
  <c r="I20" i="5"/>
  <c r="E48" i="5"/>
  <c r="F35" i="5"/>
  <c r="E95" i="5"/>
  <c r="E35" i="5"/>
  <c r="G100" i="5"/>
  <c r="E120" i="5"/>
  <c r="E15" i="5"/>
  <c r="E62" i="5"/>
  <c r="G114" i="5"/>
  <c r="G111" i="5"/>
  <c r="F41" i="5"/>
  <c r="E29" i="5"/>
  <c r="F122" i="5"/>
  <c r="G36" i="5"/>
  <c r="F77" i="5"/>
  <c r="E51" i="5"/>
  <c r="F3" i="5"/>
  <c r="F116" i="5"/>
  <c r="E118" i="5"/>
  <c r="F45" i="5"/>
  <c r="H90" i="5"/>
  <c r="F52" i="5"/>
  <c r="H94" i="5"/>
  <c r="G27" i="5"/>
  <c r="F13" i="5"/>
  <c r="H40" i="5"/>
  <c r="H32" i="5"/>
  <c r="H62" i="5"/>
  <c r="F20" i="5"/>
  <c r="I104" i="5"/>
  <c r="G14" i="5"/>
  <c r="E44" i="5"/>
  <c r="H28" i="5"/>
  <c r="H124" i="5"/>
  <c r="G75" i="5"/>
  <c r="F61" i="5"/>
  <c r="E18" i="5"/>
  <c r="F105" i="5"/>
  <c r="I34" i="5"/>
  <c r="F37" i="5"/>
  <c r="G55" i="5"/>
  <c r="F2" i="5"/>
  <c r="H120" i="5"/>
  <c r="G107" i="5"/>
  <c r="E42" i="5"/>
  <c r="E119" i="5"/>
  <c r="E116" i="5"/>
  <c r="E85" i="5"/>
  <c r="H109" i="5"/>
  <c r="G99" i="5"/>
  <c r="H60" i="5"/>
  <c r="G95" i="5"/>
  <c r="G69" i="5"/>
  <c r="I98" i="5"/>
  <c r="H102" i="5"/>
  <c r="F70" i="5"/>
  <c r="E36" i="5"/>
  <c r="E87" i="5"/>
  <c r="E78" i="5"/>
  <c r="G10" i="5"/>
  <c r="G101" i="5"/>
  <c r="E80" i="5"/>
  <c r="I103" i="5"/>
  <c r="E2" i="5"/>
  <c r="F115" i="5"/>
  <c r="E79" i="5"/>
  <c r="E5" i="5"/>
  <c r="G81" i="5"/>
  <c r="E76" i="5"/>
  <c r="G72" i="5"/>
  <c r="I47" i="5"/>
  <c r="G90" i="5"/>
  <c r="H70" i="5"/>
  <c r="E37" i="5"/>
  <c r="D14" i="6"/>
  <c r="E14" i="5"/>
  <c r="F83" i="5"/>
  <c r="E21" i="5"/>
  <c r="I56" i="5"/>
  <c r="I125" i="5"/>
  <c r="I100" i="5"/>
  <c r="G123" i="5"/>
  <c r="E90" i="5"/>
  <c r="F30" i="5"/>
  <c r="E46" i="5"/>
  <c r="F9" i="5"/>
  <c r="H121" i="5"/>
  <c r="I29" i="5"/>
  <c r="H98" i="5"/>
  <c r="E54" i="5"/>
  <c r="E23" i="5"/>
  <c r="F56" i="5"/>
  <c r="I111" i="5"/>
  <c r="F7" i="5"/>
  <c r="H114" i="5"/>
  <c r="F5" i="5"/>
  <c r="E63" i="5"/>
  <c r="H35" i="5"/>
  <c r="E61" i="5"/>
  <c r="I19" i="5"/>
  <c r="F24" i="5"/>
  <c r="G51" i="5"/>
  <c r="I86" i="5"/>
  <c r="F86" i="5"/>
  <c r="G106" i="5"/>
  <c r="G119" i="5"/>
  <c r="E123" i="5"/>
  <c r="H96" i="5"/>
  <c r="E34" i="5"/>
  <c r="E17" i="5"/>
  <c r="F104" i="5"/>
  <c r="F26" i="5"/>
  <c r="H45" i="5"/>
  <c r="G39" i="5"/>
  <c r="E88" i="5"/>
  <c r="F68" i="5"/>
  <c r="I76" i="5"/>
  <c r="H23" i="5"/>
  <c r="I60" i="5"/>
  <c r="E108" i="5"/>
  <c r="F95" i="5"/>
  <c r="E111" i="5"/>
  <c r="H9" i="5"/>
  <c r="I82" i="5"/>
  <c r="G59" i="5"/>
  <c r="G65" i="5"/>
  <c r="G41" i="5"/>
  <c r="G52" i="5"/>
  <c r="E112" i="5"/>
  <c r="F78" i="5"/>
  <c r="H75" i="5"/>
  <c r="H89" i="5"/>
  <c r="G20" i="5"/>
  <c r="F12" i="5"/>
  <c r="I4" i="5"/>
  <c r="I120" i="5"/>
  <c r="E126" i="5"/>
  <c r="F57" i="5"/>
  <c r="I80" i="5"/>
  <c r="F97" i="5"/>
  <c r="H46" i="5"/>
  <c r="F16" i="5"/>
  <c r="G15" i="5"/>
  <c r="I91" i="5"/>
  <c r="I97" i="5"/>
  <c r="G84" i="5"/>
  <c r="H73" i="5"/>
  <c r="E81" i="5"/>
  <c r="D15" i="6"/>
  <c r="E100" i="5"/>
  <c r="I23" i="5"/>
  <c r="I79" i="5"/>
  <c r="E84" i="5"/>
  <c r="I17" i="5"/>
  <c r="F91" i="5"/>
  <c r="H64" i="5"/>
  <c r="H74" i="5"/>
  <c r="F63" i="5"/>
  <c r="F34" i="5"/>
  <c r="F98" i="5"/>
  <c r="G23" i="5"/>
  <c r="I87" i="5"/>
  <c r="F126" i="5"/>
  <c r="F47" i="5"/>
  <c r="I46" i="5"/>
  <c r="H12" i="5"/>
  <c r="G19" i="5"/>
  <c r="H106" i="5"/>
  <c r="F54" i="5"/>
  <c r="F85" i="5"/>
  <c r="I26" i="5"/>
  <c r="I2" i="5"/>
  <c r="I72" i="5"/>
  <c r="G49" i="5"/>
  <c r="E106" i="5"/>
  <c r="G64" i="5"/>
  <c r="G116" i="5"/>
  <c r="G35" i="5"/>
  <c r="I50" i="5"/>
  <c r="I32" i="5"/>
  <c r="E32" i="5"/>
  <c r="F82" i="5"/>
  <c r="F94" i="5"/>
  <c r="I35" i="5"/>
  <c r="H52" i="5"/>
  <c r="E24" i="5"/>
  <c r="H16" i="5"/>
  <c r="E52" i="5"/>
  <c r="H26" i="5"/>
  <c r="H76" i="5"/>
  <c r="I40" i="5"/>
  <c r="I25" i="5"/>
  <c r="I101" i="5"/>
  <c r="H122" i="5"/>
  <c r="F43" i="5"/>
  <c r="E27" i="5"/>
  <c r="G53" i="5"/>
  <c r="I30" i="5"/>
  <c r="E103" i="5"/>
  <c r="F50" i="5"/>
  <c r="I70" i="5"/>
  <c r="I92" i="5"/>
  <c r="E89" i="5"/>
  <c r="I57" i="5"/>
  <c r="H87" i="5"/>
  <c r="H47" i="5"/>
  <c r="G77" i="5"/>
  <c r="I28" i="5"/>
  <c r="F11" i="5"/>
  <c r="E101" i="5"/>
  <c r="G105" i="5"/>
  <c r="I114" i="5"/>
  <c r="G70" i="5"/>
  <c r="E86" i="5"/>
  <c r="I62" i="5"/>
  <c r="H72" i="5"/>
  <c r="E67" i="5"/>
  <c r="I45" i="5"/>
  <c r="E68" i="5"/>
  <c r="G120" i="5"/>
  <c r="I55" i="5"/>
  <c r="F110" i="5"/>
  <c r="G33" i="5"/>
  <c r="F23" i="5"/>
  <c r="E50" i="5"/>
  <c r="E43" i="5"/>
  <c r="E77" i="5"/>
  <c r="I53" i="5"/>
  <c r="G44" i="5"/>
  <c r="F106" i="5"/>
  <c r="G22" i="5"/>
  <c r="F4" i="5"/>
  <c r="I124" i="5"/>
  <c r="E19" i="5"/>
  <c r="F53" i="5"/>
  <c r="H111" i="5"/>
  <c r="F32" i="5"/>
  <c r="G58" i="5"/>
  <c r="G91" i="5"/>
  <c r="G67" i="5"/>
  <c r="E125" i="5"/>
  <c r="E70" i="5"/>
  <c r="F107" i="5"/>
  <c r="G68" i="5"/>
  <c r="F25" i="5"/>
  <c r="H112" i="5"/>
  <c r="F111" i="5"/>
  <c r="E122" i="5"/>
  <c r="F96" i="5"/>
  <c r="E13" i="5"/>
  <c r="F117" i="5"/>
  <c r="F90" i="5"/>
  <c r="H110" i="5"/>
  <c r="F40" i="5"/>
  <c r="G80" i="5"/>
  <c r="E22" i="5"/>
  <c r="G3" i="5"/>
  <c r="I107" i="5"/>
  <c r="I65" i="5"/>
  <c r="F29" i="5"/>
  <c r="H48" i="5"/>
  <c r="F92" i="5"/>
  <c r="F71" i="5"/>
  <c r="E45" i="5"/>
  <c r="I63" i="5"/>
  <c r="F39" i="5"/>
  <c r="E110" i="5"/>
  <c r="E28" i="5"/>
  <c r="I123" i="5"/>
  <c r="F60" i="5"/>
  <c r="F75" i="5"/>
  <c r="G88" i="5"/>
  <c r="H10" i="5"/>
  <c r="I14" i="5"/>
  <c r="H4" i="5"/>
  <c r="G87" i="5"/>
  <c r="G122" i="5"/>
  <c r="G125" i="5"/>
  <c r="H5" i="5"/>
  <c r="I11" i="5"/>
  <c r="H107" i="5"/>
  <c r="F125" i="5"/>
  <c r="F100" i="5"/>
  <c r="E75" i="5"/>
  <c r="I84" i="5"/>
  <c r="G126" i="5"/>
  <c r="H50" i="5"/>
  <c r="I116" i="5"/>
  <c r="E33" i="5"/>
  <c r="F65" i="5"/>
  <c r="E3" i="5"/>
  <c r="I12" i="5"/>
  <c r="H68" i="5"/>
  <c r="G112" i="5"/>
  <c r="E113" i="5"/>
  <c r="H17" i="5"/>
  <c r="F73" i="5"/>
  <c r="I54" i="5"/>
  <c r="G86" i="5"/>
  <c r="G83" i="5"/>
  <c r="G110" i="5"/>
  <c r="F67" i="5"/>
  <c r="I16" i="5"/>
  <c r="E26" i="5"/>
  <c r="F76" i="5"/>
  <c r="E69" i="5"/>
  <c r="E40" i="5"/>
  <c r="G96" i="5"/>
  <c r="H33" i="5"/>
  <c r="G89" i="5"/>
  <c r="G24" i="5"/>
  <c r="E124" i="5"/>
  <c r="G31" i="5"/>
  <c r="H126" i="5"/>
  <c r="E66" i="5"/>
  <c r="R16" i="12"/>
  <c r="G76" i="5"/>
  <c r="E60" i="5"/>
  <c r="H37" i="5"/>
  <c r="H92" i="5"/>
  <c r="H43" i="5"/>
  <c r="F81" i="5"/>
  <c r="H51" i="5"/>
  <c r="I119" i="5"/>
  <c r="I52" i="5"/>
  <c r="Q16" i="12"/>
  <c r="G108" i="5"/>
  <c r="H59" i="5"/>
  <c r="F14" i="5"/>
  <c r="H83" i="5"/>
  <c r="F15" i="5"/>
  <c r="G82" i="5"/>
  <c r="G60" i="5"/>
  <c r="E104" i="5"/>
  <c r="H105" i="5"/>
  <c r="E114" i="5"/>
  <c r="E4" i="5"/>
  <c r="F10" i="5"/>
  <c r="G2" i="5"/>
  <c r="H88" i="5"/>
  <c r="H69" i="5"/>
  <c r="F33" i="5"/>
  <c r="G47" i="5"/>
  <c r="H85" i="5"/>
  <c r="I113" i="5"/>
  <c r="F8" i="5"/>
  <c r="I48" i="5"/>
  <c r="I33" i="5"/>
  <c r="G61" i="5"/>
  <c r="G63" i="5"/>
  <c r="E99" i="5"/>
  <c r="E7" i="5"/>
  <c r="G74" i="5"/>
  <c r="I94" i="5"/>
  <c r="I42" i="5"/>
  <c r="H91" i="5"/>
  <c r="H123" i="5"/>
  <c r="I10" i="5"/>
  <c r="G32" i="5"/>
  <c r="G42" i="5"/>
  <c r="E73" i="5"/>
  <c r="G94" i="5"/>
  <c r="E71" i="5"/>
  <c r="I75" i="5"/>
  <c r="H104" i="5"/>
  <c r="I102" i="5"/>
  <c r="E58" i="5"/>
  <c r="I5" i="5"/>
  <c r="H63" i="5"/>
  <c r="I108" i="5"/>
  <c r="H20" i="5"/>
  <c r="G57" i="5"/>
  <c r="I68" i="5"/>
  <c r="G13" i="5"/>
  <c r="E11" i="5"/>
  <c r="G46" i="5"/>
  <c r="P23" i="12"/>
  <c r="H101" i="5"/>
  <c r="H11" i="5"/>
  <c r="G45" i="5"/>
  <c r="G115" i="5"/>
  <c r="E49" i="5"/>
  <c r="I38" i="5"/>
  <c r="E96" i="5"/>
  <c r="I112" i="5"/>
  <c r="I122" i="5"/>
  <c r="E93" i="5"/>
  <c r="F17" i="5"/>
  <c r="O29" i="12"/>
  <c r="O30" i="12" s="1"/>
  <c r="F31" i="5"/>
  <c r="H41" i="5"/>
  <c r="F27" i="5"/>
  <c r="H103" i="5"/>
  <c r="I27" i="5"/>
  <c r="E9" i="5"/>
  <c r="E57" i="5"/>
  <c r="I39" i="5"/>
  <c r="E105" i="5"/>
  <c r="H36" i="5"/>
  <c r="G121" i="5"/>
  <c r="H108" i="5"/>
  <c r="F19" i="5"/>
  <c r="I69" i="5"/>
  <c r="H53" i="5"/>
  <c r="H97" i="5"/>
  <c r="H61" i="5"/>
  <c r="H118" i="5"/>
  <c r="F62" i="5"/>
  <c r="H77" i="5"/>
  <c r="G62" i="5"/>
  <c r="H113" i="5"/>
  <c r="I126" i="5"/>
  <c r="H84" i="5"/>
  <c r="F48" i="5"/>
  <c r="G54" i="5"/>
  <c r="F99" i="5"/>
  <c r="H54" i="5"/>
  <c r="F46" i="5"/>
  <c r="G117" i="5"/>
  <c r="I96" i="5"/>
  <c r="G124" i="5"/>
  <c r="H56" i="5"/>
  <c r="F84" i="5"/>
  <c r="H119" i="5"/>
  <c r="H115" i="5"/>
  <c r="G78" i="5"/>
  <c r="G50" i="5"/>
  <c r="H71" i="5"/>
  <c r="G66" i="5"/>
  <c r="H25" i="5"/>
  <c r="H24" i="5"/>
  <c r="I117" i="5"/>
  <c r="H2" i="5"/>
  <c r="F102" i="5"/>
  <c r="I109" i="5"/>
  <c r="I85" i="5"/>
  <c r="I49" i="5"/>
  <c r="I81" i="5"/>
  <c r="F74" i="5"/>
  <c r="F59" i="5"/>
  <c r="E74" i="5"/>
  <c r="E30" i="5"/>
  <c r="E10" i="5"/>
  <c r="H79" i="5"/>
  <c r="G16" i="5"/>
  <c r="J1" i="5" a="1"/>
  <c r="C27" i="6"/>
  <c r="H99" i="5"/>
  <c r="H49" i="5"/>
  <c r="I8" i="5"/>
  <c r="G109" i="5"/>
  <c r="G113" i="5"/>
  <c r="I67" i="5"/>
  <c r="F22" i="5"/>
  <c r="G79" i="5"/>
  <c r="E64" i="5"/>
  <c r="E20" i="5"/>
  <c r="E82" i="5"/>
  <c r="F123" i="5"/>
  <c r="I31" i="5"/>
  <c r="I61" i="5"/>
  <c r="G97" i="5"/>
  <c r="E16" i="5"/>
  <c r="H38" i="5"/>
  <c r="E117" i="5"/>
  <c r="E56" i="5"/>
  <c r="H55" i="5"/>
  <c r="I6" i="5"/>
  <c r="H30" i="5"/>
  <c r="H29" i="5"/>
  <c r="I41" i="5"/>
  <c r="H44" i="5"/>
  <c r="I93" i="5"/>
  <c r="G103" i="5"/>
  <c r="I110" i="5"/>
  <c r="F113" i="5"/>
  <c r="H117" i="5"/>
  <c r="G8" i="5"/>
  <c r="F118" i="5"/>
  <c r="H66" i="5"/>
  <c r="G26" i="5"/>
  <c r="F58" i="5"/>
  <c r="I105" i="5"/>
  <c r="F28" i="5"/>
  <c r="E12" i="5"/>
  <c r="E94" i="5"/>
  <c r="G12" i="5"/>
  <c r="P24" i="12"/>
  <c r="E39" i="5"/>
  <c r="E92" i="5"/>
  <c r="F55" i="5"/>
  <c r="I95" i="5"/>
  <c r="G9" i="5"/>
  <c r="H93" i="5"/>
  <c r="F49" i="5"/>
  <c r="G118" i="5"/>
  <c r="H14" i="5"/>
  <c r="G29" i="5"/>
  <c r="F124" i="5"/>
  <c r="E53" i="5"/>
  <c r="F66" i="5"/>
  <c r="I21" i="5"/>
  <c r="G17" i="5"/>
  <c r="H8" i="5"/>
  <c r="I51" i="5"/>
  <c r="H65" i="5"/>
  <c r="F44" i="5"/>
  <c r="F93" i="5"/>
  <c r="H95" i="5"/>
  <c r="I71" i="5"/>
  <c r="H78" i="5"/>
  <c r="I88" i="5"/>
  <c r="E55" i="5"/>
  <c r="F6" i="5"/>
  <c r="F109" i="5"/>
  <c r="H80" i="5"/>
  <c r="F114" i="5"/>
  <c r="F38" i="5"/>
  <c r="I15" i="5"/>
  <c r="P20" i="12"/>
  <c r="I7" i="5"/>
  <c r="G4" i="5"/>
  <c r="I9" i="5"/>
  <c r="F88" i="5"/>
  <c r="I83" i="5"/>
  <c r="E98" i="5"/>
  <c r="H27" i="5"/>
  <c r="H13" i="5"/>
  <c r="I121" i="5"/>
  <c r="I74" i="5"/>
  <c r="G85" i="5"/>
  <c r="E47" i="5"/>
  <c r="P25" i="12"/>
  <c r="F79" i="5"/>
  <c r="H67" i="5"/>
  <c r="H58" i="5"/>
  <c r="G38" i="5"/>
  <c r="G6" i="5"/>
  <c r="F21" i="5"/>
  <c r="H19" i="5"/>
  <c r="F112" i="5"/>
  <c r="G43" i="5"/>
  <c r="I13" i="5"/>
  <c r="F87" i="5"/>
  <c r="H3" i="5"/>
  <c r="I37" i="5"/>
  <c r="E83" i="5"/>
  <c r="I22" i="5"/>
  <c r="G37" i="5"/>
  <c r="P22" i="12"/>
  <c r="I3" i="5"/>
  <c r="E107" i="5"/>
  <c r="F64" i="5"/>
  <c r="H125" i="5"/>
  <c r="H42" i="5"/>
  <c r="G11" i="5"/>
  <c r="I118" i="5"/>
  <c r="G18" i="5"/>
  <c r="F120" i="5"/>
  <c r="E72" i="5"/>
  <c r="G104" i="5"/>
  <c r="F89" i="5"/>
  <c r="H21" i="5"/>
  <c r="G28" i="5"/>
  <c r="G48" i="5"/>
  <c r="E41" i="5"/>
  <c r="H18" i="5"/>
  <c r="E91" i="5"/>
  <c r="F80" i="5"/>
  <c r="G5" i="5"/>
  <c r="I90" i="5"/>
  <c r="I18" i="5"/>
  <c r="G102" i="5"/>
  <c r="F103" i="5"/>
  <c r="I43" i="5"/>
  <c r="G98" i="5"/>
  <c r="G7" i="5"/>
  <c r="F101" i="5"/>
  <c r="G34" i="5"/>
  <c r="I59" i="5"/>
  <c r="F119" i="5"/>
  <c r="G30" i="5"/>
  <c r="E97" i="5"/>
  <c r="H34" i="5"/>
  <c r="F121" i="5"/>
  <c r="H86" i="5"/>
  <c r="G56" i="5"/>
  <c r="G25" i="5"/>
  <c r="I106" i="5"/>
  <c r="F72" i="5"/>
  <c r="F42" i="5"/>
  <c r="H39" i="5"/>
  <c r="G93" i="5"/>
  <c r="H22" i="5"/>
  <c r="E115" i="5"/>
  <c r="F108" i="5"/>
  <c r="G92" i="5"/>
  <c r="H7" i="5"/>
  <c r="J23" i="12"/>
  <c r="I77" i="5"/>
  <c r="F36" i="5"/>
  <c r="I99" i="5"/>
  <c r="P26" i="12"/>
  <c r="E38" i="5"/>
  <c r="E102" i="5"/>
  <c r="F69" i="5"/>
  <c r="D30" i="6"/>
  <c r="P28" i="12"/>
  <c r="P27" i="12"/>
  <c r="P21" i="12"/>
  <c r="P30" i="12"/>
  <c r="P19" i="12"/>
  <c r="P29" i="12"/>
  <c r="J95" i="5" l="1"/>
  <c r="J68" i="5"/>
  <c r="J115" i="5"/>
  <c r="J3" i="5"/>
  <c r="J26" i="5"/>
  <c r="J101" i="5"/>
  <c r="J2" i="5"/>
  <c r="J65" i="5"/>
  <c r="J106" i="5"/>
  <c r="J42" i="5"/>
  <c r="J86" i="5"/>
  <c r="J19" i="5"/>
  <c r="J92" i="5"/>
  <c r="J47" i="5"/>
  <c r="J27" i="5"/>
  <c r="J90" i="5"/>
  <c r="E3" i="12"/>
  <c r="E8" i="12"/>
  <c r="J60" i="5"/>
  <c r="J56" i="5"/>
  <c r="J32" i="5"/>
  <c r="J77" i="5"/>
  <c r="J30" i="5"/>
  <c r="J34" i="5"/>
  <c r="J102" i="5"/>
  <c r="J44" i="5"/>
  <c r="J58" i="5"/>
  <c r="J123" i="5"/>
  <c r="J103" i="5"/>
  <c r="J113" i="5"/>
  <c r="J54" i="5"/>
  <c r="J28" i="5"/>
  <c r="J67" i="5"/>
  <c r="J84" i="5"/>
  <c r="E12" i="12"/>
  <c r="J41" i="5"/>
  <c r="J37" i="5"/>
  <c r="J105" i="5"/>
  <c r="J100" i="5"/>
  <c r="J53" i="5"/>
  <c r="J8" i="5"/>
  <c r="J4" i="5"/>
  <c r="J51" i="5"/>
  <c r="J63" i="5"/>
  <c r="J39" i="5"/>
  <c r="J75" i="5"/>
  <c r="J91" i="5"/>
  <c r="J5" i="5"/>
  <c r="J21" i="5"/>
  <c r="J120" i="5"/>
  <c r="J7" i="5"/>
  <c r="E4" i="12"/>
  <c r="J93" i="5"/>
  <c r="J14" i="5"/>
  <c r="J73" i="5"/>
  <c r="J24" i="5"/>
  <c r="J50" i="5"/>
  <c r="J15" i="5"/>
  <c r="J96" i="5"/>
  <c r="J81" i="5"/>
  <c r="J79" i="5"/>
  <c r="J85" i="5"/>
  <c r="J62" i="5"/>
  <c r="J126" i="5"/>
  <c r="J18" i="5"/>
  <c r="J89" i="5"/>
  <c r="J6" i="5"/>
  <c r="E14" i="12"/>
  <c r="E11" i="12"/>
  <c r="J70" i="5"/>
  <c r="J55" i="5"/>
  <c r="J49" i="5"/>
  <c r="J122" i="5"/>
  <c r="J87" i="5"/>
  <c r="J118" i="5"/>
  <c r="J43" i="5"/>
  <c r="J83" i="5"/>
  <c r="J25" i="5"/>
  <c r="J78" i="5"/>
  <c r="J109" i="5"/>
  <c r="J114" i="5"/>
  <c r="J69" i="5"/>
  <c r="J121" i="5"/>
  <c r="J35" i="5"/>
  <c r="E16" i="12"/>
  <c r="E13" i="12"/>
  <c r="J98" i="5"/>
  <c r="J40" i="5"/>
  <c r="J9" i="5"/>
  <c r="J107" i="5"/>
  <c r="J88" i="5"/>
  <c r="J59" i="5"/>
  <c r="J33" i="5"/>
  <c r="J111" i="5"/>
  <c r="J76" i="5"/>
  <c r="J13" i="5"/>
  <c r="J110" i="5"/>
  <c r="J97" i="5"/>
  <c r="J57" i="5"/>
  <c r="J11" i="5"/>
  <c r="J80" i="5"/>
  <c r="J36" i="5"/>
  <c r="E5" i="12"/>
  <c r="E15" i="12"/>
  <c r="J116" i="5"/>
  <c r="J22" i="5"/>
  <c r="J64" i="5"/>
  <c r="J119" i="5"/>
  <c r="J16" i="5"/>
  <c r="J71" i="5"/>
  <c r="J99" i="5"/>
  <c r="J48" i="5"/>
  <c r="J124" i="5"/>
  <c r="J20" i="5"/>
  <c r="J74" i="5"/>
  <c r="J66" i="5"/>
  <c r="J17" i="5"/>
  <c r="J38" i="5"/>
  <c r="J1" i="5"/>
  <c r="J125" i="5"/>
  <c r="E7" i="12"/>
  <c r="E6" i="12"/>
  <c r="J31" i="5"/>
  <c r="J23" i="5"/>
  <c r="J108" i="5"/>
  <c r="J52" i="5"/>
  <c r="J10" i="5"/>
  <c r="J117" i="5"/>
  <c r="J104" i="5"/>
  <c r="J112" i="5"/>
  <c r="J82" i="5"/>
  <c r="J45" i="5"/>
  <c r="J12" i="5"/>
  <c r="J72" i="5"/>
  <c r="J46" i="5"/>
  <c r="J94" i="5"/>
  <c r="J61" i="5"/>
  <c r="J29" i="5"/>
  <c r="E10" i="12"/>
  <c r="E9" i="12"/>
  <c r="D27" i="6"/>
  <c r="C28" i="6"/>
  <c r="D29" i="6"/>
  <c r="O31" i="12"/>
  <c r="D28" i="6"/>
  <c r="O32" i="12"/>
  <c r="O33" i="12"/>
  <c r="P33" i="12"/>
  <c r="O34" i="12"/>
  <c r="O35" i="12"/>
  <c r="O36" i="12"/>
  <c r="P35" i="12"/>
  <c r="O37" i="12"/>
  <c r="P36" i="12"/>
  <c r="O38" i="12"/>
  <c r="P37" i="12"/>
  <c r="O39" i="12"/>
  <c r="P38" i="12"/>
  <c r="O40" i="12"/>
  <c r="P39" i="12"/>
  <c r="O41" i="12"/>
  <c r="P40" i="12"/>
  <c r="O42" i="12"/>
  <c r="P41" i="12"/>
  <c r="O43" i="12"/>
  <c r="P42" i="12"/>
  <c r="O44" i="12"/>
  <c r="P43" i="12"/>
  <c r="O45" i="12"/>
  <c r="P44" i="12"/>
  <c r="O46" i="12"/>
  <c r="P45" i="12"/>
  <c r="O47" i="12"/>
  <c r="P46" i="12"/>
  <c r="O48" i="12"/>
  <c r="P47" i="12"/>
  <c r="O49" i="12"/>
  <c r="P48" i="12"/>
  <c r="O50" i="12"/>
  <c r="P49" i="12"/>
  <c r="O51" i="12"/>
  <c r="P50" i="12"/>
  <c r="O52" i="12"/>
  <c r="P51" i="12"/>
  <c r="O53" i="12"/>
  <c r="P52" i="12"/>
  <c r="O54" i="12"/>
  <c r="P53" i="12"/>
  <c r="P54" i="12"/>
  <c r="O55" i="12"/>
  <c r="P55" i="12"/>
  <c r="O56" i="12"/>
  <c r="O57" i="12"/>
  <c r="P56" i="12"/>
  <c r="O58" i="12"/>
  <c r="P57" i="12"/>
  <c r="O59" i="12"/>
  <c r="P58" i="12"/>
  <c r="O60" i="12"/>
  <c r="P59" i="12"/>
  <c r="O61" i="12"/>
  <c r="P60" i="12"/>
  <c r="O62" i="12"/>
  <c r="P61" i="12"/>
  <c r="P62" i="12"/>
  <c r="O63" i="12"/>
  <c r="O64" i="12"/>
  <c r="P63" i="12"/>
  <c r="O65" i="12"/>
  <c r="P64" i="12"/>
  <c r="O66" i="12"/>
  <c r="P65" i="12"/>
  <c r="O67" i="12"/>
  <c r="P66" i="12"/>
  <c r="O68" i="12"/>
  <c r="P67" i="12"/>
  <c r="O69" i="12"/>
  <c r="P68" i="12"/>
  <c r="O70" i="12"/>
  <c r="P69" i="12"/>
  <c r="O71" i="12"/>
  <c r="P70" i="12"/>
  <c r="O72" i="12"/>
  <c r="P71" i="12"/>
  <c r="O73" i="12"/>
  <c r="P72" i="12"/>
  <c r="O74" i="12"/>
  <c r="P73" i="12"/>
  <c r="O75" i="12"/>
  <c r="P74" i="12"/>
  <c r="O76" i="12"/>
  <c r="P75" i="12"/>
  <c r="O77" i="12"/>
  <c r="P76" i="12"/>
  <c r="O78" i="12"/>
  <c r="P77" i="12"/>
  <c r="O79" i="12"/>
  <c r="P78" i="12"/>
  <c r="P79" i="12"/>
  <c r="O80" i="12"/>
  <c r="O81" i="12"/>
  <c r="P80" i="12"/>
  <c r="O82" i="12"/>
  <c r="P81" i="12"/>
  <c r="O83" i="12"/>
  <c r="P82" i="12"/>
  <c r="O84" i="12"/>
  <c r="P83" i="12"/>
  <c r="O85" i="12"/>
  <c r="P84" i="12"/>
  <c r="O86" i="12"/>
  <c r="P85" i="12"/>
  <c r="O87" i="12"/>
  <c r="P86" i="12"/>
  <c r="P87" i="12"/>
  <c r="O88" i="12"/>
  <c r="O89" i="12"/>
  <c r="P88" i="12"/>
  <c r="O90" i="12"/>
  <c r="P89" i="12"/>
  <c r="O91" i="12"/>
  <c r="P90" i="12"/>
  <c r="O92" i="12"/>
  <c r="P91" i="12"/>
  <c r="O93" i="12"/>
  <c r="P92" i="12"/>
  <c r="O94" i="12"/>
  <c r="P93" i="12"/>
  <c r="P94" i="12"/>
  <c r="O95" i="12"/>
  <c r="O96" i="12"/>
  <c r="P95" i="12"/>
  <c r="O97" i="12"/>
  <c r="P96" i="12"/>
  <c r="O98" i="12"/>
  <c r="P97" i="12"/>
  <c r="O99" i="12"/>
  <c r="P98" i="12"/>
  <c r="O100" i="12"/>
  <c r="P99" i="12"/>
  <c r="O101" i="12"/>
  <c r="P100" i="12"/>
  <c r="O102" i="12"/>
  <c r="P101" i="12"/>
  <c r="O103" i="12"/>
  <c r="P102" i="12"/>
  <c r="O104" i="12"/>
  <c r="P103" i="12"/>
  <c r="O105" i="12"/>
  <c r="P104" i="12"/>
  <c r="O106" i="12"/>
  <c r="P105" i="12"/>
  <c r="O107" i="12"/>
  <c r="P106" i="12"/>
  <c r="O108" i="12"/>
  <c r="P107" i="12"/>
  <c r="O109" i="12"/>
  <c r="P108" i="12"/>
  <c r="O110" i="12"/>
  <c r="P109" i="12"/>
  <c r="O111" i="12"/>
  <c r="P110" i="12"/>
  <c r="O112" i="12"/>
  <c r="P111" i="12"/>
  <c r="O113" i="12"/>
  <c r="P112" i="12"/>
  <c r="O114" i="12"/>
  <c r="P113" i="12"/>
  <c r="O115" i="12"/>
  <c r="P114" i="12"/>
  <c r="O116" i="12"/>
  <c r="P115" i="12"/>
  <c r="O117" i="12"/>
  <c r="P116" i="12"/>
  <c r="O118" i="12"/>
  <c r="P117" i="12"/>
  <c r="P118" i="12"/>
  <c r="O119" i="12"/>
  <c r="P119" i="12"/>
  <c r="O120" i="12"/>
  <c r="O121" i="12"/>
  <c r="P120" i="12"/>
  <c r="O122" i="12"/>
  <c r="P121" i="12"/>
  <c r="O123" i="12"/>
  <c r="P122" i="12"/>
  <c r="O124" i="12"/>
  <c r="P123" i="12"/>
  <c r="O125" i="12"/>
  <c r="P124" i="12"/>
  <c r="O126" i="12"/>
  <c r="P125" i="12"/>
  <c r="P126" i="12"/>
  <c r="O127" i="12"/>
  <c r="O128" i="12"/>
  <c r="P127" i="12"/>
  <c r="O129" i="12"/>
  <c r="P128" i="12"/>
  <c r="O130" i="12"/>
  <c r="P129" i="12"/>
  <c r="O131" i="12"/>
  <c r="P130" i="12"/>
  <c r="O132" i="12"/>
  <c r="P131" i="12"/>
  <c r="O133" i="12"/>
  <c r="P132" i="12"/>
  <c r="O134" i="12"/>
  <c r="P133" i="12"/>
  <c r="O135" i="12"/>
  <c r="P134" i="12"/>
  <c r="O136" i="12"/>
  <c r="P135" i="12"/>
  <c r="O137" i="12"/>
  <c r="P136" i="12"/>
  <c r="O138" i="12"/>
  <c r="P137" i="12"/>
  <c r="O139" i="12"/>
  <c r="P138" i="12"/>
  <c r="O140" i="12"/>
  <c r="P139" i="12"/>
  <c r="O141" i="12"/>
  <c r="P140" i="12"/>
  <c r="O142" i="12"/>
  <c r="P141" i="12"/>
  <c r="O143" i="12"/>
  <c r="P142" i="12"/>
  <c r="P143" i="12"/>
  <c r="O144" i="12"/>
  <c r="O145" i="12"/>
  <c r="P144" i="12"/>
  <c r="O146" i="12"/>
  <c r="P145" i="12"/>
  <c r="O147" i="12"/>
  <c r="P146" i="12"/>
  <c r="O148" i="12"/>
  <c r="P147" i="12"/>
  <c r="O149" i="12"/>
  <c r="P148" i="12"/>
  <c r="O150" i="12"/>
  <c r="P149" i="12"/>
  <c r="O151" i="12"/>
  <c r="P150" i="12"/>
  <c r="P151" i="12"/>
  <c r="O152" i="12"/>
  <c r="O153" i="12"/>
  <c r="P152" i="12"/>
  <c r="O154" i="12"/>
  <c r="P153" i="12"/>
  <c r="O155" i="12"/>
  <c r="P154" i="12"/>
  <c r="O156" i="12"/>
  <c r="P155" i="12"/>
  <c r="O157" i="12"/>
  <c r="P156" i="12"/>
  <c r="O158" i="12"/>
  <c r="P157" i="12"/>
  <c r="P158" i="12"/>
  <c r="O159" i="12"/>
  <c r="O160" i="12"/>
  <c r="P159" i="12"/>
  <c r="O161" i="12"/>
  <c r="P160" i="12"/>
  <c r="O162" i="12"/>
  <c r="P161" i="12"/>
  <c r="O163" i="12"/>
  <c r="P162" i="12"/>
  <c r="O164" i="12"/>
  <c r="P163" i="12"/>
  <c r="O165" i="12"/>
  <c r="P164" i="12"/>
  <c r="O166" i="12"/>
  <c r="P165" i="12"/>
  <c r="O167" i="12"/>
  <c r="P166" i="12"/>
  <c r="O168" i="12"/>
  <c r="P167" i="12"/>
  <c r="O169" i="12"/>
  <c r="P168" i="12"/>
  <c r="O170" i="12"/>
  <c r="P169" i="12"/>
  <c r="O171" i="12"/>
  <c r="P170" i="12"/>
  <c r="O172" i="12"/>
  <c r="P171" i="12"/>
  <c r="O173" i="12"/>
  <c r="P172" i="12"/>
  <c r="O174" i="12"/>
  <c r="P173" i="12"/>
  <c r="O175" i="12"/>
  <c r="P174" i="12"/>
  <c r="O176" i="12"/>
  <c r="P175" i="12"/>
  <c r="O177" i="12"/>
  <c r="P176" i="12"/>
  <c r="O178" i="12"/>
  <c r="P177" i="12"/>
  <c r="O179" i="12"/>
  <c r="P178" i="12"/>
  <c r="O180" i="12"/>
  <c r="P179" i="12"/>
  <c r="O181" i="12"/>
  <c r="P180" i="12"/>
  <c r="O182" i="12"/>
  <c r="P181" i="12"/>
  <c r="P182" i="12"/>
  <c r="O183" i="12"/>
  <c r="P183" i="12"/>
  <c r="O184" i="12"/>
  <c r="O185" i="12"/>
  <c r="P184" i="12"/>
  <c r="O186" i="12"/>
  <c r="P185" i="12"/>
  <c r="O187" i="12"/>
  <c r="P186" i="12"/>
  <c r="O188" i="12"/>
  <c r="P187" i="12"/>
  <c r="O189" i="12"/>
  <c r="P188" i="12"/>
  <c r="O190" i="12"/>
  <c r="P189" i="12"/>
  <c r="P190" i="12"/>
  <c r="O191" i="12"/>
  <c r="O192" i="12"/>
  <c r="P191" i="12"/>
  <c r="O193" i="12"/>
  <c r="P192" i="12"/>
  <c r="O194" i="12"/>
  <c r="P193" i="12"/>
  <c r="O195" i="12"/>
  <c r="P194" i="12"/>
  <c r="O196" i="12"/>
  <c r="P195" i="12"/>
  <c r="O197" i="12"/>
  <c r="P196" i="12"/>
  <c r="O198" i="12"/>
  <c r="P197" i="12"/>
  <c r="O199" i="12"/>
  <c r="P198" i="12"/>
  <c r="O200" i="12"/>
  <c r="P199" i="12"/>
  <c r="O201" i="12"/>
  <c r="P200" i="12"/>
  <c r="O202" i="12"/>
  <c r="P201" i="12"/>
  <c r="O203" i="12"/>
  <c r="P202" i="12"/>
  <c r="O204" i="12"/>
  <c r="P203" i="12"/>
  <c r="O205" i="12"/>
  <c r="P204" i="12"/>
  <c r="O206" i="12"/>
  <c r="P205" i="12"/>
  <c r="O207" i="12"/>
  <c r="P206" i="12"/>
  <c r="P207" i="12"/>
  <c r="O208" i="12"/>
  <c r="O209" i="12"/>
  <c r="P208" i="12"/>
  <c r="O210" i="12"/>
  <c r="P209" i="12"/>
  <c r="O211" i="12"/>
  <c r="P210" i="12"/>
  <c r="O212" i="12"/>
  <c r="P211" i="12"/>
  <c r="O213" i="12"/>
  <c r="P212" i="12"/>
  <c r="O214" i="12"/>
  <c r="P213" i="12"/>
  <c r="O215" i="12"/>
  <c r="P214" i="12"/>
  <c r="P215" i="12"/>
  <c r="O216" i="12"/>
  <c r="O217" i="12"/>
  <c r="P216" i="12"/>
  <c r="O218" i="12"/>
  <c r="P217" i="12"/>
  <c r="O219" i="12"/>
  <c r="P218" i="12"/>
  <c r="P219" i="12"/>
  <c r="O220" i="12"/>
  <c r="O221" i="12"/>
  <c r="P220" i="12"/>
  <c r="O222" i="12"/>
  <c r="P221" i="12"/>
  <c r="P222" i="12"/>
  <c r="O223" i="12"/>
  <c r="O224" i="12"/>
  <c r="P223" i="12"/>
  <c r="O225" i="12"/>
  <c r="P224" i="12"/>
  <c r="O226" i="12"/>
  <c r="P225" i="12"/>
  <c r="O227" i="12"/>
  <c r="P226" i="12"/>
  <c r="O228" i="12"/>
  <c r="P227" i="12"/>
  <c r="O229" i="12"/>
  <c r="P228" i="12"/>
  <c r="O230" i="12"/>
  <c r="P229" i="12"/>
  <c r="O231" i="12"/>
  <c r="P230" i="12"/>
  <c r="O232" i="12"/>
  <c r="P231" i="12"/>
  <c r="O233" i="12"/>
  <c r="P232" i="12"/>
  <c r="O234" i="12"/>
  <c r="P233" i="12"/>
  <c r="O235" i="12"/>
  <c r="P234" i="12"/>
  <c r="O236" i="12"/>
  <c r="P235" i="12"/>
  <c r="O237" i="12"/>
  <c r="P236" i="12"/>
  <c r="O238" i="12"/>
  <c r="P237" i="12"/>
  <c r="O239" i="12"/>
  <c r="P238" i="12"/>
  <c r="P239" i="12"/>
  <c r="O240" i="12"/>
  <c r="O241" i="12"/>
  <c r="P240" i="12"/>
  <c r="O242" i="12"/>
  <c r="P241" i="12"/>
  <c r="O243" i="12"/>
  <c r="P242" i="12"/>
  <c r="O244" i="12"/>
  <c r="P243" i="12"/>
  <c r="O245" i="12"/>
  <c r="P244" i="12"/>
  <c r="O246" i="12"/>
  <c r="P245" i="12"/>
  <c r="O247" i="12"/>
  <c r="P246" i="12"/>
  <c r="P247" i="12"/>
  <c r="O248" i="12"/>
  <c r="O249" i="12"/>
  <c r="P248" i="12"/>
  <c r="O250" i="12"/>
  <c r="P249" i="12"/>
  <c r="O251" i="12"/>
  <c r="P250" i="12"/>
  <c r="O252" i="12"/>
  <c r="P251" i="12"/>
  <c r="O253" i="12"/>
  <c r="P252" i="12"/>
  <c r="O254" i="12"/>
  <c r="P253" i="12"/>
  <c r="P254" i="12"/>
  <c r="O255" i="12"/>
  <c r="O256" i="12"/>
  <c r="P255" i="12"/>
  <c r="O257" i="12"/>
  <c r="P256" i="12"/>
  <c r="O258" i="12"/>
  <c r="P257" i="12"/>
  <c r="O259" i="12"/>
  <c r="P258" i="12"/>
  <c r="P259" i="12"/>
  <c r="O260" i="12"/>
  <c r="O261" i="12"/>
  <c r="P260" i="12"/>
  <c r="O262" i="12"/>
  <c r="P261" i="12"/>
  <c r="O263" i="12"/>
  <c r="P262" i="12"/>
  <c r="O264" i="12"/>
  <c r="P263" i="12"/>
  <c r="O265" i="12"/>
  <c r="P264" i="12"/>
  <c r="O266" i="12"/>
  <c r="P265" i="12"/>
  <c r="O267" i="12"/>
  <c r="P266" i="12"/>
  <c r="O268" i="12"/>
  <c r="P267" i="12"/>
  <c r="O269" i="12"/>
  <c r="P268" i="12"/>
  <c r="O270" i="12"/>
  <c r="P269" i="12"/>
  <c r="O271" i="12"/>
  <c r="P270" i="12"/>
  <c r="O272" i="12"/>
  <c r="P271" i="12"/>
  <c r="O273" i="12"/>
  <c r="P272" i="12"/>
  <c r="O274" i="12"/>
  <c r="P273" i="12"/>
  <c r="O275" i="12"/>
  <c r="P274" i="12"/>
  <c r="O276" i="12"/>
  <c r="P275" i="12"/>
  <c r="O277" i="12"/>
  <c r="P276" i="12"/>
  <c r="O278" i="12"/>
  <c r="P277" i="12"/>
  <c r="O279" i="12"/>
  <c r="P278" i="12"/>
  <c r="P279" i="12"/>
  <c r="O280" i="12"/>
  <c r="O281" i="12"/>
  <c r="P280" i="12"/>
  <c r="O282" i="12"/>
  <c r="P281" i="12"/>
  <c r="O283" i="12"/>
  <c r="P282" i="12"/>
  <c r="O284" i="12"/>
  <c r="P283" i="12"/>
  <c r="O285" i="12"/>
  <c r="P284" i="12"/>
  <c r="O286" i="12"/>
  <c r="P285" i="12"/>
  <c r="P286" i="12"/>
  <c r="O287" i="12"/>
  <c r="O288" i="12"/>
  <c r="P287" i="12"/>
  <c r="O289" i="12"/>
  <c r="P288" i="12"/>
  <c r="O290" i="12"/>
  <c r="P289" i="12"/>
  <c r="O291" i="12"/>
  <c r="P290" i="12"/>
  <c r="O292" i="12"/>
  <c r="P291" i="12"/>
  <c r="O293" i="12"/>
  <c r="P292" i="12"/>
  <c r="O294" i="12"/>
  <c r="P293" i="12"/>
  <c r="O295" i="12"/>
  <c r="P294" i="12"/>
  <c r="O296" i="12"/>
  <c r="P295" i="12"/>
  <c r="O297" i="12"/>
  <c r="P296" i="12"/>
  <c r="O298" i="12"/>
  <c r="P297" i="12"/>
  <c r="O299" i="12"/>
  <c r="P298" i="12"/>
  <c r="O300" i="12"/>
  <c r="P299" i="12"/>
  <c r="O301" i="12"/>
  <c r="P300" i="12"/>
  <c r="O302" i="12"/>
  <c r="P301" i="12"/>
  <c r="P302" i="12"/>
  <c r="O303" i="12"/>
  <c r="O304" i="12"/>
  <c r="P303" i="12"/>
  <c r="O305" i="12"/>
  <c r="P304" i="12"/>
  <c r="O306" i="12"/>
  <c r="P305" i="12"/>
  <c r="O307" i="12"/>
  <c r="P306" i="12"/>
  <c r="O308" i="12"/>
  <c r="P307" i="12"/>
  <c r="O309" i="12"/>
  <c r="P308" i="12"/>
  <c r="O310" i="12"/>
  <c r="P309" i="12"/>
  <c r="O311" i="12"/>
  <c r="P310" i="12"/>
  <c r="P311" i="12"/>
  <c r="O312" i="12"/>
  <c r="O313" i="12"/>
  <c r="P312" i="12"/>
  <c r="O314" i="12"/>
  <c r="P313" i="12"/>
  <c r="O315" i="12"/>
  <c r="P314" i="12"/>
  <c r="O316" i="12"/>
  <c r="P315" i="12"/>
  <c r="O317" i="12"/>
  <c r="P316" i="12"/>
  <c r="O318" i="12"/>
  <c r="P317" i="12"/>
  <c r="P318" i="12"/>
  <c r="O319" i="12"/>
  <c r="O320" i="12"/>
  <c r="P319" i="12"/>
  <c r="O321" i="12"/>
  <c r="P320" i="12"/>
  <c r="O322" i="12"/>
  <c r="P321" i="12"/>
  <c r="P322" i="12"/>
  <c r="O323" i="12"/>
  <c r="O324" i="12"/>
  <c r="P323" i="12"/>
  <c r="O325" i="12"/>
  <c r="P324" i="12"/>
  <c r="O326" i="12"/>
  <c r="P325" i="12"/>
  <c r="O327" i="12"/>
  <c r="P326" i="12"/>
  <c r="O328" i="12"/>
  <c r="P327" i="12"/>
  <c r="O329" i="12"/>
  <c r="P328" i="12"/>
  <c r="O330" i="12"/>
  <c r="P329" i="12"/>
  <c r="O331" i="12"/>
  <c r="P330" i="12"/>
  <c r="O332" i="12"/>
  <c r="P331" i="12"/>
  <c r="O333" i="12"/>
  <c r="P332" i="12"/>
  <c r="O334" i="12"/>
  <c r="P333" i="12"/>
  <c r="O335" i="12"/>
  <c r="P334" i="12"/>
  <c r="O336" i="12"/>
  <c r="P335" i="12"/>
  <c r="O337" i="12"/>
  <c r="P336" i="12"/>
  <c r="O338" i="12"/>
  <c r="P337" i="12"/>
  <c r="O339" i="12"/>
  <c r="P338" i="12"/>
  <c r="O340" i="12"/>
  <c r="P339" i="12"/>
  <c r="O341" i="12"/>
  <c r="P340" i="12"/>
  <c r="O342" i="12"/>
  <c r="P341" i="12"/>
  <c r="P342" i="12"/>
  <c r="O343" i="12"/>
  <c r="P343" i="12"/>
  <c r="O344" i="12"/>
  <c r="O345" i="12"/>
  <c r="P344" i="12"/>
  <c r="O346" i="12"/>
  <c r="P345" i="12"/>
  <c r="O347" i="12"/>
  <c r="P346" i="12"/>
  <c r="O348" i="12"/>
  <c r="P347" i="12"/>
  <c r="O349" i="12"/>
  <c r="P348" i="12"/>
  <c r="O350" i="12"/>
  <c r="P349" i="12"/>
  <c r="P350" i="12"/>
  <c r="O351" i="12"/>
  <c r="O352" i="12"/>
  <c r="P351" i="12"/>
  <c r="O353" i="12"/>
  <c r="P352" i="12"/>
  <c r="O354" i="12"/>
  <c r="P353" i="12"/>
  <c r="O355" i="12"/>
  <c r="P354" i="12"/>
  <c r="O356" i="12"/>
  <c r="P355" i="12"/>
  <c r="O357" i="12"/>
  <c r="P356" i="12"/>
  <c r="O358" i="12"/>
  <c r="P357" i="12"/>
  <c r="O359" i="12"/>
  <c r="P358" i="12"/>
  <c r="O360" i="12"/>
  <c r="P359" i="12"/>
  <c r="O361" i="12"/>
  <c r="P360" i="12"/>
  <c r="O362" i="12"/>
  <c r="P361" i="12"/>
  <c r="P362" i="12"/>
  <c r="O363" i="12"/>
  <c r="O364" i="12"/>
  <c r="P363" i="12"/>
  <c r="O365" i="12"/>
  <c r="P364" i="12"/>
  <c r="O366" i="12"/>
  <c r="P365" i="12"/>
  <c r="O367" i="12"/>
  <c r="P366" i="12"/>
  <c r="O368" i="12"/>
  <c r="P367" i="12"/>
  <c r="O369" i="12"/>
  <c r="P368" i="12"/>
  <c r="O370" i="12"/>
  <c r="P369" i="12"/>
  <c r="O371" i="12"/>
  <c r="P370" i="12"/>
  <c r="O372" i="12"/>
  <c r="P371" i="12"/>
  <c r="O373" i="12"/>
  <c r="P372" i="12"/>
  <c r="O374" i="12"/>
  <c r="P373" i="12"/>
  <c r="O375" i="12"/>
  <c r="P374" i="12"/>
  <c r="P375" i="12"/>
  <c r="O376" i="12"/>
  <c r="O377" i="12"/>
  <c r="P376" i="12"/>
  <c r="O378" i="12"/>
  <c r="P377" i="12"/>
  <c r="O379" i="12"/>
  <c r="P378" i="12"/>
  <c r="O380" i="12"/>
  <c r="P379" i="12"/>
  <c r="O381" i="12"/>
  <c r="P380" i="12"/>
  <c r="O382" i="12"/>
  <c r="P381" i="12"/>
  <c r="P382" i="12"/>
  <c r="O383" i="12"/>
  <c r="O384" i="12"/>
  <c r="P383" i="12"/>
  <c r="O385" i="12"/>
  <c r="P384" i="12"/>
  <c r="O386" i="12"/>
  <c r="P385" i="12"/>
  <c r="O387" i="12"/>
  <c r="P386" i="12"/>
  <c r="O388" i="12"/>
  <c r="P387" i="12"/>
  <c r="O389" i="12"/>
  <c r="P388" i="12"/>
  <c r="O390" i="12"/>
  <c r="P389" i="12"/>
  <c r="O391" i="12"/>
  <c r="P390" i="12"/>
  <c r="P391" i="12"/>
  <c r="O392" i="12"/>
  <c r="O393" i="12"/>
  <c r="P392" i="12"/>
  <c r="O394" i="12"/>
  <c r="P393" i="12"/>
  <c r="O395" i="12"/>
  <c r="P394" i="12"/>
  <c r="O396" i="12"/>
  <c r="P395" i="12"/>
  <c r="O397" i="12"/>
  <c r="P396" i="12"/>
  <c r="O398" i="12"/>
  <c r="P397" i="12"/>
  <c r="O399" i="12"/>
  <c r="P398" i="12"/>
  <c r="O400" i="12"/>
  <c r="P399" i="12"/>
  <c r="O401" i="12"/>
  <c r="P400" i="12"/>
  <c r="O402" i="12"/>
  <c r="P401" i="12"/>
  <c r="O403" i="12"/>
  <c r="P402" i="12"/>
  <c r="O404" i="12"/>
  <c r="P403" i="12"/>
  <c r="O405" i="12"/>
  <c r="P404" i="12"/>
  <c r="O406" i="12"/>
  <c r="P405" i="12"/>
  <c r="O407" i="12"/>
  <c r="P406" i="12"/>
  <c r="P407" i="12"/>
  <c r="O408" i="12"/>
  <c r="O409" i="12"/>
  <c r="P408" i="12"/>
  <c r="O410" i="12"/>
  <c r="P409" i="12"/>
  <c r="O411" i="12"/>
  <c r="P410" i="12"/>
  <c r="P411" i="12"/>
  <c r="O412" i="12"/>
  <c r="O413" i="12"/>
  <c r="P412" i="12"/>
  <c r="O414" i="12"/>
  <c r="P413" i="12"/>
  <c r="P414" i="12"/>
  <c r="O415" i="12"/>
  <c r="O416" i="12"/>
  <c r="P415" i="12"/>
  <c r="O417" i="12"/>
  <c r="P416" i="12"/>
  <c r="O418" i="12"/>
  <c r="P417" i="12"/>
  <c r="O419" i="12"/>
  <c r="P418" i="12"/>
  <c r="O420" i="12"/>
  <c r="P419" i="12"/>
  <c r="O421" i="12"/>
  <c r="P420" i="12"/>
  <c r="O422" i="12"/>
  <c r="P421" i="12"/>
  <c r="O423" i="12"/>
  <c r="P422" i="12"/>
  <c r="O424" i="12"/>
  <c r="P423" i="12"/>
  <c r="O425" i="12"/>
  <c r="P424" i="12"/>
  <c r="O426" i="12"/>
  <c r="P425" i="12"/>
  <c r="O427" i="12"/>
  <c r="P426" i="12"/>
  <c r="O428" i="12"/>
  <c r="P427" i="12"/>
  <c r="O429" i="12"/>
  <c r="P428" i="12"/>
  <c r="O430" i="12"/>
  <c r="P429" i="12"/>
  <c r="O431" i="12"/>
  <c r="P430" i="12"/>
  <c r="P431" i="12"/>
  <c r="O432" i="12"/>
  <c r="O433" i="12"/>
  <c r="P432" i="12"/>
  <c r="O434" i="12"/>
  <c r="P433" i="12"/>
  <c r="O435" i="12"/>
  <c r="P434" i="12"/>
  <c r="O436" i="12"/>
  <c r="P435" i="12"/>
  <c r="O437" i="12"/>
  <c r="P436" i="12"/>
  <c r="O438" i="12"/>
  <c r="P437" i="12"/>
  <c r="O439" i="12"/>
  <c r="P438" i="12"/>
  <c r="P439" i="12"/>
  <c r="O440" i="12"/>
  <c r="O441" i="12"/>
  <c r="P440" i="12"/>
  <c r="O442" i="12"/>
  <c r="P441" i="12"/>
  <c r="O443" i="12"/>
  <c r="P442" i="12"/>
  <c r="O444" i="12"/>
  <c r="P443" i="12"/>
  <c r="O445" i="12"/>
  <c r="P444" i="12"/>
  <c r="O446" i="12"/>
  <c r="P445" i="12"/>
  <c r="P446" i="12"/>
  <c r="O447" i="12"/>
  <c r="O448" i="12"/>
  <c r="P447" i="12"/>
  <c r="O449" i="12"/>
  <c r="P448" i="12"/>
  <c r="O450" i="12"/>
  <c r="P449" i="12"/>
  <c r="P450" i="12"/>
  <c r="O451" i="12"/>
  <c r="O452" i="12"/>
  <c r="P451" i="12"/>
  <c r="O453" i="12"/>
  <c r="P452" i="12"/>
  <c r="O454" i="12"/>
  <c r="P453" i="12"/>
  <c r="O455" i="12"/>
  <c r="P454" i="12"/>
  <c r="P455" i="12"/>
  <c r="O456" i="12"/>
  <c r="O457" i="12"/>
  <c r="P456" i="12"/>
  <c r="O458" i="12"/>
  <c r="P457" i="12"/>
  <c r="O459" i="12"/>
  <c r="P458" i="12"/>
  <c r="O460" i="12"/>
  <c r="P459" i="12"/>
  <c r="O461" i="12"/>
  <c r="P460" i="12"/>
  <c r="O462" i="12"/>
  <c r="P461" i="12"/>
  <c r="O463" i="12"/>
  <c r="P462" i="12"/>
  <c r="P463" i="12"/>
  <c r="O464" i="12"/>
  <c r="O465" i="12"/>
  <c r="P464" i="12"/>
  <c r="O466" i="12"/>
  <c r="P465" i="12"/>
  <c r="O467" i="12"/>
  <c r="P466" i="12"/>
  <c r="O468" i="12"/>
  <c r="P467" i="12"/>
  <c r="O469" i="12"/>
  <c r="P468" i="12"/>
  <c r="O470" i="12"/>
  <c r="P469" i="12"/>
  <c r="O471" i="12"/>
  <c r="P470" i="12"/>
  <c r="P471" i="12"/>
  <c r="O472" i="12"/>
  <c r="O473" i="12"/>
  <c r="P472" i="12"/>
  <c r="O474" i="12"/>
  <c r="P473" i="12"/>
  <c r="O475" i="12"/>
  <c r="P474" i="12"/>
  <c r="P475" i="12"/>
  <c r="O476" i="12"/>
  <c r="O477" i="12"/>
  <c r="P476" i="12"/>
  <c r="O478" i="12"/>
  <c r="P477" i="12"/>
  <c r="P478" i="12"/>
  <c r="O479" i="12"/>
  <c r="O480" i="12"/>
  <c r="P479" i="12"/>
  <c r="O481" i="12"/>
  <c r="P480" i="12"/>
  <c r="O482" i="12"/>
  <c r="P481" i="12"/>
  <c r="P482" i="12"/>
  <c r="O483" i="12"/>
  <c r="O484" i="12"/>
  <c r="P483" i="12"/>
  <c r="O485" i="12"/>
  <c r="P484" i="12"/>
  <c r="O486" i="12"/>
  <c r="P485" i="12"/>
  <c r="O487" i="12"/>
  <c r="P486" i="12"/>
  <c r="O488" i="12"/>
  <c r="P487" i="12"/>
  <c r="O489" i="12"/>
  <c r="P488" i="12"/>
  <c r="O490" i="12"/>
  <c r="P489" i="12"/>
  <c r="O491" i="12"/>
  <c r="P490" i="12"/>
  <c r="O492" i="12"/>
  <c r="P491" i="12"/>
  <c r="O493" i="12"/>
  <c r="P492" i="12"/>
  <c r="O494" i="12"/>
  <c r="P493" i="12"/>
  <c r="O495" i="12"/>
  <c r="P494" i="12"/>
  <c r="P495" i="12"/>
  <c r="O496" i="12"/>
  <c r="O497" i="12"/>
  <c r="P496" i="12"/>
  <c r="O498" i="12"/>
  <c r="P497" i="12"/>
  <c r="O499" i="12"/>
  <c r="P498" i="12"/>
  <c r="O500" i="12"/>
  <c r="P499" i="12"/>
  <c r="O501" i="12"/>
  <c r="P500" i="12"/>
  <c r="O502" i="12"/>
  <c r="P501" i="12"/>
  <c r="O503" i="12"/>
  <c r="P502" i="12"/>
  <c r="P503" i="12"/>
  <c r="O504" i="12"/>
  <c r="O505" i="12"/>
  <c r="P504" i="12"/>
  <c r="O506" i="12"/>
  <c r="P505" i="12"/>
  <c r="O507" i="12"/>
  <c r="P506" i="12"/>
  <c r="O508" i="12"/>
  <c r="P507" i="12"/>
  <c r="O509" i="12"/>
  <c r="P508" i="12"/>
  <c r="O510" i="12"/>
  <c r="P509" i="12"/>
  <c r="P510" i="12"/>
  <c r="O511" i="12"/>
  <c r="O512" i="12"/>
  <c r="P511" i="12"/>
  <c r="O513" i="12"/>
  <c r="P512" i="12"/>
  <c r="O514" i="12"/>
  <c r="P513" i="12"/>
  <c r="O515" i="12"/>
  <c r="P514" i="12"/>
  <c r="P515" i="12"/>
  <c r="O516" i="12"/>
  <c r="O517" i="12"/>
  <c r="P516" i="12"/>
  <c r="O518" i="12"/>
  <c r="P517" i="12"/>
  <c r="O519" i="12"/>
  <c r="P518" i="12"/>
  <c r="O520" i="12"/>
  <c r="P519" i="12"/>
  <c r="O521" i="12"/>
  <c r="P520" i="12"/>
  <c r="P521" i="12"/>
  <c r="O522" i="12"/>
  <c r="O523" i="12"/>
  <c r="P522" i="12"/>
  <c r="O524" i="12"/>
  <c r="P523" i="12"/>
  <c r="O525" i="12"/>
  <c r="P524" i="12"/>
  <c r="O526" i="12"/>
  <c r="P525" i="12"/>
  <c r="P526" i="12"/>
  <c r="O527" i="12"/>
  <c r="O528" i="12"/>
  <c r="P527" i="12"/>
  <c r="O529" i="12"/>
  <c r="P528" i="12"/>
  <c r="P529" i="12"/>
  <c r="O530" i="12"/>
  <c r="O531" i="12"/>
  <c r="P530" i="12"/>
  <c r="P531" i="12"/>
  <c r="O532" i="12"/>
  <c r="O533" i="12"/>
  <c r="P532" i="12"/>
  <c r="O534" i="12"/>
  <c r="P533" i="12"/>
  <c r="O535" i="12"/>
  <c r="P534" i="12"/>
  <c r="O536" i="12"/>
  <c r="P535" i="12"/>
  <c r="O537" i="12"/>
  <c r="P536" i="12"/>
  <c r="P537" i="12"/>
  <c r="O538" i="12"/>
  <c r="O539" i="12"/>
  <c r="P538" i="12"/>
  <c r="O540" i="12"/>
  <c r="P539" i="12"/>
  <c r="O541" i="12"/>
  <c r="P540" i="12"/>
  <c r="P541" i="12"/>
  <c r="O542" i="12"/>
  <c r="P542" i="12"/>
  <c r="O543" i="12"/>
  <c r="O544" i="12"/>
  <c r="P543" i="12"/>
  <c r="O545" i="12"/>
  <c r="P544" i="12"/>
  <c r="O546" i="12"/>
  <c r="P545" i="12"/>
  <c r="O547" i="12"/>
  <c r="P546" i="12"/>
  <c r="P547" i="12"/>
  <c r="O548" i="12"/>
  <c r="O549" i="12"/>
  <c r="P548" i="12"/>
  <c r="O550" i="12"/>
  <c r="P549" i="12"/>
  <c r="P550" i="12"/>
  <c r="O551" i="12"/>
  <c r="O552" i="12"/>
  <c r="P551" i="12"/>
  <c r="O553" i="12"/>
  <c r="P552" i="12"/>
  <c r="P553" i="12"/>
  <c r="O554" i="12"/>
  <c r="O555" i="12"/>
  <c r="P554" i="12"/>
  <c r="P555" i="12"/>
  <c r="O556" i="12"/>
  <c r="O557" i="12"/>
  <c r="P556" i="12"/>
  <c r="O558" i="12"/>
  <c r="P557" i="12"/>
  <c r="P558" i="12"/>
  <c r="O559" i="12"/>
  <c r="O560" i="12"/>
  <c r="P559" i="12"/>
  <c r="O561" i="12"/>
  <c r="P560" i="12"/>
  <c r="O562" i="12"/>
  <c r="P561" i="12"/>
  <c r="O563" i="12"/>
  <c r="P562" i="12"/>
  <c r="P563" i="12"/>
  <c r="O564" i="12"/>
  <c r="O565" i="12"/>
  <c r="P564" i="12"/>
  <c r="O566" i="12"/>
  <c r="P565" i="12"/>
  <c r="O567" i="12"/>
  <c r="P566" i="12"/>
  <c r="O568" i="12"/>
  <c r="P567" i="12"/>
  <c r="O569" i="12"/>
  <c r="P568" i="12"/>
  <c r="P569" i="12"/>
  <c r="O570" i="12"/>
  <c r="O571" i="12"/>
  <c r="P570" i="12"/>
  <c r="O572" i="12"/>
  <c r="P571" i="12"/>
  <c r="O573" i="12"/>
  <c r="P572" i="12"/>
  <c r="O574" i="12"/>
  <c r="P573" i="12"/>
  <c r="P574" i="12"/>
  <c r="O575" i="12"/>
  <c r="O576" i="12"/>
  <c r="P575" i="12"/>
  <c r="O577" i="12"/>
  <c r="P576" i="12"/>
  <c r="O578" i="12"/>
  <c r="P577" i="12"/>
  <c r="O579" i="12"/>
  <c r="P578" i="12"/>
  <c r="P579" i="12"/>
  <c r="O580" i="12"/>
  <c r="O581" i="12"/>
  <c r="P580" i="12"/>
  <c r="O582" i="12"/>
  <c r="P581" i="12"/>
  <c r="P582" i="12"/>
  <c r="O583" i="12"/>
  <c r="P583" i="12"/>
  <c r="O584" i="12"/>
  <c r="O585" i="12"/>
  <c r="P584" i="12"/>
  <c r="P585" i="12"/>
  <c r="O586" i="12"/>
  <c r="O587" i="12"/>
  <c r="P586" i="12"/>
  <c r="O588" i="12"/>
  <c r="P587" i="12"/>
  <c r="O589" i="12"/>
  <c r="P588" i="12"/>
  <c r="O590" i="12"/>
  <c r="P589" i="12"/>
  <c r="P590" i="12"/>
  <c r="O591" i="12"/>
  <c r="O592" i="12"/>
  <c r="P591" i="12"/>
  <c r="O593" i="12"/>
  <c r="P592" i="12"/>
  <c r="P593" i="12"/>
  <c r="O594" i="12"/>
  <c r="O595" i="12"/>
  <c r="P594" i="12"/>
  <c r="P595" i="12"/>
  <c r="O596" i="12"/>
  <c r="O597" i="12"/>
  <c r="P596" i="12"/>
  <c r="O598" i="12"/>
  <c r="P597" i="12"/>
  <c r="O599" i="12"/>
  <c r="P598" i="12"/>
  <c r="O600" i="12"/>
  <c r="P599" i="12"/>
  <c r="O601" i="12"/>
  <c r="P600" i="12"/>
  <c r="P601" i="12"/>
  <c r="O602" i="12"/>
  <c r="O603" i="12"/>
  <c r="P602" i="12"/>
  <c r="O604" i="12"/>
  <c r="P603" i="12"/>
  <c r="O605" i="12"/>
  <c r="P604" i="12"/>
  <c r="O606" i="12"/>
  <c r="P605" i="12"/>
  <c r="P606" i="12"/>
  <c r="O607" i="12"/>
  <c r="O608" i="12"/>
  <c r="P607" i="12"/>
  <c r="O609" i="12"/>
  <c r="P608" i="12"/>
  <c r="P609" i="12"/>
  <c r="O610" i="12"/>
  <c r="O611" i="12"/>
  <c r="P610" i="12"/>
  <c r="P611" i="12"/>
  <c r="O612" i="12"/>
  <c r="O613" i="12"/>
  <c r="P612" i="12"/>
  <c r="O614" i="12"/>
  <c r="P613" i="12"/>
  <c r="O615" i="12"/>
  <c r="P614" i="12"/>
  <c r="O616" i="12"/>
  <c r="P615" i="12"/>
  <c r="O617" i="12"/>
  <c r="P616" i="12"/>
  <c r="P617" i="12"/>
  <c r="O618" i="12"/>
  <c r="O619" i="12"/>
  <c r="P618" i="12"/>
  <c r="O620" i="12"/>
  <c r="P619" i="12"/>
  <c r="O621" i="12"/>
  <c r="P620" i="12"/>
  <c r="O622" i="12"/>
  <c r="P621" i="12"/>
  <c r="P622" i="12"/>
  <c r="O623" i="12"/>
  <c r="O624" i="12"/>
  <c r="P623" i="12"/>
  <c r="O625" i="12"/>
  <c r="P624" i="12"/>
  <c r="O626" i="12"/>
  <c r="P625" i="12"/>
  <c r="P626" i="12"/>
  <c r="O627" i="12"/>
  <c r="P627" i="12"/>
  <c r="O628" i="12"/>
  <c r="O629" i="12"/>
  <c r="P628" i="12"/>
  <c r="O630" i="12"/>
  <c r="P629" i="12"/>
  <c r="O631" i="12"/>
  <c r="P630" i="12"/>
  <c r="O632" i="12"/>
  <c r="P631" i="12"/>
  <c r="O633" i="12"/>
  <c r="P632" i="12"/>
  <c r="P633" i="12"/>
  <c r="O634" i="12"/>
  <c r="O635" i="12"/>
  <c r="P634" i="12"/>
  <c r="P635" i="12"/>
  <c r="O636" i="12"/>
  <c r="O637" i="12"/>
  <c r="P636" i="12"/>
  <c r="O638" i="12"/>
  <c r="P637" i="12"/>
  <c r="P638" i="12"/>
  <c r="O639" i="12"/>
  <c r="O640" i="12"/>
  <c r="P639" i="12"/>
  <c r="O641" i="12"/>
  <c r="P640" i="12"/>
  <c r="O642" i="12"/>
  <c r="P641" i="12"/>
  <c r="O643" i="12"/>
  <c r="P642" i="12"/>
  <c r="P643" i="12"/>
  <c r="O644" i="12"/>
  <c r="O645" i="12"/>
  <c r="P644" i="12"/>
  <c r="O646" i="12"/>
  <c r="P645" i="12"/>
  <c r="O647" i="12"/>
  <c r="P646" i="12"/>
  <c r="O648" i="12"/>
  <c r="P647" i="12"/>
  <c r="O649" i="12"/>
  <c r="P648" i="12"/>
  <c r="P649" i="12"/>
  <c r="O650" i="12"/>
  <c r="O651" i="12"/>
  <c r="P650" i="12"/>
  <c r="O652" i="12"/>
  <c r="P651" i="12"/>
  <c r="O653" i="12"/>
  <c r="P652" i="12"/>
  <c r="O654" i="12"/>
  <c r="P653" i="12"/>
  <c r="P654" i="12"/>
  <c r="O655" i="12"/>
  <c r="O656" i="12"/>
  <c r="P655" i="12"/>
  <c r="O657" i="12"/>
  <c r="P656" i="12"/>
  <c r="O658" i="12"/>
  <c r="P657" i="12"/>
  <c r="O659" i="12"/>
  <c r="P658" i="12"/>
  <c r="P659" i="12"/>
  <c r="O660" i="12"/>
  <c r="O661" i="12"/>
  <c r="P660" i="12"/>
  <c r="O662" i="12"/>
  <c r="P661" i="12"/>
  <c r="O663" i="12"/>
  <c r="P662" i="12"/>
  <c r="O664" i="12"/>
  <c r="P663" i="12"/>
  <c r="O665" i="12"/>
  <c r="P664" i="12"/>
  <c r="P665" i="12"/>
  <c r="O666" i="12"/>
  <c r="O667" i="12"/>
  <c r="P666" i="12"/>
  <c r="O668" i="12"/>
  <c r="P667" i="12"/>
  <c r="O669" i="12"/>
  <c r="P668" i="12"/>
  <c r="P669" i="12"/>
  <c r="O670" i="12"/>
  <c r="P670" i="12"/>
  <c r="O671" i="12"/>
  <c r="O672" i="12"/>
  <c r="P671" i="12"/>
  <c r="O673" i="12"/>
  <c r="P672" i="12"/>
  <c r="O674" i="12"/>
  <c r="P673" i="12"/>
  <c r="O675" i="12"/>
  <c r="P674" i="12"/>
  <c r="P675" i="12"/>
  <c r="O676" i="12"/>
  <c r="O677" i="12"/>
  <c r="P676" i="12"/>
  <c r="O678" i="12"/>
  <c r="P677" i="12"/>
  <c r="P678" i="12"/>
  <c r="O679" i="12"/>
  <c r="O680" i="12"/>
  <c r="P679" i="12"/>
  <c r="O681" i="12"/>
  <c r="P680" i="12"/>
  <c r="P681" i="12"/>
  <c r="O682" i="12"/>
  <c r="O683" i="12"/>
  <c r="P682" i="12"/>
  <c r="O684" i="12"/>
  <c r="P683" i="12"/>
  <c r="O685" i="12"/>
  <c r="P684" i="12"/>
  <c r="O686" i="12"/>
  <c r="P685" i="12"/>
  <c r="P686" i="12"/>
  <c r="O687" i="12"/>
  <c r="O688" i="12"/>
  <c r="P687" i="12"/>
  <c r="O689" i="12"/>
  <c r="P688" i="12"/>
  <c r="O690" i="12"/>
  <c r="P689" i="12"/>
  <c r="O691" i="12"/>
  <c r="P690" i="12"/>
  <c r="P691" i="12"/>
  <c r="O692" i="12"/>
  <c r="O693" i="12"/>
  <c r="P692" i="12"/>
  <c r="O694" i="12"/>
  <c r="P693" i="12"/>
  <c r="O695" i="12"/>
  <c r="P694" i="12"/>
  <c r="O696" i="12"/>
  <c r="P695" i="12"/>
  <c r="O697" i="12"/>
  <c r="P696" i="12"/>
  <c r="P697" i="12"/>
  <c r="O698" i="12"/>
  <c r="O699" i="12"/>
  <c r="P698" i="12"/>
  <c r="O700" i="12"/>
  <c r="P699" i="12"/>
  <c r="O701" i="12"/>
  <c r="P700" i="12"/>
  <c r="O702" i="12"/>
  <c r="P701" i="12"/>
  <c r="P702" i="12"/>
  <c r="O703" i="12"/>
  <c r="O704" i="12"/>
  <c r="P703" i="12"/>
  <c r="O705" i="12"/>
  <c r="P704" i="12"/>
  <c r="O706" i="12"/>
  <c r="P705" i="12"/>
  <c r="O707" i="12"/>
  <c r="P706" i="12"/>
  <c r="P707" i="12"/>
  <c r="O708" i="12"/>
  <c r="O709" i="12"/>
  <c r="P708" i="12"/>
  <c r="O710" i="12"/>
  <c r="P709" i="12"/>
  <c r="O711" i="12"/>
  <c r="P710" i="12"/>
  <c r="P711" i="12"/>
  <c r="O712" i="12"/>
  <c r="O713" i="12"/>
  <c r="P712" i="12"/>
  <c r="P713" i="12"/>
  <c r="O714" i="12"/>
  <c r="O715" i="12"/>
  <c r="P714" i="12"/>
  <c r="O716" i="12"/>
  <c r="P715" i="12"/>
  <c r="O717" i="12"/>
  <c r="P716" i="12"/>
  <c r="O718" i="12"/>
  <c r="P717" i="12"/>
  <c r="P718" i="12"/>
  <c r="O719" i="12"/>
  <c r="O720" i="12"/>
  <c r="P719" i="12"/>
  <c r="O721" i="12"/>
  <c r="P720" i="12"/>
  <c r="P721" i="12"/>
  <c r="O722" i="12"/>
  <c r="O723" i="12"/>
  <c r="P722" i="12"/>
  <c r="P723" i="12"/>
  <c r="O724" i="12"/>
  <c r="O725" i="12"/>
  <c r="P724" i="12"/>
  <c r="O726" i="12"/>
  <c r="P725" i="12"/>
  <c r="O727" i="12"/>
  <c r="P726" i="12"/>
  <c r="O728" i="12"/>
  <c r="P727" i="12"/>
  <c r="O729" i="12"/>
  <c r="P728" i="12"/>
  <c r="P729" i="12"/>
  <c r="O730" i="12"/>
  <c r="O731" i="12"/>
  <c r="P730" i="12"/>
  <c r="O732" i="12"/>
  <c r="P731" i="12"/>
  <c r="O733" i="12"/>
  <c r="P732" i="12"/>
  <c r="P733" i="12"/>
  <c r="O734" i="12"/>
  <c r="P734" i="12"/>
  <c r="O735" i="12"/>
  <c r="O736" i="12"/>
  <c r="P735" i="12"/>
  <c r="O737" i="12"/>
  <c r="P736" i="12"/>
  <c r="O738" i="12"/>
  <c r="P737" i="12"/>
  <c r="O739" i="12"/>
  <c r="P738" i="12"/>
  <c r="P739" i="12"/>
  <c r="O740" i="12"/>
  <c r="O741" i="12"/>
  <c r="P740" i="12"/>
  <c r="O742" i="12"/>
  <c r="P741" i="12"/>
  <c r="O743" i="12"/>
  <c r="P742" i="12"/>
  <c r="O744" i="12"/>
  <c r="P743" i="12"/>
  <c r="O745" i="12"/>
  <c r="P744" i="12"/>
  <c r="P745" i="12"/>
  <c r="O746" i="12"/>
  <c r="O747" i="12"/>
  <c r="P746" i="12"/>
  <c r="O748" i="12"/>
  <c r="P747" i="12"/>
  <c r="O749" i="12"/>
  <c r="P748" i="12"/>
  <c r="O750" i="12"/>
  <c r="P749" i="12"/>
  <c r="P750" i="12"/>
  <c r="O751" i="12"/>
  <c r="O752" i="12"/>
  <c r="P751" i="12"/>
  <c r="O753" i="12"/>
  <c r="P752" i="12"/>
  <c r="O754" i="12"/>
  <c r="P753" i="12"/>
  <c r="P754" i="12"/>
  <c r="O755" i="12"/>
  <c r="P755" i="12"/>
  <c r="O756" i="12"/>
  <c r="O757" i="12"/>
  <c r="P756" i="12"/>
  <c r="O758" i="12"/>
  <c r="P757" i="12"/>
  <c r="O759" i="12"/>
  <c r="P758" i="12"/>
  <c r="P759" i="12"/>
  <c r="O760" i="12"/>
  <c r="O761" i="12"/>
  <c r="P760" i="12"/>
  <c r="P761" i="12"/>
  <c r="O762" i="12"/>
  <c r="O763" i="12"/>
  <c r="P762" i="12"/>
  <c r="P763" i="12"/>
  <c r="O764" i="12"/>
  <c r="O765" i="12"/>
  <c r="P764" i="12"/>
  <c r="O766" i="12"/>
  <c r="P765" i="12"/>
  <c r="P766" i="12"/>
  <c r="O767" i="12"/>
  <c r="O768" i="12"/>
  <c r="P767" i="12"/>
  <c r="O769" i="12"/>
  <c r="P768" i="12"/>
  <c r="O770" i="12"/>
  <c r="P769" i="12"/>
  <c r="O771" i="12"/>
  <c r="P770" i="12"/>
  <c r="P771" i="12"/>
  <c r="O772" i="12"/>
  <c r="O773" i="12"/>
  <c r="P772" i="12"/>
  <c r="O774" i="12"/>
  <c r="P773" i="12"/>
  <c r="O775" i="12"/>
  <c r="P774" i="12"/>
  <c r="O776" i="12"/>
  <c r="P775" i="12"/>
  <c r="O777" i="12"/>
  <c r="P776" i="12"/>
  <c r="P777" i="12"/>
  <c r="O778" i="12"/>
  <c r="O779" i="12"/>
  <c r="P778" i="12"/>
  <c r="O780" i="12"/>
  <c r="P779" i="12"/>
  <c r="O781" i="12"/>
  <c r="P780" i="12"/>
  <c r="O782" i="12"/>
  <c r="P781" i="12"/>
  <c r="P782" i="12"/>
  <c r="O783" i="12"/>
  <c r="O784" i="12"/>
  <c r="P783" i="12"/>
  <c r="O785" i="12"/>
  <c r="P784" i="12"/>
  <c r="O786" i="12"/>
  <c r="P785" i="12"/>
  <c r="O787" i="12"/>
  <c r="P786" i="12"/>
  <c r="O788" i="12"/>
  <c r="P787" i="12"/>
  <c r="O789" i="12"/>
  <c r="P788" i="12"/>
  <c r="O790" i="12"/>
  <c r="P789" i="12"/>
  <c r="O791" i="12"/>
  <c r="P790" i="12"/>
  <c r="P791" i="12"/>
  <c r="O792" i="12"/>
  <c r="O793" i="12"/>
  <c r="P792" i="12"/>
  <c r="O794" i="12"/>
  <c r="P793" i="12"/>
  <c r="O795" i="12"/>
  <c r="P794" i="12"/>
  <c r="O796" i="12"/>
  <c r="P795" i="12"/>
  <c r="O797" i="12"/>
  <c r="P796" i="12"/>
  <c r="O798" i="12"/>
  <c r="P797" i="12"/>
  <c r="O799" i="12"/>
  <c r="P798" i="12"/>
  <c r="P799" i="12"/>
  <c r="O800" i="12"/>
  <c r="O801" i="12"/>
  <c r="P800" i="12"/>
  <c r="O802" i="12"/>
  <c r="P801" i="12"/>
  <c r="O803" i="12"/>
  <c r="P802" i="12"/>
  <c r="O804" i="12"/>
  <c r="P803" i="12"/>
  <c r="O805" i="12"/>
  <c r="P804" i="12"/>
  <c r="P805" i="12"/>
  <c r="O806" i="12"/>
  <c r="O807" i="12"/>
  <c r="P806" i="12"/>
  <c r="O808" i="12"/>
  <c r="P807" i="12"/>
  <c r="O809" i="12"/>
  <c r="P808" i="12"/>
  <c r="O810" i="12"/>
  <c r="P809" i="12"/>
  <c r="O811" i="12"/>
  <c r="P810" i="12"/>
  <c r="O812" i="12"/>
  <c r="P811" i="12"/>
  <c r="O813" i="12"/>
  <c r="P812" i="12"/>
  <c r="O814" i="12"/>
  <c r="P813" i="12"/>
  <c r="P814" i="12"/>
  <c r="O815" i="12"/>
  <c r="O816" i="12"/>
  <c r="P815" i="12"/>
  <c r="O817" i="12"/>
  <c r="P816" i="12"/>
  <c r="O818" i="12"/>
  <c r="P817" i="12"/>
  <c r="O819" i="12"/>
  <c r="P818" i="12"/>
  <c r="O820" i="12"/>
  <c r="P819" i="12"/>
  <c r="O821" i="12"/>
  <c r="P820" i="12"/>
  <c r="O822" i="12"/>
  <c r="P821" i="12"/>
  <c r="O823" i="12"/>
  <c r="P822" i="12"/>
  <c r="P823" i="12"/>
  <c r="O824" i="12"/>
  <c r="O825" i="12"/>
  <c r="P824" i="12"/>
  <c r="O826" i="12"/>
  <c r="P825" i="12"/>
  <c r="O827" i="12"/>
  <c r="P826" i="12"/>
  <c r="O828" i="12"/>
  <c r="P827" i="12"/>
  <c r="O829" i="12"/>
  <c r="P828" i="12"/>
  <c r="O830" i="12"/>
  <c r="P829" i="12"/>
  <c r="P830" i="12"/>
  <c r="O831" i="12"/>
  <c r="O832" i="12"/>
  <c r="P831" i="12"/>
  <c r="O833" i="12"/>
  <c r="P832" i="12"/>
  <c r="O834" i="12"/>
  <c r="P833" i="12"/>
  <c r="O835" i="12"/>
  <c r="P834" i="12"/>
  <c r="O836" i="12"/>
  <c r="P835" i="12"/>
  <c r="O837" i="12"/>
  <c r="P836" i="12"/>
  <c r="P837" i="12"/>
  <c r="O838" i="12"/>
  <c r="O839" i="12"/>
  <c r="P838" i="12"/>
  <c r="O840" i="12"/>
  <c r="P839" i="12"/>
  <c r="O841" i="12"/>
  <c r="P840" i="12"/>
  <c r="O842" i="12"/>
  <c r="P841" i="12"/>
  <c r="O843" i="12"/>
  <c r="P842" i="12"/>
  <c r="O844" i="12"/>
  <c r="P843" i="12"/>
  <c r="O845" i="12"/>
  <c r="P844" i="12"/>
  <c r="P845" i="12"/>
  <c r="O846" i="12"/>
  <c r="P846" i="12"/>
  <c r="O847" i="12"/>
  <c r="O848" i="12"/>
  <c r="P847" i="12"/>
  <c r="O849" i="12"/>
  <c r="P848" i="12"/>
  <c r="O850" i="12"/>
  <c r="P849" i="12"/>
  <c r="O851" i="12"/>
  <c r="P850" i="12"/>
  <c r="O852" i="12"/>
  <c r="P851" i="12"/>
  <c r="O853" i="12"/>
  <c r="P852" i="12"/>
  <c r="O854" i="12"/>
  <c r="P853" i="12"/>
  <c r="P854" i="12"/>
  <c r="O855" i="12"/>
  <c r="P855" i="12"/>
  <c r="O856" i="12"/>
  <c r="O857" i="12"/>
  <c r="P856" i="12"/>
  <c r="O858" i="12"/>
  <c r="P857" i="12"/>
  <c r="O859" i="12"/>
  <c r="P858" i="12"/>
  <c r="O860" i="12"/>
  <c r="P859" i="12"/>
  <c r="O861" i="12"/>
  <c r="P860" i="12"/>
  <c r="O862" i="12"/>
  <c r="P861" i="12"/>
  <c r="O863" i="12"/>
  <c r="P862" i="12"/>
  <c r="O864" i="12"/>
  <c r="P863" i="12"/>
  <c r="O865" i="12"/>
  <c r="P864" i="12"/>
  <c r="O866" i="12"/>
  <c r="P865" i="12"/>
  <c r="O867" i="12"/>
  <c r="P866" i="12"/>
  <c r="O868" i="12"/>
  <c r="P867" i="12"/>
  <c r="O869" i="12"/>
  <c r="P868" i="12"/>
  <c r="P869" i="12"/>
  <c r="O870" i="12"/>
  <c r="O871" i="12"/>
  <c r="P870" i="12"/>
  <c r="O872" i="12"/>
  <c r="P871" i="12"/>
  <c r="O873" i="12"/>
  <c r="P872" i="12"/>
  <c r="O874" i="12"/>
  <c r="P873" i="12"/>
  <c r="O875" i="12"/>
  <c r="P874" i="12"/>
  <c r="O876" i="12"/>
  <c r="P875" i="12"/>
  <c r="O877" i="12"/>
  <c r="P876" i="12"/>
  <c r="O878" i="12"/>
  <c r="P877" i="12"/>
  <c r="P878" i="12"/>
  <c r="O879" i="12"/>
  <c r="O880" i="12"/>
  <c r="P879" i="12"/>
  <c r="O881" i="12"/>
  <c r="P880" i="12"/>
  <c r="O882" i="12"/>
  <c r="P881" i="12"/>
  <c r="P882" i="12"/>
  <c r="O883" i="12"/>
  <c r="O884" i="12"/>
  <c r="P883" i="12"/>
  <c r="O885" i="12"/>
  <c r="P884" i="12"/>
  <c r="P885" i="12"/>
  <c r="O886" i="12"/>
  <c r="O887" i="12"/>
  <c r="P886" i="12"/>
  <c r="P887" i="12"/>
  <c r="O888" i="12"/>
  <c r="O889" i="12"/>
  <c r="P888" i="12"/>
  <c r="O890" i="12"/>
  <c r="P889" i="12"/>
  <c r="O891" i="12"/>
  <c r="P890" i="12"/>
  <c r="O892" i="12"/>
  <c r="P891" i="12"/>
  <c r="O893" i="12"/>
  <c r="P892" i="12"/>
  <c r="O894" i="12"/>
  <c r="P893" i="12"/>
  <c r="P894" i="12"/>
  <c r="O895" i="12"/>
  <c r="O896" i="12"/>
  <c r="P895" i="12"/>
  <c r="O897" i="12"/>
  <c r="P896" i="12"/>
  <c r="O898" i="12"/>
  <c r="P897" i="12"/>
  <c r="O899" i="12"/>
  <c r="P898" i="12"/>
  <c r="O900" i="12"/>
  <c r="P899" i="12"/>
  <c r="O901" i="12"/>
  <c r="P900" i="12"/>
  <c r="P901" i="12"/>
  <c r="O902" i="12"/>
  <c r="O903" i="12"/>
  <c r="P902" i="12"/>
  <c r="P903" i="12"/>
  <c r="O904" i="12"/>
  <c r="O905" i="12"/>
  <c r="P904" i="12"/>
  <c r="O906" i="12"/>
  <c r="P905" i="12"/>
  <c r="O907" i="12"/>
  <c r="P906" i="12"/>
  <c r="O908" i="12"/>
  <c r="P907" i="12"/>
  <c r="O909" i="12"/>
  <c r="P908" i="12"/>
  <c r="P909" i="12"/>
  <c r="O910" i="12"/>
  <c r="P910" i="12"/>
  <c r="O911" i="12"/>
  <c r="O912" i="12"/>
  <c r="P911" i="12"/>
  <c r="O913" i="12"/>
  <c r="P912" i="12"/>
  <c r="P913" i="12"/>
  <c r="O914" i="12"/>
  <c r="O915" i="12"/>
  <c r="P914" i="12"/>
  <c r="O916" i="12"/>
  <c r="P915" i="12"/>
  <c r="O917" i="12"/>
  <c r="P916" i="12"/>
  <c r="O918" i="12"/>
  <c r="P917" i="12"/>
  <c r="O919" i="12"/>
  <c r="P918" i="12"/>
  <c r="P919" i="12"/>
  <c r="O920" i="12"/>
  <c r="O921" i="12"/>
  <c r="P920" i="12"/>
  <c r="O922" i="12"/>
  <c r="P921" i="12"/>
  <c r="O923" i="12"/>
  <c r="P922" i="12"/>
  <c r="O924" i="12"/>
  <c r="P923" i="12"/>
  <c r="O925" i="12"/>
  <c r="P924" i="12"/>
  <c r="O926" i="12"/>
  <c r="P925" i="12"/>
  <c r="O927" i="12"/>
  <c r="P926" i="12"/>
  <c r="P927" i="12"/>
  <c r="O928" i="12"/>
  <c r="O929" i="12"/>
  <c r="P928" i="12"/>
  <c r="O930" i="12"/>
  <c r="P929" i="12"/>
  <c r="O931" i="12"/>
  <c r="P930" i="12"/>
  <c r="O932" i="12"/>
  <c r="P931" i="12"/>
  <c r="O933" i="12"/>
  <c r="P932" i="12"/>
  <c r="P933" i="12"/>
  <c r="O934" i="12"/>
  <c r="O935" i="12"/>
  <c r="P934" i="12"/>
  <c r="O936" i="12"/>
  <c r="P935" i="12"/>
  <c r="O937" i="12"/>
  <c r="P936" i="12"/>
  <c r="O938" i="12"/>
  <c r="P937" i="12"/>
  <c r="O939" i="12"/>
  <c r="P938" i="12"/>
  <c r="O940" i="12"/>
  <c r="P939" i="12"/>
  <c r="O941" i="12"/>
  <c r="P940" i="12"/>
  <c r="O942" i="12"/>
  <c r="P941" i="12"/>
  <c r="P942" i="12"/>
  <c r="O943" i="12"/>
  <c r="O944" i="12"/>
  <c r="P943" i="12"/>
  <c r="O945" i="12"/>
  <c r="P944" i="12"/>
  <c r="O946" i="12"/>
  <c r="P945" i="12"/>
  <c r="O947" i="12"/>
  <c r="P946" i="12"/>
  <c r="O948" i="12"/>
  <c r="P947" i="12"/>
  <c r="O949" i="12"/>
  <c r="P948" i="12"/>
  <c r="O950" i="12"/>
  <c r="P949" i="12"/>
  <c r="O951" i="12"/>
  <c r="P950" i="12"/>
  <c r="P951" i="12"/>
  <c r="O952" i="12"/>
  <c r="O953" i="12"/>
  <c r="P952" i="12"/>
  <c r="O954" i="12"/>
  <c r="P953" i="12"/>
  <c r="O955" i="12"/>
  <c r="P954" i="12"/>
  <c r="O956" i="12"/>
  <c r="P955" i="12"/>
  <c r="O957" i="12"/>
  <c r="P956" i="12"/>
  <c r="O958" i="12"/>
  <c r="P957" i="12"/>
  <c r="P958" i="12"/>
  <c r="O959" i="12"/>
  <c r="O960" i="12"/>
  <c r="P959" i="12"/>
  <c r="O961" i="12"/>
  <c r="P960" i="12"/>
  <c r="O962" i="12"/>
  <c r="P961" i="12"/>
  <c r="P962" i="12"/>
  <c r="O963" i="12"/>
  <c r="O964" i="12"/>
  <c r="P963" i="12"/>
  <c r="O965" i="12"/>
  <c r="P964" i="12"/>
  <c r="P965" i="12"/>
  <c r="O966" i="12"/>
  <c r="O967" i="12"/>
  <c r="P966" i="12"/>
  <c r="O968" i="12"/>
  <c r="P967" i="12"/>
  <c r="O969" i="12"/>
  <c r="P968" i="12"/>
  <c r="O970" i="12"/>
  <c r="P969" i="12"/>
  <c r="O971" i="12"/>
  <c r="P970" i="12"/>
  <c r="O972" i="12"/>
  <c r="P971" i="12"/>
  <c r="O973" i="12"/>
  <c r="P972" i="12"/>
  <c r="O974" i="12"/>
  <c r="P973" i="12"/>
  <c r="P974" i="12"/>
  <c r="O975" i="12"/>
  <c r="O976" i="12"/>
  <c r="P975" i="12"/>
  <c r="O977" i="12"/>
  <c r="P976" i="12"/>
  <c r="O978" i="12"/>
  <c r="P977" i="12"/>
  <c r="O979" i="12"/>
  <c r="P978" i="12"/>
  <c r="O980" i="12"/>
  <c r="P979" i="12"/>
  <c r="O981" i="12"/>
  <c r="P980" i="12"/>
  <c r="P981" i="12"/>
  <c r="O982" i="12"/>
  <c r="P982" i="12"/>
  <c r="O983" i="12"/>
  <c r="P983" i="12"/>
  <c r="O984" i="12"/>
  <c r="O985" i="12"/>
  <c r="P984" i="12"/>
  <c r="O986" i="12"/>
  <c r="P985" i="12"/>
  <c r="O987" i="12"/>
  <c r="P986" i="12"/>
  <c r="P987" i="12"/>
  <c r="O988" i="12"/>
  <c r="O989" i="12"/>
  <c r="P988" i="12"/>
  <c r="O990" i="12"/>
  <c r="P989" i="12"/>
  <c r="O991" i="12"/>
  <c r="P990" i="12"/>
  <c r="P991" i="12"/>
  <c r="O992" i="12"/>
  <c r="O993" i="12"/>
  <c r="P992" i="12"/>
  <c r="O994" i="12"/>
  <c r="P993" i="12"/>
  <c r="O995" i="12"/>
  <c r="P994" i="12"/>
  <c r="O996" i="12"/>
  <c r="P995" i="12"/>
  <c r="O997" i="12"/>
  <c r="P996" i="12"/>
  <c r="P997" i="12"/>
  <c r="O998" i="12"/>
  <c r="O999" i="12"/>
  <c r="P998" i="12"/>
  <c r="O1000" i="12"/>
  <c r="P999" i="12"/>
  <c r="O1001" i="12"/>
  <c r="P1000" i="12"/>
  <c r="O1002" i="12"/>
  <c r="P1001" i="12"/>
  <c r="O1003" i="12"/>
  <c r="P1002" i="12"/>
  <c r="O1004" i="12"/>
  <c r="P1003" i="12"/>
  <c r="O1005" i="12"/>
  <c r="P1004" i="12"/>
  <c r="O1006" i="12"/>
  <c r="P1005" i="12"/>
  <c r="P1006" i="12"/>
  <c r="O1007" i="12"/>
  <c r="O1008" i="12"/>
  <c r="P1007" i="12"/>
  <c r="O1009" i="12"/>
  <c r="P1008" i="12"/>
  <c r="O1010" i="12"/>
  <c r="P1009" i="12"/>
  <c r="P1010" i="12"/>
  <c r="O1011" i="12"/>
  <c r="O1012" i="12"/>
  <c r="P1011" i="12"/>
  <c r="O1013" i="12"/>
  <c r="P1012" i="12"/>
  <c r="P1013" i="12"/>
  <c r="O1014" i="12"/>
  <c r="O1015" i="12"/>
  <c r="P1014" i="12"/>
  <c r="P1015" i="12"/>
  <c r="O1016" i="12"/>
  <c r="O1017" i="12"/>
  <c r="P1016" i="12"/>
  <c r="O1018" i="12"/>
  <c r="P1017" i="12"/>
  <c r="O1019" i="12"/>
  <c r="P1018" i="12"/>
  <c r="O1020" i="12"/>
  <c r="P1019" i="12"/>
  <c r="O1021" i="12"/>
  <c r="P1020" i="12"/>
  <c r="O1022" i="12"/>
  <c r="P1021" i="12"/>
  <c r="O1023" i="12"/>
  <c r="P1022" i="12"/>
  <c r="O1024" i="12"/>
  <c r="P1023" i="12"/>
  <c r="O1025" i="12"/>
  <c r="P1024" i="12"/>
  <c r="O1026" i="12"/>
  <c r="P1025" i="12"/>
  <c r="O1027" i="12"/>
  <c r="P1026" i="12"/>
  <c r="O1028" i="12"/>
  <c r="P1027" i="12"/>
  <c r="O1029" i="12"/>
  <c r="P1028" i="12"/>
  <c r="P1029" i="12"/>
  <c r="O1030" i="12"/>
  <c r="O1031" i="12"/>
  <c r="P1030" i="12"/>
  <c r="P1031" i="12"/>
  <c r="O1032" i="12"/>
  <c r="O1033" i="12"/>
  <c r="P1032" i="12"/>
  <c r="O1034" i="12"/>
  <c r="P1033" i="12"/>
  <c r="O1035" i="12"/>
  <c r="P1034" i="12"/>
  <c r="O1036" i="12"/>
  <c r="P1035" i="12"/>
  <c r="O1037" i="12"/>
  <c r="P1036" i="12"/>
  <c r="P1037" i="12"/>
  <c r="O1038" i="12"/>
  <c r="P1038" i="12"/>
  <c r="O1039" i="12"/>
  <c r="O1040" i="12"/>
  <c r="P1039" i="12"/>
  <c r="O1041" i="12"/>
  <c r="P1040" i="12"/>
  <c r="O1042" i="12"/>
  <c r="P1041" i="12"/>
  <c r="O1043" i="12"/>
  <c r="P1042" i="12"/>
  <c r="O1044" i="12"/>
  <c r="P1043" i="12"/>
  <c r="O1045" i="12"/>
  <c r="P1044" i="12"/>
  <c r="O1046" i="12"/>
  <c r="P1045" i="12"/>
  <c r="O1047" i="12"/>
  <c r="P1046" i="12"/>
  <c r="P1047" i="12"/>
  <c r="O1048" i="12"/>
  <c r="O1049" i="12"/>
  <c r="P1048" i="12"/>
  <c r="P1049" i="12"/>
  <c r="O1050" i="12"/>
  <c r="O1051" i="12"/>
  <c r="P1050" i="12"/>
  <c r="O1052" i="12"/>
  <c r="P1051" i="12"/>
  <c r="O1053" i="12"/>
  <c r="P1052" i="12"/>
  <c r="O1054" i="12"/>
  <c r="P1053" i="12"/>
  <c r="O1055" i="12"/>
  <c r="P1054" i="12"/>
  <c r="O1056" i="12"/>
  <c r="P1055" i="12"/>
  <c r="O1057" i="12"/>
  <c r="P1056" i="12"/>
  <c r="O1058" i="12"/>
  <c r="P1057" i="12"/>
  <c r="P1058" i="12"/>
  <c r="O1059" i="12"/>
  <c r="O1060" i="12"/>
  <c r="P1059" i="12"/>
  <c r="O1061" i="12"/>
  <c r="P1060" i="12"/>
  <c r="O1062" i="12"/>
  <c r="P1061" i="12"/>
  <c r="O1063" i="12"/>
  <c r="P1062" i="12"/>
  <c r="O1064" i="12"/>
  <c r="P1063" i="12"/>
  <c r="O1065" i="12"/>
  <c r="P1064" i="12"/>
  <c r="O1066" i="12"/>
  <c r="P1065" i="12"/>
  <c r="O1067" i="12"/>
  <c r="P1066" i="12"/>
  <c r="O1068" i="12"/>
  <c r="P1067" i="12"/>
  <c r="O1069" i="12"/>
  <c r="P1068" i="12"/>
  <c r="O1070" i="12"/>
  <c r="P1069" i="12"/>
  <c r="O1071" i="12"/>
  <c r="P1070" i="12"/>
  <c r="O1072" i="12"/>
  <c r="P1071" i="12"/>
  <c r="O1073" i="12"/>
  <c r="P1072" i="12"/>
  <c r="O1074" i="12"/>
  <c r="P1073" i="12"/>
  <c r="O1075" i="12"/>
  <c r="P1074" i="12"/>
  <c r="O1076" i="12"/>
  <c r="P1075" i="12"/>
  <c r="O1077" i="12"/>
  <c r="P1076" i="12"/>
  <c r="O1078" i="12"/>
  <c r="P1077" i="12"/>
  <c r="O1079" i="12"/>
  <c r="P1078" i="12"/>
  <c r="O1080" i="12"/>
  <c r="P1079" i="12"/>
  <c r="O1081" i="12"/>
  <c r="P1080" i="12"/>
  <c r="O1082" i="12"/>
  <c r="P1081" i="12"/>
  <c r="O1083" i="12"/>
  <c r="P1082" i="12"/>
  <c r="O1084" i="12"/>
  <c r="P1083" i="12"/>
  <c r="O1085" i="12"/>
  <c r="P1084" i="12"/>
  <c r="O1086" i="12"/>
  <c r="P1085" i="12"/>
  <c r="O1087" i="12"/>
  <c r="P1086" i="12"/>
  <c r="O1088" i="12"/>
  <c r="P1087" i="12"/>
  <c r="O1089" i="12"/>
  <c r="P1088" i="12"/>
  <c r="O1090" i="12"/>
  <c r="P1089" i="12"/>
  <c r="O1091" i="12"/>
  <c r="P1090" i="12"/>
  <c r="P1091" i="12"/>
  <c r="O1092" i="12"/>
  <c r="O1093" i="12"/>
  <c r="P1092" i="12"/>
  <c r="O1094" i="12"/>
  <c r="P1093" i="12"/>
  <c r="O1095" i="12"/>
  <c r="P1094" i="12"/>
  <c r="O1096" i="12"/>
  <c r="P1095" i="12"/>
  <c r="O1097" i="12"/>
  <c r="P1096" i="12"/>
  <c r="O1098" i="12"/>
  <c r="P1097" i="12"/>
  <c r="O1099" i="12"/>
  <c r="P1098" i="12"/>
  <c r="O1100" i="12"/>
  <c r="P1099" i="12"/>
  <c r="O1101" i="12"/>
  <c r="P1100" i="12"/>
  <c r="P1101" i="12"/>
  <c r="O1102" i="12"/>
  <c r="O1103" i="12"/>
  <c r="P1102" i="12"/>
  <c r="O1104" i="12"/>
  <c r="P1103" i="12"/>
  <c r="O1105" i="12"/>
  <c r="P1104" i="12"/>
  <c r="O1106" i="12"/>
  <c r="P1105" i="12"/>
  <c r="O1107" i="12"/>
  <c r="P1106" i="12"/>
  <c r="O1108" i="12"/>
  <c r="P1107" i="12"/>
  <c r="O1109" i="12"/>
  <c r="P1108" i="12"/>
  <c r="O1110" i="12"/>
  <c r="P1109" i="12"/>
  <c r="O1111" i="12"/>
  <c r="P1110" i="12"/>
  <c r="O1112" i="12"/>
  <c r="P1111" i="12"/>
  <c r="O1113" i="12"/>
  <c r="P1112" i="12"/>
  <c r="O1114" i="12"/>
  <c r="P1113" i="12"/>
  <c r="O1115" i="12"/>
  <c r="P1114" i="12"/>
  <c r="O1116" i="12"/>
  <c r="P1115" i="12"/>
  <c r="O1117" i="12"/>
  <c r="P1116" i="12"/>
  <c r="O1118" i="12"/>
  <c r="P1117" i="12"/>
  <c r="O1119" i="12"/>
  <c r="P1118" i="12"/>
  <c r="O1120" i="12"/>
  <c r="P1119" i="12"/>
  <c r="O1121" i="12"/>
  <c r="P1120" i="12"/>
  <c r="O1122" i="12"/>
  <c r="P1121" i="12"/>
  <c r="O1123" i="12"/>
  <c r="P1122" i="12"/>
  <c r="O1124" i="12"/>
  <c r="P1123" i="12"/>
  <c r="O1125" i="12"/>
  <c r="P1124" i="12"/>
  <c r="O1126" i="12"/>
  <c r="P1125" i="12"/>
  <c r="O1127" i="12"/>
  <c r="P1126" i="12"/>
  <c r="O1128" i="12"/>
  <c r="P1127" i="12"/>
  <c r="O1129" i="12"/>
  <c r="P1128" i="12"/>
  <c r="O1130" i="12"/>
  <c r="P1129" i="12"/>
  <c r="O1131" i="12"/>
  <c r="P1130" i="12"/>
  <c r="O1132" i="12"/>
  <c r="P1131" i="12"/>
  <c r="O1133" i="12"/>
  <c r="P1132" i="12"/>
  <c r="O1134" i="12"/>
  <c r="P1133" i="12"/>
  <c r="P1134" i="12"/>
  <c r="O1135" i="12"/>
  <c r="O1136" i="12"/>
  <c r="P1135" i="12"/>
  <c r="O1137" i="12"/>
  <c r="P1136" i="12"/>
  <c r="O1138" i="12"/>
  <c r="P1137" i="12"/>
  <c r="O1139" i="12"/>
  <c r="P1138" i="12"/>
  <c r="O1140" i="12"/>
  <c r="P1139" i="12"/>
  <c r="O1141" i="12"/>
  <c r="P1140" i="12"/>
  <c r="O1142" i="12"/>
  <c r="P1141" i="12"/>
  <c r="O1143" i="12"/>
  <c r="P1142" i="12"/>
  <c r="P1143" i="12"/>
  <c r="O1144" i="12"/>
  <c r="O1145" i="12"/>
  <c r="P1144" i="12"/>
  <c r="O1146" i="12"/>
  <c r="P1145" i="12"/>
  <c r="O1147" i="12"/>
  <c r="P1146" i="12"/>
  <c r="O1148" i="12"/>
  <c r="P1147" i="12"/>
  <c r="O1149" i="12"/>
  <c r="P1148" i="12"/>
  <c r="O1150" i="12"/>
  <c r="P1149" i="12"/>
  <c r="O1151" i="12"/>
  <c r="P1150" i="12"/>
  <c r="O1152" i="12"/>
  <c r="P1151" i="12"/>
  <c r="O1153" i="12"/>
  <c r="P1152" i="12"/>
  <c r="O1154" i="12"/>
  <c r="P1153" i="12"/>
  <c r="O1155" i="12"/>
  <c r="P1154" i="12"/>
  <c r="O1156" i="12"/>
  <c r="P1155" i="12"/>
  <c r="O1157" i="12"/>
  <c r="P1156" i="12"/>
  <c r="O1158" i="12"/>
  <c r="P1157" i="12"/>
  <c r="O1159" i="12"/>
  <c r="P1158" i="12"/>
  <c r="O1160" i="12"/>
  <c r="P1159" i="12"/>
  <c r="O1161" i="12"/>
  <c r="P1160" i="12"/>
  <c r="O1162" i="12"/>
  <c r="P1161" i="12"/>
  <c r="O1163" i="12"/>
  <c r="P1162" i="12"/>
  <c r="O1164" i="12"/>
  <c r="P1163" i="12"/>
  <c r="O1165" i="12"/>
  <c r="P1164" i="12"/>
  <c r="O1166" i="12"/>
  <c r="P1165" i="12"/>
  <c r="O1167" i="12"/>
  <c r="P1166" i="12"/>
  <c r="O1168" i="12"/>
  <c r="P1167" i="12"/>
  <c r="O1169" i="12"/>
  <c r="P1168" i="12"/>
  <c r="O1170" i="12"/>
  <c r="P1169" i="12"/>
  <c r="O1171" i="12"/>
  <c r="P1170" i="12"/>
  <c r="O1172" i="12"/>
  <c r="P1171" i="12"/>
  <c r="O1173" i="12"/>
  <c r="P1172" i="12"/>
  <c r="O1174" i="12"/>
  <c r="P1173" i="12"/>
  <c r="O1175" i="12"/>
  <c r="P1174" i="12"/>
  <c r="O1176" i="12"/>
  <c r="P1175" i="12"/>
  <c r="O1177" i="12"/>
  <c r="P1176" i="12"/>
  <c r="O1178" i="12"/>
  <c r="P1177" i="12"/>
  <c r="O1179" i="12"/>
  <c r="P1178" i="12"/>
  <c r="O1180" i="12"/>
  <c r="P1179" i="12"/>
  <c r="O1181" i="12"/>
  <c r="P1180" i="12"/>
  <c r="O1182" i="12"/>
  <c r="P1181" i="12"/>
  <c r="O1183" i="12"/>
  <c r="P1182" i="12"/>
  <c r="O1184" i="12"/>
  <c r="P1183" i="12"/>
  <c r="O1185" i="12"/>
  <c r="P1184" i="12"/>
  <c r="O1186" i="12"/>
  <c r="P1185" i="12"/>
  <c r="O1187" i="12"/>
  <c r="P1186" i="12"/>
  <c r="O1188" i="12"/>
  <c r="P1187" i="12"/>
  <c r="O1189" i="12"/>
  <c r="P1188" i="12"/>
  <c r="O1190" i="12"/>
  <c r="P1189" i="12"/>
  <c r="O1191" i="12"/>
  <c r="P1190" i="12"/>
  <c r="O1192" i="12"/>
  <c r="P1191" i="12"/>
  <c r="O1193" i="12"/>
  <c r="P1192" i="12"/>
  <c r="O1194" i="12"/>
  <c r="P1193" i="12"/>
  <c r="O1195" i="12"/>
  <c r="P1194" i="12"/>
  <c r="O1196" i="12"/>
  <c r="P1195" i="12"/>
  <c r="O1197" i="12"/>
  <c r="P1196" i="12"/>
  <c r="O1198" i="12"/>
  <c r="P1197" i="12"/>
  <c r="O1199" i="12"/>
  <c r="P1198" i="12"/>
  <c r="O1200" i="12"/>
  <c r="P1199" i="12"/>
  <c r="O1201" i="12"/>
  <c r="P1200" i="12"/>
  <c r="O1202" i="12"/>
  <c r="P1201" i="12"/>
  <c r="O1203" i="12"/>
  <c r="P1202" i="12"/>
  <c r="O1204" i="12"/>
  <c r="P1203" i="12"/>
  <c r="O1205" i="12"/>
  <c r="P1204" i="12"/>
  <c r="O1206" i="12"/>
  <c r="P1205" i="12"/>
  <c r="O1207" i="12"/>
  <c r="P1206" i="12"/>
  <c r="O1208" i="12"/>
  <c r="P1207" i="12"/>
  <c r="O1209" i="12"/>
  <c r="P1208" i="12"/>
  <c r="O1210" i="12"/>
  <c r="P1209" i="12"/>
  <c r="O1211" i="12"/>
  <c r="P1210" i="12"/>
  <c r="O1212" i="12"/>
  <c r="P1211" i="12"/>
  <c r="O1213" i="12"/>
  <c r="P1212" i="12"/>
  <c r="O1214" i="12"/>
  <c r="P1213" i="12"/>
  <c r="O1215" i="12"/>
  <c r="P1214" i="12"/>
  <c r="O1216" i="12"/>
  <c r="P1215" i="12"/>
  <c r="O1217" i="12"/>
  <c r="P1216" i="12"/>
  <c r="O1218" i="12"/>
  <c r="P1217" i="12"/>
  <c r="O1219" i="12"/>
  <c r="P1218" i="12"/>
  <c r="O1220" i="12"/>
  <c r="P1219" i="12"/>
  <c r="O1221" i="12"/>
  <c r="P1220" i="12"/>
  <c r="O1222" i="12"/>
  <c r="P1221" i="12"/>
  <c r="O1223" i="12"/>
  <c r="P1222" i="12"/>
  <c r="O1224" i="12"/>
  <c r="P1223" i="12"/>
  <c r="O1225" i="12"/>
  <c r="P1224" i="12"/>
  <c r="O1226" i="12"/>
  <c r="P1225" i="12"/>
  <c r="O1227" i="12"/>
  <c r="P1226" i="12"/>
  <c r="O1228" i="12"/>
  <c r="P1227" i="12"/>
  <c r="O1229" i="12"/>
  <c r="P1228" i="12"/>
  <c r="O1230" i="12"/>
  <c r="P1229" i="12"/>
  <c r="O1231" i="12"/>
  <c r="P1230" i="12"/>
  <c r="O1232" i="12"/>
  <c r="P1231" i="12"/>
  <c r="O1233" i="12"/>
  <c r="P1232" i="12"/>
  <c r="O1234" i="12"/>
  <c r="P1233" i="12"/>
  <c r="O1235" i="12"/>
  <c r="P1234" i="12"/>
  <c r="O1236" i="12"/>
  <c r="P1235" i="12"/>
  <c r="O1237" i="12"/>
  <c r="P1236" i="12"/>
  <c r="O1238" i="12"/>
  <c r="P1237" i="12"/>
  <c r="O1239" i="12"/>
  <c r="P1238" i="12"/>
  <c r="O1240" i="12"/>
  <c r="P1239" i="12"/>
  <c r="O1241" i="12"/>
  <c r="P1240" i="12"/>
  <c r="O1242" i="12"/>
  <c r="P1241" i="12"/>
  <c r="O1243" i="12"/>
  <c r="P1242" i="12"/>
  <c r="O1244" i="12"/>
  <c r="P1243" i="12"/>
  <c r="O1245" i="12"/>
  <c r="P1244" i="12"/>
  <c r="O1246" i="12"/>
  <c r="P1245" i="12"/>
  <c r="O1247" i="12"/>
  <c r="P1246" i="12"/>
  <c r="O1248" i="12"/>
  <c r="P1247" i="12"/>
  <c r="O1249" i="12"/>
  <c r="P1248" i="12"/>
  <c r="O1250" i="12"/>
  <c r="P1249" i="12"/>
  <c r="O1251" i="12"/>
  <c r="P1250" i="12"/>
  <c r="O1252" i="12"/>
  <c r="P1251" i="12"/>
  <c r="O1253" i="12"/>
  <c r="P1252" i="12"/>
  <c r="O1254" i="12"/>
  <c r="P1253" i="12"/>
  <c r="O1255" i="12"/>
  <c r="P1254" i="12"/>
  <c r="O1256" i="12"/>
  <c r="P1255" i="12"/>
  <c r="O1257" i="12"/>
  <c r="P1256" i="12"/>
  <c r="O1258" i="12"/>
  <c r="P1257" i="12"/>
  <c r="O1259" i="12"/>
  <c r="P1258" i="12"/>
  <c r="O1260" i="12"/>
  <c r="P1259" i="12"/>
  <c r="O1261" i="12"/>
  <c r="P1260" i="12"/>
  <c r="P1261" i="12"/>
  <c r="O1262" i="12"/>
  <c r="P1262" i="12"/>
  <c r="O1263" i="12"/>
  <c r="O1264" i="12"/>
  <c r="P1263" i="12"/>
  <c r="O1265" i="12"/>
  <c r="P1264" i="12"/>
  <c r="O1266" i="12"/>
  <c r="P1265" i="12"/>
  <c r="O1267" i="12"/>
  <c r="P1266" i="12"/>
  <c r="O1268" i="12"/>
  <c r="P1267" i="12"/>
  <c r="O1269" i="12"/>
  <c r="P1268" i="12"/>
  <c r="O1270" i="12"/>
  <c r="P1269" i="12"/>
  <c r="O1271" i="12"/>
  <c r="P1270" i="12"/>
  <c r="P1271" i="12"/>
  <c r="O1272" i="12"/>
  <c r="O1273" i="12"/>
  <c r="P1272" i="12"/>
  <c r="O1274" i="12"/>
  <c r="P1273" i="12"/>
  <c r="O1275" i="12"/>
  <c r="P1274" i="12"/>
  <c r="O1276" i="12"/>
  <c r="P1275" i="12"/>
  <c r="O1277" i="12"/>
  <c r="P1276" i="12"/>
  <c r="O1278" i="12"/>
  <c r="P1277" i="12"/>
  <c r="O1279" i="12"/>
  <c r="P1278" i="12"/>
  <c r="P1279" i="12"/>
  <c r="O1280" i="12"/>
  <c r="O1281" i="12"/>
  <c r="P1280" i="12"/>
  <c r="O1282" i="12"/>
  <c r="P1281" i="12"/>
  <c r="O1283" i="12"/>
  <c r="P1282" i="12"/>
  <c r="O1284" i="12"/>
  <c r="P1283" i="12"/>
  <c r="O1285" i="12"/>
  <c r="P1284" i="12"/>
  <c r="P1285" i="12"/>
  <c r="O1286" i="12"/>
  <c r="O1287" i="12"/>
  <c r="P1286" i="12"/>
  <c r="O1288" i="12"/>
  <c r="P1287" i="12"/>
  <c r="O1289" i="12"/>
  <c r="P1288" i="12"/>
  <c r="O1290" i="12"/>
  <c r="P1289" i="12"/>
  <c r="O1291" i="12"/>
  <c r="P1290" i="12"/>
  <c r="O1292" i="12"/>
  <c r="P1291" i="12"/>
  <c r="O1293" i="12"/>
  <c r="P1292" i="12"/>
  <c r="O1294" i="12"/>
  <c r="P1293" i="12"/>
  <c r="P1294" i="12"/>
  <c r="O1295" i="12"/>
  <c r="O1296" i="12"/>
  <c r="P1295" i="12"/>
  <c r="O1297" i="12"/>
  <c r="P1296" i="12"/>
  <c r="O1298" i="12"/>
  <c r="P1297" i="12"/>
  <c r="O1299" i="12"/>
  <c r="P1298" i="12"/>
  <c r="O1300" i="12"/>
  <c r="P1299" i="12"/>
  <c r="O1301" i="12"/>
  <c r="P1300" i="12"/>
  <c r="P1301" i="12"/>
  <c r="O1302" i="12"/>
  <c r="O1303" i="12"/>
  <c r="P1302" i="12"/>
  <c r="P1303" i="12"/>
  <c r="O1304" i="12"/>
  <c r="O1305" i="12"/>
  <c r="P1304" i="12"/>
  <c r="O1306" i="12"/>
  <c r="P1305" i="12"/>
  <c r="O1307" i="12"/>
  <c r="P1306" i="12"/>
  <c r="O1308" i="12"/>
  <c r="P1307" i="12"/>
  <c r="O1309" i="12"/>
  <c r="P1308" i="12"/>
  <c r="O1310" i="12"/>
  <c r="P1309" i="12"/>
  <c r="P1310" i="12"/>
  <c r="O1311" i="12"/>
  <c r="O1312" i="12"/>
  <c r="P1311" i="12"/>
  <c r="O1313" i="12"/>
  <c r="P1312" i="12"/>
  <c r="O1314" i="12"/>
  <c r="P1313" i="12"/>
  <c r="O1315" i="12"/>
  <c r="P1314" i="12"/>
  <c r="O1316" i="12"/>
  <c r="P1315" i="12"/>
  <c r="O1317" i="12"/>
  <c r="P1316" i="12"/>
  <c r="P1317" i="12"/>
  <c r="O1318" i="12"/>
  <c r="O1319" i="12"/>
  <c r="P1318" i="12"/>
  <c r="O1320" i="12"/>
  <c r="P1319" i="12"/>
  <c r="O1321" i="12"/>
  <c r="P1320" i="12"/>
  <c r="O1322" i="12"/>
  <c r="P1321" i="12"/>
  <c r="O1323" i="12"/>
  <c r="P1322" i="12"/>
  <c r="O1324" i="12"/>
  <c r="P1323" i="12"/>
  <c r="O1325" i="12"/>
  <c r="P1324" i="12"/>
  <c r="O1326" i="12"/>
  <c r="P1325" i="12"/>
  <c r="P1326" i="12"/>
  <c r="O1327" i="12"/>
  <c r="O1328" i="12"/>
  <c r="P1327" i="12"/>
  <c r="O1329" i="12"/>
  <c r="P1328" i="12"/>
  <c r="O1330" i="12"/>
  <c r="P1329" i="12"/>
  <c r="O1331" i="12"/>
  <c r="P1330" i="12"/>
  <c r="O1332" i="12"/>
  <c r="P1331" i="12"/>
  <c r="O1333" i="12"/>
  <c r="P1332" i="12"/>
  <c r="O1334" i="12"/>
  <c r="P1333" i="12"/>
  <c r="P1334" i="12"/>
  <c r="O1335" i="12"/>
  <c r="P1335" i="12"/>
  <c r="O1336" i="12"/>
  <c r="O1337" i="12"/>
  <c r="P1336" i="12"/>
  <c r="O1338" i="12"/>
  <c r="P1337" i="12"/>
  <c r="O1339" i="12"/>
  <c r="P1338" i="12"/>
  <c r="O1340" i="12"/>
  <c r="P1339" i="12"/>
  <c r="O1341" i="12"/>
  <c r="P1340" i="12"/>
  <c r="O1342" i="12"/>
  <c r="P1341" i="12"/>
  <c r="O1343" i="12"/>
  <c r="P1342" i="12"/>
  <c r="O1344" i="12"/>
  <c r="P1343" i="12"/>
  <c r="O1345" i="12"/>
  <c r="P1344" i="12"/>
  <c r="O1346" i="12"/>
  <c r="P1345" i="12"/>
  <c r="O1347" i="12"/>
  <c r="P1346" i="12"/>
  <c r="O1348" i="12"/>
  <c r="P1347" i="12"/>
  <c r="O1349" i="12"/>
  <c r="P1348" i="12"/>
  <c r="P1349" i="12"/>
  <c r="O1350" i="12"/>
  <c r="O1351" i="12"/>
  <c r="P1350" i="12"/>
  <c r="O1352" i="12"/>
  <c r="P1351" i="12"/>
  <c r="O1353" i="12"/>
  <c r="P1352" i="12"/>
  <c r="O1354" i="12"/>
  <c r="P1353" i="12"/>
  <c r="O1355" i="12"/>
  <c r="P1354" i="12"/>
  <c r="O1356" i="12"/>
  <c r="P1355" i="12"/>
  <c r="O1357" i="12"/>
  <c r="P1356" i="12"/>
  <c r="O1358" i="12"/>
  <c r="P1357" i="12"/>
  <c r="P1358" i="12"/>
  <c r="O1359" i="12"/>
  <c r="O1360" i="12"/>
  <c r="P1359" i="12"/>
  <c r="O1361" i="12"/>
  <c r="P1360" i="12"/>
  <c r="O1362" i="12"/>
  <c r="P1361" i="12"/>
  <c r="O1363" i="12"/>
  <c r="P1362" i="12"/>
  <c r="O1364" i="12"/>
  <c r="P1363" i="12"/>
  <c r="O1365" i="12"/>
  <c r="P1364" i="12"/>
  <c r="P1365" i="12"/>
  <c r="O1366" i="12"/>
  <c r="O1367" i="12"/>
  <c r="P1366" i="12"/>
  <c r="P1367" i="12"/>
  <c r="O1368" i="12"/>
  <c r="O1369" i="12"/>
  <c r="P1368" i="12"/>
  <c r="P1369" i="12"/>
  <c r="O1370" i="12"/>
  <c r="O1371" i="12"/>
  <c r="P1370" i="12"/>
  <c r="O1372" i="12"/>
  <c r="P1371" i="12"/>
  <c r="O1373" i="12"/>
  <c r="P1372" i="12"/>
  <c r="O1374" i="12"/>
  <c r="P1373" i="12"/>
  <c r="O1375" i="12"/>
  <c r="P1374" i="12"/>
  <c r="O1376" i="12"/>
  <c r="P1375" i="12"/>
  <c r="O1377" i="12"/>
  <c r="P1376" i="12"/>
  <c r="O1378" i="12"/>
  <c r="P1377" i="12"/>
  <c r="O1379" i="12"/>
  <c r="P1378" i="12"/>
  <c r="O1380" i="12"/>
  <c r="P1379" i="12"/>
  <c r="O1381" i="12"/>
  <c r="P1380" i="12"/>
  <c r="P1381" i="12"/>
  <c r="O1382" i="12"/>
  <c r="O1383" i="12"/>
  <c r="P1382" i="12"/>
  <c r="P1383" i="12"/>
  <c r="O1384" i="12"/>
  <c r="O1385" i="12"/>
  <c r="P1384" i="12"/>
  <c r="O1386" i="12"/>
  <c r="P1385" i="12"/>
  <c r="O1387" i="12"/>
  <c r="P1386" i="12"/>
  <c r="O1388" i="12"/>
  <c r="P1387" i="12"/>
  <c r="O1389" i="12"/>
  <c r="P1388" i="12"/>
  <c r="P1389" i="12"/>
  <c r="O1390" i="12"/>
  <c r="P1390" i="12"/>
  <c r="O1391" i="12"/>
  <c r="O1392" i="12"/>
  <c r="P1391" i="12"/>
  <c r="O1393" i="12"/>
  <c r="P1392" i="12"/>
  <c r="O1394" i="12"/>
  <c r="P1393" i="12"/>
  <c r="O1395" i="12"/>
  <c r="P1394" i="12"/>
  <c r="O1396" i="12"/>
  <c r="P1395" i="12"/>
  <c r="O1397" i="12"/>
  <c r="P1396" i="12"/>
  <c r="O1398" i="12"/>
  <c r="P1397" i="12"/>
  <c r="P1398" i="12"/>
  <c r="O1399" i="12"/>
  <c r="P1399" i="12"/>
  <c r="O1400" i="12"/>
  <c r="O1401" i="12"/>
  <c r="P1400" i="12"/>
  <c r="O1402" i="12"/>
  <c r="P1401" i="12"/>
  <c r="O1403" i="12"/>
  <c r="P1402" i="12"/>
  <c r="O1404" i="12"/>
  <c r="P1403" i="12"/>
  <c r="O1405" i="12"/>
  <c r="P1404" i="12"/>
  <c r="O1406" i="12"/>
  <c r="P1405" i="12"/>
  <c r="O1407" i="12"/>
  <c r="P1406" i="12"/>
  <c r="P1407" i="12"/>
  <c r="O1408" i="12"/>
  <c r="O1409" i="12"/>
  <c r="P1408" i="12"/>
  <c r="O1410" i="12"/>
  <c r="P1409" i="12"/>
  <c r="O1411" i="12"/>
  <c r="P1410" i="12"/>
  <c r="O1412" i="12"/>
  <c r="P1411" i="12"/>
  <c r="O1413" i="12"/>
  <c r="P1412" i="12"/>
  <c r="P1413" i="12"/>
  <c r="O1414" i="12"/>
  <c r="O1415" i="12"/>
  <c r="P1414" i="12"/>
  <c r="O1416" i="12"/>
  <c r="P1415" i="12"/>
  <c r="O1417" i="12"/>
  <c r="P1416" i="12"/>
  <c r="P1417" i="12"/>
  <c r="O1418" i="12"/>
  <c r="O1419" i="12"/>
  <c r="P1418" i="12"/>
  <c r="O1420" i="12"/>
  <c r="P1419" i="12"/>
  <c r="O1421" i="12"/>
  <c r="P1420" i="12"/>
  <c r="O1422" i="12"/>
  <c r="P1421" i="12"/>
  <c r="P1422" i="12"/>
  <c r="O1423" i="12"/>
  <c r="O1424" i="12"/>
  <c r="P1423" i="12"/>
  <c r="O1425" i="12"/>
  <c r="P1424" i="12"/>
  <c r="O1426" i="12"/>
  <c r="P1425" i="12"/>
  <c r="O1427" i="12"/>
  <c r="P1426" i="12"/>
  <c r="O1428" i="12"/>
  <c r="P1427" i="12"/>
  <c r="O1429" i="12"/>
  <c r="P1428" i="12"/>
  <c r="O1430" i="12"/>
  <c r="P1429" i="12"/>
  <c r="O1431" i="12"/>
  <c r="P1430" i="12"/>
  <c r="P1431" i="12"/>
  <c r="O1432" i="12"/>
  <c r="O1433" i="12"/>
  <c r="P1432" i="12"/>
  <c r="O1434" i="12"/>
  <c r="P1433" i="12"/>
  <c r="O1435" i="12"/>
  <c r="P1434" i="12"/>
  <c r="O1436" i="12"/>
  <c r="P1435" i="12"/>
  <c r="O1437" i="12"/>
  <c r="P1436" i="12"/>
  <c r="O1438" i="12"/>
  <c r="P1437" i="12"/>
  <c r="P1438" i="12"/>
  <c r="O1439" i="12"/>
  <c r="O1440" i="12"/>
  <c r="P1439" i="12"/>
  <c r="O1441" i="12"/>
  <c r="P1440" i="12"/>
  <c r="O1442" i="12"/>
  <c r="P1441" i="12"/>
  <c r="O1443" i="12"/>
  <c r="P1442" i="12"/>
  <c r="O1444" i="12"/>
  <c r="P1443" i="12"/>
  <c r="O1445" i="12"/>
  <c r="P1444" i="12"/>
  <c r="P1445" i="12"/>
  <c r="O1446" i="12"/>
  <c r="O1447" i="12"/>
  <c r="P1446" i="12"/>
  <c r="P1447" i="12"/>
  <c r="O1448" i="12"/>
  <c r="O1449" i="12"/>
  <c r="P1448" i="12"/>
  <c r="O1450" i="12"/>
  <c r="P1449" i="12"/>
  <c r="O1451" i="12"/>
  <c r="P1450" i="12"/>
  <c r="O1452" i="12"/>
  <c r="P1451" i="12"/>
  <c r="O1453" i="12"/>
  <c r="P1452" i="12"/>
  <c r="O1454" i="12"/>
  <c r="P1453" i="12"/>
  <c r="P1454" i="12"/>
  <c r="O1455" i="12"/>
  <c r="O1456" i="12"/>
  <c r="P1455" i="12"/>
  <c r="O1457" i="12"/>
  <c r="P1456" i="12"/>
  <c r="O1458" i="12"/>
  <c r="P1457" i="12"/>
  <c r="O1459" i="12"/>
  <c r="P1458" i="12"/>
  <c r="O1460" i="12"/>
  <c r="P1459" i="12"/>
  <c r="O1461" i="12"/>
  <c r="P1460" i="12"/>
  <c r="O1462" i="12"/>
  <c r="P1461" i="12"/>
  <c r="P1462" i="12"/>
  <c r="O1463" i="12"/>
  <c r="P1463" i="12"/>
  <c r="O1464" i="12"/>
  <c r="O1465" i="12"/>
  <c r="P1464" i="12"/>
  <c r="O1466" i="12"/>
  <c r="P1465" i="12"/>
  <c r="P1466" i="12"/>
  <c r="O1467" i="12"/>
  <c r="O1468" i="12"/>
  <c r="P1467" i="12"/>
  <c r="O1469" i="12"/>
  <c r="P1468" i="12"/>
  <c r="O1470" i="12"/>
  <c r="P1469" i="12"/>
  <c r="O1471" i="12"/>
  <c r="P1470" i="12"/>
  <c r="O1472" i="12"/>
  <c r="P1471" i="12"/>
  <c r="O1473" i="12"/>
  <c r="P1472" i="12"/>
  <c r="O1474" i="12"/>
  <c r="P1473" i="12"/>
  <c r="O1475" i="12"/>
  <c r="P1474" i="12"/>
  <c r="O1476" i="12"/>
  <c r="P1475" i="12"/>
  <c r="O1477" i="12"/>
  <c r="P1476" i="12"/>
  <c r="P1477" i="12"/>
  <c r="O1478" i="12"/>
  <c r="O1479" i="12"/>
  <c r="P1478" i="12"/>
  <c r="O1480" i="12"/>
  <c r="P1479" i="12"/>
  <c r="O1481" i="12"/>
  <c r="P1480" i="12"/>
  <c r="O1482" i="12"/>
  <c r="P1481" i="12"/>
  <c r="O1483" i="12"/>
  <c r="P1482" i="12"/>
  <c r="O1484" i="12"/>
  <c r="P1483" i="12"/>
  <c r="O1485" i="12"/>
  <c r="P1484" i="12"/>
  <c r="P1485" i="12"/>
  <c r="O1486" i="12"/>
  <c r="P1486" i="12"/>
  <c r="O1487" i="12"/>
  <c r="O1488" i="12"/>
  <c r="P1487" i="12"/>
  <c r="O1489" i="12"/>
  <c r="P1488" i="12"/>
  <c r="O1490" i="12"/>
  <c r="P1489" i="12"/>
  <c r="O1491" i="12"/>
  <c r="P1490" i="12"/>
  <c r="O1492" i="12"/>
  <c r="P1491" i="12"/>
  <c r="O1493" i="12"/>
  <c r="P1492" i="12"/>
  <c r="P1493" i="12"/>
  <c r="O1494" i="12"/>
  <c r="O1495" i="12"/>
  <c r="P1494" i="12"/>
  <c r="P1495" i="12"/>
  <c r="O1496" i="12"/>
  <c r="O1497" i="12"/>
  <c r="P1496" i="12"/>
  <c r="O1498" i="12"/>
  <c r="P1497" i="12"/>
  <c r="O1499" i="12"/>
  <c r="P1498" i="12"/>
  <c r="O1500" i="12"/>
  <c r="P1499" i="12"/>
  <c r="O1501" i="12"/>
  <c r="P1500" i="12"/>
  <c r="O1502" i="12"/>
  <c r="P1501" i="12"/>
  <c r="O1503" i="12"/>
  <c r="P1502" i="12"/>
  <c r="O1504" i="12"/>
  <c r="P1503" i="12"/>
  <c r="O1505" i="12"/>
  <c r="P1504" i="12"/>
  <c r="O1506" i="12"/>
  <c r="P1505" i="12"/>
  <c r="O1507" i="12"/>
  <c r="P1506" i="12"/>
  <c r="O1508" i="12"/>
  <c r="P1507" i="12"/>
  <c r="O1509" i="12"/>
  <c r="P1508" i="12"/>
  <c r="P1509" i="12"/>
  <c r="O1510" i="12"/>
  <c r="O1511" i="12"/>
  <c r="P1510" i="12"/>
  <c r="P1511" i="12"/>
  <c r="O1512" i="12"/>
  <c r="O1513" i="12"/>
  <c r="P1512" i="12"/>
  <c r="O1514" i="12"/>
  <c r="P1513" i="12"/>
  <c r="O1515" i="12"/>
  <c r="P1514" i="12"/>
  <c r="P1515" i="12"/>
  <c r="O1516" i="12"/>
  <c r="O1517" i="12"/>
  <c r="P1516" i="12"/>
  <c r="P1517" i="12"/>
  <c r="O1518" i="12"/>
  <c r="P1518" i="12"/>
  <c r="O1519" i="12"/>
  <c r="O1520" i="12"/>
  <c r="P1519" i="12"/>
  <c r="O1521" i="12"/>
  <c r="P1520" i="12"/>
  <c r="O1522" i="12"/>
  <c r="P1521" i="12"/>
  <c r="O1523" i="12"/>
  <c r="P1522" i="12"/>
  <c r="O1524" i="12"/>
  <c r="P1523" i="12"/>
  <c r="O1525" i="12"/>
  <c r="P1524" i="12"/>
  <c r="O1526" i="12"/>
  <c r="P1525" i="12"/>
  <c r="O1527" i="12"/>
  <c r="P1526" i="12"/>
  <c r="P1527" i="12"/>
  <c r="O1528" i="12"/>
  <c r="O1529" i="12"/>
  <c r="P1528" i="12"/>
  <c r="O1530" i="12"/>
  <c r="P1529" i="12"/>
  <c r="O1531" i="12"/>
  <c r="P1530" i="12"/>
  <c r="O1532" i="12"/>
  <c r="P1531" i="12"/>
  <c r="O1533" i="12"/>
  <c r="P1532" i="12"/>
  <c r="O1534" i="12"/>
  <c r="P1533" i="12"/>
  <c r="P1534" i="12"/>
  <c r="O1535" i="12"/>
  <c r="P1535" i="12"/>
  <c r="O1536" i="12"/>
  <c r="O1537" i="12"/>
  <c r="P1536" i="12"/>
  <c r="O1538" i="12"/>
  <c r="P1537" i="12"/>
  <c r="O1539" i="12"/>
  <c r="P1538" i="12"/>
  <c r="O1540" i="12"/>
  <c r="P1539" i="12"/>
  <c r="O1541" i="12"/>
  <c r="P1540" i="12"/>
  <c r="P1541" i="12"/>
  <c r="O1542" i="12"/>
  <c r="O1543" i="12"/>
  <c r="P1542" i="12"/>
  <c r="O1544" i="12"/>
  <c r="P1543" i="12"/>
  <c r="O1545" i="12"/>
  <c r="P1544" i="12"/>
  <c r="O1546" i="12"/>
  <c r="P1545" i="12"/>
  <c r="O1547" i="12"/>
  <c r="P1546" i="12"/>
  <c r="O1548" i="12"/>
  <c r="P1547" i="12"/>
  <c r="O1549" i="12"/>
  <c r="P1548" i="12"/>
  <c r="O1550" i="12"/>
  <c r="P1549" i="12"/>
  <c r="P1550" i="12"/>
  <c r="O1551" i="12"/>
  <c r="O1552" i="12"/>
  <c r="P1551" i="12"/>
  <c r="O1553" i="12"/>
  <c r="P1552" i="12"/>
  <c r="P1553" i="12"/>
  <c r="O1554" i="12"/>
  <c r="O1555" i="12"/>
  <c r="P1554" i="12"/>
  <c r="O1556" i="12"/>
  <c r="P1555" i="12"/>
  <c r="O1557" i="12"/>
  <c r="P1556" i="12"/>
  <c r="O1558" i="12"/>
  <c r="P1557" i="12"/>
  <c r="O1559" i="12"/>
  <c r="P1558" i="12"/>
  <c r="P1559" i="12"/>
  <c r="O1560" i="12"/>
  <c r="O1561" i="12"/>
  <c r="P1560" i="12"/>
  <c r="O1562" i="12"/>
  <c r="P1561" i="12"/>
  <c r="O1563" i="12"/>
  <c r="P1562" i="12"/>
  <c r="P1563" i="12"/>
  <c r="O1564" i="12"/>
  <c r="O1565" i="12"/>
  <c r="P1564" i="12"/>
  <c r="O1566" i="12"/>
  <c r="P1565" i="12"/>
  <c r="P1566" i="12"/>
  <c r="O1567" i="12"/>
  <c r="O1568" i="12"/>
  <c r="P1567" i="12"/>
  <c r="O1569" i="12"/>
  <c r="P1568" i="12"/>
  <c r="O1570" i="12"/>
  <c r="P1569" i="12"/>
  <c r="O1571" i="12"/>
  <c r="P1570" i="12"/>
  <c r="O1572" i="12"/>
  <c r="P1571" i="12"/>
  <c r="O1573" i="12"/>
  <c r="P1572" i="12"/>
  <c r="P1573" i="12"/>
  <c r="O1574" i="12"/>
  <c r="O1575" i="12"/>
  <c r="P1574" i="12"/>
  <c r="O1576" i="12"/>
  <c r="P1575" i="12"/>
  <c r="O1577" i="12"/>
  <c r="P1576" i="12"/>
  <c r="P1577" i="12"/>
  <c r="O1578" i="12"/>
  <c r="O1579" i="12"/>
  <c r="P1578" i="12"/>
  <c r="O1580" i="12"/>
  <c r="P1579" i="12"/>
  <c r="O1581" i="12"/>
  <c r="P1580" i="12"/>
  <c r="P1581" i="12"/>
  <c r="O1582" i="12"/>
  <c r="O1583" i="12"/>
  <c r="P1582" i="12"/>
  <c r="P1583" i="12"/>
  <c r="O1584" i="12"/>
  <c r="O1585" i="12"/>
  <c r="P1584" i="12"/>
  <c r="P1585" i="12"/>
  <c r="O1586" i="12"/>
  <c r="O1587" i="12"/>
  <c r="P1586" i="12"/>
  <c r="O1588" i="12"/>
  <c r="P1587" i="12"/>
  <c r="P1588" i="12"/>
  <c r="O1589" i="12"/>
  <c r="P1589" i="12"/>
  <c r="O1590" i="12"/>
  <c r="O1591" i="12"/>
  <c r="P1590" i="12"/>
  <c r="P1591" i="12"/>
  <c r="O1592" i="12"/>
  <c r="O1593" i="12"/>
  <c r="P1592" i="12"/>
  <c r="P1593" i="12"/>
  <c r="O1594" i="12"/>
  <c r="O1595" i="12"/>
  <c r="P1594" i="12"/>
  <c r="O1596" i="12"/>
  <c r="P1595" i="12"/>
  <c r="O1597" i="12"/>
  <c r="P1596" i="12"/>
  <c r="P1597" i="12"/>
  <c r="O1598" i="12"/>
  <c r="O1599" i="12"/>
  <c r="P1598" i="12"/>
  <c r="P1599" i="12"/>
  <c r="O1600" i="12"/>
  <c r="O1601" i="12"/>
  <c r="P1600" i="12"/>
  <c r="P1601" i="12"/>
  <c r="O1602" i="12"/>
  <c r="O1603" i="12"/>
  <c r="P1602" i="12"/>
  <c r="O1604" i="12"/>
  <c r="P1603" i="12"/>
  <c r="P1604" i="12"/>
  <c r="O1605" i="12"/>
  <c r="P1605" i="12"/>
  <c r="O1606" i="12"/>
  <c r="O1607" i="12"/>
  <c r="P1606" i="12"/>
  <c r="O1608" i="12"/>
  <c r="P1607" i="12"/>
  <c r="O1609" i="12"/>
  <c r="P1608" i="12"/>
  <c r="P1609" i="12"/>
  <c r="O1610" i="12"/>
  <c r="O1611" i="12"/>
  <c r="P1610" i="12"/>
  <c r="O1612" i="12"/>
  <c r="P1611" i="12"/>
  <c r="O1613" i="12"/>
  <c r="P1612" i="12"/>
  <c r="P1613" i="12"/>
  <c r="O1614" i="12"/>
  <c r="O1615" i="12"/>
  <c r="P1614" i="12"/>
  <c r="P1615" i="12"/>
  <c r="O1616" i="12"/>
  <c r="O1617" i="12"/>
  <c r="P1616" i="12"/>
  <c r="P1617" i="12"/>
  <c r="O1618" i="12"/>
  <c r="O1619" i="12"/>
  <c r="P1618" i="12"/>
  <c r="O1620" i="12"/>
  <c r="P1619" i="12"/>
  <c r="P1620" i="12"/>
  <c r="O1621" i="12"/>
  <c r="P1621" i="12"/>
  <c r="O1622" i="12"/>
  <c r="O1623" i="12"/>
  <c r="P1622" i="12"/>
  <c r="O1624" i="12"/>
  <c r="P1623" i="12"/>
  <c r="P1624" i="12"/>
  <c r="O1625" i="12"/>
  <c r="P1625" i="12"/>
  <c r="O1626" i="12"/>
  <c r="O1627" i="12"/>
  <c r="P1626" i="12"/>
  <c r="O1628" i="12"/>
  <c r="P1627" i="12"/>
  <c r="O1629" i="12"/>
  <c r="P1628" i="12"/>
  <c r="P1629" i="12"/>
  <c r="O1630" i="12"/>
  <c r="O1631" i="12"/>
  <c r="P1630" i="12"/>
  <c r="P1631" i="12"/>
  <c r="O1632" i="12"/>
  <c r="O1633" i="12"/>
  <c r="P1632" i="12"/>
  <c r="P1633" i="12"/>
  <c r="O1634" i="12"/>
  <c r="O1635" i="12"/>
  <c r="P1634" i="12"/>
  <c r="O1636" i="12"/>
  <c r="P1635" i="12"/>
  <c r="P1636" i="12"/>
  <c r="O1637" i="12"/>
  <c r="P1637" i="12"/>
  <c r="O1638" i="12"/>
  <c r="O1639" i="12"/>
  <c r="P1638" i="12"/>
  <c r="O1640" i="12"/>
  <c r="P1639" i="12"/>
  <c r="O1641" i="12"/>
  <c r="P1640" i="12"/>
  <c r="P1641" i="12"/>
  <c r="O1642" i="12"/>
  <c r="O1643" i="12"/>
  <c r="P1642" i="12"/>
  <c r="O1644" i="12"/>
  <c r="P1643" i="12"/>
  <c r="O1645" i="12"/>
  <c r="P1644" i="12"/>
  <c r="P1645" i="12"/>
  <c r="O1646" i="12"/>
  <c r="O1647" i="12"/>
  <c r="P1646" i="12"/>
  <c r="P1647" i="12"/>
  <c r="O1648" i="12"/>
  <c r="O1649" i="12"/>
  <c r="P1648" i="12"/>
  <c r="P1649" i="12"/>
  <c r="O1650" i="12"/>
  <c r="O1651" i="12"/>
  <c r="P1650" i="12"/>
  <c r="O1652" i="12"/>
  <c r="P1651" i="12"/>
  <c r="P1652" i="12"/>
  <c r="O1653" i="12"/>
  <c r="P1653" i="12"/>
  <c r="O1654" i="12"/>
  <c r="O1655" i="12"/>
  <c r="P1654" i="12"/>
  <c r="O1656" i="12"/>
  <c r="P1655" i="12"/>
  <c r="O1657" i="12"/>
  <c r="P1656" i="12"/>
  <c r="P1657" i="12"/>
  <c r="O1658" i="12"/>
  <c r="O1659" i="12"/>
  <c r="P1658" i="12"/>
  <c r="O1660" i="12"/>
  <c r="P1659" i="12"/>
  <c r="O1661" i="12"/>
  <c r="P1660" i="12"/>
  <c r="P1661" i="12"/>
  <c r="O1662" i="12"/>
  <c r="O1663" i="12"/>
  <c r="P1662" i="12"/>
  <c r="P1663" i="12"/>
  <c r="O1664" i="12"/>
  <c r="O1665" i="12"/>
  <c r="P1664" i="12"/>
  <c r="P1665" i="12"/>
  <c r="O1666" i="12"/>
  <c r="O1667" i="12"/>
  <c r="P1666" i="12"/>
  <c r="P1667" i="12"/>
  <c r="O1668" i="12"/>
  <c r="P1668" i="12"/>
  <c r="O1669" i="12"/>
  <c r="P1669" i="12"/>
  <c r="O1670" i="12"/>
  <c r="O1671" i="12"/>
  <c r="P1670" i="12"/>
  <c r="O1672" i="12"/>
  <c r="P1671" i="12"/>
  <c r="O1673" i="12"/>
  <c r="P1672" i="12"/>
  <c r="P1673" i="12"/>
  <c r="O1674" i="12"/>
  <c r="O1675" i="12"/>
  <c r="P1674" i="12"/>
  <c r="O1676" i="12"/>
  <c r="P1675" i="12"/>
  <c r="P1676" i="12"/>
  <c r="O1677" i="12"/>
  <c r="P1677" i="12"/>
  <c r="O1678" i="12"/>
  <c r="O1679" i="12"/>
  <c r="P1678" i="12"/>
  <c r="P1679" i="12"/>
  <c r="O1680" i="12"/>
  <c r="O1681" i="12"/>
  <c r="P1680" i="12"/>
  <c r="P1681" i="12"/>
  <c r="O1682" i="12"/>
  <c r="O1683" i="12"/>
  <c r="P1682" i="12"/>
  <c r="O1684" i="12"/>
  <c r="P1683" i="12"/>
  <c r="P1684" i="12"/>
  <c r="O1685" i="12"/>
  <c r="P1685" i="12"/>
  <c r="O1686" i="12"/>
  <c r="O1687" i="12"/>
  <c r="P1686" i="12"/>
  <c r="O1688" i="12"/>
  <c r="P1687" i="12"/>
  <c r="O1689" i="12"/>
  <c r="P1688" i="12"/>
  <c r="P1689" i="12"/>
  <c r="O1690" i="12"/>
  <c r="O1691" i="12"/>
  <c r="P1690" i="12"/>
  <c r="O1692" i="12"/>
  <c r="P1691" i="12"/>
  <c r="O1693" i="12"/>
  <c r="P1692" i="12"/>
  <c r="P1693" i="12"/>
  <c r="O1694" i="12"/>
  <c r="O1695" i="12"/>
  <c r="P1694" i="12"/>
  <c r="O1696" i="12"/>
  <c r="P1695" i="12"/>
  <c r="O1697" i="12"/>
  <c r="P1696" i="12"/>
  <c r="P1697" i="12"/>
  <c r="O1698" i="12"/>
  <c r="O1699" i="12"/>
  <c r="P1698" i="12"/>
  <c r="O1700" i="12"/>
  <c r="P1699" i="12"/>
  <c r="O1701" i="12"/>
  <c r="P1700" i="12"/>
  <c r="P1701" i="12"/>
  <c r="O1702" i="12"/>
  <c r="O1703" i="12"/>
  <c r="P1702" i="12"/>
  <c r="O1704" i="12"/>
  <c r="P1703" i="12"/>
  <c r="P1704" i="12"/>
  <c r="O1705" i="12"/>
  <c r="P1705" i="12"/>
  <c r="O1706" i="12"/>
  <c r="O1707" i="12"/>
  <c r="P1706" i="12"/>
  <c r="O1708" i="12"/>
  <c r="P1707" i="12"/>
  <c r="O1709" i="12"/>
  <c r="P1708" i="12"/>
  <c r="P1709" i="12"/>
  <c r="O1710" i="12"/>
  <c r="O1711" i="12"/>
  <c r="P1710" i="12"/>
  <c r="P1711" i="12"/>
  <c r="O1712" i="12"/>
  <c r="O1713" i="12"/>
  <c r="P1712" i="12"/>
  <c r="P1713" i="12"/>
  <c r="O1714" i="12"/>
  <c r="O1715" i="12"/>
  <c r="P1714" i="12"/>
  <c r="O1716" i="12"/>
  <c r="P1715" i="12"/>
  <c r="P1716" i="12"/>
  <c r="O1717" i="12"/>
  <c r="P1717" i="12"/>
  <c r="O1718" i="12"/>
  <c r="O1719" i="12"/>
  <c r="P1718" i="12"/>
  <c r="O1720" i="12"/>
  <c r="P1719" i="12"/>
  <c r="O1721" i="12"/>
  <c r="P1720" i="12"/>
  <c r="P1721" i="12"/>
  <c r="O1722" i="12"/>
  <c r="O1723" i="12"/>
  <c r="P1722" i="12"/>
  <c r="O1724" i="12"/>
  <c r="P1723" i="12"/>
  <c r="O1725" i="12"/>
  <c r="P1724" i="12"/>
  <c r="P1725" i="12"/>
  <c r="O1726" i="12"/>
  <c r="O1727" i="12"/>
  <c r="P1726" i="12"/>
  <c r="O1728" i="12"/>
  <c r="P1727" i="12"/>
  <c r="O1729" i="12"/>
  <c r="P1728" i="12"/>
  <c r="P1729" i="12"/>
  <c r="O1730" i="12"/>
  <c r="O1731" i="12"/>
  <c r="P1730" i="12"/>
  <c r="O1732" i="12"/>
  <c r="P1731" i="12"/>
  <c r="O1733" i="12"/>
  <c r="P1732" i="12"/>
  <c r="P1733" i="12"/>
  <c r="O1734" i="12"/>
  <c r="O1735" i="12"/>
  <c r="P1734" i="12"/>
  <c r="P1735" i="12"/>
  <c r="O1736" i="12"/>
  <c r="P1736" i="12"/>
  <c r="O1737" i="12"/>
  <c r="P1737" i="12"/>
  <c r="O1738" i="12"/>
  <c r="O1739" i="12"/>
  <c r="P1738" i="12"/>
  <c r="O1740" i="12"/>
  <c r="P1739" i="12"/>
  <c r="O1741" i="12"/>
  <c r="P1740" i="12"/>
  <c r="P1741" i="12"/>
  <c r="O1742" i="12"/>
  <c r="O1743" i="12"/>
  <c r="P1742" i="12"/>
  <c r="P1743" i="12"/>
  <c r="O1744" i="12"/>
  <c r="O1745" i="12"/>
  <c r="P1744" i="12"/>
  <c r="P1745" i="12"/>
  <c r="O1746" i="12"/>
  <c r="O1747" i="12"/>
  <c r="P1746" i="12"/>
  <c r="O1748" i="12"/>
  <c r="P1747" i="12"/>
  <c r="O1749" i="12"/>
  <c r="P1748" i="12"/>
  <c r="P1749" i="12"/>
  <c r="O1750" i="12"/>
  <c r="O1751" i="12"/>
  <c r="P1750" i="12"/>
  <c r="O1752" i="12"/>
  <c r="P1751" i="12"/>
  <c r="O1753" i="12"/>
  <c r="P1752" i="12"/>
  <c r="P1753" i="12"/>
  <c r="O1754" i="12"/>
  <c r="O1755" i="12"/>
  <c r="P1754" i="12"/>
  <c r="O1756" i="12"/>
  <c r="P1755" i="12"/>
  <c r="O1757" i="12"/>
  <c r="P1756" i="12"/>
  <c r="P1757" i="12"/>
  <c r="O1758" i="12"/>
  <c r="O1759" i="12"/>
  <c r="P1758" i="12"/>
  <c r="O1760" i="12"/>
  <c r="P1759" i="12"/>
  <c r="O1761" i="12"/>
  <c r="P1760" i="12"/>
  <c r="P1761" i="12"/>
  <c r="O1762" i="12"/>
  <c r="O1763" i="12"/>
  <c r="P1762" i="12"/>
  <c r="O1764" i="12"/>
  <c r="P1763" i="12"/>
  <c r="O1765" i="12"/>
  <c r="P1764" i="12"/>
  <c r="P1765" i="12"/>
  <c r="O1766" i="12"/>
  <c r="O1767" i="12"/>
  <c r="P1766" i="12"/>
  <c r="O1768" i="12"/>
  <c r="P1767" i="12"/>
  <c r="P1768" i="12"/>
  <c r="O1769" i="12"/>
  <c r="P1769" i="12"/>
  <c r="O1770" i="12"/>
  <c r="O1771" i="12"/>
  <c r="P1770" i="12"/>
  <c r="O1772" i="12"/>
  <c r="P1771" i="12"/>
  <c r="O1773" i="12"/>
  <c r="P1772" i="12"/>
  <c r="P1773" i="12"/>
  <c r="O1774" i="12"/>
  <c r="O1775" i="12"/>
  <c r="P1774" i="12"/>
  <c r="P1775" i="12"/>
  <c r="O1776" i="12"/>
  <c r="O1777" i="12"/>
  <c r="P1776" i="12"/>
  <c r="P1777" i="12"/>
  <c r="O1778" i="12"/>
  <c r="O1779" i="12"/>
  <c r="P1778" i="12"/>
  <c r="O1780" i="12"/>
  <c r="P1779" i="12"/>
  <c r="O1781" i="12"/>
  <c r="P1780" i="12"/>
  <c r="P1781" i="12"/>
  <c r="O1782" i="12"/>
  <c r="O1783" i="12"/>
  <c r="P1782" i="12"/>
  <c r="O1784" i="12"/>
  <c r="P1783" i="12"/>
  <c r="O1785" i="12"/>
  <c r="P1784" i="12"/>
  <c r="P1785" i="12"/>
  <c r="O1786" i="12"/>
  <c r="O1787" i="12"/>
  <c r="P1786" i="12"/>
  <c r="O1788" i="12"/>
  <c r="P1787" i="12"/>
  <c r="O1789" i="12"/>
  <c r="P1788" i="12"/>
  <c r="P1789" i="12"/>
  <c r="O1790" i="12"/>
  <c r="O1791" i="12"/>
  <c r="P1790" i="12"/>
  <c r="O1792" i="12"/>
  <c r="P1791" i="12"/>
  <c r="O1793" i="12"/>
  <c r="P1792" i="12"/>
  <c r="P1793" i="12"/>
  <c r="O1794" i="12"/>
  <c r="O1795" i="12"/>
  <c r="P1794" i="12"/>
  <c r="O1796" i="12"/>
  <c r="P1795" i="12"/>
  <c r="O1797" i="12"/>
  <c r="P1796" i="12"/>
  <c r="P1797" i="12"/>
  <c r="O1798" i="12"/>
  <c r="O1799" i="12"/>
  <c r="P1798" i="12"/>
  <c r="O1800" i="12"/>
  <c r="P1799" i="12"/>
  <c r="P1800" i="12"/>
  <c r="O1801" i="12"/>
  <c r="P1801" i="12"/>
  <c r="O1802" i="12"/>
  <c r="O1803" i="12"/>
  <c r="P1802" i="12"/>
  <c r="O1804" i="12"/>
  <c r="P1803" i="12"/>
  <c r="O1805" i="12"/>
  <c r="P1804" i="12"/>
  <c r="P1805" i="12"/>
  <c r="O1806" i="12"/>
  <c r="O1807" i="12"/>
  <c r="P1806" i="12"/>
  <c r="P1807" i="12"/>
  <c r="O1808" i="12"/>
  <c r="O1809" i="12"/>
  <c r="P1808" i="12"/>
  <c r="P1809" i="12"/>
  <c r="O1810" i="12"/>
  <c r="O1811" i="12"/>
  <c r="P1810" i="12"/>
  <c r="O1812" i="12"/>
  <c r="P1811" i="12"/>
  <c r="O1813" i="12"/>
  <c r="P1812" i="12"/>
  <c r="P1813" i="12"/>
  <c r="O1814" i="12"/>
  <c r="O1815" i="12"/>
  <c r="P1814" i="12"/>
  <c r="O1816" i="12"/>
  <c r="P1815" i="12"/>
  <c r="O1817" i="12"/>
  <c r="P1816" i="12"/>
  <c r="P1817" i="12"/>
  <c r="O1818" i="12"/>
  <c r="O1819" i="12"/>
  <c r="P1818" i="12"/>
  <c r="P1819" i="12"/>
  <c r="O1820" i="12"/>
  <c r="O1821" i="12"/>
  <c r="P1820" i="12"/>
  <c r="P1821" i="12"/>
  <c r="O1822" i="12"/>
  <c r="O1823" i="12"/>
  <c r="P1822" i="12"/>
  <c r="O1824" i="12"/>
  <c r="P1823" i="12"/>
  <c r="O1825" i="12"/>
  <c r="P1824" i="12"/>
  <c r="P1825" i="12"/>
  <c r="O1826" i="12"/>
  <c r="O1827" i="12"/>
  <c r="P1826" i="12"/>
  <c r="O1828" i="12"/>
  <c r="P1827" i="12"/>
  <c r="O1829" i="12"/>
  <c r="P1828" i="12"/>
  <c r="P1829" i="12"/>
  <c r="O1830" i="12"/>
  <c r="O1831" i="12"/>
  <c r="P1830" i="12"/>
  <c r="O1832" i="12"/>
  <c r="P1831" i="12"/>
  <c r="P1832" i="12"/>
  <c r="O1833" i="12"/>
  <c r="P1833" i="12"/>
  <c r="O1834" i="12"/>
  <c r="O1835" i="12"/>
  <c r="P1834" i="12"/>
  <c r="O1836" i="12"/>
  <c r="P1835" i="12"/>
  <c r="O1837" i="12"/>
  <c r="P1836" i="12"/>
  <c r="P1837" i="12"/>
  <c r="O1838" i="12"/>
  <c r="O1839" i="12"/>
  <c r="P1838" i="12"/>
  <c r="P1839" i="12"/>
  <c r="O1840" i="12"/>
  <c r="O1841" i="12"/>
  <c r="P1840" i="12"/>
  <c r="P1841" i="12"/>
  <c r="O1842" i="12"/>
  <c r="O1843" i="12"/>
  <c r="P1842" i="12"/>
  <c r="O1844" i="12"/>
  <c r="P1843" i="12"/>
  <c r="O1845" i="12"/>
  <c r="P1844" i="12"/>
  <c r="P1845" i="12"/>
  <c r="O1846" i="12"/>
  <c r="O1847" i="12"/>
  <c r="P1846" i="12"/>
  <c r="O1848" i="12"/>
  <c r="P1847" i="12"/>
  <c r="O1849" i="12"/>
  <c r="P1848" i="12"/>
  <c r="P1849" i="12"/>
  <c r="O1850" i="12"/>
  <c r="O1851" i="12"/>
  <c r="P1850" i="12"/>
  <c r="O1852" i="12"/>
  <c r="P1851" i="12"/>
  <c r="O1853" i="12"/>
  <c r="P1852" i="12"/>
  <c r="P1853" i="12"/>
  <c r="O1854" i="12"/>
  <c r="O1855" i="12"/>
  <c r="P1854" i="12"/>
  <c r="O1856" i="12"/>
  <c r="P1855" i="12"/>
  <c r="O1857" i="12"/>
  <c r="P1856" i="12"/>
  <c r="P1857" i="12"/>
  <c r="O1858" i="12"/>
  <c r="O1859" i="12"/>
  <c r="P1858" i="12"/>
  <c r="O1860" i="12"/>
  <c r="P1859" i="12"/>
  <c r="O1861" i="12"/>
  <c r="P1860" i="12"/>
  <c r="P1861" i="12"/>
  <c r="O1862" i="12"/>
  <c r="O1863" i="12"/>
  <c r="P1862" i="12"/>
  <c r="O1864" i="12"/>
  <c r="P1863" i="12"/>
  <c r="P1864" i="12"/>
  <c r="O1865" i="12"/>
  <c r="P1865" i="12"/>
  <c r="O1866" i="12"/>
  <c r="O1867" i="12"/>
  <c r="P1866" i="12"/>
  <c r="O1868" i="12"/>
  <c r="P1867" i="12"/>
  <c r="P1868" i="12"/>
  <c r="O1869" i="12"/>
  <c r="P1869" i="12"/>
  <c r="O1870" i="12"/>
  <c r="O1871" i="12"/>
  <c r="P1870" i="12"/>
  <c r="P1871" i="12"/>
  <c r="O1872" i="12"/>
  <c r="O1873" i="12"/>
  <c r="P1872" i="12"/>
  <c r="P1873" i="12"/>
  <c r="O1874" i="12"/>
  <c r="O1875" i="12"/>
  <c r="P1874" i="12"/>
  <c r="O1876" i="12"/>
  <c r="P1875" i="12"/>
  <c r="O1877" i="12"/>
  <c r="P1876" i="12"/>
  <c r="P1877" i="12"/>
  <c r="O1878" i="12"/>
  <c r="O1879" i="12"/>
  <c r="P1878" i="12"/>
  <c r="O1880" i="12"/>
  <c r="P1879" i="12"/>
  <c r="O1881" i="12"/>
  <c r="P1880" i="12"/>
  <c r="P1881" i="12"/>
  <c r="O1882" i="12"/>
  <c r="O1883" i="12"/>
  <c r="P1882" i="12"/>
  <c r="O1884" i="12"/>
  <c r="P1883" i="12"/>
  <c r="O1885" i="12"/>
  <c r="P1884" i="12"/>
  <c r="P1885" i="12"/>
  <c r="O1886" i="12"/>
  <c r="O1887" i="12"/>
  <c r="P1886" i="12"/>
  <c r="O1888" i="12"/>
  <c r="P1887" i="12"/>
  <c r="O1889" i="12"/>
  <c r="P1888" i="12"/>
  <c r="P1889" i="12"/>
  <c r="O1890" i="12"/>
  <c r="O1891" i="12"/>
  <c r="P1890" i="12"/>
  <c r="O1892" i="12"/>
  <c r="P1891" i="12"/>
  <c r="O1893" i="12"/>
  <c r="P1892" i="12"/>
  <c r="P1893" i="12"/>
  <c r="O1894" i="12"/>
  <c r="O1895" i="12"/>
  <c r="P1894" i="12"/>
  <c r="O1896" i="12"/>
  <c r="P1895" i="12"/>
  <c r="P1896" i="12"/>
  <c r="O1897" i="12"/>
  <c r="P1897" i="12"/>
  <c r="O1898" i="12"/>
  <c r="O1899" i="12"/>
  <c r="P1898" i="12"/>
  <c r="O1900" i="12"/>
  <c r="P1899" i="12"/>
  <c r="O1901" i="12"/>
  <c r="P1900" i="12"/>
  <c r="P1901" i="12"/>
  <c r="O1902" i="12"/>
  <c r="O1903" i="12"/>
  <c r="P1902" i="12"/>
  <c r="P1903" i="12"/>
  <c r="O1904" i="12"/>
  <c r="O1905" i="12"/>
  <c r="P1904" i="12"/>
  <c r="P1905" i="12"/>
  <c r="O1906" i="12"/>
  <c r="O1907" i="12"/>
  <c r="P1906" i="12"/>
  <c r="P1907" i="12"/>
  <c r="O1908" i="12"/>
  <c r="O1909" i="12"/>
  <c r="P1908" i="12"/>
  <c r="P1909" i="12"/>
  <c r="O1910" i="12"/>
  <c r="O1911" i="12"/>
  <c r="P1910" i="12"/>
  <c r="O1912" i="12"/>
  <c r="P1911" i="12"/>
  <c r="O1913" i="12"/>
  <c r="P1912" i="12"/>
  <c r="P1913" i="12"/>
  <c r="O1914" i="12"/>
  <c r="O1915" i="12"/>
  <c r="P1914" i="12"/>
  <c r="O1916" i="12"/>
  <c r="P1915" i="12"/>
  <c r="O1917" i="12"/>
  <c r="P1916" i="12"/>
  <c r="P1917" i="12"/>
  <c r="O1918" i="12"/>
  <c r="O1919" i="12"/>
  <c r="P1918" i="12"/>
  <c r="O1920" i="12"/>
  <c r="P1919" i="12"/>
  <c r="O1921" i="12"/>
  <c r="P1920" i="12"/>
  <c r="P1921" i="12"/>
  <c r="O1922" i="12"/>
  <c r="O1923" i="12"/>
  <c r="P1922" i="12"/>
  <c r="O1924" i="12"/>
  <c r="P1923" i="12"/>
  <c r="O1925" i="12"/>
  <c r="P1924" i="12"/>
  <c r="P1925" i="12"/>
  <c r="O1926" i="12"/>
  <c r="O1927" i="12"/>
  <c r="P1926" i="12"/>
  <c r="O1928" i="12"/>
  <c r="P1927" i="12"/>
  <c r="P1928" i="12"/>
  <c r="O1929" i="12"/>
  <c r="P1929" i="12"/>
  <c r="O1930" i="12"/>
  <c r="O1931" i="12"/>
  <c r="P1930" i="12"/>
  <c r="O1932" i="12"/>
  <c r="P1931" i="12"/>
  <c r="P1932" i="12"/>
  <c r="O1933" i="12"/>
  <c r="P1933" i="12"/>
  <c r="O1934" i="12"/>
  <c r="O1935" i="12"/>
  <c r="P1934" i="12"/>
  <c r="P1935" i="12"/>
  <c r="O1936" i="12"/>
  <c r="O1937" i="12"/>
  <c r="P1936" i="12"/>
  <c r="P1937" i="12"/>
  <c r="O1938" i="12"/>
  <c r="O1939" i="12"/>
  <c r="P1938" i="12"/>
  <c r="O1940" i="12"/>
  <c r="P1939" i="12"/>
  <c r="O1941" i="12"/>
  <c r="P1940" i="12"/>
  <c r="P1941" i="12"/>
  <c r="O1942" i="12"/>
  <c r="O1943" i="12"/>
  <c r="P1942" i="12"/>
  <c r="O1944" i="12"/>
  <c r="P1943" i="12"/>
  <c r="O1945" i="12"/>
  <c r="P1944" i="12"/>
  <c r="P1945" i="12"/>
  <c r="O1946" i="12"/>
  <c r="O1947" i="12"/>
  <c r="P1946" i="12"/>
  <c r="O1948" i="12"/>
  <c r="P1947" i="12"/>
  <c r="O1949" i="12"/>
  <c r="P1948" i="12"/>
  <c r="P1949" i="12"/>
  <c r="O1950" i="12"/>
  <c r="O1951" i="12"/>
  <c r="P1950" i="12"/>
  <c r="O1952" i="12"/>
  <c r="P1951" i="12"/>
  <c r="O1953" i="12"/>
  <c r="P1952" i="12"/>
  <c r="P1953" i="12"/>
  <c r="O1954" i="12"/>
  <c r="O1955" i="12"/>
  <c r="P1954" i="12"/>
  <c r="O1956" i="12"/>
  <c r="P1955" i="12"/>
  <c r="O1957" i="12"/>
  <c r="P1956" i="12"/>
  <c r="P1957" i="12"/>
  <c r="O1958" i="12"/>
  <c r="O1959" i="12"/>
  <c r="P1958" i="12"/>
  <c r="O1960" i="12"/>
  <c r="P1959" i="12"/>
  <c r="P1960" i="12"/>
  <c r="O1961" i="12"/>
  <c r="P1961" i="12"/>
  <c r="O1962" i="12"/>
  <c r="O1963" i="12"/>
  <c r="P1962" i="12"/>
  <c r="O1964" i="12"/>
  <c r="P1963" i="12"/>
  <c r="O1965" i="12"/>
  <c r="P1964" i="12"/>
  <c r="P1965" i="12"/>
  <c r="O1966" i="12"/>
  <c r="O1967" i="12"/>
  <c r="P1966" i="12"/>
  <c r="P1967" i="12"/>
  <c r="O1968" i="12"/>
  <c r="O1969" i="12"/>
  <c r="P1968" i="12"/>
  <c r="P1969" i="12"/>
  <c r="O1970" i="12"/>
  <c r="O1971" i="12"/>
  <c r="P1970" i="12"/>
  <c r="P1971" i="12"/>
  <c r="O1972" i="12"/>
  <c r="O1973" i="12"/>
  <c r="P1972" i="12"/>
  <c r="P1973" i="12"/>
  <c r="O1974" i="12"/>
  <c r="O1975" i="12"/>
  <c r="P1974" i="12"/>
  <c r="O1976" i="12"/>
  <c r="P1975" i="12"/>
  <c r="O1977" i="12"/>
  <c r="P1976" i="12"/>
  <c r="P1977" i="12"/>
  <c r="O1978" i="12"/>
  <c r="O1979" i="12"/>
  <c r="P1978" i="12"/>
  <c r="O1980" i="12"/>
  <c r="P1979" i="12"/>
  <c r="O1981" i="12"/>
  <c r="P1980" i="12"/>
  <c r="P1981" i="12"/>
  <c r="O1982" i="12"/>
  <c r="O1983" i="12"/>
  <c r="P1982" i="12"/>
  <c r="O1984" i="12"/>
  <c r="P1983" i="12"/>
  <c r="O1985" i="12"/>
  <c r="P1984" i="12"/>
  <c r="P1985" i="12"/>
  <c r="O1986" i="12"/>
  <c r="O1987" i="12"/>
  <c r="P1986" i="12"/>
  <c r="O1988" i="12"/>
  <c r="P1987" i="12"/>
  <c r="O1989" i="12"/>
  <c r="P1988" i="12"/>
  <c r="P1989" i="12"/>
  <c r="O1990" i="12"/>
  <c r="O1991" i="12"/>
  <c r="P1990" i="12"/>
  <c r="O1992" i="12"/>
  <c r="P1991" i="12"/>
  <c r="P1992" i="12"/>
  <c r="O1993" i="12"/>
  <c r="P1993" i="12"/>
  <c r="O1994" i="12"/>
  <c r="O1995" i="12"/>
  <c r="P1994" i="12"/>
  <c r="O1996" i="12"/>
  <c r="P1995" i="12"/>
  <c r="O1997" i="12"/>
  <c r="P1996" i="12"/>
  <c r="P1997" i="12"/>
  <c r="O1998" i="12"/>
  <c r="O1999" i="12"/>
  <c r="P1998" i="12"/>
  <c r="P1999" i="12"/>
  <c r="O2000" i="12"/>
  <c r="O2001" i="12"/>
  <c r="P2000" i="12"/>
  <c r="P2001" i="12"/>
  <c r="O2002" i="12"/>
  <c r="O2003" i="12"/>
  <c r="P2002" i="12"/>
  <c r="O2004" i="12"/>
  <c r="P2003" i="12"/>
  <c r="O2005" i="12"/>
  <c r="P2004" i="12"/>
  <c r="P2005" i="12"/>
  <c r="O2006" i="12"/>
  <c r="O2007" i="12"/>
  <c r="P2006" i="12"/>
  <c r="O2008" i="12"/>
  <c r="P2007" i="12"/>
  <c r="O2009" i="12"/>
  <c r="P2008" i="12"/>
  <c r="P2009" i="12"/>
  <c r="O2010" i="12"/>
  <c r="O2011" i="12"/>
  <c r="P2010" i="12"/>
  <c r="O2012" i="12"/>
  <c r="P2011" i="12"/>
  <c r="O2013" i="12"/>
  <c r="P2012" i="12"/>
  <c r="P2013" i="12"/>
  <c r="O2014" i="12"/>
  <c r="O2015" i="12"/>
  <c r="P2014" i="12"/>
  <c r="P2015" i="12"/>
  <c r="O2016" i="12"/>
  <c r="O2017" i="12"/>
  <c r="P2016" i="12"/>
  <c r="P2017" i="12"/>
  <c r="O2018" i="12"/>
  <c r="O2019" i="12"/>
  <c r="P2018" i="12"/>
  <c r="O2020" i="12"/>
  <c r="P2019" i="12"/>
  <c r="O2021" i="12"/>
  <c r="P2020" i="12"/>
  <c r="P2021" i="12"/>
  <c r="O2022" i="12"/>
  <c r="O2023" i="12"/>
  <c r="P2022" i="12"/>
  <c r="O2024" i="12"/>
  <c r="P2023" i="12"/>
  <c r="P2024" i="12"/>
  <c r="O2025" i="12"/>
  <c r="P2025" i="12"/>
  <c r="O2026" i="12"/>
  <c r="O2027" i="12"/>
  <c r="P2026" i="12"/>
  <c r="O2028" i="12"/>
  <c r="P2027" i="12"/>
  <c r="O2029" i="12"/>
  <c r="P2028" i="12"/>
  <c r="P2029" i="12"/>
  <c r="O2030" i="12"/>
  <c r="O2031" i="12"/>
  <c r="P2030" i="12"/>
  <c r="P2031" i="12"/>
  <c r="O2032" i="12"/>
  <c r="O2033" i="12"/>
  <c r="P2032" i="12"/>
  <c r="P2033" i="12"/>
  <c r="O2034" i="12"/>
  <c r="O2035" i="12"/>
  <c r="P2034" i="12"/>
  <c r="O2036" i="12"/>
  <c r="P2035" i="12"/>
  <c r="P2036" i="12"/>
  <c r="O2037" i="12"/>
  <c r="P2037" i="12"/>
  <c r="O2038" i="12"/>
  <c r="O2039" i="12"/>
  <c r="P2038" i="12"/>
  <c r="O2040" i="12"/>
  <c r="P2039" i="12"/>
  <c r="O2041" i="12"/>
  <c r="P2040" i="12"/>
  <c r="P2041" i="12"/>
  <c r="O2042" i="12"/>
  <c r="O2043" i="12"/>
  <c r="P2042" i="12"/>
  <c r="O2044" i="12"/>
  <c r="P2043" i="12"/>
  <c r="O2045" i="12"/>
  <c r="P2044" i="12"/>
  <c r="P2045" i="12"/>
  <c r="O2046" i="12"/>
  <c r="O2047" i="12"/>
  <c r="P2046" i="12"/>
  <c r="P2047" i="12"/>
  <c r="O2048" i="12"/>
  <c r="O2049" i="12"/>
  <c r="P2048" i="12"/>
  <c r="P2049" i="12"/>
  <c r="O2050" i="12"/>
  <c r="O2051" i="12"/>
  <c r="P2050" i="12"/>
  <c r="P2051" i="12"/>
  <c r="O2052" i="12"/>
  <c r="P2052" i="12"/>
  <c r="O2053" i="12"/>
  <c r="P2053" i="12"/>
  <c r="O2054" i="12"/>
  <c r="O2055" i="12"/>
  <c r="P2054" i="12"/>
  <c r="O2056" i="12"/>
  <c r="P2055" i="12"/>
  <c r="O2057" i="12"/>
  <c r="P2056" i="12"/>
  <c r="P2057" i="12"/>
  <c r="O2058" i="12"/>
  <c r="O2059" i="12"/>
  <c r="P2058" i="12"/>
  <c r="O2060" i="12"/>
  <c r="P2059" i="12"/>
  <c r="P2060" i="12"/>
  <c r="O2061" i="12"/>
  <c r="P2061" i="12"/>
  <c r="O2062" i="12"/>
  <c r="O2063" i="12"/>
  <c r="P2062" i="12"/>
  <c r="P2063" i="12"/>
  <c r="O2064" i="12"/>
  <c r="O2065" i="12"/>
  <c r="P2064" i="12"/>
  <c r="P2065" i="12"/>
  <c r="O2066" i="12"/>
  <c r="O2067" i="12"/>
  <c r="P2066" i="12"/>
  <c r="O2068" i="12"/>
  <c r="P2067" i="12"/>
  <c r="P2068" i="12"/>
  <c r="O2069" i="12"/>
  <c r="P2069" i="12"/>
  <c r="O2070" i="12"/>
  <c r="O2071" i="12"/>
  <c r="P2070" i="12"/>
  <c r="O2072" i="12"/>
  <c r="P2071" i="12"/>
  <c r="O2073" i="12"/>
  <c r="P2072" i="12"/>
  <c r="P2073" i="12"/>
  <c r="O2074" i="12"/>
  <c r="O2075" i="12"/>
  <c r="P2074" i="12"/>
  <c r="O2076" i="12"/>
  <c r="P2075" i="12"/>
  <c r="O2077" i="12"/>
  <c r="P2076" i="12"/>
  <c r="P2077" i="12"/>
  <c r="O2078" i="12"/>
  <c r="O2079" i="12"/>
  <c r="P2078" i="12"/>
  <c r="P2079" i="12"/>
  <c r="O2080" i="12"/>
  <c r="O2081" i="12"/>
  <c r="P2080" i="12"/>
  <c r="P2081" i="12"/>
  <c r="O2082" i="12"/>
  <c r="O2083" i="12"/>
  <c r="P2082" i="12"/>
  <c r="O2084" i="12"/>
  <c r="P2083" i="12"/>
  <c r="P2084" i="12"/>
  <c r="O2085" i="12"/>
  <c r="P2085" i="12"/>
  <c r="O2086" i="12"/>
  <c r="O2087" i="12"/>
  <c r="P2086" i="12"/>
  <c r="O2088" i="12"/>
  <c r="P2087" i="12"/>
  <c r="O2089" i="12"/>
  <c r="P2088" i="12"/>
  <c r="P2089" i="12"/>
  <c r="O2090" i="12"/>
  <c r="O2091" i="12"/>
  <c r="P2090" i="12"/>
  <c r="O2092" i="12"/>
  <c r="P2091" i="12"/>
  <c r="O2093" i="12"/>
  <c r="P2092" i="12"/>
  <c r="P2093" i="12"/>
  <c r="O2094" i="12"/>
  <c r="O2095" i="12"/>
  <c r="P2094" i="12"/>
  <c r="P2095" i="12"/>
  <c r="O2096" i="12"/>
  <c r="O2097" i="12"/>
  <c r="P2096" i="12"/>
  <c r="P2097" i="12"/>
  <c r="O2098" i="12"/>
  <c r="O2099" i="12"/>
  <c r="P2098" i="12"/>
  <c r="O2100" i="12"/>
  <c r="P2099" i="12"/>
  <c r="P2100" i="12"/>
  <c r="O2101" i="12"/>
  <c r="P2101" i="12"/>
  <c r="O2102" i="12"/>
  <c r="O2103" i="12"/>
  <c r="P2102" i="12"/>
  <c r="P2103" i="12"/>
  <c r="O2104" i="12"/>
  <c r="O2105" i="12"/>
  <c r="P2104" i="12"/>
  <c r="P2105" i="12"/>
  <c r="O2106" i="12"/>
  <c r="O2107" i="12"/>
  <c r="P2106" i="12"/>
  <c r="O2108" i="12"/>
  <c r="P2107" i="12"/>
  <c r="O2109" i="12"/>
  <c r="P2108" i="12"/>
  <c r="P2109" i="12"/>
  <c r="O2110" i="12"/>
  <c r="O2111" i="12"/>
  <c r="P2110" i="12"/>
  <c r="P2111" i="12"/>
  <c r="O2112" i="12"/>
  <c r="O2113" i="12"/>
  <c r="P2112" i="12"/>
  <c r="P2113" i="12"/>
  <c r="O2114" i="12"/>
  <c r="O2115" i="12"/>
  <c r="P2114" i="12"/>
  <c r="O2116" i="12"/>
  <c r="P2115" i="12"/>
  <c r="P2116" i="12"/>
  <c r="O2117" i="12"/>
  <c r="P2117" i="12"/>
  <c r="O2118" i="12"/>
  <c r="O2119" i="12"/>
  <c r="P2118" i="12"/>
  <c r="O2120" i="12"/>
  <c r="P2119" i="12"/>
  <c r="O2121" i="12"/>
  <c r="P2120" i="12"/>
  <c r="P2121" i="12"/>
  <c r="O2122" i="12"/>
  <c r="O2123" i="12"/>
  <c r="P2122" i="12"/>
  <c r="O2124" i="12"/>
  <c r="P2123" i="12"/>
  <c r="O2125" i="12"/>
  <c r="P2124" i="12"/>
  <c r="P2125" i="12"/>
  <c r="O2126" i="12"/>
  <c r="O2127" i="12"/>
  <c r="P2126" i="12"/>
  <c r="P2127" i="12"/>
  <c r="O2128" i="12"/>
  <c r="O2129" i="12"/>
  <c r="P2128" i="12"/>
  <c r="P2129" i="12"/>
  <c r="O2130" i="12"/>
  <c r="O2131" i="12"/>
  <c r="P2130" i="12"/>
  <c r="O2132" i="12"/>
  <c r="P2131" i="12"/>
  <c r="P2132" i="12"/>
  <c r="O2133" i="12"/>
  <c r="P2133" i="12"/>
  <c r="O2134" i="12"/>
  <c r="O2135" i="12"/>
  <c r="P2134" i="12"/>
  <c r="O2136" i="12"/>
  <c r="P2135" i="12"/>
  <c r="P2136" i="12"/>
  <c r="O2137" i="12"/>
  <c r="P2137" i="12"/>
  <c r="O2138" i="12"/>
  <c r="O2139" i="12"/>
  <c r="P2138" i="12"/>
  <c r="O2140" i="12"/>
  <c r="P2139" i="12"/>
  <c r="O2141" i="12"/>
  <c r="P2140" i="12"/>
  <c r="P2141" i="12"/>
  <c r="O2142" i="12"/>
  <c r="O2143" i="12"/>
  <c r="P2142" i="12"/>
  <c r="P2143" i="12"/>
  <c r="O2144" i="12"/>
  <c r="O2145" i="12"/>
  <c r="P2144" i="12"/>
  <c r="P2145" i="12"/>
  <c r="O2146" i="12"/>
  <c r="O2147" i="12"/>
  <c r="P2146" i="12"/>
  <c r="O2148" i="12"/>
  <c r="P2147" i="12"/>
  <c r="P2148" i="12"/>
  <c r="O2149" i="12"/>
  <c r="P2149" i="12"/>
  <c r="O2150" i="12"/>
  <c r="O2151" i="12"/>
  <c r="P2150" i="12"/>
  <c r="O2152" i="12"/>
  <c r="P2151" i="12"/>
  <c r="O2153" i="12"/>
  <c r="P2152" i="12"/>
  <c r="P2153" i="12"/>
  <c r="O2154" i="12"/>
  <c r="O2155" i="12"/>
  <c r="P2154" i="12"/>
  <c r="O2156" i="12"/>
  <c r="P2155" i="12"/>
  <c r="O2157" i="12"/>
  <c r="P2156" i="12"/>
  <c r="P2157" i="12"/>
  <c r="O2158" i="12"/>
  <c r="O2159" i="12"/>
  <c r="P2158" i="12"/>
  <c r="P2159" i="12"/>
  <c r="O2160" i="12"/>
  <c r="O2161" i="12"/>
  <c r="P2160" i="12"/>
  <c r="P2161" i="12"/>
  <c r="O2162" i="12"/>
  <c r="O2163" i="12"/>
  <c r="P2162" i="12"/>
  <c r="O2164" i="12"/>
  <c r="P2163" i="12"/>
  <c r="P2164" i="12"/>
  <c r="O2165" i="12"/>
  <c r="P2165" i="12"/>
  <c r="O2166" i="12"/>
  <c r="O2167" i="12"/>
  <c r="P2166" i="12"/>
  <c r="O2168" i="12"/>
  <c r="P2167" i="12"/>
  <c r="O2169" i="12"/>
  <c r="P2168" i="12"/>
  <c r="P2169" i="12"/>
  <c r="O2170" i="12"/>
  <c r="O2171" i="12"/>
  <c r="P2170" i="12"/>
  <c r="O2172" i="12"/>
  <c r="P2171" i="12"/>
  <c r="O2173" i="12"/>
  <c r="P2172" i="12"/>
  <c r="P2173" i="12"/>
  <c r="O2174" i="12"/>
  <c r="O2175" i="12"/>
  <c r="P2174" i="12"/>
  <c r="P2175" i="12"/>
  <c r="O2176" i="12"/>
  <c r="O2177" i="12"/>
  <c r="P2176" i="12"/>
  <c r="O2178" i="12"/>
  <c r="P2177" i="12"/>
  <c r="O2179" i="12"/>
  <c r="P2178" i="12"/>
  <c r="O2180" i="12"/>
  <c r="P2179" i="12"/>
  <c r="O2181" i="12"/>
  <c r="P2180" i="12"/>
  <c r="O2182" i="12"/>
  <c r="P2181" i="12"/>
  <c r="O2183" i="12"/>
  <c r="P2182" i="12"/>
  <c r="O2184" i="12"/>
  <c r="P2183" i="12"/>
  <c r="P2184" i="12"/>
  <c r="O2185" i="12"/>
  <c r="O2186" i="12"/>
  <c r="P2185" i="12"/>
  <c r="O2187" i="12"/>
  <c r="P2186" i="12"/>
  <c r="O2188" i="12"/>
  <c r="P2187" i="12"/>
  <c r="O2189" i="12"/>
  <c r="P2188" i="12"/>
  <c r="O2190" i="12"/>
  <c r="P2189" i="12"/>
  <c r="O2191" i="12"/>
  <c r="P2190" i="12"/>
  <c r="O2192" i="12"/>
  <c r="P2191" i="12"/>
  <c r="O2193" i="12"/>
  <c r="P2192" i="12"/>
  <c r="P2193" i="12"/>
  <c r="O2194" i="12"/>
  <c r="O2195" i="12"/>
  <c r="P2194" i="12"/>
  <c r="O2196" i="12"/>
  <c r="P2195" i="12"/>
  <c r="O2197" i="12"/>
  <c r="P2196" i="12"/>
  <c r="O2198" i="12"/>
  <c r="P2197" i="12"/>
  <c r="O2199" i="12"/>
  <c r="P2198" i="12"/>
  <c r="O2200" i="12"/>
  <c r="P2199" i="12"/>
  <c r="O2201" i="12"/>
  <c r="P2200" i="12"/>
  <c r="O2202" i="12"/>
  <c r="P2201" i="12"/>
  <c r="O2203" i="12"/>
  <c r="P2202" i="12"/>
  <c r="O2204" i="12"/>
  <c r="P2203" i="12"/>
  <c r="O2205" i="12"/>
  <c r="P2204" i="12"/>
  <c r="O2206" i="12"/>
  <c r="P2205" i="12"/>
  <c r="O2207" i="12"/>
  <c r="P2206" i="12"/>
  <c r="P2207" i="12"/>
  <c r="O2208" i="12"/>
  <c r="O2209" i="12"/>
  <c r="P2208" i="12"/>
  <c r="O2210" i="12"/>
  <c r="P2209" i="12"/>
  <c r="O2211" i="12"/>
  <c r="P2210" i="12"/>
  <c r="O2212" i="12"/>
  <c r="P2211" i="12"/>
  <c r="O2213" i="12"/>
  <c r="P2212" i="12"/>
  <c r="O2214" i="12"/>
  <c r="P2213" i="12"/>
  <c r="O2215" i="12"/>
  <c r="P2214" i="12"/>
  <c r="P2215" i="12"/>
  <c r="O2216" i="12"/>
  <c r="P2216" i="12"/>
  <c r="O2217" i="12"/>
  <c r="O2218" i="12"/>
  <c r="P2217" i="12"/>
  <c r="O2219" i="12"/>
  <c r="P2218" i="12"/>
  <c r="O2220" i="12"/>
  <c r="P2219" i="12"/>
  <c r="O2221" i="12"/>
  <c r="P2220" i="12"/>
  <c r="O2222" i="12"/>
  <c r="P2221" i="12"/>
  <c r="O2223" i="12"/>
  <c r="P2222" i="12"/>
  <c r="P2223" i="12"/>
  <c r="O2224" i="12"/>
  <c r="O2225" i="12"/>
  <c r="P2224" i="12"/>
  <c r="P2225" i="12"/>
  <c r="O2226" i="12"/>
  <c r="O2227" i="12"/>
  <c r="P2226" i="12"/>
  <c r="O2228" i="12"/>
  <c r="P2227" i="12"/>
  <c r="O2229" i="12"/>
  <c r="P2228" i="12"/>
  <c r="P2229" i="12"/>
  <c r="O2230" i="12"/>
  <c r="O2231" i="12"/>
  <c r="P2230" i="12"/>
  <c r="O2232" i="12"/>
  <c r="P2231" i="12"/>
  <c r="O2233" i="12"/>
  <c r="P2232" i="12"/>
  <c r="O2234" i="12"/>
  <c r="P2233" i="12"/>
  <c r="O2235" i="12"/>
  <c r="P2234" i="12"/>
  <c r="O2236" i="12"/>
  <c r="P2235" i="12"/>
  <c r="O2237" i="12"/>
  <c r="P2236" i="12"/>
  <c r="P2237" i="12"/>
  <c r="O2238" i="12"/>
  <c r="O2239" i="12"/>
  <c r="P2238" i="12"/>
  <c r="P2239" i="12"/>
  <c r="O2240" i="12"/>
  <c r="O2241" i="12"/>
  <c r="P2240" i="12"/>
  <c r="O2242" i="12"/>
  <c r="P2241" i="12"/>
  <c r="O2243" i="12"/>
  <c r="P2242" i="12"/>
  <c r="O2244" i="12"/>
  <c r="P2243" i="12"/>
  <c r="O2245" i="12"/>
  <c r="P2244" i="12"/>
  <c r="O2246" i="12"/>
  <c r="P2245" i="12"/>
  <c r="O2247" i="12"/>
  <c r="P2246" i="12"/>
  <c r="O2248" i="12"/>
  <c r="P2247" i="12"/>
  <c r="P2248" i="12"/>
  <c r="O2249" i="12"/>
  <c r="O2250" i="12"/>
  <c r="P2249" i="12"/>
  <c r="O2251" i="12"/>
  <c r="P2250" i="12"/>
  <c r="O2252" i="12"/>
  <c r="P2251" i="12"/>
  <c r="O2253" i="12"/>
  <c r="P2252" i="12"/>
  <c r="O2254" i="12"/>
  <c r="P2253" i="12"/>
  <c r="O2255" i="12"/>
  <c r="P2254" i="12"/>
  <c r="O2256" i="12"/>
  <c r="P2255" i="12"/>
  <c r="O2257" i="12"/>
  <c r="P2256" i="12"/>
  <c r="P2257" i="12"/>
  <c r="O2258" i="12"/>
  <c r="O2259" i="12"/>
  <c r="P2258" i="12"/>
  <c r="O2260" i="12"/>
  <c r="P2259" i="12"/>
  <c r="O2261" i="12"/>
  <c r="P2260" i="12"/>
  <c r="O2262" i="12"/>
  <c r="P2261" i="12"/>
  <c r="O2263" i="12"/>
  <c r="P2262" i="12"/>
  <c r="O2264" i="12"/>
  <c r="P2263" i="12"/>
  <c r="O2265" i="12"/>
  <c r="P2264" i="12"/>
  <c r="O2266" i="12"/>
  <c r="P2265" i="12"/>
  <c r="O2267" i="12"/>
  <c r="P2266" i="12"/>
  <c r="O2268" i="12"/>
  <c r="P2267" i="12"/>
  <c r="O2269" i="12"/>
  <c r="P2268" i="12"/>
  <c r="O2270" i="12"/>
  <c r="P2269" i="12"/>
  <c r="O2271" i="12"/>
  <c r="P2270" i="12"/>
  <c r="P2271" i="12"/>
  <c r="O2272" i="12"/>
  <c r="O2273" i="12"/>
  <c r="P2272" i="12"/>
  <c r="O2274" i="12"/>
  <c r="P2273" i="12"/>
  <c r="O2275" i="12"/>
  <c r="P2274" i="12"/>
  <c r="O2276" i="12"/>
  <c r="P2275" i="12"/>
  <c r="O2277" i="12"/>
  <c r="P2276" i="12"/>
  <c r="O2278" i="12"/>
  <c r="P2277" i="12"/>
  <c r="O2279" i="12"/>
  <c r="P2278" i="12"/>
  <c r="O2280" i="12"/>
  <c r="P2279" i="12"/>
  <c r="P2280" i="12"/>
  <c r="O2281" i="12"/>
  <c r="O2282" i="12"/>
  <c r="P2281" i="12"/>
  <c r="O2283" i="12"/>
  <c r="P2282" i="12"/>
  <c r="O2284" i="12"/>
  <c r="P2283" i="12"/>
  <c r="O2285" i="12"/>
  <c r="P2284" i="12"/>
  <c r="O2286" i="12"/>
  <c r="P2285" i="12"/>
  <c r="O2287" i="12"/>
  <c r="P2286" i="12"/>
  <c r="O2288" i="12"/>
  <c r="P2287" i="12"/>
  <c r="P2288" i="12"/>
  <c r="O2289" i="12"/>
  <c r="P2289" i="12"/>
  <c r="O2290" i="12"/>
  <c r="O2291" i="12"/>
  <c r="P2290" i="12"/>
  <c r="O2292" i="12"/>
  <c r="P2291" i="12"/>
  <c r="O2293" i="12"/>
  <c r="P2292" i="12"/>
  <c r="O2294" i="12"/>
  <c r="P2293" i="12"/>
  <c r="O2295" i="12"/>
  <c r="P2294" i="12"/>
  <c r="O2296" i="12"/>
  <c r="P2295" i="12"/>
  <c r="P2296" i="12"/>
  <c r="O2297" i="12"/>
  <c r="O2298" i="12"/>
  <c r="P2297" i="12"/>
  <c r="O2299" i="12"/>
  <c r="P2298" i="12"/>
  <c r="O2300" i="12"/>
  <c r="P2299" i="12"/>
  <c r="O2301" i="12"/>
  <c r="P2300" i="12"/>
  <c r="O2302" i="12"/>
  <c r="P2301" i="12"/>
  <c r="O2303" i="12"/>
  <c r="P2302" i="12"/>
  <c r="P2303" i="12"/>
  <c r="O2304" i="12"/>
  <c r="O2305" i="12"/>
  <c r="P2304" i="12"/>
  <c r="O2306" i="12"/>
  <c r="P2305" i="12"/>
  <c r="O2307" i="12"/>
  <c r="P2306" i="12"/>
  <c r="O2308" i="12"/>
  <c r="P2307" i="12"/>
  <c r="O2309" i="12"/>
  <c r="P2308" i="12"/>
  <c r="O2310" i="12"/>
  <c r="P2309" i="12"/>
  <c r="O2311" i="12"/>
  <c r="P2310" i="12"/>
  <c r="O2312" i="12"/>
  <c r="P2311" i="12"/>
  <c r="P2312" i="12"/>
  <c r="O2313" i="12"/>
  <c r="O2314" i="12"/>
  <c r="P2313" i="12"/>
  <c r="O2315" i="12"/>
  <c r="P2314" i="12"/>
  <c r="O2316" i="12"/>
  <c r="P2315" i="12"/>
  <c r="P2316" i="12"/>
  <c r="O2317" i="12"/>
  <c r="O2318" i="12"/>
  <c r="P2317" i="12"/>
  <c r="O2319" i="12"/>
  <c r="P2318" i="12"/>
  <c r="O2320" i="12"/>
  <c r="P2319" i="12"/>
  <c r="O2321" i="12"/>
  <c r="P2320" i="12"/>
  <c r="P2321" i="12"/>
  <c r="O2322" i="12"/>
  <c r="O2323" i="12"/>
  <c r="P2322" i="12"/>
  <c r="O2324" i="12"/>
  <c r="P2323" i="12"/>
  <c r="O2325" i="12"/>
  <c r="P2324" i="12"/>
  <c r="O2326" i="12"/>
  <c r="P2325" i="12"/>
  <c r="O2327" i="12"/>
  <c r="P2326" i="12"/>
  <c r="O2328" i="12"/>
  <c r="P2327" i="12"/>
  <c r="P2328" i="12"/>
  <c r="O2329" i="12"/>
  <c r="O2330" i="12"/>
  <c r="P2329" i="12"/>
  <c r="O2331" i="12"/>
  <c r="P2330" i="12"/>
  <c r="O2332" i="12"/>
  <c r="P2331" i="12"/>
  <c r="O2333" i="12"/>
  <c r="P2332" i="12"/>
  <c r="O2334" i="12"/>
  <c r="P2333" i="12"/>
  <c r="O2335" i="12"/>
  <c r="P2334" i="12"/>
  <c r="P2335" i="12"/>
  <c r="O2336" i="12"/>
  <c r="O2337" i="12"/>
  <c r="P2336" i="12"/>
  <c r="O2338" i="12"/>
  <c r="P2337" i="12"/>
  <c r="O2339" i="12"/>
  <c r="P2338" i="12"/>
  <c r="P2339" i="12"/>
  <c r="O2340" i="12"/>
  <c r="O2341" i="12"/>
  <c r="P2340" i="12"/>
  <c r="O2342" i="12"/>
  <c r="P2341" i="12"/>
  <c r="O2343" i="12"/>
  <c r="P2342" i="12"/>
  <c r="O2344" i="12"/>
  <c r="P2343" i="12"/>
  <c r="P2344" i="12"/>
  <c r="O2345" i="12"/>
  <c r="O2346" i="12"/>
  <c r="P2345" i="12"/>
  <c r="O2347" i="12"/>
  <c r="P2346" i="12"/>
  <c r="P2347" i="12"/>
  <c r="O2348" i="12"/>
  <c r="O2349" i="12"/>
  <c r="P2348" i="12"/>
  <c r="O2350" i="12"/>
  <c r="P2349" i="12"/>
  <c r="O2351" i="12"/>
  <c r="P2350" i="12"/>
  <c r="O2352" i="12"/>
  <c r="P2351" i="12"/>
  <c r="O2353" i="12"/>
  <c r="P2352" i="12"/>
  <c r="P2353" i="12"/>
  <c r="O2354" i="12"/>
  <c r="O2355" i="12"/>
  <c r="P2354" i="12"/>
  <c r="O2356" i="12"/>
  <c r="P2355" i="12"/>
  <c r="O2357" i="12"/>
  <c r="P2356" i="12"/>
  <c r="O2358" i="12"/>
  <c r="P2357" i="12"/>
  <c r="O2359" i="12"/>
  <c r="P2358" i="12"/>
  <c r="O2360" i="12"/>
  <c r="P2359" i="12"/>
  <c r="O2361" i="12"/>
  <c r="P2360" i="12"/>
  <c r="P2361" i="12"/>
  <c r="O2362" i="12"/>
  <c r="O2363" i="12"/>
  <c r="P2362" i="12"/>
  <c r="O2364" i="12"/>
  <c r="P2363" i="12"/>
  <c r="O2365" i="12"/>
  <c r="P2364" i="12"/>
  <c r="O2366" i="12"/>
  <c r="P2365" i="12"/>
  <c r="O2367" i="12"/>
  <c r="P2366" i="12"/>
  <c r="P2367" i="12"/>
  <c r="O2368" i="12"/>
  <c r="O2369" i="12"/>
  <c r="P2368" i="12"/>
  <c r="P2369" i="12"/>
  <c r="O2370" i="12"/>
  <c r="O2371" i="12"/>
  <c r="P2370" i="12"/>
  <c r="O2372" i="12"/>
  <c r="P2371" i="12"/>
  <c r="O2373" i="12"/>
  <c r="P2372" i="12"/>
  <c r="O2374" i="12"/>
  <c r="P2373" i="12"/>
  <c r="O2375" i="12"/>
  <c r="P2374" i="12"/>
  <c r="O2376" i="12"/>
  <c r="P2375" i="12"/>
  <c r="P2376" i="12"/>
  <c r="O2377" i="12"/>
  <c r="O2378" i="12"/>
  <c r="P2377" i="12"/>
  <c r="O2379" i="12"/>
  <c r="P2378" i="12"/>
  <c r="O2380" i="12"/>
  <c r="P2379" i="12"/>
  <c r="O2381" i="12"/>
  <c r="P2380" i="12"/>
  <c r="O2382" i="12"/>
  <c r="P2381" i="12"/>
  <c r="O2383" i="12"/>
  <c r="P2382" i="12"/>
  <c r="O2384" i="12"/>
  <c r="P2383" i="12"/>
  <c r="O2385" i="12"/>
  <c r="P2384" i="12"/>
  <c r="P2385" i="12"/>
  <c r="O2386" i="12"/>
  <c r="O2387" i="12"/>
  <c r="P2386" i="12"/>
  <c r="O2388" i="12"/>
  <c r="P2387" i="12"/>
  <c r="O2389" i="12"/>
  <c r="P2388" i="12"/>
  <c r="O2390" i="12"/>
  <c r="P2389" i="12"/>
  <c r="O2391" i="12"/>
  <c r="P2390" i="12"/>
  <c r="O2392" i="12"/>
  <c r="P2391" i="12"/>
  <c r="O2393" i="12"/>
  <c r="P2392" i="12"/>
  <c r="O2394" i="12"/>
  <c r="P2393" i="12"/>
  <c r="O2395" i="12"/>
  <c r="P2394" i="12"/>
  <c r="O2396" i="12"/>
  <c r="P2395" i="12"/>
  <c r="O2397" i="12"/>
  <c r="P2396" i="12"/>
  <c r="O2398" i="12"/>
  <c r="P2397" i="12"/>
  <c r="O2399" i="12"/>
  <c r="P2398" i="12"/>
  <c r="P2399" i="12"/>
  <c r="O2400" i="12"/>
  <c r="O2401" i="12"/>
  <c r="P2400" i="12"/>
  <c r="O2402" i="12"/>
  <c r="P2401" i="12"/>
  <c r="O2403" i="12"/>
  <c r="P2402" i="12"/>
  <c r="P2403" i="12"/>
  <c r="O2404" i="12"/>
  <c r="O2405" i="12"/>
  <c r="P2404" i="12"/>
  <c r="P2405" i="12"/>
  <c r="O2406" i="12"/>
  <c r="O2407" i="12"/>
  <c r="P2406" i="12"/>
  <c r="P2407" i="12"/>
  <c r="O2408" i="12"/>
  <c r="O2409" i="12"/>
  <c r="P2408" i="12"/>
  <c r="O2410" i="12"/>
  <c r="P2409" i="12"/>
  <c r="P2410" i="12"/>
  <c r="O2411" i="12"/>
  <c r="P2411" i="12"/>
  <c r="O2412" i="12"/>
  <c r="O2413" i="12"/>
  <c r="P2412" i="12"/>
  <c r="O2414" i="12"/>
  <c r="P2413" i="12"/>
  <c r="O2415" i="12"/>
  <c r="P2414" i="12"/>
  <c r="P2415" i="12"/>
  <c r="O2416" i="12"/>
  <c r="O2417" i="12"/>
  <c r="P2416" i="12"/>
  <c r="O2418" i="12"/>
  <c r="P2417" i="12"/>
  <c r="O2419" i="12"/>
  <c r="P2418" i="12"/>
  <c r="P2419" i="12"/>
  <c r="O2420" i="12"/>
  <c r="O2421" i="12"/>
  <c r="P2420" i="12"/>
  <c r="O2422" i="12"/>
  <c r="P2421" i="12"/>
  <c r="P2422" i="12"/>
  <c r="O2423" i="12"/>
  <c r="P2423" i="12"/>
  <c r="O2424" i="12"/>
  <c r="O2425" i="12"/>
  <c r="P2424" i="12"/>
  <c r="O2426" i="12"/>
  <c r="P2425" i="12"/>
  <c r="O2427" i="12"/>
  <c r="P2426" i="12"/>
  <c r="P2427" i="12"/>
  <c r="O2428" i="12"/>
  <c r="O2429" i="12"/>
  <c r="P2428" i="12"/>
  <c r="P2429" i="12"/>
  <c r="O2430" i="12"/>
  <c r="P2430" i="12"/>
  <c r="O2431" i="12"/>
  <c r="P2431" i="12"/>
  <c r="O2432" i="12"/>
  <c r="O2433" i="12"/>
  <c r="P2432" i="12"/>
  <c r="O2434" i="12"/>
  <c r="P2433" i="12"/>
  <c r="O2435" i="12"/>
  <c r="P2434" i="12"/>
  <c r="P2435" i="12"/>
  <c r="O2436" i="12"/>
  <c r="O2437" i="12"/>
  <c r="P2436" i="12"/>
  <c r="P2437" i="12"/>
  <c r="O2438" i="12"/>
  <c r="O2439" i="12"/>
  <c r="P2438" i="12"/>
  <c r="P2439" i="12"/>
  <c r="O2440" i="12"/>
  <c r="O2441" i="12"/>
  <c r="P2440" i="12"/>
  <c r="O2442" i="12"/>
  <c r="P2441" i="12"/>
  <c r="O2443" i="12"/>
  <c r="P2442" i="12"/>
  <c r="P2443" i="12"/>
  <c r="O2444" i="12"/>
  <c r="O2445" i="12"/>
  <c r="P2444" i="12"/>
  <c r="O2446" i="12"/>
  <c r="P2445" i="12"/>
  <c r="O2447" i="12"/>
  <c r="P2446" i="12"/>
  <c r="P2447" i="12"/>
  <c r="O2448" i="12"/>
  <c r="O2449" i="12"/>
  <c r="P2448" i="12"/>
  <c r="O2450" i="12"/>
  <c r="P2449" i="12"/>
  <c r="O2451" i="12"/>
  <c r="P2450" i="12"/>
  <c r="P2451" i="12"/>
  <c r="O2452" i="12"/>
  <c r="O2453" i="12"/>
  <c r="P2452" i="12"/>
  <c r="O2454" i="12"/>
  <c r="P2453" i="12"/>
  <c r="O2455" i="12"/>
  <c r="P2454" i="12"/>
  <c r="P2455" i="12"/>
  <c r="O2456" i="12"/>
  <c r="O2457" i="12"/>
  <c r="P2456" i="12"/>
  <c r="O2458" i="12"/>
  <c r="P2457" i="12"/>
  <c r="O2459" i="12"/>
  <c r="P2458" i="12"/>
  <c r="P2459" i="12"/>
  <c r="O2460" i="12"/>
  <c r="O2461" i="12"/>
  <c r="P2460" i="12"/>
  <c r="O2462" i="12"/>
  <c r="P2461" i="12"/>
  <c r="P2462" i="12"/>
  <c r="O2463" i="12"/>
  <c r="P2463" i="12"/>
  <c r="O2464" i="12"/>
  <c r="O2465" i="12"/>
  <c r="P2464" i="12"/>
  <c r="O2466" i="12"/>
  <c r="P2465" i="12"/>
  <c r="O2467" i="12"/>
  <c r="P2466" i="12"/>
  <c r="P2467" i="12"/>
  <c r="O2468" i="12"/>
  <c r="O2469" i="12"/>
  <c r="P2468" i="12"/>
  <c r="P2469" i="12"/>
  <c r="O2470" i="12"/>
  <c r="O2471" i="12"/>
  <c r="P2470" i="12"/>
  <c r="P2471" i="12"/>
  <c r="O2472" i="12"/>
  <c r="O2473" i="12"/>
  <c r="P2472" i="12"/>
  <c r="O2474" i="12"/>
  <c r="P2473" i="12"/>
  <c r="P2474" i="12"/>
  <c r="O2475" i="12"/>
  <c r="P2475" i="12"/>
  <c r="O2476" i="12"/>
  <c r="O2477" i="12"/>
  <c r="P2476" i="12"/>
  <c r="O2478" i="12"/>
  <c r="P2477" i="12"/>
  <c r="O2479" i="12"/>
  <c r="P2478" i="12"/>
  <c r="P2479" i="12"/>
  <c r="O2480" i="12"/>
  <c r="O2481" i="12"/>
  <c r="P2480" i="12"/>
  <c r="O2482" i="12"/>
  <c r="P2481" i="12"/>
  <c r="O2483" i="12"/>
  <c r="P2482" i="12"/>
  <c r="P2483" i="12"/>
  <c r="O2484" i="12"/>
  <c r="O2485" i="12"/>
  <c r="P2484" i="12"/>
  <c r="O2486" i="12"/>
  <c r="P2485" i="12"/>
  <c r="P2486" i="12"/>
  <c r="O2487" i="12"/>
  <c r="P2487" i="12"/>
  <c r="O2488" i="12"/>
  <c r="O2489" i="12"/>
  <c r="P2488" i="12"/>
  <c r="O2490" i="12"/>
  <c r="P2489" i="12"/>
  <c r="P2490" i="12"/>
  <c r="O2491" i="12"/>
  <c r="P2491" i="12"/>
  <c r="O2492" i="12"/>
  <c r="O2493" i="12"/>
  <c r="P2492" i="12"/>
  <c r="P2493" i="12"/>
  <c r="O2494" i="12"/>
  <c r="P2494" i="12"/>
  <c r="O2495" i="12"/>
  <c r="P2495" i="12"/>
  <c r="O2496" i="12"/>
  <c r="O2497" i="12"/>
  <c r="P2496" i="12"/>
  <c r="P2497" i="12"/>
  <c r="O2498" i="12"/>
  <c r="O2499" i="12"/>
  <c r="P2498" i="12"/>
  <c r="P2499" i="12"/>
  <c r="O2500" i="12"/>
  <c r="O2501" i="12"/>
  <c r="P2500" i="12"/>
  <c r="P2501" i="12"/>
  <c r="O2502" i="12"/>
  <c r="O2503" i="12"/>
  <c r="P2502" i="12"/>
  <c r="P2503" i="12"/>
  <c r="O2504" i="12"/>
  <c r="O2505" i="12"/>
  <c r="P2504" i="12"/>
  <c r="O2506" i="12"/>
  <c r="P2505" i="12"/>
  <c r="O2507" i="12"/>
  <c r="P2506" i="12"/>
  <c r="P2507" i="12"/>
  <c r="O2508" i="12"/>
  <c r="O2509" i="12"/>
  <c r="P2508" i="12"/>
  <c r="O2510" i="12"/>
  <c r="P2509" i="12"/>
  <c r="O2511" i="12"/>
  <c r="P2510" i="12"/>
  <c r="P2511" i="12"/>
  <c r="O2512" i="12"/>
  <c r="O2513" i="12"/>
  <c r="P2512" i="12"/>
  <c r="P2513" i="12"/>
  <c r="O2514" i="12"/>
  <c r="O2515" i="12"/>
  <c r="P2514" i="12"/>
  <c r="P2515" i="12"/>
  <c r="O2516" i="12"/>
  <c r="O2517" i="12"/>
  <c r="P2516" i="12"/>
  <c r="O2518" i="12"/>
  <c r="P2517" i="12"/>
  <c r="O2519" i="12"/>
  <c r="P2518" i="12"/>
  <c r="P2519" i="12"/>
  <c r="O2520" i="12"/>
  <c r="O2521" i="12"/>
  <c r="P2520" i="12"/>
  <c r="O2522" i="12"/>
  <c r="P2521" i="12"/>
  <c r="P2522" i="12"/>
  <c r="O2523" i="12"/>
  <c r="P2523" i="12"/>
  <c r="O2524" i="12"/>
  <c r="O2525" i="12"/>
  <c r="P2524" i="12"/>
  <c r="O2526" i="12"/>
  <c r="P2525" i="12"/>
  <c r="P2526" i="12"/>
  <c r="O2527" i="12"/>
  <c r="P2527" i="12"/>
  <c r="O2528" i="12"/>
  <c r="O2529" i="12"/>
  <c r="P2528" i="12"/>
  <c r="O2530" i="12"/>
  <c r="P2529" i="12"/>
  <c r="O2531" i="12"/>
  <c r="P2530" i="12"/>
  <c r="P2531" i="12"/>
  <c r="O2532" i="12"/>
  <c r="O2533" i="12"/>
  <c r="P2532" i="12"/>
  <c r="P2533" i="12"/>
  <c r="O2534" i="12"/>
  <c r="O2535" i="12"/>
  <c r="P2534" i="12"/>
  <c r="P2535" i="12"/>
  <c r="O2536" i="12"/>
  <c r="O2537" i="12"/>
  <c r="P2536" i="12"/>
  <c r="O2538" i="12"/>
  <c r="P2537" i="12"/>
  <c r="O2539" i="12"/>
  <c r="P2538" i="12"/>
  <c r="P2539" i="12"/>
  <c r="O2540" i="12"/>
  <c r="O2541" i="12"/>
  <c r="P2540" i="12"/>
  <c r="O2542" i="12"/>
  <c r="P2541" i="12"/>
  <c r="O2543" i="12"/>
  <c r="P2542" i="12"/>
  <c r="P2543" i="12"/>
  <c r="O2544" i="12"/>
  <c r="O2545" i="12"/>
  <c r="P2544" i="12"/>
  <c r="O2546" i="12"/>
  <c r="P2545" i="12"/>
  <c r="O2547" i="12"/>
  <c r="P2546" i="12"/>
  <c r="P2547" i="12"/>
  <c r="O2548" i="12"/>
  <c r="O2549" i="12"/>
  <c r="P2548" i="12"/>
  <c r="O2550" i="12"/>
  <c r="P2549" i="12"/>
  <c r="O2551" i="12"/>
  <c r="P2550" i="12"/>
  <c r="P2551" i="12"/>
  <c r="O2552" i="12"/>
  <c r="O2553" i="12"/>
  <c r="P2552" i="12"/>
  <c r="O2554" i="12"/>
  <c r="P2553" i="12"/>
  <c r="P2554" i="12"/>
  <c r="O2555" i="12"/>
  <c r="P2555" i="12"/>
  <c r="O2556" i="12"/>
  <c r="O2557" i="12"/>
  <c r="P2556" i="12"/>
  <c r="O2558" i="12"/>
  <c r="P2557" i="12"/>
  <c r="P2558" i="12"/>
  <c r="O2559" i="12"/>
  <c r="P2559" i="12"/>
  <c r="O2560" i="12"/>
  <c r="O2561" i="12"/>
  <c r="P2560" i="12"/>
  <c r="P2561" i="12"/>
  <c r="O2562" i="12"/>
  <c r="O2563" i="12"/>
  <c r="P2562" i="12"/>
  <c r="P2563" i="12"/>
  <c r="O2564" i="12"/>
  <c r="O2565" i="12"/>
  <c r="P2564" i="12"/>
  <c r="P2565" i="12"/>
  <c r="O2566" i="12"/>
  <c r="O2567" i="12"/>
  <c r="P2566" i="12"/>
  <c r="P2567" i="12"/>
  <c r="O2568" i="12"/>
  <c r="O2569" i="12"/>
  <c r="P2568" i="12"/>
  <c r="O2570" i="12"/>
  <c r="P2569" i="12"/>
  <c r="P2570" i="12"/>
  <c r="O2571" i="12"/>
  <c r="P2571" i="12"/>
  <c r="O2572" i="12"/>
  <c r="O2573" i="12"/>
  <c r="P2572" i="12"/>
  <c r="O2574" i="12"/>
  <c r="P2573" i="12"/>
  <c r="O2575" i="12"/>
  <c r="P2574" i="12"/>
  <c r="P2575" i="12"/>
  <c r="O2576" i="12"/>
  <c r="O2577" i="12"/>
  <c r="P2576" i="12"/>
  <c r="P2577" i="12"/>
  <c r="O2578" i="12"/>
  <c r="O2579" i="12"/>
  <c r="P2578" i="12"/>
  <c r="P2579" i="12"/>
  <c r="O2580" i="12"/>
  <c r="O2581" i="12"/>
  <c r="P2580" i="12"/>
  <c r="O2582" i="12"/>
  <c r="P2581" i="12"/>
  <c r="P2582" i="12"/>
  <c r="O2583" i="12"/>
  <c r="P2583" i="12"/>
  <c r="O2584" i="12"/>
  <c r="O2585" i="12"/>
  <c r="P2584" i="12"/>
  <c r="O2586" i="12"/>
  <c r="P2585" i="12"/>
  <c r="P2586" i="12"/>
  <c r="O2587" i="12"/>
  <c r="P2587" i="12"/>
  <c r="O2588" i="12"/>
  <c r="O2589" i="12"/>
  <c r="P2588" i="12"/>
  <c r="P2589" i="12"/>
  <c r="O2590" i="12"/>
  <c r="P2590" i="12"/>
  <c r="O2591" i="12"/>
  <c r="P2591" i="12"/>
  <c r="O2592" i="12"/>
  <c r="O2593" i="12"/>
  <c r="P2592" i="12"/>
  <c r="P2593" i="12"/>
  <c r="O2594" i="12"/>
  <c r="O2595" i="12"/>
  <c r="P2594" i="12"/>
  <c r="P2595" i="12"/>
  <c r="O2596" i="12"/>
  <c r="O2597" i="12"/>
  <c r="P2596" i="12"/>
  <c r="P2597" i="12"/>
  <c r="O2598" i="12"/>
  <c r="O2599" i="12"/>
  <c r="P2598" i="12"/>
  <c r="P2599" i="12"/>
  <c r="O2600" i="12"/>
  <c r="O2601" i="12"/>
  <c r="P2600" i="12"/>
  <c r="O2602" i="12"/>
  <c r="P2601" i="12"/>
  <c r="O2603" i="12"/>
  <c r="P2602" i="12"/>
  <c r="P2603" i="12"/>
  <c r="O2604" i="12"/>
  <c r="O2605" i="12"/>
  <c r="P2604" i="12"/>
  <c r="O2606" i="12"/>
  <c r="P2605" i="12"/>
  <c r="O2607" i="12"/>
  <c r="P2606" i="12"/>
  <c r="P2607" i="12"/>
  <c r="O2608" i="12"/>
  <c r="O2609" i="12"/>
  <c r="P2608" i="12"/>
  <c r="O2610" i="12"/>
  <c r="P2609" i="12"/>
  <c r="O2611" i="12"/>
  <c r="P2610" i="12"/>
  <c r="P2611" i="12"/>
  <c r="O2612" i="12"/>
  <c r="O2613" i="12"/>
  <c r="P2612" i="12"/>
  <c r="O2614" i="12"/>
  <c r="P2613" i="12"/>
  <c r="O2615" i="12"/>
  <c r="P2614" i="12"/>
  <c r="P2615" i="12"/>
  <c r="O2616" i="12"/>
  <c r="O2617" i="12"/>
  <c r="P2616" i="12"/>
  <c r="O2618" i="12"/>
  <c r="P2617" i="12"/>
  <c r="P2618" i="12"/>
  <c r="O2619" i="12"/>
  <c r="P2619" i="12"/>
  <c r="O2620" i="12"/>
  <c r="O2621" i="12"/>
  <c r="P2620" i="12"/>
  <c r="O2622" i="12"/>
  <c r="P2621" i="12"/>
  <c r="P2622" i="12"/>
  <c r="O2623" i="12"/>
  <c r="P2623" i="12"/>
  <c r="O2624" i="12"/>
  <c r="O2625" i="12"/>
  <c r="P2624" i="12"/>
  <c r="O2626" i="12"/>
  <c r="P2625" i="12"/>
  <c r="O2627" i="12"/>
  <c r="P2626" i="12"/>
  <c r="P2627" i="12"/>
  <c r="O2628" i="12"/>
  <c r="O2629" i="12"/>
  <c r="P2628" i="12"/>
  <c r="P2629" i="12"/>
  <c r="O2630" i="12"/>
  <c r="O2631" i="12"/>
  <c r="P2630" i="12"/>
  <c r="P2631" i="12"/>
  <c r="O2632" i="12"/>
  <c r="O2633" i="12"/>
  <c r="P2632" i="12"/>
  <c r="O2634" i="12"/>
  <c r="P2633" i="12"/>
  <c r="O2635" i="12"/>
  <c r="P2634" i="12"/>
  <c r="P2635" i="12"/>
  <c r="O2636" i="12"/>
  <c r="O2637" i="12"/>
  <c r="P2636" i="12"/>
  <c r="O2638" i="12"/>
  <c r="P2637" i="12"/>
  <c r="O2639" i="12"/>
  <c r="P2638" i="12"/>
  <c r="P2639" i="12"/>
  <c r="O2640" i="12"/>
  <c r="O2641" i="12"/>
  <c r="P2640" i="12"/>
  <c r="O2642" i="12"/>
  <c r="P2641" i="12"/>
  <c r="O2643" i="12"/>
  <c r="P2642" i="12"/>
  <c r="P2643" i="12"/>
  <c r="O2644" i="12"/>
  <c r="O2645" i="12"/>
  <c r="P2644" i="12"/>
  <c r="O2646" i="12"/>
  <c r="P2645" i="12"/>
  <c r="O2647" i="12"/>
  <c r="P2646" i="12"/>
  <c r="P2647" i="12"/>
  <c r="O2648" i="12"/>
  <c r="O2649" i="12"/>
  <c r="P2648" i="12"/>
  <c r="O2650" i="12"/>
  <c r="P2649" i="12"/>
  <c r="O2651" i="12"/>
  <c r="P2650" i="12"/>
  <c r="P2651" i="12"/>
  <c r="O2652" i="12"/>
  <c r="O2653" i="12"/>
  <c r="P2652" i="12"/>
  <c r="O2654" i="12"/>
  <c r="P2653" i="12"/>
  <c r="P2654" i="12"/>
  <c r="O2655" i="12"/>
  <c r="P2655" i="12"/>
  <c r="O2656" i="12"/>
  <c r="O2657" i="12"/>
  <c r="P2656" i="12"/>
  <c r="P2657" i="12"/>
  <c r="O2658" i="12"/>
  <c r="P2658" i="12"/>
  <c r="O2659" i="12"/>
  <c r="P2659" i="12"/>
  <c r="O2660" i="12"/>
  <c r="O2661" i="12"/>
  <c r="P2660" i="12"/>
  <c r="P2661" i="12"/>
  <c r="O2662" i="12"/>
  <c r="O2663" i="12"/>
  <c r="P2662" i="12"/>
  <c r="P2663" i="12"/>
  <c r="O2664" i="12"/>
  <c r="O2665" i="12"/>
  <c r="P2664" i="12"/>
  <c r="O2666" i="12"/>
  <c r="P2665" i="12"/>
  <c r="O2667" i="12"/>
  <c r="P2666" i="12"/>
  <c r="P2667" i="12"/>
  <c r="O2668" i="12"/>
  <c r="O2669" i="12"/>
  <c r="P2668" i="12"/>
  <c r="O2670" i="12"/>
  <c r="P2669" i="12"/>
  <c r="O2671" i="12"/>
  <c r="P2670" i="12"/>
  <c r="P2671" i="12"/>
  <c r="O2672" i="12"/>
  <c r="O2673" i="12"/>
  <c r="P2672" i="12"/>
  <c r="P2673" i="12"/>
  <c r="O2674" i="12"/>
  <c r="O2675" i="12"/>
  <c r="P2674" i="12"/>
  <c r="P2675" i="12"/>
  <c r="O2676" i="12"/>
  <c r="O2677" i="12"/>
  <c r="P2676" i="12"/>
  <c r="O2678" i="12"/>
  <c r="P2677" i="12"/>
  <c r="P2678" i="12"/>
  <c r="O2679" i="12"/>
  <c r="P2679" i="12"/>
  <c r="O2680" i="12"/>
  <c r="O2681" i="12"/>
  <c r="P2680" i="12"/>
  <c r="O2682" i="12"/>
  <c r="P2681" i="12"/>
  <c r="P2682" i="12"/>
  <c r="O2683" i="12"/>
  <c r="P2683" i="12"/>
  <c r="O2684" i="12"/>
  <c r="O2685" i="12"/>
  <c r="P2684" i="12"/>
  <c r="O2686" i="12"/>
  <c r="P2685" i="12"/>
  <c r="P2686" i="12"/>
  <c r="O2687" i="12"/>
  <c r="P2687" i="12"/>
  <c r="O2688" i="12"/>
  <c r="O2689" i="12"/>
  <c r="P2688" i="12"/>
  <c r="O2690" i="12"/>
  <c r="P2689" i="12"/>
  <c r="O2691" i="12"/>
  <c r="P2690" i="12"/>
  <c r="P2691" i="12"/>
  <c r="O2692" i="12"/>
  <c r="O2693" i="12"/>
  <c r="P2692" i="12"/>
  <c r="P2693" i="12"/>
  <c r="O2694" i="12"/>
  <c r="O2695" i="12"/>
  <c r="P2694" i="12"/>
  <c r="P2695" i="12"/>
  <c r="O2696" i="12"/>
  <c r="O2697" i="12"/>
  <c r="P2696" i="12"/>
  <c r="P2697" i="12"/>
  <c r="O2698" i="12"/>
  <c r="P2698" i="12"/>
  <c r="O2699" i="12"/>
  <c r="P2699" i="12"/>
  <c r="O2700" i="12"/>
  <c r="O2701" i="12"/>
  <c r="P2700" i="12"/>
  <c r="O2702" i="12"/>
  <c r="P2701" i="12"/>
  <c r="O2703" i="12"/>
  <c r="P2702" i="12"/>
  <c r="P2703" i="12"/>
  <c r="O2704" i="12"/>
  <c r="O2705" i="12"/>
  <c r="P2704" i="12"/>
  <c r="P2705" i="12"/>
  <c r="O2706" i="12"/>
  <c r="O2707" i="12"/>
  <c r="P2706" i="12"/>
  <c r="P2707" i="12"/>
  <c r="O2708" i="12"/>
  <c r="O2709" i="12"/>
  <c r="P2708" i="12"/>
  <c r="O2710" i="12"/>
  <c r="P2709" i="12"/>
  <c r="O2711" i="12"/>
  <c r="P2710" i="12"/>
  <c r="P2711" i="12"/>
  <c r="O2712" i="12"/>
  <c r="O2713" i="12"/>
  <c r="P2712" i="12"/>
  <c r="O2714" i="12"/>
  <c r="P2713" i="12"/>
  <c r="O2715" i="12"/>
  <c r="P2714" i="12"/>
  <c r="P2715" i="12"/>
  <c r="O2716" i="12"/>
  <c r="O2717" i="12"/>
  <c r="P2716" i="12"/>
  <c r="O2718" i="12"/>
  <c r="P2717" i="12"/>
  <c r="P2718" i="12"/>
  <c r="O2719" i="12"/>
  <c r="P2719" i="12"/>
  <c r="O2720" i="12"/>
  <c r="O2721" i="12"/>
  <c r="P2720" i="12"/>
  <c r="P2721" i="12"/>
  <c r="O2722" i="12"/>
  <c r="P2722" i="12"/>
  <c r="O2723" i="12"/>
  <c r="P2723" i="12"/>
  <c r="O2724" i="12"/>
  <c r="O2725" i="12"/>
  <c r="P2724" i="12"/>
  <c r="P2725" i="12"/>
  <c r="O2726" i="12"/>
  <c r="O2727" i="12"/>
  <c r="P2726" i="12"/>
  <c r="P2727" i="12"/>
  <c r="O2728" i="12"/>
  <c r="O2729" i="12"/>
  <c r="P2728" i="12"/>
  <c r="O2730" i="12"/>
  <c r="P2729" i="12"/>
  <c r="O2731" i="12"/>
  <c r="P2730" i="12"/>
  <c r="P2731" i="12"/>
  <c r="O2732" i="12"/>
  <c r="O2733" i="12"/>
  <c r="P2732" i="12"/>
  <c r="O2734" i="12"/>
  <c r="P2733" i="12"/>
  <c r="O2735" i="12"/>
  <c r="P2734" i="12"/>
  <c r="P2735" i="12"/>
  <c r="O2736" i="12"/>
  <c r="O2737" i="12"/>
  <c r="P2736" i="12"/>
  <c r="P2737" i="12"/>
  <c r="O2738" i="12"/>
  <c r="O2739" i="12"/>
  <c r="P2738" i="12"/>
  <c r="P2739" i="12"/>
  <c r="O2740" i="12"/>
  <c r="O2741" i="12"/>
  <c r="P2740" i="12"/>
  <c r="O2742" i="12"/>
  <c r="P2741" i="12"/>
  <c r="P2742" i="12"/>
  <c r="O2743" i="12"/>
  <c r="P2743" i="12"/>
  <c r="O2744" i="12"/>
  <c r="O2745" i="12"/>
  <c r="P2744" i="12"/>
  <c r="O2746" i="12"/>
  <c r="P2745" i="12"/>
  <c r="O2747" i="12"/>
  <c r="P2746" i="12"/>
  <c r="P2747" i="12"/>
  <c r="O2748" i="12"/>
  <c r="O2749" i="12"/>
  <c r="P2748" i="12"/>
  <c r="O2750" i="12"/>
  <c r="P2749" i="12"/>
  <c r="P2750" i="12"/>
  <c r="O2751" i="12"/>
  <c r="P2751" i="12"/>
  <c r="O2752" i="12"/>
  <c r="O2753" i="12"/>
  <c r="P2752" i="12"/>
  <c r="P2753" i="12"/>
  <c r="O2754" i="12"/>
  <c r="O2755" i="12"/>
  <c r="P2754" i="12"/>
  <c r="P2755" i="12"/>
  <c r="O2756" i="12"/>
  <c r="O2757" i="12"/>
  <c r="P2756" i="12"/>
  <c r="O2758" i="12"/>
  <c r="P2757" i="12"/>
  <c r="P2758" i="12"/>
  <c r="O2759" i="12"/>
  <c r="P2759" i="12"/>
  <c r="O2760" i="12"/>
  <c r="O2761" i="12"/>
  <c r="P2760" i="12"/>
  <c r="P2761" i="12"/>
  <c r="O2762" i="12"/>
  <c r="O2763" i="12"/>
  <c r="P2762" i="12"/>
  <c r="P2763" i="12"/>
  <c r="O2764" i="12"/>
  <c r="O2765" i="12"/>
  <c r="P2764" i="12"/>
  <c r="O2766" i="12"/>
  <c r="P2765" i="12"/>
  <c r="P2766" i="12"/>
  <c r="O2767" i="12"/>
  <c r="P2767" i="12"/>
  <c r="O2768" i="12"/>
  <c r="O2769" i="12"/>
  <c r="P2768" i="12"/>
  <c r="P2769" i="12"/>
  <c r="O2770" i="12"/>
  <c r="O2771" i="12"/>
  <c r="P2770" i="12"/>
  <c r="P2771" i="12"/>
  <c r="O2772" i="12"/>
  <c r="O2773" i="12"/>
  <c r="P2772" i="12"/>
  <c r="O2774" i="12"/>
  <c r="P2773" i="12"/>
  <c r="O2775" i="12"/>
  <c r="P2774" i="12"/>
  <c r="P2775" i="12"/>
  <c r="O2776" i="12"/>
  <c r="O2777" i="12"/>
  <c r="P2776" i="12"/>
  <c r="O2778" i="12"/>
  <c r="P2777" i="12"/>
  <c r="O2779" i="12"/>
  <c r="P2778" i="12"/>
  <c r="P2779" i="12"/>
  <c r="O2780" i="12"/>
  <c r="O2781" i="12"/>
  <c r="P2780" i="12"/>
  <c r="P2781" i="12"/>
  <c r="O2782" i="12"/>
  <c r="P2782" i="12"/>
  <c r="O2783" i="12"/>
  <c r="P2783" i="12"/>
  <c r="O2784" i="12"/>
  <c r="O2785" i="12"/>
  <c r="P2784" i="12"/>
  <c r="P2785" i="12"/>
  <c r="O2786" i="12"/>
  <c r="O2787" i="12"/>
  <c r="P2786" i="12"/>
  <c r="P2787" i="12"/>
  <c r="O2788" i="12"/>
  <c r="O2789" i="12"/>
  <c r="P2788" i="12"/>
  <c r="O2790" i="12"/>
  <c r="P2789" i="12"/>
  <c r="O2791" i="12"/>
  <c r="P2790" i="12"/>
  <c r="P2791" i="12"/>
  <c r="O2792" i="12"/>
  <c r="O2793" i="12"/>
  <c r="P2792" i="12"/>
  <c r="P2793" i="12"/>
  <c r="O2794" i="12"/>
  <c r="O2795" i="12"/>
  <c r="P2794" i="12"/>
  <c r="P2795" i="12"/>
  <c r="O2796" i="12"/>
  <c r="O2797" i="12"/>
  <c r="P2796" i="12"/>
  <c r="O2798" i="12"/>
  <c r="P2797" i="12"/>
  <c r="P2798" i="12"/>
  <c r="O2799" i="12"/>
  <c r="P2799" i="12"/>
  <c r="O2800" i="12"/>
  <c r="O2801" i="12"/>
  <c r="P2800" i="12"/>
  <c r="P2801" i="12"/>
  <c r="O2802" i="12"/>
  <c r="O2803" i="12"/>
  <c r="P2802" i="12"/>
  <c r="P2803" i="12"/>
  <c r="O2804" i="12"/>
  <c r="O2805" i="12"/>
  <c r="P2804" i="12"/>
  <c r="O2806" i="12"/>
  <c r="P2805" i="12"/>
  <c r="O2807" i="12"/>
  <c r="P2806" i="12"/>
  <c r="P2807" i="12"/>
  <c r="O2808" i="12"/>
  <c r="O2809" i="12"/>
  <c r="P2808" i="12"/>
  <c r="P2809" i="12"/>
  <c r="O2810" i="12"/>
  <c r="O2811" i="12"/>
  <c r="P2810" i="12"/>
  <c r="P2811" i="12"/>
  <c r="O2812" i="12"/>
  <c r="O2813" i="12"/>
  <c r="P2812" i="12"/>
  <c r="O2814" i="12"/>
  <c r="P2813" i="12"/>
  <c r="P2814" i="12"/>
  <c r="O2815" i="12"/>
  <c r="P2815" i="12"/>
  <c r="O2816" i="12"/>
  <c r="O2817" i="12"/>
  <c r="P2816" i="12"/>
  <c r="O2818" i="12"/>
  <c r="P2817" i="12"/>
  <c r="O2819" i="12"/>
  <c r="P2818" i="12"/>
  <c r="P2819" i="12"/>
  <c r="O2820" i="12"/>
  <c r="O2821" i="12"/>
  <c r="P2820" i="12"/>
  <c r="O2822" i="12"/>
  <c r="P2821" i="12"/>
  <c r="P2822" i="12"/>
  <c r="O2823" i="12"/>
  <c r="P2823" i="12"/>
  <c r="O2824" i="12"/>
  <c r="O2825" i="12"/>
  <c r="P2824" i="12"/>
  <c r="P2825" i="12"/>
  <c r="O2826" i="12"/>
  <c r="O2827" i="12"/>
  <c r="P2826" i="12"/>
  <c r="P2827" i="12"/>
  <c r="O2828" i="12"/>
  <c r="O2829" i="12"/>
  <c r="P2828" i="12"/>
  <c r="O2830" i="12"/>
  <c r="P2829" i="12"/>
  <c r="O2831" i="12"/>
  <c r="P2830" i="12"/>
  <c r="P2831" i="12"/>
  <c r="O2832" i="12"/>
  <c r="O2833" i="12"/>
  <c r="P2832" i="12"/>
  <c r="P2833" i="12"/>
  <c r="O2834" i="12"/>
  <c r="O2835" i="12"/>
  <c r="P2834" i="12"/>
  <c r="P2835" i="12"/>
  <c r="O2836" i="12"/>
  <c r="O2837" i="12"/>
  <c r="P2836" i="12"/>
  <c r="O2838" i="12"/>
  <c r="P2837" i="12"/>
  <c r="O2839" i="12"/>
  <c r="P2838" i="12"/>
  <c r="P2839" i="12"/>
  <c r="O2840" i="12"/>
  <c r="O2841" i="12"/>
  <c r="P2840" i="12"/>
  <c r="P2841" i="12"/>
  <c r="O2842" i="12"/>
  <c r="O2843" i="12"/>
  <c r="P2842" i="12"/>
  <c r="P2843" i="12"/>
  <c r="O2844" i="12"/>
  <c r="O2845" i="12"/>
  <c r="P2844" i="12"/>
  <c r="O2846" i="12"/>
  <c r="P2845" i="12"/>
  <c r="P2846" i="12"/>
  <c r="O2847" i="12"/>
  <c r="P2847" i="12"/>
  <c r="O2848" i="12"/>
  <c r="O2849" i="12"/>
  <c r="P2848" i="12"/>
  <c r="P2849" i="12"/>
  <c r="O2850" i="12"/>
  <c r="O2851" i="12"/>
  <c r="P2850" i="12"/>
  <c r="P2851" i="12"/>
  <c r="O2852" i="12"/>
  <c r="O2853" i="12"/>
  <c r="P2852" i="12"/>
  <c r="O2854" i="12"/>
  <c r="P2853" i="12"/>
  <c r="O2855" i="12"/>
  <c r="P2854" i="12"/>
  <c r="P2855" i="12"/>
  <c r="O2856" i="12"/>
  <c r="O2857" i="12"/>
  <c r="P2856" i="12"/>
  <c r="P2857" i="12"/>
  <c r="O2858" i="12"/>
  <c r="O2859" i="12"/>
  <c r="P2858" i="12"/>
  <c r="P2859" i="12"/>
  <c r="O2860" i="12"/>
  <c r="O2861" i="12"/>
  <c r="P2860" i="12"/>
  <c r="O2862" i="12"/>
  <c r="P2861" i="12"/>
  <c r="O2863" i="12"/>
  <c r="P2862" i="12"/>
  <c r="P2863" i="12"/>
  <c r="O2864" i="12"/>
  <c r="O2865" i="12"/>
  <c r="P2864" i="12"/>
  <c r="P2865" i="12"/>
  <c r="O2866" i="12"/>
  <c r="O2867" i="12"/>
  <c r="P2866" i="12"/>
  <c r="P2867" i="12"/>
  <c r="O2868" i="12"/>
  <c r="O2869" i="12"/>
  <c r="P2868" i="12"/>
  <c r="O2870" i="12"/>
  <c r="P2869" i="12"/>
  <c r="P2870" i="12"/>
  <c r="O2871" i="12"/>
  <c r="P2871" i="12"/>
  <c r="O2872" i="12"/>
  <c r="O2873" i="12"/>
  <c r="P2872" i="12"/>
  <c r="O2874" i="12"/>
  <c r="P2873" i="12"/>
  <c r="O2875" i="12"/>
  <c r="P2874" i="12"/>
  <c r="P2875" i="12"/>
  <c r="O2876" i="12"/>
  <c r="O2877" i="12"/>
  <c r="P2876" i="12"/>
  <c r="P2877" i="12"/>
  <c r="O2878" i="12"/>
  <c r="P2878" i="12"/>
  <c r="O2879" i="12"/>
  <c r="P2879" i="12"/>
  <c r="O2880" i="12"/>
  <c r="O2881" i="12"/>
  <c r="P2880" i="12"/>
  <c r="P2881" i="12"/>
  <c r="O2882" i="12"/>
  <c r="O2883" i="12"/>
  <c r="P2882" i="12"/>
  <c r="P2883" i="12"/>
  <c r="O2884" i="12"/>
  <c r="O2885" i="12"/>
  <c r="P2884" i="12"/>
  <c r="O2886" i="12"/>
  <c r="P2885" i="12"/>
  <c r="P2886" i="12"/>
  <c r="O2887" i="12"/>
  <c r="P2887" i="12"/>
  <c r="O2888" i="12"/>
  <c r="O2889" i="12"/>
  <c r="P2888" i="12"/>
  <c r="P2889" i="12"/>
  <c r="O2890" i="12"/>
  <c r="O2891" i="12"/>
  <c r="P2890" i="12"/>
  <c r="P2891" i="12"/>
  <c r="O2892" i="12"/>
  <c r="O2893" i="12"/>
  <c r="P2892" i="12"/>
  <c r="O2894" i="12"/>
  <c r="P2893" i="12"/>
  <c r="O2895" i="12"/>
  <c r="P2894" i="12"/>
  <c r="P2895" i="12"/>
  <c r="O2896" i="12"/>
  <c r="O2897" i="12"/>
  <c r="P2896" i="12"/>
  <c r="P2897" i="12"/>
  <c r="O2898" i="12"/>
  <c r="O2899" i="12"/>
  <c r="P2898" i="12"/>
  <c r="P2899" i="12"/>
  <c r="O2900" i="12"/>
  <c r="O2901" i="12"/>
  <c r="P2900" i="12"/>
  <c r="O2902" i="12"/>
  <c r="P2901" i="12"/>
  <c r="P2902" i="12"/>
  <c r="O2903" i="12"/>
  <c r="P2903" i="12"/>
  <c r="O2904" i="12"/>
  <c r="O2905" i="12"/>
  <c r="P2904" i="12"/>
  <c r="O2906" i="12"/>
  <c r="P2905" i="12"/>
  <c r="O2907" i="12"/>
  <c r="P2906" i="12"/>
  <c r="P2907" i="12"/>
  <c r="O2908" i="12"/>
  <c r="O2909" i="12"/>
  <c r="P2908" i="12"/>
  <c r="P2909" i="12"/>
  <c r="O2910" i="12"/>
  <c r="P2910" i="12"/>
  <c r="O2911" i="12"/>
  <c r="P2911" i="12"/>
  <c r="O2912" i="12"/>
  <c r="O2913" i="12"/>
  <c r="P2912" i="12"/>
  <c r="P2913" i="12"/>
  <c r="O2914" i="12"/>
  <c r="P2914" i="12"/>
  <c r="O2915" i="12"/>
  <c r="P2915" i="12"/>
  <c r="O2916" i="12"/>
  <c r="O2917" i="12"/>
  <c r="P2916" i="12"/>
  <c r="O2918" i="12"/>
  <c r="P2917" i="12"/>
  <c r="P2918" i="12"/>
  <c r="O2919" i="12"/>
  <c r="P2919" i="12"/>
  <c r="O2920" i="12"/>
  <c r="O2921" i="12"/>
  <c r="P2920" i="12"/>
  <c r="P2921" i="12"/>
  <c r="O2922" i="12"/>
  <c r="O2923" i="12"/>
  <c r="P2922" i="12"/>
  <c r="P2923" i="12"/>
  <c r="O2924" i="12"/>
  <c r="O2925" i="12"/>
  <c r="P2924" i="12"/>
  <c r="O2926" i="12"/>
  <c r="P2925" i="12"/>
  <c r="O2927" i="12"/>
  <c r="P2926" i="12"/>
  <c r="P2927" i="12"/>
  <c r="O2928" i="12"/>
  <c r="O2929" i="12"/>
  <c r="P2928" i="12"/>
  <c r="P2929" i="12"/>
  <c r="O2930" i="12"/>
  <c r="O2931" i="12"/>
  <c r="P2930" i="12"/>
  <c r="P2931" i="12"/>
  <c r="O2932" i="12"/>
  <c r="O2933" i="12"/>
  <c r="P2932" i="12"/>
  <c r="O2934" i="12"/>
  <c r="P2933" i="12"/>
  <c r="P2934" i="12"/>
  <c r="O2935" i="12"/>
  <c r="P2935" i="12"/>
  <c r="O2936" i="12"/>
  <c r="O2937" i="12"/>
  <c r="P2936" i="12"/>
  <c r="O2938" i="12"/>
  <c r="P2937" i="12"/>
  <c r="O2939" i="12"/>
  <c r="P2938" i="12"/>
  <c r="P2939" i="12"/>
  <c r="O2940" i="12"/>
  <c r="O2941" i="12"/>
  <c r="P2940" i="12"/>
  <c r="P2941" i="12"/>
  <c r="O2942" i="12"/>
  <c r="P2942" i="12"/>
  <c r="O2943" i="12"/>
  <c r="P2943" i="12"/>
  <c r="O2944" i="12"/>
  <c r="O2945" i="12"/>
  <c r="P2944" i="12"/>
  <c r="P2945" i="12"/>
  <c r="O2946" i="12"/>
  <c r="O2947" i="12"/>
  <c r="P2946" i="12"/>
  <c r="P2947" i="12"/>
  <c r="O2948" i="12"/>
  <c r="O2949" i="12"/>
  <c r="P2948" i="12"/>
  <c r="O2950" i="12"/>
  <c r="P2949" i="12"/>
  <c r="P2950" i="12"/>
  <c r="O2951" i="12"/>
  <c r="P2951" i="12"/>
  <c r="O2952" i="12"/>
  <c r="O2953" i="12"/>
  <c r="P2952" i="12"/>
  <c r="P2953" i="12"/>
  <c r="O2954" i="12"/>
  <c r="O2955" i="12"/>
  <c r="P2954" i="12"/>
  <c r="P2955" i="12"/>
  <c r="O2956" i="12"/>
  <c r="O2957" i="12"/>
  <c r="P2956" i="12"/>
  <c r="O2958" i="12"/>
  <c r="P2957" i="12"/>
  <c r="O2959" i="12"/>
  <c r="P2958" i="12"/>
  <c r="P2959" i="12"/>
  <c r="O2960" i="12"/>
  <c r="O2961" i="12"/>
  <c r="P2960" i="12"/>
  <c r="P2961" i="12"/>
  <c r="O2962" i="12"/>
  <c r="O2963" i="12"/>
  <c r="P2962" i="12"/>
  <c r="P2963" i="12"/>
  <c r="O2964" i="12"/>
  <c r="O2965" i="12"/>
  <c r="P2964" i="12"/>
  <c r="O2966" i="12"/>
  <c r="P2965" i="12"/>
  <c r="P2966" i="12"/>
  <c r="O2967" i="12"/>
  <c r="P2967" i="12"/>
  <c r="O2968" i="12"/>
  <c r="O2969" i="12"/>
  <c r="P2968" i="12"/>
  <c r="O2970" i="12"/>
  <c r="P2969" i="12"/>
  <c r="O2971" i="12"/>
  <c r="P2970" i="12"/>
  <c r="P2971" i="12"/>
  <c r="O2972" i="12"/>
  <c r="O2973" i="12"/>
  <c r="P2972" i="12"/>
  <c r="P2973" i="12"/>
  <c r="O2974" i="12"/>
  <c r="P2974" i="12"/>
  <c r="O2975" i="12"/>
  <c r="P2975" i="12"/>
  <c r="O2976" i="12"/>
  <c r="O2977" i="12"/>
  <c r="P2976" i="12"/>
  <c r="P2977" i="12"/>
  <c r="O2978" i="12"/>
  <c r="O2979" i="12"/>
  <c r="P2978" i="12"/>
  <c r="P2979" i="12"/>
  <c r="O2980" i="12"/>
  <c r="O2981" i="12"/>
  <c r="P2980" i="12"/>
  <c r="O2982" i="12"/>
  <c r="P2981" i="12"/>
  <c r="P2982" i="12"/>
  <c r="O2983" i="12"/>
  <c r="P2983" i="12"/>
  <c r="O2984" i="12"/>
  <c r="O2985" i="12"/>
  <c r="P2984" i="12"/>
  <c r="P2985" i="12"/>
  <c r="O2986" i="12"/>
  <c r="O2987" i="12"/>
  <c r="P2986" i="12"/>
  <c r="P2987" i="12"/>
  <c r="O2988" i="12"/>
  <c r="O2989" i="12"/>
  <c r="P2988" i="12"/>
  <c r="O2990" i="12"/>
  <c r="P2989" i="12"/>
  <c r="O2991" i="12"/>
  <c r="P2990" i="12"/>
  <c r="P2991" i="12"/>
  <c r="O2992" i="12"/>
  <c r="O2993" i="12"/>
  <c r="P2992" i="12"/>
  <c r="O2994" i="12"/>
  <c r="P2993" i="12"/>
  <c r="P2994" i="12"/>
  <c r="O2995" i="12"/>
  <c r="P2995" i="12"/>
  <c r="O2996" i="12"/>
  <c r="O2997" i="12"/>
  <c r="P2996" i="12"/>
  <c r="O2998" i="12"/>
  <c r="P2997" i="12"/>
  <c r="P2998" i="12"/>
  <c r="O2999" i="12"/>
  <c r="P2999" i="12"/>
  <c r="O3000" i="12"/>
  <c r="O3001" i="12"/>
  <c r="P3000" i="12"/>
  <c r="O3002" i="12"/>
  <c r="P3001" i="12"/>
  <c r="O3003" i="12"/>
  <c r="P3002" i="12"/>
  <c r="P3003" i="12"/>
  <c r="O3004" i="12"/>
  <c r="O3005" i="12"/>
  <c r="P3004" i="12"/>
  <c r="O3006" i="12"/>
  <c r="P3005" i="12"/>
  <c r="P3006" i="12"/>
  <c r="O3007" i="12"/>
  <c r="P3007" i="12"/>
  <c r="O3008" i="12"/>
  <c r="O3009" i="12"/>
  <c r="P3008" i="12"/>
  <c r="O3010" i="12"/>
  <c r="P3009" i="12"/>
  <c r="O3011" i="12"/>
  <c r="P3010" i="12"/>
  <c r="P3011" i="12"/>
  <c r="O3012" i="12"/>
  <c r="O3013" i="12"/>
  <c r="P3012" i="12"/>
  <c r="O3014" i="12"/>
  <c r="P3013" i="12"/>
  <c r="P3014" i="12"/>
  <c r="O3015" i="12"/>
  <c r="P3015" i="12"/>
  <c r="O3016" i="12"/>
  <c r="O3017" i="12"/>
  <c r="P3016" i="12"/>
  <c r="P3017" i="12"/>
  <c r="O3018" i="12"/>
  <c r="O3019" i="12"/>
  <c r="P3018" i="12"/>
  <c r="P3019" i="12"/>
  <c r="O3020" i="12"/>
  <c r="O3021" i="12"/>
  <c r="P3020" i="12"/>
  <c r="O3022" i="12"/>
  <c r="P3021" i="12"/>
  <c r="O3023" i="12"/>
  <c r="P3022" i="12"/>
  <c r="P3023" i="12"/>
  <c r="O3024" i="12"/>
  <c r="O3025" i="12"/>
  <c r="P3024" i="12"/>
  <c r="O3026" i="12"/>
  <c r="P3025" i="12"/>
  <c r="P3026" i="12"/>
  <c r="O3027" i="12"/>
  <c r="P3027" i="12"/>
  <c r="O3028" i="12"/>
  <c r="O3029" i="12"/>
  <c r="P3028" i="12"/>
  <c r="O3030" i="12"/>
  <c r="P3029" i="12"/>
  <c r="P3030" i="12"/>
  <c r="O3031" i="12"/>
  <c r="P3031" i="12"/>
  <c r="O3032" i="12"/>
  <c r="O3033" i="12"/>
  <c r="P3032" i="12"/>
  <c r="O3034" i="12"/>
  <c r="P3033" i="12"/>
  <c r="O3035" i="12"/>
  <c r="P3034" i="12"/>
  <c r="P3035" i="12"/>
  <c r="O3036" i="12"/>
  <c r="O3037" i="12"/>
  <c r="P3036" i="12"/>
  <c r="P3037" i="12"/>
  <c r="O3038" i="12"/>
  <c r="P3038" i="12"/>
  <c r="O3039" i="12"/>
  <c r="P3039" i="12"/>
  <c r="O3040" i="12"/>
  <c r="O3041" i="12"/>
  <c r="P3040" i="12"/>
  <c r="O3042" i="12"/>
  <c r="P3041" i="12"/>
  <c r="O3043" i="12"/>
  <c r="P3042" i="12"/>
  <c r="P3043" i="12"/>
  <c r="O3044" i="12"/>
  <c r="O3045" i="12"/>
  <c r="P3044" i="12"/>
  <c r="O3046" i="12"/>
  <c r="P3045" i="12"/>
  <c r="P3046" i="12"/>
  <c r="O3047" i="12"/>
  <c r="P3047" i="12"/>
  <c r="O3048" i="12"/>
  <c r="O3049" i="12"/>
  <c r="P3048" i="12"/>
  <c r="P3049" i="12"/>
  <c r="O3050" i="12"/>
  <c r="O3051" i="12"/>
  <c r="P3050" i="12"/>
  <c r="P3051" i="12"/>
  <c r="O3052" i="12"/>
  <c r="O3053" i="12"/>
  <c r="P3052" i="12"/>
  <c r="O3054" i="12"/>
  <c r="P3053" i="12"/>
  <c r="O3055" i="12"/>
  <c r="P3054" i="12"/>
  <c r="P3055" i="12"/>
  <c r="O3056" i="12"/>
  <c r="O3057" i="12"/>
  <c r="P3056" i="12"/>
  <c r="O3058" i="12"/>
  <c r="P3057" i="12"/>
  <c r="O3059" i="12"/>
  <c r="P3058" i="12"/>
  <c r="P3059" i="12"/>
  <c r="O3060" i="12"/>
  <c r="O3061" i="12"/>
  <c r="P3060" i="12"/>
  <c r="O3062" i="12"/>
  <c r="P3061" i="12"/>
  <c r="P3062" i="12"/>
  <c r="O3063" i="12"/>
  <c r="P3063" i="12"/>
  <c r="O3064" i="12"/>
  <c r="O3065" i="12"/>
  <c r="P3064" i="12"/>
  <c r="P3065" i="12"/>
  <c r="O3066" i="12"/>
  <c r="O3067" i="12"/>
  <c r="P3066" i="12"/>
  <c r="P3067" i="12"/>
  <c r="O3068" i="12"/>
  <c r="O3069" i="12"/>
  <c r="P3068" i="12"/>
  <c r="O3070" i="12"/>
  <c r="P3069" i="12"/>
  <c r="P3070" i="12"/>
  <c r="O3071" i="12"/>
  <c r="P3071" i="12"/>
  <c r="O3072" i="12"/>
  <c r="O3073" i="12"/>
  <c r="P3072" i="12"/>
  <c r="P3073" i="12"/>
  <c r="O3074" i="12"/>
  <c r="O3075" i="12"/>
  <c r="P3074" i="12"/>
  <c r="P3075" i="12"/>
  <c r="O3076" i="12"/>
  <c r="O3077" i="12"/>
  <c r="P3076" i="12"/>
  <c r="O3078" i="12"/>
  <c r="P3077" i="12"/>
  <c r="P3078" i="12"/>
  <c r="O3079" i="12"/>
  <c r="P3079" i="12"/>
  <c r="O3080" i="12"/>
  <c r="O3081" i="12"/>
  <c r="P3080" i="12"/>
  <c r="P3081" i="12"/>
  <c r="O3082" i="12"/>
  <c r="O3083" i="12"/>
  <c r="P3082" i="12"/>
  <c r="P3083" i="12"/>
  <c r="O3084" i="12"/>
  <c r="O3085" i="12"/>
  <c r="P3084" i="12"/>
  <c r="P3085" i="12"/>
  <c r="O3086" i="12"/>
  <c r="O3087" i="12"/>
  <c r="P3086" i="12"/>
  <c r="P3087" i="12"/>
  <c r="O3088" i="12"/>
  <c r="O3089" i="12"/>
  <c r="P3088" i="12"/>
  <c r="P3089" i="12"/>
  <c r="O3090" i="12"/>
  <c r="O3091" i="12"/>
  <c r="P3090" i="12"/>
  <c r="P3091" i="12"/>
  <c r="O3092" i="12"/>
  <c r="O3093" i="12"/>
  <c r="P3092" i="12"/>
  <c r="O3094" i="12"/>
  <c r="P3093" i="12"/>
  <c r="P3094" i="12"/>
  <c r="O3095" i="12"/>
  <c r="P3095" i="12"/>
  <c r="O3096" i="12"/>
  <c r="O3097" i="12"/>
  <c r="P3096" i="12"/>
  <c r="P3097" i="12"/>
  <c r="O3098" i="12"/>
  <c r="O3099" i="12"/>
  <c r="P3098" i="12"/>
  <c r="P3099" i="12"/>
  <c r="O3100" i="12"/>
  <c r="O3101" i="12"/>
  <c r="P3100" i="12"/>
  <c r="P3101" i="12"/>
  <c r="O3102" i="12"/>
  <c r="P3102" i="12"/>
  <c r="O3103" i="12"/>
  <c r="P3103" i="12"/>
  <c r="O3104" i="12"/>
  <c r="O3105" i="12"/>
  <c r="P3104" i="12"/>
  <c r="P3105" i="12"/>
  <c r="O3106" i="12"/>
  <c r="O3107" i="12"/>
  <c r="P3106" i="12"/>
  <c r="P3107" i="12"/>
  <c r="O3108" i="12"/>
  <c r="O3109" i="12"/>
  <c r="P3108" i="12"/>
  <c r="O3110" i="12"/>
  <c r="P3109" i="12"/>
  <c r="P3110" i="12"/>
  <c r="O3111" i="12"/>
  <c r="P3111" i="12"/>
  <c r="O3112" i="12"/>
  <c r="O3113" i="12"/>
  <c r="P3112" i="12"/>
  <c r="P3113" i="12"/>
  <c r="O3114" i="12"/>
  <c r="O3115" i="12"/>
  <c r="P3114" i="12"/>
  <c r="P3115" i="12"/>
  <c r="O3116" i="12"/>
  <c r="O3117" i="12"/>
  <c r="P3116" i="12"/>
  <c r="O3118" i="12"/>
  <c r="P3117" i="12"/>
  <c r="P3118" i="12"/>
  <c r="O3119" i="12"/>
  <c r="P3119" i="12"/>
  <c r="O3120" i="12"/>
  <c r="O3121" i="12"/>
  <c r="P3120" i="12"/>
  <c r="O3122" i="12"/>
  <c r="P3121" i="12"/>
  <c r="O3123" i="12"/>
  <c r="P3122" i="12"/>
  <c r="P3123" i="12"/>
  <c r="O3124" i="12"/>
  <c r="O3125" i="12"/>
  <c r="P3124" i="12"/>
  <c r="O3126" i="12"/>
  <c r="P3125" i="12"/>
  <c r="P3126" i="12"/>
  <c r="O3127" i="12"/>
  <c r="P3127" i="12"/>
  <c r="O3128" i="12"/>
  <c r="O3129" i="12"/>
  <c r="P3128" i="12"/>
  <c r="O3130" i="12"/>
  <c r="P3129" i="12"/>
  <c r="O3131" i="12"/>
  <c r="P3130" i="12"/>
  <c r="P3131" i="12"/>
  <c r="O3132" i="12"/>
  <c r="O3133" i="12"/>
  <c r="P3132" i="12"/>
  <c r="O3134" i="12"/>
  <c r="P3133" i="12"/>
  <c r="P3134" i="12"/>
  <c r="O3135" i="12"/>
  <c r="P3135" i="12"/>
  <c r="O3136" i="12"/>
  <c r="O3137" i="12"/>
  <c r="P3136" i="12"/>
  <c r="O3138" i="12"/>
  <c r="P3137" i="12"/>
  <c r="O3139" i="12"/>
  <c r="P3138" i="12"/>
  <c r="P3139" i="12"/>
  <c r="O3140" i="12"/>
  <c r="O3141" i="12"/>
  <c r="P3140" i="12"/>
  <c r="O3142" i="12"/>
  <c r="P3141" i="12"/>
  <c r="P3142" i="12"/>
  <c r="O3143" i="12"/>
  <c r="P3143" i="12"/>
  <c r="O3144" i="12"/>
  <c r="O3145" i="12"/>
  <c r="P3144" i="12"/>
  <c r="P3145" i="12"/>
  <c r="O3146" i="12"/>
  <c r="O3147" i="12"/>
  <c r="P3146" i="12"/>
  <c r="P3147" i="12"/>
  <c r="O3148" i="12"/>
  <c r="O3149" i="12"/>
  <c r="P3148" i="12"/>
  <c r="O3150" i="12"/>
  <c r="P3149" i="12"/>
  <c r="O3151" i="12"/>
  <c r="P3150" i="12"/>
  <c r="P3151" i="12"/>
  <c r="O3152" i="12"/>
  <c r="O3153" i="12"/>
  <c r="P3152" i="12"/>
  <c r="O3154" i="12"/>
  <c r="P3153" i="12"/>
  <c r="P3154" i="12"/>
  <c r="O3155" i="12"/>
  <c r="P3155" i="12"/>
  <c r="O3156" i="12"/>
  <c r="O3157" i="12"/>
  <c r="P3156" i="12"/>
  <c r="O3158" i="12"/>
  <c r="P3157" i="12"/>
  <c r="P3158" i="12"/>
  <c r="O3159" i="12"/>
  <c r="P3159" i="12"/>
  <c r="O3160" i="12"/>
  <c r="O3161" i="12"/>
  <c r="P3160" i="12"/>
  <c r="P3161" i="12"/>
  <c r="O3162" i="12"/>
  <c r="O3163" i="12"/>
  <c r="P3162" i="12"/>
  <c r="P3163" i="12"/>
  <c r="O3164" i="12"/>
  <c r="O3165" i="12"/>
  <c r="P3164" i="12"/>
  <c r="O3166" i="12"/>
  <c r="P3165" i="12"/>
  <c r="P3166" i="12"/>
  <c r="O3167" i="12"/>
  <c r="P3167" i="12"/>
  <c r="O3168" i="12"/>
  <c r="O3169" i="12"/>
  <c r="P3168" i="12"/>
  <c r="O3170" i="12"/>
  <c r="P3169" i="12"/>
  <c r="O3171" i="12"/>
  <c r="P3170" i="12"/>
  <c r="P3171" i="12"/>
  <c r="O3172" i="12"/>
  <c r="O3173" i="12"/>
  <c r="P3172" i="12"/>
  <c r="O3174" i="12"/>
  <c r="P3173" i="12"/>
  <c r="P3174" i="12"/>
  <c r="O3175" i="12"/>
  <c r="P3175" i="12"/>
  <c r="O3176" i="12"/>
  <c r="O3177" i="12"/>
  <c r="P3176" i="12"/>
  <c r="P3177" i="12"/>
  <c r="O3178" i="12"/>
  <c r="O3179" i="12"/>
  <c r="P3178" i="12"/>
  <c r="P3179" i="12"/>
  <c r="O3180" i="12"/>
  <c r="O3181" i="12"/>
  <c r="P3180" i="12"/>
  <c r="O3182" i="12"/>
  <c r="P3181" i="12"/>
  <c r="O3183" i="12"/>
  <c r="P3182" i="12"/>
  <c r="P3183" i="12"/>
  <c r="O3184" i="12"/>
  <c r="O3185" i="12"/>
  <c r="P3184" i="12"/>
  <c r="O3186" i="12"/>
  <c r="P3185" i="12"/>
  <c r="P3186" i="12"/>
  <c r="O3187" i="12"/>
  <c r="P3187" i="12"/>
  <c r="O3188" i="12"/>
  <c r="O3189" i="12"/>
  <c r="P3188" i="12"/>
  <c r="O3190" i="12"/>
  <c r="P3189" i="12"/>
  <c r="P3190" i="12"/>
  <c r="O3191" i="12"/>
  <c r="P3191" i="12"/>
  <c r="O3192" i="12"/>
  <c r="O3193" i="12"/>
  <c r="P3192" i="12"/>
  <c r="O3194" i="12"/>
  <c r="P3193" i="12"/>
  <c r="O3195" i="12"/>
  <c r="P3194" i="12"/>
  <c r="P3195" i="12"/>
  <c r="O3196" i="12"/>
  <c r="O3197" i="12"/>
  <c r="P3196" i="12"/>
  <c r="O3198" i="12"/>
  <c r="P3197" i="12"/>
  <c r="P3198" i="12"/>
  <c r="O3199" i="12"/>
  <c r="P3199" i="12"/>
  <c r="O3200" i="12"/>
  <c r="O3201" i="12"/>
  <c r="P3200" i="12"/>
  <c r="O3202" i="12"/>
  <c r="P3201" i="12"/>
  <c r="O3203" i="12"/>
  <c r="P3202" i="12"/>
  <c r="P3203" i="12"/>
  <c r="O3204" i="12"/>
  <c r="O3205" i="12"/>
  <c r="P3204" i="12"/>
  <c r="O3206" i="12"/>
  <c r="P3205" i="12"/>
  <c r="P3206" i="12"/>
  <c r="O3207" i="12"/>
  <c r="P3207" i="12"/>
  <c r="O3208" i="12"/>
  <c r="O3209" i="12"/>
  <c r="P3208" i="12"/>
  <c r="P3209" i="12"/>
  <c r="O3210" i="12"/>
  <c r="O3211" i="12"/>
  <c r="P3210" i="12"/>
  <c r="P3211" i="12"/>
  <c r="O3212" i="12"/>
  <c r="O3213" i="12"/>
  <c r="P3212" i="12"/>
  <c r="P3213" i="12"/>
  <c r="O3214" i="12"/>
  <c r="O3215" i="12"/>
  <c r="P3214" i="12"/>
  <c r="P3215" i="12"/>
  <c r="O3216" i="12"/>
  <c r="O3217" i="12"/>
  <c r="P3216" i="12"/>
  <c r="O3218" i="12"/>
  <c r="P3217" i="12"/>
  <c r="P3218" i="12"/>
  <c r="O3219" i="12"/>
  <c r="P3219" i="12"/>
  <c r="O3220" i="12"/>
  <c r="O3221" i="12"/>
  <c r="P3220" i="12"/>
  <c r="O3222" i="12"/>
  <c r="P3221" i="12"/>
  <c r="P3222" i="12"/>
  <c r="O3223" i="12"/>
  <c r="P3223" i="12"/>
  <c r="O3224" i="12"/>
  <c r="O3225" i="12"/>
  <c r="P3224" i="12"/>
  <c r="O3226" i="12"/>
  <c r="P3225" i="12"/>
  <c r="O3227" i="12"/>
  <c r="P3226" i="12"/>
  <c r="P3227" i="12"/>
  <c r="O3228" i="12"/>
  <c r="O3229" i="12"/>
  <c r="P3228" i="12"/>
  <c r="O3230" i="12"/>
  <c r="P3229" i="12"/>
  <c r="P3230" i="12"/>
  <c r="O3231" i="12"/>
  <c r="P3231" i="12"/>
  <c r="O3232" i="12"/>
  <c r="O3233" i="12"/>
  <c r="P3232" i="12"/>
  <c r="O3234" i="12"/>
  <c r="P3233" i="12"/>
  <c r="O3235" i="12"/>
  <c r="P3234" i="12"/>
  <c r="P3235" i="12"/>
  <c r="O3236" i="12"/>
  <c r="O3237" i="12"/>
  <c r="P3236" i="12"/>
  <c r="O3238" i="12"/>
  <c r="P3237" i="12"/>
  <c r="P3238" i="12"/>
  <c r="O3239" i="12"/>
  <c r="P3239" i="12"/>
  <c r="O3240" i="12"/>
  <c r="O3241" i="12"/>
  <c r="P3240" i="12"/>
  <c r="P3241" i="12"/>
  <c r="O3242" i="12"/>
  <c r="O3243" i="12"/>
  <c r="P3242" i="12"/>
  <c r="P3243" i="12"/>
  <c r="O3244" i="12"/>
  <c r="O3245" i="12"/>
  <c r="P3244" i="12"/>
  <c r="P3245" i="12"/>
  <c r="O3246" i="12"/>
  <c r="O3247" i="12"/>
  <c r="P3246" i="12"/>
  <c r="P3247" i="12"/>
  <c r="O3248" i="12"/>
  <c r="O3249" i="12"/>
  <c r="P3248" i="12"/>
  <c r="O3250" i="12"/>
  <c r="P3249" i="12"/>
  <c r="O3251" i="12"/>
  <c r="P3250" i="12"/>
  <c r="P3251" i="12"/>
  <c r="O3252" i="12"/>
  <c r="O3253" i="12"/>
  <c r="P3252" i="12"/>
  <c r="O3254" i="12"/>
  <c r="P3253" i="12"/>
  <c r="O3255" i="12"/>
  <c r="P3254" i="12"/>
  <c r="P3255" i="12"/>
  <c r="O3256" i="12"/>
  <c r="O3257" i="12"/>
  <c r="P3256" i="12"/>
  <c r="O3258" i="12"/>
  <c r="P3257" i="12"/>
  <c r="O3259" i="12"/>
  <c r="P3258" i="12"/>
  <c r="P3259" i="12"/>
  <c r="O3260" i="12"/>
  <c r="O3261" i="12"/>
  <c r="P3260" i="12"/>
  <c r="P3261" i="12"/>
  <c r="O3262" i="12"/>
  <c r="O3263" i="12"/>
  <c r="P3262" i="12"/>
  <c r="P3263" i="12"/>
  <c r="O3264" i="12"/>
  <c r="O3265" i="12"/>
  <c r="P3264" i="12"/>
  <c r="P3265" i="12"/>
  <c r="O3266" i="12"/>
  <c r="O3267" i="12"/>
  <c r="P3266" i="12"/>
  <c r="P3267" i="12"/>
  <c r="O3268" i="12"/>
  <c r="O3269" i="12"/>
  <c r="P3268" i="12"/>
  <c r="O3270" i="12"/>
  <c r="P3269" i="12"/>
  <c r="O3271" i="12"/>
  <c r="P3270" i="12"/>
  <c r="P3271" i="12"/>
  <c r="O3272" i="12"/>
  <c r="O3273" i="12"/>
  <c r="P3272" i="12"/>
  <c r="O3274" i="12"/>
  <c r="P3273" i="12"/>
  <c r="O3275" i="12"/>
  <c r="P3274" i="12"/>
  <c r="P3275" i="12"/>
  <c r="O3276" i="12"/>
  <c r="O3277" i="12"/>
  <c r="P3276" i="12"/>
  <c r="P3277" i="12"/>
  <c r="O3278" i="12"/>
  <c r="P3278" i="12"/>
  <c r="O3279" i="12"/>
  <c r="P3279" i="12"/>
  <c r="O3280" i="12"/>
  <c r="O3281" i="12"/>
  <c r="P3280" i="12"/>
  <c r="P3281" i="12"/>
  <c r="O3282" i="12"/>
  <c r="O3283" i="12"/>
  <c r="P3282" i="12"/>
  <c r="P3283" i="12"/>
  <c r="O3284" i="12"/>
  <c r="O3285" i="12"/>
  <c r="P3284" i="12"/>
  <c r="O3286" i="12"/>
  <c r="P3285" i="12"/>
  <c r="P3286" i="12"/>
  <c r="O3287" i="12"/>
  <c r="P3287" i="12"/>
  <c r="O3288" i="12"/>
  <c r="O3289" i="12"/>
  <c r="P3288" i="12"/>
  <c r="O3290" i="12"/>
  <c r="P3289" i="12"/>
  <c r="O3291" i="12"/>
  <c r="P3290" i="12"/>
  <c r="P3291" i="12"/>
  <c r="O3292" i="12"/>
  <c r="O3293" i="12"/>
  <c r="P3292" i="12"/>
  <c r="O3294" i="12"/>
  <c r="P3293" i="12"/>
  <c r="O3295" i="12"/>
  <c r="P3294" i="12"/>
  <c r="P3295" i="12"/>
  <c r="O3296" i="12"/>
  <c r="O3297" i="12"/>
  <c r="P3296" i="12"/>
  <c r="P3297" i="12"/>
  <c r="O3298" i="12"/>
  <c r="O3299" i="12"/>
  <c r="P3298" i="12"/>
  <c r="P3299" i="12"/>
  <c r="O3300" i="12"/>
  <c r="O3301" i="12"/>
  <c r="P3300" i="12"/>
  <c r="O3302" i="12"/>
  <c r="P3301" i="12"/>
  <c r="P3302" i="12"/>
  <c r="O3303" i="12"/>
  <c r="P3303" i="12"/>
  <c r="O3304" i="12"/>
  <c r="O3305" i="12"/>
  <c r="P3304" i="12"/>
  <c r="O3306" i="12"/>
  <c r="P3305" i="12"/>
  <c r="O3307" i="12"/>
  <c r="P3306" i="12"/>
  <c r="P3307" i="12"/>
  <c r="O3308" i="12"/>
  <c r="O3309" i="12"/>
  <c r="P3308" i="12"/>
  <c r="P3309" i="12"/>
  <c r="O3310" i="12"/>
  <c r="O3311" i="12"/>
  <c r="P3310" i="12"/>
  <c r="P3311" i="12"/>
  <c r="O3312" i="12"/>
  <c r="O3313" i="12"/>
  <c r="P3312" i="12"/>
  <c r="P3313" i="12"/>
  <c r="O3314" i="12"/>
  <c r="P3314" i="12"/>
  <c r="O3315" i="12"/>
  <c r="P3315" i="12"/>
  <c r="O3316" i="12"/>
  <c r="O3317" i="12"/>
  <c r="P3316" i="12"/>
  <c r="O3318" i="12"/>
  <c r="P3317" i="12"/>
  <c r="P3318" i="12"/>
  <c r="O3319" i="12"/>
  <c r="P3319" i="12"/>
  <c r="O3320" i="12"/>
  <c r="O3321" i="12"/>
  <c r="P3320" i="12"/>
  <c r="P3321" i="12"/>
  <c r="O3322" i="12"/>
  <c r="O3323" i="12"/>
  <c r="P3322" i="12"/>
  <c r="P3323" i="12"/>
  <c r="O3324" i="12"/>
  <c r="O3325" i="12"/>
  <c r="P3324" i="12"/>
  <c r="O3326" i="12"/>
  <c r="P3325" i="12"/>
  <c r="O3327" i="12"/>
  <c r="P3326" i="12"/>
  <c r="P3327" i="12"/>
  <c r="O3328" i="12"/>
  <c r="O3329" i="12"/>
  <c r="P3328" i="12"/>
  <c r="O3330" i="12"/>
  <c r="P3329" i="12"/>
  <c r="O3331" i="12"/>
  <c r="P3330" i="12"/>
  <c r="P3331" i="12"/>
  <c r="O3332" i="12"/>
  <c r="O3333" i="12"/>
  <c r="P3332" i="12"/>
  <c r="O3334" i="12"/>
  <c r="P3333" i="12"/>
  <c r="O3335" i="12"/>
  <c r="P3334" i="12"/>
  <c r="P3335" i="12"/>
  <c r="O3336" i="12"/>
  <c r="O3337" i="12"/>
  <c r="P3336" i="12"/>
  <c r="O3338" i="12"/>
  <c r="P3337" i="12"/>
  <c r="O3339" i="12"/>
  <c r="P3338" i="12"/>
  <c r="P3339" i="12"/>
  <c r="O3340" i="12"/>
  <c r="O3341" i="12"/>
  <c r="P3340" i="12"/>
  <c r="P3341" i="12"/>
  <c r="O3342" i="12"/>
  <c r="O3343" i="12"/>
  <c r="P3342" i="12"/>
  <c r="P3343" i="12"/>
  <c r="O3344" i="12"/>
  <c r="O3345" i="12"/>
  <c r="P3344" i="12"/>
  <c r="O3346" i="12"/>
  <c r="P3345" i="12"/>
  <c r="O3347" i="12"/>
  <c r="P3346" i="12"/>
  <c r="P3347" i="12"/>
  <c r="O3348" i="12"/>
  <c r="P3348" i="12"/>
  <c r="O3349" i="12"/>
  <c r="O3350" i="12"/>
  <c r="P3349" i="12"/>
  <c r="O3351" i="12"/>
  <c r="P3350" i="12"/>
  <c r="P3351" i="12"/>
  <c r="O3352" i="12"/>
  <c r="O3353" i="12"/>
  <c r="P3352" i="12"/>
  <c r="O3354" i="12"/>
  <c r="P3353" i="12"/>
  <c r="O3355" i="12"/>
  <c r="P3354" i="12"/>
  <c r="P3355" i="12"/>
  <c r="O3356" i="12"/>
  <c r="P3356" i="12"/>
  <c r="O3357" i="12"/>
  <c r="P3357" i="12"/>
  <c r="O3358" i="12"/>
  <c r="O3359" i="12"/>
  <c r="P3358" i="12"/>
  <c r="P3359" i="12"/>
  <c r="O3360" i="12"/>
  <c r="O3361" i="12"/>
  <c r="P3360" i="12"/>
  <c r="O3362" i="12"/>
  <c r="P3361" i="12"/>
  <c r="O3363" i="12"/>
  <c r="P3362" i="12"/>
  <c r="P3363" i="12"/>
  <c r="O3364" i="12"/>
  <c r="O3365" i="12"/>
  <c r="P3364" i="12"/>
  <c r="O3366" i="12"/>
  <c r="P3365" i="12"/>
  <c r="P3366" i="12"/>
  <c r="O3367" i="12"/>
  <c r="P3367" i="12"/>
  <c r="O3368" i="12"/>
  <c r="O3369" i="12"/>
  <c r="P3368" i="12"/>
  <c r="P3369" i="12"/>
  <c r="O3370" i="12"/>
  <c r="O3371" i="12"/>
  <c r="P3370" i="12"/>
  <c r="P3371" i="12"/>
  <c r="O3372" i="12"/>
  <c r="O3373" i="12"/>
  <c r="P3372" i="12"/>
  <c r="P3373" i="12"/>
  <c r="O3374" i="12"/>
  <c r="O3375" i="12"/>
  <c r="P3374" i="12"/>
  <c r="P3375" i="12"/>
  <c r="O3376" i="12"/>
  <c r="O3377" i="12"/>
  <c r="P3376" i="12"/>
  <c r="O3378" i="12"/>
  <c r="P3377" i="12"/>
  <c r="O3379" i="12"/>
  <c r="P3378" i="12"/>
  <c r="P3379" i="12"/>
  <c r="O3380" i="12"/>
  <c r="P3380" i="12"/>
  <c r="O3381" i="12"/>
  <c r="O3382" i="12"/>
  <c r="P3381" i="12"/>
  <c r="O3383" i="12"/>
  <c r="P3382" i="12"/>
  <c r="P3383" i="12"/>
  <c r="O3384" i="12"/>
  <c r="O3385" i="12"/>
  <c r="P3384" i="12"/>
  <c r="O3386" i="12"/>
  <c r="P3385" i="12"/>
  <c r="O3387" i="12"/>
  <c r="P3386" i="12"/>
  <c r="P3387" i="12"/>
  <c r="O3388" i="12"/>
  <c r="P3388" i="12"/>
  <c r="O3389" i="12"/>
  <c r="P3389" i="12"/>
  <c r="O3390" i="12"/>
  <c r="O3391" i="12"/>
  <c r="P3390" i="12"/>
  <c r="P3391" i="12"/>
  <c r="O3392" i="12"/>
  <c r="O3393" i="12"/>
  <c r="P3392" i="12"/>
  <c r="O3394" i="12"/>
  <c r="P3393" i="12"/>
  <c r="O3395" i="12"/>
  <c r="P3394" i="12"/>
  <c r="P3395" i="12"/>
  <c r="O3396" i="12"/>
  <c r="P3396" i="12"/>
  <c r="O3397" i="12"/>
  <c r="P3397" i="12"/>
  <c r="O3398" i="12"/>
  <c r="P3398" i="12"/>
  <c r="O3399" i="12"/>
  <c r="P3399" i="12"/>
  <c r="O3400" i="12"/>
  <c r="O3401" i="12"/>
  <c r="P3400" i="12"/>
  <c r="O3402" i="12"/>
  <c r="P3401" i="12"/>
  <c r="P3402" i="12"/>
  <c r="O3403" i="12"/>
  <c r="P3403" i="12"/>
  <c r="O3404" i="12"/>
  <c r="P3404" i="12"/>
  <c r="O3405" i="12"/>
  <c r="O3406" i="12"/>
  <c r="P3405" i="12"/>
  <c r="P3406" i="12"/>
  <c r="O3407" i="12"/>
  <c r="P3407" i="12"/>
  <c r="O3408" i="12"/>
  <c r="O3409" i="12"/>
  <c r="P3408" i="12"/>
  <c r="O3410" i="12"/>
  <c r="P3409" i="12"/>
  <c r="P3410" i="12"/>
  <c r="O3411" i="12"/>
  <c r="P3411" i="12"/>
  <c r="O3412" i="12"/>
  <c r="P3412" i="12"/>
  <c r="O3413" i="12"/>
  <c r="O3414" i="12"/>
  <c r="P3413" i="12"/>
  <c r="O3415" i="12"/>
  <c r="P3414" i="12"/>
  <c r="P3415" i="12"/>
  <c r="O3416" i="12"/>
  <c r="P3416" i="12"/>
  <c r="O3417" i="12"/>
  <c r="O3418" i="12"/>
  <c r="P3417" i="12"/>
  <c r="O3419" i="12"/>
  <c r="P3418" i="12"/>
  <c r="P3419" i="12"/>
  <c r="O3420" i="12"/>
  <c r="O3421" i="12"/>
  <c r="P3420" i="12"/>
  <c r="P3421" i="12"/>
  <c r="O3422" i="12"/>
  <c r="O3423" i="12"/>
  <c r="P3422" i="12"/>
  <c r="P3423" i="12"/>
  <c r="O3424" i="12"/>
  <c r="O3425" i="12"/>
  <c r="P3424" i="12"/>
  <c r="O3426" i="12"/>
  <c r="P3425" i="12"/>
  <c r="O3427" i="12"/>
  <c r="P3426" i="12"/>
  <c r="P3427" i="12"/>
  <c r="O3428" i="12"/>
  <c r="O3429" i="12"/>
  <c r="P3428" i="12"/>
  <c r="O3430" i="12"/>
  <c r="P3429" i="12"/>
  <c r="P3430" i="12"/>
  <c r="O3431" i="12"/>
  <c r="P3431" i="12"/>
  <c r="O3432" i="12"/>
  <c r="O3433" i="12"/>
  <c r="P3432" i="12"/>
  <c r="O3434" i="12"/>
  <c r="P3433" i="12"/>
  <c r="P3434" i="12"/>
  <c r="O3435" i="12"/>
  <c r="P3435" i="12"/>
  <c r="O3436" i="12"/>
  <c r="O3437" i="12"/>
  <c r="P3436" i="12"/>
  <c r="O3438" i="12"/>
  <c r="P3437" i="12"/>
  <c r="O3439" i="12"/>
  <c r="P3438" i="12"/>
  <c r="P3439" i="12"/>
  <c r="O3440" i="12"/>
  <c r="O3441" i="12"/>
  <c r="P3440" i="12"/>
  <c r="O3442" i="12"/>
  <c r="P3441" i="12"/>
  <c r="O3443" i="12"/>
  <c r="P3442" i="12"/>
  <c r="O3444" i="12"/>
  <c r="P3443" i="12"/>
  <c r="O3445" i="12"/>
  <c r="P3444" i="12"/>
  <c r="O3446" i="12"/>
  <c r="P3445" i="12"/>
  <c r="P3446" i="12"/>
  <c r="O3447" i="12"/>
  <c r="P3447" i="12"/>
  <c r="O3448" i="12"/>
  <c r="O3449" i="12"/>
  <c r="P3448" i="12"/>
  <c r="O3450" i="12"/>
  <c r="P3449" i="12"/>
  <c r="P3450" i="12"/>
  <c r="O3451" i="12"/>
  <c r="O3452" i="12"/>
  <c r="P3451" i="12"/>
  <c r="O3453" i="12"/>
  <c r="P3452" i="12"/>
  <c r="O3454" i="12"/>
  <c r="P3453" i="12"/>
  <c r="O3455" i="12"/>
  <c r="P3454" i="12"/>
  <c r="O3456" i="12"/>
  <c r="P3455" i="12"/>
  <c r="O3457" i="12"/>
  <c r="P3456" i="12"/>
  <c r="O3458" i="12"/>
  <c r="P3457" i="12"/>
  <c r="P3458" i="12"/>
  <c r="O3459" i="12"/>
  <c r="O3460" i="12"/>
  <c r="P3459" i="12"/>
  <c r="O3461" i="12"/>
  <c r="P3460" i="12"/>
  <c r="O3462" i="12"/>
  <c r="P3461" i="12"/>
  <c r="P3462" i="12"/>
  <c r="O3463" i="12"/>
  <c r="P3463" i="12"/>
  <c r="O3464" i="12"/>
  <c r="O3465" i="12"/>
  <c r="P3464" i="12"/>
  <c r="O3466" i="12"/>
  <c r="P3465" i="12"/>
  <c r="O3467" i="12"/>
  <c r="P3466" i="12"/>
  <c r="O3468" i="12"/>
  <c r="P3467" i="12"/>
  <c r="O3469" i="12"/>
  <c r="P3468" i="12"/>
  <c r="O3470" i="12"/>
  <c r="P3469" i="12"/>
  <c r="P3470" i="12"/>
  <c r="O3471" i="12"/>
  <c r="P3471" i="12"/>
  <c r="O3472" i="12"/>
  <c r="O3473" i="12"/>
  <c r="P3472" i="12"/>
  <c r="O3474" i="12"/>
  <c r="P3473" i="12"/>
  <c r="O3475" i="12"/>
  <c r="P3474" i="12"/>
  <c r="P3475" i="12"/>
  <c r="O3476" i="12"/>
  <c r="O3477" i="12"/>
  <c r="P3476" i="12"/>
  <c r="O3478" i="12"/>
  <c r="P3477" i="12"/>
  <c r="P3478" i="12"/>
  <c r="O3479" i="12"/>
  <c r="O3480" i="12"/>
  <c r="P3479" i="12"/>
  <c r="O3481" i="12"/>
  <c r="P3480" i="12"/>
  <c r="O3482" i="12"/>
  <c r="P3481" i="12"/>
  <c r="O3483" i="12"/>
  <c r="P3482" i="12"/>
  <c r="O3484" i="12"/>
  <c r="P3483" i="12"/>
  <c r="O3485" i="12"/>
  <c r="P3484" i="12"/>
  <c r="O3486" i="12"/>
  <c r="P3485" i="12"/>
  <c r="P3486" i="12"/>
  <c r="O3487" i="12"/>
  <c r="O3488" i="12"/>
  <c r="P3487" i="12"/>
  <c r="O3489" i="12"/>
  <c r="P3488" i="12"/>
  <c r="O3490" i="12"/>
  <c r="P3489" i="12"/>
  <c r="O3491" i="12"/>
  <c r="P3490" i="12"/>
  <c r="O3492" i="12"/>
  <c r="P3491" i="12"/>
  <c r="O3493" i="12"/>
  <c r="P3492" i="12"/>
  <c r="O3494" i="12"/>
  <c r="P3493" i="12"/>
  <c r="P3494" i="12"/>
  <c r="O3495" i="12"/>
  <c r="O3496" i="12"/>
  <c r="P3495" i="12"/>
  <c r="O3497" i="12"/>
  <c r="P3496" i="12"/>
  <c r="O3498" i="12"/>
  <c r="P3497" i="12"/>
  <c r="O3499" i="12"/>
  <c r="P3498" i="12"/>
  <c r="P3499" i="12"/>
  <c r="O3500" i="12"/>
  <c r="O3501" i="12"/>
  <c r="P3500" i="12"/>
  <c r="O3502" i="12"/>
  <c r="P3501" i="12"/>
  <c r="O3503" i="12"/>
  <c r="P3502" i="12"/>
  <c r="P3503" i="12"/>
  <c r="O3504" i="12"/>
  <c r="O3505" i="12"/>
  <c r="P3504" i="12"/>
  <c r="O3506" i="12"/>
  <c r="P3505" i="12"/>
  <c r="O3507" i="12"/>
  <c r="P3506" i="12"/>
  <c r="O3508" i="12"/>
  <c r="P3507" i="12"/>
  <c r="O3509" i="12"/>
  <c r="P3508" i="12"/>
  <c r="O3510" i="12"/>
  <c r="P3509" i="12"/>
  <c r="P3510" i="12"/>
  <c r="O3511" i="12"/>
  <c r="O3512" i="12"/>
  <c r="P3511" i="12"/>
  <c r="O3513" i="12"/>
  <c r="P3512" i="12"/>
  <c r="O3514" i="12"/>
  <c r="P3513" i="12"/>
  <c r="O3515" i="12"/>
  <c r="P3514" i="12"/>
  <c r="O3516" i="12"/>
  <c r="P3515" i="12"/>
  <c r="O3517" i="12"/>
  <c r="P3516" i="12"/>
  <c r="O3518" i="12"/>
  <c r="P3517" i="12"/>
  <c r="O3519" i="12"/>
  <c r="P3518" i="12"/>
  <c r="O3520" i="12"/>
  <c r="P3519" i="12"/>
  <c r="O3521" i="12"/>
  <c r="P3520" i="12"/>
  <c r="O3522" i="12"/>
  <c r="P3521" i="12"/>
  <c r="O3523" i="12"/>
  <c r="P3522" i="12"/>
  <c r="O3524" i="12"/>
  <c r="P3523" i="12"/>
  <c r="O3525" i="12"/>
  <c r="P3524" i="12"/>
  <c r="O3526" i="12"/>
  <c r="P3525" i="12"/>
  <c r="O3527" i="12"/>
  <c r="P3526" i="12"/>
  <c r="O3528" i="12"/>
  <c r="P3527" i="12"/>
  <c r="O3529" i="12"/>
  <c r="P3528" i="12"/>
  <c r="O3530" i="12"/>
  <c r="P3529" i="12"/>
  <c r="O3531" i="12"/>
  <c r="P3530" i="12"/>
  <c r="O3532" i="12"/>
  <c r="P3531" i="12"/>
  <c r="O3533" i="12"/>
  <c r="P3532" i="12"/>
  <c r="O3534" i="12"/>
  <c r="P3533" i="12"/>
  <c r="P3534" i="12"/>
  <c r="O3535" i="12"/>
  <c r="P3535" i="12"/>
  <c r="O3536" i="12"/>
  <c r="O3537" i="12"/>
  <c r="P3536" i="12"/>
  <c r="O3538" i="12"/>
  <c r="P3537" i="12"/>
  <c r="P3538" i="12"/>
  <c r="O3539" i="12"/>
  <c r="P3539" i="12"/>
  <c r="O3540" i="12"/>
  <c r="O3541" i="12"/>
  <c r="P3540" i="12"/>
  <c r="O3542" i="12"/>
  <c r="P3541" i="12"/>
  <c r="P3542" i="12"/>
  <c r="O3543" i="12"/>
  <c r="P3543" i="12"/>
  <c r="O3544" i="12"/>
  <c r="O3545" i="12"/>
  <c r="P3544" i="12"/>
  <c r="O3546" i="12"/>
  <c r="P3545" i="12"/>
  <c r="P3546" i="12"/>
  <c r="O3547" i="12"/>
  <c r="O3548" i="12"/>
  <c r="P3547" i="12"/>
  <c r="O3549" i="12"/>
  <c r="P3548" i="12"/>
  <c r="O3550" i="12"/>
  <c r="P3549" i="12"/>
  <c r="O3551" i="12"/>
  <c r="P3550" i="12"/>
  <c r="O3552" i="12"/>
  <c r="P3551" i="12"/>
  <c r="Q19" i="12" a="1"/>
  <c r="P3552" i="12"/>
  <c r="Q2656" i="12" l="1"/>
  <c r="Q986" i="12"/>
  <c r="Q3520" i="12"/>
  <c r="Q1767" i="12"/>
  <c r="Q525" i="12"/>
  <c r="Q210" i="12"/>
  <c r="Q169" i="12"/>
  <c r="Q2180" i="12"/>
  <c r="Q1621" i="12"/>
  <c r="Q1810" i="12"/>
  <c r="Q1787" i="12"/>
  <c r="Q296" i="12"/>
  <c r="Q3425" i="12"/>
  <c r="Q1263" i="12"/>
  <c r="Q3097" i="12"/>
  <c r="Q2384" i="12"/>
  <c r="Q2685" i="12"/>
  <c r="Q881" i="12"/>
  <c r="Q2362" i="12"/>
  <c r="Q754" i="12"/>
  <c r="Q1853" i="12"/>
  <c r="Q2538" i="12"/>
  <c r="Q965" i="12"/>
  <c r="Q1152" i="12"/>
  <c r="Q3213" i="12"/>
  <c r="Q918" i="12"/>
  <c r="Q1914" i="12"/>
  <c r="Q446" i="12"/>
  <c r="Q423" i="12"/>
  <c r="Q1573" i="12"/>
  <c r="Q1950" i="12"/>
  <c r="Q3353" i="12"/>
  <c r="Q460" i="12"/>
  <c r="Q1088" i="12"/>
  <c r="Q208" i="12"/>
  <c r="Q3500" i="12"/>
  <c r="Q2483" i="12"/>
  <c r="Q135" i="12"/>
  <c r="Q1358" i="12"/>
  <c r="Q1343" i="12"/>
  <c r="Q1870" i="12"/>
  <c r="Q2716" i="12"/>
  <c r="Q3434" i="12"/>
  <c r="Q363" i="12"/>
  <c r="Q1026" i="12"/>
  <c r="Q724" i="12"/>
  <c r="Q604" i="12"/>
  <c r="Q1012" i="12"/>
  <c r="Q871" i="12"/>
  <c r="Q1404" i="12"/>
  <c r="Q2884" i="12"/>
  <c r="Q3526" i="12"/>
  <c r="Q2217" i="12"/>
  <c r="Q2785" i="12"/>
  <c r="Q1850" i="12"/>
  <c r="Q1313" i="12"/>
  <c r="Q3106" i="12"/>
  <c r="Q2325" i="12"/>
  <c r="Q648" i="12"/>
  <c r="Q772" i="12"/>
  <c r="Q2427" i="12"/>
  <c r="Q1879" i="12"/>
  <c r="Q1561" i="12"/>
  <c r="Q2792" i="12"/>
  <c r="Q1719" i="12"/>
  <c r="Q3045" i="12"/>
  <c r="Q2367" i="12"/>
  <c r="Q2607" i="12"/>
  <c r="Q1059" i="12"/>
  <c r="Q1584" i="12"/>
  <c r="Q506" i="12"/>
  <c r="Q2364" i="12"/>
  <c r="Q1115" i="12"/>
  <c r="Q2606" i="12"/>
  <c r="Q2045" i="12"/>
  <c r="Q2219" i="12"/>
  <c r="Q665" i="12"/>
  <c r="Q3372" i="12"/>
  <c r="Q722" i="12"/>
  <c r="Q2956" i="12"/>
  <c r="Q2149" i="12"/>
  <c r="Q3328" i="12"/>
  <c r="Q78" i="12"/>
  <c r="Q3335" i="12"/>
  <c r="Q958" i="12"/>
  <c r="Q302" i="12"/>
  <c r="Q827" i="12"/>
  <c r="Q2040" i="12"/>
  <c r="Q2885" i="12"/>
  <c r="Q3012" i="12"/>
  <c r="Q1854" i="12"/>
  <c r="Q2155" i="12"/>
  <c r="Q452" i="12"/>
  <c r="Q1275" i="12"/>
  <c r="Q612" i="12"/>
  <c r="Q1097" i="12"/>
  <c r="Q2248" i="12"/>
  <c r="Q1337" i="12"/>
  <c r="Q55" i="12"/>
  <c r="Q289" i="12"/>
  <c r="Q522" i="12"/>
  <c r="Q2507" i="12"/>
  <c r="Q38" i="12"/>
  <c r="Q2309" i="12"/>
  <c r="Q2694" i="12"/>
  <c r="Q3452" i="12"/>
  <c r="Q1457" i="12"/>
  <c r="Q1775" i="12"/>
  <c r="Q286" i="12"/>
  <c r="Q2695" i="12"/>
  <c r="Q2078" i="12"/>
  <c r="Q2831" i="12"/>
  <c r="Q3506" i="12"/>
  <c r="Q753" i="12"/>
  <c r="Q1511" i="12"/>
  <c r="Q2564" i="12"/>
  <c r="Q1007" i="12"/>
  <c r="Q3416" i="12"/>
  <c r="Q1374" i="12"/>
  <c r="Q624" i="12"/>
  <c r="Q1554" i="12"/>
  <c r="Q2534" i="12"/>
  <c r="Q1003" i="12"/>
  <c r="Q1342" i="12"/>
  <c r="Q2264" i="12"/>
  <c r="Q2202" i="12"/>
  <c r="Q1648" i="12"/>
  <c r="Q2592" i="12"/>
  <c r="Q1710" i="12"/>
  <c r="Q1794" i="12"/>
  <c r="Q3078" i="12"/>
  <c r="Q2820" i="12"/>
  <c r="Q270" i="12"/>
  <c r="Q682" i="12"/>
  <c r="Q1532" i="12"/>
  <c r="Q781" i="12"/>
  <c r="Q1571" i="12"/>
  <c r="Q2857" i="12"/>
  <c r="Q1050" i="12"/>
  <c r="Q3253" i="12"/>
  <c r="Q1261" i="12"/>
  <c r="Q1254" i="12"/>
  <c r="Q3363" i="12"/>
  <c r="Q2713" i="12"/>
  <c r="Q553" i="12"/>
  <c r="Q465" i="12"/>
  <c r="Q1778" i="12"/>
  <c r="Q2653" i="12"/>
  <c r="Q2745" i="12"/>
  <c r="Q3222" i="12"/>
  <c r="Q2029" i="12"/>
  <c r="Q3334" i="12"/>
  <c r="Q511" i="12"/>
  <c r="Q3248" i="12"/>
  <c r="Q256" i="12"/>
  <c r="Q1958" i="12"/>
  <c r="Q2624" i="12"/>
  <c r="Q1688" i="12"/>
  <c r="Q64" i="12"/>
  <c r="Q3453" i="12"/>
  <c r="Q2321" i="12"/>
  <c r="Q77" i="12"/>
  <c r="Q1500" i="12"/>
  <c r="Q531" i="12"/>
  <c r="Q2906" i="12"/>
  <c r="Q1732" i="12"/>
  <c r="Q1952" i="12"/>
  <c r="Q1605" i="12"/>
  <c r="Q2769" i="12"/>
  <c r="Q1547" i="12"/>
  <c r="Q2270" i="12"/>
  <c r="Q3091" i="12"/>
  <c r="Q306" i="12"/>
  <c r="Q2271" i="12"/>
  <c r="Q1819" i="12"/>
  <c r="Q2597" i="12"/>
  <c r="Q2318" i="12"/>
  <c r="Q1537" i="12"/>
  <c r="Q1371" i="12"/>
  <c r="Q885" i="12"/>
  <c r="Q2170" i="12"/>
  <c r="Q1597" i="12"/>
  <c r="Q1725" i="12"/>
  <c r="Q1582" i="12"/>
  <c r="Q1893" i="12"/>
  <c r="Q22" i="12"/>
  <c r="Q280" i="12"/>
  <c r="Q197" i="12"/>
  <c r="Q3005" i="12"/>
  <c r="Q82" i="12"/>
  <c r="Q2949" i="12"/>
  <c r="Q877" i="12"/>
  <c r="Q3225" i="12"/>
  <c r="Q113" i="12"/>
  <c r="Q637" i="12"/>
  <c r="Q2662" i="12"/>
  <c r="Q1564" i="12"/>
  <c r="Q1414" i="12"/>
  <c r="Q2314" i="12"/>
  <c r="Q2760" i="12"/>
  <c r="Q696" i="12"/>
  <c r="Q487" i="12"/>
  <c r="Q354" i="12"/>
  <c r="Q1984" i="12"/>
  <c r="Q2380" i="12"/>
  <c r="Q876" i="12"/>
  <c r="Q2997" i="12"/>
  <c r="Q1350" i="12"/>
  <c r="Q1162" i="12"/>
  <c r="Q2765" i="12"/>
  <c r="Q2259" i="12"/>
  <c r="Q1692" i="12"/>
  <c r="Q727" i="12"/>
  <c r="Q2079" i="12"/>
  <c r="Q3260" i="12"/>
  <c r="Q3348" i="12"/>
  <c r="Q3113" i="12"/>
  <c r="Q874" i="12"/>
  <c r="Q3467" i="12"/>
  <c r="Q2360" i="12"/>
  <c r="Q2023" i="12"/>
  <c r="Q1558" i="12"/>
  <c r="Q225" i="12"/>
  <c r="Q200" i="12"/>
  <c r="Q238" i="12"/>
  <c r="Q167" i="12"/>
  <c r="Q1977" i="12"/>
  <c r="Q2140" i="12"/>
  <c r="Q3109" i="12"/>
  <c r="Q2426" i="12"/>
  <c r="Q2187" i="12"/>
  <c r="Q3197" i="12"/>
  <c r="Q81" i="12"/>
  <c r="Q3407" i="12"/>
  <c r="Q352" i="12"/>
  <c r="Q2388" i="12"/>
  <c r="Q1578" i="12"/>
  <c r="Q205" i="12"/>
  <c r="Q3516" i="12"/>
  <c r="Q1258" i="12"/>
  <c r="Q1998" i="12"/>
  <c r="Q1488" i="12"/>
  <c r="Q1183" i="12"/>
  <c r="Q1698" i="12"/>
  <c r="Q983" i="12"/>
  <c r="Q1293" i="12"/>
  <c r="Q3125" i="12"/>
  <c r="Q1599" i="12"/>
  <c r="Q1284" i="12"/>
  <c r="Q3330" i="12"/>
  <c r="Q497" i="12"/>
  <c r="Q938" i="12"/>
  <c r="Q2060" i="12"/>
  <c r="Q1822" i="12"/>
  <c r="Q2466" i="12"/>
  <c r="Q2531" i="12"/>
  <c r="Q454" i="12"/>
  <c r="Q3205" i="12"/>
  <c r="Q524" i="12"/>
  <c r="Q2939" i="12"/>
  <c r="Q2033" i="12"/>
  <c r="Q2967" i="12"/>
  <c r="Q1570" i="12"/>
  <c r="Q2703" i="12"/>
  <c r="Q3333" i="12"/>
  <c r="Q3447" i="12"/>
  <c r="Q187" i="12"/>
  <c r="Q1058" i="12"/>
  <c r="Q1318" i="12"/>
  <c r="Q3142" i="12"/>
  <c r="Q3374" i="12"/>
  <c r="Q1364" i="12"/>
  <c r="Q145" i="12"/>
  <c r="Q1168" i="12"/>
  <c r="Q291" i="12"/>
  <c r="Q3061" i="12"/>
  <c r="Q2772" i="12"/>
  <c r="Q926" i="12"/>
  <c r="Q104" i="12"/>
  <c r="Q2978" i="12"/>
  <c r="Q567" i="12"/>
  <c r="Q2056" i="12"/>
  <c r="Q1150" i="12"/>
  <c r="Q1474" i="12"/>
  <c r="Q3174" i="12"/>
  <c r="Q3221" i="12"/>
  <c r="Q1784" i="12"/>
  <c r="Q1686" i="12"/>
  <c r="Q1158" i="12"/>
  <c r="Q3437" i="12"/>
  <c r="Q3382" i="12"/>
  <c r="Q964" i="12"/>
  <c r="Q1781" i="12"/>
  <c r="Q3150" i="12"/>
  <c r="Q2246" i="12"/>
  <c r="Q2240" i="12"/>
  <c r="Q2528" i="12"/>
  <c r="Q2858" i="12"/>
  <c r="Q450" i="12"/>
  <c r="Q730" i="12"/>
  <c r="Q523" i="12"/>
  <c r="Q129" i="12"/>
  <c r="Q2543" i="12"/>
  <c r="Q1799" i="12"/>
  <c r="Q156" i="12"/>
  <c r="Q318" i="12"/>
  <c r="Q2003" i="12"/>
  <c r="Q1826" i="12"/>
  <c r="Q1389" i="12"/>
  <c r="Q3508" i="12"/>
  <c r="Q1028" i="12"/>
  <c r="Q2042" i="12"/>
  <c r="Q1915" i="12"/>
  <c r="Q2833" i="12"/>
  <c r="Q3383" i="12"/>
  <c r="Q1796" i="12"/>
  <c r="Q1809" i="12"/>
  <c r="Q1482" i="12"/>
  <c r="Q2942" i="12"/>
  <c r="Q2447" i="12"/>
  <c r="Q2611" i="12"/>
  <c r="Q148" i="12"/>
  <c r="Q136" i="12"/>
  <c r="Q3074" i="12"/>
  <c r="Q2307" i="12"/>
  <c r="Q1310" i="12"/>
  <c r="Q3510" i="12"/>
  <c r="Q405" i="12"/>
  <c r="Q3373" i="12"/>
  <c r="Q1283" i="12"/>
  <c r="Q597" i="12"/>
  <c r="Q710" i="12"/>
  <c r="Q2558" i="12"/>
  <c r="Q2377" i="12"/>
  <c r="Q3410" i="12"/>
  <c r="Q504" i="12"/>
  <c r="Q2021" i="12"/>
  <c r="Q2902" i="12"/>
  <c r="Q3216" i="12"/>
  <c r="Q275" i="12"/>
  <c r="Q1656" i="12"/>
  <c r="Q1289" i="12"/>
  <c r="Q1839" i="12"/>
  <c r="Q1535" i="12"/>
  <c r="Q515" i="12"/>
  <c r="Q320" i="12"/>
  <c r="Q3460" i="12"/>
  <c r="Q168" i="12"/>
  <c r="Q401" i="12"/>
  <c r="Q3486" i="12"/>
  <c r="Q122" i="12"/>
  <c r="Q2594" i="12"/>
  <c r="Q1409" i="12"/>
  <c r="Q2861" i="12"/>
  <c r="Q2807" i="12"/>
  <c r="Q2062" i="12"/>
  <c r="Q2000" i="12"/>
  <c r="Q646" i="12"/>
  <c r="Q2146" i="12"/>
  <c r="Q1771" i="12"/>
  <c r="Q1040" i="12"/>
  <c r="Q3319" i="12"/>
  <c r="Q248" i="12"/>
  <c r="Q1953" i="12"/>
  <c r="Q2376" i="12"/>
  <c r="Q2220" i="12"/>
  <c r="Q1531" i="12"/>
  <c r="Q1812" i="12"/>
  <c r="Q661" i="12"/>
  <c r="Q2366" i="12"/>
  <c r="Q1042" i="12"/>
  <c r="Q2771" i="12"/>
  <c r="Q2361" i="12"/>
  <c r="Q127" i="12"/>
  <c r="Q788" i="12"/>
  <c r="Q1791" i="12"/>
  <c r="Q2138" i="12"/>
  <c r="Q630" i="12"/>
  <c r="Q2372" i="12"/>
  <c r="Q2951" i="12"/>
  <c r="Q469" i="12"/>
  <c r="Q3549" i="12"/>
  <c r="Q2790" i="12"/>
  <c r="Q1577" i="12"/>
  <c r="Q2098" i="12"/>
  <c r="Q1353" i="12"/>
  <c r="Q2165" i="12"/>
  <c r="Q1598" i="12"/>
  <c r="Q1962" i="12"/>
  <c r="Q3262" i="12"/>
  <c r="Q529" i="12"/>
  <c r="Q2636" i="12"/>
  <c r="Q1927" i="12"/>
  <c r="Q3067" i="12"/>
  <c r="Q2027" i="12"/>
  <c r="Q737" i="12"/>
  <c r="Q1351" i="12"/>
  <c r="Q1013" i="12"/>
  <c r="Q262" i="12"/>
  <c r="Q1256" i="12"/>
  <c r="Q278" i="12"/>
  <c r="Q3153" i="12"/>
  <c r="Q2777" i="12"/>
  <c r="Q3132" i="12"/>
  <c r="Q994" i="12"/>
  <c r="Q1051" i="12"/>
  <c r="Q3482" i="12"/>
  <c r="Q1228" i="12"/>
  <c r="Q1764" i="12"/>
  <c r="Q3235" i="12"/>
  <c r="Q2837" i="12"/>
  <c r="Q3210" i="12"/>
  <c r="Q2390" i="12"/>
  <c r="Q2638" i="12"/>
  <c r="Q2200" i="12"/>
  <c r="Q501" i="12"/>
  <c r="Q146" i="12"/>
  <c r="Q1070" i="12"/>
  <c r="Q1860" i="12"/>
  <c r="Q1930" i="12"/>
  <c r="Q348" i="12"/>
  <c r="Q470" i="12"/>
  <c r="Q2464" i="12"/>
  <c r="Q2894" i="12"/>
  <c r="Q2011" i="12"/>
  <c r="Q1631" i="12"/>
  <c r="Q2194" i="12"/>
  <c r="Q232" i="12"/>
  <c r="Q3139" i="12"/>
  <c r="Q1590" i="12"/>
  <c r="Q726" i="12"/>
  <c r="Q1092" i="12"/>
  <c r="Q1292" i="12"/>
  <c r="Q686" i="12"/>
  <c r="Q2174" i="12"/>
  <c r="Q1243" i="12"/>
  <c r="Q2842" i="12"/>
  <c r="Q1143" i="12"/>
  <c r="Q709" i="12"/>
  <c r="Q2879" i="12"/>
  <c r="Q326" i="12"/>
  <c r="Q1865" i="12"/>
  <c r="Q2918" i="12"/>
  <c r="Q2005" i="12"/>
  <c r="Q3199" i="12"/>
  <c r="Q1895" i="12"/>
  <c r="Q2589" i="12"/>
  <c r="Q734" i="12"/>
  <c r="Q1506" i="12"/>
  <c r="Q1329" i="12"/>
  <c r="Q1563" i="12"/>
  <c r="Q2877" i="12"/>
  <c r="Q2024" i="12"/>
  <c r="Q3332" i="12"/>
  <c r="Q931" i="12"/>
  <c r="Q267" i="12"/>
  <c r="Q1521" i="12"/>
  <c r="Q1691" i="12"/>
  <c r="Q988" i="12"/>
  <c r="Q1173" i="12"/>
  <c r="Q3018" i="12"/>
  <c r="Q76" i="12"/>
  <c r="Q3023" i="12"/>
  <c r="Q1723" i="12"/>
  <c r="Q2874" i="12"/>
  <c r="Q2162" i="12"/>
  <c r="Q1534" i="12"/>
  <c r="Q2014" i="12"/>
  <c r="Q1302" i="12"/>
  <c r="Q155" i="12"/>
  <c r="Q1112" i="12"/>
  <c r="Q1528" i="12"/>
  <c r="Q2347" i="12"/>
  <c r="Q1083" i="12"/>
  <c r="Q644" i="12"/>
  <c r="Q3104" i="12"/>
  <c r="Q3380" i="12"/>
  <c r="Q1197" i="12"/>
  <c r="Q3279" i="12"/>
  <c r="Q112" i="12"/>
  <c r="Q582" i="12"/>
  <c r="Q341" i="12"/>
  <c r="Q2022" i="12"/>
  <c r="Q2409" i="12"/>
  <c r="Q609" i="12"/>
  <c r="Q3041" i="12"/>
  <c r="Q1964" i="12"/>
  <c r="Q610" i="12"/>
  <c r="Q471" i="12"/>
  <c r="Q970" i="12"/>
  <c r="Q748" i="12"/>
  <c r="Q3151" i="12"/>
  <c r="Q396" i="12"/>
  <c r="Q3468" i="12"/>
  <c r="Q3283" i="12"/>
  <c r="Q2802" i="12"/>
  <c r="Q3206" i="12"/>
  <c r="Q1180" i="12"/>
  <c r="Q1899" i="12"/>
  <c r="Q331" i="12"/>
  <c r="Q528" i="12"/>
  <c r="Q2017" i="12"/>
  <c r="Q821" i="12"/>
  <c r="Q798" i="12"/>
  <c r="Q3495" i="12"/>
  <c r="Q1315" i="12"/>
  <c r="Q212" i="12"/>
  <c r="Q2354" i="12"/>
  <c r="Q3261" i="12"/>
  <c r="Q3457" i="12"/>
  <c r="Q2104" i="12"/>
  <c r="Q1522" i="12"/>
  <c r="Q1821" i="12"/>
  <c r="Q1324" i="12"/>
  <c r="Q1552" i="12"/>
  <c r="Q556" i="12"/>
  <c r="Q1133" i="12"/>
  <c r="Q1911" i="12"/>
  <c r="Q1345" i="12"/>
  <c r="Q1427" i="12"/>
  <c r="Q2845" i="12"/>
  <c r="Q3263" i="12"/>
  <c r="Q2502" i="12"/>
  <c r="Q3215" i="12"/>
  <c r="Q2183" i="12"/>
  <c r="Q1391" i="12"/>
  <c r="Q1844" i="12"/>
  <c r="Q2707" i="12"/>
  <c r="Q2766" i="12"/>
  <c r="Q2136" i="12"/>
  <c r="Q2091" i="12"/>
  <c r="Q3432" i="12"/>
  <c r="Q3387" i="12"/>
  <c r="Q377" i="12"/>
  <c r="Q2411" i="12"/>
  <c r="Q2920" i="12"/>
  <c r="Q3288" i="12"/>
  <c r="Q2214" i="12"/>
  <c r="Q651" i="12"/>
  <c r="Q2430" i="12"/>
  <c r="Q3060" i="12"/>
  <c r="Q1896" i="12"/>
  <c r="Q414" i="12"/>
  <c r="Q1383" i="12"/>
  <c r="Q1016" i="12"/>
  <c r="Q1757" i="12"/>
  <c r="Q3469" i="12"/>
  <c r="Q2196" i="12"/>
  <c r="Q2664" i="12"/>
  <c r="Q1750" i="12"/>
  <c r="Q688" i="12"/>
  <c r="Q488" i="12"/>
  <c r="Q1071" i="12"/>
  <c r="Q2869" i="12"/>
  <c r="Q227" i="12"/>
  <c r="Q3121" i="12"/>
  <c r="Q889" i="12"/>
  <c r="Q3065" i="12"/>
  <c r="Q2856" i="12"/>
  <c r="Q2926" i="12"/>
  <c r="Q568" i="12"/>
  <c r="Q335" i="12"/>
  <c r="Q2181" i="12"/>
  <c r="Q3147" i="12"/>
  <c r="Q297" i="12"/>
  <c r="Q2433" i="12"/>
  <c r="Q908" i="12"/>
  <c r="Q2761" i="12"/>
  <c r="Q1829" i="12"/>
  <c r="Q1718" i="12"/>
  <c r="Q3464" i="12"/>
  <c r="Q2651" i="12"/>
  <c r="Q3231" i="12"/>
  <c r="Q202" i="12"/>
  <c r="Q2698" i="12"/>
  <c r="Q1230" i="12"/>
  <c r="Q3329" i="12"/>
  <c r="Q2721" i="12"/>
  <c r="Q1818" i="12"/>
  <c r="Q3086" i="12"/>
  <c r="Q836" i="12"/>
  <c r="Q1362" i="12"/>
  <c r="Q763" i="12"/>
  <c r="Q2710" i="12"/>
  <c r="Q47" i="12"/>
  <c r="Q345" i="12"/>
  <c r="Q589" i="12"/>
  <c r="Q1274" i="12"/>
  <c r="Q616" i="12"/>
  <c r="Q768" i="12"/>
  <c r="Q1695" i="12"/>
  <c r="Q1848" i="12"/>
  <c r="Q2781" i="12"/>
  <c r="Q3305" i="12"/>
  <c r="Q570" i="12"/>
  <c r="Q1996" i="12"/>
  <c r="Q1926" i="12"/>
  <c r="Q1944" i="12"/>
  <c r="Q773" i="12"/>
  <c r="Q620" i="12"/>
  <c r="Q535" i="12"/>
  <c r="Q1241" i="12"/>
  <c r="Q1172" i="12"/>
  <c r="Q2504" i="12"/>
  <c r="Q1154" i="12"/>
  <c r="Q1190" i="12"/>
  <c r="Q3038" i="12"/>
  <c r="Q188" i="12"/>
  <c r="Q3100" i="12"/>
  <c r="Q381" i="12"/>
  <c r="Q59" i="12"/>
  <c r="Q750" i="12"/>
  <c r="Q1128" i="12"/>
  <c r="Q2899" i="12"/>
  <c r="Q3384" i="12"/>
  <c r="Q1247" i="12"/>
  <c r="Q1615" i="12"/>
  <c r="Q2658" i="12"/>
  <c r="Q695" i="12"/>
  <c r="Q150" i="12"/>
  <c r="Q3488" i="12"/>
  <c r="Q2618" i="12"/>
  <c r="Q1555" i="12"/>
  <c r="Q2895" i="12"/>
  <c r="Q2044" i="12"/>
  <c r="Q2400" i="12"/>
  <c r="Q2941" i="12"/>
  <c r="Q391" i="12"/>
  <c r="Q2090" i="12"/>
  <c r="Q819" i="12"/>
  <c r="Q2268" i="12"/>
  <c r="Q1231" i="12"/>
  <c r="Q2341" i="12"/>
  <c r="Q252" i="12"/>
  <c r="Q2286" i="12"/>
  <c r="Q73" i="12"/>
  <c r="Q1756" i="12"/>
  <c r="Q1428" i="12"/>
  <c r="Q3331" i="12"/>
  <c r="Q1444" i="12"/>
  <c r="Q1437" i="12"/>
  <c r="Q946" i="12"/>
  <c r="Q2164" i="12"/>
  <c r="Q49" i="12"/>
  <c r="Q3299" i="12"/>
  <c r="Q1321" i="12"/>
  <c r="Q3155" i="12"/>
  <c r="Q400" i="12"/>
  <c r="Q2315" i="12"/>
  <c r="Q2440" i="12"/>
  <c r="Q2008" i="12"/>
  <c r="Q3361" i="12"/>
  <c r="Q1380" i="12"/>
  <c r="Q2972" i="12"/>
  <c r="Q1177" i="12"/>
  <c r="Q1325" i="12"/>
  <c r="Q430" i="12"/>
  <c r="Q1840" i="12"/>
  <c r="Q369" i="12"/>
  <c r="Q1831" i="12"/>
  <c r="Q3166" i="12"/>
  <c r="Q1882" i="12"/>
  <c r="Q323" i="12"/>
  <c r="Q802" i="12"/>
  <c r="Q94" i="12"/>
  <c r="Q1304" i="12"/>
  <c r="Q2109" i="12"/>
  <c r="Q3207" i="12"/>
  <c r="Q3013" i="12"/>
  <c r="Q2491" i="12"/>
  <c r="Q2001" i="12"/>
  <c r="Q249" i="12"/>
  <c r="Q3136" i="12"/>
  <c r="Q2551" i="12"/>
  <c r="Q2412" i="12"/>
  <c r="Q3466" i="12"/>
  <c r="Q956" i="12"/>
  <c r="Q2413" i="12"/>
  <c r="Q207" i="12"/>
  <c r="Q2917" i="12"/>
  <c r="Q311" i="12"/>
  <c r="Q2290" i="12"/>
  <c r="Q1411" i="12"/>
  <c r="Q2497" i="12"/>
  <c r="Q3521" i="12"/>
  <c r="Q327" i="12"/>
  <c r="Q3309" i="12"/>
  <c r="Q41" i="12"/>
  <c r="Q3403" i="12"/>
  <c r="Q2910" i="12"/>
  <c r="Q865" i="12"/>
  <c r="Q1458" i="12"/>
  <c r="Q2661" i="12"/>
  <c r="Q2677" i="12"/>
  <c r="Q2102" i="12"/>
  <c r="Q3187" i="12"/>
  <c r="Q3411" i="12"/>
  <c r="Q3230" i="12"/>
  <c r="Q717" i="12"/>
  <c r="Q3026" i="12"/>
  <c r="Q1987" i="12"/>
  <c r="Q178" i="12"/>
  <c r="Q2669" i="12"/>
  <c r="Q1125" i="12"/>
  <c r="Q3392" i="12"/>
  <c r="Q1736" i="12"/>
  <c r="Q2855" i="12"/>
  <c r="Q2687" i="12"/>
  <c r="Q439" i="12"/>
  <c r="Q2096" i="12"/>
  <c r="Q3096" i="12"/>
  <c r="Q2715" i="12"/>
  <c r="Q510" i="12"/>
  <c r="Q217" i="12"/>
  <c r="Q2599" i="12"/>
  <c r="Q1638" i="12"/>
  <c r="Q2072" i="12"/>
  <c r="Q1600" i="12"/>
  <c r="Q2629" i="12"/>
  <c r="Q2365" i="12"/>
  <c r="Q860" i="12"/>
  <c r="Q2748" i="12"/>
  <c r="Q3409" i="12"/>
  <c r="Q3514" i="12"/>
  <c r="Q240" i="12"/>
  <c r="Q1609" i="12"/>
  <c r="Q31" i="12"/>
  <c r="Q376" i="12"/>
  <c r="Q114" i="12"/>
  <c r="Q1232" i="12"/>
  <c r="Q3081" i="12"/>
  <c r="Q605" i="12"/>
  <c r="Q810" i="12"/>
  <c r="Q353" i="12"/>
  <c r="Q1591" i="12"/>
  <c r="Q513" i="12"/>
  <c r="Q3068" i="12"/>
  <c r="Q1163" i="12"/>
  <c r="Q83" i="12"/>
  <c r="Q1376" i="12"/>
  <c r="Q2770" i="12"/>
  <c r="Q184" i="12"/>
  <c r="Q2459" i="12"/>
  <c r="Q3072" i="12"/>
  <c r="Q1452" i="12"/>
  <c r="Q2489" i="12"/>
  <c r="Q1738" i="12"/>
  <c r="Q517" i="12"/>
  <c r="Q2276" i="12"/>
  <c r="Q3017" i="12"/>
  <c r="Q242" i="12"/>
  <c r="Q1780" i="12"/>
  <c r="Q2120" i="12"/>
  <c r="Q3042" i="12"/>
  <c r="Q3051" i="12"/>
  <c r="Q2570" i="12"/>
  <c r="Q1679" i="12"/>
  <c r="Q3408" i="12"/>
  <c r="Q2634" i="12"/>
  <c r="Q1937" i="12"/>
  <c r="Q1745" i="12"/>
  <c r="Q2323" i="12"/>
  <c r="Q1005" i="12"/>
  <c r="Q2946" i="12"/>
  <c r="Q1841" i="12"/>
  <c r="Q1463" i="12"/>
  <c r="Q658" i="12"/>
  <c r="Q2225" i="12"/>
  <c r="Q152" i="12"/>
  <c r="Q1455" i="12"/>
  <c r="Q2148" i="12"/>
  <c r="Q468" i="12"/>
  <c r="Q69" i="12"/>
  <c r="Q1843" i="12"/>
  <c r="Q2112" i="12"/>
  <c r="Q1978" i="12"/>
  <c r="Q1611" i="12"/>
  <c r="Q3428" i="12"/>
  <c r="Q3511" i="12"/>
  <c r="Q1969" i="12"/>
  <c r="Q1373" i="12"/>
  <c r="Q2959" i="12"/>
  <c r="Q1169" i="12"/>
  <c r="Q3123" i="12"/>
  <c r="Q1744" i="12"/>
  <c r="Q1974" i="12"/>
  <c r="Q2821" i="12"/>
  <c r="Q1483" i="12"/>
  <c r="Q1921" i="12"/>
  <c r="Q2870" i="12"/>
  <c r="Q2839" i="12"/>
  <c r="Q2595" i="12"/>
  <c r="Q3368" i="12"/>
  <c r="Q728" i="12"/>
  <c r="Q3546" i="12"/>
  <c r="Q1314" i="12"/>
  <c r="Q2482" i="12"/>
  <c r="Q2805" i="12"/>
  <c r="Q2226" i="12"/>
  <c r="Q1473" i="12"/>
  <c r="Q1585" i="12"/>
  <c r="Q708" i="12"/>
  <c r="Q657" i="12"/>
  <c r="Q3276" i="12"/>
  <c r="Q66" i="12"/>
  <c r="Q892" i="12"/>
  <c r="Q2742" i="12"/>
  <c r="Q2357" i="12"/>
  <c r="Q2693" i="12"/>
  <c r="Q2681" i="12"/>
  <c r="Q1931" i="12"/>
  <c r="Q209" i="12"/>
  <c r="Q3158" i="12"/>
  <c r="Q3202" i="12"/>
  <c r="Q1429" i="12"/>
  <c r="Q3162" i="12"/>
  <c r="Q2010" i="12"/>
  <c r="Q2492" i="12"/>
  <c r="Q407" i="12"/>
  <c r="Q2789" i="12"/>
  <c r="Q1469" i="12"/>
  <c r="Q2903" i="12"/>
  <c r="Q3451" i="12"/>
  <c r="Q1795" i="12"/>
  <c r="Q608" i="12"/>
  <c r="Q2311" i="12"/>
  <c r="Q1671" i="12"/>
  <c r="Q2324" i="12"/>
  <c r="Q2452" i="12"/>
  <c r="Q2536" i="12"/>
  <c r="Q433" i="12"/>
  <c r="Q2963" i="12"/>
  <c r="Q2258" i="12"/>
  <c r="Q371" i="12"/>
  <c r="Q1094" i="12"/>
  <c r="Q2969" i="12"/>
  <c r="Q3497" i="12"/>
  <c r="Q3541" i="12"/>
  <c r="Q2509" i="12"/>
  <c r="Q3420" i="12"/>
  <c r="Q2549" i="12"/>
  <c r="Q3377" i="12"/>
  <c r="Q2269" i="12"/>
  <c r="Q175" i="12"/>
  <c r="Q2904" i="12"/>
  <c r="Q421" i="12"/>
  <c r="Q521" i="12"/>
  <c r="Q769" i="12"/>
  <c r="Q2846" i="12"/>
  <c r="Q378" i="12"/>
  <c r="Q2132" i="12"/>
  <c r="Q3032" i="12"/>
  <c r="Q2211" i="12"/>
  <c r="Q3298" i="12"/>
  <c r="Q1894" i="12"/>
  <c r="Q1223" i="12"/>
  <c r="Q1451" i="12"/>
  <c r="Q3483" i="12"/>
  <c r="Q2744" i="12"/>
  <c r="Q534" i="12"/>
  <c r="Q1654" i="12"/>
  <c r="Q3029" i="12"/>
  <c r="Q1089" i="12"/>
  <c r="Q1965" i="12"/>
  <c r="Q3006" i="12"/>
  <c r="Q1193" i="12"/>
  <c r="Q3244" i="12"/>
  <c r="Q2940" i="12"/>
  <c r="Q1684" i="12"/>
  <c r="Q1929" i="12"/>
  <c r="Q3431" i="12"/>
  <c r="Q2028" i="12"/>
  <c r="Q1248" i="12"/>
  <c r="Q1932" i="12"/>
  <c r="Q253" i="12"/>
  <c r="Q1300" i="12"/>
  <c r="Q2945" i="12"/>
  <c r="Q420" i="12"/>
  <c r="Q921" i="12"/>
  <c r="Q3219" i="12"/>
  <c r="Q1892" i="12"/>
  <c r="Q3528" i="12"/>
  <c r="Q602" i="12"/>
  <c r="Q834" i="12"/>
  <c r="Q618" i="12"/>
  <c r="Q2385" i="12"/>
  <c r="Q1019" i="12"/>
  <c r="Q143" i="12"/>
  <c r="Q3258" i="12"/>
  <c r="Q2438" i="12"/>
  <c r="Q744" i="12"/>
  <c r="Q3477" i="12"/>
  <c r="Q1407" i="12"/>
  <c r="Q1737" i="12"/>
  <c r="Q3512" i="12"/>
  <c r="Q807" i="12"/>
  <c r="Q3509" i="12"/>
  <c r="Q2316" i="12"/>
  <c r="Q3020" i="12"/>
  <c r="Q1308" i="12"/>
  <c r="Q2301" i="12"/>
  <c r="Q2298" i="12"/>
  <c r="Q1678" i="12"/>
  <c r="Q2399" i="12"/>
  <c r="Q3398" i="12"/>
  <c r="Q1939" i="12"/>
  <c r="Q1920" i="12"/>
  <c r="Q764" i="12"/>
  <c r="Q1355" i="12"/>
  <c r="Q2540" i="12"/>
  <c r="Q2127" i="12"/>
  <c r="Q2957" i="12"/>
  <c r="Q3229" i="12"/>
  <c r="Q1189" i="12"/>
  <c r="Q699" i="12"/>
  <c r="Q3366" i="12"/>
  <c r="Q347" i="12"/>
  <c r="Q2932" i="12"/>
  <c r="Q91" i="12"/>
  <c r="Q2876" i="12"/>
  <c r="Q2351" i="12"/>
  <c r="Q2195" i="12"/>
  <c r="Q305" i="12"/>
  <c r="Q774" i="12"/>
  <c r="Q1309" i="12"/>
  <c r="Q2081" i="12"/>
  <c r="Q1276" i="12"/>
  <c r="Q2038" i="12"/>
  <c r="Q1305" i="12"/>
  <c r="Q2676" i="12"/>
  <c r="Q1365" i="12"/>
  <c r="Q2893" i="12"/>
  <c r="Q1574" i="12"/>
  <c r="Q2924" i="12"/>
  <c r="Q1948" i="12"/>
  <c r="Q3181" i="12"/>
  <c r="Q336" i="12"/>
  <c r="Q3269" i="12"/>
  <c r="Q472" i="12"/>
  <c r="Q2147" i="12"/>
  <c r="Q46" i="12"/>
  <c r="Q1827" i="12"/>
  <c r="Q2185" i="12"/>
  <c r="Q1672" i="12"/>
  <c r="Q325" i="12"/>
  <c r="Q1035" i="12"/>
  <c r="Q386" i="12"/>
  <c r="Q857" i="12"/>
  <c r="Q1622" i="12"/>
  <c r="Q1485" i="12"/>
  <c r="Q1994" i="12"/>
  <c r="Q109" i="12"/>
  <c r="Q492" i="12"/>
  <c r="Q1538" i="12"/>
  <c r="Q2625" i="12"/>
  <c r="Q3402" i="12"/>
  <c r="Q1677" i="12"/>
  <c r="Q2739" i="12"/>
  <c r="Q2546" i="12"/>
  <c r="Q538" i="12"/>
  <c r="Q615" i="12"/>
  <c r="Q3527" i="12"/>
  <c r="Q89" i="12"/>
  <c r="Q2921" i="12"/>
  <c r="Q1312" i="12"/>
  <c r="Q3102" i="12"/>
  <c r="Q721" i="12"/>
  <c r="Q3285" i="12"/>
  <c r="Q3529" i="12"/>
  <c r="Q2575" i="12"/>
  <c r="Q2930" i="12"/>
  <c r="Q1138" i="12"/>
  <c r="Q1226" i="12"/>
  <c r="Q419" i="12"/>
  <c r="Q2087" i="12"/>
  <c r="Q1187" i="12"/>
  <c r="Q844" i="12"/>
  <c r="Q2019" i="12"/>
  <c r="Q3386" i="12"/>
  <c r="Q2545" i="12"/>
  <c r="Q839" i="12"/>
  <c r="Q1356" i="12"/>
  <c r="Q3165" i="12"/>
  <c r="Q3471" i="12"/>
  <c r="Q2752" i="12"/>
  <c r="Q1090" i="12"/>
  <c r="Q585" i="12"/>
  <c r="Q1790" i="12"/>
  <c r="Q1381" i="12"/>
  <c r="Q2994" i="12"/>
  <c r="Q264" i="12"/>
  <c r="Q34" i="12"/>
  <c r="Q2035" i="12"/>
  <c r="Q2287" i="12"/>
  <c r="Q2304" i="12"/>
  <c r="Q3120" i="12"/>
  <c r="Q1044" i="12"/>
  <c r="Q42" i="12"/>
  <c r="Q751" i="12"/>
  <c r="Q244" i="12"/>
  <c r="Q1048" i="12"/>
  <c r="Q2471" i="12"/>
  <c r="Q1938" i="12"/>
  <c r="Q541" i="12"/>
  <c r="Q1014" i="12"/>
  <c r="Q3275" i="12"/>
  <c r="Q1367" i="12"/>
  <c r="Q694" i="12"/>
  <c r="Q2524" i="12"/>
  <c r="Q544" i="12"/>
  <c r="Q1439" i="12"/>
  <c r="Q1801" i="12"/>
  <c r="Q1057" i="12"/>
  <c r="Q785" i="12"/>
  <c r="Q2733" i="12"/>
  <c r="Q2521" i="12"/>
  <c r="Q2066" i="12"/>
  <c r="Q2712" i="12"/>
  <c r="Q1359" i="12"/>
  <c r="Q703" i="12"/>
  <c r="Q2355" i="12"/>
  <c r="Q2230" i="12"/>
  <c r="Q1777" i="12"/>
  <c r="Q902" i="12"/>
  <c r="Q3048" i="12"/>
  <c r="Q165" i="12"/>
  <c r="Q2123" i="12"/>
  <c r="Q904" i="12"/>
  <c r="Q2632" i="12"/>
  <c r="Q3241" i="12"/>
  <c r="Q2955" i="12"/>
  <c r="Q1918" i="12"/>
  <c r="Q2983" i="12"/>
  <c r="Q2122" i="12"/>
  <c r="Q298" i="12"/>
  <c r="Q1901" i="12"/>
  <c r="Q864" i="12"/>
  <c r="Q2604" i="12"/>
  <c r="Q2915" i="12"/>
  <c r="Q1734" i="12"/>
  <c r="Q1716" i="12"/>
  <c r="Q1285" i="12"/>
  <c r="Q2503" i="12"/>
  <c r="Q2532" i="12"/>
  <c r="Q3347" i="12"/>
  <c r="Q2561" i="12"/>
  <c r="Q799" i="12"/>
  <c r="Q2099" i="12"/>
  <c r="Q632" i="12"/>
  <c r="Q2684" i="12"/>
  <c r="Q3116" i="12"/>
  <c r="Q1100" i="12"/>
  <c r="Q586" i="12"/>
  <c r="Q3502" i="12"/>
  <c r="Q128" i="12"/>
  <c r="Q1529" i="12"/>
  <c r="Q2252" i="12"/>
  <c r="Q3479" i="12"/>
  <c r="Q867" i="12"/>
  <c r="Q417" i="12"/>
  <c r="Q2736" i="12"/>
  <c r="Q2241" i="12"/>
  <c r="Q3281" i="12"/>
  <c r="Q1942" i="12"/>
  <c r="Q368" i="12"/>
  <c r="Q1556" i="12"/>
  <c r="Q3415" i="12"/>
  <c r="Q351" i="12"/>
  <c r="Q2313" i="12"/>
  <c r="Q823" i="12"/>
  <c r="Q2705" i="12"/>
  <c r="Q2188" i="12"/>
  <c r="Q1645" i="12"/>
  <c r="Q1236" i="12"/>
  <c r="Q2285" i="12"/>
  <c r="Q2335" i="12"/>
  <c r="Q1824" i="12"/>
  <c r="Q1664" i="12"/>
  <c r="Q343" i="12"/>
  <c r="Q3200" i="12"/>
  <c r="Q2076" i="12"/>
  <c r="Q527" i="12"/>
  <c r="Q3493" i="12"/>
  <c r="Q1967" i="12"/>
  <c r="Q2756" i="12"/>
  <c r="Q1832" i="12"/>
  <c r="Q910" i="12"/>
  <c r="Q2513" i="12"/>
  <c r="Q1779" i="12"/>
  <c r="Q1445" i="12"/>
  <c r="Q1493" i="12"/>
  <c r="Q3339" i="12"/>
  <c r="Q1714" i="12"/>
  <c r="Q830" i="12"/>
  <c r="Q3524" i="12"/>
  <c r="Q2979" i="12"/>
  <c r="Q3234" i="12"/>
  <c r="Q3176" i="12"/>
  <c r="Q2255" i="12"/>
  <c r="Q3399" i="12"/>
  <c r="Q3448" i="12"/>
  <c r="Q1867" i="12"/>
  <c r="Q1339" i="12"/>
  <c r="Q3440" i="12"/>
  <c r="Q3058" i="12"/>
  <c r="Q1995" i="12"/>
  <c r="Q162" i="12"/>
  <c r="Q3438" i="12"/>
  <c r="Q2369" i="12"/>
  <c r="Q2486" i="12"/>
  <c r="Q2719" i="12"/>
  <c r="Q3476" i="12"/>
  <c r="Q1426" i="12"/>
  <c r="Q2759" i="12"/>
  <c r="Q852" i="12"/>
  <c r="Q1416" i="12"/>
  <c r="Q3009" i="12"/>
  <c r="Q1043" i="12"/>
  <c r="Q729" i="12"/>
  <c r="Q3099" i="12"/>
  <c r="Q172" i="12"/>
  <c r="Q3400" i="12"/>
  <c r="Q3274" i="12"/>
  <c r="Q1659" i="12"/>
  <c r="Q1980" i="12"/>
  <c r="Q498" i="12"/>
  <c r="Q934" i="12"/>
  <c r="Q182" i="12"/>
  <c r="Q1670" i="12"/>
  <c r="Q1122" i="12"/>
  <c r="Q3184" i="12"/>
  <c r="Q1460" i="12"/>
  <c r="Q1074" i="12"/>
  <c r="Q185" i="12"/>
  <c r="Q2071" i="12"/>
  <c r="Q912" i="12"/>
  <c r="Q1129" i="12"/>
  <c r="Q1011" i="12"/>
  <c r="Q2478" i="12"/>
  <c r="Q1170" i="12"/>
  <c r="Q1909" i="12"/>
  <c r="Q2417" i="12"/>
  <c r="Q3169" i="12"/>
  <c r="Q3259" i="12"/>
  <c r="Q1900" i="12"/>
  <c r="Q1562" i="12"/>
  <c r="Q1001" i="12"/>
  <c r="Q231" i="12"/>
  <c r="Q1054" i="12"/>
  <c r="Q939" i="12"/>
  <c r="Q1916" i="12"/>
  <c r="Q678" i="12"/>
  <c r="Q898" i="12"/>
  <c r="Q1752" i="12"/>
  <c r="Q62" i="12"/>
  <c r="Q2159" i="12"/>
  <c r="Q1091" i="12"/>
  <c r="Q2084" i="12"/>
  <c r="Q1031" i="12"/>
  <c r="Q440" i="12"/>
  <c r="Q1741" i="12"/>
  <c r="Q2576" i="12"/>
  <c r="Q736" i="12"/>
  <c r="Q2016" i="12"/>
  <c r="Q3367" i="12"/>
  <c r="Q115" i="12"/>
  <c r="Q975" i="12"/>
  <c r="Q583" i="12"/>
  <c r="Q179" i="12"/>
  <c r="Q1120" i="12"/>
  <c r="Q795" i="12"/>
  <c r="Q1017" i="12"/>
  <c r="Q1224" i="12"/>
  <c r="Q2671" i="12"/>
  <c r="Q2030" i="12"/>
  <c r="Q241" i="12"/>
  <c r="Q2018" i="12"/>
  <c r="Q1641" i="12"/>
  <c r="Q1501" i="12"/>
  <c r="Q3223" i="12"/>
  <c r="Q3327" i="12"/>
  <c r="Q1157" i="12"/>
  <c r="Q3498" i="12"/>
  <c r="Q1792" i="12"/>
  <c r="Q2743" i="12"/>
  <c r="Q170" i="12"/>
  <c r="Q2317" i="12"/>
  <c r="Q2115" i="12"/>
  <c r="Q1592" i="12"/>
  <c r="Q565" i="12"/>
  <c r="Q2873" i="12"/>
  <c r="Q3342" i="12"/>
  <c r="Q266" i="12"/>
  <c r="Q1709" i="12"/>
  <c r="Q1509" i="12"/>
  <c r="Q1378" i="12"/>
  <c r="Q1415" i="12"/>
  <c r="Q254" i="12"/>
  <c r="Q2989" i="12"/>
  <c r="Q3129" i="12"/>
  <c r="Q362" i="12"/>
  <c r="Q3101" i="12"/>
  <c r="Q1545" i="12"/>
  <c r="Q981" i="12"/>
  <c r="Q130" i="12"/>
  <c r="Q1194" i="12"/>
  <c r="Q1596" i="12"/>
  <c r="Q863" i="12"/>
  <c r="Q1715" i="12"/>
  <c r="Q199" i="12"/>
  <c r="Q1487" i="12"/>
  <c r="Q2082" i="12"/>
  <c r="Q2652" i="12"/>
  <c r="Q257" i="12"/>
  <c r="Q913" i="12"/>
  <c r="Q1344" i="12"/>
  <c r="Q693" i="12"/>
  <c r="Q671" i="12"/>
  <c r="Q3089" i="12"/>
  <c r="Q1751" i="12"/>
  <c r="Q3430" i="12"/>
  <c r="Q2328" i="12"/>
  <c r="Q1333" i="12"/>
  <c r="Q2487" i="12"/>
  <c r="Q2854" i="12"/>
  <c r="Q3143" i="12"/>
  <c r="Q1708" i="12"/>
  <c r="Q2542" i="12"/>
  <c r="Q3031" i="12"/>
  <c r="Q3552" i="12"/>
  <c r="Q3177" i="12"/>
  <c r="Q660" i="12"/>
  <c r="Q3308" i="12"/>
  <c r="Q1030" i="12"/>
  <c r="Q1361" i="12"/>
  <c r="Q1251" i="12"/>
  <c r="Q1933" i="12"/>
  <c r="Q1123" i="12"/>
  <c r="Q54" i="12"/>
  <c r="Q3326" i="12"/>
  <c r="Q2718" i="12"/>
  <c r="Q3426" i="12"/>
  <c r="Q1238" i="12"/>
  <c r="Q1612" i="12"/>
  <c r="Q2706" i="12"/>
  <c r="Q357" i="12"/>
  <c r="Q1908" i="12"/>
  <c r="Q668" i="12"/>
  <c r="Q2871" i="12"/>
  <c r="Q1886" i="12"/>
  <c r="Q723" i="12"/>
  <c r="Q1550" i="12"/>
  <c r="Q1560" i="12"/>
  <c r="Q3107" i="12"/>
  <c r="Q2036" i="12"/>
  <c r="Q3302" i="12"/>
  <c r="Q3543" i="12"/>
  <c r="Q1239" i="12"/>
  <c r="Q1504" i="12"/>
  <c r="Q3436" i="12"/>
  <c r="Q379" i="12"/>
  <c r="Q2931" i="12"/>
  <c r="Q1056" i="12"/>
  <c r="Q2330" i="12"/>
  <c r="Q789" i="12"/>
  <c r="Q3492" i="12"/>
  <c r="Q3532" i="12"/>
  <c r="Q3211" i="12"/>
  <c r="Q3172" i="12"/>
  <c r="Q3458" i="12"/>
  <c r="Q3209" i="12"/>
  <c r="Q1171" i="12"/>
  <c r="Q3499" i="12"/>
  <c r="Q1525" i="12"/>
  <c r="Q3233" i="12"/>
  <c r="Q3015" i="12"/>
  <c r="Q3376" i="12"/>
  <c r="Q3128" i="12"/>
  <c r="Q1206" i="12"/>
  <c r="Q1773" i="12"/>
  <c r="Q303" i="12"/>
  <c r="Q1087" i="12"/>
  <c r="Q3164" i="12"/>
  <c r="Q2100" i="12"/>
  <c r="Q374" i="12"/>
  <c r="Q3126" i="12"/>
  <c r="Q2995" i="12"/>
  <c r="Q1833" i="12"/>
  <c r="Q2741" i="12"/>
  <c r="Q3355" i="12"/>
  <c r="Q2725" i="12"/>
  <c r="Q3465" i="12"/>
  <c r="Q3375" i="12"/>
  <c r="Q3095" i="12"/>
  <c r="Q3030" i="12"/>
  <c r="Q621" i="12"/>
  <c r="Q486" i="12"/>
  <c r="Q2456" i="12"/>
  <c r="Q2722" i="12"/>
  <c r="Q636" i="12"/>
  <c r="Q3232" i="12"/>
  <c r="Q1214" i="12"/>
  <c r="Q1422" i="12"/>
  <c r="Q2477" i="12"/>
  <c r="Q3405" i="12"/>
  <c r="Q190" i="12"/>
  <c r="Q1287" i="12"/>
  <c r="Q1526" i="12"/>
  <c r="Q3127" i="12"/>
  <c r="Q3167" i="12"/>
  <c r="Q684" i="12"/>
  <c r="Q330" i="12"/>
  <c r="Q480" i="12"/>
  <c r="Q2585" i="12"/>
  <c r="Q1508" i="12"/>
  <c r="Q2108" i="12"/>
  <c r="Q3427" i="12"/>
  <c r="Q954" i="12"/>
  <c r="Q282" i="12"/>
  <c r="Q490" i="12"/>
  <c r="Q3112" i="12"/>
  <c r="Q2882" i="12"/>
  <c r="Q2450" i="12"/>
  <c r="Q911" i="12"/>
  <c r="Q2809" i="12"/>
  <c r="Q2382" i="12"/>
  <c r="Q3266" i="12"/>
  <c r="Q2603" i="12"/>
  <c r="Q1859" i="12"/>
  <c r="Q2667" i="12"/>
  <c r="Q3079" i="12"/>
  <c r="Q2300" i="12"/>
  <c r="Q230" i="12"/>
  <c r="Q598" i="12"/>
  <c r="Q1390" i="12"/>
  <c r="Q1864" i="12"/>
  <c r="Q37" i="12"/>
  <c r="Q3487" i="12"/>
  <c r="Q444" i="12"/>
  <c r="Q3264" i="12"/>
  <c r="Q1878" i="12"/>
  <c r="Q1817" i="12"/>
  <c r="Q1242" i="12"/>
  <c r="Q2393" i="12"/>
  <c r="Q1614" i="12"/>
  <c r="Q2832" i="12"/>
  <c r="Q2587" i="12"/>
  <c r="Q3503" i="12"/>
  <c r="Q2118" i="12"/>
  <c r="Q2817" i="12"/>
  <c r="Q3324" i="12"/>
  <c r="Q3310" i="12"/>
  <c r="Q2333" i="12"/>
  <c r="Q1182" i="12"/>
  <c r="Q3178" i="12"/>
  <c r="Q1316" i="12"/>
  <c r="Q2137" i="12"/>
  <c r="Q846" i="12"/>
  <c r="Q758" i="12"/>
  <c r="Q927" i="12"/>
  <c r="Q80" i="12"/>
  <c r="Q3381" i="12"/>
  <c r="Q3306" i="12"/>
  <c r="Q2161" i="12"/>
  <c r="Q2784" i="12"/>
  <c r="Q1706" i="12"/>
  <c r="Q387" i="12"/>
  <c r="Q3474" i="12"/>
  <c r="Q3304" i="12"/>
  <c r="Q2424" i="12"/>
  <c r="Q1467" i="12"/>
  <c r="Q669" i="12"/>
  <c r="Q229" i="12"/>
  <c r="Q1249" i="12"/>
  <c r="Q2306" i="12"/>
  <c r="Q287" i="12"/>
  <c r="Q2892" i="12"/>
  <c r="Q851" i="12"/>
  <c r="Q1470" i="12"/>
  <c r="Q638" i="12"/>
  <c r="Q2114" i="12"/>
  <c r="Q1203" i="12"/>
  <c r="Q680" i="12"/>
  <c r="Q1047" i="12"/>
  <c r="Q599" i="12"/>
  <c r="Q578" i="12"/>
  <c r="Q1875" i="12"/>
  <c r="Q2054" i="12"/>
  <c r="Q3282" i="12"/>
  <c r="Q992" i="12"/>
  <c r="Q2835" i="12"/>
  <c r="Q3349" i="12"/>
  <c r="Q824" i="12"/>
  <c r="Q3182" i="12"/>
  <c r="Q901" i="12"/>
  <c r="Q1936" i="12"/>
  <c r="Q3412" i="12"/>
  <c r="Q3077" i="12"/>
  <c r="Q581" i="12"/>
  <c r="Q247" i="12"/>
  <c r="Q900" i="12"/>
  <c r="Q2344" i="12"/>
  <c r="Q456" i="12"/>
  <c r="Q2046" i="12"/>
  <c r="Q2007" i="12"/>
  <c r="Q2779" i="12"/>
  <c r="Q2907" i="12"/>
  <c r="Q1910" i="12"/>
  <c r="Q183" i="12"/>
  <c r="Q103" i="12"/>
  <c r="Q2512" i="12"/>
  <c r="Q1397" i="12"/>
  <c r="Q1712" i="12"/>
  <c r="Q1476" i="12"/>
  <c r="Q2881" i="12"/>
  <c r="Q26" i="12"/>
  <c r="Q1296" i="12"/>
  <c r="Q652" i="12"/>
  <c r="Q1449" i="12"/>
  <c r="Q756" i="12"/>
  <c r="Q1096" i="12"/>
  <c r="Q1662" i="12"/>
  <c r="Q1830" i="12"/>
  <c r="Q716" i="12"/>
  <c r="Q1377" i="12"/>
  <c r="Q3252" i="12"/>
  <c r="Q123" i="12"/>
  <c r="Q1492" i="12"/>
  <c r="Q1498" i="12"/>
  <c r="Q2423" i="12"/>
  <c r="Q1690" i="12"/>
  <c r="Q1234" i="12"/>
  <c r="Q933" i="12"/>
  <c r="Q19" i="12"/>
  <c r="Q1332" i="12"/>
  <c r="Q2493" i="12"/>
  <c r="Q1989" i="12"/>
  <c r="Q2332" i="12"/>
  <c r="Q2544" i="12"/>
  <c r="Q1264" i="12"/>
  <c r="Q2950" i="12"/>
  <c r="Q2628" i="12"/>
  <c r="Q502" i="12"/>
  <c r="Q3190" i="12"/>
  <c r="Q2232" i="12"/>
  <c r="Q1244" i="12"/>
  <c r="Q843" i="12"/>
  <c r="Q761" i="12"/>
  <c r="Q539" i="12"/>
  <c r="Q3294" i="12"/>
  <c r="Q1419" i="12"/>
  <c r="Q1109" i="12"/>
  <c r="Q1758" i="12"/>
  <c r="Q996" i="12"/>
  <c r="Q235" i="12"/>
  <c r="Q1963" i="12"/>
  <c r="Q809" i="12"/>
  <c r="Q953" i="12"/>
  <c r="Q1740" i="12"/>
  <c r="Q3365" i="12"/>
  <c r="Q268" i="12"/>
  <c r="Q771" i="12"/>
  <c r="Q2810" i="12"/>
  <c r="Q340" i="12"/>
  <c r="Q3314" i="12"/>
  <c r="Q3346" i="12"/>
  <c r="Q2444" i="12"/>
  <c r="Q1705" i="12"/>
  <c r="Q2984" i="12"/>
  <c r="Q2327" i="12"/>
  <c r="Q1667" i="12"/>
  <c r="Q1542" i="12"/>
  <c r="Q2901" i="12"/>
  <c r="Q1395" i="12"/>
  <c r="Q1396" i="12"/>
  <c r="Q675" i="12"/>
  <c r="Q2416" i="12"/>
  <c r="Q733" i="12"/>
  <c r="Q3036" i="12"/>
  <c r="Q2620" i="12"/>
  <c r="Q1553" i="12"/>
  <c r="Q228" i="12"/>
  <c r="Q2927" i="12"/>
  <c r="Q426" i="12"/>
  <c r="Q192" i="12"/>
  <c r="Q1602" i="12"/>
  <c r="Q1442" i="12"/>
  <c r="Q969" i="12"/>
  <c r="Q92" i="12"/>
  <c r="Q957" i="12"/>
  <c r="Q1540" i="12"/>
  <c r="Q1890" i="12"/>
  <c r="Q2422" i="12"/>
  <c r="Q1037" i="12"/>
  <c r="Q2496" i="12"/>
  <c r="Q611" i="12"/>
  <c r="Q777" i="12"/>
  <c r="Q2173" i="12"/>
  <c r="Q2527" i="12"/>
  <c r="Q1338" i="12"/>
  <c r="Q1240" i="12"/>
  <c r="Q666" i="12"/>
  <c r="Q1018" i="12"/>
  <c r="Q518" i="12"/>
  <c r="Q766" i="12"/>
  <c r="Q2720" i="12"/>
  <c r="Q2210" i="12"/>
  <c r="Q1665" i="12"/>
  <c r="Q1630" i="12"/>
  <c r="Q1954" i="12"/>
  <c r="Q1889" i="12"/>
  <c r="Q2184" i="12"/>
  <c r="Q2925" i="12"/>
  <c r="Q2960" i="12"/>
  <c r="Q2320" i="12"/>
  <c r="Q1179" i="12"/>
  <c r="Q1905" i="12"/>
  <c r="Q542" i="12"/>
  <c r="Q942" i="12"/>
  <c r="Q672" i="12"/>
  <c r="Q1282" i="12"/>
  <c r="Q2095" i="12"/>
  <c r="Q2358" i="12"/>
  <c r="Q2205" i="12"/>
  <c r="Q3171" i="12"/>
  <c r="Q664" i="12"/>
  <c r="Q3418" i="12"/>
  <c r="Q1613" i="12"/>
  <c r="Q2322" i="12"/>
  <c r="Q2645" i="12"/>
  <c r="Q2615" i="12"/>
  <c r="Q732" i="12"/>
  <c r="Q2498" i="12"/>
  <c r="Q2359" i="12"/>
  <c r="Q784" i="12"/>
  <c r="Q1675" i="12"/>
  <c r="Q550" i="12"/>
  <c r="Q2598" i="12"/>
  <c r="Q3226" i="12"/>
  <c r="Q3478" i="12"/>
  <c r="Q1727" i="12"/>
  <c r="Q2905" i="12"/>
  <c r="Q1733" i="12"/>
  <c r="Q3105" i="12"/>
  <c r="Q201" i="12"/>
  <c r="Q445" i="12"/>
  <c r="Q650" i="12"/>
  <c r="Q3163" i="12"/>
  <c r="Q1079" i="12"/>
  <c r="Q635" i="12"/>
  <c r="Q3033" i="12"/>
  <c r="Q2970" i="12"/>
  <c r="Q1816" i="12"/>
  <c r="Q1729" i="12"/>
  <c r="Q2637" i="12"/>
  <c r="Q1837" i="12"/>
  <c r="Q3429" i="12"/>
  <c r="Q3395" i="12"/>
  <c r="Q3212" i="12"/>
  <c r="Q1399" i="12"/>
  <c r="Q1191" i="12"/>
  <c r="Q2257" i="12"/>
  <c r="Q1201" i="12"/>
  <c r="Q656" i="12"/>
  <c r="Q1626" i="12"/>
  <c r="Q3208" i="12"/>
  <c r="Q909" i="12"/>
  <c r="Q674" i="12"/>
  <c r="Q3092" i="12"/>
  <c r="Q976" i="12"/>
  <c r="Q3170" i="12"/>
  <c r="Q3191" i="12"/>
  <c r="Q1347" i="12"/>
  <c r="Q2192" i="12"/>
  <c r="Q2326" i="12"/>
  <c r="Q825" i="12"/>
  <c r="Q2834" i="12"/>
  <c r="Q236" i="12"/>
  <c r="Q3115" i="12"/>
  <c r="Q3455" i="12"/>
  <c r="Q627" i="12"/>
  <c r="Q2590" i="12"/>
  <c r="Q563" i="12"/>
  <c r="Q1955" i="12"/>
  <c r="Q2414" i="12"/>
  <c r="Q1036" i="12"/>
  <c r="Q409" i="12"/>
  <c r="Q738" i="12"/>
  <c r="Q2838" i="12"/>
  <c r="Q1139" i="12"/>
  <c r="Q53" i="12"/>
  <c r="Q3245" i="12"/>
  <c r="Q1601" i="12"/>
  <c r="Q683" i="12"/>
  <c r="Q2647" i="12"/>
  <c r="Q2850" i="12"/>
  <c r="Q2863" i="12"/>
  <c r="Q1049" i="12"/>
  <c r="Q300" i="12"/>
  <c r="Q3117" i="12"/>
  <c r="Q121" i="12"/>
  <c r="Q2392" i="12"/>
  <c r="Q829" i="12"/>
  <c r="Q2012" i="12"/>
  <c r="Q214" i="12"/>
  <c r="Q2157" i="12"/>
  <c r="Q1424" i="12"/>
  <c r="Q431" i="12"/>
  <c r="Q1567" i="12"/>
  <c r="Q3286" i="12"/>
  <c r="Q929" i="12"/>
  <c r="Q623" i="12"/>
  <c r="Q1478" i="12"/>
  <c r="Q1408" i="12"/>
  <c r="Q643" i="12"/>
  <c r="Q2841" i="12"/>
  <c r="Q3217" i="12"/>
  <c r="Q940" i="12"/>
  <c r="Q1462" i="12"/>
  <c r="Q2465" i="12"/>
  <c r="Q1311" i="12"/>
  <c r="Q2227" i="12"/>
  <c r="Q1229" i="12"/>
  <c r="Q1983" i="12"/>
  <c r="Q2577" i="12"/>
  <c r="Q2103" i="12"/>
  <c r="Q2458" i="12"/>
  <c r="Q118" i="12"/>
  <c r="Q3130" i="12"/>
  <c r="Q2605" i="12"/>
  <c r="Q1704" i="12"/>
  <c r="Q1210" i="12"/>
  <c r="Q3247" i="12"/>
  <c r="Q2432" i="12"/>
  <c r="Q110" i="12"/>
  <c r="Q2383" i="12"/>
  <c r="Q3531" i="12"/>
  <c r="Q700" i="12"/>
  <c r="Q1486" i="12"/>
  <c r="Q1134" i="12"/>
  <c r="Q3066" i="12"/>
  <c r="Q670" i="12"/>
  <c r="Q2679" i="12"/>
  <c r="Q142" i="12"/>
  <c r="Q1970" i="12"/>
  <c r="Q1711" i="12"/>
  <c r="Q453" i="12"/>
  <c r="Q641" i="12"/>
  <c r="Q815" i="12"/>
  <c r="Q87" i="12"/>
  <c r="Q1544" i="12"/>
  <c r="Q2986" i="12"/>
  <c r="Q277" i="12"/>
  <c r="Q1461" i="12"/>
  <c r="Q2143" i="12"/>
  <c r="Q2013" i="12"/>
  <c r="Q870" i="12"/>
  <c r="Q1968" i="12"/>
  <c r="Q1323" i="12"/>
  <c r="Q2868" i="12"/>
  <c r="Q1800" i="12"/>
  <c r="Q1971" i="12"/>
  <c r="Q1549" i="12"/>
  <c r="Q3494" i="12"/>
  <c r="Q1982" i="12"/>
  <c r="Q1697" i="12"/>
  <c r="Q2319" i="12"/>
  <c r="Q166" i="12"/>
  <c r="Q307" i="12"/>
  <c r="Q1747" i="12"/>
  <c r="Q361" i="12"/>
  <c r="Q2506" i="12"/>
  <c r="Q3194" i="12"/>
  <c r="Q1972" i="12"/>
  <c r="Q3406" i="12"/>
  <c r="Q2888" i="12"/>
  <c r="Q2988" i="12"/>
  <c r="Q1156" i="12"/>
  <c r="Q2370" i="12"/>
  <c r="Q2657" i="12"/>
  <c r="Q2851" i="12"/>
  <c r="Q1472" i="12"/>
  <c r="Q2758" i="12"/>
  <c r="Q2517" i="12"/>
  <c r="Q2569" i="12"/>
  <c r="Q271" i="12"/>
  <c r="Q1644" i="12"/>
  <c r="Q1634" i="12"/>
  <c r="Q2462" i="12"/>
  <c r="Q3110" i="12"/>
  <c r="Q125" i="12"/>
  <c r="Q775" i="12"/>
  <c r="Q3070" i="12"/>
  <c r="Q1658" i="12"/>
  <c r="Q1009" i="12"/>
  <c r="Q2823" i="12"/>
  <c r="Q828" i="12"/>
  <c r="Q149" i="12"/>
  <c r="Q884" i="12"/>
  <c r="Q1888" i="12"/>
  <c r="Q263" i="12"/>
  <c r="Q3454" i="12"/>
  <c r="Q813" i="12"/>
  <c r="Q1935" i="12"/>
  <c r="Q3064" i="12"/>
  <c r="Q388" i="12"/>
  <c r="Q850" i="12"/>
  <c r="Q681" i="12"/>
  <c r="Q559" i="12"/>
  <c r="Q406" i="12"/>
  <c r="Q509" i="12"/>
  <c r="Q790" i="12"/>
  <c r="Q895" i="12"/>
  <c r="Q2294" i="12"/>
  <c r="Q2948" i="12"/>
  <c r="Q36" i="12"/>
  <c r="Q3043" i="12"/>
  <c r="Q1856" i="12"/>
  <c r="Q1192" i="12"/>
  <c r="Q579" i="12"/>
  <c r="Q484" i="12"/>
  <c r="Q2236" i="12"/>
  <c r="Q1898" i="12"/>
  <c r="Q2224" i="12"/>
  <c r="Q1303" i="12"/>
  <c r="Q575" i="12"/>
  <c r="Q3322" i="12"/>
  <c r="Q943" i="12"/>
  <c r="Q3449" i="12"/>
  <c r="Q2886" i="12"/>
  <c r="Q1265" i="12"/>
  <c r="Q2688" i="12"/>
  <c r="Q3295" i="12"/>
  <c r="Q1820" i="12"/>
  <c r="Q218" i="12"/>
  <c r="Q3093" i="12"/>
  <c r="Q2443" i="12"/>
  <c r="Q2178" i="12"/>
  <c r="Q1141" i="12"/>
  <c r="Q3369" i="12"/>
  <c r="Q2938" i="12"/>
  <c r="Q2235" i="12"/>
  <c r="Q1762" i="12"/>
  <c r="Q1235" i="12"/>
  <c r="Q3296" i="12"/>
  <c r="Q3228" i="12"/>
  <c r="Q959" i="12"/>
  <c r="Q649" i="12"/>
  <c r="Q1891" i="12"/>
  <c r="Q1433" i="12"/>
  <c r="Q1880" i="12"/>
  <c r="Q1587" i="12"/>
  <c r="Q3201" i="12"/>
  <c r="Q2723" i="12"/>
  <c r="Q1703" i="12"/>
  <c r="Q434" i="12"/>
  <c r="Q1807" i="12"/>
  <c r="Q2182" i="12"/>
  <c r="Q1770" i="12"/>
  <c r="Q2563" i="12"/>
  <c r="Q2786" i="12"/>
  <c r="Q2619" i="12"/>
  <c r="Q2199" i="12"/>
  <c r="Q2277" i="12"/>
  <c r="Q68" i="12"/>
  <c r="Q71" i="12"/>
  <c r="Q3039" i="12"/>
  <c r="Q1022" i="12"/>
  <c r="Q2529" i="12"/>
  <c r="Q3103" i="12"/>
  <c r="Q1961" i="12"/>
  <c r="Q894" i="12"/>
  <c r="Q181" i="12"/>
  <c r="Q564" i="12"/>
  <c r="Q3094" i="12"/>
  <c r="Q899" i="12"/>
  <c r="Q43" i="12"/>
  <c r="Q3313" i="12"/>
  <c r="Q2966" i="12"/>
  <c r="Q3337" i="12"/>
  <c r="Q3385" i="12"/>
  <c r="Q3000" i="12"/>
  <c r="Q1220" i="12"/>
  <c r="Q793" i="12"/>
  <c r="Q2673" i="12"/>
  <c r="Q1039" i="12"/>
  <c r="Q1002" i="12"/>
  <c r="Q2726" i="12"/>
  <c r="Q2980" i="12"/>
  <c r="Q186" i="12"/>
  <c r="Q2135" i="12"/>
  <c r="Q3536" i="12"/>
  <c r="Q2928" i="12"/>
  <c r="Q2472" i="12"/>
  <c r="Q3035" i="12"/>
  <c r="Q1503" i="12"/>
  <c r="Q101" i="12"/>
  <c r="Q132" i="12"/>
  <c r="Q3148" i="12"/>
  <c r="Q1435" i="12"/>
  <c r="Q1142" i="12"/>
  <c r="Q1924" i="12"/>
  <c r="Q2708" i="12"/>
  <c r="Q1543" i="12"/>
  <c r="Q3463" i="12"/>
  <c r="Q698" i="12"/>
  <c r="Q855" i="12"/>
  <c r="Q1876" i="12"/>
  <c r="Q1468" i="12"/>
  <c r="Q3461" i="12"/>
  <c r="Q299" i="12"/>
  <c r="Q3551" i="12"/>
  <c r="Q3289" i="12"/>
  <c r="Q496" i="12"/>
  <c r="Q1765" i="12"/>
  <c r="Q428" i="12"/>
  <c r="Q3525" i="12"/>
  <c r="Q2237" i="12"/>
  <c r="Q1413" i="12"/>
  <c r="Q2646" i="12"/>
  <c r="Q3157" i="12"/>
  <c r="Q548" i="12"/>
  <c r="Q1828" i="12"/>
  <c r="Q960" i="12"/>
  <c r="Q1227" i="12"/>
  <c r="Q2729" i="12"/>
  <c r="Q294" i="12"/>
  <c r="Q2830" i="12"/>
  <c r="Q2206" i="12"/>
  <c r="Q2052" i="12"/>
  <c r="Q2088" i="12"/>
  <c r="Q920" i="12"/>
  <c r="Q2275" i="12"/>
  <c r="Q2228" i="12"/>
  <c r="Q999" i="12"/>
  <c r="Q893" i="12"/>
  <c r="Q2150" i="12"/>
  <c r="Q1992" i="12"/>
  <c r="Q481" i="12"/>
  <c r="Q923" i="12"/>
  <c r="Q3280" i="12"/>
  <c r="Q3082" i="12"/>
  <c r="Q3435" i="12"/>
  <c r="Q1922" i="12"/>
  <c r="Q1336" i="12"/>
  <c r="Q1928" i="12"/>
  <c r="Q1151" i="12"/>
  <c r="Q2548" i="12"/>
  <c r="Q2494" i="12"/>
  <c r="Q1617" i="12"/>
  <c r="Q2588" i="12"/>
  <c r="Q2815" i="12"/>
  <c r="Q1731" i="12"/>
  <c r="Q1480" i="12"/>
  <c r="Q580" i="12"/>
  <c r="Q3240" i="12"/>
  <c r="Q332" i="12"/>
  <c r="Q516" i="12"/>
  <c r="Q1078" i="12"/>
  <c r="Q2783" i="12"/>
  <c r="Q198" i="12"/>
  <c r="Q914" i="12"/>
  <c r="Q367" i="12"/>
  <c r="Q191" i="12"/>
  <c r="Q3218" i="12"/>
  <c r="Q2996" i="12"/>
  <c r="Q3135" i="12"/>
  <c r="Q1279" i="12"/>
  <c r="Q2880" i="12"/>
  <c r="Q760" i="12"/>
  <c r="Q2445" i="12"/>
  <c r="Q2267" i="12"/>
  <c r="Q841" i="12"/>
  <c r="Q3250" i="12"/>
  <c r="Q312" i="12"/>
  <c r="Q2682" i="12"/>
  <c r="Q339" i="12"/>
  <c r="Q2621" i="12"/>
  <c r="Q1569" i="12"/>
  <c r="Q2686" i="12"/>
  <c r="Q1754" i="12"/>
  <c r="Q1105" i="12"/>
  <c r="Q1763" i="12"/>
  <c r="Q820" i="12"/>
  <c r="Q3249" i="12"/>
  <c r="Q1566" i="12"/>
  <c r="Q2554" i="12"/>
  <c r="Q1913" i="12"/>
  <c r="Q588" i="12"/>
  <c r="Q814" i="12"/>
  <c r="Q2391" i="12"/>
  <c r="Q3504" i="12"/>
  <c r="Q495" i="12"/>
  <c r="Q1076" i="12"/>
  <c r="Q2244" i="12"/>
  <c r="Q1385" i="12"/>
  <c r="Q3484" i="12"/>
  <c r="Q308" i="12"/>
  <c r="Q1430" i="12"/>
  <c r="Q384" i="12"/>
  <c r="Q2470" i="12"/>
  <c r="Q935" i="12"/>
  <c r="Q3360" i="12"/>
  <c r="Q2968" i="12"/>
  <c r="Q1960" i="12"/>
  <c r="Q189" i="12"/>
  <c r="Q2816" i="12"/>
  <c r="Q1610" i="12"/>
  <c r="Q2055" i="12"/>
  <c r="Q441" i="12"/>
  <c r="Q1185" i="12"/>
  <c r="Q448" i="12"/>
  <c r="Q350" i="12"/>
  <c r="Q438" i="12"/>
  <c r="Q1479" i="12"/>
  <c r="Q2757" i="12"/>
  <c r="Q1515" i="12"/>
  <c r="Q107" i="12"/>
  <c r="Q2889" i="12"/>
  <c r="Q393" i="12"/>
  <c r="Q3424" i="12"/>
  <c r="Q93" i="12"/>
  <c r="Q838" i="12"/>
  <c r="Q3054" i="12"/>
  <c r="Q897" i="12"/>
  <c r="Q310" i="12"/>
  <c r="Q2479" i="12"/>
  <c r="Q601" i="12"/>
  <c r="Q2061" i="12"/>
  <c r="Q324" i="12"/>
  <c r="Q1627" i="12"/>
  <c r="Q2481" i="12"/>
  <c r="Q797" i="12"/>
  <c r="Q2097" i="12"/>
  <c r="Q2975" i="12"/>
  <c r="Q2048" i="12"/>
  <c r="Q392" i="12"/>
  <c r="Q51" i="12"/>
  <c r="Q2004" i="12"/>
  <c r="Q1114" i="12"/>
  <c r="Q925" i="12"/>
  <c r="Q2523" i="12"/>
  <c r="Q572" i="12"/>
  <c r="Q1440" i="12"/>
  <c r="Q872" i="12"/>
  <c r="Q1624" i="12"/>
  <c r="Q120" i="12"/>
  <c r="Q2435" i="12"/>
  <c r="Q603" i="12"/>
  <c r="Q2153" i="12"/>
  <c r="Q1392" i="12"/>
  <c r="Q1108" i="12"/>
  <c r="Q2908" i="12"/>
  <c r="Q685" i="12"/>
  <c r="Q1286" i="12"/>
  <c r="Q1046" i="12"/>
  <c r="Q3265" i="12"/>
  <c r="Q245" i="12"/>
  <c r="Q1682" i="12"/>
  <c r="Q984" i="12"/>
  <c r="Q3379" i="12"/>
  <c r="Q2511" i="12"/>
  <c r="Q944" i="12"/>
  <c r="Q416" i="12"/>
  <c r="Q557" i="12"/>
  <c r="Q3417" i="12"/>
  <c r="Q1135" i="12"/>
  <c r="Q1211" i="12"/>
  <c r="Q3270" i="12"/>
  <c r="Q1072" i="12"/>
  <c r="Q2843" i="12"/>
  <c r="Q2731" i="12"/>
  <c r="Q833" i="12"/>
  <c r="Q2780" i="12"/>
  <c r="Q3185" i="12"/>
  <c r="Q1728" i="12"/>
  <c r="Q626" i="12"/>
  <c r="Q905" i="12"/>
  <c r="Q3034" i="12"/>
  <c r="Q1618" i="12"/>
  <c r="Q2974" i="12"/>
  <c r="Q163" i="12"/>
  <c r="Q1575" i="12"/>
  <c r="Q2670" i="12"/>
  <c r="Q153" i="12"/>
  <c r="Q44" i="12"/>
  <c r="Q154" i="12"/>
  <c r="Q1136" i="12"/>
  <c r="Q2059" i="12"/>
  <c r="Q3354" i="12"/>
  <c r="Q543" i="12"/>
  <c r="Q1443" i="12"/>
  <c r="Q2985" i="12"/>
  <c r="Q2735" i="12"/>
  <c r="Q1111" i="12"/>
  <c r="Q558" i="12"/>
  <c r="Q800" i="12"/>
  <c r="Q1589" i="12"/>
  <c r="Q2292" i="12"/>
  <c r="Q1167" i="12"/>
  <c r="Q491" i="12"/>
  <c r="Q193" i="12"/>
  <c r="Q1370" i="12"/>
  <c r="Q1322" i="12"/>
  <c r="Q702" i="12"/>
  <c r="Q3396" i="12"/>
  <c r="Q1398" i="12"/>
  <c r="Q1925" i="12"/>
  <c r="Q1418" i="12"/>
  <c r="Q546" i="12"/>
  <c r="Q993" i="12"/>
  <c r="Q2704" i="12"/>
  <c r="Q139" i="12"/>
  <c r="Q743" i="12"/>
  <c r="Q1496" i="12"/>
  <c r="Q551" i="12"/>
  <c r="Q2565" i="12"/>
  <c r="Q1406" i="12"/>
  <c r="Q1209" i="12"/>
  <c r="Q147" i="12"/>
  <c r="Q2296" i="12"/>
  <c r="Q1307" i="12"/>
  <c r="Q3140" i="12"/>
  <c r="Q50" i="12"/>
  <c r="Q782" i="12"/>
  <c r="Q2610" i="12"/>
  <c r="Q2866" i="12"/>
  <c r="Q2272" i="12"/>
  <c r="Q2773" i="12"/>
  <c r="Q3053" i="12"/>
  <c r="Q1080" i="12"/>
  <c r="Q3255" i="12"/>
  <c r="Q301" i="12"/>
  <c r="Q701" i="12"/>
  <c r="Q2402" i="12"/>
  <c r="Q2389" i="12"/>
  <c r="Q1849" i="12"/>
  <c r="Q342" i="12"/>
  <c r="Q2516" i="12"/>
  <c r="Q3325" i="12"/>
  <c r="Q2944" i="12"/>
  <c r="Q1805" i="12"/>
  <c r="Q1306" i="12"/>
  <c r="Q1335" i="12"/>
  <c r="Q3001" i="12"/>
  <c r="Q2379" i="12"/>
  <c r="Q1288" i="12"/>
  <c r="Q1806" i="12"/>
  <c r="Q1388" i="12"/>
  <c r="Q3321" i="12"/>
  <c r="Q2666" i="12"/>
  <c r="Q1326" i="12"/>
  <c r="Q2859" i="12"/>
  <c r="Q23" i="12"/>
  <c r="Q1148" i="12"/>
  <c r="Q2050" i="12"/>
  <c r="Q2266" i="12"/>
  <c r="Q2002" i="12"/>
  <c r="Q1200" i="12"/>
  <c r="Q3254" i="12"/>
  <c r="Q2144" i="12"/>
  <c r="Q1676" i="12"/>
  <c r="Q972" i="12"/>
  <c r="Q422" i="12"/>
  <c r="Q2717" i="12"/>
  <c r="Q3513" i="12"/>
  <c r="Q3284" i="12"/>
  <c r="Q2724" i="12"/>
  <c r="Q2085" i="12"/>
  <c r="Q2753" i="12"/>
  <c r="Q1857" i="12"/>
  <c r="Q40" i="12"/>
  <c r="Q2730" i="12"/>
  <c r="Q2913" i="12"/>
  <c r="Q1025" i="12"/>
  <c r="Q447" i="12"/>
  <c r="Q3154" i="12"/>
  <c r="Q176" i="12"/>
  <c r="Q1099" i="12"/>
  <c r="Q622" i="12"/>
  <c r="Q194" i="12"/>
  <c r="Q1410" i="12"/>
  <c r="Q224" i="12"/>
  <c r="Q2734" i="12"/>
  <c r="Q1387" i="12"/>
  <c r="Q1208" i="12"/>
  <c r="Q2559" i="12"/>
  <c r="Q1759" i="12"/>
  <c r="Q2609" i="12"/>
  <c r="Q2849" i="12"/>
  <c r="Q360" i="12"/>
  <c r="Q3192" i="12"/>
  <c r="Q411" i="12"/>
  <c r="Q3002" i="12"/>
  <c r="Q2635" i="12"/>
  <c r="Q283" i="12"/>
  <c r="Q288" i="12"/>
  <c r="Q1186" i="12"/>
  <c r="Q1384" i="12"/>
  <c r="Q2566" i="12"/>
  <c r="Q1219" i="12"/>
  <c r="Q951" i="12"/>
  <c r="Q372" i="12"/>
  <c r="Q1360" i="12"/>
  <c r="Q1673" i="12"/>
  <c r="Q500" i="12"/>
  <c r="Q873" i="12"/>
  <c r="Q2782" i="12"/>
  <c r="Q1297" i="12"/>
  <c r="Q1124" i="12"/>
  <c r="Q455" i="12"/>
  <c r="Q3161" i="12"/>
  <c r="Q344" i="12"/>
  <c r="Q1082" i="12"/>
  <c r="Q1093" i="12"/>
  <c r="Q2555" i="12"/>
  <c r="Q1717" i="12"/>
  <c r="Q1178" i="12"/>
  <c r="Q2106" i="12"/>
  <c r="Q204" i="12"/>
  <c r="Q2801" i="12"/>
  <c r="Q2958" i="12"/>
  <c r="Q1855" i="12"/>
  <c r="Q642" i="12"/>
  <c r="Q1064" i="12"/>
  <c r="Q2644" i="12"/>
  <c r="Q1137" i="12"/>
  <c r="Q1748" i="12"/>
  <c r="Q2828" i="12"/>
  <c r="Q1649" i="12"/>
  <c r="Q2242" i="12"/>
  <c r="Q356" i="12"/>
  <c r="Q697" i="12"/>
  <c r="Q1761" i="12"/>
  <c r="Q2560" i="12"/>
  <c r="Q3238" i="12"/>
  <c r="Q2302" i="12"/>
  <c r="Q2131" i="12"/>
  <c r="Q462" i="12"/>
  <c r="Q1608" i="12"/>
  <c r="Q2649" i="12"/>
  <c r="Q2862" i="12"/>
  <c r="Q3357" i="12"/>
  <c r="Q1348" i="12"/>
  <c r="Q792" i="12"/>
  <c r="Q2665" i="12"/>
  <c r="Q689" i="12"/>
  <c r="Q2253" i="12"/>
  <c r="Q1533" i="12"/>
  <c r="Q221" i="12"/>
  <c r="Q752" i="12"/>
  <c r="Q1520" i="12"/>
  <c r="Q3146" i="12"/>
  <c r="Q2763" i="12"/>
  <c r="Q2110" i="12"/>
  <c r="Q293" i="12"/>
  <c r="Q1153" i="12"/>
  <c r="Q479" i="12"/>
  <c r="Q2641" i="12"/>
  <c r="Q2747" i="12"/>
  <c r="Q2032" i="12"/>
  <c r="Q1098" i="12"/>
  <c r="Q742" i="12"/>
  <c r="Q2601" i="12"/>
  <c r="Q2468" i="12"/>
  <c r="Q3138" i="12"/>
  <c r="Q2094" i="12"/>
  <c r="Q3022" i="12"/>
  <c r="Q1252" i="12"/>
  <c r="Q436" i="12"/>
  <c r="Q398" i="12"/>
  <c r="Q776" i="12"/>
  <c r="Q1006" i="12"/>
  <c r="Q1495" i="12"/>
  <c r="Q2943" i="12"/>
  <c r="Q673" i="12"/>
  <c r="Q866" i="12"/>
  <c r="Q2934" i="12"/>
  <c r="Q2897" i="12"/>
  <c r="Q1681" i="12"/>
  <c r="Q2650" i="12"/>
  <c r="Q2152" i="12"/>
  <c r="Q3505" i="12"/>
  <c r="Q995" i="12"/>
  <c r="Q3268" i="12"/>
  <c r="Q3422" i="12"/>
  <c r="Q1207" i="12"/>
  <c r="Q1595" i="12"/>
  <c r="Q2119" i="12"/>
  <c r="Q3475" i="12"/>
  <c r="Q2193" i="12"/>
  <c r="Q1273" i="12"/>
  <c r="Q3271" i="12"/>
  <c r="Q1069" i="12"/>
  <c r="Q505" i="12"/>
  <c r="Q2213" i="12"/>
  <c r="Q1512" i="12"/>
  <c r="Q2387" i="12"/>
  <c r="Q977" i="12"/>
  <c r="Q1804" i="12"/>
  <c r="Q3180" i="12"/>
  <c r="Q1075" i="12"/>
  <c r="Q35" i="12"/>
  <c r="Q29" i="12"/>
  <c r="Q2201" i="12"/>
  <c r="Q1871" i="12"/>
  <c r="Q3080" i="12"/>
  <c r="Q1557" i="12"/>
  <c r="Q2701" i="12"/>
  <c r="Q2990" i="12"/>
  <c r="Q2550" i="12"/>
  <c r="Q600" i="12"/>
  <c r="Q79" i="12"/>
  <c r="Q1666" i="12"/>
  <c r="Q2278" i="12"/>
  <c r="Q2167" i="12"/>
  <c r="Q2612" i="12"/>
  <c r="Q653" i="12"/>
  <c r="Q2581" i="12"/>
  <c r="Q1368" i="12"/>
  <c r="Q2751" i="12"/>
  <c r="Q1147" i="12"/>
  <c r="Q220" i="12"/>
  <c r="Q1519" i="12"/>
  <c r="Q1724" i="12"/>
  <c r="Q1436" i="12"/>
  <c r="Q1277" i="12"/>
  <c r="Q1034" i="12"/>
  <c r="Q735" i="12"/>
  <c r="Q770" i="12"/>
  <c r="Q222" i="12"/>
  <c r="Q489" i="12"/>
  <c r="Q2659" i="12"/>
  <c r="Q117" i="12"/>
  <c r="Q116" i="12"/>
  <c r="Q1222" i="12"/>
  <c r="Q1640" i="12"/>
  <c r="Q1852" i="12"/>
  <c r="Q979" i="12"/>
  <c r="Q880" i="12"/>
  <c r="Q854" i="12"/>
  <c r="Q3413" i="12"/>
  <c r="Q1551" i="12"/>
  <c r="Q3122" i="12"/>
  <c r="Q512" i="12"/>
  <c r="Q3069" i="12"/>
  <c r="Q265" i="12"/>
  <c r="Q1774" i="12"/>
  <c r="Q274" i="12"/>
  <c r="Q459" i="12"/>
  <c r="Q2303" i="12"/>
  <c r="Q3195" i="12"/>
  <c r="Q1887" i="12"/>
  <c r="Q915" i="12"/>
  <c r="Q2041" i="12"/>
  <c r="Q1604" i="12"/>
  <c r="Q418" i="12"/>
  <c r="Q577" i="12"/>
  <c r="Q596" i="12"/>
  <c r="Q662" i="12"/>
  <c r="Q3540" i="12"/>
  <c r="Q2160" i="12"/>
  <c r="Q476" i="12"/>
  <c r="Q2254" i="12"/>
  <c r="Q2672" i="12"/>
  <c r="Q1696" i="12"/>
  <c r="Q259" i="12"/>
  <c r="Q3071" i="12"/>
  <c r="Q2105" i="12"/>
  <c r="Q2675" i="12"/>
  <c r="Q1881" i="12"/>
  <c r="Q1294" i="12"/>
  <c r="Q932" i="12"/>
  <c r="Q2448" i="12"/>
  <c r="Q2026" i="12"/>
  <c r="Q1447" i="12"/>
  <c r="Q3003" i="12"/>
  <c r="Q3340" i="12"/>
  <c r="Q102" i="12"/>
  <c r="Q1760" i="12"/>
  <c r="Q134" i="12"/>
  <c r="Q2025" i="12"/>
  <c r="Q412" i="12"/>
  <c r="Q2582" i="12"/>
  <c r="Q2039" i="12"/>
  <c r="Q389" i="12"/>
  <c r="Q243" i="12"/>
  <c r="Q1095" i="12"/>
  <c r="Q765" i="12"/>
  <c r="Q2308" i="12"/>
  <c r="Q1126" i="12"/>
  <c r="Q2260" i="12"/>
  <c r="Q1295" i="12"/>
  <c r="Q61" i="12"/>
  <c r="Q2460" i="12"/>
  <c r="Q2898" i="12"/>
  <c r="Q2419" i="12"/>
  <c r="Q1572" i="12"/>
  <c r="Q1721" i="12"/>
  <c r="Q659" i="12"/>
  <c r="Q3501" i="12"/>
  <c r="Q1730" i="12"/>
  <c r="Q373" i="12"/>
  <c r="Q1218" i="12"/>
  <c r="Q2216" i="12"/>
  <c r="Q33" i="12"/>
  <c r="Q1024" i="12"/>
  <c r="Q74" i="12"/>
  <c r="Q2749" i="12"/>
  <c r="Q3344" i="12"/>
  <c r="Q2556" i="12"/>
  <c r="Q1320" i="12"/>
  <c r="Q1803" i="12"/>
  <c r="Q2775" i="12"/>
  <c r="Q2139" i="12"/>
  <c r="Q1262" i="12"/>
  <c r="Q2463" i="12"/>
  <c r="Q467" i="12"/>
  <c r="Q2116" i="12"/>
  <c r="Q687" i="12"/>
  <c r="Q3338" i="12"/>
  <c r="Q1823" i="12"/>
  <c r="Q1198" i="12"/>
  <c r="Q801" i="12"/>
  <c r="Q3062" i="12"/>
  <c r="Q712" i="12"/>
  <c r="Q126" i="12"/>
  <c r="Q1906" i="12"/>
  <c r="Q1202" i="12"/>
  <c r="Q715" i="12"/>
  <c r="Q1524" i="12"/>
  <c r="Q3343" i="12"/>
  <c r="Q2342" i="12"/>
  <c r="Q443" i="12"/>
  <c r="Q2510" i="12"/>
  <c r="Q1616" i="12"/>
  <c r="Q138" i="12"/>
  <c r="Q591" i="12"/>
  <c r="Q859" i="12"/>
  <c r="Q3450" i="12"/>
  <c r="Q226" i="12"/>
  <c r="Q493" i="12"/>
  <c r="Q1657" i="12"/>
  <c r="Q2455" i="12"/>
  <c r="Q313" i="12"/>
  <c r="Q260" i="12"/>
  <c r="Q2394" i="12"/>
  <c r="Q2375" i="12"/>
  <c r="Q45" i="12"/>
  <c r="Q1687" i="12"/>
  <c r="Q1184" i="12"/>
  <c r="Q2063" i="12"/>
  <c r="Q725" i="12"/>
  <c r="Q3472" i="12"/>
  <c r="Q272" i="12"/>
  <c r="Q607" i="12"/>
  <c r="Q3050" i="12"/>
  <c r="Q2373" i="12"/>
  <c r="Q1902" i="12"/>
  <c r="Q875" i="12"/>
  <c r="Q713" i="12"/>
  <c r="Q2293" i="12"/>
  <c r="Q2746" i="12"/>
  <c r="Q2853" i="12"/>
  <c r="Q1985" i="12"/>
  <c r="Q1743" i="12"/>
  <c r="Q3393" i="12"/>
  <c r="Q573" i="12"/>
  <c r="Q1835" i="12"/>
  <c r="Q1417" i="12"/>
  <c r="Q2212" i="12"/>
  <c r="Q1061" i="12"/>
  <c r="Q158" i="12"/>
  <c r="Q366" i="12"/>
  <c r="Q574" i="12"/>
  <c r="Q2702" i="12"/>
  <c r="Q2700" i="12"/>
  <c r="Q2289" i="12"/>
  <c r="Q1769" i="12"/>
  <c r="Q991" i="12"/>
  <c r="Q1635" i="12"/>
  <c r="Q2909" i="12"/>
  <c r="Q105" i="12"/>
  <c r="Q2727" i="12"/>
  <c r="Q1776" i="12"/>
  <c r="Q1957" i="12"/>
  <c r="Q425" i="12"/>
  <c r="Q3470" i="12"/>
  <c r="Q2215" i="12"/>
  <c r="Q818" i="12"/>
  <c r="Q2678" i="12"/>
  <c r="Q1825" i="12"/>
  <c r="Q2197" i="12"/>
  <c r="Q2158" i="12"/>
  <c r="Q1739" i="12"/>
  <c r="Q896" i="12"/>
  <c r="Q1923" i="12"/>
  <c r="Q1619" i="12"/>
  <c r="Q2279" i="12"/>
  <c r="Q2562" i="12"/>
  <c r="Q346" i="12"/>
  <c r="Q1917" i="12"/>
  <c r="Q2867" i="12"/>
  <c r="Q869" i="12"/>
  <c r="Q75" i="12"/>
  <c r="Q3173" i="12"/>
  <c r="Q3046" i="12"/>
  <c r="Q1497" i="12"/>
  <c r="Q2993" i="12"/>
  <c r="Q1459" i="12"/>
  <c r="Q213" i="12"/>
  <c r="Q2840" i="12"/>
  <c r="Q2280" i="12"/>
  <c r="Q3272" i="12"/>
  <c r="Q1993" i="12"/>
  <c r="Q3547" i="12"/>
  <c r="Q2461" i="12"/>
  <c r="Q1788" i="12"/>
  <c r="Q980" i="12"/>
  <c r="Q1073" i="12"/>
  <c r="Q677" i="12"/>
  <c r="Q309" i="12"/>
  <c r="Q1845" i="12"/>
  <c r="Q706" i="12"/>
  <c r="Q111" i="12"/>
  <c r="Q3098" i="12"/>
  <c r="Q2643" i="12"/>
  <c r="Q402" i="12"/>
  <c r="Q1632" i="12"/>
  <c r="Q592" i="12"/>
  <c r="Q2596" i="12"/>
  <c r="Q3518" i="12"/>
  <c r="Q1669" i="12"/>
  <c r="Q2696" i="12"/>
  <c r="Q2006" i="12"/>
  <c r="Q1966" i="12"/>
  <c r="Q3011" i="12"/>
  <c r="Q2714" i="12"/>
  <c r="Q1216" i="12"/>
  <c r="Q3545" i="12"/>
  <c r="Q255" i="12"/>
  <c r="Q3293" i="12"/>
  <c r="Q3114" i="12"/>
  <c r="Q355" i="12"/>
  <c r="Q72" i="12"/>
  <c r="Q2070" i="12"/>
  <c r="Q3088" i="12"/>
  <c r="Q364" i="12"/>
  <c r="Q1196" i="12"/>
  <c r="Q124" i="12"/>
  <c r="Q2732" i="12"/>
  <c r="Q1510" i="12"/>
  <c r="Q2973" i="12"/>
  <c r="Q196" i="12"/>
  <c r="Q3533" i="12"/>
  <c r="Q2265" i="12"/>
  <c r="Q1489" i="12"/>
  <c r="Q3491" i="12"/>
  <c r="Q2086" i="12"/>
  <c r="Q2860" i="12"/>
  <c r="Q1701" i="12"/>
  <c r="Q1446" i="12"/>
  <c r="Q3028" i="12"/>
  <c r="Q140" i="12"/>
  <c r="Q2396" i="12"/>
  <c r="Q3356" i="12"/>
  <c r="Q2431" i="12"/>
  <c r="Q1375" i="12"/>
  <c r="Q1386" i="12"/>
  <c r="Q883" i="12"/>
  <c r="Q3024" i="12"/>
  <c r="Q1175" i="12"/>
  <c r="Q337" i="12"/>
  <c r="Q576" i="12"/>
  <c r="Q594" i="12"/>
  <c r="Q21" i="12"/>
  <c r="Q3297" i="12"/>
  <c r="Q2764" i="12"/>
  <c r="Q1652" i="12"/>
  <c r="Q1159" i="12"/>
  <c r="Q2092" i="12"/>
  <c r="Q3404" i="12"/>
  <c r="Q882" i="12"/>
  <c r="Q482" i="12"/>
  <c r="Q2348" i="12"/>
  <c r="Q1423" i="12"/>
  <c r="Q2798" i="12"/>
  <c r="Q2962" i="12"/>
  <c r="Q1785" i="12"/>
  <c r="Q2768" i="12"/>
  <c r="Q2343" i="12"/>
  <c r="Q3345" i="12"/>
  <c r="Q3444" i="12"/>
  <c r="Q2937" i="12"/>
  <c r="Q1225" i="12"/>
  <c r="Q3362" i="12"/>
  <c r="Q2591" i="12"/>
  <c r="Q2049" i="12"/>
  <c r="Q2573" i="12"/>
  <c r="Q1475" i="12"/>
  <c r="Q1513" i="12"/>
  <c r="Q2338" i="12"/>
  <c r="Q1646" i="12"/>
  <c r="Q1518" i="12"/>
  <c r="Q2480" i="12"/>
  <c r="Q1053" i="12"/>
  <c r="Q1753" i="12"/>
  <c r="Q2238" i="12"/>
  <c r="Q432" i="12"/>
  <c r="Q2900" i="12"/>
  <c r="Q3548" i="12"/>
  <c r="Q1131" i="12"/>
  <c r="Q1579" i="12"/>
  <c r="Q1862" i="12"/>
  <c r="Q2535" i="12"/>
  <c r="Q2916" i="12"/>
  <c r="Q1813" i="12"/>
  <c r="Q1081" i="12"/>
  <c r="Q67" i="12"/>
  <c r="Q437" i="12"/>
  <c r="Q485" i="12"/>
  <c r="Q1541" i="12"/>
  <c r="Q475" i="12"/>
  <c r="Q3149" i="12"/>
  <c r="Q3137" i="12"/>
  <c r="Q2405" i="12"/>
  <c r="Q707" i="12"/>
  <c r="Q1505" i="12"/>
  <c r="Q1934" i="12"/>
  <c r="Q3317" i="12"/>
  <c r="Q916" i="12"/>
  <c r="Q2057" i="12"/>
  <c r="Q1903" i="12"/>
  <c r="Q690" i="12"/>
  <c r="Q1250" i="12"/>
  <c r="Q759" i="12"/>
  <c r="Q2791" i="12"/>
  <c r="Q606" i="12"/>
  <c r="Q466" i="12"/>
  <c r="Q1465" i="12"/>
  <c r="Q2992" i="12"/>
  <c r="Q1102" i="12"/>
  <c r="Q24" i="12"/>
  <c r="Q1946" i="12"/>
  <c r="Q1580" i="12"/>
  <c r="Q2639" i="12"/>
  <c r="Q755" i="12"/>
  <c r="Q39" i="12"/>
  <c r="Q1643" i="12"/>
  <c r="Q987" i="12"/>
  <c r="Q1065" i="12"/>
  <c r="Q1038" i="12"/>
  <c r="Q3198" i="12"/>
  <c r="Q2929" i="12"/>
  <c r="Q3273" i="12"/>
  <c r="Q1199" i="12"/>
  <c r="Q1066" i="12"/>
  <c r="Q1872" i="12"/>
  <c r="Q3370" i="12"/>
  <c r="Q1253" i="12"/>
  <c r="Q526" i="12"/>
  <c r="Q2793" i="12"/>
  <c r="Q370" i="12"/>
  <c r="Q3443" i="12"/>
  <c r="Q1586" i="12"/>
  <c r="Q719" i="12"/>
  <c r="Q2234" i="12"/>
  <c r="Q1281" i="12"/>
  <c r="Q1110" i="12"/>
  <c r="Q1267" i="12"/>
  <c r="Q2953" i="12"/>
  <c r="Q1637" i="12"/>
  <c r="Q3224" i="12"/>
  <c r="Q2312" i="12"/>
  <c r="Q3292" i="12"/>
  <c r="Q974" i="12"/>
  <c r="Q2154" i="12"/>
  <c r="Q2172" i="12"/>
  <c r="Q2425" i="12"/>
  <c r="Q2283" i="12"/>
  <c r="Q1400" i="12"/>
  <c r="Q451" i="12"/>
  <c r="Q1466" i="12"/>
  <c r="Q571" i="12"/>
  <c r="Q65" i="12"/>
  <c r="Q3535" i="12"/>
  <c r="Q2490" i="12"/>
  <c r="Q2221" i="12"/>
  <c r="Q1317" i="12"/>
  <c r="Q1766" i="12"/>
  <c r="Q3439" i="12"/>
  <c r="Q3160" i="12"/>
  <c r="Q2179" i="12"/>
  <c r="Q449" i="12"/>
  <c r="Q805" i="12"/>
  <c r="Q3193" i="12"/>
  <c r="Q2476" i="12"/>
  <c r="Q3189" i="12"/>
  <c r="Q424" i="12"/>
  <c r="Q2420" i="12"/>
  <c r="Q1033" i="12"/>
  <c r="Q3391" i="12"/>
  <c r="Q868" i="12"/>
  <c r="Q1981" i="12"/>
  <c r="Q2239" i="12"/>
  <c r="Q48" i="12"/>
  <c r="Q2800" i="12"/>
  <c r="Q2505" i="12"/>
  <c r="Q1689" i="12"/>
  <c r="Q1055" i="12"/>
  <c r="Q3542" i="12"/>
  <c r="Q2537" i="12"/>
  <c r="Q1834" i="12"/>
  <c r="Q803" i="12"/>
  <c r="Q2593" i="12"/>
  <c r="Q3473" i="12"/>
  <c r="Q1842" i="12"/>
  <c r="Q3389" i="12"/>
  <c r="Q2401" i="12"/>
  <c r="Q408" i="12"/>
  <c r="Q1456" i="12"/>
  <c r="Q1045" i="12"/>
  <c r="Q159" i="12"/>
  <c r="Q569" i="12"/>
  <c r="Q3287" i="12"/>
  <c r="Q2600" i="12"/>
  <c r="Q2467" i="12"/>
  <c r="Q2872" i="12"/>
  <c r="Q856" i="12"/>
  <c r="Q2126" i="12"/>
  <c r="Q3414" i="12"/>
  <c r="Q1685" i="12"/>
  <c r="Q1086" i="12"/>
  <c r="Q1268" i="12"/>
  <c r="Q2971" i="12"/>
  <c r="Q2936" i="12"/>
  <c r="Q1606" i="12"/>
  <c r="Q1401" i="12"/>
  <c r="Q1106" i="12"/>
  <c r="Q2642" i="12"/>
  <c r="Q90" i="12"/>
  <c r="Q2128" i="12"/>
  <c r="Q2073" i="12"/>
  <c r="Q2887" i="12"/>
  <c r="Q52" i="12"/>
  <c r="Q3052" i="12"/>
  <c r="Q2574" i="12"/>
  <c r="Q767" i="12"/>
  <c r="Q2203" i="12"/>
  <c r="Q2811" i="12"/>
  <c r="Q239" i="12"/>
  <c r="Q952" i="12"/>
  <c r="Q2439" i="12"/>
  <c r="Q251" i="12"/>
  <c r="Q3047" i="12"/>
  <c r="Q787" i="12"/>
  <c r="Q1060" i="12"/>
  <c r="Q1607" i="12"/>
  <c r="Q2613" i="12"/>
  <c r="Q1650" i="12"/>
  <c r="Q30" i="12"/>
  <c r="Q2125" i="12"/>
  <c r="Q3515" i="12"/>
  <c r="Q56" i="12"/>
  <c r="Q530" i="12"/>
  <c r="Q1647" i="12"/>
  <c r="Q508" i="12"/>
  <c r="Q3037" i="12"/>
  <c r="Q3341" i="12"/>
  <c r="Q3433" i="12"/>
  <c r="Q211" i="12"/>
  <c r="Q749" i="12"/>
  <c r="Q2923" i="12"/>
  <c r="Q2818" i="12"/>
  <c r="Q937" i="12"/>
  <c r="Q322" i="12"/>
  <c r="Q2068" i="12"/>
  <c r="Q2273" i="12"/>
  <c r="Q435" i="12"/>
  <c r="Q2247" i="12"/>
  <c r="Q3489" i="12"/>
  <c r="Q2541" i="12"/>
  <c r="Q3530" i="12"/>
  <c r="Q2397" i="12"/>
  <c r="Q1354" i="12"/>
  <c r="Q98" i="12"/>
  <c r="Q292" i="12"/>
  <c r="Q2442" i="12"/>
  <c r="Q2683" i="12"/>
  <c r="Q762" i="12"/>
  <c r="Q100" i="12"/>
  <c r="Q917" i="12"/>
  <c r="Q269" i="12"/>
  <c r="Q1255" i="12"/>
  <c r="Q835" i="12"/>
  <c r="Q3352" i="12"/>
  <c r="Q349" i="12"/>
  <c r="Q973" i="12"/>
  <c r="Q654" i="12"/>
  <c r="Q2878" i="12"/>
  <c r="Q359" i="12"/>
  <c r="Q1811" i="12"/>
  <c r="Q1594" i="12"/>
  <c r="Q2337" i="12"/>
  <c r="Q429" i="12"/>
  <c r="Q2340" i="12"/>
  <c r="Q808" i="12"/>
  <c r="Q1000" i="12"/>
  <c r="Q566" i="12"/>
  <c r="Q718" i="12"/>
  <c r="Q786" i="12"/>
  <c r="Q2663" i="12"/>
  <c r="Q861" i="12"/>
  <c r="Q1861" i="12"/>
  <c r="Q2617" i="12"/>
  <c r="Q1119" i="12"/>
  <c r="Q2163" i="12"/>
  <c r="Q1735" i="12"/>
  <c r="Q1838" i="12"/>
  <c r="Q1181" i="12"/>
  <c r="Q2069" i="12"/>
  <c r="Q2991" i="12"/>
  <c r="Q2776" i="12"/>
  <c r="Q1530" i="12"/>
  <c r="Q314" i="12"/>
  <c r="Q1041" i="12"/>
  <c r="Q1874" i="12"/>
  <c r="Q747" i="12"/>
  <c r="Q2919" i="12"/>
  <c r="Q2530" i="12"/>
  <c r="Q537" i="12"/>
  <c r="Q108" i="12"/>
  <c r="Q319" i="12"/>
  <c r="Q2251" i="12"/>
  <c r="Q2519" i="12"/>
  <c r="Q1393" i="12"/>
  <c r="Q1032" i="12"/>
  <c r="Q3459" i="12"/>
  <c r="Q1434" i="12"/>
  <c r="Q3544" i="12"/>
  <c r="Q780" i="12"/>
  <c r="Q1973" i="12"/>
  <c r="Q903" i="12"/>
  <c r="Q2368" i="12"/>
  <c r="Q1628" i="12"/>
  <c r="Q395" i="12"/>
  <c r="Q358" i="12"/>
  <c r="Q804" i="12"/>
  <c r="Q1847" i="12"/>
  <c r="Q1782" i="12"/>
  <c r="Q28" i="12"/>
  <c r="Q3059" i="12"/>
  <c r="Q3131" i="12"/>
  <c r="Q1507" i="12"/>
  <c r="Q1379" i="12"/>
  <c r="Q1403" i="12"/>
  <c r="Q1581" i="12"/>
  <c r="Q3179" i="12"/>
  <c r="Q2346" i="12"/>
  <c r="Q1063" i="12"/>
  <c r="Q1625" i="12"/>
  <c r="Q2616" i="12"/>
  <c r="Q1271" i="12"/>
  <c r="Q832" i="12"/>
  <c r="Q907" i="12"/>
  <c r="Q2437" i="12"/>
  <c r="Q595" i="12"/>
  <c r="Q990" i="12"/>
  <c r="Q285" i="12"/>
  <c r="Q691" i="12"/>
  <c r="Q164" i="12"/>
  <c r="Q60" i="12"/>
  <c r="Q1113" i="12"/>
  <c r="Q1869" i="12"/>
  <c r="Q989" i="12"/>
  <c r="Q862" i="12"/>
  <c r="Q1084" i="12"/>
  <c r="Q2654" i="12"/>
  <c r="Q3168" i="12"/>
  <c r="Q276" i="12"/>
  <c r="Q2349" i="12"/>
  <c r="Q3301" i="12"/>
  <c r="Q1062" i="12"/>
  <c r="Q1565" i="12"/>
  <c r="Q3019" i="12"/>
  <c r="Q1270" i="12"/>
  <c r="Q2774" i="12"/>
  <c r="Q2495" i="12"/>
  <c r="Q1683" i="12"/>
  <c r="Q2353" i="12"/>
  <c r="Q3057" i="12"/>
  <c r="Q1188" i="12"/>
  <c r="Q2250" i="12"/>
  <c r="Q2847" i="12"/>
  <c r="Q2485" i="12"/>
  <c r="Q1217" i="12"/>
  <c r="Q1943" i="12"/>
  <c r="Q1603" i="12"/>
  <c r="Q590" i="12"/>
  <c r="Q2692" i="12"/>
  <c r="Q2976" i="12"/>
  <c r="Q1789" i="12"/>
  <c r="Q2578" i="12"/>
  <c r="Q1661" i="12"/>
  <c r="Q1402" i="12"/>
  <c r="Q593" i="12"/>
  <c r="Q1340" i="12"/>
  <c r="Q1713" i="12"/>
  <c r="Q96" i="12"/>
  <c r="Q3085" i="12"/>
  <c r="Q334" i="12"/>
  <c r="Q3044" i="12"/>
  <c r="Q3016" i="12"/>
  <c r="Q562" i="12"/>
  <c r="Q141" i="12"/>
  <c r="Q2474" i="12"/>
  <c r="Q2977" i="12"/>
  <c r="Q847" i="12"/>
  <c r="Q180" i="12"/>
  <c r="Q3010" i="12"/>
  <c r="Q740" i="12"/>
  <c r="Q2622" i="12"/>
  <c r="Q533" i="12"/>
  <c r="Q2829" i="12"/>
  <c r="Q2168" i="12"/>
  <c r="Q161" i="12"/>
  <c r="Q3323" i="12"/>
  <c r="Q3220" i="12"/>
  <c r="Q1576" i="12"/>
  <c r="Q2134" i="12"/>
  <c r="Q663" i="12"/>
  <c r="Q1548" i="12"/>
  <c r="Q3007" i="12"/>
  <c r="Q1212" i="12"/>
  <c r="Q1431" i="12"/>
  <c r="Q1726" i="12"/>
  <c r="Q2101" i="12"/>
  <c r="Q1077" i="12"/>
  <c r="Q375" i="12"/>
  <c r="Q2064" i="12"/>
  <c r="Q2914" i="12"/>
  <c r="Q2699" i="12"/>
  <c r="Q2623" i="12"/>
  <c r="Q3108" i="12"/>
  <c r="Q667" i="12"/>
  <c r="Q3251" i="12"/>
  <c r="Q1067" i="12"/>
  <c r="Q2331" i="12"/>
  <c r="Q1237" i="12"/>
  <c r="Q3014" i="12"/>
  <c r="Q962" i="12"/>
  <c r="Q922" i="12"/>
  <c r="Q1956" i="12"/>
  <c r="Q3539" i="12"/>
  <c r="Q2912" i="12"/>
  <c r="Q144" i="12"/>
  <c r="Q1629" i="12"/>
  <c r="Q2539" i="12"/>
  <c r="Q2156" i="12"/>
  <c r="Q2947" i="12"/>
  <c r="Q2065" i="12"/>
  <c r="Q1471" i="12"/>
  <c r="Q1768" i="12"/>
  <c r="Q3351" i="12"/>
  <c r="Q1883" i="12"/>
  <c r="Q3523" i="12"/>
  <c r="Q631" i="12"/>
  <c r="Q1988" i="12"/>
  <c r="Q1454" i="12"/>
  <c r="Q1004" i="12"/>
  <c r="Q2626" i="12"/>
  <c r="Q215" i="12"/>
  <c r="Q3111" i="12"/>
  <c r="Q2935" i="12"/>
  <c r="Q2826" i="12"/>
  <c r="Q2207" i="12"/>
  <c r="Q2890" i="12"/>
  <c r="Q816" i="12"/>
  <c r="Q2864" i="12"/>
  <c r="Q1085" i="12"/>
  <c r="Q1798" i="12"/>
  <c r="Q971" i="12"/>
  <c r="Q2117" i="12"/>
  <c r="Q1481" i="12"/>
  <c r="Q2822" i="12"/>
  <c r="Q2051" i="12"/>
  <c r="Q3087" i="12"/>
  <c r="Q1394" i="12"/>
  <c r="Q410" i="12"/>
  <c r="Q3119" i="12"/>
  <c r="Q2074" i="12"/>
  <c r="Q783" i="12"/>
  <c r="Q3188" i="12"/>
  <c r="Q413" i="12"/>
  <c r="Q1868" i="12"/>
  <c r="Q2124" i="12"/>
  <c r="Q2488" i="12"/>
  <c r="Q2281" i="12"/>
  <c r="Q2249" i="12"/>
  <c r="Q791" i="12"/>
  <c r="Q171" i="12"/>
  <c r="Q1130" i="12"/>
  <c r="Q63" i="12"/>
  <c r="Q382" i="12"/>
  <c r="Q1947" i="12"/>
  <c r="Q1233" i="12"/>
  <c r="Q1583" i="12"/>
  <c r="Q3141" i="12"/>
  <c r="Q1259" i="12"/>
  <c r="Q119" i="12"/>
  <c r="Q3236" i="12"/>
  <c r="Q1755" i="12"/>
  <c r="Q947" i="12"/>
  <c r="Q1991" i="12"/>
  <c r="Q1919" i="12"/>
  <c r="Q234" i="12"/>
  <c r="Q1412" i="12"/>
  <c r="Q1260" i="12"/>
  <c r="Q1559" i="12"/>
  <c r="Q3214" i="12"/>
  <c r="Q1884" i="12"/>
  <c r="Q2778" i="12"/>
  <c r="Q831" i="12"/>
  <c r="Q2813" i="12"/>
  <c r="Q2614" i="12"/>
  <c r="Q1491" i="12"/>
  <c r="Q2740" i="12"/>
  <c r="Q3441" i="12"/>
  <c r="Q397" i="12"/>
  <c r="Q2767" i="12"/>
  <c r="Q2446" i="12"/>
  <c r="Q3021" i="12"/>
  <c r="Q3290" i="12"/>
  <c r="Q1912" i="12"/>
  <c r="Q613" i="12"/>
  <c r="Q1382" i="12"/>
  <c r="Q745" i="12"/>
  <c r="Q2518" i="12"/>
  <c r="Q2218" i="12"/>
  <c r="Q1204" i="12"/>
  <c r="Q1438" i="12"/>
  <c r="Q1330" i="12"/>
  <c r="Q2579" i="12"/>
  <c r="Q1707" i="12"/>
  <c r="Q1215" i="12"/>
  <c r="Q3144" i="12"/>
  <c r="Q1815" i="12"/>
  <c r="Q555" i="12"/>
  <c r="Q1357" i="12"/>
  <c r="Q3442" i="12"/>
  <c r="Q532" i="12"/>
  <c r="Q1746" i="12"/>
  <c r="Q2209" i="12"/>
  <c r="Q2457" i="12"/>
  <c r="Q547" i="12"/>
  <c r="Q304" i="12"/>
  <c r="Q3550" i="12"/>
  <c r="Q720" i="12"/>
  <c r="Q1107" i="12"/>
  <c r="Q2754" i="12"/>
  <c r="Q1023" i="12"/>
  <c r="Q157" i="12"/>
  <c r="Q2987" i="12"/>
  <c r="Q2129" i="12"/>
  <c r="Q924" i="12"/>
  <c r="Q2697" i="12"/>
  <c r="Q177" i="12"/>
  <c r="Q3196" i="12"/>
  <c r="Q394" i="12"/>
  <c r="Q2453" i="12"/>
  <c r="Q554" i="12"/>
  <c r="Q3519" i="12"/>
  <c r="Q1346" i="12"/>
  <c r="Q1877" i="12"/>
  <c r="Q1448" i="12"/>
  <c r="Q203" i="12"/>
  <c r="Q619" i="12"/>
  <c r="Q2738" i="12"/>
  <c r="Q1720" i="12"/>
  <c r="Q2865" i="12"/>
  <c r="Q27" i="12"/>
  <c r="Q2421" i="12"/>
  <c r="Q2077" i="12"/>
  <c r="Q757" i="12"/>
  <c r="Q617" i="12"/>
  <c r="Q2691" i="12"/>
  <c r="Q919" i="12"/>
  <c r="Q998" i="12"/>
  <c r="Q3336" i="12"/>
  <c r="Q3049" i="12"/>
  <c r="Q3446" i="12"/>
  <c r="Q328" i="12"/>
  <c r="Q714" i="12"/>
  <c r="Q1405" i="12"/>
  <c r="Q3134" i="12"/>
  <c r="Q2080" i="12"/>
  <c r="Q477" i="12"/>
  <c r="Q1174" i="12"/>
  <c r="Q3394" i="12"/>
  <c r="Q2299" i="12"/>
  <c r="Q2449" i="12"/>
  <c r="Q3133" i="12"/>
  <c r="Q1858" i="12"/>
  <c r="Q3359" i="12"/>
  <c r="Q261" i="12"/>
  <c r="Q1636" i="12"/>
  <c r="Q2633" i="12"/>
  <c r="Q2602" i="12"/>
  <c r="Q2441" i="12"/>
  <c r="Q97" i="12"/>
  <c r="Q2031" i="12"/>
  <c r="Q3485" i="12"/>
  <c r="Q1121" i="12"/>
  <c r="Q1319" i="12"/>
  <c r="Q1104" i="12"/>
  <c r="Q2169" i="12"/>
  <c r="Q2037" i="12"/>
  <c r="Q2398" i="12"/>
  <c r="Q811" i="12"/>
  <c r="Q461" i="12"/>
  <c r="Q99" i="12"/>
  <c r="Q1502" i="12"/>
  <c r="Q837" i="12"/>
  <c r="Q2580" i="12"/>
  <c r="Q1749" i="12"/>
  <c r="Q2836" i="12"/>
  <c r="Q494" i="12"/>
  <c r="Q316" i="12"/>
  <c r="Q3390" i="12"/>
  <c r="Q1425" i="12"/>
  <c r="Q131" i="12"/>
  <c r="Q705" i="12"/>
  <c r="Q704" i="12"/>
  <c r="Q3419" i="12"/>
  <c r="Q2500" i="12"/>
  <c r="Q1699" i="12"/>
  <c r="Q1786" i="12"/>
  <c r="Q2803" i="12"/>
  <c r="Q1301" i="12"/>
  <c r="Q3243" i="12"/>
  <c r="Q403" i="12"/>
  <c r="Q2552" i="12"/>
  <c r="Q1331" i="12"/>
  <c r="Q2133" i="12"/>
  <c r="Q3278" i="12"/>
  <c r="Q2965" i="12"/>
  <c r="Q1290" i="12"/>
  <c r="Q826" i="12"/>
  <c r="Q333" i="12"/>
  <c r="Q545" i="12"/>
  <c r="Q2381" i="12"/>
  <c r="Q3315" i="12"/>
  <c r="Q1517" i="12"/>
  <c r="Q1334" i="12"/>
  <c r="Q1873" i="12"/>
  <c r="Q2571" i="12"/>
  <c r="Q2418" i="12"/>
  <c r="Q1245" i="12"/>
  <c r="Q404" i="12"/>
  <c r="Q560" i="12"/>
  <c r="Q1897" i="12"/>
  <c r="Q284" i="12"/>
  <c r="Q2310" i="12"/>
  <c r="Q2627" i="12"/>
  <c r="Q2526" i="12"/>
  <c r="Q216" i="12"/>
  <c r="Q3307" i="12"/>
  <c r="Q2410" i="12"/>
  <c r="Q3239" i="12"/>
  <c r="Q258" i="12"/>
  <c r="Q840" i="12"/>
  <c r="Q1140" i="12"/>
  <c r="Q3063" i="12"/>
  <c r="Q3517" i="12"/>
  <c r="Q2345" i="12"/>
  <c r="Q365" i="12"/>
  <c r="Q1118" i="12"/>
  <c r="Q1797" i="12"/>
  <c r="Q561" i="12"/>
  <c r="Q427" i="12"/>
  <c r="Q1593" i="12"/>
  <c r="Q2999" i="12"/>
  <c r="Q2891" i="12"/>
  <c r="Q2434" i="12"/>
  <c r="Q2141" i="12"/>
  <c r="Q2374" i="12"/>
  <c r="Q32" i="12"/>
  <c r="Q1651" i="12"/>
  <c r="Q2499" i="12"/>
  <c r="Q1328" i="12"/>
  <c r="Q2297" i="12"/>
  <c r="Q2436" i="12"/>
  <c r="Q2690" i="12"/>
  <c r="Q2586" i="12"/>
  <c r="Q3090" i="12"/>
  <c r="Q1546" i="12"/>
  <c r="Q514" i="12"/>
  <c r="Q2933" i="12"/>
  <c r="Q2089" i="12"/>
  <c r="Q2473" i="12"/>
  <c r="Q1161" i="12"/>
  <c r="Q2020" i="12"/>
  <c r="Q985" i="12"/>
  <c r="Q1166" i="12"/>
  <c r="Q2808" i="12"/>
  <c r="Q1280" i="12"/>
  <c r="Q552" i="12"/>
  <c r="Q1742" i="12"/>
  <c r="Q2229" i="12"/>
  <c r="Q739" i="12"/>
  <c r="Q385" i="12"/>
  <c r="Q1299" i="12"/>
  <c r="Q2557" i="12"/>
  <c r="Q2130" i="12"/>
  <c r="Q3378" i="12"/>
  <c r="Q3008" i="12"/>
  <c r="Q3462" i="12"/>
  <c r="Q2648" i="12"/>
  <c r="Q1352" i="12"/>
  <c r="Q2728" i="12"/>
  <c r="Q1441" i="12"/>
  <c r="Q949" i="12"/>
  <c r="Q2896" i="12"/>
  <c r="Q2113" i="12"/>
  <c r="Q2520" i="12"/>
  <c r="Q2263" i="12"/>
  <c r="Q2804" i="12"/>
  <c r="Q1588" i="12"/>
  <c r="Q3159" i="12"/>
  <c r="Q1269" i="12"/>
  <c r="Q2429" i="12"/>
  <c r="Q3456" i="12"/>
  <c r="Q891" i="12"/>
  <c r="Q2334" i="12"/>
  <c r="Q195" i="12"/>
  <c r="Q3277" i="12"/>
  <c r="Q1420" i="12"/>
  <c r="Q2794" i="12"/>
  <c r="Q520" i="12"/>
  <c r="Q858" i="12"/>
  <c r="Q3480" i="12"/>
  <c r="Q1127" i="12"/>
  <c r="Q3156" i="12"/>
  <c r="Q963" i="12"/>
  <c r="Q1464" i="12"/>
  <c r="Q1103" i="12"/>
  <c r="Q3175" i="12"/>
  <c r="Q1021" i="12"/>
  <c r="Q2515" i="12"/>
  <c r="Q3237" i="12"/>
  <c r="Q2797" i="12"/>
  <c r="Q1527" i="12"/>
  <c r="Q779" i="12"/>
  <c r="Q1010" i="12"/>
  <c r="Q639" i="12"/>
  <c r="Q519" i="12"/>
  <c r="Q2093" i="12"/>
  <c r="Q3318" i="12"/>
  <c r="Q1008" i="12"/>
  <c r="Q2177" i="12"/>
  <c r="Q415" i="12"/>
  <c r="Q3004" i="12"/>
  <c r="Q2883" i="12"/>
  <c r="Q2668" i="12"/>
  <c r="Q1836" i="12"/>
  <c r="Q1623" i="12"/>
  <c r="Q879" i="12"/>
  <c r="Q338" i="12"/>
  <c r="Q950" i="12"/>
  <c r="Q2806" i="12"/>
  <c r="Q2572" i="12"/>
  <c r="Q1298" i="12"/>
  <c r="Q20" i="12"/>
  <c r="Q3397" i="12"/>
  <c r="Q3203" i="12"/>
  <c r="Q3388" i="12"/>
  <c r="Q928" i="12"/>
  <c r="Q1802" i="12"/>
  <c r="Q2058" i="12"/>
  <c r="Q549" i="12"/>
  <c r="Q2121" i="12"/>
  <c r="Q3256" i="12"/>
  <c r="Q2171" i="12"/>
  <c r="Q2291" i="12"/>
  <c r="Q3076" i="12"/>
  <c r="Q961" i="12"/>
  <c r="Q3027" i="12"/>
  <c r="Q1246" i="12"/>
  <c r="Q88" i="12"/>
  <c r="Q57" i="12"/>
  <c r="Q2755" i="12"/>
  <c r="Q390" i="12"/>
  <c r="Q3084" i="12"/>
  <c r="Q2922" i="12"/>
  <c r="Q1885" i="12"/>
  <c r="Q3152" i="12"/>
  <c r="Q273" i="12"/>
  <c r="Q206" i="12"/>
  <c r="Q3320" i="12"/>
  <c r="Q3056" i="12"/>
  <c r="Q2796" i="12"/>
  <c r="Q2363" i="12"/>
  <c r="Q1155" i="12"/>
  <c r="Q246" i="12"/>
  <c r="Q2998" i="12"/>
  <c r="Q2166" i="12"/>
  <c r="Q746" i="12"/>
  <c r="Q3421" i="12"/>
  <c r="Q86" i="12"/>
  <c r="Q2371" i="12"/>
  <c r="Q930" i="12"/>
  <c r="Q2451" i="12"/>
  <c r="Q3267" i="12"/>
  <c r="Q1514" i="12"/>
  <c r="Q3401" i="12"/>
  <c r="Q2407" i="12"/>
  <c r="Q3186" i="12"/>
  <c r="Q1700" i="12"/>
  <c r="Q95" i="12"/>
  <c r="Q2015" i="12"/>
  <c r="Q2274" i="12"/>
  <c r="Q842" i="12"/>
  <c r="Q2352" i="12"/>
  <c r="Q647" i="12"/>
  <c r="Q2009" i="12"/>
  <c r="Q1477" i="12"/>
  <c r="Q315" i="12"/>
  <c r="Q731" i="12"/>
  <c r="Q1680" i="12"/>
  <c r="Q1015" i="12"/>
  <c r="Q1341" i="12"/>
  <c r="Q2533" i="12"/>
  <c r="Q945" i="12"/>
  <c r="Q822" i="12"/>
  <c r="Q1793" i="12"/>
  <c r="Q1536" i="12"/>
  <c r="Q3423" i="12"/>
  <c r="Q223" i="12"/>
  <c r="Q2583" i="12"/>
  <c r="Q1450" i="12"/>
  <c r="Q503" i="12"/>
  <c r="Q1694" i="12"/>
  <c r="Q741" i="12"/>
  <c r="Q806" i="12"/>
  <c r="Q3075" i="12"/>
  <c r="Q1660" i="12"/>
  <c r="Q1421" i="12"/>
  <c r="Q380" i="12"/>
  <c r="Q3118" i="12"/>
  <c r="Q3040" i="12"/>
  <c r="Q2711" i="12"/>
  <c r="Q219" i="12"/>
  <c r="Q2508" i="12"/>
  <c r="Q3242" i="12"/>
  <c r="Q2223" i="12"/>
  <c r="Q2261" i="12"/>
  <c r="Q474" i="12"/>
  <c r="Q614" i="12"/>
  <c r="Q2788" i="12"/>
  <c r="Q2075" i="12"/>
  <c r="Q1783" i="12"/>
  <c r="Q1020" i="12"/>
  <c r="Q2329" i="12"/>
  <c r="Q1146" i="12"/>
  <c r="Q2305" i="12"/>
  <c r="Q1349" i="12"/>
  <c r="Q1986" i="12"/>
  <c r="Q2819" i="12"/>
  <c r="Q1101" i="12"/>
  <c r="Q2827" i="12"/>
  <c r="Q1863" i="12"/>
  <c r="Q1851" i="12"/>
  <c r="Q1160" i="12"/>
  <c r="Q1144" i="12"/>
  <c r="Q2680" i="12"/>
  <c r="Q3490" i="12"/>
  <c r="Q2875" i="12"/>
  <c r="Q948" i="12"/>
  <c r="Q1027" i="12"/>
  <c r="Q25" i="12"/>
  <c r="Q906" i="12"/>
  <c r="Q1266" i="12"/>
  <c r="Q628" i="12"/>
  <c r="Q584" i="12"/>
  <c r="Q1029" i="12"/>
  <c r="Q676" i="12"/>
  <c r="Q3073" i="12"/>
  <c r="Q2295" i="12"/>
  <c r="Q2151" i="12"/>
  <c r="Q2799" i="12"/>
  <c r="Q84" i="12"/>
  <c r="Q966" i="12"/>
  <c r="Q1772" i="12"/>
  <c r="Q794" i="12"/>
  <c r="Q2053" i="12"/>
  <c r="Q1539" i="12"/>
  <c r="Q1278" i="12"/>
  <c r="Q2176" i="12"/>
  <c r="Q458" i="12"/>
  <c r="Q2553" i="12"/>
  <c r="Q2737" i="12"/>
  <c r="Q70" i="12"/>
  <c r="Q3364" i="12"/>
  <c r="Q1633" i="12"/>
  <c r="Q1997" i="12"/>
  <c r="Q2454" i="12"/>
  <c r="Q151" i="12"/>
  <c r="Q499" i="12"/>
  <c r="Q1945" i="12"/>
  <c r="Q2107" i="12"/>
  <c r="Q2824" i="12"/>
  <c r="Q1808" i="12"/>
  <c r="Q2475" i="12"/>
  <c r="Q295" i="12"/>
  <c r="Q2964" i="12"/>
  <c r="Q2630" i="12"/>
  <c r="Q1674" i="12"/>
  <c r="Q1959" i="12"/>
  <c r="Q1453" i="12"/>
  <c r="Q1366" i="12"/>
  <c r="Q383" i="12"/>
  <c r="Q2356" i="12"/>
  <c r="Q3204" i="12"/>
  <c r="Q2284" i="12"/>
  <c r="Q887" i="12"/>
  <c r="Q2852" i="12"/>
  <c r="Q2336" i="12"/>
  <c r="Q3496" i="12"/>
  <c r="Q399" i="12"/>
  <c r="Q2256" i="12"/>
  <c r="Q2208" i="12"/>
  <c r="Q464" i="12"/>
  <c r="Q3350" i="12"/>
  <c r="Q290" i="12"/>
  <c r="Q2191" i="12"/>
  <c r="Q888" i="12"/>
  <c r="Q473" i="12"/>
  <c r="Q941" i="12"/>
  <c r="Q3124" i="12"/>
  <c r="Q2043" i="12"/>
  <c r="Q1372" i="12"/>
  <c r="Q1221" i="12"/>
  <c r="Q890" i="12"/>
  <c r="Q2787" i="12"/>
  <c r="Q848" i="12"/>
  <c r="Q1132" i="12"/>
  <c r="Q1949" i="12"/>
  <c r="Q463" i="12"/>
  <c r="Q812" i="12"/>
  <c r="Q2428" i="12"/>
  <c r="Q281" i="12"/>
  <c r="Q133" i="12"/>
  <c r="Q1145" i="12"/>
  <c r="Q3316" i="12"/>
  <c r="Q3371" i="12"/>
  <c r="Q587" i="12"/>
  <c r="Q645" i="12"/>
  <c r="Q1814" i="12"/>
  <c r="Q173" i="12"/>
  <c r="Q137" i="12"/>
  <c r="Q634" i="12"/>
  <c r="Q2848" i="12"/>
  <c r="Q1257" i="12"/>
  <c r="Q85" i="12"/>
  <c r="Q1668" i="12"/>
  <c r="Q1523" i="12"/>
  <c r="Q2231" i="12"/>
  <c r="Q2640" i="12"/>
  <c r="Q2568" i="12"/>
  <c r="Q3312" i="12"/>
  <c r="Q1653" i="12"/>
  <c r="Q711" i="12"/>
  <c r="Q174" i="12"/>
  <c r="Q2047" i="12"/>
  <c r="Q1979" i="12"/>
  <c r="Q3300" i="12"/>
  <c r="Q2954" i="12"/>
  <c r="Q2408" i="12"/>
  <c r="Q478" i="12"/>
  <c r="Q2288" i="12"/>
  <c r="Q3311" i="12"/>
  <c r="Q2961" i="12"/>
  <c r="Q160" i="12"/>
  <c r="Q936" i="12"/>
  <c r="Q329" i="12"/>
  <c r="Q3227" i="12"/>
  <c r="Q2812" i="12"/>
  <c r="Q1165" i="12"/>
  <c r="Q955" i="12"/>
  <c r="Q2282" i="12"/>
  <c r="Q2386" i="12"/>
  <c r="Q1568" i="12"/>
  <c r="Q1291" i="12"/>
  <c r="Q1990" i="12"/>
  <c r="Q1176" i="12"/>
  <c r="Q2584" i="12"/>
  <c r="Q2245" i="12"/>
  <c r="Q845" i="12"/>
  <c r="Q2709" i="12"/>
  <c r="Q3358" i="12"/>
  <c r="Q2067" i="12"/>
  <c r="Q3145" i="12"/>
  <c r="Q1516" i="12"/>
  <c r="Q2762" i="12"/>
  <c r="Q2350" i="12"/>
  <c r="Q237" i="12"/>
  <c r="Q2415" i="12"/>
  <c r="Q2844" i="12"/>
  <c r="Q679" i="12"/>
  <c r="Q1149" i="12"/>
  <c r="Q3507" i="12"/>
  <c r="Q3445" i="12"/>
  <c r="Q1490" i="12"/>
  <c r="Q1327" i="12"/>
  <c r="Q3055" i="12"/>
  <c r="Q2204" i="12"/>
  <c r="Q2189" i="12"/>
  <c r="Q2233" i="12"/>
  <c r="Q849" i="12"/>
  <c r="Q233" i="12"/>
  <c r="Q1655" i="12"/>
  <c r="Q1999" i="12"/>
  <c r="Q2567" i="12"/>
  <c r="Q1369" i="12"/>
  <c r="Q2547" i="12"/>
  <c r="Q1940" i="12"/>
  <c r="Q633" i="12"/>
  <c r="Q2522" i="12"/>
  <c r="Q2142" i="12"/>
  <c r="Q1976" i="12"/>
  <c r="Q3534" i="12"/>
  <c r="Q1432" i="12"/>
  <c r="Q1639" i="12"/>
  <c r="Q1494" i="12"/>
  <c r="Q1116" i="12"/>
  <c r="Q3257" i="12"/>
  <c r="Q2911" i="12"/>
  <c r="Q817" i="12"/>
  <c r="Q321" i="12"/>
  <c r="Q878" i="12"/>
  <c r="Q2469" i="12"/>
  <c r="Q2655" i="12"/>
  <c r="Q250" i="12"/>
  <c r="Q2660" i="12"/>
  <c r="Q2981" i="12"/>
  <c r="Q1642" i="12"/>
  <c r="Q2525" i="12"/>
  <c r="Q1846" i="12"/>
  <c r="Q483" i="12"/>
  <c r="Q1272" i="12"/>
  <c r="Q3303" i="12"/>
  <c r="Q1213" i="12"/>
  <c r="Q692" i="12"/>
  <c r="Q2145" i="12"/>
  <c r="Q2198" i="12"/>
  <c r="Q279" i="12"/>
  <c r="Q2190" i="12"/>
  <c r="Q540" i="12"/>
  <c r="Q2689" i="12"/>
  <c r="Q1620" i="12"/>
  <c r="Q3537" i="12"/>
  <c r="Q1907" i="12"/>
  <c r="Q1951" i="12"/>
  <c r="Q106" i="12"/>
  <c r="Q629" i="12"/>
  <c r="Q2674" i="12"/>
  <c r="Q2175" i="12"/>
  <c r="Q640" i="12"/>
  <c r="Q853" i="12"/>
  <c r="Q1068" i="12"/>
  <c r="Q3025" i="12"/>
  <c r="Q796" i="12"/>
  <c r="Q317" i="12"/>
  <c r="Q1722" i="12"/>
  <c r="Q1363" i="12"/>
  <c r="Q968" i="12"/>
  <c r="Q3481" i="12"/>
  <c r="Q58" i="12"/>
  <c r="Q967" i="12"/>
  <c r="Q1117" i="12"/>
  <c r="Q2222" i="12"/>
  <c r="Q625" i="12"/>
  <c r="Q1702" i="12"/>
  <c r="Q2243" i="12"/>
  <c r="Q2111" i="12"/>
  <c r="Q1195" i="12"/>
  <c r="Q3246" i="12"/>
  <c r="Q457" i="12"/>
  <c r="Q2814" i="12"/>
  <c r="Q2378" i="12"/>
  <c r="Q3522" i="12"/>
  <c r="Q2484" i="12"/>
  <c r="Q2083" i="12"/>
  <c r="Q978" i="12"/>
  <c r="Q2501" i="12"/>
  <c r="Q2514" i="12"/>
  <c r="Q655" i="12"/>
  <c r="Q507" i="12"/>
  <c r="Q3083" i="12"/>
  <c r="Q2186" i="12"/>
  <c r="Q778" i="12"/>
  <c r="Q1904" i="12"/>
  <c r="Q536" i="12"/>
  <c r="Q982" i="12"/>
  <c r="Q3291" i="12"/>
  <c r="Q1164" i="12"/>
  <c r="Q3183" i="12"/>
  <c r="Q2262" i="12"/>
  <c r="Q2395" i="12"/>
  <c r="Q442" i="12"/>
  <c r="Q2750" i="12"/>
  <c r="Q1499" i="12"/>
  <c r="Q1205" i="12"/>
  <c r="Q1866" i="12"/>
  <c r="Q886" i="12"/>
  <c r="Q2034" i="12"/>
  <c r="Q1663" i="12"/>
  <c r="Q2403" i="12"/>
  <c r="Q997" i="12"/>
  <c r="Q3538" i="12"/>
  <c r="Q1052" i="12"/>
  <c r="Q2608" i="12"/>
  <c r="Q1975" i="12"/>
  <c r="Q1484" i="12"/>
  <c r="Q2404" i="12"/>
  <c r="Q2339" i="12"/>
  <c r="Q1693" i="12"/>
  <c r="Q2795" i="12"/>
  <c r="Q2406" i="12"/>
  <c r="Q2952" i="12"/>
  <c r="Q2825" i="12"/>
  <c r="Q1941" i="12"/>
  <c r="Q2631" i="12"/>
  <c r="Q2982" i="12"/>
  <c r="P32" i="12"/>
  <c r="P31" i="12"/>
  <c r="P34" i="12"/>
  <c r="R19" i="12" s="1" a="1"/>
  <c r="J3" i="12"/>
  <c r="K3" i="12"/>
  <c r="R3277" i="12" l="1"/>
  <c r="R2410" i="12"/>
  <c r="R1108" i="12"/>
  <c r="R2937" i="12"/>
  <c r="R3071" i="12"/>
  <c r="R1658" i="12"/>
  <c r="R3118" i="12"/>
  <c r="R2239" i="12"/>
  <c r="R3477" i="12"/>
  <c r="R517" i="12"/>
  <c r="R1704" i="12"/>
  <c r="R1377" i="12"/>
  <c r="R3379" i="12"/>
  <c r="R1176" i="12"/>
  <c r="R1549" i="12"/>
  <c r="R2847" i="12"/>
  <c r="R1142" i="12"/>
  <c r="R3522" i="12"/>
  <c r="R2094" i="12"/>
  <c r="R3375" i="12"/>
  <c r="R3355" i="12"/>
  <c r="R3339" i="12"/>
  <c r="R1952" i="12"/>
  <c r="R1538" i="12"/>
  <c r="R806" i="12"/>
  <c r="R1954" i="12"/>
  <c r="R2352" i="12"/>
  <c r="R868" i="12"/>
  <c r="R1668" i="12"/>
  <c r="R1230" i="12"/>
  <c r="R1335" i="12"/>
  <c r="R1304" i="12"/>
  <c r="R2379" i="12"/>
  <c r="R3392" i="12"/>
  <c r="R1463" i="12"/>
  <c r="R1276" i="12"/>
  <c r="R3088" i="12"/>
  <c r="R1805" i="12"/>
  <c r="R3343" i="12"/>
  <c r="R2766" i="12"/>
  <c r="R1299" i="12"/>
  <c r="R1939" i="12"/>
  <c r="R406" i="12"/>
  <c r="R2547" i="12"/>
  <c r="R2816" i="12"/>
  <c r="R880" i="12"/>
  <c r="R1426" i="12"/>
  <c r="R2025" i="12"/>
  <c r="R2958" i="12"/>
  <c r="R1344" i="12"/>
  <c r="R1254" i="12"/>
  <c r="R1386" i="12"/>
  <c r="R439" i="12"/>
  <c r="R2794" i="12"/>
  <c r="R1095" i="12"/>
  <c r="R2986" i="12"/>
  <c r="R2058" i="12"/>
  <c r="R3289" i="12"/>
  <c r="R2231" i="12"/>
  <c r="R3508" i="12"/>
  <c r="R1696" i="12"/>
  <c r="R2394" i="12"/>
  <c r="R138" i="12"/>
  <c r="R2726" i="12"/>
  <c r="R3468" i="12"/>
  <c r="R2579" i="12"/>
  <c r="R653" i="12"/>
  <c r="R3547" i="12"/>
  <c r="R530" i="12"/>
  <c r="R2967" i="12"/>
  <c r="R50" i="12"/>
  <c r="R1407" i="12"/>
  <c r="R673" i="12"/>
  <c r="R1469" i="12"/>
  <c r="R1591" i="12"/>
  <c r="R3098" i="12"/>
  <c r="R3264" i="12"/>
  <c r="R205" i="12"/>
  <c r="R2604" i="12"/>
  <c r="R2790" i="12"/>
  <c r="R405" i="12"/>
  <c r="R3327" i="12"/>
  <c r="R2101" i="12"/>
  <c r="R2185" i="12"/>
  <c r="R2365" i="12"/>
  <c r="R2789" i="12"/>
  <c r="R542" i="12"/>
  <c r="R1364" i="12"/>
  <c r="R71" i="12"/>
  <c r="R589" i="12"/>
  <c r="R770" i="12"/>
  <c r="R165" i="12"/>
  <c r="R2906" i="12"/>
  <c r="R772" i="12"/>
  <c r="R3498" i="12"/>
  <c r="R1030" i="12"/>
  <c r="R1839" i="12"/>
  <c r="R3332" i="12"/>
  <c r="R1828" i="12"/>
  <c r="R1738" i="12"/>
  <c r="R3267" i="12"/>
  <c r="R778" i="12"/>
  <c r="R1812" i="12"/>
  <c r="R3021" i="12"/>
  <c r="R1985" i="12"/>
  <c r="R3191" i="12"/>
  <c r="R1280" i="12"/>
  <c r="R143" i="12"/>
  <c r="R3304" i="12"/>
  <c r="R2144" i="12"/>
  <c r="R2069" i="12"/>
  <c r="R877" i="12"/>
  <c r="R2459" i="12"/>
  <c r="R2115" i="12"/>
  <c r="R222" i="12"/>
  <c r="R1999" i="12"/>
  <c r="R2030" i="12"/>
  <c r="R269" i="12"/>
  <c r="R2354" i="12"/>
  <c r="R1298" i="12"/>
  <c r="R537" i="12"/>
  <c r="R2863" i="12"/>
  <c r="R2935" i="12"/>
  <c r="R3219" i="12"/>
  <c r="R936" i="12"/>
  <c r="R1766" i="12"/>
  <c r="R3292" i="12"/>
  <c r="R294" i="12"/>
  <c r="R3410" i="12"/>
  <c r="R2326" i="12"/>
  <c r="R2542" i="12"/>
  <c r="R357" i="12"/>
  <c r="R1650" i="12"/>
  <c r="R2841" i="12"/>
  <c r="R3325" i="12"/>
  <c r="R1362" i="12"/>
  <c r="R634" i="12"/>
  <c r="R1094" i="12"/>
  <c r="R3188" i="12"/>
  <c r="R3409" i="12"/>
  <c r="R2874" i="12"/>
  <c r="R1655" i="12"/>
  <c r="R135" i="12"/>
  <c r="R1663" i="12"/>
  <c r="R3363" i="12"/>
  <c r="R3213" i="12"/>
  <c r="R644" i="12"/>
  <c r="R2380" i="12"/>
  <c r="R163" i="12"/>
  <c r="R1679" i="12"/>
  <c r="R458" i="12"/>
  <c r="R2460" i="12"/>
  <c r="R2251" i="12"/>
  <c r="R287" i="12"/>
  <c r="R2889" i="12"/>
  <c r="R1804" i="12"/>
  <c r="R3394" i="12"/>
  <c r="R1455" i="12"/>
  <c r="R527" i="12"/>
  <c r="R2169" i="12"/>
  <c r="R1494" i="12"/>
  <c r="R985" i="12"/>
  <c r="R2728" i="12"/>
  <c r="R45" i="12"/>
  <c r="R3183" i="12"/>
  <c r="R1743" i="12"/>
  <c r="R2721" i="12"/>
  <c r="R1514" i="12"/>
  <c r="R2466" i="12"/>
  <c r="R275" i="12"/>
  <c r="R752" i="12"/>
  <c r="R2367" i="12"/>
  <c r="R1645" i="12"/>
  <c r="R842" i="12"/>
  <c r="R408" i="12"/>
  <c r="R3096" i="12"/>
  <c r="R2804" i="12"/>
  <c r="R3196" i="12"/>
  <c r="R270" i="12"/>
  <c r="R307" i="12"/>
  <c r="R893" i="12"/>
  <c r="R1796" i="12"/>
  <c r="R828" i="12"/>
  <c r="R3393" i="12"/>
  <c r="R1865" i="12"/>
  <c r="R1537" i="12"/>
  <c r="R1053" i="12"/>
  <c r="R1706" i="12"/>
  <c r="R1439" i="12"/>
  <c r="R1906" i="12"/>
  <c r="R1749" i="12"/>
  <c r="R80" i="12"/>
  <c r="R3212" i="12"/>
  <c r="R2595" i="12"/>
  <c r="R2772" i="12"/>
  <c r="R3459" i="12"/>
  <c r="R940" i="12"/>
  <c r="R2797" i="12"/>
  <c r="R2939" i="12"/>
  <c r="R2248" i="12"/>
  <c r="R1466" i="12"/>
  <c r="R2407" i="12"/>
  <c r="R306" i="12"/>
  <c r="R1090" i="12"/>
  <c r="R952" i="12"/>
  <c r="R875" i="12"/>
  <c r="R820" i="12"/>
  <c r="R66" i="12"/>
  <c r="R2439" i="12"/>
  <c r="R1051" i="12"/>
  <c r="R356" i="12"/>
  <c r="R89" i="12"/>
  <c r="R1508" i="12"/>
  <c r="R414" i="12"/>
  <c r="R188" i="12"/>
  <c r="R2852" i="12"/>
  <c r="R3158" i="12"/>
  <c r="R645" i="12"/>
  <c r="R1033" i="12"/>
  <c r="R854" i="12"/>
  <c r="R1484" i="12"/>
  <c r="R1358" i="12"/>
  <c r="R3372" i="12"/>
  <c r="R851" i="12"/>
  <c r="R2851" i="12"/>
  <c r="R1158" i="12"/>
  <c r="R2425" i="12"/>
  <c r="R2552" i="12"/>
  <c r="R161" i="12"/>
  <c r="R470" i="12"/>
  <c r="R552" i="12"/>
  <c r="R221" i="12"/>
  <c r="R1741" i="12"/>
  <c r="R1807" i="12"/>
  <c r="R3407" i="12"/>
  <c r="R1606" i="12"/>
  <c r="R2028" i="12"/>
  <c r="R1991" i="12"/>
  <c r="R2808" i="12"/>
  <c r="R3418" i="12"/>
  <c r="R1866" i="12"/>
  <c r="R423" i="12"/>
  <c r="R1878" i="12"/>
  <c r="R2856" i="12"/>
  <c r="R25" i="12"/>
  <c r="R1237" i="12"/>
  <c r="R110" i="12"/>
  <c r="R1621" i="12"/>
  <c r="R139" i="12"/>
  <c r="R1981" i="12"/>
  <c r="R1129" i="12"/>
  <c r="R2667" i="12"/>
  <c r="R2990" i="12"/>
  <c r="R3342" i="12"/>
  <c r="R3434" i="12"/>
  <c r="R1543" i="12"/>
  <c r="R2649" i="12"/>
  <c r="R1220" i="12"/>
  <c r="R1613" i="12"/>
  <c r="R2619" i="12"/>
  <c r="R2349" i="12"/>
  <c r="R2729" i="12"/>
  <c r="R68" i="12"/>
  <c r="R1822" i="12"/>
  <c r="R370" i="12"/>
  <c r="R2607" i="12"/>
  <c r="R1874" i="12"/>
  <c r="R2591" i="12"/>
  <c r="R2854" i="12"/>
  <c r="R1289" i="12"/>
  <c r="R1535" i="12"/>
  <c r="R1671" i="12"/>
  <c r="R2165" i="12"/>
  <c r="R2082" i="12"/>
  <c r="R359" i="12"/>
  <c r="R2157" i="12"/>
  <c r="R154" i="12"/>
  <c r="R191" i="12"/>
  <c r="R3167" i="12"/>
  <c r="R2277" i="12"/>
  <c r="R2266" i="12"/>
  <c r="R2279" i="12"/>
  <c r="R2457" i="12"/>
  <c r="R2210" i="12"/>
  <c r="R640" i="12"/>
  <c r="R2340" i="12"/>
  <c r="R726" i="12"/>
  <c r="R1152" i="12"/>
  <c r="R2823" i="12"/>
  <c r="R2529" i="12"/>
  <c r="R266" i="12"/>
  <c r="R2449" i="12"/>
  <c r="R1192" i="12"/>
  <c r="R1460" i="12"/>
  <c r="R2108" i="12"/>
  <c r="R2468" i="12"/>
  <c r="R2497" i="12"/>
  <c r="R1579" i="12"/>
  <c r="R111" i="12"/>
  <c r="R96" i="12"/>
  <c r="R395" i="12"/>
  <c r="R1074" i="12"/>
  <c r="R323" i="12"/>
  <c r="R1623" i="12"/>
  <c r="R1255" i="12"/>
  <c r="R2536" i="12"/>
  <c r="R2994" i="12"/>
  <c r="R2844" i="12"/>
  <c r="R1636" i="12"/>
  <c r="R2009" i="12"/>
  <c r="R2523" i="12"/>
  <c r="R2507" i="12"/>
  <c r="R2895" i="12"/>
  <c r="R1872" i="12"/>
  <c r="R1816" i="12"/>
  <c r="R384" i="12"/>
  <c r="R2648" i="12"/>
  <c r="R1532" i="12"/>
  <c r="R2347" i="12"/>
  <c r="R2446" i="12"/>
  <c r="R2504" i="12"/>
  <c r="R566" i="12"/>
  <c r="R3042" i="12"/>
  <c r="R1301" i="12"/>
  <c r="R2409" i="12"/>
  <c r="R3122" i="12"/>
  <c r="R104" i="12"/>
  <c r="R1369" i="12"/>
  <c r="R1759" i="12"/>
  <c r="R3111" i="12"/>
  <c r="R1232" i="12"/>
  <c r="R636" i="12"/>
  <c r="R907" i="12"/>
  <c r="R3108" i="12"/>
  <c r="R2678" i="12"/>
  <c r="R593" i="12"/>
  <c r="R2877" i="12"/>
  <c r="R1864" i="12"/>
  <c r="R1705" i="12"/>
  <c r="R293" i="12"/>
  <c r="R400" i="12"/>
  <c r="R1200" i="12"/>
  <c r="R2515" i="12"/>
  <c r="R3172" i="12"/>
  <c r="R2132" i="12"/>
  <c r="R699" i="12"/>
  <c r="R1113" i="12"/>
  <c r="R1208" i="12"/>
  <c r="R1190" i="12"/>
  <c r="R21" i="12"/>
  <c r="R822" i="12"/>
  <c r="R2174" i="12"/>
  <c r="R3055" i="12"/>
  <c r="R1707" i="12"/>
  <c r="R88" i="12"/>
  <c r="R3535" i="12"/>
  <c r="R2747" i="12"/>
  <c r="R2735" i="12"/>
  <c r="R1708" i="12"/>
  <c r="R29" i="12"/>
  <c r="R58" i="12"/>
  <c r="R330" i="12"/>
  <c r="R1383" i="12"/>
  <c r="R1100" i="12"/>
  <c r="R431" i="12"/>
  <c r="R488" i="12"/>
  <c r="R2209" i="12"/>
  <c r="R2426" i="12"/>
  <c r="R2136" i="12"/>
  <c r="R825" i="12"/>
  <c r="R1781" i="12"/>
  <c r="R2940" i="12"/>
  <c r="R401" i="12"/>
  <c r="R3424" i="12"/>
  <c r="R3291" i="12"/>
  <c r="R3026" i="12"/>
  <c r="R1012" i="12"/>
  <c r="R1156" i="12"/>
  <c r="R3431" i="12"/>
  <c r="R966" i="12"/>
  <c r="R2262" i="12"/>
  <c r="R1191" i="12"/>
  <c r="R2618" i="12"/>
  <c r="R1215" i="12"/>
  <c r="R3135" i="12"/>
  <c r="R2276" i="12"/>
  <c r="R2364" i="12"/>
  <c r="R1780" i="12"/>
  <c r="R955" i="12"/>
  <c r="R2554" i="12"/>
  <c r="R343" i="12"/>
  <c r="R1854" i="12"/>
  <c r="R2651" i="12"/>
  <c r="R766" i="12"/>
  <c r="R1487" i="12"/>
  <c r="R118" i="12"/>
  <c r="R3546" i="12"/>
  <c r="R2206" i="12"/>
  <c r="R190" i="12"/>
  <c r="R2526" i="12"/>
  <c r="R3220" i="12"/>
  <c r="R1814" i="12"/>
  <c r="R1986" i="12"/>
  <c r="R823" i="12"/>
  <c r="R40" i="12"/>
  <c r="R102" i="12"/>
  <c r="R1225" i="12"/>
  <c r="R2930" i="12"/>
  <c r="R1054" i="12"/>
  <c r="R2712" i="12"/>
  <c r="R55" i="12"/>
  <c r="R374" i="12"/>
  <c r="R130" i="12"/>
  <c r="R635" i="12"/>
  <c r="R2477" i="12"/>
  <c r="R1219" i="12"/>
  <c r="R273" i="12"/>
  <c r="R1026" i="12"/>
  <c r="R2883" i="12"/>
  <c r="R31" i="12"/>
  <c r="R2432" i="12"/>
  <c r="R511" i="12"/>
  <c r="R2229" i="12"/>
  <c r="R1968" i="12"/>
  <c r="R1316" i="12"/>
  <c r="R62" i="12"/>
  <c r="R3007" i="12"/>
  <c r="R1527" i="12"/>
  <c r="R2076" i="12"/>
  <c r="R2744" i="12"/>
  <c r="R197" i="12"/>
  <c r="R2668" i="12"/>
  <c r="R38" i="12"/>
  <c r="R1955" i="12"/>
  <c r="R3262" i="12"/>
  <c r="R1089" i="12"/>
  <c r="R2312" i="12"/>
  <c r="R841" i="12"/>
  <c r="R3354" i="12"/>
  <c r="R84" i="12"/>
  <c r="R1149" i="12"/>
  <c r="R1811" i="12"/>
  <c r="R2686" i="12"/>
  <c r="R2353" i="12"/>
  <c r="R1885" i="12"/>
  <c r="R1619" i="12"/>
  <c r="R933" i="12"/>
  <c r="R93" i="12"/>
  <c r="R1635" i="12"/>
  <c r="R884" i="12"/>
  <c r="R3153" i="12"/>
  <c r="R675" i="12"/>
  <c r="R784" i="12"/>
  <c r="R1242" i="12"/>
  <c r="R646" i="12"/>
  <c r="R2098" i="12"/>
  <c r="R914" i="12"/>
  <c r="R3510" i="12"/>
  <c r="R991" i="12"/>
  <c r="R168" i="12"/>
  <c r="R2133" i="12"/>
  <c r="R3087" i="12"/>
  <c r="R2674" i="12"/>
  <c r="R298" i="12"/>
  <c r="R2292" i="12"/>
  <c r="R450" i="12"/>
  <c r="R2949" i="12"/>
  <c r="R1958" i="12"/>
  <c r="R1228" i="12"/>
  <c r="R3476" i="12"/>
  <c r="R125" i="12"/>
  <c r="R3046" i="12"/>
  <c r="R1258" i="12"/>
  <c r="R1116" i="12"/>
  <c r="R2742" i="12"/>
  <c r="R714" i="12"/>
  <c r="R187" i="12"/>
  <c r="R3432" i="12"/>
  <c r="R2866" i="12"/>
  <c r="R126" i="12"/>
  <c r="R2530" i="12"/>
  <c r="R2496" i="12"/>
  <c r="R1465" i="12"/>
  <c r="R2368" i="12"/>
  <c r="R1295" i="12"/>
  <c r="R2859" i="12"/>
  <c r="R1590" i="12"/>
  <c r="R3230" i="12"/>
  <c r="R2472" i="12"/>
  <c r="R2882" i="12"/>
  <c r="R2308" i="12"/>
  <c r="R990" i="12"/>
  <c r="R789" i="12"/>
  <c r="R2904" i="12"/>
  <c r="R493" i="12"/>
  <c r="R3281" i="12"/>
  <c r="R844" i="12"/>
  <c r="R3490" i="12"/>
  <c r="R2799" i="12"/>
  <c r="R3248" i="12"/>
  <c r="R1032" i="12"/>
  <c r="R3429" i="12"/>
  <c r="R2964" i="12"/>
  <c r="R2605" i="12"/>
  <c r="R2453" i="12"/>
  <c r="R2420" i="12"/>
  <c r="R2402" i="12"/>
  <c r="R248" i="12"/>
  <c r="R2333" i="12"/>
  <c r="R2555" i="12"/>
  <c r="R1653" i="12"/>
  <c r="R832" i="12"/>
  <c r="R1584" i="12"/>
  <c r="R98" i="12"/>
  <c r="R1269" i="12"/>
  <c r="R1552" i="12"/>
  <c r="R486" i="12"/>
  <c r="R501" i="12"/>
  <c r="R3346" i="12"/>
  <c r="R3527" i="12"/>
  <c r="R253" i="12"/>
  <c r="R824" i="12"/>
  <c r="R1844" i="12"/>
  <c r="R329" i="12"/>
  <c r="R2260" i="12"/>
  <c r="R2723" i="12"/>
  <c r="R2077" i="12"/>
  <c r="R2567" i="12"/>
  <c r="R1189" i="12"/>
  <c r="R1934" i="12"/>
  <c r="R1193" i="12"/>
  <c r="R2912" i="12"/>
  <c r="R1310" i="12"/>
  <c r="R3175" i="12"/>
  <c r="R587" i="12"/>
  <c r="R1137" i="12"/>
  <c r="R378" i="12"/>
  <c r="R314" i="12"/>
  <c r="R2909" i="12"/>
  <c r="R2032" i="12"/>
  <c r="R368" i="12"/>
  <c r="R1548" i="12"/>
  <c r="R2243" i="12"/>
  <c r="R1993" i="12"/>
  <c r="R177" i="12"/>
  <c r="R331" i="12"/>
  <c r="R3251" i="12"/>
  <c r="R2401" i="12"/>
  <c r="R1213" i="12"/>
  <c r="R436" i="12"/>
  <c r="R2113" i="12"/>
  <c r="R582" i="12"/>
  <c r="R1499" i="12"/>
  <c r="R1731" i="12"/>
  <c r="R290" i="12"/>
  <c r="R1023" i="12"/>
  <c r="R876" i="12"/>
  <c r="R3154" i="12"/>
  <c r="R2329" i="12"/>
  <c r="R1363" i="12"/>
  <c r="R1486" i="12"/>
  <c r="R814" i="12"/>
  <c r="R48" i="12"/>
  <c r="R1381" i="12"/>
  <c r="R2331" i="12"/>
  <c r="R664" i="12"/>
  <c r="R1719" i="12"/>
  <c r="R172" i="12"/>
  <c r="R1583" i="12"/>
  <c r="R2971" i="12"/>
  <c r="R22" i="12"/>
  <c r="R2237" i="12"/>
  <c r="R3480" i="12"/>
  <c r="R2570" i="12"/>
  <c r="R242" i="12"/>
  <c r="R2052" i="12"/>
  <c r="R2953" i="12"/>
  <c r="R1330" i="12"/>
  <c r="R1716" i="12"/>
  <c r="R3367" i="12"/>
  <c r="R535" i="12"/>
  <c r="R1256" i="12"/>
  <c r="R1950" i="12"/>
  <c r="R2985" i="12"/>
  <c r="R655" i="12"/>
  <c r="R124" i="12"/>
  <c r="R2179" i="12"/>
  <c r="R1491" i="12"/>
  <c r="R2637" i="12"/>
  <c r="R1753" i="12"/>
  <c r="R3376" i="12"/>
  <c r="R1427" i="12"/>
  <c r="R2902" i="12"/>
  <c r="R1214" i="12"/>
  <c r="R2026" i="12"/>
  <c r="R1809" i="12"/>
  <c r="R2462" i="12"/>
  <c r="R2397" i="12"/>
  <c r="R1541" i="12"/>
  <c r="R1905" i="12"/>
  <c r="R3293" i="12"/>
  <c r="R2121" i="12"/>
  <c r="R738" i="12"/>
  <c r="R2653" i="12"/>
  <c r="R3365" i="12"/>
  <c r="R1632" i="12"/>
  <c r="R616" i="12"/>
  <c r="R363" i="12"/>
  <c r="R765" i="12"/>
  <c r="R2614" i="12"/>
  <c r="R447" i="12"/>
  <c r="R3164" i="12"/>
  <c r="R2375" i="12"/>
  <c r="R1336" i="12"/>
  <c r="R2872" i="12"/>
  <c r="R315" i="12"/>
  <c r="R812" i="12"/>
  <c r="R1065" i="12"/>
  <c r="R2287" i="12"/>
  <c r="R2822" i="12"/>
  <c r="R2064" i="12"/>
  <c r="R2959" i="12"/>
  <c r="R3509" i="12"/>
  <c r="R1408" i="12"/>
  <c r="R2732" i="12"/>
  <c r="R1973" i="12"/>
  <c r="R958" i="12"/>
  <c r="R147" i="12"/>
  <c r="R1088" i="12"/>
  <c r="R2585" i="12"/>
  <c r="R913" i="12"/>
  <c r="R2572" i="12"/>
  <c r="R3524" i="12"/>
  <c r="R1222" i="12"/>
  <c r="R785" i="12"/>
  <c r="R2617" i="12"/>
  <c r="R792" i="12"/>
  <c r="R1485" i="12"/>
  <c r="R1945" i="12"/>
  <c r="R3134" i="12"/>
  <c r="R1406" i="12"/>
  <c r="R3322" i="12"/>
  <c r="R3491" i="12"/>
  <c r="R267" i="12"/>
  <c r="R1060" i="12"/>
  <c r="R1121" i="12"/>
  <c r="R419" i="12"/>
  <c r="R1979" i="12"/>
  <c r="R2645" i="12"/>
  <c r="R241" i="12"/>
  <c r="R2824" i="12"/>
  <c r="R869" i="12"/>
  <c r="R445" i="12"/>
  <c r="R1656" i="12"/>
  <c r="R741" i="12"/>
  <c r="R35" i="12"/>
  <c r="R1056" i="12"/>
  <c r="R901" i="12"/>
  <c r="R192" i="12"/>
  <c r="R1821" i="12"/>
  <c r="R3189" i="12"/>
  <c r="R3061" i="12"/>
  <c r="R1162" i="12"/>
  <c r="R1815" i="12"/>
  <c r="R2601" i="12"/>
  <c r="R1080" i="12"/>
  <c r="R233" i="12"/>
  <c r="R845" i="12"/>
  <c r="R1414" i="12"/>
  <c r="R3403" i="12"/>
  <c r="R1036" i="12"/>
  <c r="R1546" i="12"/>
  <c r="R2372" i="12"/>
  <c r="R926" i="12"/>
  <c r="R281" i="12"/>
  <c r="R558" i="12"/>
  <c r="R1536" i="12"/>
  <c r="R2116" i="12"/>
  <c r="R977" i="12"/>
  <c r="R91" i="12"/>
  <c r="R327" i="12"/>
  <c r="R3050" i="12"/>
  <c r="R1732" i="12"/>
  <c r="R2001" i="12"/>
  <c r="R2366" i="12"/>
  <c r="R1682" i="12"/>
  <c r="R2083" i="12"/>
  <c r="R847" i="12"/>
  <c r="R2581" i="12"/>
  <c r="R1925" i="12"/>
  <c r="R1478" i="12"/>
  <c r="R1900" i="12"/>
  <c r="R2180" i="12"/>
  <c r="R1398" i="12"/>
  <c r="R1592" i="12"/>
  <c r="R234" i="12"/>
  <c r="R1517" i="12"/>
  <c r="R1274" i="12"/>
  <c r="R790" i="12"/>
  <c r="R1576" i="12"/>
  <c r="R3312" i="12"/>
  <c r="R1612" i="12"/>
  <c r="R2423" i="12"/>
  <c r="R3030" i="12"/>
  <c r="R2697" i="12"/>
  <c r="R3195" i="12"/>
  <c r="R1586" i="12"/>
  <c r="R688" i="12"/>
  <c r="R3126" i="12"/>
  <c r="R2608" i="12"/>
  <c r="R2704" i="12"/>
  <c r="R2387" i="12"/>
  <c r="R657" i="12"/>
  <c r="R2317" i="12"/>
  <c r="R278" i="12"/>
  <c r="R504" i="12"/>
  <c r="R3070" i="12"/>
  <c r="R232" i="12"/>
  <c r="R3433" i="12"/>
  <c r="R2159" i="12"/>
  <c r="R773" i="12"/>
  <c r="R989" i="12"/>
  <c r="R747" i="12"/>
  <c r="R2784" i="12"/>
  <c r="R1169" i="12"/>
  <c r="R669" i="12"/>
  <c r="R1110" i="12"/>
  <c r="R3221" i="12"/>
  <c r="R1863" i="12"/>
  <c r="R3110" i="12"/>
  <c r="R2831" i="12"/>
  <c r="R3243" i="12"/>
  <c r="R957" i="12"/>
  <c r="R818" i="12"/>
  <c r="R2257" i="12"/>
  <c r="R1799" i="12"/>
  <c r="R204" i="12"/>
  <c r="R3536" i="12"/>
  <c r="R750" i="12"/>
  <c r="R982" i="12"/>
  <c r="R3504" i="12"/>
  <c r="R2156" i="12"/>
  <c r="R729" i="12"/>
  <c r="R185" i="12"/>
  <c r="R1694" i="12"/>
  <c r="R2545" i="12"/>
  <c r="R3448" i="12"/>
  <c r="R2701" i="12"/>
  <c r="R498" i="12"/>
  <c r="R176" i="12"/>
  <c r="R2281" i="12"/>
  <c r="R1119" i="12"/>
  <c r="R435" i="12"/>
  <c r="R1438" i="12"/>
  <c r="R932" i="12"/>
  <c r="R2759" i="12"/>
  <c r="R1531" i="12"/>
  <c r="R2412" i="12"/>
  <c r="R510" i="12"/>
  <c r="R2578" i="12"/>
  <c r="R1818" i="12"/>
  <c r="R2435" i="12"/>
  <c r="R155" i="12"/>
  <c r="R2714" i="12"/>
  <c r="R451" i="12"/>
  <c r="R2309" i="12"/>
  <c r="R1827" i="12"/>
  <c r="R1654" i="12"/>
  <c r="R3255" i="12"/>
  <c r="R1370" i="12"/>
  <c r="R3102" i="12"/>
  <c r="R2256" i="12"/>
  <c r="R1348" i="12"/>
  <c r="R1081" i="12"/>
  <c r="R1482" i="12"/>
  <c r="R2627" i="12"/>
  <c r="R3242" i="12"/>
  <c r="R2476" i="12"/>
  <c r="R3282" i="12"/>
  <c r="R3210" i="12"/>
  <c r="R996" i="12"/>
  <c r="R2107" i="12"/>
  <c r="R2596" i="12"/>
  <c r="R1752" i="12"/>
  <c r="R3104" i="12"/>
  <c r="R1492" i="12"/>
  <c r="R2087" i="12"/>
  <c r="R2894" i="12"/>
  <c r="R1660" i="12"/>
  <c r="R2029" i="12"/>
  <c r="R523" i="12"/>
  <c r="R1990" i="12"/>
  <c r="R3054" i="12"/>
  <c r="R1571" i="12"/>
  <c r="R2068" i="12"/>
  <c r="R3223" i="12"/>
  <c r="R2124" i="12"/>
  <c r="R1297" i="12"/>
  <c r="R2046" i="12"/>
  <c r="R597" i="12"/>
  <c r="R2885" i="12"/>
  <c r="R577" i="12"/>
  <c r="R1956" i="12"/>
  <c r="R430" i="12"/>
  <c r="R1048" i="12"/>
  <c r="R1041" i="12"/>
  <c r="R833" i="12"/>
  <c r="R1423" i="12"/>
  <c r="R3120" i="12"/>
  <c r="R227" i="12"/>
  <c r="R1376" i="12"/>
  <c r="R2400" i="12"/>
  <c r="R1394" i="12"/>
  <c r="R2999" i="12"/>
  <c r="R715" i="12"/>
  <c r="R860" i="12"/>
  <c r="R2373" i="12"/>
  <c r="R525" i="12"/>
  <c r="R3082" i="12"/>
  <c r="R2314" i="12"/>
  <c r="R2095" i="12"/>
  <c r="R1970" i="12"/>
  <c r="R2186" i="12"/>
  <c r="R3005" i="12"/>
  <c r="R120" i="12"/>
  <c r="R1444" i="12"/>
  <c r="R1892" i="12"/>
  <c r="R1581" i="12"/>
  <c r="R1185" i="12"/>
  <c r="R344" i="12"/>
  <c r="R815" i="12"/>
  <c r="R954" i="12"/>
  <c r="R1513" i="12"/>
  <c r="R47" i="12"/>
  <c r="R585" i="12"/>
  <c r="R1259" i="12"/>
  <c r="R1072" i="12"/>
  <c r="R1793" i="12"/>
  <c r="R2716" i="12"/>
  <c r="R3441" i="12"/>
  <c r="R3371" i="12"/>
  <c r="R1197" i="12"/>
  <c r="R2253" i="12"/>
  <c r="R1261" i="12"/>
  <c r="R2370" i="12"/>
  <c r="R268" i="12"/>
  <c r="R1845" i="12"/>
  <c r="R2428" i="12"/>
  <c r="R1886" i="12"/>
  <c r="R1002" i="12"/>
  <c r="R2151" i="12"/>
  <c r="R1847" i="12"/>
  <c r="R2074" i="12"/>
  <c r="R2661" i="12"/>
  <c r="R682" i="12"/>
  <c r="R1772" i="12"/>
  <c r="R1553" i="12"/>
  <c r="R3406" i="12"/>
  <c r="R846" i="12"/>
  <c r="R1524" i="12"/>
  <c r="R1775" i="12"/>
  <c r="R3226" i="12"/>
  <c r="R3344" i="12"/>
  <c r="R2207" i="12"/>
  <c r="R2730" i="12"/>
  <c r="R3017" i="12"/>
  <c r="R475" i="12"/>
  <c r="R379" i="12"/>
  <c r="R1889" i="12"/>
  <c r="R1262" i="12"/>
  <c r="R3487" i="12"/>
  <c r="R2951" i="12"/>
  <c r="R1550" i="12"/>
  <c r="R1321" i="12"/>
  <c r="R2961" i="12"/>
  <c r="R733" i="12"/>
  <c r="R711" i="12"/>
  <c r="R316" i="12"/>
  <c r="R417" i="12"/>
  <c r="R2283" i="12"/>
  <c r="R632" i="12"/>
  <c r="R1555" i="12"/>
  <c r="R3413" i="12"/>
  <c r="R2562" i="12"/>
  <c r="R562" i="12"/>
  <c r="R2334" i="12"/>
  <c r="R983" i="12"/>
  <c r="R2656" i="12"/>
  <c r="R2525" i="12"/>
  <c r="R1710" i="12"/>
  <c r="R1352" i="12"/>
  <c r="R3495" i="12"/>
  <c r="R3399" i="12"/>
  <c r="R853" i="12"/>
  <c r="R341" i="12"/>
  <c r="R3453" i="12"/>
  <c r="R235" i="12"/>
  <c r="R1644" i="12"/>
  <c r="R1311" i="12"/>
  <c r="R975" i="12"/>
  <c r="R1139" i="12"/>
  <c r="R3052" i="12"/>
  <c r="R3006" i="12"/>
  <c r="R3314" i="12"/>
  <c r="R1895" i="12"/>
  <c r="R3245" i="12"/>
  <c r="R394" i="12"/>
  <c r="R2738" i="12"/>
  <c r="R667" i="12"/>
  <c r="R788" i="12"/>
  <c r="R1198" i="12"/>
  <c r="R2461" i="12"/>
  <c r="R2765" i="12"/>
  <c r="R283" i="12"/>
  <c r="R2550" i="12"/>
  <c r="R2838" i="12"/>
  <c r="R1567" i="12"/>
  <c r="R1443" i="12"/>
  <c r="R2469" i="12"/>
  <c r="R1851" i="12"/>
  <c r="R1236" i="12"/>
  <c r="R2050" i="12"/>
  <c r="R2138" i="12"/>
  <c r="R37" i="12"/>
  <c r="R3206" i="12"/>
  <c r="R3201" i="12"/>
  <c r="R108" i="12"/>
  <c r="R1490" i="12"/>
  <c r="R2048" i="12"/>
  <c r="R2887" i="12"/>
  <c r="R3099" i="12"/>
  <c r="R1683" i="12"/>
  <c r="R674" i="12"/>
  <c r="R1252" i="12"/>
  <c r="R491" i="12"/>
  <c r="R2427" i="12"/>
  <c r="R3020" i="12"/>
  <c r="R3310" i="12"/>
  <c r="R2694" i="12"/>
  <c r="R3215" i="12"/>
  <c r="R1399" i="12"/>
  <c r="R1263" i="12"/>
  <c r="R1216" i="12"/>
  <c r="R1260" i="12"/>
  <c r="R2739" i="12"/>
  <c r="R1324" i="12"/>
  <c r="R2483" i="12"/>
  <c r="R2327" i="12"/>
  <c r="R943" i="12"/>
  <c r="R1250" i="12"/>
  <c r="R3115" i="12"/>
  <c r="R1303" i="12"/>
  <c r="R1778" i="12"/>
  <c r="R372" i="12"/>
  <c r="R2659" i="12"/>
  <c r="R2575" i="12"/>
  <c r="R595" i="12"/>
  <c r="R279" i="12"/>
  <c r="R902" i="12"/>
  <c r="R3303" i="12"/>
  <c r="R3069" i="12"/>
  <c r="R152" i="12"/>
  <c r="R322" i="12"/>
  <c r="R2500" i="12"/>
  <c r="R1062" i="12"/>
  <c r="R328" i="12"/>
  <c r="R3247" i="12"/>
  <c r="R1665" i="12"/>
  <c r="R2088" i="12"/>
  <c r="R1838" i="12"/>
  <c r="R1267" i="12"/>
  <c r="R813" i="12"/>
  <c r="R3443" i="12"/>
  <c r="R920" i="12"/>
  <c r="R2972" i="12"/>
  <c r="R2695" i="12"/>
  <c r="R3068" i="12"/>
  <c r="R3168" i="12"/>
  <c r="R626" i="12"/>
  <c r="R32" i="12"/>
  <c r="R2977" i="12"/>
  <c r="R1495" i="12"/>
  <c r="R1718" i="12"/>
  <c r="R758" i="12"/>
  <c r="R1750" i="12"/>
  <c r="R2275" i="12"/>
  <c r="R2442" i="12"/>
  <c r="R1326" i="12"/>
  <c r="R1389" i="12"/>
  <c r="R1480" i="12"/>
  <c r="R1988" i="12"/>
  <c r="R20" i="12"/>
  <c r="R708" i="12"/>
  <c r="R2036" i="12"/>
  <c r="R800" i="12"/>
  <c r="R1901" i="12"/>
  <c r="R2424" i="12"/>
  <c r="R424" i="12"/>
  <c r="R3027" i="12"/>
  <c r="R638" i="12"/>
  <c r="R680" i="12"/>
  <c r="R358" i="12"/>
  <c r="R1307" i="12"/>
  <c r="R442" i="12"/>
  <c r="R1982" i="12"/>
  <c r="R867" i="12"/>
  <c r="R1622" i="12"/>
  <c r="R3391" i="12"/>
  <c r="R685" i="12"/>
  <c r="R2473" i="12"/>
  <c r="R3084" i="12"/>
  <c r="R1971" i="12"/>
  <c r="R2576" i="12"/>
  <c r="R2793" i="12"/>
  <c r="R2573" i="12"/>
  <c r="R1390" i="12"/>
  <c r="R2051" i="12"/>
  <c r="R1472" i="12"/>
  <c r="R2195" i="12"/>
  <c r="R2421" i="12"/>
  <c r="R1582" i="12"/>
  <c r="R1366" i="12"/>
  <c r="R2753" i="12"/>
  <c r="R2842" i="12"/>
  <c r="R763" i="12"/>
  <c r="R1569" i="12"/>
  <c r="R1944" i="12"/>
  <c r="R3528" i="12"/>
  <c r="R1265" i="12"/>
  <c r="R3197" i="12"/>
  <c r="R2722" i="12"/>
  <c r="R2848" i="12"/>
  <c r="R2574" i="12"/>
  <c r="R2879" i="12"/>
  <c r="R2880" i="12"/>
  <c r="R1368" i="12"/>
  <c r="R3532" i="12"/>
  <c r="R836" i="12"/>
  <c r="R540" i="12"/>
  <c r="R1365" i="12"/>
  <c r="R2361" i="12"/>
  <c r="R2692" i="12"/>
  <c r="R2535" i="12"/>
  <c r="R2034" i="12"/>
  <c r="R1283" i="12"/>
  <c r="R462" i="12"/>
  <c r="R3237" i="12"/>
  <c r="R2893" i="12"/>
  <c r="R1846" i="12"/>
  <c r="R2022" i="12"/>
  <c r="R246" i="12"/>
  <c r="R3185" i="12"/>
  <c r="R1117" i="12"/>
  <c r="R418" i="12"/>
  <c r="R1178" i="12"/>
  <c r="R2160" i="12"/>
  <c r="R2948" i="12"/>
  <c r="R2611" i="12"/>
  <c r="R2750" i="12"/>
  <c r="R3166" i="12"/>
  <c r="R3138" i="12"/>
  <c r="R2164" i="12"/>
  <c r="R1919" i="12"/>
  <c r="R2434" i="12"/>
  <c r="R1903" i="12"/>
  <c r="R399" i="12"/>
  <c r="R2996" i="12"/>
  <c r="R2991" i="12"/>
  <c r="R1564" i="12"/>
  <c r="R3085" i="12"/>
  <c r="R1371" i="12"/>
  <c r="R1434" i="12"/>
  <c r="R611" i="12"/>
  <c r="R2691" i="12"/>
  <c r="R2444" i="12"/>
  <c r="R1755" i="12"/>
  <c r="R94" i="12"/>
  <c r="R2907" i="12"/>
  <c r="R2158" i="12"/>
  <c r="R219" i="12"/>
  <c r="R3040" i="12"/>
  <c r="R981" i="12"/>
  <c r="R1515" i="12"/>
  <c r="R459" i="12"/>
  <c r="R862" i="12"/>
  <c r="R1693" i="12"/>
  <c r="R3266" i="12"/>
  <c r="R2867" i="12"/>
  <c r="R2007" i="12"/>
  <c r="R2713" i="12"/>
  <c r="R3105" i="12"/>
  <c r="R2518" i="12"/>
  <c r="R2890" i="12"/>
  <c r="R3506" i="12"/>
  <c r="R3421" i="12"/>
  <c r="R2463" i="12"/>
  <c r="R3348" i="12"/>
  <c r="R243" i="12"/>
  <c r="R403" i="12"/>
  <c r="R3159" i="12"/>
  <c r="R848" i="12"/>
  <c r="R2356" i="12"/>
  <c r="R520" i="12"/>
  <c r="R2359" i="12"/>
  <c r="R336" i="12"/>
  <c r="R1468" i="12"/>
  <c r="R261" i="12"/>
  <c r="R100" i="12"/>
  <c r="R505" i="12"/>
  <c r="R802" i="12"/>
  <c r="R1652" i="12"/>
  <c r="R2123" i="12"/>
  <c r="R2886" i="12"/>
  <c r="R2733" i="12"/>
  <c r="R3473" i="12"/>
  <c r="R1530" i="12"/>
  <c r="R2075" i="12"/>
  <c r="R1873" i="12"/>
  <c r="R2042" i="12"/>
  <c r="R553" i="12"/>
  <c r="R3033" i="12"/>
  <c r="R60" i="12"/>
  <c r="R3261" i="12"/>
  <c r="R1016" i="12"/>
  <c r="R2097" i="12"/>
  <c r="R1476" i="12"/>
  <c r="R864" i="12"/>
  <c r="R3123" i="12"/>
  <c r="R3305" i="12"/>
  <c r="R1739" i="12"/>
  <c r="R340" i="12"/>
  <c r="R2807" i="12"/>
  <c r="R3417" i="12"/>
  <c r="R1585" i="12"/>
  <c r="R995" i="12"/>
  <c r="R3155" i="12"/>
  <c r="R2396" i="12"/>
  <c r="R2498" i="12"/>
  <c r="R3107" i="12"/>
  <c r="R1404" i="12"/>
  <c r="R2650" i="12"/>
  <c r="R2337" i="12"/>
  <c r="R479" i="12"/>
  <c r="R2429" i="12"/>
  <c r="R1817" i="12"/>
  <c r="R2901" i="12"/>
  <c r="R592" i="12"/>
  <c r="R1794" i="12"/>
  <c r="R2268" i="12"/>
  <c r="R2005" i="12"/>
  <c r="R3238" i="12"/>
  <c r="R1055" i="12"/>
  <c r="R2957" i="12"/>
  <c r="R2688" i="12"/>
  <c r="R938" i="12"/>
  <c r="R1201" i="12"/>
  <c r="R1194" i="12"/>
  <c r="R1500" i="12"/>
  <c r="R3318" i="12"/>
  <c r="R2979" i="12"/>
  <c r="R3307" i="12"/>
  <c r="R1188" i="12"/>
  <c r="R1024" i="12"/>
  <c r="R849" i="12"/>
  <c r="R277" i="12"/>
  <c r="R2826" i="12"/>
  <c r="R2517" i="12"/>
  <c r="R570" i="12"/>
  <c r="R1756" i="12"/>
  <c r="R2117" i="12"/>
  <c r="R1226" i="12"/>
  <c r="R3481" i="12"/>
  <c r="R2798" i="12"/>
  <c r="R318" i="12"/>
  <c r="R142" i="12"/>
  <c r="R2521" i="12"/>
  <c r="R1911" i="12"/>
  <c r="R720" i="12"/>
  <c r="R2011" i="12"/>
  <c r="R2703" i="12"/>
  <c r="R427" i="12"/>
  <c r="R2044" i="12"/>
  <c r="R1419" i="12"/>
  <c r="R350" i="12"/>
  <c r="R2634" i="12"/>
  <c r="R2085" i="12"/>
  <c r="R878" i="12"/>
  <c r="R908" i="12"/>
  <c r="R351" i="12"/>
  <c r="R461" i="12"/>
  <c r="R2564" i="12"/>
  <c r="R1132" i="12"/>
  <c r="R2100" i="12"/>
  <c r="R2840" i="12"/>
  <c r="R257" i="12"/>
  <c r="R237" i="12"/>
  <c r="R580" i="12"/>
  <c r="R171" i="12"/>
  <c r="R2943" i="12"/>
  <c r="R615" i="12"/>
  <c r="R2339" i="12"/>
  <c r="R3442" i="12"/>
  <c r="R178" i="12"/>
  <c r="R2908" i="12"/>
  <c r="R2148" i="12"/>
  <c r="R2899" i="12"/>
  <c r="R3150" i="12"/>
  <c r="R515" i="12"/>
  <c r="R2004" i="12"/>
  <c r="R1040" i="12"/>
  <c r="R1501" i="12"/>
  <c r="R2846" i="12"/>
  <c r="R974" i="12"/>
  <c r="R1595" i="12"/>
  <c r="R2760" i="12"/>
  <c r="R3036" i="12"/>
  <c r="R2053" i="12"/>
  <c r="R202" i="12"/>
  <c r="R1373" i="12"/>
  <c r="R2740" i="12"/>
  <c r="R1767" i="12"/>
  <c r="R891" i="12"/>
  <c r="R2021" i="12"/>
  <c r="R2414" i="12"/>
  <c r="R3445" i="12"/>
  <c r="R2043" i="12"/>
  <c r="R337" i="12"/>
  <c r="R1646" i="12"/>
  <c r="R1912" i="12"/>
  <c r="R2752" i="12"/>
  <c r="R743" i="12"/>
  <c r="R1907" i="12"/>
  <c r="R2393" i="12"/>
  <c r="R3170" i="12"/>
  <c r="R1028" i="12"/>
  <c r="R1736" i="12"/>
  <c r="R2584" i="12"/>
  <c r="R3222" i="12"/>
  <c r="R3129" i="12"/>
  <c r="R519" i="12"/>
  <c r="R2835" i="12"/>
  <c r="R3309" i="12"/>
  <c r="R2106" i="12"/>
  <c r="R1764" i="12"/>
  <c r="R2193" i="12"/>
  <c r="R74" i="12"/>
  <c r="R1018" i="12"/>
  <c r="R2063" i="12"/>
  <c r="R2270" i="12"/>
  <c r="R2201" i="12"/>
  <c r="R3478" i="12"/>
  <c r="R3234" i="12"/>
  <c r="R624" i="12"/>
  <c r="R467" i="12"/>
  <c r="R776" i="12"/>
  <c r="R658" i="12"/>
  <c r="R3231" i="12"/>
  <c r="R407" i="12"/>
  <c r="R2320" i="12"/>
  <c r="R3324" i="12"/>
  <c r="R77" i="12"/>
  <c r="R1965" i="12"/>
  <c r="R1792" i="12"/>
  <c r="R2318" i="12"/>
  <c r="R918" i="12"/>
  <c r="R2212" i="12"/>
  <c r="R3294" i="12"/>
  <c r="R843" i="12"/>
  <c r="R1181" i="12"/>
  <c r="R1271" i="12"/>
  <c r="R502" i="12"/>
  <c r="R1540" i="12"/>
  <c r="R2336" i="12"/>
  <c r="R280" i="12"/>
  <c r="R1446" i="12"/>
  <c r="R754" i="12"/>
  <c r="R1798" i="12"/>
  <c r="R158" i="12"/>
  <c r="R2172" i="12"/>
  <c r="R928" i="12"/>
  <c r="R2170" i="12"/>
  <c r="R728" i="12"/>
  <c r="R528" i="12"/>
  <c r="R2718" i="12"/>
  <c r="R1325" i="12"/>
  <c r="R1015" i="12"/>
  <c r="R52" i="12"/>
  <c r="R1206" i="12"/>
  <c r="R3360" i="12"/>
  <c r="R2763" i="12"/>
  <c r="R3133" i="12"/>
  <c r="R888" i="12"/>
  <c r="R2137" i="12"/>
  <c r="R3463" i="12"/>
  <c r="R1003" i="12"/>
  <c r="R325" i="12"/>
  <c r="R2719" i="12"/>
  <c r="R3493" i="12"/>
  <c r="R2658" i="12"/>
  <c r="R1908" i="12"/>
  <c r="R349" i="12"/>
  <c r="R215" i="12"/>
  <c r="R883" i="12"/>
  <c r="R703" i="12"/>
  <c r="R2220" i="12"/>
  <c r="R3479" i="12"/>
  <c r="R1984" i="12"/>
  <c r="R3388" i="12"/>
  <c r="R101" i="12"/>
  <c r="R3446" i="12"/>
  <c r="R3330" i="12"/>
  <c r="R1497" i="12"/>
  <c r="R656" i="12"/>
  <c r="R2465" i="12"/>
  <c r="R393" i="12"/>
  <c r="R2983" i="12"/>
  <c r="R1711" i="12"/>
  <c r="R1138" i="12"/>
  <c r="R956" i="12"/>
  <c r="R929" i="12"/>
  <c r="R3176" i="12"/>
  <c r="R2687" i="12"/>
  <c r="R2271" i="12"/>
  <c r="R2105" i="12"/>
  <c r="R2652" i="12"/>
  <c r="R777" i="12"/>
  <c r="R3329" i="12"/>
  <c r="R2285" i="12"/>
  <c r="R2944" i="12"/>
  <c r="R42" i="12"/>
  <c r="R223" i="12"/>
  <c r="R939" i="12"/>
  <c r="R803" i="12"/>
  <c r="R3062" i="12"/>
  <c r="R1361" i="12"/>
  <c r="R2693" i="12"/>
  <c r="R892" i="12"/>
  <c r="R448" i="12"/>
  <c r="R492" i="12"/>
  <c r="R787" i="12"/>
  <c r="R1069" i="12"/>
  <c r="R710" i="12"/>
  <c r="R2422" i="12"/>
  <c r="R3378" i="12"/>
  <c r="R2202" i="12"/>
  <c r="R3141" i="12"/>
  <c r="R2494" i="12"/>
  <c r="R2112" i="12"/>
  <c r="R2155" i="12"/>
  <c r="R497" i="12"/>
  <c r="R2981" i="12"/>
  <c r="R2470" i="12"/>
  <c r="R2869" i="12"/>
  <c r="R1940" i="12"/>
  <c r="R2203" i="12"/>
  <c r="R1281" i="12"/>
  <c r="R1430" i="12"/>
  <c r="R1681" i="12"/>
  <c r="R2962" i="12"/>
  <c r="R1830" i="12"/>
  <c r="R1938" i="12"/>
  <c r="R2395" i="12"/>
  <c r="R1031" i="12"/>
  <c r="R3257" i="12"/>
  <c r="R2925" i="12"/>
  <c r="R2118" i="12"/>
  <c r="R3012" i="12"/>
  <c r="R621" i="12"/>
  <c r="R1931" i="12"/>
  <c r="R969" i="12"/>
  <c r="R834" i="12"/>
  <c r="R2680" i="12"/>
  <c r="R761" i="12"/>
  <c r="R550" i="12"/>
  <c r="R3177" i="12"/>
  <c r="R563" i="12"/>
  <c r="R1102" i="12"/>
  <c r="R627" i="12"/>
  <c r="R1503" i="12"/>
  <c r="R980" i="12"/>
  <c r="R647" i="12"/>
  <c r="R2141" i="12"/>
  <c r="R1637" i="12"/>
  <c r="R2451" i="12"/>
  <c r="R3362" i="12"/>
  <c r="R214" i="12"/>
  <c r="R472" i="12"/>
  <c r="R3323" i="12"/>
  <c r="R1987" i="12"/>
  <c r="R1039" i="12"/>
  <c r="R49" i="12"/>
  <c r="R1405" i="12"/>
  <c r="R1789" i="12"/>
  <c r="R2399" i="12"/>
  <c r="R2047" i="12"/>
  <c r="R1278" i="12"/>
  <c r="R352" i="12"/>
  <c r="R2398" i="12"/>
  <c r="R2307" i="12"/>
  <c r="R1843" i="12"/>
  <c r="R276" i="12"/>
  <c r="R2549" i="12"/>
  <c r="R1318" i="12"/>
  <c r="R507" i="12"/>
  <c r="R1604" i="12"/>
  <c r="R3144" i="12"/>
  <c r="R3301" i="12"/>
  <c r="R3500" i="12"/>
  <c r="R34" i="12"/>
  <c r="R896" i="12"/>
  <c r="R2016" i="12"/>
  <c r="R1008" i="12"/>
  <c r="R87" i="12"/>
  <c r="R466" i="12"/>
  <c r="R1083" i="12"/>
  <c r="R332" i="12"/>
  <c r="R2672" i="12"/>
  <c r="R2557" i="12"/>
  <c r="R1787" i="12"/>
  <c r="R1159" i="12"/>
  <c r="R1204" i="12"/>
  <c r="R2702" i="12"/>
  <c r="R619" i="12"/>
  <c r="R303" i="12"/>
  <c r="R1064" i="12"/>
  <c r="R2090" i="12"/>
  <c r="R865" i="12"/>
  <c r="R2580" i="12"/>
  <c r="R694" i="12"/>
  <c r="R1760" i="12"/>
  <c r="R937" i="12"/>
  <c r="R2072" i="12"/>
  <c r="R780" i="12"/>
  <c r="R2613" i="12"/>
  <c r="R1355" i="12"/>
  <c r="R3058" i="12"/>
  <c r="R2923" i="12"/>
  <c r="R2543" i="12"/>
  <c r="R2510" i="12"/>
  <c r="R179" i="12"/>
  <c r="R300" i="12"/>
  <c r="R3366" i="12"/>
  <c r="R160" i="12"/>
  <c r="R749" i="12"/>
  <c r="R1677" i="12"/>
  <c r="R608" i="12"/>
  <c r="R302" i="12"/>
  <c r="R1516" i="12"/>
  <c r="R1664" i="12"/>
  <c r="R676" i="12"/>
  <c r="R2417" i="12"/>
  <c r="R2415" i="12"/>
  <c r="R2987" i="12"/>
  <c r="R2431" i="12"/>
  <c r="R2989" i="12"/>
  <c r="R1179" i="12"/>
  <c r="R402" i="12"/>
  <c r="R2134" i="12"/>
  <c r="R2857" i="12"/>
  <c r="R2610" i="12"/>
  <c r="R1927" i="12"/>
  <c r="R3440" i="12"/>
  <c r="R3073" i="12"/>
  <c r="R1400" i="12"/>
  <c r="R1034" i="12"/>
  <c r="R2214" i="12"/>
  <c r="R3465" i="12"/>
  <c r="R2162" i="12"/>
  <c r="R3010" i="12"/>
  <c r="R3165" i="12"/>
  <c r="R779" i="12"/>
  <c r="R2066" i="12"/>
  <c r="R1277" i="12"/>
  <c r="R3180" i="12"/>
  <c r="R3217" i="12"/>
  <c r="R648" i="12"/>
  <c r="R1688" i="12"/>
  <c r="R1231" i="12"/>
  <c r="R3551" i="12"/>
  <c r="R522" i="12"/>
  <c r="R2224" i="12"/>
  <c r="R829" i="12"/>
  <c r="R3083" i="12"/>
  <c r="R1135" i="12"/>
  <c r="R1709" i="12"/>
  <c r="R75" i="12"/>
  <c r="R614" i="12"/>
  <c r="R1850" i="12"/>
  <c r="R1790" i="12"/>
  <c r="R373" i="12"/>
  <c r="R514" i="12"/>
  <c r="R1556" i="12"/>
  <c r="R3387" i="12"/>
  <c r="R3265" i="12"/>
  <c r="R1345" i="12"/>
  <c r="R1565" i="12"/>
  <c r="R2724" i="12"/>
  <c r="R1367" i="12"/>
  <c r="R3161" i="12"/>
  <c r="R2205" i="12"/>
  <c r="R2204" i="12"/>
  <c r="R2146" i="12"/>
  <c r="R3451" i="12"/>
  <c r="R73" i="12"/>
  <c r="R86" i="12"/>
  <c r="R1122" i="12"/>
  <c r="R63" i="12"/>
  <c r="R1211" i="12"/>
  <c r="R1171" i="12"/>
  <c r="R1416" i="12"/>
  <c r="R2211" i="12"/>
  <c r="R380" i="12"/>
  <c r="R2520" i="12"/>
  <c r="R33" i="12"/>
  <c r="R905" i="12"/>
  <c r="R2153" i="12"/>
  <c r="R1057" i="12"/>
  <c r="R3400" i="12"/>
  <c r="R3419" i="12"/>
  <c r="R2665" i="12"/>
  <c r="R216" i="12"/>
  <c r="R1112" i="12"/>
  <c r="R1306" i="12"/>
  <c r="R2843" i="12"/>
  <c r="R364" i="12"/>
  <c r="R2969" i="12"/>
  <c r="R2792" i="12"/>
  <c r="R584" i="12"/>
  <c r="R1957" i="12"/>
  <c r="R1932" i="12"/>
  <c r="R2599" i="12"/>
  <c r="R1882" i="12"/>
  <c r="R449" i="12"/>
  <c r="R1058" i="12"/>
  <c r="R2681" i="12"/>
  <c r="R156" i="12"/>
  <c r="R2447" i="12"/>
  <c r="R3162" i="12"/>
  <c r="R2809" i="12"/>
  <c r="R65" i="12"/>
  <c r="R70" i="12"/>
  <c r="R546" i="12"/>
  <c r="R1962" i="12"/>
  <c r="R2771" i="12"/>
  <c r="R797" i="12"/>
  <c r="R1160" i="12"/>
  <c r="R1857" i="12"/>
  <c r="R2061" i="12"/>
  <c r="R2163" i="12"/>
  <c r="R1611" i="12"/>
  <c r="R835" i="12"/>
  <c r="R72" i="12"/>
  <c r="R1520" i="12"/>
  <c r="R2384" i="12"/>
  <c r="R1239" i="12"/>
  <c r="R308" i="12"/>
  <c r="R2919" i="12"/>
  <c r="R2727" i="12"/>
  <c r="R2870" i="12"/>
  <c r="R471" i="12"/>
  <c r="R890" i="12"/>
  <c r="R1758" i="12"/>
  <c r="R1341" i="12"/>
  <c r="R3163" i="12"/>
  <c r="R950" i="12"/>
  <c r="R603" i="12"/>
  <c r="R2323" i="12"/>
  <c r="R942" i="12"/>
  <c r="R2440" i="12"/>
  <c r="R2232" i="12"/>
  <c r="R2858" i="12"/>
  <c r="R1450" i="12"/>
  <c r="R1717" i="12"/>
  <c r="R696" i="12"/>
  <c r="R3199" i="12"/>
  <c r="R2988" i="12"/>
  <c r="R1111" i="12"/>
  <c r="R3117" i="12"/>
  <c r="R2492" i="12"/>
  <c r="R1522" i="12"/>
  <c r="R144" i="12"/>
  <c r="R968" i="12"/>
  <c r="R1070" i="12"/>
  <c r="R3044" i="12"/>
  <c r="R3357" i="12"/>
  <c r="R689" i="12"/>
  <c r="R2495" i="12"/>
  <c r="R900" i="12"/>
  <c r="R1114" i="12"/>
  <c r="R2173" i="12"/>
  <c r="R2037" i="12"/>
  <c r="R284" i="12"/>
  <c r="R1479" i="12"/>
  <c r="R1109" i="12"/>
  <c r="R469" i="12"/>
  <c r="R3483" i="12"/>
  <c r="R1994" i="12"/>
  <c r="R2849" i="12"/>
  <c r="R1589" i="12"/>
  <c r="R3218" i="12"/>
  <c r="R650" i="12"/>
  <c r="R274" i="12"/>
  <c r="R200" i="12"/>
  <c r="R1470" i="12"/>
  <c r="R1933" i="12"/>
  <c r="R2995" i="12"/>
  <c r="R722" i="12"/>
  <c r="R189" i="12"/>
  <c r="R1006" i="12"/>
  <c r="R1692" i="12"/>
  <c r="R262" i="12"/>
  <c r="R1120" i="12"/>
  <c r="R411" i="12"/>
  <c r="R2745" i="12"/>
  <c r="R509" i="12"/>
  <c r="R339" i="12"/>
  <c r="R2541" i="12"/>
  <c r="R113" i="12"/>
  <c r="R1155" i="12"/>
  <c r="R153" i="12"/>
  <c r="R3502" i="12"/>
  <c r="R2478" i="12"/>
  <c r="R607" i="12"/>
  <c r="R3057" i="12"/>
  <c r="R3252" i="12"/>
  <c r="R817" i="12"/>
  <c r="R871" i="12"/>
  <c r="R2274" i="12"/>
  <c r="R1294" i="12"/>
  <c r="R480" i="12"/>
  <c r="R255" i="12"/>
  <c r="R112" i="12"/>
  <c r="R312" i="12"/>
  <c r="R2039" i="12"/>
  <c r="R568" i="12"/>
  <c r="R724" i="12"/>
  <c r="R3320" i="12"/>
  <c r="R808" i="12"/>
  <c r="R2437" i="12"/>
  <c r="R516" i="12"/>
  <c r="R92" i="12"/>
  <c r="R1092" i="12"/>
  <c r="R1317" i="12"/>
  <c r="R1833" i="12"/>
  <c r="R166" i="12"/>
  <c r="R1184" i="12"/>
  <c r="R2225" i="12"/>
  <c r="R2114" i="12"/>
  <c r="R1293" i="12"/>
  <c r="R319" i="12"/>
  <c r="R1233" i="12"/>
  <c r="R2516" i="12"/>
  <c r="R3523" i="12"/>
  <c r="R3080" i="12"/>
  <c r="R704" i="12"/>
  <c r="R3549" i="12"/>
  <c r="R1808" i="12"/>
  <c r="R3331" i="12"/>
  <c r="R2892" i="12"/>
  <c r="R2926" i="12"/>
  <c r="R1771" i="12"/>
  <c r="R199" i="12"/>
  <c r="R944" i="12"/>
  <c r="R1614" i="12"/>
  <c r="R106" i="12"/>
  <c r="R2647" i="12"/>
  <c r="R1729" i="12"/>
  <c r="R2499" i="12"/>
  <c r="R454" i="12"/>
  <c r="R3497" i="12"/>
  <c r="R1353" i="12"/>
  <c r="R2485" i="12"/>
  <c r="R1713" i="12"/>
  <c r="R184" i="12"/>
  <c r="R3288" i="12"/>
  <c r="R1273" i="12"/>
  <c r="R2514" i="12"/>
  <c r="R2761" i="12"/>
  <c r="R2506" i="12"/>
  <c r="R3037" i="12"/>
  <c r="R2982" i="12"/>
  <c r="R2213" i="12"/>
  <c r="R2600" i="12"/>
  <c r="R3009" i="12"/>
  <c r="R2383" i="12"/>
  <c r="R136" i="12"/>
  <c r="R1004" i="12"/>
  <c r="R428" i="12"/>
  <c r="R2864" i="12"/>
  <c r="R581" i="12"/>
  <c r="R1079" i="12"/>
  <c r="R3499" i="12"/>
  <c r="R2933" i="12"/>
  <c r="R1862" i="12"/>
  <c r="R804" i="12"/>
  <c r="R2389" i="12"/>
  <c r="R2675" i="12"/>
  <c r="R1691" i="12"/>
  <c r="R2592" i="12"/>
  <c r="R3353" i="12"/>
  <c r="R3132" i="12"/>
  <c r="R1437" i="12"/>
  <c r="R3200" i="12"/>
  <c r="R1475" i="12"/>
  <c r="R617" i="12"/>
  <c r="R3377" i="12"/>
  <c r="R1183" i="12"/>
  <c r="R2166" i="12"/>
  <c r="R3060" i="12"/>
  <c r="R2139" i="12"/>
  <c r="R3383" i="12"/>
  <c r="R3278" i="12"/>
  <c r="R3089" i="12"/>
  <c r="R1898" i="12"/>
  <c r="R1698" i="12"/>
  <c r="R3368" i="12"/>
  <c r="R2834" i="12"/>
  <c r="R2621" i="12"/>
  <c r="R622" i="12"/>
  <c r="R1853" i="12"/>
  <c r="R1441" i="12"/>
  <c r="R2313" i="12"/>
  <c r="R209" i="12"/>
  <c r="R220" i="12"/>
  <c r="R1087" i="12"/>
  <c r="R2310" i="12"/>
  <c r="R641" i="12"/>
  <c r="R830" i="12"/>
  <c r="R2296" i="12"/>
  <c r="R1720" i="12"/>
  <c r="R2091" i="12"/>
  <c r="R999" i="12"/>
  <c r="R816" i="12"/>
  <c r="R2084" i="12"/>
  <c r="R1897" i="12"/>
  <c r="R3457" i="12"/>
  <c r="R3077" i="12"/>
  <c r="R3396" i="12"/>
  <c r="R3537" i="12"/>
  <c r="R2700" i="12"/>
  <c r="R1529" i="12"/>
  <c r="R3147" i="12"/>
  <c r="R3239" i="12"/>
  <c r="R2903" i="12"/>
  <c r="R211" i="12"/>
  <c r="R2534" i="12"/>
  <c r="R1420" i="12"/>
  <c r="R534" i="12"/>
  <c r="R1229" i="12"/>
  <c r="R2670" i="12"/>
  <c r="R1457" i="12"/>
  <c r="R3422" i="12"/>
  <c r="R2045" i="12"/>
  <c r="R2663" i="12"/>
  <c r="R3381" i="12"/>
  <c r="R1235" i="12"/>
  <c r="R229" i="12"/>
  <c r="R1332" i="12"/>
  <c r="R2720" i="12"/>
  <c r="R1577" i="12"/>
  <c r="R695" i="12"/>
  <c r="R1578" i="12"/>
  <c r="R3512" i="12"/>
  <c r="R2508" i="12"/>
  <c r="R3187" i="12"/>
  <c r="R2916" i="12"/>
  <c r="R1245" i="12"/>
  <c r="R1879" i="12"/>
  <c r="R3518" i="12"/>
  <c r="R1554" i="12"/>
  <c r="R1842" i="12"/>
  <c r="R3539" i="12"/>
  <c r="R2218" i="12"/>
  <c r="R2092" i="12"/>
  <c r="R2736" i="12"/>
  <c r="R3513" i="12"/>
  <c r="R1943" i="12"/>
  <c r="R1523" i="12"/>
  <c r="R1020" i="12"/>
  <c r="R3438" i="12"/>
  <c r="R1145" i="12"/>
  <c r="R690" i="12"/>
  <c r="R2655" i="12"/>
  <c r="R1726" i="12"/>
  <c r="R334" i="12"/>
  <c r="R2795" i="12"/>
  <c r="R1559" i="12"/>
  <c r="R1380" i="12"/>
  <c r="R1187" i="12"/>
  <c r="R2311" i="12"/>
  <c r="R1140" i="12"/>
  <c r="R3439" i="12"/>
  <c r="R3013" i="12"/>
  <c r="R478" i="12"/>
  <c r="R2294" i="12"/>
  <c r="R254" i="12"/>
  <c r="R1130" i="12"/>
  <c r="R586" i="12"/>
  <c r="R1027" i="12"/>
  <c r="R1284" i="12"/>
  <c r="R3256" i="12"/>
  <c r="R2120" i="12"/>
  <c r="R2242" i="12"/>
  <c r="R3317" i="12"/>
  <c r="R661" i="12"/>
  <c r="R1428" i="12"/>
  <c r="R1730" i="12"/>
  <c r="R1558" i="12"/>
  <c r="R879" i="12"/>
  <c r="R1175" i="12"/>
  <c r="R3270" i="12"/>
  <c r="R3474" i="12"/>
  <c r="R210" i="12"/>
  <c r="R861" i="12"/>
  <c r="R240" i="12"/>
  <c r="R271" i="12"/>
  <c r="R2390" i="12"/>
  <c r="R679" i="12"/>
  <c r="R2612" i="12"/>
  <c r="R998" i="12"/>
  <c r="R1641" i="12"/>
  <c r="R2978" i="12"/>
  <c r="R1669" i="12"/>
  <c r="R311" i="12"/>
  <c r="R2199" i="12"/>
  <c r="R894" i="12"/>
  <c r="R1672" i="12"/>
  <c r="R827" i="12"/>
  <c r="R2261" i="12"/>
  <c r="R1806" i="12"/>
  <c r="R2300" i="12"/>
  <c r="R387" i="12"/>
  <c r="R709" i="12"/>
  <c r="R547" i="12"/>
  <c r="R2264" i="12"/>
  <c r="R1936" i="12"/>
  <c r="R3456" i="12"/>
  <c r="R852" i="12"/>
  <c r="R1638" i="12"/>
  <c r="R1123" i="12"/>
  <c r="R3072" i="12"/>
  <c r="R1949" i="12"/>
  <c r="R1953" i="12"/>
  <c r="R1436" i="12"/>
  <c r="R1667" i="12"/>
  <c r="R256" i="12"/>
  <c r="R2934" i="12"/>
  <c r="R2810" i="12"/>
  <c r="R131" i="12"/>
  <c r="R1593" i="12"/>
  <c r="R1689" i="12"/>
  <c r="R1562" i="12"/>
  <c r="R1976" i="12"/>
  <c r="R3425" i="12"/>
  <c r="R961" i="12"/>
  <c r="R2502" i="12"/>
  <c r="R1384" i="12"/>
  <c r="R2773" i="12"/>
  <c r="R218" i="12"/>
  <c r="R1038" i="12"/>
  <c r="R951" i="12"/>
  <c r="R1093" i="12"/>
  <c r="R1447" i="12"/>
  <c r="R457" i="12"/>
  <c r="R79" i="12"/>
  <c r="R1545" i="12"/>
  <c r="R3095" i="12"/>
  <c r="R114" i="12"/>
  <c r="R590" i="12"/>
  <c r="R2993" i="12"/>
  <c r="R2013" i="12"/>
  <c r="R2489" i="12"/>
  <c r="R3423" i="12"/>
  <c r="R2725" i="12"/>
  <c r="R3016" i="12"/>
  <c r="R3063" i="12"/>
  <c r="R973" i="12"/>
  <c r="R618" i="12"/>
  <c r="R3169" i="12"/>
  <c r="R1687" i="12"/>
  <c r="R2238" i="12"/>
  <c r="R433" i="12"/>
  <c r="R725" i="12"/>
  <c r="R1765" i="12"/>
  <c r="R3503" i="12"/>
  <c r="R2480" i="12"/>
  <c r="R2796" i="12"/>
  <c r="R2780" i="12"/>
  <c r="R2577" i="12"/>
  <c r="R2643" i="12"/>
  <c r="R840" i="12"/>
  <c r="R1061" i="12"/>
  <c r="R3414" i="12"/>
  <c r="R1385" i="12"/>
  <c r="R3024" i="12"/>
  <c r="R1526" i="12"/>
  <c r="R521" i="12"/>
  <c r="R1296" i="12"/>
  <c r="R2017" i="12"/>
  <c r="R157" i="12"/>
  <c r="R2509" i="12"/>
  <c r="R576" i="12"/>
  <c r="R291" i="12"/>
  <c r="R1153" i="12"/>
  <c r="R2690" i="12"/>
  <c r="R456" i="12"/>
  <c r="R392" i="12"/>
  <c r="R3182" i="12"/>
  <c r="R1227" i="12"/>
  <c r="R2871" i="12"/>
  <c r="R3259" i="12"/>
  <c r="R925" i="12"/>
  <c r="R1512" i="12"/>
  <c r="R286" i="12"/>
  <c r="R1010" i="12"/>
  <c r="R2371" i="12"/>
  <c r="R107" i="12"/>
  <c r="R897" i="12"/>
  <c r="R899" i="12"/>
  <c r="R866" i="12"/>
  <c r="R1395" i="12"/>
  <c r="R2321" i="12"/>
  <c r="R596" i="12"/>
  <c r="R2142" i="12"/>
  <c r="R2008" i="12"/>
  <c r="R3051" i="12"/>
  <c r="R3526" i="12"/>
  <c r="R1831" i="12"/>
  <c r="R3515" i="12"/>
  <c r="R1566" i="12"/>
  <c r="R583" i="12"/>
  <c r="R2129" i="12"/>
  <c r="R3412" i="12"/>
  <c r="R1773" i="12"/>
  <c r="R1544" i="12"/>
  <c r="R2524" i="12"/>
  <c r="R1978" i="12"/>
  <c r="R1045" i="12"/>
  <c r="R3178" i="12"/>
  <c r="R1496" i="12"/>
  <c r="R1076" i="12"/>
  <c r="R116" i="12"/>
  <c r="R365" i="12"/>
  <c r="R389" i="12"/>
  <c r="R2853" i="12"/>
  <c r="R2593" i="12"/>
  <c r="R3034" i="12"/>
  <c r="R2126" i="12"/>
  <c r="R1917" i="12"/>
  <c r="R573" i="12"/>
  <c r="R1409" i="12"/>
  <c r="R1887" i="12"/>
  <c r="R2252" i="12"/>
  <c r="R1017" i="12"/>
  <c r="R1141" i="12"/>
  <c r="R2191" i="12"/>
  <c r="R1489" i="12"/>
  <c r="R2467" i="12"/>
  <c r="R1883" i="12"/>
  <c r="R2586" i="12"/>
  <c r="R2642" i="12"/>
  <c r="R2059" i="12"/>
  <c r="R2328" i="12"/>
  <c r="R2183" i="12"/>
  <c r="R2623" i="12"/>
  <c r="R249" i="12"/>
  <c r="R2640" i="12"/>
  <c r="R3100" i="12"/>
  <c r="R3385" i="12"/>
  <c r="R2820" i="12"/>
  <c r="R1587" i="12"/>
  <c r="R909" i="12"/>
  <c r="R3173" i="12"/>
  <c r="R2177" i="12"/>
  <c r="R141" i="12"/>
  <c r="R705" i="12"/>
  <c r="R1266" i="12"/>
  <c r="R744" i="12"/>
  <c r="R2513" i="12"/>
  <c r="R1461" i="12"/>
  <c r="R2038" i="12"/>
  <c r="R1505" i="12"/>
  <c r="R3208" i="12"/>
  <c r="R730" i="12"/>
  <c r="R3359" i="12"/>
  <c r="R2802" i="12"/>
  <c r="R2684" i="12"/>
  <c r="R1421" i="12"/>
  <c r="R748" i="12"/>
  <c r="R1507" i="12"/>
  <c r="R2563" i="12"/>
  <c r="R2226" i="12"/>
  <c r="R2150" i="12"/>
  <c r="R2441" i="12"/>
  <c r="R1086" i="12"/>
  <c r="R1417" i="12"/>
  <c r="R366" i="12"/>
  <c r="R556" i="12"/>
  <c r="R887" i="12"/>
  <c r="R24" i="12"/>
  <c r="R962" i="12"/>
  <c r="R1525" i="12"/>
  <c r="R1528" i="12"/>
  <c r="R377" i="12"/>
  <c r="R1021" i="12"/>
  <c r="R2109" i="12"/>
  <c r="R289" i="12"/>
  <c r="R2102" i="12"/>
  <c r="R3091" i="12"/>
  <c r="R85" i="12"/>
  <c r="R837" i="12"/>
  <c r="R1340" i="12"/>
  <c r="R3449" i="12"/>
  <c r="R3090" i="12"/>
  <c r="R2928" i="12"/>
  <c r="R282" i="12"/>
  <c r="R764" i="12"/>
  <c r="R774" i="12"/>
  <c r="R473" i="12"/>
  <c r="R2664" i="12"/>
  <c r="R1166" i="12"/>
  <c r="R2023" i="12"/>
  <c r="R762" i="12"/>
  <c r="R1748" i="12"/>
  <c r="R3466" i="12"/>
  <c r="R353" i="12"/>
  <c r="R1342" i="12"/>
  <c r="R59" i="12"/>
  <c r="R134" i="12"/>
  <c r="R1099" i="12"/>
  <c r="R3337" i="12"/>
  <c r="R721" i="12"/>
  <c r="R3254" i="12"/>
  <c r="R3229" i="12"/>
  <c r="R3349" i="12"/>
  <c r="R1992" i="12"/>
  <c r="R1975" i="12"/>
  <c r="R1825" i="12"/>
  <c r="R1813" i="12"/>
  <c r="R3472" i="12"/>
  <c r="R2198" i="12"/>
  <c r="R259" i="12"/>
  <c r="R3313" i="12"/>
  <c r="R756" i="12"/>
  <c r="R839" i="12"/>
  <c r="R2490" i="12"/>
  <c r="R1375" i="12"/>
  <c r="R2197" i="12"/>
  <c r="R1929" i="12"/>
  <c r="R1561" i="12"/>
  <c r="R889" i="12"/>
  <c r="R533" i="12"/>
  <c r="R633" i="12"/>
  <c r="R348" i="12"/>
  <c r="R964" i="12"/>
  <c r="R718" i="12"/>
  <c r="R1797" i="12"/>
  <c r="R1343" i="12"/>
  <c r="R1776" i="12"/>
  <c r="R3531" i="12"/>
  <c r="R1659" i="12"/>
  <c r="R175" i="12"/>
  <c r="R173" i="12"/>
  <c r="R1810" i="12"/>
  <c r="R2227" i="12"/>
  <c r="R3533" i="12"/>
  <c r="R440" i="12"/>
  <c r="R2385" i="12"/>
  <c r="R2360" i="12"/>
  <c r="R1855" i="12"/>
  <c r="R921" i="12"/>
  <c r="R410" i="12"/>
  <c r="R1029" i="12"/>
  <c r="R1379" i="12"/>
  <c r="R3345" i="12"/>
  <c r="R2343" i="12"/>
  <c r="R453" i="12"/>
  <c r="R1617" i="12"/>
  <c r="R2278" i="12"/>
  <c r="R2055" i="12"/>
  <c r="R1588" i="12"/>
  <c r="R1349" i="12"/>
  <c r="R3048" i="12"/>
  <c r="R2230" i="12"/>
  <c r="R78" i="12"/>
  <c r="R3272" i="12"/>
  <c r="R2558" i="12"/>
  <c r="R1471" i="12"/>
  <c r="R3275" i="12"/>
  <c r="R3253" i="12"/>
  <c r="R146" i="12"/>
  <c r="R1124" i="12"/>
  <c r="R3142" i="12"/>
  <c r="R1935" i="12"/>
  <c r="R1876" i="12"/>
  <c r="R297" i="12"/>
  <c r="R3271" i="12"/>
  <c r="R911" i="12"/>
  <c r="R2924" i="12"/>
  <c r="R2438" i="12"/>
  <c r="R3361" i="12"/>
  <c r="R2628" i="12"/>
  <c r="R2244" i="12"/>
  <c r="R2041" i="12"/>
  <c r="R2954" i="12"/>
  <c r="R3428" i="12"/>
  <c r="R1356" i="12"/>
  <c r="R591" i="12"/>
  <c r="R2049" i="12"/>
  <c r="R2671" i="12"/>
  <c r="R1788" i="12"/>
  <c r="R2342" i="12"/>
  <c r="R3011" i="12"/>
  <c r="R3039" i="12"/>
  <c r="R1859" i="12"/>
  <c r="R2351" i="12"/>
  <c r="R1292" i="12"/>
  <c r="R3302" i="12"/>
  <c r="R1722" i="12"/>
  <c r="R3151" i="12"/>
  <c r="R2054" i="12"/>
  <c r="R1547" i="12"/>
  <c r="R2830" i="12"/>
  <c r="R1314" i="12"/>
  <c r="R1651" i="12"/>
  <c r="R95" i="12"/>
  <c r="R915" i="12"/>
  <c r="R1264" i="12"/>
  <c r="R660" i="12"/>
  <c r="R2458" i="12"/>
  <c r="R1372" i="12"/>
  <c r="R1118" i="12"/>
  <c r="R1849" i="12"/>
  <c r="R1066" i="12"/>
  <c r="R1995" i="12"/>
  <c r="R1347" i="12"/>
  <c r="R2819" i="12"/>
  <c r="R994" i="12"/>
  <c r="R3043" i="12"/>
  <c r="R2071" i="12"/>
  <c r="R3203" i="12"/>
  <c r="R1890" i="12"/>
  <c r="R2374" i="12"/>
  <c r="R2130" i="12"/>
  <c r="R2778" i="12"/>
  <c r="R1488" i="12"/>
  <c r="R2717" i="12"/>
  <c r="R1059" i="12"/>
  <c r="R2060" i="12"/>
  <c r="R44" i="12"/>
  <c r="R935" i="12"/>
  <c r="R3494" i="12"/>
  <c r="R1506" i="12"/>
  <c r="R1573" i="12"/>
  <c r="R2568" i="12"/>
  <c r="R2184" i="12"/>
  <c r="R244" i="12"/>
  <c r="R731" i="12"/>
  <c r="R2217" i="12"/>
  <c r="R1238" i="12"/>
  <c r="R2533" i="12"/>
  <c r="R119" i="12"/>
  <c r="R1563" i="12"/>
  <c r="R2338" i="12"/>
  <c r="R500" i="12"/>
  <c r="R706" i="12"/>
  <c r="R945" i="12"/>
  <c r="R1615" i="12"/>
  <c r="R1422" i="12"/>
  <c r="R2950" i="12"/>
  <c r="R1966" i="12"/>
  <c r="R482" i="12"/>
  <c r="R369" i="12"/>
  <c r="R561" i="12"/>
  <c r="R1628" i="12"/>
  <c r="R565" i="12"/>
  <c r="R2677" i="12"/>
  <c r="R2544" i="12"/>
  <c r="R2914" i="12"/>
  <c r="R2448" i="12"/>
  <c r="R532" i="12"/>
  <c r="R415" i="12"/>
  <c r="R1168" i="12"/>
  <c r="R3364" i="12"/>
  <c r="R376" i="12"/>
  <c r="R1639" i="12"/>
  <c r="R1025" i="12"/>
  <c r="R2376" i="12"/>
  <c r="R183" i="12"/>
  <c r="R2228" i="12"/>
  <c r="R1134" i="12"/>
  <c r="R2057" i="12"/>
  <c r="R2748" i="12"/>
  <c r="R1686" i="12"/>
  <c r="R1996" i="12"/>
  <c r="R2708" i="12"/>
  <c r="R1403" i="12"/>
  <c r="R2464" i="12"/>
  <c r="R69" i="12"/>
  <c r="R1594" i="12"/>
  <c r="R2631" i="12"/>
  <c r="R2673" i="12"/>
  <c r="R3284" i="12"/>
  <c r="R198" i="12"/>
  <c r="R1840" i="12"/>
  <c r="R194" i="12"/>
  <c r="R1285" i="12"/>
  <c r="R2403" i="12"/>
  <c r="R2813" i="12"/>
  <c r="R3056" i="12"/>
  <c r="R886" i="12"/>
  <c r="R2560" i="12"/>
  <c r="R56" i="12"/>
  <c r="R128" i="12"/>
  <c r="R3274" i="12"/>
  <c r="R1580" i="12"/>
  <c r="R2546" i="12"/>
  <c r="R1115" i="12"/>
  <c r="R3308" i="12"/>
  <c r="R881" i="12"/>
  <c r="R2099" i="12"/>
  <c r="R2537" i="12"/>
  <c r="R2298" i="12"/>
  <c r="R3384" i="12"/>
  <c r="R1648" i="12"/>
  <c r="R1727" i="12"/>
  <c r="R2594" i="12"/>
  <c r="R2381" i="12"/>
  <c r="R1832" i="12"/>
  <c r="R799" i="12"/>
  <c r="R2062" i="12"/>
  <c r="R594" i="12"/>
  <c r="R3066" i="12"/>
  <c r="R2263" i="12"/>
  <c r="R1302" i="12"/>
  <c r="R1916" i="12"/>
  <c r="R2070" i="12"/>
  <c r="R524" i="12"/>
  <c r="R805" i="12"/>
  <c r="R3464" i="12"/>
  <c r="R2602" i="12"/>
  <c r="R3103" i="12"/>
  <c r="R250" i="12"/>
  <c r="R700" i="12"/>
  <c r="R2452" i="12"/>
  <c r="R2676" i="12"/>
  <c r="R3075" i="12"/>
  <c r="R2161" i="12"/>
  <c r="R993" i="12"/>
  <c r="R1910" i="12"/>
  <c r="R1402" i="12"/>
  <c r="R1309" i="12"/>
  <c r="R3534" i="12"/>
  <c r="R1224" i="12"/>
  <c r="R643" i="12"/>
  <c r="R2363" i="12"/>
  <c r="R3501" i="12"/>
  <c r="R3148" i="12"/>
  <c r="R1103" i="12"/>
  <c r="R207" i="12"/>
  <c r="R3094" i="12"/>
  <c r="R208" i="12"/>
  <c r="R3469" i="12"/>
  <c r="R2757" i="12"/>
  <c r="R3519" i="12"/>
  <c r="R1329" i="12"/>
  <c r="R628" i="12"/>
  <c r="R2936" i="12"/>
  <c r="R560" i="12"/>
  <c r="R2286" i="12"/>
  <c r="R1835" i="12"/>
  <c r="R2291" i="12"/>
  <c r="R2811" i="12"/>
  <c r="R1382" i="12"/>
  <c r="R422" i="12"/>
  <c r="R1275" i="12"/>
  <c r="R1205" i="12"/>
  <c r="R2657" i="12"/>
  <c r="R513" i="12"/>
  <c r="R1922" i="12"/>
  <c r="R3520" i="12"/>
  <c r="R1050" i="12"/>
  <c r="R2255" i="12"/>
  <c r="R1902" i="12"/>
  <c r="R3198" i="12"/>
  <c r="R1098" i="12"/>
  <c r="R2178" i="12"/>
  <c r="R2131" i="12"/>
  <c r="R2269" i="12"/>
  <c r="R2920" i="12"/>
  <c r="R3321" i="12"/>
  <c r="R2135" i="12"/>
  <c r="R2638" i="12"/>
  <c r="R1433" i="12"/>
  <c r="R2569" i="12"/>
  <c r="R1473" i="12"/>
  <c r="R2404" i="12"/>
  <c r="R1963" i="12"/>
  <c r="R2350" i="12"/>
  <c r="R1498" i="12"/>
  <c r="R600" i="12"/>
  <c r="R2348" i="12"/>
  <c r="R2003" i="12"/>
  <c r="R3287" i="12"/>
  <c r="R2609" i="12"/>
  <c r="R858" i="12"/>
  <c r="R396" i="12"/>
  <c r="R3402" i="12"/>
  <c r="R3300" i="12"/>
  <c r="R2301" i="12"/>
  <c r="R1757" i="12"/>
  <c r="R2805" i="12"/>
  <c r="R2641" i="12"/>
  <c r="R2408" i="12"/>
  <c r="R949" i="12"/>
  <c r="R2850" i="12"/>
  <c r="R3015" i="12"/>
  <c r="R57" i="12"/>
  <c r="R1870" i="12"/>
  <c r="R1915" i="12"/>
  <c r="R1633" i="12"/>
  <c r="R2493" i="12"/>
  <c r="R503" i="12"/>
  <c r="R1241" i="12"/>
  <c r="R2582" i="12"/>
  <c r="R335" i="12"/>
  <c r="R2254" i="12"/>
  <c r="R707" i="12"/>
  <c r="R1884" i="12"/>
  <c r="R686" i="12"/>
  <c r="R625" i="12"/>
  <c r="R2786" i="12"/>
  <c r="R2689" i="12"/>
  <c r="R140" i="12"/>
  <c r="R3145" i="12"/>
  <c r="R1467" i="12"/>
  <c r="R3350" i="12"/>
  <c r="R767" i="12"/>
  <c r="R2952" i="12"/>
  <c r="R2450" i="12"/>
  <c r="R2947" i="12"/>
  <c r="R2551" i="12"/>
  <c r="R1151" i="12"/>
  <c r="R1288" i="12"/>
  <c r="R2267" i="12"/>
  <c r="R3076" i="12"/>
  <c r="R2167" i="12"/>
  <c r="R3452" i="12"/>
  <c r="R129" i="12"/>
  <c r="R309" i="12"/>
  <c r="R103" i="12"/>
  <c r="R1666" i="12"/>
  <c r="R2512" i="12"/>
  <c r="R567" i="12"/>
  <c r="R691" i="12"/>
  <c r="R1728" i="12"/>
  <c r="R151" i="12"/>
  <c r="R1199" i="12"/>
  <c r="R1096" i="12"/>
  <c r="R3214" i="12"/>
  <c r="R2777" i="12"/>
  <c r="R3437" i="12"/>
  <c r="R2241" i="12"/>
  <c r="R2815" i="12"/>
  <c r="R288" i="12"/>
  <c r="R2833" i="12"/>
  <c r="R713" i="12"/>
  <c r="R2884" i="12"/>
  <c r="R857" i="12"/>
  <c r="R1607" i="12"/>
  <c r="R1647" i="12"/>
  <c r="R930" i="12"/>
  <c r="R2781" i="12"/>
  <c r="R538" i="12"/>
  <c r="R468" i="12"/>
  <c r="R1007" i="12"/>
  <c r="R3018" i="12"/>
  <c r="R529" i="12"/>
  <c r="R2111" i="12"/>
  <c r="R2696" i="12"/>
  <c r="R572" i="12"/>
  <c r="R3097" i="12"/>
  <c r="R3276" i="12"/>
  <c r="R564" i="12"/>
  <c r="R3460" i="12"/>
  <c r="R212" i="12"/>
  <c r="R252" i="12"/>
  <c r="R2369" i="12"/>
  <c r="R873" i="12"/>
  <c r="R1777" i="12"/>
  <c r="R3529" i="12"/>
  <c r="R1378" i="12"/>
  <c r="R1948" i="12"/>
  <c r="R1504" i="12"/>
  <c r="R420" i="12"/>
  <c r="R1868" i="12"/>
  <c r="R3315" i="12"/>
  <c r="R863" i="12"/>
  <c r="R1572" i="12"/>
  <c r="R3488" i="12"/>
  <c r="R3470" i="12"/>
  <c r="R1203" i="12"/>
  <c r="R2474" i="12"/>
  <c r="R1509" i="12"/>
  <c r="R575" i="12"/>
  <c r="R1795" i="12"/>
  <c r="R1869" i="12"/>
  <c r="R1852" i="12"/>
  <c r="R2741" i="12"/>
  <c r="R2711" i="12"/>
  <c r="R239" i="12"/>
  <c r="R1305" i="12"/>
  <c r="R2921" i="12"/>
  <c r="R3041" i="12"/>
  <c r="R3179" i="12"/>
  <c r="R446" i="12"/>
  <c r="R3244" i="12"/>
  <c r="R2776" i="12"/>
  <c r="R170" i="12"/>
  <c r="R476" i="12"/>
  <c r="R3067" i="12"/>
  <c r="R3335" i="12"/>
  <c r="R1445" i="12"/>
  <c r="R2528" i="12"/>
  <c r="R164" i="12"/>
  <c r="R1334" i="12"/>
  <c r="R133" i="12"/>
  <c r="R2104" i="12"/>
  <c r="R109" i="12"/>
  <c r="R1154" i="12"/>
  <c r="R1150" i="12"/>
  <c r="R1270" i="12"/>
  <c r="R371" i="12"/>
  <c r="R1661" i="12"/>
  <c r="R1823" i="12"/>
  <c r="R2233" i="12"/>
  <c r="R3022" i="12"/>
  <c r="R3455" i="12"/>
  <c r="R3152" i="12"/>
  <c r="R2259" i="12"/>
  <c r="R903" i="12"/>
  <c r="R2481" i="12"/>
  <c r="R665" i="12"/>
  <c r="R1128" i="12"/>
  <c r="R3146" i="12"/>
  <c r="R455" i="12"/>
  <c r="R1320" i="12"/>
  <c r="R941" i="12"/>
  <c r="R2519" i="12"/>
  <c r="R1676" i="12"/>
  <c r="R1164" i="12"/>
  <c r="R460" i="12"/>
  <c r="R631" i="12"/>
  <c r="R1969" i="12"/>
  <c r="R2505" i="12"/>
  <c r="R386" i="12"/>
  <c r="R1557" i="12"/>
  <c r="R1210" i="12"/>
  <c r="R1049" i="12"/>
  <c r="R3112" i="12"/>
  <c r="R1754" i="12"/>
  <c r="R1762" i="12"/>
  <c r="R2997" i="12"/>
  <c r="R2829" i="12"/>
  <c r="R1313" i="12"/>
  <c r="R2970" i="12"/>
  <c r="R361" i="12"/>
  <c r="R771" i="12"/>
  <c r="R19" i="12"/>
  <c r="R494" i="12"/>
  <c r="R64" i="12"/>
  <c r="R1163" i="12"/>
  <c r="R934" i="12"/>
  <c r="R3025" i="12"/>
  <c r="R2249" i="12"/>
  <c r="R3296" i="12"/>
  <c r="R3369" i="12"/>
  <c r="R2897" i="12"/>
  <c r="R2787" i="12"/>
  <c r="R2344" i="12"/>
  <c r="R1452" i="12"/>
  <c r="R1067" i="12"/>
  <c r="R1858" i="12"/>
  <c r="R3181" i="12"/>
  <c r="R317" i="12"/>
  <c r="R681" i="12"/>
  <c r="R3192" i="12"/>
  <c r="R3086" i="12"/>
  <c r="R742" i="12"/>
  <c r="R236" i="12"/>
  <c r="R821" i="12"/>
  <c r="R598" i="12"/>
  <c r="R2896" i="12"/>
  <c r="R2783" i="12"/>
  <c r="R3053" i="12"/>
  <c r="R1186" i="12"/>
  <c r="R3380" i="12"/>
  <c r="R3475" i="12"/>
  <c r="R1167" i="12"/>
  <c r="R263" i="12"/>
  <c r="R1143" i="12"/>
  <c r="R305" i="12"/>
  <c r="R2018" i="12"/>
  <c r="R2258" i="12"/>
  <c r="R2187" i="12"/>
  <c r="R1071" i="12"/>
  <c r="R1800" i="12"/>
  <c r="R1014" i="12"/>
  <c r="R2929" i="12"/>
  <c r="R922" i="12"/>
  <c r="R3233" i="12"/>
  <c r="R555" i="12"/>
  <c r="R1174" i="12"/>
  <c r="R1127" i="12"/>
  <c r="R1763" i="12"/>
  <c r="R2749" i="12"/>
  <c r="R1703" i="12"/>
  <c r="R2960" i="12"/>
  <c r="R2571" i="12"/>
  <c r="R605" i="12"/>
  <c r="R285" i="12"/>
  <c r="R2900" i="12"/>
  <c r="R3530" i="12"/>
  <c r="R1105" i="12"/>
  <c r="R1685" i="12"/>
  <c r="R554" i="12"/>
  <c r="R2743" i="12"/>
  <c r="R768" i="12"/>
  <c r="R997" i="12"/>
  <c r="R2247" i="12"/>
  <c r="R2968" i="12"/>
  <c r="R391" i="12"/>
  <c r="R987" i="12"/>
  <c r="R1462" i="12"/>
  <c r="R362" i="12"/>
  <c r="R2056" i="12"/>
  <c r="R1510" i="12"/>
  <c r="R3059" i="12"/>
  <c r="R483" i="12"/>
  <c r="R1914" i="12"/>
  <c r="R320" i="12"/>
  <c r="R809" i="12"/>
  <c r="R1964" i="12"/>
  <c r="R1673" i="12"/>
  <c r="R3517" i="12"/>
  <c r="R117" i="12"/>
  <c r="R484" i="12"/>
  <c r="R2215" i="12"/>
  <c r="R2561" i="12"/>
  <c r="R2355" i="12"/>
  <c r="R474" i="12"/>
  <c r="R2654" i="12"/>
  <c r="R1458" i="12"/>
  <c r="R3382" i="12"/>
  <c r="R2998" i="12"/>
  <c r="R1684" i="12"/>
  <c r="R2040" i="12"/>
  <c r="R612" i="12"/>
  <c r="R2304" i="12"/>
  <c r="R3124" i="12"/>
  <c r="R3136" i="12"/>
  <c r="R2814" i="12"/>
  <c r="R739" i="12"/>
  <c r="R381" i="12"/>
  <c r="R3430" i="12"/>
  <c r="R753" i="12"/>
  <c r="R1791" i="12"/>
  <c r="R304" i="12"/>
  <c r="R1279" i="12"/>
  <c r="R2538" i="12"/>
  <c r="R947" i="12"/>
  <c r="R3489" i="12"/>
  <c r="R1247" i="12"/>
  <c r="R2715" i="12"/>
  <c r="R2875" i="12"/>
  <c r="R1339" i="12"/>
  <c r="R578" i="12"/>
  <c r="R3395" i="12"/>
  <c r="R654" i="12"/>
  <c r="R678" i="12"/>
  <c r="R2905" i="12"/>
  <c r="R167" i="12"/>
  <c r="R1195" i="12"/>
  <c r="R2755" i="12"/>
  <c r="R3246" i="12"/>
  <c r="R258" i="12"/>
  <c r="R43" i="12"/>
  <c r="R2942" i="12"/>
  <c r="R67" i="12"/>
  <c r="R390" i="12"/>
  <c r="R2119" i="12"/>
  <c r="R2980" i="12"/>
  <c r="R2176" i="12"/>
  <c r="R3397" i="12"/>
  <c r="R2785" i="12"/>
  <c r="R2758" i="12"/>
  <c r="R1308" i="12"/>
  <c r="R1282" i="12"/>
  <c r="R2587" i="12"/>
  <c r="R1449" i="12"/>
  <c r="R3128" i="12"/>
  <c r="R39" i="12"/>
  <c r="R623" i="12"/>
  <c r="R794" i="12"/>
  <c r="R2511" i="12"/>
  <c r="R1157" i="12"/>
  <c r="R3157" i="12"/>
  <c r="R599" i="12"/>
  <c r="R2932" i="12"/>
  <c r="R3285" i="12"/>
  <c r="R3286" i="12"/>
  <c r="R1630" i="12"/>
  <c r="R1980" i="12"/>
  <c r="R1769" i="12"/>
  <c r="R2290" i="12"/>
  <c r="R388" i="12"/>
  <c r="R541" i="12"/>
  <c r="R716" i="12"/>
  <c r="R3338" i="12"/>
  <c r="R437" i="12"/>
  <c r="R1182" i="12"/>
  <c r="R1519" i="12"/>
  <c r="R1146" i="12"/>
  <c r="R3334" i="12"/>
  <c r="R1801" i="12"/>
  <c r="R3295" i="12"/>
  <c r="R601" i="12"/>
  <c r="R3156" i="12"/>
  <c r="R798" i="12"/>
  <c r="R2646" i="12"/>
  <c r="R1234" i="12"/>
  <c r="R2377" i="12"/>
  <c r="R2818" i="12"/>
  <c r="R1011" i="12"/>
  <c r="R1721" i="12"/>
  <c r="R434" i="12"/>
  <c r="R1649" i="12"/>
  <c r="R1424" i="12"/>
  <c r="R180" i="12"/>
  <c r="R169" i="12"/>
  <c r="R1338" i="12"/>
  <c r="R226" i="12"/>
  <c r="R264" i="12"/>
  <c r="R1104" i="12"/>
  <c r="R2265" i="12"/>
  <c r="R1928" i="12"/>
  <c r="R3347" i="12"/>
  <c r="R3319" i="12"/>
  <c r="R3125" i="12"/>
  <c r="R677" i="12"/>
  <c r="R2734" i="12"/>
  <c r="R3352" i="12"/>
  <c r="R1697" i="12"/>
  <c r="R36" i="12"/>
  <c r="R1834" i="12"/>
  <c r="R736" i="12"/>
  <c r="R1125" i="12"/>
  <c r="R2014" i="12"/>
  <c r="R1323" i="12"/>
  <c r="R338" i="12"/>
  <c r="R3119" i="12"/>
  <c r="R1785" i="12"/>
  <c r="R1393" i="12"/>
  <c r="R760" i="12"/>
  <c r="R421" i="12"/>
  <c r="R2299" i="12"/>
  <c r="R1896" i="12"/>
  <c r="R2357" i="12"/>
  <c r="R2632" i="12"/>
  <c r="R354" i="12"/>
  <c r="R1165" i="12"/>
  <c r="R2240" i="12"/>
  <c r="R1699" i="12"/>
  <c r="R127" i="12"/>
  <c r="R3031" i="12"/>
  <c r="R3336" i="12"/>
  <c r="R1442" i="12"/>
  <c r="R692" i="12"/>
  <c r="R3078" i="12"/>
  <c r="R99" i="12"/>
  <c r="R2839" i="12"/>
  <c r="R2527" i="12"/>
  <c r="R1786" i="12"/>
  <c r="R1249" i="12"/>
  <c r="R2362" i="12"/>
  <c r="R2770" i="12"/>
  <c r="R2346" i="12"/>
  <c r="R2250" i="12"/>
  <c r="R3299" i="12"/>
  <c r="R931" i="12"/>
  <c r="R2433" i="12"/>
  <c r="R3467" i="12"/>
  <c r="R3326" i="12"/>
  <c r="R717" i="12"/>
  <c r="R2616" i="12"/>
  <c r="R3001" i="12"/>
  <c r="R1043" i="12"/>
  <c r="R265" i="12"/>
  <c r="R3194" i="12"/>
  <c r="R557" i="12"/>
  <c r="R2873" i="12"/>
  <c r="R3306" i="12"/>
  <c r="R251" i="12"/>
  <c r="R115" i="12"/>
  <c r="R196" i="12"/>
  <c r="R1257" i="12"/>
  <c r="R333" i="12"/>
  <c r="R732" i="12"/>
  <c r="R46" i="12"/>
  <c r="R923" i="12"/>
  <c r="R3370" i="12"/>
  <c r="R295" i="12"/>
  <c r="R345" i="12"/>
  <c r="R2282" i="12"/>
  <c r="R3450" i="12"/>
  <c r="R2171" i="12"/>
  <c r="R2629" i="12"/>
  <c r="R2597" i="12"/>
  <c r="R1601" i="12"/>
  <c r="R1618" i="12"/>
  <c r="R1920" i="12"/>
  <c r="R2984" i="12"/>
  <c r="R1802" i="12"/>
  <c r="R1388" i="12"/>
  <c r="R1568" i="12"/>
  <c r="R727" i="12"/>
  <c r="R1747" i="12"/>
  <c r="R781" i="12"/>
  <c r="R2196" i="12"/>
  <c r="R1333" i="12"/>
  <c r="R1605" i="12"/>
  <c r="R1820" i="12"/>
  <c r="R701" i="12"/>
  <c r="R2033" i="12"/>
  <c r="R972" i="12"/>
  <c r="R1560" i="12"/>
  <c r="R3190" i="12"/>
  <c r="R489" i="12"/>
  <c r="R3279" i="12"/>
  <c r="R912" i="12"/>
  <c r="R3290" i="12"/>
  <c r="R342" i="12"/>
  <c r="R807" i="12"/>
  <c r="R383" i="12"/>
  <c r="R1022" i="12"/>
  <c r="R2589" i="12"/>
  <c r="R145" i="12"/>
  <c r="R574" i="12"/>
  <c r="R2910" i="12"/>
  <c r="R1412" i="12"/>
  <c r="R684" i="12"/>
  <c r="R1327" i="12"/>
  <c r="R487" i="12"/>
  <c r="R2540" i="12"/>
  <c r="R2891" i="12"/>
  <c r="R1608" i="12"/>
  <c r="R885" i="12"/>
  <c r="R1841" i="12"/>
  <c r="R1782" i="12"/>
  <c r="R3386" i="12"/>
  <c r="R3548" i="12"/>
  <c r="R1453" i="12"/>
  <c r="R2955" i="12"/>
  <c r="R1977" i="12"/>
  <c r="R26" i="12"/>
  <c r="R2800" i="12"/>
  <c r="R3139" i="12"/>
  <c r="R2358" i="12"/>
  <c r="R1107" i="12"/>
  <c r="R536" i="12"/>
  <c r="R811" i="12"/>
  <c r="R963" i="12"/>
  <c r="R1440" i="12"/>
  <c r="R1477" i="12"/>
  <c r="R3525" i="12"/>
  <c r="R1724" i="12"/>
  <c r="R1972" i="12"/>
  <c r="R2147" i="12"/>
  <c r="R579" i="12"/>
  <c r="R1126" i="12"/>
  <c r="R1148" i="12"/>
  <c r="R1052" i="12"/>
  <c r="R1602" i="12"/>
  <c r="R54" i="12"/>
  <c r="R506" i="12"/>
  <c r="R2445" i="12"/>
  <c r="R1147" i="12"/>
  <c r="R2705" i="12"/>
  <c r="R2002" i="12"/>
  <c r="R3268" i="12"/>
  <c r="R1674" i="12"/>
  <c r="R1221" i="12"/>
  <c r="R3008" i="12"/>
  <c r="R2012" i="12"/>
  <c r="R1144" i="12"/>
  <c r="R1396" i="12"/>
  <c r="R2305" i="12"/>
  <c r="R310" i="12"/>
  <c r="R2110" i="12"/>
  <c r="R2590" i="12"/>
  <c r="R2625" i="12"/>
  <c r="R1534" i="12"/>
  <c r="R2679" i="12"/>
  <c r="R702" i="12"/>
  <c r="R904" i="12"/>
  <c r="R1640" i="12"/>
  <c r="R1923" i="12"/>
  <c r="R2746" i="12"/>
  <c r="R3224" i="12"/>
  <c r="R1779" i="12"/>
  <c r="R1770" i="12"/>
  <c r="R740" i="12"/>
  <c r="R90" i="12"/>
  <c r="R1937" i="12"/>
  <c r="R3211" i="12"/>
  <c r="R2845" i="12"/>
  <c r="R375" i="12"/>
  <c r="R2588" i="12"/>
  <c r="R1248" i="12"/>
  <c r="R723" i="12"/>
  <c r="R796" i="12"/>
  <c r="R2245" i="12"/>
  <c r="R539" i="12"/>
  <c r="R3260" i="12"/>
  <c r="R2635" i="12"/>
  <c r="R1451" i="12"/>
  <c r="R238" i="12"/>
  <c r="R518" i="12"/>
  <c r="R1315" i="12"/>
  <c r="R1019" i="12"/>
  <c r="R1829" i="12"/>
  <c r="R3137" i="12"/>
  <c r="R2482" i="12"/>
  <c r="R499" i="12"/>
  <c r="R2992" i="12"/>
  <c r="R2731" i="12"/>
  <c r="R429" i="12"/>
  <c r="R3374" i="12"/>
  <c r="R3023" i="12"/>
  <c r="R3106" i="12"/>
  <c r="R1974" i="12"/>
  <c r="R1251" i="12"/>
  <c r="R2775" i="12"/>
  <c r="R2319" i="12"/>
  <c r="R150" i="12"/>
  <c r="R3273" i="12"/>
  <c r="R1624" i="12"/>
  <c r="R1091" i="12"/>
  <c r="R3542" i="12"/>
  <c r="R3174" i="12"/>
  <c r="R3416" i="12"/>
  <c r="R2945" i="12"/>
  <c r="R979" i="12"/>
  <c r="R3038" i="12"/>
  <c r="R1459" i="12"/>
  <c r="R186" i="12"/>
  <c r="R1291" i="12"/>
  <c r="R1597" i="12"/>
  <c r="R3004" i="12"/>
  <c r="R2622" i="12"/>
  <c r="R1401" i="12"/>
  <c r="R2235" i="12"/>
  <c r="R2322" i="12"/>
  <c r="R247" i="12"/>
  <c r="R1746" i="12"/>
  <c r="R2306" i="12"/>
  <c r="R1068" i="12"/>
  <c r="R3454" i="12"/>
  <c r="R3390" i="12"/>
  <c r="R2762" i="12"/>
  <c r="R2454" i="12"/>
  <c r="R1518" i="12"/>
  <c r="R2297" i="12"/>
  <c r="R1391" i="12"/>
  <c r="R2000" i="12"/>
  <c r="R1680" i="12"/>
  <c r="R3514" i="12"/>
  <c r="R3358" i="12"/>
  <c r="R791" i="12"/>
  <c r="R970" i="12"/>
  <c r="R2606" i="12"/>
  <c r="R1359" i="12"/>
  <c r="R1253" i="12"/>
  <c r="R1913" i="12"/>
  <c r="R2965" i="12"/>
  <c r="R548" i="12"/>
  <c r="R1891" i="12"/>
  <c r="R2751" i="12"/>
  <c r="R1319" i="12"/>
  <c r="R2221" i="12"/>
  <c r="R3184" i="12"/>
  <c r="R2913" i="12"/>
  <c r="R1715" i="12"/>
  <c r="R213" i="12"/>
  <c r="R1331" i="12"/>
  <c r="R122" i="12"/>
  <c r="R2827" i="12"/>
  <c r="R2812" i="12"/>
  <c r="R1000" i="12"/>
  <c r="R2405" i="12"/>
  <c r="R1005" i="12"/>
  <c r="R2698" i="12"/>
  <c r="R512" i="12"/>
  <c r="R2192" i="12"/>
  <c r="R3130" i="12"/>
  <c r="R1001" i="12"/>
  <c r="R182" i="12"/>
  <c r="R412" i="12"/>
  <c r="R1860" i="12"/>
  <c r="R2764" i="12"/>
  <c r="R3485" i="12"/>
  <c r="R3283" i="12"/>
  <c r="R1888" i="12"/>
  <c r="R2779" i="12"/>
  <c r="R2624" i="12"/>
  <c r="R97" i="12"/>
  <c r="R1287" i="12"/>
  <c r="R2152" i="12"/>
  <c r="R2413" i="12"/>
  <c r="R2236" i="12"/>
  <c r="R2418" i="12"/>
  <c r="R1947" i="12"/>
  <c r="R3415" i="12"/>
  <c r="R1894" i="12"/>
  <c r="R1328" i="12"/>
  <c r="R2093" i="12"/>
  <c r="R1202" i="12"/>
  <c r="R2194" i="12"/>
  <c r="R559" i="12"/>
  <c r="R3427" i="12"/>
  <c r="R1740" i="12"/>
  <c r="R2219" i="12"/>
  <c r="R1312" i="12"/>
  <c r="R1351" i="12"/>
  <c r="R3333" i="12"/>
  <c r="R2010" i="12"/>
  <c r="R3101" i="12"/>
  <c r="R3538" i="12"/>
  <c r="R1983" i="12"/>
  <c r="R1413" i="12"/>
  <c r="R3064" i="12"/>
  <c r="R2479" i="12"/>
  <c r="R230" i="12"/>
  <c r="R3550" i="12"/>
  <c r="R1374" i="12"/>
  <c r="R3373" i="12"/>
  <c r="R452" i="12"/>
  <c r="R3458" i="12"/>
  <c r="R1836" i="12"/>
  <c r="R2006" i="12"/>
  <c r="R2067" i="12"/>
  <c r="R2035" i="12"/>
  <c r="R1357" i="12"/>
  <c r="R2837" i="12"/>
  <c r="R76" i="12"/>
  <c r="R757" i="12"/>
  <c r="R3258" i="12"/>
  <c r="R2685" i="12"/>
  <c r="R2583" i="12"/>
  <c r="R551" i="12"/>
  <c r="R425" i="12"/>
  <c r="R531" i="12"/>
  <c r="R2080" i="12"/>
  <c r="R2707" i="12"/>
  <c r="R195" i="12"/>
  <c r="R782" i="12"/>
  <c r="R2103" i="12"/>
  <c r="R1941" i="12"/>
  <c r="R3092" i="12"/>
  <c r="R441" i="12"/>
  <c r="R2791" i="12"/>
  <c r="R2456" i="12"/>
  <c r="R3492" i="12"/>
  <c r="R910" i="12"/>
  <c r="R3298" i="12"/>
  <c r="R3202" i="12"/>
  <c r="R2974" i="12"/>
  <c r="R604" i="12"/>
  <c r="R1570" i="12"/>
  <c r="R41" i="12"/>
  <c r="R1337" i="12"/>
  <c r="R2140" i="12"/>
  <c r="R2639" i="12"/>
  <c r="R719" i="12"/>
  <c r="R775" i="12"/>
  <c r="R321" i="12"/>
  <c r="R2330" i="12"/>
  <c r="R3171" i="12"/>
  <c r="R988" i="12"/>
  <c r="R2020" i="12"/>
  <c r="R2188" i="12"/>
  <c r="R2636" i="12"/>
  <c r="R3028" i="12"/>
  <c r="R2335" i="12"/>
  <c r="R2660" i="12"/>
  <c r="R2666" i="12"/>
  <c r="R2382" i="12"/>
  <c r="R3232" i="12"/>
  <c r="R385" i="12"/>
  <c r="R508" i="12"/>
  <c r="R793" i="12"/>
  <c r="R3045" i="12"/>
  <c r="R3116" i="12"/>
  <c r="R916" i="12"/>
  <c r="R1286" i="12"/>
  <c r="R326" i="12"/>
  <c r="R203" i="12"/>
  <c r="R2487" i="12"/>
  <c r="R2927" i="12"/>
  <c r="R3143" i="12"/>
  <c r="R3109" i="12"/>
  <c r="R712" i="12"/>
  <c r="R2860" i="12"/>
  <c r="R2325" i="12"/>
  <c r="R481" i="12"/>
  <c r="R1695" i="12"/>
  <c r="R543" i="12"/>
  <c r="R2436" i="12"/>
  <c r="R620" i="12"/>
  <c r="R3228" i="12"/>
  <c r="R1073" i="12"/>
  <c r="R3444" i="12"/>
  <c r="R1354" i="12"/>
  <c r="R1481" i="12"/>
  <c r="R2922" i="12"/>
  <c r="R81" i="12"/>
  <c r="R1483" i="12"/>
  <c r="R1620" i="12"/>
  <c r="R751" i="12"/>
  <c r="R1678" i="12"/>
  <c r="R2918" i="12"/>
  <c r="R2626" i="12"/>
  <c r="R2669" i="12"/>
  <c r="R783" i="12"/>
  <c r="R231" i="12"/>
  <c r="R3241" i="12"/>
  <c r="R2565" i="12"/>
  <c r="R3496" i="12"/>
  <c r="R82" i="12"/>
  <c r="R698" i="12"/>
  <c r="R2031" i="12"/>
  <c r="R225" i="12"/>
  <c r="R795" i="12"/>
  <c r="R971" i="12"/>
  <c r="R1350" i="12"/>
  <c r="R3003" i="12"/>
  <c r="R609" i="12"/>
  <c r="R3511" i="12"/>
  <c r="R1723" i="12"/>
  <c r="R2471" i="12"/>
  <c r="R324" i="12"/>
  <c r="R2386" i="12"/>
  <c r="R3426" i="12"/>
  <c r="R1218" i="12"/>
  <c r="R2345" i="12"/>
  <c r="R432" i="12"/>
  <c r="R1967" i="12"/>
  <c r="R1493" i="12"/>
  <c r="R588" i="12"/>
  <c r="R1960" i="12"/>
  <c r="R2876" i="12"/>
  <c r="R2145" i="12"/>
  <c r="R1877" i="12"/>
  <c r="R1880" i="12"/>
  <c r="R382" i="12"/>
  <c r="R1044" i="12"/>
  <c r="R1474" i="12"/>
  <c r="R3000" i="12"/>
  <c r="R2633" i="12"/>
  <c r="R3340" i="12"/>
  <c r="R426" i="12"/>
  <c r="R819" i="12"/>
  <c r="R1742" i="12"/>
  <c r="R2341" i="12"/>
  <c r="R2946" i="12"/>
  <c r="R2024" i="12"/>
  <c r="R759" i="12"/>
  <c r="R2963" i="12"/>
  <c r="R1180" i="12"/>
  <c r="R602" i="12"/>
  <c r="R149" i="12"/>
  <c r="R2081" i="12"/>
  <c r="R1989" i="12"/>
  <c r="R1745" i="12"/>
  <c r="R986" i="12"/>
  <c r="R2488" i="12"/>
  <c r="R606" i="12"/>
  <c r="R245" i="12"/>
  <c r="R1893" i="12"/>
  <c r="R159" i="12"/>
  <c r="R1642" i="12"/>
  <c r="R1961" i="12"/>
  <c r="R2315" i="12"/>
  <c r="R2234" i="12"/>
  <c r="R28" i="12"/>
  <c r="R1425" i="12"/>
  <c r="R477" i="12"/>
  <c r="R659" i="12"/>
  <c r="R404" i="12"/>
  <c r="R2598" i="12"/>
  <c r="R2391" i="12"/>
  <c r="R984" i="12"/>
  <c r="R1429" i="12"/>
  <c r="R3227" i="12"/>
  <c r="R2662" i="12"/>
  <c r="R3074" i="12"/>
  <c r="R2015" i="12"/>
  <c r="R3029" i="12"/>
  <c r="R1085" i="12"/>
  <c r="R2416" i="12"/>
  <c r="R2768" i="12"/>
  <c r="R3507" i="12"/>
  <c r="R61" i="12"/>
  <c r="R2917" i="12"/>
  <c r="R3127" i="12"/>
  <c r="R769" i="12"/>
  <c r="R409" i="12"/>
  <c r="R3411" i="12"/>
  <c r="R260" i="12"/>
  <c r="R2273" i="12"/>
  <c r="R1819" i="12"/>
  <c r="R3131" i="12"/>
  <c r="R1675" i="12"/>
  <c r="R2181" i="12"/>
  <c r="R1432" i="12"/>
  <c r="R346" i="12"/>
  <c r="R3447" i="12"/>
  <c r="R3121" i="12"/>
  <c r="R1701" i="12"/>
  <c r="R549" i="12"/>
  <c r="R51" i="12"/>
  <c r="R2295" i="12"/>
  <c r="R3484" i="12"/>
  <c r="R652" i="12"/>
  <c r="R2316" i="12"/>
  <c r="R2503" i="12"/>
  <c r="R496" i="12"/>
  <c r="R2931" i="12"/>
  <c r="R3545" i="12"/>
  <c r="R1871" i="12"/>
  <c r="R1942" i="12"/>
  <c r="R917" i="12"/>
  <c r="R1177" i="12"/>
  <c r="R946" i="12"/>
  <c r="R2411" i="12"/>
  <c r="R3311" i="12"/>
  <c r="R1616" i="12"/>
  <c r="R2125" i="12"/>
  <c r="R206" i="12"/>
  <c r="R2911" i="12"/>
  <c r="R1097" i="12"/>
  <c r="R1046" i="12"/>
  <c r="R1173" i="12"/>
  <c r="R992" i="12"/>
  <c r="R2603" i="12"/>
  <c r="R1610" i="12"/>
  <c r="R3435" i="12"/>
  <c r="R1626" i="12"/>
  <c r="R1848" i="12"/>
  <c r="R443" i="12"/>
  <c r="R413" i="12"/>
  <c r="R1551" i="12"/>
  <c r="R3114" i="12"/>
  <c r="R1784" i="12"/>
  <c r="R3389" i="12"/>
  <c r="R3160" i="12"/>
  <c r="R3540" i="12"/>
  <c r="R3297" i="12"/>
  <c r="R3408" i="12"/>
  <c r="R2975" i="12"/>
  <c r="R2709" i="12"/>
  <c r="R1078" i="12"/>
  <c r="R1217" i="12"/>
  <c r="R3351" i="12"/>
  <c r="R23" i="12"/>
  <c r="R1243" i="12"/>
  <c r="R3328" i="12"/>
  <c r="R2706" i="12"/>
  <c r="R2539" i="12"/>
  <c r="R3249" i="12"/>
  <c r="R2324" i="12"/>
  <c r="R663" i="12"/>
  <c r="R1435" i="12"/>
  <c r="R874" i="12"/>
  <c r="R2737" i="12"/>
  <c r="R1418" i="12"/>
  <c r="R3235" i="12"/>
  <c r="R2644" i="12"/>
  <c r="R2817" i="12"/>
  <c r="R2190" i="12"/>
  <c r="R927" i="12"/>
  <c r="R1600" i="12"/>
  <c r="R2200" i="12"/>
  <c r="R1690" i="12"/>
  <c r="R1824" i="12"/>
  <c r="R1744" i="12"/>
  <c r="R668" i="12"/>
  <c r="R2683" i="12"/>
  <c r="R906" i="12"/>
  <c r="R1322" i="12"/>
  <c r="R2566" i="12"/>
  <c r="R2128" i="12"/>
  <c r="R639" i="12"/>
  <c r="R3032" i="12"/>
  <c r="R2828" i="12"/>
  <c r="R3516" i="12"/>
  <c r="R786" i="12"/>
  <c r="R1272" i="12"/>
  <c r="R1542" i="12"/>
  <c r="R2699" i="12"/>
  <c r="R2754" i="12"/>
  <c r="R670" i="12"/>
  <c r="R1533" i="12"/>
  <c r="R1959" i="12"/>
  <c r="R978" i="12"/>
  <c r="R1136" i="12"/>
  <c r="R1013" i="12"/>
  <c r="R398" i="12"/>
  <c r="R1207" i="12"/>
  <c r="R2806" i="12"/>
  <c r="R1875" i="12"/>
  <c r="R2553" i="12"/>
  <c r="R2881" i="12"/>
  <c r="R490" i="12"/>
  <c r="R1170" i="12"/>
  <c r="R3263" i="12"/>
  <c r="R1223" i="12"/>
  <c r="R2865" i="12"/>
  <c r="R2868" i="12"/>
  <c r="R1392" i="12"/>
  <c r="R2491" i="12"/>
  <c r="R2976" i="12"/>
  <c r="R953" i="12"/>
  <c r="R2620" i="12"/>
  <c r="R3250" i="12"/>
  <c r="R1627" i="12"/>
  <c r="R1946" i="12"/>
  <c r="R755" i="12"/>
  <c r="R1702" i="12"/>
  <c r="R2455" i="12"/>
  <c r="R355" i="12"/>
  <c r="R3140" i="12"/>
  <c r="R2222" i="12"/>
  <c r="R3543" i="12"/>
  <c r="R2143" i="12"/>
  <c r="R976" i="12"/>
  <c r="R3462" i="12"/>
  <c r="R3019" i="12"/>
  <c r="R3002" i="12"/>
  <c r="R1997" i="12"/>
  <c r="R2630" i="12"/>
  <c r="R3207" i="12"/>
  <c r="R642" i="12"/>
  <c r="R299" i="12"/>
  <c r="R666" i="12"/>
  <c r="R3544" i="12"/>
  <c r="R3065" i="12"/>
  <c r="R2272" i="12"/>
  <c r="R464" i="12"/>
  <c r="R1712" i="12"/>
  <c r="R526" i="12"/>
  <c r="R2089" i="12"/>
  <c r="R3014" i="12"/>
  <c r="R1768" i="12"/>
  <c r="R1629" i="12"/>
  <c r="R1904" i="12"/>
  <c r="R3405" i="12"/>
  <c r="R545" i="12"/>
  <c r="R1360" i="12"/>
  <c r="R1609" i="12"/>
  <c r="R856" i="12"/>
  <c r="R1521" i="12"/>
  <c r="R397" i="12"/>
  <c r="R228" i="12"/>
  <c r="R1714" i="12"/>
  <c r="R2767" i="12"/>
  <c r="R965" i="12"/>
  <c r="R201" i="12"/>
  <c r="R1733" i="12"/>
  <c r="R629" i="12"/>
  <c r="R1411" i="12"/>
  <c r="R3401" i="12"/>
  <c r="R2065" i="12"/>
  <c r="R301" i="12"/>
  <c r="R2682" i="12"/>
  <c r="R924" i="12"/>
  <c r="R1930" i="12"/>
  <c r="R882" i="12"/>
  <c r="R3280" i="12"/>
  <c r="R1454" i="12"/>
  <c r="R2019" i="12"/>
  <c r="R2532" i="12"/>
  <c r="R416" i="12"/>
  <c r="R613" i="12"/>
  <c r="R1735" i="12"/>
  <c r="R3521" i="12"/>
  <c r="R1861" i="12"/>
  <c r="R2531" i="12"/>
  <c r="R2175" i="12"/>
  <c r="R53" i="12"/>
  <c r="R2836" i="12"/>
  <c r="R2774" i="12"/>
  <c r="R2756" i="12"/>
  <c r="R1598" i="12"/>
  <c r="R1410" i="12"/>
  <c r="R3356" i="12"/>
  <c r="R1734" i="12"/>
  <c r="R1075" i="12"/>
  <c r="R2246" i="12"/>
  <c r="R1037" i="12"/>
  <c r="R3436" i="12"/>
  <c r="R2149" i="12"/>
  <c r="R2861" i="12"/>
  <c r="R801" i="12"/>
  <c r="R1035" i="12"/>
  <c r="R3035" i="12"/>
  <c r="R83" i="12"/>
  <c r="R1009" i="12"/>
  <c r="R1657" i="12"/>
  <c r="R870" i="12"/>
  <c r="R1133" i="12"/>
  <c r="R1575" i="12"/>
  <c r="R3149" i="12"/>
  <c r="R2096" i="12"/>
  <c r="R571" i="12"/>
  <c r="R3081" i="12"/>
  <c r="R3204" i="12"/>
  <c r="R3093" i="12"/>
  <c r="R2303" i="12"/>
  <c r="R3193" i="12"/>
  <c r="R3552" i="12"/>
  <c r="R1172" i="12"/>
  <c r="R162" i="12"/>
  <c r="R898" i="12"/>
  <c r="R3541" i="12"/>
  <c r="R224" i="12"/>
  <c r="R2189" i="12"/>
  <c r="R919" i="12"/>
  <c r="R296" i="12"/>
  <c r="R850" i="12"/>
  <c r="R2443" i="12"/>
  <c r="R1783" i="12"/>
  <c r="R1909" i="12"/>
  <c r="R1662" i="12"/>
  <c r="R3505" i="12"/>
  <c r="R2388" i="12"/>
  <c r="R1082" i="12"/>
  <c r="R3216" i="12"/>
  <c r="R2406" i="12"/>
  <c r="R1212" i="12"/>
  <c r="R1803" i="12"/>
  <c r="R2378" i="12"/>
  <c r="R2966" i="12"/>
  <c r="R2915" i="12"/>
  <c r="R3209" i="12"/>
  <c r="R1131" i="12"/>
  <c r="R137" i="12"/>
  <c r="R895" i="12"/>
  <c r="R1596" i="12"/>
  <c r="R1397" i="12"/>
  <c r="R1837" i="12"/>
  <c r="R148" i="12"/>
  <c r="R3486" i="12"/>
  <c r="R2127" i="12"/>
  <c r="R737" i="12"/>
  <c r="R2154" i="12"/>
  <c r="R1643" i="12"/>
  <c r="R3225" i="12"/>
  <c r="R174" i="12"/>
  <c r="R1826" i="12"/>
  <c r="R105" i="12"/>
  <c r="R1725" i="12"/>
  <c r="R1346" i="12"/>
  <c r="R3482" i="12"/>
  <c r="R2208" i="12"/>
  <c r="R1244" i="12"/>
  <c r="R3404" i="12"/>
  <c r="R649" i="12"/>
  <c r="R967" i="12"/>
  <c r="R2475" i="12"/>
  <c r="R2832" i="12"/>
  <c r="R463" i="12"/>
  <c r="R2821" i="12"/>
  <c r="R2559" i="12"/>
  <c r="R2078" i="12"/>
  <c r="R495" i="12"/>
  <c r="R1918" i="12"/>
  <c r="R3186" i="12"/>
  <c r="R2182" i="12"/>
  <c r="R2122" i="12"/>
  <c r="R1448" i="12"/>
  <c r="R1077" i="12"/>
  <c r="R1631" i="12"/>
  <c r="R2280" i="12"/>
  <c r="R1881" i="12"/>
  <c r="R872" i="12"/>
  <c r="R2855" i="12"/>
  <c r="R2289" i="12"/>
  <c r="R745" i="12"/>
  <c r="R1603" i="12"/>
  <c r="R3240" i="12"/>
  <c r="R569" i="12"/>
  <c r="R948" i="12"/>
  <c r="R367" i="12"/>
  <c r="R1737" i="12"/>
  <c r="R2710" i="12"/>
  <c r="R746" i="12"/>
  <c r="R1926" i="12"/>
  <c r="R1290" i="12"/>
  <c r="R2168" i="12"/>
  <c r="R347" i="12"/>
  <c r="R1161" i="12"/>
  <c r="R1599" i="12"/>
  <c r="R2073" i="12"/>
  <c r="R693" i="12"/>
  <c r="R30" i="12"/>
  <c r="R2898" i="12"/>
  <c r="R2216" i="12"/>
  <c r="R1209" i="12"/>
  <c r="R2293" i="12"/>
  <c r="R651" i="12"/>
  <c r="R2548" i="12"/>
  <c r="R2419" i="12"/>
  <c r="R2803" i="12"/>
  <c r="R1924" i="12"/>
  <c r="R3113" i="12"/>
  <c r="R3079" i="12"/>
  <c r="R687" i="12"/>
  <c r="R1502" i="12"/>
  <c r="R438" i="12"/>
  <c r="R1456" i="12"/>
  <c r="R2302" i="12"/>
  <c r="R2027" i="12"/>
  <c r="R2392" i="12"/>
  <c r="R1246" i="12"/>
  <c r="R2956" i="12"/>
  <c r="R1998" i="12"/>
  <c r="R1431" i="12"/>
  <c r="R1670" i="12"/>
  <c r="R3049" i="12"/>
  <c r="R1761" i="12"/>
  <c r="R1106" i="12"/>
  <c r="R1042" i="12"/>
  <c r="R697" i="12"/>
  <c r="R292" i="12"/>
  <c r="R2825" i="12"/>
  <c r="R2801" i="12"/>
  <c r="R826" i="12"/>
  <c r="R610" i="12"/>
  <c r="R272" i="12"/>
  <c r="R1774" i="12"/>
  <c r="R630" i="12"/>
  <c r="R3269" i="12"/>
  <c r="R1268" i="12"/>
  <c r="R3205" i="12"/>
  <c r="R810" i="12"/>
  <c r="R1240" i="12"/>
  <c r="R1387" i="12"/>
  <c r="R1511" i="12"/>
  <c r="R2484" i="12"/>
  <c r="R2430" i="12"/>
  <c r="R27" i="12"/>
  <c r="R2522" i="12"/>
  <c r="R544" i="12"/>
  <c r="R2223" i="12"/>
  <c r="R2862" i="12"/>
  <c r="R1899" i="12"/>
  <c r="R2782" i="12"/>
  <c r="R1101" i="12"/>
  <c r="R444" i="12"/>
  <c r="R485" i="12"/>
  <c r="R1063" i="12"/>
  <c r="R2615" i="12"/>
  <c r="R132" i="12"/>
  <c r="R1415" i="12"/>
  <c r="R3316" i="12"/>
  <c r="R3420" i="12"/>
  <c r="R1867" i="12"/>
  <c r="R672" i="12"/>
  <c r="R1539" i="12"/>
  <c r="R2973" i="12"/>
  <c r="R2501" i="12"/>
  <c r="R662" i="12"/>
  <c r="R1625" i="12"/>
  <c r="R2941" i="12"/>
  <c r="R671" i="12"/>
  <c r="R1856" i="12"/>
  <c r="R3341" i="12"/>
  <c r="R3398" i="12"/>
  <c r="R2888" i="12"/>
  <c r="R2332" i="12"/>
  <c r="R683" i="12"/>
  <c r="R2878" i="12"/>
  <c r="R193" i="12"/>
  <c r="R1464" i="12"/>
  <c r="R831" i="12"/>
  <c r="R735" i="12"/>
  <c r="R1634" i="12"/>
  <c r="R859" i="12"/>
  <c r="R960" i="12"/>
  <c r="R1951" i="12"/>
  <c r="R855" i="12"/>
  <c r="R360" i="12"/>
  <c r="R1751" i="12"/>
  <c r="R1084" i="12"/>
  <c r="R3461" i="12"/>
  <c r="R2086" i="12"/>
  <c r="R3047" i="12"/>
  <c r="R465" i="12"/>
  <c r="R1921" i="12"/>
  <c r="R2788" i="12"/>
  <c r="R2288" i="12"/>
  <c r="R2769" i="12"/>
  <c r="R2079" i="12"/>
  <c r="R838" i="12"/>
  <c r="R1300" i="12"/>
  <c r="R2556" i="12"/>
  <c r="R121" i="12"/>
  <c r="R217" i="12"/>
  <c r="R181" i="12"/>
  <c r="R2284" i="12"/>
  <c r="R1196" i="12"/>
  <c r="R1700" i="12"/>
  <c r="R2938" i="12"/>
  <c r="R3236" i="12"/>
  <c r="R959" i="12"/>
  <c r="R1574" i="12"/>
  <c r="R123" i="12"/>
  <c r="R1047" i="12"/>
  <c r="R2486" i="12"/>
  <c r="R637" i="12"/>
  <c r="R734" i="12"/>
  <c r="R313" i="12"/>
  <c r="R3471" i="12"/>
  <c r="G3" i="12"/>
  <c r="H3" i="12"/>
  <c r="K4" i="12"/>
  <c r="J4" i="12"/>
  <c r="I3" i="12" l="1"/>
  <c r="G4" i="12"/>
  <c r="H4" i="12"/>
  <c r="I4" i="12" s="1"/>
  <c r="K7" i="12"/>
  <c r="J7" i="12"/>
  <c r="G7" i="12" l="1"/>
  <c r="H7" i="12"/>
  <c r="K8" i="12"/>
  <c r="J8" i="12"/>
  <c r="I7" i="12" l="1"/>
  <c r="G8" i="12"/>
  <c r="H8" i="12"/>
  <c r="K15" i="12"/>
  <c r="J15" i="12"/>
  <c r="I8" i="12" l="1"/>
  <c r="G15" i="12"/>
  <c r="H15" i="12"/>
  <c r="K16" i="12"/>
  <c r="J16" i="12"/>
  <c r="I15" i="12" l="1"/>
  <c r="G16" i="12"/>
  <c r="H16" i="12"/>
  <c r="J9" i="12"/>
  <c r="K9" i="12"/>
  <c r="I16" i="12" l="1"/>
  <c r="G9" i="12"/>
  <c r="H9" i="12"/>
  <c r="I9" i="12" l="1"/>
  <c r="J11" i="12" l="1"/>
  <c r="K6" i="12"/>
  <c r="K5" i="12"/>
  <c r="K14" i="12"/>
  <c r="J14" i="12"/>
  <c r="K11" i="12"/>
  <c r="J10" i="12"/>
  <c r="J6" i="12"/>
  <c r="K13" i="12"/>
  <c r="J5" i="12"/>
  <c r="J13" i="12"/>
  <c r="G13" i="12" l="1"/>
  <c r="G5" i="12"/>
  <c r="H13" i="12"/>
  <c r="I13" i="12" s="1"/>
  <c r="G6" i="12"/>
  <c r="G10" i="12"/>
  <c r="H11" i="12"/>
  <c r="I11" i="12" s="1"/>
  <c r="G14" i="12"/>
  <c r="H14" i="12"/>
  <c r="H5" i="12"/>
  <c r="H6" i="12"/>
  <c r="G11" i="12"/>
  <c r="I14" i="12" l="1"/>
  <c r="I6" i="12"/>
  <c r="I5" i="12"/>
  <c r="J12" i="12" l="1"/>
  <c r="K12" i="12"/>
  <c r="K10" i="12"/>
  <c r="G12" i="12"/>
  <c r="H12" i="12"/>
  <c r="I12" i="12" s="1"/>
  <c r="H10" i="12"/>
  <c r="I10" i="12" s="1"/>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4" authorId="0">
      <text>
        <r>
          <rPr>
            <sz val="8"/>
            <color indexed="81"/>
            <rFont val="Tahoma"/>
            <family val="2"/>
          </rPr>
          <t>Discount, ZeroRate, or ForwardRate. If omitted, default = Discount is used.</t>
        </r>
      </text>
    </comment>
    <comment ref="D25"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F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<sst xmlns="http://schemas.openxmlformats.org/spreadsheetml/2006/main" count="287" uniqueCount="127">
  <si>
    <t>50Y</t>
  </si>
  <si>
    <t>40Y</t>
  </si>
  <si>
    <t>35Y</t>
  </si>
  <si>
    <t>30Y</t>
  </si>
  <si>
    <t>27Y</t>
  </si>
  <si>
    <t>25Y</t>
  </si>
  <si>
    <t>20Y</t>
  </si>
  <si>
    <t>15Y</t>
  </si>
  <si>
    <t>12Y</t>
  </si>
  <si>
    <t>10Y</t>
  </si>
  <si>
    <t>9Y</t>
  </si>
  <si>
    <t>8Y</t>
  </si>
  <si>
    <t>7Y</t>
  </si>
  <si>
    <t>6Y</t>
  </si>
  <si>
    <t>5Y</t>
  </si>
  <si>
    <t>4Y</t>
  </si>
  <si>
    <t>3Y</t>
  </si>
  <si>
    <t>2Y</t>
  </si>
  <si>
    <t>21M</t>
  </si>
  <si>
    <t>18M</t>
  </si>
  <si>
    <t>15M</t>
  </si>
  <si>
    <t>1Y</t>
  </si>
  <si>
    <t>Latest Date</t>
  </si>
  <si>
    <t>Earliest Date</t>
  </si>
  <si>
    <t>Min Distance</t>
  </si>
  <si>
    <t>Priority</t>
  </si>
  <si>
    <t>Include Flag</t>
  </si>
  <si>
    <t>Conv. Adj. / Spread</t>
  </si>
  <si>
    <t>Quote Value</t>
  </si>
  <si>
    <t>Rate Helpers</t>
  </si>
  <si>
    <t>Error</t>
  </si>
  <si>
    <t>AllDepos</t>
  </si>
  <si>
    <t>DepoFuturesPriority</t>
  </si>
  <si>
    <t>FrontFuturesRollingDays</t>
  </si>
  <si>
    <t>nSerialFutures</t>
  </si>
  <si>
    <t>nIMMFutures</t>
  </si>
  <si>
    <t>Rate</t>
  </si>
  <si>
    <t>Rate Helpers Selected</t>
  </si>
  <si>
    <t>Rate Helpers Selection</t>
  </si>
  <si>
    <t>MonotonicLogCubicNaturalSpline</t>
  </si>
  <si>
    <t>InterpolatorID</t>
  </si>
  <si>
    <t>Discount</t>
  </si>
  <si>
    <t>TraitsID</t>
  </si>
  <si>
    <t>Accuracy</t>
  </si>
  <si>
    <t>Jump Values</t>
  </si>
  <si>
    <t>Jump Dates</t>
  </si>
  <si>
    <t>Jump Quotes</t>
  </si>
  <si>
    <t>Day Counter</t>
  </si>
  <si>
    <t>NDays</t>
  </si>
  <si>
    <t>ObjectID</t>
  </si>
  <si>
    <t>PiecewiseYieldCurve</t>
  </si>
  <si>
    <t>ObjectOverwrite</t>
  </si>
  <si>
    <t>Trigger</t>
  </si>
  <si>
    <t>Permanent</t>
  </si>
  <si>
    <t>RateHelperPrefix</t>
  </si>
  <si>
    <t>SwapFixedFreq</t>
  </si>
  <si>
    <t>IborType</t>
  </si>
  <si>
    <t>IndexTenor</t>
  </si>
  <si>
    <t>Months</t>
  </si>
  <si>
    <t>Currency</t>
  </si>
  <si>
    <t>General Settings</t>
  </si>
  <si>
    <t>Quote Object ID</t>
  </si>
  <si>
    <t>Index</t>
  </si>
  <si>
    <t>_Quote</t>
  </si>
  <si>
    <t>QuoteSuffix</t>
  </si>
  <si>
    <t>FamilyName</t>
  </si>
  <si>
    <t>ADDITIONAL SETTINGS</t>
  </si>
  <si>
    <t>FileOverwrite</t>
  </si>
  <si>
    <t>SerializationPath</t>
  </si>
  <si>
    <t>Serialize</t>
  </si>
  <si>
    <t>GENERAL SETTINGS</t>
  </si>
  <si>
    <t>0D</t>
  </si>
  <si>
    <t>Modified Following</t>
  </si>
  <si>
    <t>Spread</t>
  </si>
  <si>
    <t>Day Count Convention</t>
  </si>
  <si>
    <t>Business Day Convention</t>
  </si>
  <si>
    <t>Freq</t>
  </si>
  <si>
    <t>Fwd start</t>
  </si>
  <si>
    <t>Discounting</t>
  </si>
  <si>
    <t>MoneyMarketDayCounter</t>
  </si>
  <si>
    <t>30/360 (Bond Basis)</t>
  </si>
  <si>
    <t>BondBasisDayCounter</t>
  </si>
  <si>
    <t>label</t>
  </si>
  <si>
    <t>Instruments</t>
  </si>
  <si>
    <t>SN</t>
  </si>
  <si>
    <t>SW</t>
  </si>
  <si>
    <t>2W</t>
  </si>
  <si>
    <t>3W</t>
  </si>
  <si>
    <t>1M</t>
  </si>
  <si>
    <t>1D</t>
  </si>
  <si>
    <t>Time Axis</t>
  </si>
  <si>
    <t>Rate Axis</t>
  </si>
  <si>
    <t>Years</t>
  </si>
  <si>
    <t>Min</t>
  </si>
  <si>
    <t>Max</t>
  </si>
  <si>
    <t>Major unit</t>
  </si>
  <si>
    <t>Min value</t>
  </si>
  <si>
    <t>Max value</t>
  </si>
  <si>
    <t>Fwd</t>
  </si>
  <si>
    <t>ON Fwd</t>
  </si>
  <si>
    <t>IborIndex</t>
  </si>
  <si>
    <t>OverNightIndex</t>
  </si>
  <si>
    <t>Value Date</t>
  </si>
  <si>
    <t>Fixing Date</t>
  </si>
  <si>
    <t>Sampling Frequency</t>
  </si>
  <si>
    <t>Recalc trigger</t>
  </si>
  <si>
    <t>1w</t>
  </si>
  <si>
    <t>Calendar</t>
  </si>
  <si>
    <t>Length of the curve</t>
  </si>
  <si>
    <t>SEK</t>
  </si>
  <si>
    <t>SM</t>
  </si>
  <si>
    <t>Sweden</t>
  </si>
  <si>
    <t>ibor</t>
  </si>
  <si>
    <t>Actual/360</t>
  </si>
  <si>
    <t>tenor</t>
  </si>
  <si>
    <t>fix days</t>
  </si>
  <si>
    <t>calendar</t>
  </si>
  <si>
    <t>bdc</t>
  </si>
  <si>
    <t>eom</t>
  </si>
  <si>
    <t>DayCounter</t>
  </si>
  <si>
    <t>1W</t>
  </si>
  <si>
    <t>Following</t>
  </si>
  <si>
    <t>Annual</t>
  </si>
  <si>
    <t>3S</t>
  </si>
  <si>
    <t>AB</t>
  </si>
  <si>
    <t>1M Fwd</t>
  </si>
  <si>
    <t>Settl Days</t>
  </si>
</sst>
</file>

<file path=xl/styles.xml><?xml version="1.0" encoding="utf-8"?>
<styleSheet xmlns="http://schemas.openxmlformats.org/spreadsheetml/2006/main" xmlns:mc="http://schemas.openxmlformats.org/markup-compatibility/2006" xmlns:x14ac="http://schemas.microsoft.com/office/spreadsheetml/2009/9/ac" mc:Ignorable="x14ac">
  <numFmts count="15">
    <numFmt numFmtId="164" formatCode="ddd\,\ d\-mmm\-yyyy"/>
    <numFmt numFmtId="165" formatCode="0.0000%"/>
    <numFmt numFmtId="166" formatCode="0.000000000"/>
    <numFmt numFmtId="167" formatCode="ddd\,\ dd\-mmm\-yyyy"/>
    <numFmt numFmtId="168" formatCode="ddd\,\ dd\-mmm\-yyyy\,\ hh:mm:ss"/>
    <numFmt numFmtId="169" formatCode="ddd\,\ d\-mmm\-yy"/>
    <numFmt numFmtId="170" formatCode="ddd\,\ d\-mmm\-yyyy\,\ hh:mm:ss"/>
    <numFmt numFmtId="171" formatCode="[$-409]d\-mmm\-yy;@"/>
    <numFmt numFmtId="172" formatCode="mm/dd/yy;@"/>
    <numFmt numFmtId="173" formatCode="General_)"/>
    <numFmt numFmtId="174" formatCode="#,##0.0;#,##0.0"/>
    <numFmt numFmtId="175" formatCode="&quot;£&quot;#,##0;[Red]\-&quot;£&quot;#,##0"/>
    <numFmt numFmtId="176" formatCode="[$-F800]dddd\,\ mmmm\ dd\,\ yyyy"/>
    <numFmt numFmtId="177" formatCode="_-* #,##0.00_-;\-* #,##0.00_-;_-* &quot;-&quot;??_-;_-@_-"/>
    <numFmt numFmtId="178" formatCode="_([$€-2]* #,##0.00_);_([$€-2]* \(#,##0.00\);_([$€-2]* &quot;-&quot;??_)"/>
  </numFmts>
  <fonts count="24" x14ac:knownFonts="1">
    <font>
      <sz val="11"/>
      <color theme="1"/>
      <name val="Calibri"/>
      <family val="2"/>
      <scheme val="minor"/>
    </font>
    <font>
      <sz val="10"/>
      <name val="Arial"/>
      <family val="2"/>
    </font>
    <font>
      <sz val="8"/>
      <name val="Arial"/>
      <family val="2"/>
    </font>
    <font>
      <b/>
      <sz val="8"/>
      <name val="Arial"/>
      <family val="2"/>
    </font>
    <font>
      <b/>
      <sz val="8"/>
      <color indexed="81"/>
      <name val="Tahoma"/>
      <family val="2"/>
    </font>
    <font>
      <sz val="8"/>
      <name val="Arial"/>
      <family val="2"/>
    </font>
    <font>
      <sz val="8"/>
      <name val="Courier New"/>
      <family val="3"/>
    </font>
    <font>
      <sz val="8"/>
      <color indexed="10"/>
      <name val="Courier New"/>
      <family val="3"/>
    </font>
    <font>
      <b/>
      <sz val="8"/>
      <name val="Courier New"/>
      <family val="3"/>
    </font>
    <font>
      <sz val="8"/>
      <color indexed="81"/>
      <name val="Tahoma"/>
      <family val="2"/>
    </font>
    <font>
      <sz val="8"/>
      <color indexed="10"/>
      <name val="Arial"/>
      <family val="2"/>
    </font>
    <font>
      <sz val="14"/>
      <name val="Arial"/>
      <family val="2"/>
    </font>
    <font>
      <sz val="8"/>
      <name val="Microsoft Sans Serif"/>
      <family val="2"/>
    </font>
    <font>
      <sz val="10"/>
      <name val="Helv"/>
    </font>
    <font>
      <sz val="12"/>
      <name val="Helv"/>
    </font>
    <font>
      <b/>
      <sz val="12"/>
      <color indexed="16"/>
      <name val="MS Sans Serif"/>
      <family val="2"/>
    </font>
    <font>
      <sz val="10"/>
      <name val="MS Sans Serif"/>
      <family val="2"/>
    </font>
    <font>
      <sz val="8"/>
      <name val="MS Sans Serif"/>
      <family val="2"/>
    </font>
    <font>
      <sz val="11"/>
      <color theme="1"/>
      <name val="Calibri"/>
      <family val="2"/>
      <scheme val="minor"/>
    </font>
    <font>
      <sz val="11"/>
      <color rgb="FF000000"/>
      <name val="Calibri"/>
      <family val="2"/>
    </font>
    <font>
      <sz val="8"/>
      <color theme="1"/>
      <name val="Courier New"/>
      <family val="3"/>
    </font>
    <font>
      <i/>
      <sz val="8"/>
      <name val="Courier New"/>
      <family val="3"/>
    </font>
    <font>
      <sz val="10"/>
      <name val="Courier New"/>
      <family val="3"/>
    </font>
    <font>
      <b/>
      <u/>
      <sz val="8"/>
      <name val="Courier New"/>
      <family val="3"/>
    </font>
  </fonts>
  <fills count="14">
    <fill>
      <patternFill patternType="none"/>
    </fill>
    <fill>
      <patternFill patternType="gray125"/>
    </fill>
    <fill>
      <patternFill patternType="solid">
        <fgColor indexed="9"/>
        <bgColor indexed="64"/>
      </patternFill>
    </fill>
    <fill>
      <patternFill patternType="solid">
        <fgColor indexed="43"/>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31"/>
        <bgColor indexed="64"/>
      </patternFill>
    </fill>
    <fill>
      <patternFill patternType="gray0625">
        <fgColor indexed="22"/>
        <bgColor indexed="9"/>
      </patternFill>
    </fill>
    <fill>
      <patternFill patternType="solid">
        <fgColor theme="0" tint="-0.499984740745262"/>
        <bgColor indexed="64"/>
      </patternFill>
    </fill>
    <fill>
      <patternFill patternType="solid">
        <fgColor theme="0"/>
        <bgColor indexed="64"/>
      </patternFill>
    </fill>
    <fill>
      <patternFill patternType="solid">
        <fgColor rgb="FFFFFF99"/>
        <bgColor indexed="64"/>
      </patternFill>
    </fill>
    <fill>
      <patternFill patternType="solid">
        <fgColor theme="0" tint="-0.14999847407452621"/>
        <bgColor indexed="64"/>
      </patternFill>
    </fill>
    <fill>
      <patternFill patternType="solid">
        <fgColor rgb="FFFFFF00"/>
        <bgColor indexed="64"/>
      </patternFill>
    </fill>
  </fills>
  <borders count="41">
    <border>
      <left/>
      <right/>
      <top/>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medium">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medium">
        <color indexed="64"/>
      </left>
      <right style="medium">
        <color indexed="64"/>
      </right>
      <top style="medium">
        <color indexed="64"/>
      </top>
      <bottom style="medium">
        <color indexed="64"/>
      </bottom>
      <diagonal/>
    </border>
  </borders>
  <cellStyleXfs count="35">
    <xf numFmtId="0" fontId="0" fillId="0" borderId="0"/>
    <xf numFmtId="0" fontId="1" fillId="0" borderId="0"/>
    <xf numFmtId="9" fontId="1" fillId="0" borderId="0" applyFont="0" applyFill="0" applyBorder="0" applyAlignment="0" applyProtection="0"/>
    <xf numFmtId="0" fontId="5" fillId="0" borderId="0"/>
    <xf numFmtId="38" fontId="13" fillId="0" borderId="0" applyFont="0" applyFill="0" applyBorder="0" applyAlignment="0" applyProtection="0"/>
    <xf numFmtId="40" fontId="13" fillId="0" borderId="0" applyFont="0" applyFill="0" applyBorder="0" applyAlignment="0" applyProtection="0"/>
    <xf numFmtId="173" fontId="14" fillId="0" borderId="0"/>
    <xf numFmtId="174" fontId="15" fillId="8" borderId="0">
      <alignment horizontal="center" vertical="center"/>
    </xf>
    <xf numFmtId="175" fontId="13" fillId="0" borderId="0" applyFont="0" applyFill="0" applyBorder="0" applyAlignment="0" applyProtection="0"/>
    <xf numFmtId="175" fontId="13" fillId="0" borderId="0" applyFont="0" applyFill="0" applyBorder="0" applyAlignment="0" applyProtection="0"/>
    <xf numFmtId="0" fontId="18" fillId="0" borderId="0"/>
    <xf numFmtId="9" fontId="18" fillId="0" borderId="0" applyFont="0" applyFill="0" applyBorder="0" applyAlignment="0" applyProtection="0"/>
    <xf numFmtId="9" fontId="1" fillId="0" borderId="0" applyFont="0" applyFill="0" applyBorder="0" applyAlignment="0" applyProtection="0"/>
    <xf numFmtId="177" fontId="18"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0" fontId="1" fillId="0" borderId="0"/>
    <xf numFmtId="0" fontId="1" fillId="0" borderId="0"/>
    <xf numFmtId="0" fontId="18" fillId="0" borderId="0"/>
    <xf numFmtId="0" fontId="18" fillId="0" borderId="0"/>
    <xf numFmtId="0" fontId="18" fillId="0" borderId="0"/>
    <xf numFmtId="0" fontId="18" fillId="0" borderId="0"/>
    <xf numFmtId="0" fontId="18" fillId="0" borderId="0"/>
    <xf numFmtId="0" fontId="18" fillId="0" borderId="0"/>
    <xf numFmtId="0" fontId="1" fillId="0" borderId="0"/>
    <xf numFmtId="0" fontId="2" fillId="0" borderId="0"/>
    <xf numFmtId="0" fontId="1" fillId="0" borderId="0"/>
    <xf numFmtId="0" fontId="1" fillId="0" borderId="0"/>
    <xf numFmtId="9" fontId="18" fillId="0" borderId="0" applyFont="0" applyFill="0" applyBorder="0" applyAlignment="0" applyProtection="0"/>
    <xf numFmtId="9" fontId="1"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1" fillId="0" borderId="0" applyFont="0" applyFill="0" applyBorder="0" applyAlignment="0" applyProtection="0"/>
  </cellStyleXfs>
  <cellXfs count="240">
    <xf numFmtId="0" fontId="0" fillId="0" borderId="0" xfId="0"/>
    <xf numFmtId="0" fontId="6" fillId="0" borderId="0" xfId="1" applyFont="1"/>
    <xf numFmtId="0" fontId="6" fillId="0" borderId="0" xfId="1" applyFont="1" applyAlignment="1">
      <alignment horizontal="left"/>
    </xf>
    <xf numFmtId="166" fontId="6" fillId="0" borderId="0" xfId="1" applyNumberFormat="1" applyFont="1"/>
    <xf numFmtId="167" fontId="6" fillId="2" borderId="10" xfId="1" applyNumberFormat="1" applyFont="1" applyFill="1" applyBorder="1" applyAlignment="1"/>
    <xf numFmtId="167" fontId="6" fillId="2" borderId="11" xfId="1" applyNumberFormat="1" applyFont="1" applyFill="1" applyBorder="1" applyAlignment="1"/>
    <xf numFmtId="165" fontId="6" fillId="2" borderId="11" xfId="1" applyNumberFormat="1" applyFont="1" applyFill="1" applyBorder="1" applyAlignment="1"/>
    <xf numFmtId="0" fontId="6" fillId="2" borderId="12" xfId="1" applyFont="1" applyFill="1" applyBorder="1" applyAlignment="1"/>
    <xf numFmtId="167" fontId="6" fillId="2" borderId="13" xfId="1" applyNumberFormat="1" applyFont="1" applyFill="1" applyBorder="1" applyAlignment="1"/>
    <xf numFmtId="167" fontId="6" fillId="2" borderId="0" xfId="1" applyNumberFormat="1" applyFont="1" applyFill="1" applyBorder="1" applyAlignment="1"/>
    <xf numFmtId="165" fontId="6" fillId="2" borderId="0" xfId="1" applyNumberFormat="1" applyFont="1" applyFill="1" applyBorder="1" applyAlignment="1"/>
    <xf numFmtId="0" fontId="6" fillId="2" borderId="14" xfId="1" applyFont="1" applyFill="1" applyBorder="1" applyAlignment="1"/>
    <xf numFmtId="0" fontId="8" fillId="5" borderId="16" xfId="1" applyFont="1" applyFill="1" applyBorder="1" applyAlignment="1">
      <alignment horizontal="right"/>
    </xf>
    <xf numFmtId="0" fontId="6" fillId="6" borderId="15" xfId="1" applyFont="1" applyFill="1" applyBorder="1" applyAlignment="1">
      <alignment horizontal="center"/>
    </xf>
    <xf numFmtId="3" fontId="6" fillId="6" borderId="15" xfId="1" applyNumberFormat="1" applyFont="1" applyFill="1" applyBorder="1" applyAlignment="1">
      <alignment horizontal="center"/>
    </xf>
    <xf numFmtId="3" fontId="6" fillId="6" borderId="17" xfId="1" applyNumberFormat="1" applyFont="1" applyFill="1" applyBorder="1" applyAlignment="1">
      <alignment horizontal="center"/>
    </xf>
    <xf numFmtId="0" fontId="8" fillId="5" borderId="18" xfId="1" applyFont="1" applyFill="1" applyBorder="1" applyAlignment="1">
      <alignment horizontal="right"/>
    </xf>
    <xf numFmtId="0" fontId="8" fillId="3" borderId="19" xfId="1" applyFont="1" applyFill="1" applyBorder="1" applyAlignment="1">
      <alignment horizontal="center" vertical="center" wrapText="1"/>
    </xf>
    <xf numFmtId="0" fontId="8" fillId="3" borderId="20" xfId="1" applyFont="1" applyFill="1" applyBorder="1" applyAlignment="1">
      <alignment horizontal="center" vertical="center" wrapText="1"/>
    </xf>
    <xf numFmtId="0" fontId="8" fillId="3" borderId="21" xfId="1" applyFont="1" applyFill="1" applyBorder="1" applyAlignment="1">
      <alignment horizontal="center" vertical="center" wrapText="1"/>
    </xf>
    <xf numFmtId="0" fontId="2" fillId="2" borderId="10" xfId="3" applyFont="1" applyFill="1" applyBorder="1"/>
    <xf numFmtId="0" fontId="2" fillId="2" borderId="11" xfId="3" applyFont="1" applyFill="1" applyBorder="1"/>
    <xf numFmtId="0" fontId="2" fillId="2" borderId="12" xfId="3" applyFont="1" applyFill="1" applyBorder="1"/>
    <xf numFmtId="0" fontId="2" fillId="2" borderId="13" xfId="3" applyFont="1" applyFill="1" applyBorder="1"/>
    <xf numFmtId="0" fontId="2" fillId="2" borderId="0" xfId="3" applyFont="1" applyFill="1" applyBorder="1"/>
    <xf numFmtId="167" fontId="2" fillId="2" borderId="24" xfId="1" applyNumberFormat="1" applyFont="1" applyFill="1" applyBorder="1" applyAlignment="1">
      <alignment horizontal="right"/>
    </xf>
    <xf numFmtId="0" fontId="2" fillId="2" borderId="14" xfId="3" applyFont="1" applyFill="1" applyBorder="1"/>
    <xf numFmtId="0" fontId="2" fillId="2" borderId="3" xfId="1" applyFont="1" applyFill="1" applyBorder="1" applyAlignment="1">
      <alignment horizontal="center"/>
    </xf>
    <xf numFmtId="164" fontId="2" fillId="2" borderId="25" xfId="1" applyNumberFormat="1" applyFont="1" applyFill="1" applyBorder="1" applyAlignment="1">
      <alignment horizontal="right"/>
    </xf>
    <xf numFmtId="166" fontId="2" fillId="2" borderId="5" xfId="1" applyNumberFormat="1" applyFont="1" applyFill="1" applyBorder="1" applyAlignment="1">
      <alignment horizontal="center"/>
    </xf>
    <xf numFmtId="164" fontId="2" fillId="2" borderId="26" xfId="1" applyNumberFormat="1" applyFont="1" applyFill="1" applyBorder="1" applyAlignment="1">
      <alignment horizontal="right"/>
    </xf>
    <xf numFmtId="168" fontId="2" fillId="2" borderId="0" xfId="3" applyNumberFormat="1" applyFont="1" applyFill="1" applyBorder="1" applyAlignment="1">
      <alignment horizontal="center"/>
    </xf>
    <xf numFmtId="0" fontId="2" fillId="6" borderId="1" xfId="1" applyFont="1" applyFill="1" applyBorder="1" applyAlignment="1">
      <alignment horizontal="center"/>
    </xf>
    <xf numFmtId="0" fontId="3" fillId="5" borderId="24" xfId="1" applyFont="1" applyFill="1" applyBorder="1" applyAlignment="1">
      <alignment horizontal="right"/>
    </xf>
    <xf numFmtId="0" fontId="2" fillId="6" borderId="3" xfId="1" applyFont="1" applyFill="1" applyBorder="1" applyAlignment="1">
      <alignment horizontal="center"/>
    </xf>
    <xf numFmtId="0" fontId="3" fillId="5" borderId="25" xfId="1" applyFont="1" applyFill="1" applyBorder="1" applyAlignment="1">
      <alignment horizontal="right"/>
    </xf>
    <xf numFmtId="11" fontId="2" fillId="6" borderId="3" xfId="1" applyNumberFormat="1" applyFont="1" applyFill="1" applyBorder="1" applyAlignment="1">
      <alignment horizontal="center"/>
    </xf>
    <xf numFmtId="165" fontId="2" fillId="2" borderId="1" xfId="3" applyNumberFormat="1" applyFont="1" applyFill="1" applyBorder="1" applyAlignment="1">
      <alignment horizontal="center"/>
    </xf>
    <xf numFmtId="165" fontId="2" fillId="6" borderId="4" xfId="1" applyNumberFormat="1" applyFont="1" applyFill="1" applyBorder="1" applyAlignment="1">
      <alignment horizontal="center"/>
    </xf>
    <xf numFmtId="164" fontId="2" fillId="2" borderId="3" xfId="3" applyNumberFormat="1" applyFont="1" applyFill="1" applyBorder="1" applyAlignment="1">
      <alignment horizontal="center"/>
    </xf>
    <xf numFmtId="164" fontId="2" fillId="6" borderId="4" xfId="1" applyNumberFormat="1" applyFont="1" applyFill="1" applyBorder="1" applyAlignment="1">
      <alignment horizontal="center"/>
    </xf>
    <xf numFmtId="0" fontId="2" fillId="2" borderId="5" xfId="3" applyFont="1" applyFill="1" applyBorder="1" applyAlignment="1">
      <alignment horizontal="center"/>
    </xf>
    <xf numFmtId="11" fontId="2" fillId="6" borderId="4" xfId="1" applyNumberFormat="1" applyFont="1" applyFill="1" applyBorder="1" applyAlignment="1">
      <alignment horizontal="center"/>
    </xf>
    <xf numFmtId="0" fontId="2" fillId="2" borderId="3" xfId="3" applyFont="1" applyFill="1" applyBorder="1" applyAlignment="1">
      <alignment horizontal="center"/>
    </xf>
    <xf numFmtId="3" fontId="2" fillId="6" borderId="3" xfId="1" applyNumberFormat="1" applyFont="1" applyFill="1" applyBorder="1" applyAlignment="1">
      <alignment horizontal="center"/>
    </xf>
    <xf numFmtId="169" fontId="2" fillId="6" borderId="5" xfId="1" applyNumberFormat="1" applyFont="1" applyFill="1" applyBorder="1" applyAlignment="1">
      <alignment horizontal="center"/>
    </xf>
    <xf numFmtId="0" fontId="3" fillId="5" borderId="26" xfId="1" applyFont="1" applyFill="1" applyBorder="1" applyAlignment="1">
      <alignment horizontal="right"/>
    </xf>
    <xf numFmtId="1" fontId="10" fillId="4" borderId="1" xfId="1" applyNumberFormat="1" applyFont="1" applyFill="1" applyBorder="1" applyAlignment="1">
      <alignment horizontal="left"/>
    </xf>
    <xf numFmtId="169" fontId="2" fillId="4" borderId="5" xfId="1" quotePrefix="1" applyNumberFormat="1" applyFont="1" applyFill="1" applyBorder="1" applyAlignment="1">
      <alignment horizontal="center"/>
    </xf>
    <xf numFmtId="0" fontId="2" fillId="2" borderId="1" xfId="1" applyFont="1" applyFill="1" applyBorder="1" applyAlignment="1">
      <alignment horizontal="center"/>
    </xf>
    <xf numFmtId="0" fontId="2" fillId="5" borderId="24" xfId="1" applyFont="1" applyFill="1" applyBorder="1"/>
    <xf numFmtId="170" fontId="2" fillId="2" borderId="3" xfId="1" applyNumberFormat="1" applyFont="1" applyFill="1" applyBorder="1" applyAlignment="1">
      <alignment horizontal="center"/>
    </xf>
    <xf numFmtId="0" fontId="2" fillId="5" borderId="25" xfId="1" applyFont="1" applyFill="1" applyBorder="1"/>
    <xf numFmtId="0" fontId="2" fillId="5" borderId="25" xfId="3" applyFont="1" applyFill="1" applyBorder="1"/>
    <xf numFmtId="0" fontId="2" fillId="5" borderId="26" xfId="3" applyFont="1" applyFill="1" applyBorder="1"/>
    <xf numFmtId="0" fontId="3" fillId="2" borderId="0" xfId="3" applyFont="1" applyFill="1" applyBorder="1"/>
    <xf numFmtId="0" fontId="6" fillId="0" borderId="0" xfId="1" applyFont="1"/>
    <xf numFmtId="0" fontId="1" fillId="2" borderId="10" xfId="1" applyFill="1" applyBorder="1"/>
    <xf numFmtId="0" fontId="1" fillId="2" borderId="11" xfId="1" applyFill="1" applyBorder="1"/>
    <xf numFmtId="0" fontId="1" fillId="2" borderId="12" xfId="1" applyFill="1" applyBorder="1"/>
    <xf numFmtId="0" fontId="16" fillId="2" borderId="13" xfId="1" applyFont="1" applyFill="1" applyBorder="1"/>
    <xf numFmtId="170" fontId="12" fillId="4" borderId="8" xfId="1" quotePrefix="1" applyNumberFormat="1" applyFont="1" applyFill="1" applyBorder="1" applyAlignment="1" applyProtection="1">
      <alignment horizontal="center"/>
    </xf>
    <xf numFmtId="0" fontId="17" fillId="5" borderId="7" xfId="1" applyFont="1" applyFill="1" applyBorder="1"/>
    <xf numFmtId="0" fontId="16" fillId="2" borderId="14" xfId="1" applyFont="1" applyFill="1" applyBorder="1"/>
    <xf numFmtId="170" fontId="12" fillId="4" borderId="8" xfId="1" applyNumberFormat="1" applyFont="1" applyFill="1" applyBorder="1" applyAlignment="1" applyProtection="1">
      <alignment horizontal="center"/>
    </xf>
    <xf numFmtId="0" fontId="16" fillId="2" borderId="0" xfId="1" applyFont="1" applyFill="1" applyBorder="1"/>
    <xf numFmtId="0" fontId="12" fillId="2" borderId="10" xfId="1" applyFont="1" applyFill="1" applyBorder="1"/>
    <xf numFmtId="0" fontId="12" fillId="2" borderId="11" xfId="1" applyFont="1" applyFill="1" applyBorder="1"/>
    <xf numFmtId="0" fontId="12" fillId="2" borderId="12" xfId="1" applyFont="1" applyFill="1" applyBorder="1"/>
    <xf numFmtId="15" fontId="12" fillId="2" borderId="13" xfId="1" applyNumberFormat="1" applyFont="1" applyFill="1" applyBorder="1"/>
    <xf numFmtId="0" fontId="12" fillId="5" borderId="7" xfId="1" applyNumberFormat="1" applyFont="1" applyFill="1" applyBorder="1"/>
    <xf numFmtId="0" fontId="12" fillId="2" borderId="14" xfId="1" applyFont="1" applyFill="1" applyBorder="1"/>
    <xf numFmtId="170" fontId="12" fillId="4" borderId="8" xfId="1" quotePrefix="1" applyNumberFormat="1" applyFont="1" applyFill="1" applyBorder="1" applyAlignment="1" applyProtection="1">
      <alignment horizontal="left"/>
    </xf>
    <xf numFmtId="0" fontId="12" fillId="2" borderId="13" xfId="1" applyFont="1" applyFill="1" applyBorder="1"/>
    <xf numFmtId="0" fontId="12" fillId="2" borderId="0" xfId="1" applyFont="1" applyFill="1" applyBorder="1"/>
    <xf numFmtId="0" fontId="2" fillId="9" borderId="0" xfId="3" applyFont="1" applyFill="1"/>
    <xf numFmtId="0" fontId="5" fillId="9" borderId="0" xfId="3" applyFill="1"/>
    <xf numFmtId="0" fontId="8" fillId="3" borderId="7" xfId="1" applyFont="1" applyFill="1" applyBorder="1" applyAlignment="1">
      <alignment horizontal="center" vertical="center" wrapText="1"/>
    </xf>
    <xf numFmtId="0" fontId="6" fillId="2" borderId="0" xfId="1" applyFont="1" applyFill="1" applyBorder="1" applyAlignment="1">
      <alignment horizontal="left"/>
    </xf>
    <xf numFmtId="165" fontId="6" fillId="2" borderId="0" xfId="2" applyNumberFormat="1" applyFont="1" applyFill="1" applyBorder="1" applyAlignment="1">
      <alignment horizontal="right"/>
    </xf>
    <xf numFmtId="0" fontId="6" fillId="2" borderId="0" xfId="1" applyFont="1" applyFill="1" applyBorder="1" applyAlignment="1">
      <alignment horizontal="center"/>
    </xf>
    <xf numFmtId="0" fontId="6" fillId="2" borderId="6" xfId="1" applyFont="1" applyFill="1" applyBorder="1" applyAlignment="1">
      <alignment horizontal="left"/>
    </xf>
    <xf numFmtId="165" fontId="6" fillId="2" borderId="6" xfId="2" applyNumberFormat="1" applyFont="1" applyFill="1" applyBorder="1" applyAlignment="1">
      <alignment horizontal="right"/>
    </xf>
    <xf numFmtId="0" fontId="6" fillId="2" borderId="6" xfId="1" applyFont="1" applyFill="1" applyBorder="1" applyAlignment="1">
      <alignment horizontal="center"/>
    </xf>
    <xf numFmtId="167" fontId="6" fillId="2" borderId="0" xfId="1" applyNumberFormat="1" applyFont="1" applyFill="1" applyBorder="1" applyAlignment="1">
      <alignment horizontal="right"/>
    </xf>
    <xf numFmtId="167" fontId="6" fillId="2" borderId="3" xfId="1" applyNumberFormat="1" applyFont="1" applyFill="1" applyBorder="1" applyAlignment="1">
      <alignment horizontal="right"/>
    </xf>
    <xf numFmtId="167" fontId="6" fillId="2" borderId="6" xfId="1" applyNumberFormat="1" applyFont="1" applyFill="1" applyBorder="1" applyAlignment="1">
      <alignment horizontal="right"/>
    </xf>
    <xf numFmtId="167" fontId="6" fillId="2" borderId="5" xfId="1" applyNumberFormat="1" applyFont="1" applyFill="1" applyBorder="1" applyAlignment="1">
      <alignment horizontal="right"/>
    </xf>
    <xf numFmtId="167" fontId="2" fillId="2" borderId="25" xfId="1" applyNumberFormat="1" applyFont="1" applyFill="1" applyBorder="1" applyAlignment="1">
      <alignment horizontal="right"/>
    </xf>
    <xf numFmtId="0" fontId="2" fillId="2" borderId="3" xfId="1" applyFont="1" applyFill="1" applyBorder="1" applyAlignment="1">
      <alignment horizontal="left"/>
    </xf>
    <xf numFmtId="0" fontId="6" fillId="0" borderId="6" xfId="1" applyFont="1" applyBorder="1" applyAlignment="1">
      <alignment horizontal="left"/>
    </xf>
    <xf numFmtId="0" fontId="8" fillId="3" borderId="23" xfId="1" applyFont="1" applyFill="1" applyBorder="1" applyAlignment="1">
      <alignment horizontal="center" vertical="center" wrapText="1"/>
    </xf>
    <xf numFmtId="0" fontId="8" fillId="11" borderId="30" xfId="1" applyFont="1" applyFill="1" applyBorder="1" applyAlignment="1">
      <alignment horizontal="centerContinuous"/>
    </xf>
    <xf numFmtId="0" fontId="8" fillId="11" borderId="23" xfId="1" applyFont="1" applyFill="1" applyBorder="1" applyAlignment="1">
      <alignment horizontal="centerContinuous"/>
    </xf>
    <xf numFmtId="0" fontId="8" fillId="11" borderId="29" xfId="1" applyFont="1" applyFill="1" applyBorder="1" applyAlignment="1">
      <alignment horizontal="centerContinuous"/>
    </xf>
    <xf numFmtId="0" fontId="20" fillId="0" borderId="14" xfId="0" applyFont="1" applyBorder="1"/>
    <xf numFmtId="0" fontId="20" fillId="0" borderId="0" xfId="0" applyFont="1"/>
    <xf numFmtId="0" fontId="8" fillId="12" borderId="14" xfId="1" applyFont="1" applyFill="1" applyBorder="1" applyAlignment="1">
      <alignment horizontal="center"/>
    </xf>
    <xf numFmtId="0" fontId="8" fillId="12" borderId="28" xfId="1" applyFont="1" applyFill="1" applyBorder="1" applyAlignment="1">
      <alignment horizontal="center"/>
    </xf>
    <xf numFmtId="0" fontId="8" fillId="12" borderId="31" xfId="1" applyFont="1" applyFill="1" applyBorder="1" applyAlignment="1">
      <alignment horizontal="center"/>
    </xf>
    <xf numFmtId="0" fontId="8" fillId="12" borderId="32" xfId="1" applyFont="1" applyFill="1" applyBorder="1" applyAlignment="1">
      <alignment horizontal="center"/>
    </xf>
    <xf numFmtId="0" fontId="6" fillId="0" borderId="0" xfId="1" applyFont="1" applyAlignment="1">
      <alignment horizontal="right"/>
    </xf>
    <xf numFmtId="0" fontId="6" fillId="13" borderId="28" xfId="1" applyFont="1" applyFill="1" applyBorder="1" applyAlignment="1">
      <alignment vertical="center"/>
    </xf>
    <xf numFmtId="0" fontId="6" fillId="13" borderId="33" xfId="1" applyFont="1" applyFill="1" applyBorder="1"/>
    <xf numFmtId="167" fontId="6" fillId="13" borderId="34" xfId="1" applyNumberFormat="1" applyFont="1" applyFill="1" applyBorder="1"/>
    <xf numFmtId="0" fontId="6" fillId="10" borderId="34" xfId="1" applyFont="1" applyFill="1" applyBorder="1"/>
    <xf numFmtId="0" fontId="6" fillId="13" borderId="35" xfId="1" applyNumberFormat="1" applyFont="1" applyFill="1" applyBorder="1"/>
    <xf numFmtId="10" fontId="6" fillId="13" borderId="33" xfId="1" applyNumberFormat="1" applyFont="1" applyFill="1" applyBorder="1"/>
    <xf numFmtId="10" fontId="6" fillId="13" borderId="34" xfId="1" applyNumberFormat="1" applyFont="1" applyFill="1" applyBorder="1"/>
    <xf numFmtId="10" fontId="6" fillId="13" borderId="35" xfId="1" applyNumberFormat="1" applyFont="1" applyFill="1" applyBorder="1"/>
    <xf numFmtId="0" fontId="6" fillId="13" borderId="14" xfId="1" applyFont="1" applyFill="1" applyBorder="1" applyAlignment="1">
      <alignment vertical="center"/>
    </xf>
    <xf numFmtId="0" fontId="6" fillId="13" borderId="36" xfId="1" applyFont="1" applyFill="1" applyBorder="1"/>
    <xf numFmtId="167" fontId="6" fillId="13" borderId="25" xfId="1" applyNumberFormat="1" applyFont="1" applyFill="1" applyBorder="1"/>
    <xf numFmtId="0" fontId="6" fillId="10" borderId="25" xfId="1" applyFont="1" applyFill="1" applyBorder="1"/>
    <xf numFmtId="0" fontId="6" fillId="13" borderId="4" xfId="1" applyNumberFormat="1" applyFont="1" applyFill="1" applyBorder="1"/>
    <xf numFmtId="10" fontId="6" fillId="13" borderId="36" xfId="1" applyNumberFormat="1" applyFont="1" applyFill="1" applyBorder="1"/>
    <xf numFmtId="10" fontId="6" fillId="13" borderId="25" xfId="1" applyNumberFormat="1" applyFont="1" applyFill="1" applyBorder="1"/>
    <xf numFmtId="10" fontId="6" fillId="13" borderId="4" xfId="1" applyNumberFormat="1" applyFont="1" applyFill="1" applyBorder="1"/>
    <xf numFmtId="0" fontId="6" fillId="13" borderId="14" xfId="1" applyFont="1" applyFill="1" applyBorder="1" applyAlignment="1">
      <alignment horizontal="center" vertical="center"/>
    </xf>
    <xf numFmtId="0" fontId="20" fillId="13" borderId="4" xfId="0" applyFont="1" applyFill="1" applyBorder="1"/>
    <xf numFmtId="10" fontId="20" fillId="13" borderId="25" xfId="0" applyNumberFormat="1" applyFont="1" applyFill="1" applyBorder="1"/>
    <xf numFmtId="176" fontId="6" fillId="0" borderId="0" xfId="1" applyNumberFormat="1" applyFont="1"/>
    <xf numFmtId="0" fontId="8" fillId="12" borderId="0" xfId="1" applyFont="1" applyFill="1" applyBorder="1" applyAlignment="1">
      <alignment horizontal="center" vertical="center"/>
    </xf>
    <xf numFmtId="0" fontId="6" fillId="13" borderId="12" xfId="1" applyFont="1" applyFill="1" applyBorder="1" applyAlignment="1">
      <alignment vertical="center"/>
    </xf>
    <xf numFmtId="0" fontId="6" fillId="13" borderId="37" xfId="1" applyFont="1" applyFill="1" applyBorder="1"/>
    <xf numFmtId="167" fontId="6" fillId="13" borderId="38" xfId="1" applyNumberFormat="1" applyFont="1" applyFill="1" applyBorder="1"/>
    <xf numFmtId="0" fontId="6" fillId="10" borderId="38" xfId="1" applyFont="1" applyFill="1" applyBorder="1"/>
    <xf numFmtId="0" fontId="20" fillId="13" borderId="39" xfId="0" applyFont="1" applyFill="1" applyBorder="1"/>
    <xf numFmtId="10" fontId="6" fillId="13" borderId="37" xfId="1" applyNumberFormat="1" applyFont="1" applyFill="1" applyBorder="1"/>
    <xf numFmtId="10" fontId="6" fillId="13" borderId="38" xfId="1" applyNumberFormat="1" applyFont="1" applyFill="1" applyBorder="1"/>
    <xf numFmtId="10" fontId="6" fillId="13" borderId="39" xfId="1" applyNumberFormat="1" applyFont="1" applyFill="1" applyBorder="1"/>
    <xf numFmtId="10" fontId="20" fillId="13" borderId="38" xfId="0" applyNumberFormat="1" applyFont="1" applyFill="1" applyBorder="1"/>
    <xf numFmtId="0" fontId="6" fillId="0" borderId="0" xfId="1" applyFont="1" applyAlignment="1"/>
    <xf numFmtId="0" fontId="6" fillId="0" borderId="6" xfId="1" applyFont="1" applyBorder="1" applyAlignment="1">
      <alignment horizontal="center" vertical="center"/>
    </xf>
    <xf numFmtId="0" fontId="8" fillId="11" borderId="23" xfId="1" applyFont="1" applyFill="1" applyBorder="1" applyAlignment="1">
      <alignment horizontal="center"/>
    </xf>
    <xf numFmtId="0" fontId="8" fillId="11" borderId="30" xfId="1" applyFont="1" applyFill="1" applyBorder="1" applyAlignment="1">
      <alignment horizontal="center"/>
    </xf>
    <xf numFmtId="0" fontId="8" fillId="11" borderId="30" xfId="1" applyFont="1" applyFill="1" applyBorder="1" applyAlignment="1">
      <alignment horizontal="center" vertical="center"/>
    </xf>
    <xf numFmtId="0" fontId="8" fillId="11" borderId="22" xfId="1" applyFont="1" applyFill="1" applyBorder="1" applyAlignment="1">
      <alignment horizontal="center" vertical="center"/>
    </xf>
    <xf numFmtId="0" fontId="8" fillId="11" borderId="40" xfId="1" applyFont="1" applyFill="1" applyBorder="1" applyAlignment="1">
      <alignment horizontal="center"/>
    </xf>
    <xf numFmtId="0" fontId="6" fillId="0" borderId="14" xfId="1" applyFont="1" applyBorder="1"/>
    <xf numFmtId="167" fontId="6" fillId="0" borderId="0" xfId="1" applyNumberFormat="1" applyFont="1" applyBorder="1" applyAlignment="1"/>
    <xf numFmtId="165" fontId="6" fillId="0" borderId="0" xfId="2" quotePrefix="1" applyNumberFormat="1" applyFont="1" applyBorder="1" applyAlignment="1"/>
    <xf numFmtId="165" fontId="6" fillId="0" borderId="11" xfId="2" quotePrefix="1" applyNumberFormat="1" applyFont="1" applyBorder="1" applyAlignment="1"/>
    <xf numFmtId="165" fontId="6" fillId="0" borderId="13" xfId="2" quotePrefix="1" applyNumberFormat="1" applyFont="1" applyBorder="1" applyAlignment="1"/>
    <xf numFmtId="165" fontId="6" fillId="0" borderId="10" xfId="2" quotePrefix="1" applyNumberFormat="1" applyFont="1" applyBorder="1" applyAlignment="1"/>
    <xf numFmtId="0" fontId="6" fillId="0" borderId="40" xfId="1" applyFont="1" applyBorder="1" applyAlignment="1">
      <alignment horizontal="center"/>
    </xf>
    <xf numFmtId="167" fontId="6" fillId="0" borderId="0" xfId="1" applyNumberFormat="1" applyFont="1" applyBorder="1"/>
    <xf numFmtId="0" fontId="6" fillId="0" borderId="12" xfId="1" applyFont="1" applyBorder="1"/>
    <xf numFmtId="165" fontId="6" fillId="0" borderId="0" xfId="2" applyNumberFormat="1" applyFont="1"/>
    <xf numFmtId="0" fontId="6" fillId="0" borderId="11" xfId="1" applyFont="1" applyBorder="1"/>
    <xf numFmtId="167" fontId="6" fillId="0" borderId="11" xfId="1" applyNumberFormat="1" applyFont="1" applyBorder="1" applyAlignment="1"/>
    <xf numFmtId="0" fontId="6" fillId="2" borderId="14" xfId="1" applyFont="1" applyFill="1" applyBorder="1"/>
    <xf numFmtId="172" fontId="6" fillId="2" borderId="24" xfId="1" applyNumberFormat="1" applyFont="1" applyFill="1" applyBorder="1" applyAlignment="1"/>
    <xf numFmtId="0" fontId="6" fillId="2" borderId="13" xfId="1" applyFont="1" applyFill="1" applyBorder="1"/>
    <xf numFmtId="0" fontId="22" fillId="0" borderId="0" xfId="1" applyFont="1"/>
    <xf numFmtId="0" fontId="6" fillId="2" borderId="14" xfId="1" applyFont="1" applyFill="1" applyBorder="1" applyAlignment="1">
      <alignment horizontal="center"/>
    </xf>
    <xf numFmtId="0" fontId="8" fillId="2" borderId="7" xfId="1" applyFont="1" applyFill="1" applyBorder="1" applyAlignment="1">
      <alignment horizontal="center" vertical="center" wrapText="1"/>
    </xf>
    <xf numFmtId="0" fontId="6" fillId="4" borderId="8" xfId="1" applyNumberFormat="1" applyFont="1" applyFill="1" applyBorder="1" applyAlignment="1" applyProtection="1">
      <alignment horizontal="center" vertical="center"/>
    </xf>
    <xf numFmtId="0" fontId="7" fillId="4" borderId="7" xfId="1" applyNumberFormat="1" applyFont="1" applyFill="1" applyBorder="1" applyAlignment="1" applyProtection="1">
      <alignment horizontal="left" vertical="center"/>
    </xf>
    <xf numFmtId="0" fontId="6" fillId="2" borderId="12" xfId="1" applyFont="1" applyFill="1" applyBorder="1"/>
    <xf numFmtId="0" fontId="6" fillId="2" borderId="11" xfId="1" applyFont="1" applyFill="1" applyBorder="1"/>
    <xf numFmtId="0" fontId="6" fillId="2" borderId="10" xfId="1" applyFont="1" applyFill="1" applyBorder="1"/>
    <xf numFmtId="167" fontId="22" fillId="0" borderId="0" xfId="1" applyNumberFormat="1" applyFont="1"/>
    <xf numFmtId="0" fontId="6" fillId="2" borderId="29" xfId="1" applyFont="1" applyFill="1" applyBorder="1" applyAlignment="1">
      <alignment horizontal="center"/>
    </xf>
    <xf numFmtId="0" fontId="6" fillId="2" borderId="29" xfId="1" applyFont="1" applyFill="1" applyBorder="1"/>
    <xf numFmtId="0" fontId="6" fillId="0" borderId="29" xfId="1" applyFont="1" applyBorder="1"/>
    <xf numFmtId="0" fontId="8" fillId="2" borderId="26" xfId="1" applyFont="1" applyFill="1" applyBorder="1" applyAlignment="1">
      <alignment horizontal="center" vertical="center" wrapText="1"/>
    </xf>
    <xf numFmtId="0" fontId="6" fillId="2" borderId="0" xfId="1" applyFont="1" applyFill="1" applyBorder="1"/>
    <xf numFmtId="0" fontId="23" fillId="2" borderId="13" xfId="1" applyFont="1" applyFill="1" applyBorder="1"/>
    <xf numFmtId="0" fontId="6" fillId="4" borderId="7" xfId="1" applyNumberFormat="1" applyFont="1" applyFill="1" applyBorder="1" applyAlignment="1" applyProtection="1">
      <alignment horizontal="center" vertical="center"/>
    </xf>
    <xf numFmtId="0" fontId="6" fillId="4" borderId="7" xfId="1" applyNumberFormat="1" applyFont="1" applyFill="1" applyBorder="1" applyAlignment="1" applyProtection="1">
      <alignment horizontal="left" vertical="center"/>
    </xf>
    <xf numFmtId="0" fontId="6" fillId="2" borderId="7" xfId="1" applyFont="1" applyFill="1" applyBorder="1"/>
    <xf numFmtId="171" fontId="7" fillId="4" borderId="7" xfId="1" applyNumberFormat="1" applyFont="1" applyFill="1" applyBorder="1" applyAlignment="1" applyProtection="1">
      <alignment horizontal="left"/>
    </xf>
    <xf numFmtId="0" fontId="6" fillId="0" borderId="0" xfId="1" applyFont="1" applyBorder="1" applyAlignment="1">
      <alignment horizontal="center"/>
    </xf>
    <xf numFmtId="172" fontId="6" fillId="2" borderId="2" xfId="1" applyNumberFormat="1" applyFont="1" applyFill="1" applyBorder="1" applyAlignment="1"/>
    <xf numFmtId="0" fontId="21" fillId="2" borderId="9" xfId="1" applyFont="1" applyFill="1" applyBorder="1" applyAlignment="1">
      <alignment horizontal="center" vertical="center"/>
    </xf>
    <xf numFmtId="0" fontId="6" fillId="0" borderId="40" xfId="1" applyFont="1" applyBorder="1" applyAlignment="1">
      <alignment horizontal="center"/>
    </xf>
    <xf numFmtId="0" fontId="8" fillId="11" borderId="31" xfId="1" applyFont="1" applyFill="1" applyBorder="1" applyAlignment="1">
      <alignment horizontal="center" wrapText="1"/>
    </xf>
    <xf numFmtId="0" fontId="2" fillId="2" borderId="26" xfId="1" applyFont="1" applyFill="1" applyBorder="1" applyAlignment="1">
      <alignment horizontal="center"/>
    </xf>
    <xf numFmtId="172" fontId="6" fillId="2" borderId="0" xfId="1" applyNumberFormat="1" applyFont="1" applyFill="1" applyBorder="1" applyAlignment="1"/>
    <xf numFmtId="172" fontId="6" fillId="2" borderId="26" xfId="1" applyNumberFormat="1" applyFont="1" applyFill="1" applyBorder="1" applyAlignment="1"/>
    <xf numFmtId="0" fontId="6" fillId="2" borderId="26" xfId="1" applyNumberFormat="1" applyFont="1" applyFill="1" applyBorder="1" applyAlignment="1">
      <alignment horizontal="left"/>
    </xf>
    <xf numFmtId="0" fontId="7" fillId="4" borderId="26" xfId="1" applyNumberFormat="1" applyFont="1" applyFill="1" applyBorder="1" applyAlignment="1" applyProtection="1">
      <alignment horizontal="left" vertical="center"/>
    </xf>
    <xf numFmtId="0" fontId="8" fillId="2" borderId="25" xfId="1" applyFont="1" applyFill="1" applyBorder="1" applyAlignment="1">
      <alignment horizontal="center" vertical="center" wrapText="1"/>
    </xf>
    <xf numFmtId="172" fontId="6" fillId="2" borderId="25" xfId="1" applyNumberFormat="1" applyFont="1" applyFill="1" applyBorder="1" applyAlignment="1"/>
    <xf numFmtId="0" fontId="6" fillId="2" borderId="25" xfId="1" applyNumberFormat="1" applyFont="1" applyFill="1" applyBorder="1" applyAlignment="1">
      <alignment horizontal="left"/>
    </xf>
    <xf numFmtId="0" fontId="7" fillId="4" borderId="25" xfId="1" applyNumberFormat="1" applyFont="1" applyFill="1" applyBorder="1" applyAlignment="1" applyProtection="1">
      <alignment horizontal="left" vertical="center"/>
    </xf>
    <xf numFmtId="0" fontId="8" fillId="2" borderId="24" xfId="1" applyFont="1" applyFill="1" applyBorder="1" applyAlignment="1">
      <alignment horizontal="center" vertical="center" wrapText="1"/>
    </xf>
    <xf numFmtId="0" fontId="6" fillId="2" borderId="24" xfId="1" applyNumberFormat="1" applyFont="1" applyFill="1" applyBorder="1" applyAlignment="1">
      <alignment horizontal="left"/>
    </xf>
    <xf numFmtId="0" fontId="8" fillId="2" borderId="26" xfId="1" applyFont="1" applyFill="1" applyBorder="1" applyAlignment="1">
      <alignment vertical="center" wrapText="1"/>
    </xf>
    <xf numFmtId="172" fontId="6" fillId="10" borderId="26" xfId="1" applyNumberFormat="1" applyFont="1" applyFill="1" applyBorder="1" applyAlignment="1"/>
    <xf numFmtId="0" fontId="6" fillId="2" borderId="26" xfId="1" applyNumberFormat="1" applyFont="1" applyFill="1" applyBorder="1" applyAlignment="1"/>
    <xf numFmtId="0" fontId="8" fillId="2" borderId="25" xfId="1" applyFont="1" applyFill="1" applyBorder="1" applyAlignment="1">
      <alignment vertical="center" wrapText="1"/>
    </xf>
    <xf numFmtId="172" fontId="6" fillId="10" borderId="25" xfId="1" applyNumberFormat="1" applyFont="1" applyFill="1" applyBorder="1" applyAlignment="1"/>
    <xf numFmtId="0" fontId="6" fillId="2" borderId="25" xfId="1" applyNumberFormat="1" applyFont="1" applyFill="1" applyBorder="1" applyAlignment="1"/>
    <xf numFmtId="0" fontId="8" fillId="2" borderId="24" xfId="1" applyFont="1" applyFill="1" applyBorder="1" applyAlignment="1">
      <alignment vertical="center" wrapText="1"/>
    </xf>
    <xf numFmtId="172" fontId="6" fillId="10" borderId="24" xfId="1" applyNumberFormat="1" applyFont="1" applyFill="1" applyBorder="1" applyAlignment="1"/>
    <xf numFmtId="0" fontId="6" fillId="2" borderId="24" xfId="1" applyNumberFormat="1" applyFont="1" applyFill="1" applyBorder="1" applyAlignment="1"/>
    <xf numFmtId="0" fontId="6" fillId="2" borderId="28" xfId="1" applyFont="1" applyFill="1" applyBorder="1" applyAlignment="1">
      <alignment horizontal="center"/>
    </xf>
    <xf numFmtId="0" fontId="6" fillId="2" borderId="29" xfId="1" applyFont="1" applyFill="1" applyBorder="1" applyAlignment="1">
      <alignment horizontal="right"/>
    </xf>
    <xf numFmtId="0" fontId="23" fillId="2" borderId="27" xfId="1" applyFont="1" applyFill="1" applyBorder="1"/>
    <xf numFmtId="0" fontId="8" fillId="2" borderId="7" xfId="1" applyFont="1" applyFill="1" applyBorder="1" applyAlignment="1">
      <alignment horizontal="right" vertical="center" wrapText="1"/>
    </xf>
    <xf numFmtId="0" fontId="6" fillId="2" borderId="0" xfId="1" applyFont="1" applyFill="1" applyBorder="1" applyAlignment="1">
      <alignment horizontal="right"/>
    </xf>
    <xf numFmtId="0" fontId="6" fillId="10" borderId="26" xfId="1" applyNumberFormat="1" applyFont="1" applyFill="1" applyBorder="1" applyAlignment="1">
      <alignment horizontal="center"/>
    </xf>
    <xf numFmtId="0" fontId="6" fillId="10" borderId="26" xfId="2" applyNumberFormat="1" applyFont="1" applyFill="1" applyBorder="1" applyAlignment="1">
      <alignment horizontal="center"/>
    </xf>
    <xf numFmtId="0" fontId="6" fillId="10" borderId="26" xfId="1" applyFont="1" applyFill="1" applyBorder="1" applyAlignment="1">
      <alignment horizontal="center"/>
    </xf>
    <xf numFmtId="165" fontId="6" fillId="10" borderId="26" xfId="1" applyNumberFormat="1" applyFont="1" applyFill="1" applyBorder="1" applyAlignment="1"/>
    <xf numFmtId="165" fontId="6" fillId="0" borderId="26" xfId="1" applyNumberFormat="1" applyFont="1" applyFill="1" applyBorder="1" applyAlignment="1"/>
    <xf numFmtId="0" fontId="6" fillId="4" borderId="26" xfId="1" applyNumberFormat="1" applyFont="1" applyFill="1" applyBorder="1" applyAlignment="1" applyProtection="1">
      <alignment horizontal="left" vertical="center"/>
    </xf>
    <xf numFmtId="0" fontId="6" fillId="10" borderId="25" xfId="1" applyNumberFormat="1" applyFont="1" applyFill="1" applyBorder="1" applyAlignment="1">
      <alignment horizontal="center"/>
    </xf>
    <xf numFmtId="0" fontId="6" fillId="10" borderId="25" xfId="2" applyNumberFormat="1" applyFont="1" applyFill="1" applyBorder="1" applyAlignment="1">
      <alignment horizontal="center"/>
    </xf>
    <xf numFmtId="0" fontId="6" fillId="10" borderId="25" xfId="1" applyFont="1" applyFill="1" applyBorder="1" applyAlignment="1">
      <alignment horizontal="center"/>
    </xf>
    <xf numFmtId="165" fontId="6" fillId="10" borderId="25" xfId="1" applyNumberFormat="1" applyFont="1" applyFill="1" applyBorder="1" applyAlignment="1"/>
    <xf numFmtId="165" fontId="6" fillId="0" borderId="25" xfId="1" applyNumberFormat="1" applyFont="1" applyFill="1" applyBorder="1" applyAlignment="1"/>
    <xf numFmtId="0" fontId="6" fillId="4" borderId="25" xfId="1" applyNumberFormat="1" applyFont="1" applyFill="1" applyBorder="1" applyAlignment="1" applyProtection="1">
      <alignment horizontal="left" vertical="center"/>
    </xf>
    <xf numFmtId="0" fontId="6" fillId="10" borderId="24" xfId="1" applyNumberFormat="1" applyFont="1" applyFill="1" applyBorder="1" applyAlignment="1">
      <alignment horizontal="center"/>
    </xf>
    <xf numFmtId="0" fontId="6" fillId="10" borderId="24" xfId="2" applyNumberFormat="1" applyFont="1" applyFill="1" applyBorder="1" applyAlignment="1">
      <alignment horizontal="center"/>
    </xf>
    <xf numFmtId="0" fontId="6" fillId="10" borderId="24" xfId="1" applyFont="1" applyFill="1" applyBorder="1" applyAlignment="1">
      <alignment horizontal="center"/>
    </xf>
    <xf numFmtId="165" fontId="6" fillId="10" borderId="24" xfId="1" applyNumberFormat="1" applyFont="1" applyFill="1" applyBorder="1" applyAlignment="1"/>
    <xf numFmtId="165" fontId="6" fillId="0" borderId="24" xfId="1" applyNumberFormat="1" applyFont="1" applyFill="1" applyBorder="1" applyAlignment="1"/>
    <xf numFmtId="0" fontId="6" fillId="4" borderId="24" xfId="1" applyNumberFormat="1" applyFont="1" applyFill="1" applyBorder="1" applyAlignment="1" applyProtection="1">
      <alignment horizontal="left" vertical="center"/>
    </xf>
    <xf numFmtId="0" fontId="6" fillId="0" borderId="11" xfId="1" applyFont="1" applyBorder="1" applyAlignment="1">
      <alignment horizontal="right"/>
    </xf>
    <xf numFmtId="0" fontId="6" fillId="0" borderId="11" xfId="1" applyFont="1" applyBorder="1" applyAlignment="1">
      <alignment horizontal="left"/>
    </xf>
    <xf numFmtId="0" fontId="23" fillId="2" borderId="10" xfId="1" applyFont="1" applyFill="1" applyBorder="1"/>
    <xf numFmtId="0" fontId="8" fillId="2" borderId="26" xfId="1" applyFont="1" applyFill="1" applyBorder="1" applyAlignment="1">
      <alignment horizontal="right" vertical="center" wrapText="1"/>
    </xf>
    <xf numFmtId="0" fontId="8" fillId="2" borderId="25" xfId="1" applyFont="1" applyFill="1" applyBorder="1" applyAlignment="1">
      <alignment horizontal="right" vertical="center" wrapText="1"/>
    </xf>
    <xf numFmtId="0" fontId="8" fillId="2" borderId="24" xfId="1" applyFont="1" applyFill="1" applyBorder="1" applyAlignment="1">
      <alignment horizontal="right" vertical="center" wrapText="1"/>
    </xf>
    <xf numFmtId="0" fontId="7" fillId="4" borderId="24" xfId="1" applyNumberFormat="1" applyFont="1" applyFill="1" applyBorder="1" applyAlignment="1" applyProtection="1">
      <alignment horizontal="left" vertical="center"/>
    </xf>
    <xf numFmtId="0" fontId="6" fillId="2" borderId="2" xfId="1" applyFont="1" applyFill="1" applyBorder="1" applyAlignment="1">
      <alignment horizontal="left"/>
    </xf>
    <xf numFmtId="0" fontId="6" fillId="2" borderId="9" xfId="1" applyFont="1" applyFill="1" applyBorder="1" applyAlignment="1">
      <alignment horizontal="left"/>
    </xf>
    <xf numFmtId="165" fontId="6" fillId="2" borderId="9" xfId="2" applyNumberFormat="1" applyFont="1" applyFill="1" applyBorder="1" applyAlignment="1">
      <alignment horizontal="right"/>
    </xf>
    <xf numFmtId="0" fontId="6" fillId="2" borderId="9" xfId="1" applyFont="1" applyFill="1" applyBorder="1" applyAlignment="1">
      <alignment horizontal="center"/>
    </xf>
    <xf numFmtId="167" fontId="6" fillId="2" borderId="9" xfId="1" applyNumberFormat="1" applyFont="1" applyFill="1" applyBorder="1" applyAlignment="1">
      <alignment horizontal="right"/>
    </xf>
    <xf numFmtId="167" fontId="6" fillId="2" borderId="8" xfId="1" applyNumberFormat="1" applyFont="1" applyFill="1" applyBorder="1" applyAlignment="1">
      <alignment horizontal="right"/>
    </xf>
    <xf numFmtId="0" fontId="11" fillId="7" borderId="23" xfId="3" applyFont="1" applyFill="1" applyBorder="1" applyAlignment="1">
      <alignment horizontal="center"/>
    </xf>
    <xf numFmtId="0" fontId="11" fillId="7" borderId="30" xfId="3" applyFont="1" applyFill="1" applyBorder="1" applyAlignment="1">
      <alignment horizontal="center"/>
    </xf>
    <xf numFmtId="0" fontId="11" fillId="0" borderId="22" xfId="1" applyFont="1" applyBorder="1" applyAlignment="1"/>
    <xf numFmtId="0" fontId="11" fillId="7" borderId="22" xfId="3" applyFont="1" applyFill="1" applyBorder="1" applyAlignment="1">
      <alignment horizontal="center"/>
    </xf>
    <xf numFmtId="0" fontId="8" fillId="3" borderId="23" xfId="1" applyFont="1" applyFill="1" applyBorder="1" applyAlignment="1">
      <alignment horizontal="center" vertical="center" wrapText="1"/>
    </xf>
    <xf numFmtId="0" fontId="8" fillId="3" borderId="22" xfId="1" applyFont="1" applyFill="1" applyBorder="1" applyAlignment="1">
      <alignment horizontal="center" vertical="center" wrapText="1"/>
    </xf>
  </cellXfs>
  <cellStyles count="35">
    <cellStyle name="Comma 2" xfId="13"/>
    <cellStyle name="Euro" xfId="14"/>
    <cellStyle name="Euro 2" xfId="15"/>
    <cellStyle name="Migliaia (0)_AZIONI" xfId="4"/>
    <cellStyle name="Migliaia_AZIONI" xfId="5"/>
    <cellStyle name="Normal" xfId="0" builtinId="0"/>
    <cellStyle name="Normal 2" xfId="1"/>
    <cellStyle name="Normal 2 2" xfId="16"/>
    <cellStyle name="Normal 2 2 2" xfId="17"/>
    <cellStyle name="Normal 3" xfId="10"/>
    <cellStyle name="Normal 3 2" xfId="18"/>
    <cellStyle name="Normal 3 2 2" xfId="19"/>
    <cellStyle name="Normal 3 2 2 2" xfId="20"/>
    <cellStyle name="Normal 3 2 3" xfId="21"/>
    <cellStyle name="Normal 3 3" xfId="22"/>
    <cellStyle name="Normal 3 4" xfId="23"/>
    <cellStyle name="Normal 4" xfId="24"/>
    <cellStyle name="Normal 5" xfId="25"/>
    <cellStyle name="Normal 6" xfId="26"/>
    <cellStyle name="Normal 6 2" xfId="27"/>
    <cellStyle name="Normal_SwaptionATMVols" xfId="3"/>
    <cellStyle name="Normale_AZIONI" xfId="6"/>
    <cellStyle name="Percent 2" xfId="2"/>
    <cellStyle name="Percent 2 2" xfId="11"/>
    <cellStyle name="Percent 2 2 2" xfId="12"/>
    <cellStyle name="Percent 2 2 3" xfId="28"/>
    <cellStyle name="Percent 3" xfId="29"/>
    <cellStyle name="Percent 3 2" xfId="30"/>
    <cellStyle name="Percent 3 3" xfId="31"/>
    <cellStyle name="Percent 4" xfId="32"/>
    <cellStyle name="Percent 5" xfId="33"/>
    <cellStyle name="Percent 6" xfId="34"/>
    <cellStyle name="result" xfId="7"/>
    <cellStyle name="Valuta (0)_AZIONI" xfId="8"/>
    <cellStyle name="Valuta_AZIONI" xfId="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baseline="0"/>
              <a:t>Fwd</a:t>
            </a:r>
          </a:p>
        </c:rich>
      </c:tx>
      <c:layout/>
      <c:overlay val="1"/>
    </c:title>
    <c:autoTitleDeleted val="0"/>
    <c:plotArea>
      <c:layout>
        <c:manualLayout>
          <c:layoutTarget val="inner"/>
          <c:xMode val="edge"/>
          <c:yMode val="edge"/>
          <c:x val="9.7511705509173166E-2"/>
          <c:y val="4.5689381419915104E-2"/>
          <c:w val="0.86601423565772873"/>
          <c:h val="0.77855869868118333"/>
        </c:manualLayout>
      </c:layout>
      <c:lineChart>
        <c:grouping val="standard"/>
        <c:varyColors val="0"/>
        <c:ser>
          <c:idx val="0"/>
          <c:order val="0"/>
          <c:tx>
            <c:strRef>
              <c:f>Monitor!$Q$18</c:f>
              <c:strCache>
                <c:ptCount val="1"/>
                <c:pt idx="0">
                  <c:v>1M Fwd</c:v>
                </c:pt>
              </c:strCache>
            </c:strRef>
          </c:tx>
          <c:marker>
            <c:symbol val="none"/>
          </c:marker>
          <c:cat>
            <c:numRef>
              <c:f>Monitor!$P$19:$P$3552</c:f>
              <c:numCache>
                <c:formatCode>ddd\,\ dd\-mmm\-yyyy</c:formatCode>
                <c:ptCount val="3534"/>
                <c:pt idx="0">
                  <c:v>42142</c:v>
                </c:pt>
                <c:pt idx="1">
                  <c:v>42143</c:v>
                </c:pt>
                <c:pt idx="2">
                  <c:v>42144</c:v>
                </c:pt>
                <c:pt idx="3">
                  <c:v>42145</c:v>
                </c:pt>
                <c:pt idx="4">
                  <c:v>42146</c:v>
                </c:pt>
                <c:pt idx="5">
                  <c:v>42150</c:v>
                </c:pt>
                <c:pt idx="6">
                  <c:v>42151</c:v>
                </c:pt>
                <c:pt idx="7">
                  <c:v>42152</c:v>
                </c:pt>
                <c:pt idx="8">
                  <c:v>42153</c:v>
                </c:pt>
                <c:pt idx="9">
                  <c:v>42156</c:v>
                </c:pt>
                <c:pt idx="10">
                  <c:v>42157</c:v>
                </c:pt>
                <c:pt idx="11">
                  <c:v>42158</c:v>
                </c:pt>
                <c:pt idx="12">
                  <c:v>42159</c:v>
                </c:pt>
                <c:pt idx="13">
                  <c:v>42160</c:v>
                </c:pt>
                <c:pt idx="14">
                  <c:v>42163</c:v>
                </c:pt>
                <c:pt idx="15">
                  <c:v>42164</c:v>
                </c:pt>
                <c:pt idx="16">
                  <c:v>42165</c:v>
                </c:pt>
                <c:pt idx="17">
                  <c:v>42166</c:v>
                </c:pt>
                <c:pt idx="18">
                  <c:v>42167</c:v>
                </c:pt>
                <c:pt idx="19">
                  <c:v>42170</c:v>
                </c:pt>
                <c:pt idx="20">
                  <c:v>42171</c:v>
                </c:pt>
                <c:pt idx="21">
                  <c:v>42172</c:v>
                </c:pt>
                <c:pt idx="22">
                  <c:v>42173</c:v>
                </c:pt>
                <c:pt idx="23">
                  <c:v>42177</c:v>
                </c:pt>
                <c:pt idx="24">
                  <c:v>42178</c:v>
                </c:pt>
                <c:pt idx="25">
                  <c:v>42179</c:v>
                </c:pt>
                <c:pt idx="26">
                  <c:v>42180</c:v>
                </c:pt>
                <c:pt idx="27">
                  <c:v>42181</c:v>
                </c:pt>
                <c:pt idx="28">
                  <c:v>42184</c:v>
                </c:pt>
                <c:pt idx="29">
                  <c:v>42185</c:v>
                </c:pt>
                <c:pt idx="30">
                  <c:v>42186</c:v>
                </c:pt>
                <c:pt idx="31">
                  <c:v>42187</c:v>
                </c:pt>
                <c:pt idx="32">
                  <c:v>42188</c:v>
                </c:pt>
                <c:pt idx="33">
                  <c:v>42191</c:v>
                </c:pt>
                <c:pt idx="34">
                  <c:v>42192</c:v>
                </c:pt>
                <c:pt idx="35">
                  <c:v>42193</c:v>
                </c:pt>
                <c:pt idx="36">
                  <c:v>42194</c:v>
                </c:pt>
                <c:pt idx="37">
                  <c:v>42195</c:v>
                </c:pt>
                <c:pt idx="38">
                  <c:v>42198</c:v>
                </c:pt>
                <c:pt idx="39">
                  <c:v>42199</c:v>
                </c:pt>
                <c:pt idx="40">
                  <c:v>42200</c:v>
                </c:pt>
                <c:pt idx="41">
                  <c:v>42201</c:v>
                </c:pt>
                <c:pt idx="42">
                  <c:v>42202</c:v>
                </c:pt>
                <c:pt idx="43">
                  <c:v>42205</c:v>
                </c:pt>
                <c:pt idx="44">
                  <c:v>42206</c:v>
                </c:pt>
                <c:pt idx="45">
                  <c:v>42207</c:v>
                </c:pt>
                <c:pt idx="46">
                  <c:v>42208</c:v>
                </c:pt>
                <c:pt idx="47">
                  <c:v>42209</c:v>
                </c:pt>
                <c:pt idx="48">
                  <c:v>42212</c:v>
                </c:pt>
                <c:pt idx="49">
                  <c:v>42213</c:v>
                </c:pt>
                <c:pt idx="50">
                  <c:v>42214</c:v>
                </c:pt>
                <c:pt idx="51">
                  <c:v>42215</c:v>
                </c:pt>
                <c:pt idx="52">
                  <c:v>42216</c:v>
                </c:pt>
                <c:pt idx="53">
                  <c:v>42219</c:v>
                </c:pt>
                <c:pt idx="54">
                  <c:v>42220</c:v>
                </c:pt>
                <c:pt idx="55">
                  <c:v>42221</c:v>
                </c:pt>
                <c:pt idx="56">
                  <c:v>42222</c:v>
                </c:pt>
                <c:pt idx="57">
                  <c:v>42223</c:v>
                </c:pt>
                <c:pt idx="58">
                  <c:v>42226</c:v>
                </c:pt>
                <c:pt idx="59">
                  <c:v>42227</c:v>
                </c:pt>
                <c:pt idx="60">
                  <c:v>42228</c:v>
                </c:pt>
                <c:pt idx="61">
                  <c:v>42229</c:v>
                </c:pt>
                <c:pt idx="62">
                  <c:v>42230</c:v>
                </c:pt>
                <c:pt idx="63">
                  <c:v>42233</c:v>
                </c:pt>
                <c:pt idx="64">
                  <c:v>42234</c:v>
                </c:pt>
                <c:pt idx="65">
                  <c:v>42235</c:v>
                </c:pt>
                <c:pt idx="66">
                  <c:v>42236</c:v>
                </c:pt>
                <c:pt idx="67">
                  <c:v>42237</c:v>
                </c:pt>
                <c:pt idx="68">
                  <c:v>42240</c:v>
                </c:pt>
                <c:pt idx="69">
                  <c:v>42241</c:v>
                </c:pt>
                <c:pt idx="70">
                  <c:v>42242</c:v>
                </c:pt>
                <c:pt idx="71">
                  <c:v>42243</c:v>
                </c:pt>
                <c:pt idx="72">
                  <c:v>42244</c:v>
                </c:pt>
                <c:pt idx="73">
                  <c:v>42247</c:v>
                </c:pt>
                <c:pt idx="74">
                  <c:v>42248</c:v>
                </c:pt>
                <c:pt idx="75">
                  <c:v>42249</c:v>
                </c:pt>
                <c:pt idx="76">
                  <c:v>42250</c:v>
                </c:pt>
                <c:pt idx="77">
                  <c:v>42251</c:v>
                </c:pt>
                <c:pt idx="78">
                  <c:v>42254</c:v>
                </c:pt>
                <c:pt idx="79">
                  <c:v>42255</c:v>
                </c:pt>
                <c:pt idx="80">
                  <c:v>42256</c:v>
                </c:pt>
                <c:pt idx="81">
                  <c:v>42257</c:v>
                </c:pt>
                <c:pt idx="82">
                  <c:v>42258</c:v>
                </c:pt>
                <c:pt idx="83">
                  <c:v>42261</c:v>
                </c:pt>
                <c:pt idx="84">
                  <c:v>42262</c:v>
                </c:pt>
                <c:pt idx="85">
                  <c:v>42263</c:v>
                </c:pt>
                <c:pt idx="86">
                  <c:v>42264</c:v>
                </c:pt>
                <c:pt idx="87">
                  <c:v>42265</c:v>
                </c:pt>
                <c:pt idx="88">
                  <c:v>42268</c:v>
                </c:pt>
                <c:pt idx="89">
                  <c:v>42269</c:v>
                </c:pt>
                <c:pt idx="90">
                  <c:v>42270</c:v>
                </c:pt>
                <c:pt idx="91">
                  <c:v>42271</c:v>
                </c:pt>
                <c:pt idx="92">
                  <c:v>42272</c:v>
                </c:pt>
                <c:pt idx="93">
                  <c:v>42275</c:v>
                </c:pt>
                <c:pt idx="94">
                  <c:v>42276</c:v>
                </c:pt>
                <c:pt idx="95">
                  <c:v>42277</c:v>
                </c:pt>
                <c:pt idx="96">
                  <c:v>42278</c:v>
                </c:pt>
                <c:pt idx="97">
                  <c:v>42279</c:v>
                </c:pt>
                <c:pt idx="98">
                  <c:v>42282</c:v>
                </c:pt>
                <c:pt idx="99">
                  <c:v>42283</c:v>
                </c:pt>
                <c:pt idx="100">
                  <c:v>42284</c:v>
                </c:pt>
                <c:pt idx="101">
                  <c:v>42285</c:v>
                </c:pt>
                <c:pt idx="102">
                  <c:v>42286</c:v>
                </c:pt>
                <c:pt idx="103">
                  <c:v>42289</c:v>
                </c:pt>
                <c:pt idx="104">
                  <c:v>42290</c:v>
                </c:pt>
                <c:pt idx="105">
                  <c:v>42291</c:v>
                </c:pt>
                <c:pt idx="106">
                  <c:v>42292</c:v>
                </c:pt>
                <c:pt idx="107">
                  <c:v>42293</c:v>
                </c:pt>
                <c:pt idx="108">
                  <c:v>42296</c:v>
                </c:pt>
                <c:pt idx="109">
                  <c:v>42297</c:v>
                </c:pt>
                <c:pt idx="110">
                  <c:v>42298</c:v>
                </c:pt>
                <c:pt idx="111">
                  <c:v>42299</c:v>
                </c:pt>
                <c:pt idx="112">
                  <c:v>42300</c:v>
                </c:pt>
                <c:pt idx="113">
                  <c:v>42303</c:v>
                </c:pt>
                <c:pt idx="114">
                  <c:v>42304</c:v>
                </c:pt>
                <c:pt idx="115">
                  <c:v>42305</c:v>
                </c:pt>
                <c:pt idx="116">
                  <c:v>42306</c:v>
                </c:pt>
                <c:pt idx="117">
                  <c:v>42307</c:v>
                </c:pt>
                <c:pt idx="118">
                  <c:v>42310</c:v>
                </c:pt>
                <c:pt idx="119">
                  <c:v>42311</c:v>
                </c:pt>
                <c:pt idx="120">
                  <c:v>42312</c:v>
                </c:pt>
                <c:pt idx="121">
                  <c:v>42313</c:v>
                </c:pt>
                <c:pt idx="122">
                  <c:v>42314</c:v>
                </c:pt>
                <c:pt idx="123">
                  <c:v>42317</c:v>
                </c:pt>
                <c:pt idx="124">
                  <c:v>42318</c:v>
                </c:pt>
                <c:pt idx="125">
                  <c:v>42319</c:v>
                </c:pt>
                <c:pt idx="126">
                  <c:v>42320</c:v>
                </c:pt>
                <c:pt idx="127">
                  <c:v>42321</c:v>
                </c:pt>
                <c:pt idx="128">
                  <c:v>42324</c:v>
                </c:pt>
                <c:pt idx="129">
                  <c:v>42325</c:v>
                </c:pt>
                <c:pt idx="130">
                  <c:v>42326</c:v>
                </c:pt>
                <c:pt idx="131">
                  <c:v>42327</c:v>
                </c:pt>
                <c:pt idx="132">
                  <c:v>42328</c:v>
                </c:pt>
                <c:pt idx="133">
                  <c:v>42331</c:v>
                </c:pt>
                <c:pt idx="134">
                  <c:v>42332</c:v>
                </c:pt>
                <c:pt idx="135">
                  <c:v>42333</c:v>
                </c:pt>
                <c:pt idx="136">
                  <c:v>42334</c:v>
                </c:pt>
                <c:pt idx="137">
                  <c:v>42335</c:v>
                </c:pt>
                <c:pt idx="138">
                  <c:v>42338</c:v>
                </c:pt>
                <c:pt idx="139">
                  <c:v>42339</c:v>
                </c:pt>
                <c:pt idx="140">
                  <c:v>42340</c:v>
                </c:pt>
                <c:pt idx="141">
                  <c:v>42341</c:v>
                </c:pt>
                <c:pt idx="142">
                  <c:v>42342</c:v>
                </c:pt>
                <c:pt idx="143">
                  <c:v>42345</c:v>
                </c:pt>
                <c:pt idx="144">
                  <c:v>42346</c:v>
                </c:pt>
                <c:pt idx="145">
                  <c:v>42347</c:v>
                </c:pt>
                <c:pt idx="146">
                  <c:v>42348</c:v>
                </c:pt>
                <c:pt idx="147">
                  <c:v>42349</c:v>
                </c:pt>
                <c:pt idx="148">
                  <c:v>42352</c:v>
                </c:pt>
                <c:pt idx="149">
                  <c:v>42353</c:v>
                </c:pt>
                <c:pt idx="150">
                  <c:v>42354</c:v>
                </c:pt>
                <c:pt idx="151">
                  <c:v>42355</c:v>
                </c:pt>
                <c:pt idx="152">
                  <c:v>42356</c:v>
                </c:pt>
                <c:pt idx="153">
                  <c:v>42359</c:v>
                </c:pt>
                <c:pt idx="154">
                  <c:v>42360</c:v>
                </c:pt>
                <c:pt idx="155">
                  <c:v>42361</c:v>
                </c:pt>
                <c:pt idx="156">
                  <c:v>42366</c:v>
                </c:pt>
                <c:pt idx="157">
                  <c:v>42367</c:v>
                </c:pt>
                <c:pt idx="158">
                  <c:v>42368</c:v>
                </c:pt>
                <c:pt idx="159">
                  <c:v>42373</c:v>
                </c:pt>
                <c:pt idx="160">
                  <c:v>42374</c:v>
                </c:pt>
                <c:pt idx="161">
                  <c:v>42376</c:v>
                </c:pt>
                <c:pt idx="162">
                  <c:v>42377</c:v>
                </c:pt>
                <c:pt idx="163">
                  <c:v>42380</c:v>
                </c:pt>
                <c:pt idx="164">
                  <c:v>42381</c:v>
                </c:pt>
                <c:pt idx="165">
                  <c:v>42382</c:v>
                </c:pt>
                <c:pt idx="166">
                  <c:v>42383</c:v>
                </c:pt>
                <c:pt idx="167">
                  <c:v>42384</c:v>
                </c:pt>
                <c:pt idx="168">
                  <c:v>42387</c:v>
                </c:pt>
                <c:pt idx="169">
                  <c:v>42388</c:v>
                </c:pt>
                <c:pt idx="170">
                  <c:v>42389</c:v>
                </c:pt>
                <c:pt idx="171">
                  <c:v>42390</c:v>
                </c:pt>
                <c:pt idx="172">
                  <c:v>42391</c:v>
                </c:pt>
                <c:pt idx="173">
                  <c:v>42394</c:v>
                </c:pt>
                <c:pt idx="174">
                  <c:v>42395</c:v>
                </c:pt>
                <c:pt idx="175">
                  <c:v>42396</c:v>
                </c:pt>
                <c:pt idx="176">
                  <c:v>42397</c:v>
                </c:pt>
                <c:pt idx="177">
                  <c:v>42398</c:v>
                </c:pt>
                <c:pt idx="178">
                  <c:v>42401</c:v>
                </c:pt>
                <c:pt idx="179">
                  <c:v>42402</c:v>
                </c:pt>
                <c:pt idx="180">
                  <c:v>42403</c:v>
                </c:pt>
                <c:pt idx="181">
                  <c:v>42404</c:v>
                </c:pt>
                <c:pt idx="182">
                  <c:v>42405</c:v>
                </c:pt>
                <c:pt idx="183">
                  <c:v>42408</c:v>
                </c:pt>
                <c:pt idx="184">
                  <c:v>42409</c:v>
                </c:pt>
                <c:pt idx="185">
                  <c:v>42410</c:v>
                </c:pt>
                <c:pt idx="186">
                  <c:v>42411</c:v>
                </c:pt>
                <c:pt idx="187">
                  <c:v>42412</c:v>
                </c:pt>
                <c:pt idx="188">
                  <c:v>42415</c:v>
                </c:pt>
                <c:pt idx="189">
                  <c:v>42416</c:v>
                </c:pt>
                <c:pt idx="190">
                  <c:v>42417</c:v>
                </c:pt>
                <c:pt idx="191">
                  <c:v>42418</c:v>
                </c:pt>
                <c:pt idx="192">
                  <c:v>42419</c:v>
                </c:pt>
                <c:pt idx="193">
                  <c:v>42422</c:v>
                </c:pt>
                <c:pt idx="194">
                  <c:v>42423</c:v>
                </c:pt>
                <c:pt idx="195">
                  <c:v>42424</c:v>
                </c:pt>
                <c:pt idx="196">
                  <c:v>42425</c:v>
                </c:pt>
                <c:pt idx="197">
                  <c:v>42426</c:v>
                </c:pt>
                <c:pt idx="198">
                  <c:v>42429</c:v>
                </c:pt>
                <c:pt idx="199">
                  <c:v>42430</c:v>
                </c:pt>
                <c:pt idx="200">
                  <c:v>42431</c:v>
                </c:pt>
                <c:pt idx="201">
                  <c:v>42432</c:v>
                </c:pt>
                <c:pt idx="202">
                  <c:v>42433</c:v>
                </c:pt>
                <c:pt idx="203">
                  <c:v>42436</c:v>
                </c:pt>
                <c:pt idx="204">
                  <c:v>42437</c:v>
                </c:pt>
                <c:pt idx="205">
                  <c:v>42438</c:v>
                </c:pt>
                <c:pt idx="206">
                  <c:v>42439</c:v>
                </c:pt>
                <c:pt idx="207">
                  <c:v>42440</c:v>
                </c:pt>
                <c:pt idx="208">
                  <c:v>42443</c:v>
                </c:pt>
                <c:pt idx="209">
                  <c:v>42444</c:v>
                </c:pt>
                <c:pt idx="210">
                  <c:v>42445</c:v>
                </c:pt>
                <c:pt idx="211">
                  <c:v>42446</c:v>
                </c:pt>
                <c:pt idx="212">
                  <c:v>42447</c:v>
                </c:pt>
                <c:pt idx="213">
                  <c:v>42450</c:v>
                </c:pt>
                <c:pt idx="214">
                  <c:v>42451</c:v>
                </c:pt>
                <c:pt idx="215">
                  <c:v>42452</c:v>
                </c:pt>
                <c:pt idx="216">
                  <c:v>42453</c:v>
                </c:pt>
                <c:pt idx="217">
                  <c:v>42458</c:v>
                </c:pt>
                <c:pt idx="218">
                  <c:v>42459</c:v>
                </c:pt>
                <c:pt idx="219">
                  <c:v>42460</c:v>
                </c:pt>
                <c:pt idx="220">
                  <c:v>42461</c:v>
                </c:pt>
                <c:pt idx="221">
                  <c:v>42464</c:v>
                </c:pt>
                <c:pt idx="222">
                  <c:v>42465</c:v>
                </c:pt>
                <c:pt idx="223">
                  <c:v>42466</c:v>
                </c:pt>
                <c:pt idx="224">
                  <c:v>42467</c:v>
                </c:pt>
                <c:pt idx="225">
                  <c:v>42468</c:v>
                </c:pt>
                <c:pt idx="226">
                  <c:v>42471</c:v>
                </c:pt>
                <c:pt idx="227">
                  <c:v>42472</c:v>
                </c:pt>
                <c:pt idx="228">
                  <c:v>42473</c:v>
                </c:pt>
                <c:pt idx="229">
                  <c:v>42474</c:v>
                </c:pt>
                <c:pt idx="230">
                  <c:v>42475</c:v>
                </c:pt>
                <c:pt idx="231">
                  <c:v>42478</c:v>
                </c:pt>
                <c:pt idx="232">
                  <c:v>42479</c:v>
                </c:pt>
                <c:pt idx="233">
                  <c:v>42480</c:v>
                </c:pt>
                <c:pt idx="234">
                  <c:v>42481</c:v>
                </c:pt>
                <c:pt idx="235">
                  <c:v>42482</c:v>
                </c:pt>
                <c:pt idx="236">
                  <c:v>42485</c:v>
                </c:pt>
                <c:pt idx="237">
                  <c:v>42486</c:v>
                </c:pt>
                <c:pt idx="238">
                  <c:v>42487</c:v>
                </c:pt>
                <c:pt idx="239">
                  <c:v>42488</c:v>
                </c:pt>
                <c:pt idx="240">
                  <c:v>42489</c:v>
                </c:pt>
                <c:pt idx="241">
                  <c:v>42492</c:v>
                </c:pt>
                <c:pt idx="242">
                  <c:v>42493</c:v>
                </c:pt>
                <c:pt idx="243">
                  <c:v>42494</c:v>
                </c:pt>
                <c:pt idx="244">
                  <c:v>42496</c:v>
                </c:pt>
                <c:pt idx="245">
                  <c:v>42499</c:v>
                </c:pt>
                <c:pt idx="246">
                  <c:v>42500</c:v>
                </c:pt>
                <c:pt idx="247">
                  <c:v>42501</c:v>
                </c:pt>
                <c:pt idx="248">
                  <c:v>42502</c:v>
                </c:pt>
                <c:pt idx="249">
                  <c:v>42503</c:v>
                </c:pt>
                <c:pt idx="250">
                  <c:v>42507</c:v>
                </c:pt>
                <c:pt idx="251">
                  <c:v>42508</c:v>
                </c:pt>
                <c:pt idx="252">
                  <c:v>42509</c:v>
                </c:pt>
                <c:pt idx="253">
                  <c:v>42510</c:v>
                </c:pt>
                <c:pt idx="254">
                  <c:v>42513</c:v>
                </c:pt>
                <c:pt idx="255">
                  <c:v>42514</c:v>
                </c:pt>
                <c:pt idx="256">
                  <c:v>42515</c:v>
                </c:pt>
                <c:pt idx="257">
                  <c:v>42516</c:v>
                </c:pt>
                <c:pt idx="258">
                  <c:v>42517</c:v>
                </c:pt>
                <c:pt idx="259">
                  <c:v>42520</c:v>
                </c:pt>
                <c:pt idx="260">
                  <c:v>42521</c:v>
                </c:pt>
                <c:pt idx="261">
                  <c:v>42522</c:v>
                </c:pt>
                <c:pt idx="262">
                  <c:v>42523</c:v>
                </c:pt>
                <c:pt idx="263">
                  <c:v>42524</c:v>
                </c:pt>
                <c:pt idx="264">
                  <c:v>42527</c:v>
                </c:pt>
                <c:pt idx="265">
                  <c:v>42528</c:v>
                </c:pt>
                <c:pt idx="266">
                  <c:v>42529</c:v>
                </c:pt>
                <c:pt idx="267">
                  <c:v>42530</c:v>
                </c:pt>
                <c:pt idx="268">
                  <c:v>42531</c:v>
                </c:pt>
                <c:pt idx="269">
                  <c:v>42534</c:v>
                </c:pt>
                <c:pt idx="270">
                  <c:v>42535</c:v>
                </c:pt>
                <c:pt idx="271">
                  <c:v>42536</c:v>
                </c:pt>
                <c:pt idx="272">
                  <c:v>42537</c:v>
                </c:pt>
                <c:pt idx="273">
                  <c:v>42538</c:v>
                </c:pt>
                <c:pt idx="274">
                  <c:v>42541</c:v>
                </c:pt>
                <c:pt idx="275">
                  <c:v>42542</c:v>
                </c:pt>
                <c:pt idx="276">
                  <c:v>42543</c:v>
                </c:pt>
                <c:pt idx="277">
                  <c:v>42544</c:v>
                </c:pt>
                <c:pt idx="278">
                  <c:v>42548</c:v>
                </c:pt>
                <c:pt idx="279">
                  <c:v>42549</c:v>
                </c:pt>
                <c:pt idx="280">
                  <c:v>42550</c:v>
                </c:pt>
                <c:pt idx="281">
                  <c:v>42551</c:v>
                </c:pt>
                <c:pt idx="282">
                  <c:v>42552</c:v>
                </c:pt>
                <c:pt idx="283">
                  <c:v>42555</c:v>
                </c:pt>
                <c:pt idx="284">
                  <c:v>42556</c:v>
                </c:pt>
                <c:pt idx="285">
                  <c:v>42557</c:v>
                </c:pt>
                <c:pt idx="286">
                  <c:v>42558</c:v>
                </c:pt>
                <c:pt idx="287">
                  <c:v>42559</c:v>
                </c:pt>
                <c:pt idx="288">
                  <c:v>42562</c:v>
                </c:pt>
                <c:pt idx="289">
                  <c:v>42563</c:v>
                </c:pt>
                <c:pt idx="290">
                  <c:v>42564</c:v>
                </c:pt>
                <c:pt idx="291">
                  <c:v>42565</c:v>
                </c:pt>
                <c:pt idx="292">
                  <c:v>42566</c:v>
                </c:pt>
                <c:pt idx="293">
                  <c:v>42569</c:v>
                </c:pt>
                <c:pt idx="294">
                  <c:v>42570</c:v>
                </c:pt>
                <c:pt idx="295">
                  <c:v>42571</c:v>
                </c:pt>
                <c:pt idx="296">
                  <c:v>42572</c:v>
                </c:pt>
                <c:pt idx="297">
                  <c:v>42573</c:v>
                </c:pt>
                <c:pt idx="298">
                  <c:v>42576</c:v>
                </c:pt>
                <c:pt idx="299">
                  <c:v>42577</c:v>
                </c:pt>
                <c:pt idx="300">
                  <c:v>42578</c:v>
                </c:pt>
                <c:pt idx="301">
                  <c:v>42579</c:v>
                </c:pt>
                <c:pt idx="302">
                  <c:v>42580</c:v>
                </c:pt>
                <c:pt idx="303">
                  <c:v>42583</c:v>
                </c:pt>
                <c:pt idx="304">
                  <c:v>42584</c:v>
                </c:pt>
                <c:pt idx="305">
                  <c:v>42585</c:v>
                </c:pt>
                <c:pt idx="306">
                  <c:v>42586</c:v>
                </c:pt>
                <c:pt idx="307">
                  <c:v>42587</c:v>
                </c:pt>
                <c:pt idx="308">
                  <c:v>42590</c:v>
                </c:pt>
                <c:pt idx="309">
                  <c:v>42591</c:v>
                </c:pt>
                <c:pt idx="310">
                  <c:v>42592</c:v>
                </c:pt>
                <c:pt idx="311">
                  <c:v>42593</c:v>
                </c:pt>
                <c:pt idx="312">
                  <c:v>42594</c:v>
                </c:pt>
                <c:pt idx="313">
                  <c:v>42597</c:v>
                </c:pt>
                <c:pt idx="314">
                  <c:v>42598</c:v>
                </c:pt>
                <c:pt idx="315">
                  <c:v>42599</c:v>
                </c:pt>
                <c:pt idx="316">
                  <c:v>42600</c:v>
                </c:pt>
                <c:pt idx="317">
                  <c:v>42601</c:v>
                </c:pt>
                <c:pt idx="318">
                  <c:v>42604</c:v>
                </c:pt>
                <c:pt idx="319">
                  <c:v>42605</c:v>
                </c:pt>
                <c:pt idx="320">
                  <c:v>42606</c:v>
                </c:pt>
                <c:pt idx="321">
                  <c:v>42607</c:v>
                </c:pt>
                <c:pt idx="322">
                  <c:v>42608</c:v>
                </c:pt>
                <c:pt idx="323">
                  <c:v>42611</c:v>
                </c:pt>
                <c:pt idx="324">
                  <c:v>42612</c:v>
                </c:pt>
                <c:pt idx="325">
                  <c:v>42613</c:v>
                </c:pt>
                <c:pt idx="326">
                  <c:v>42614</c:v>
                </c:pt>
                <c:pt idx="327">
                  <c:v>42615</c:v>
                </c:pt>
                <c:pt idx="328">
                  <c:v>42618</c:v>
                </c:pt>
                <c:pt idx="329">
                  <c:v>42619</c:v>
                </c:pt>
                <c:pt idx="330">
                  <c:v>42620</c:v>
                </c:pt>
                <c:pt idx="331">
                  <c:v>42621</c:v>
                </c:pt>
                <c:pt idx="332">
                  <c:v>42622</c:v>
                </c:pt>
                <c:pt idx="333">
                  <c:v>42625</c:v>
                </c:pt>
                <c:pt idx="334">
                  <c:v>42626</c:v>
                </c:pt>
                <c:pt idx="335">
                  <c:v>42627</c:v>
                </c:pt>
                <c:pt idx="336">
                  <c:v>42628</c:v>
                </c:pt>
                <c:pt idx="337">
                  <c:v>42629</c:v>
                </c:pt>
                <c:pt idx="338">
                  <c:v>42632</c:v>
                </c:pt>
                <c:pt idx="339">
                  <c:v>42633</c:v>
                </c:pt>
                <c:pt idx="340">
                  <c:v>42634</c:v>
                </c:pt>
                <c:pt idx="341">
                  <c:v>42635</c:v>
                </c:pt>
                <c:pt idx="342">
                  <c:v>42636</c:v>
                </c:pt>
                <c:pt idx="343">
                  <c:v>42639</c:v>
                </c:pt>
                <c:pt idx="344">
                  <c:v>42640</c:v>
                </c:pt>
                <c:pt idx="345">
                  <c:v>42641</c:v>
                </c:pt>
                <c:pt idx="346">
                  <c:v>42642</c:v>
                </c:pt>
                <c:pt idx="347">
                  <c:v>42643</c:v>
                </c:pt>
                <c:pt idx="348">
                  <c:v>42646</c:v>
                </c:pt>
                <c:pt idx="349">
                  <c:v>42647</c:v>
                </c:pt>
                <c:pt idx="350">
                  <c:v>42648</c:v>
                </c:pt>
                <c:pt idx="351">
                  <c:v>42649</c:v>
                </c:pt>
                <c:pt idx="352">
                  <c:v>42650</c:v>
                </c:pt>
                <c:pt idx="353">
                  <c:v>42653</c:v>
                </c:pt>
                <c:pt idx="354">
                  <c:v>42654</c:v>
                </c:pt>
                <c:pt idx="355">
                  <c:v>42655</c:v>
                </c:pt>
                <c:pt idx="356">
                  <c:v>42656</c:v>
                </c:pt>
                <c:pt idx="357">
                  <c:v>42657</c:v>
                </c:pt>
                <c:pt idx="358">
                  <c:v>42660</c:v>
                </c:pt>
                <c:pt idx="359">
                  <c:v>42661</c:v>
                </c:pt>
                <c:pt idx="360">
                  <c:v>42662</c:v>
                </c:pt>
                <c:pt idx="361">
                  <c:v>42663</c:v>
                </c:pt>
                <c:pt idx="362">
                  <c:v>42664</c:v>
                </c:pt>
                <c:pt idx="363">
                  <c:v>42667</c:v>
                </c:pt>
                <c:pt idx="364">
                  <c:v>42668</c:v>
                </c:pt>
                <c:pt idx="365">
                  <c:v>42669</c:v>
                </c:pt>
                <c:pt idx="366">
                  <c:v>42670</c:v>
                </c:pt>
                <c:pt idx="367">
                  <c:v>42671</c:v>
                </c:pt>
                <c:pt idx="368">
                  <c:v>42674</c:v>
                </c:pt>
                <c:pt idx="369">
                  <c:v>42675</c:v>
                </c:pt>
                <c:pt idx="370">
                  <c:v>42676</c:v>
                </c:pt>
                <c:pt idx="371">
                  <c:v>42677</c:v>
                </c:pt>
                <c:pt idx="372">
                  <c:v>42678</c:v>
                </c:pt>
                <c:pt idx="373">
                  <c:v>42681</c:v>
                </c:pt>
                <c:pt idx="374">
                  <c:v>42682</c:v>
                </c:pt>
                <c:pt idx="375">
                  <c:v>42683</c:v>
                </c:pt>
                <c:pt idx="376">
                  <c:v>42684</c:v>
                </c:pt>
                <c:pt idx="377">
                  <c:v>42685</c:v>
                </c:pt>
                <c:pt idx="378">
                  <c:v>42688</c:v>
                </c:pt>
                <c:pt idx="379">
                  <c:v>42689</c:v>
                </c:pt>
                <c:pt idx="380">
                  <c:v>42690</c:v>
                </c:pt>
                <c:pt idx="381">
                  <c:v>42691</c:v>
                </c:pt>
                <c:pt idx="382">
                  <c:v>42692</c:v>
                </c:pt>
                <c:pt idx="383">
                  <c:v>42695</c:v>
                </c:pt>
                <c:pt idx="384">
                  <c:v>42696</c:v>
                </c:pt>
                <c:pt idx="385">
                  <c:v>42697</c:v>
                </c:pt>
                <c:pt idx="386">
                  <c:v>42698</c:v>
                </c:pt>
                <c:pt idx="387">
                  <c:v>42699</c:v>
                </c:pt>
                <c:pt idx="388">
                  <c:v>42702</c:v>
                </c:pt>
                <c:pt idx="389">
                  <c:v>42703</c:v>
                </c:pt>
                <c:pt idx="390">
                  <c:v>42704</c:v>
                </c:pt>
                <c:pt idx="391">
                  <c:v>42705</c:v>
                </c:pt>
                <c:pt idx="392">
                  <c:v>42706</c:v>
                </c:pt>
                <c:pt idx="393">
                  <c:v>42709</c:v>
                </c:pt>
                <c:pt idx="394">
                  <c:v>42710</c:v>
                </c:pt>
                <c:pt idx="395">
                  <c:v>42711</c:v>
                </c:pt>
                <c:pt idx="396">
                  <c:v>42712</c:v>
                </c:pt>
                <c:pt idx="397">
                  <c:v>42713</c:v>
                </c:pt>
                <c:pt idx="398">
                  <c:v>42716</c:v>
                </c:pt>
                <c:pt idx="399">
                  <c:v>42717</c:v>
                </c:pt>
                <c:pt idx="400">
                  <c:v>42718</c:v>
                </c:pt>
                <c:pt idx="401">
                  <c:v>42719</c:v>
                </c:pt>
                <c:pt idx="402">
                  <c:v>42720</c:v>
                </c:pt>
                <c:pt idx="403">
                  <c:v>42723</c:v>
                </c:pt>
                <c:pt idx="404">
                  <c:v>42724</c:v>
                </c:pt>
                <c:pt idx="405">
                  <c:v>42725</c:v>
                </c:pt>
                <c:pt idx="406">
                  <c:v>42726</c:v>
                </c:pt>
                <c:pt idx="407">
                  <c:v>42727</c:v>
                </c:pt>
                <c:pt idx="408">
                  <c:v>42731</c:v>
                </c:pt>
                <c:pt idx="409">
                  <c:v>42732</c:v>
                </c:pt>
                <c:pt idx="410">
                  <c:v>42733</c:v>
                </c:pt>
                <c:pt idx="411">
                  <c:v>42734</c:v>
                </c:pt>
                <c:pt idx="412">
                  <c:v>42737</c:v>
                </c:pt>
                <c:pt idx="413">
                  <c:v>42738</c:v>
                </c:pt>
                <c:pt idx="414">
                  <c:v>42739</c:v>
                </c:pt>
                <c:pt idx="415">
                  <c:v>42740</c:v>
                </c:pt>
                <c:pt idx="416">
                  <c:v>42744</c:v>
                </c:pt>
                <c:pt idx="417">
                  <c:v>42745</c:v>
                </c:pt>
                <c:pt idx="418">
                  <c:v>42746</c:v>
                </c:pt>
                <c:pt idx="419">
                  <c:v>42747</c:v>
                </c:pt>
                <c:pt idx="420">
                  <c:v>42748</c:v>
                </c:pt>
                <c:pt idx="421">
                  <c:v>42751</c:v>
                </c:pt>
                <c:pt idx="422">
                  <c:v>42752</c:v>
                </c:pt>
                <c:pt idx="423">
                  <c:v>42753</c:v>
                </c:pt>
                <c:pt idx="424">
                  <c:v>42754</c:v>
                </c:pt>
                <c:pt idx="425">
                  <c:v>42755</c:v>
                </c:pt>
                <c:pt idx="426">
                  <c:v>42758</c:v>
                </c:pt>
                <c:pt idx="427">
                  <c:v>42759</c:v>
                </c:pt>
                <c:pt idx="428">
                  <c:v>42760</c:v>
                </c:pt>
                <c:pt idx="429">
                  <c:v>42761</c:v>
                </c:pt>
                <c:pt idx="430">
                  <c:v>42762</c:v>
                </c:pt>
                <c:pt idx="431">
                  <c:v>42765</c:v>
                </c:pt>
                <c:pt idx="432">
                  <c:v>42766</c:v>
                </c:pt>
                <c:pt idx="433">
                  <c:v>42767</c:v>
                </c:pt>
                <c:pt idx="434">
                  <c:v>42768</c:v>
                </c:pt>
                <c:pt idx="435">
                  <c:v>42769</c:v>
                </c:pt>
                <c:pt idx="436">
                  <c:v>42772</c:v>
                </c:pt>
                <c:pt idx="437">
                  <c:v>42773</c:v>
                </c:pt>
                <c:pt idx="438">
                  <c:v>42774</c:v>
                </c:pt>
                <c:pt idx="439">
                  <c:v>42775</c:v>
                </c:pt>
                <c:pt idx="440">
                  <c:v>42776</c:v>
                </c:pt>
                <c:pt idx="441">
                  <c:v>42779</c:v>
                </c:pt>
                <c:pt idx="442">
                  <c:v>42780</c:v>
                </c:pt>
                <c:pt idx="443">
                  <c:v>42781</c:v>
                </c:pt>
                <c:pt idx="444">
                  <c:v>42782</c:v>
                </c:pt>
                <c:pt idx="445">
                  <c:v>42783</c:v>
                </c:pt>
                <c:pt idx="446">
                  <c:v>42786</c:v>
                </c:pt>
                <c:pt idx="447">
                  <c:v>42787</c:v>
                </c:pt>
                <c:pt idx="448">
                  <c:v>42788</c:v>
                </c:pt>
                <c:pt idx="449">
                  <c:v>42789</c:v>
                </c:pt>
                <c:pt idx="450">
                  <c:v>42790</c:v>
                </c:pt>
                <c:pt idx="451">
                  <c:v>42793</c:v>
                </c:pt>
                <c:pt idx="452">
                  <c:v>42794</c:v>
                </c:pt>
                <c:pt idx="453">
                  <c:v>42795</c:v>
                </c:pt>
                <c:pt idx="454">
                  <c:v>42796</c:v>
                </c:pt>
                <c:pt idx="455">
                  <c:v>42797</c:v>
                </c:pt>
                <c:pt idx="456">
                  <c:v>42800</c:v>
                </c:pt>
                <c:pt idx="457">
                  <c:v>42801</c:v>
                </c:pt>
                <c:pt idx="458">
                  <c:v>42802</c:v>
                </c:pt>
                <c:pt idx="459">
                  <c:v>42803</c:v>
                </c:pt>
                <c:pt idx="460">
                  <c:v>42804</c:v>
                </c:pt>
                <c:pt idx="461">
                  <c:v>42807</c:v>
                </c:pt>
                <c:pt idx="462">
                  <c:v>42808</c:v>
                </c:pt>
                <c:pt idx="463">
                  <c:v>42809</c:v>
                </c:pt>
                <c:pt idx="464">
                  <c:v>42810</c:v>
                </c:pt>
                <c:pt idx="465">
                  <c:v>42811</c:v>
                </c:pt>
                <c:pt idx="466">
                  <c:v>42814</c:v>
                </c:pt>
                <c:pt idx="467">
                  <c:v>42815</c:v>
                </c:pt>
                <c:pt idx="468">
                  <c:v>42816</c:v>
                </c:pt>
                <c:pt idx="469">
                  <c:v>42817</c:v>
                </c:pt>
                <c:pt idx="470">
                  <c:v>42818</c:v>
                </c:pt>
                <c:pt idx="471">
                  <c:v>42821</c:v>
                </c:pt>
                <c:pt idx="472">
                  <c:v>42822</c:v>
                </c:pt>
                <c:pt idx="473">
                  <c:v>42823</c:v>
                </c:pt>
                <c:pt idx="474">
                  <c:v>42824</c:v>
                </c:pt>
                <c:pt idx="475">
                  <c:v>42825</c:v>
                </c:pt>
                <c:pt idx="476">
                  <c:v>42828</c:v>
                </c:pt>
                <c:pt idx="477">
                  <c:v>42829</c:v>
                </c:pt>
                <c:pt idx="478">
                  <c:v>42830</c:v>
                </c:pt>
                <c:pt idx="479">
                  <c:v>42831</c:v>
                </c:pt>
                <c:pt idx="480">
                  <c:v>42832</c:v>
                </c:pt>
                <c:pt idx="481">
                  <c:v>42835</c:v>
                </c:pt>
                <c:pt idx="482">
                  <c:v>42836</c:v>
                </c:pt>
                <c:pt idx="483">
                  <c:v>42837</c:v>
                </c:pt>
                <c:pt idx="484">
                  <c:v>42838</c:v>
                </c:pt>
                <c:pt idx="485">
                  <c:v>42843</c:v>
                </c:pt>
                <c:pt idx="486">
                  <c:v>42844</c:v>
                </c:pt>
                <c:pt idx="487">
                  <c:v>42845</c:v>
                </c:pt>
                <c:pt idx="488">
                  <c:v>42846</c:v>
                </c:pt>
                <c:pt idx="489">
                  <c:v>42849</c:v>
                </c:pt>
                <c:pt idx="490">
                  <c:v>42850</c:v>
                </c:pt>
                <c:pt idx="491">
                  <c:v>42851</c:v>
                </c:pt>
                <c:pt idx="492">
                  <c:v>42852</c:v>
                </c:pt>
                <c:pt idx="493">
                  <c:v>42853</c:v>
                </c:pt>
                <c:pt idx="494">
                  <c:v>42857</c:v>
                </c:pt>
                <c:pt idx="495">
                  <c:v>42858</c:v>
                </c:pt>
                <c:pt idx="496">
                  <c:v>42859</c:v>
                </c:pt>
                <c:pt idx="497">
                  <c:v>42860</c:v>
                </c:pt>
                <c:pt idx="498">
                  <c:v>42863</c:v>
                </c:pt>
                <c:pt idx="499">
                  <c:v>42864</c:v>
                </c:pt>
                <c:pt idx="500">
                  <c:v>42865</c:v>
                </c:pt>
                <c:pt idx="501">
                  <c:v>42866</c:v>
                </c:pt>
                <c:pt idx="502">
                  <c:v>42867</c:v>
                </c:pt>
                <c:pt idx="503">
                  <c:v>42870</c:v>
                </c:pt>
                <c:pt idx="504">
                  <c:v>42871</c:v>
                </c:pt>
                <c:pt idx="505">
                  <c:v>42872</c:v>
                </c:pt>
                <c:pt idx="506">
                  <c:v>42873</c:v>
                </c:pt>
                <c:pt idx="507">
                  <c:v>42874</c:v>
                </c:pt>
                <c:pt idx="508">
                  <c:v>42877</c:v>
                </c:pt>
                <c:pt idx="509">
                  <c:v>42878</c:v>
                </c:pt>
                <c:pt idx="510">
                  <c:v>42879</c:v>
                </c:pt>
                <c:pt idx="511">
                  <c:v>42881</c:v>
                </c:pt>
                <c:pt idx="512">
                  <c:v>42884</c:v>
                </c:pt>
                <c:pt idx="513">
                  <c:v>42885</c:v>
                </c:pt>
                <c:pt idx="514">
                  <c:v>42886</c:v>
                </c:pt>
                <c:pt idx="515">
                  <c:v>42887</c:v>
                </c:pt>
                <c:pt idx="516">
                  <c:v>42888</c:v>
                </c:pt>
                <c:pt idx="517">
                  <c:v>42892</c:v>
                </c:pt>
                <c:pt idx="518">
                  <c:v>42898</c:v>
                </c:pt>
                <c:pt idx="519">
                  <c:v>42905</c:v>
                </c:pt>
                <c:pt idx="520">
                  <c:v>42913</c:v>
                </c:pt>
                <c:pt idx="521">
                  <c:v>42919</c:v>
                </c:pt>
                <c:pt idx="522">
                  <c:v>42926</c:v>
                </c:pt>
                <c:pt idx="523">
                  <c:v>42933</c:v>
                </c:pt>
                <c:pt idx="524">
                  <c:v>42940</c:v>
                </c:pt>
                <c:pt idx="525">
                  <c:v>42947</c:v>
                </c:pt>
                <c:pt idx="526">
                  <c:v>42954</c:v>
                </c:pt>
                <c:pt idx="527">
                  <c:v>42961</c:v>
                </c:pt>
                <c:pt idx="528">
                  <c:v>42968</c:v>
                </c:pt>
                <c:pt idx="529">
                  <c:v>42975</c:v>
                </c:pt>
                <c:pt idx="530">
                  <c:v>42982</c:v>
                </c:pt>
                <c:pt idx="531">
                  <c:v>42989</c:v>
                </c:pt>
                <c:pt idx="532">
                  <c:v>42996</c:v>
                </c:pt>
                <c:pt idx="533">
                  <c:v>43003</c:v>
                </c:pt>
                <c:pt idx="534">
                  <c:v>43010</c:v>
                </c:pt>
                <c:pt idx="535">
                  <c:v>43017</c:v>
                </c:pt>
                <c:pt idx="536">
                  <c:v>43024</c:v>
                </c:pt>
                <c:pt idx="537">
                  <c:v>43031</c:v>
                </c:pt>
                <c:pt idx="538">
                  <c:v>43038</c:v>
                </c:pt>
                <c:pt idx="539">
                  <c:v>43045</c:v>
                </c:pt>
                <c:pt idx="540">
                  <c:v>43052</c:v>
                </c:pt>
                <c:pt idx="541">
                  <c:v>43059</c:v>
                </c:pt>
                <c:pt idx="542">
                  <c:v>43066</c:v>
                </c:pt>
                <c:pt idx="543">
                  <c:v>43073</c:v>
                </c:pt>
                <c:pt idx="544">
                  <c:v>43080</c:v>
                </c:pt>
                <c:pt idx="545">
                  <c:v>43087</c:v>
                </c:pt>
                <c:pt idx="546">
                  <c:v>43096</c:v>
                </c:pt>
                <c:pt idx="547">
                  <c:v>43102</c:v>
                </c:pt>
                <c:pt idx="548">
                  <c:v>43108</c:v>
                </c:pt>
                <c:pt idx="549">
                  <c:v>43115</c:v>
                </c:pt>
                <c:pt idx="550">
                  <c:v>43122</c:v>
                </c:pt>
                <c:pt idx="551">
                  <c:v>43129</c:v>
                </c:pt>
                <c:pt idx="552">
                  <c:v>43136</c:v>
                </c:pt>
                <c:pt idx="553">
                  <c:v>43143</c:v>
                </c:pt>
                <c:pt idx="554">
                  <c:v>43150</c:v>
                </c:pt>
                <c:pt idx="555">
                  <c:v>43157</c:v>
                </c:pt>
                <c:pt idx="556">
                  <c:v>43164</c:v>
                </c:pt>
                <c:pt idx="557">
                  <c:v>43171</c:v>
                </c:pt>
                <c:pt idx="558">
                  <c:v>43178</c:v>
                </c:pt>
                <c:pt idx="559">
                  <c:v>43185</c:v>
                </c:pt>
                <c:pt idx="560">
                  <c:v>43194</c:v>
                </c:pt>
                <c:pt idx="561">
                  <c:v>43199</c:v>
                </c:pt>
                <c:pt idx="562">
                  <c:v>43206</c:v>
                </c:pt>
                <c:pt idx="563">
                  <c:v>43213</c:v>
                </c:pt>
                <c:pt idx="564">
                  <c:v>43220</c:v>
                </c:pt>
                <c:pt idx="565">
                  <c:v>43227</c:v>
                </c:pt>
                <c:pt idx="566">
                  <c:v>43235</c:v>
                </c:pt>
                <c:pt idx="567">
                  <c:v>43243</c:v>
                </c:pt>
                <c:pt idx="568">
                  <c:v>43249</c:v>
                </c:pt>
                <c:pt idx="569">
                  <c:v>43256</c:v>
                </c:pt>
                <c:pt idx="570">
                  <c:v>43263</c:v>
                </c:pt>
                <c:pt idx="571">
                  <c:v>43270</c:v>
                </c:pt>
                <c:pt idx="572">
                  <c:v>43278</c:v>
                </c:pt>
                <c:pt idx="573">
                  <c:v>43285</c:v>
                </c:pt>
                <c:pt idx="574">
                  <c:v>43292</c:v>
                </c:pt>
                <c:pt idx="575">
                  <c:v>43299</c:v>
                </c:pt>
                <c:pt idx="576">
                  <c:v>43306</c:v>
                </c:pt>
                <c:pt idx="577">
                  <c:v>43313</c:v>
                </c:pt>
                <c:pt idx="578">
                  <c:v>43320</c:v>
                </c:pt>
                <c:pt idx="579">
                  <c:v>43327</c:v>
                </c:pt>
                <c:pt idx="580">
                  <c:v>43334</c:v>
                </c:pt>
                <c:pt idx="581">
                  <c:v>43341</c:v>
                </c:pt>
                <c:pt idx="582">
                  <c:v>43348</c:v>
                </c:pt>
                <c:pt idx="583">
                  <c:v>43355</c:v>
                </c:pt>
                <c:pt idx="584">
                  <c:v>43362</c:v>
                </c:pt>
                <c:pt idx="585">
                  <c:v>43369</c:v>
                </c:pt>
                <c:pt idx="586">
                  <c:v>43376</c:v>
                </c:pt>
                <c:pt idx="587">
                  <c:v>43383</c:v>
                </c:pt>
                <c:pt idx="588">
                  <c:v>43390</c:v>
                </c:pt>
                <c:pt idx="589">
                  <c:v>43397</c:v>
                </c:pt>
                <c:pt idx="590">
                  <c:v>43404</c:v>
                </c:pt>
                <c:pt idx="591">
                  <c:v>43411</c:v>
                </c:pt>
                <c:pt idx="592">
                  <c:v>43418</c:v>
                </c:pt>
                <c:pt idx="593">
                  <c:v>43425</c:v>
                </c:pt>
                <c:pt idx="594">
                  <c:v>43432</c:v>
                </c:pt>
                <c:pt idx="595">
                  <c:v>43439</c:v>
                </c:pt>
                <c:pt idx="596">
                  <c:v>43446</c:v>
                </c:pt>
                <c:pt idx="597">
                  <c:v>43453</c:v>
                </c:pt>
                <c:pt idx="598">
                  <c:v>43467</c:v>
                </c:pt>
                <c:pt idx="599">
                  <c:v>43472</c:v>
                </c:pt>
                <c:pt idx="600">
                  <c:v>43479</c:v>
                </c:pt>
                <c:pt idx="601">
                  <c:v>43486</c:v>
                </c:pt>
                <c:pt idx="602">
                  <c:v>43493</c:v>
                </c:pt>
                <c:pt idx="603">
                  <c:v>43500</c:v>
                </c:pt>
                <c:pt idx="604">
                  <c:v>43507</c:v>
                </c:pt>
                <c:pt idx="605">
                  <c:v>43514</c:v>
                </c:pt>
                <c:pt idx="606">
                  <c:v>43521</c:v>
                </c:pt>
                <c:pt idx="607">
                  <c:v>43528</c:v>
                </c:pt>
                <c:pt idx="608">
                  <c:v>43535</c:v>
                </c:pt>
                <c:pt idx="609">
                  <c:v>43542</c:v>
                </c:pt>
                <c:pt idx="610">
                  <c:v>43549</c:v>
                </c:pt>
                <c:pt idx="611">
                  <c:v>43556</c:v>
                </c:pt>
                <c:pt idx="612">
                  <c:v>43563</c:v>
                </c:pt>
                <c:pt idx="613">
                  <c:v>43570</c:v>
                </c:pt>
                <c:pt idx="614">
                  <c:v>43579</c:v>
                </c:pt>
                <c:pt idx="615">
                  <c:v>43584</c:v>
                </c:pt>
                <c:pt idx="616">
                  <c:v>43591</c:v>
                </c:pt>
                <c:pt idx="617">
                  <c:v>43598</c:v>
                </c:pt>
                <c:pt idx="618">
                  <c:v>43605</c:v>
                </c:pt>
                <c:pt idx="619">
                  <c:v>43612</c:v>
                </c:pt>
                <c:pt idx="620">
                  <c:v>43620</c:v>
                </c:pt>
                <c:pt idx="621">
                  <c:v>43628</c:v>
                </c:pt>
                <c:pt idx="622">
                  <c:v>43634</c:v>
                </c:pt>
                <c:pt idx="623">
                  <c:v>43642</c:v>
                </c:pt>
                <c:pt idx="624">
                  <c:v>43649</c:v>
                </c:pt>
                <c:pt idx="625">
                  <c:v>43656</c:v>
                </c:pt>
                <c:pt idx="626">
                  <c:v>43663</c:v>
                </c:pt>
                <c:pt idx="627">
                  <c:v>43670</c:v>
                </c:pt>
                <c:pt idx="628">
                  <c:v>43677</c:v>
                </c:pt>
                <c:pt idx="629">
                  <c:v>43684</c:v>
                </c:pt>
                <c:pt idx="630">
                  <c:v>43691</c:v>
                </c:pt>
                <c:pt idx="631">
                  <c:v>43698</c:v>
                </c:pt>
                <c:pt idx="632">
                  <c:v>43705</c:v>
                </c:pt>
                <c:pt idx="633">
                  <c:v>43712</c:v>
                </c:pt>
                <c:pt idx="634">
                  <c:v>43719</c:v>
                </c:pt>
                <c:pt idx="635">
                  <c:v>43726</c:v>
                </c:pt>
                <c:pt idx="636">
                  <c:v>43733</c:v>
                </c:pt>
                <c:pt idx="637">
                  <c:v>43740</c:v>
                </c:pt>
                <c:pt idx="638">
                  <c:v>43747</c:v>
                </c:pt>
                <c:pt idx="639">
                  <c:v>43754</c:v>
                </c:pt>
                <c:pt idx="640">
                  <c:v>43761</c:v>
                </c:pt>
                <c:pt idx="641">
                  <c:v>43768</c:v>
                </c:pt>
                <c:pt idx="642">
                  <c:v>43775</c:v>
                </c:pt>
                <c:pt idx="643">
                  <c:v>43782</c:v>
                </c:pt>
                <c:pt idx="644">
                  <c:v>43789</c:v>
                </c:pt>
                <c:pt idx="645">
                  <c:v>43796</c:v>
                </c:pt>
                <c:pt idx="646">
                  <c:v>43803</c:v>
                </c:pt>
                <c:pt idx="647">
                  <c:v>43810</c:v>
                </c:pt>
                <c:pt idx="648">
                  <c:v>43817</c:v>
                </c:pt>
                <c:pt idx="649">
                  <c:v>43829</c:v>
                </c:pt>
                <c:pt idx="650">
                  <c:v>43833</c:v>
                </c:pt>
                <c:pt idx="651">
                  <c:v>43839</c:v>
                </c:pt>
                <c:pt idx="652">
                  <c:v>43846</c:v>
                </c:pt>
                <c:pt idx="653">
                  <c:v>43853</c:v>
                </c:pt>
                <c:pt idx="654">
                  <c:v>43860</c:v>
                </c:pt>
                <c:pt idx="655">
                  <c:v>43867</c:v>
                </c:pt>
                <c:pt idx="656">
                  <c:v>43874</c:v>
                </c:pt>
                <c:pt idx="657">
                  <c:v>43881</c:v>
                </c:pt>
                <c:pt idx="658">
                  <c:v>43888</c:v>
                </c:pt>
                <c:pt idx="659">
                  <c:v>43895</c:v>
                </c:pt>
                <c:pt idx="660">
                  <c:v>43902</c:v>
                </c:pt>
                <c:pt idx="661">
                  <c:v>43909</c:v>
                </c:pt>
                <c:pt idx="662">
                  <c:v>43916</c:v>
                </c:pt>
                <c:pt idx="663">
                  <c:v>43923</c:v>
                </c:pt>
                <c:pt idx="664">
                  <c:v>43930</c:v>
                </c:pt>
                <c:pt idx="665">
                  <c:v>43937</c:v>
                </c:pt>
                <c:pt idx="666">
                  <c:v>43944</c:v>
                </c:pt>
                <c:pt idx="667">
                  <c:v>43951</c:v>
                </c:pt>
                <c:pt idx="668">
                  <c:v>43958</c:v>
                </c:pt>
                <c:pt idx="669">
                  <c:v>43965</c:v>
                </c:pt>
                <c:pt idx="670">
                  <c:v>43973</c:v>
                </c:pt>
                <c:pt idx="671">
                  <c:v>43979</c:v>
                </c:pt>
                <c:pt idx="672">
                  <c:v>43986</c:v>
                </c:pt>
                <c:pt idx="673">
                  <c:v>43993</c:v>
                </c:pt>
                <c:pt idx="674">
                  <c:v>44000</c:v>
                </c:pt>
                <c:pt idx="675">
                  <c:v>44007</c:v>
                </c:pt>
                <c:pt idx="676">
                  <c:v>44014</c:v>
                </c:pt>
                <c:pt idx="677">
                  <c:v>44021</c:v>
                </c:pt>
                <c:pt idx="678">
                  <c:v>44028</c:v>
                </c:pt>
                <c:pt idx="679">
                  <c:v>44035</c:v>
                </c:pt>
                <c:pt idx="680">
                  <c:v>44042</c:v>
                </c:pt>
                <c:pt idx="681">
                  <c:v>44049</c:v>
                </c:pt>
                <c:pt idx="682">
                  <c:v>44056</c:v>
                </c:pt>
                <c:pt idx="683">
                  <c:v>44063</c:v>
                </c:pt>
                <c:pt idx="684">
                  <c:v>44070</c:v>
                </c:pt>
                <c:pt idx="685">
                  <c:v>44077</c:v>
                </c:pt>
                <c:pt idx="686">
                  <c:v>44084</c:v>
                </c:pt>
                <c:pt idx="687">
                  <c:v>44091</c:v>
                </c:pt>
                <c:pt idx="688">
                  <c:v>44098</c:v>
                </c:pt>
                <c:pt idx="689">
                  <c:v>44105</c:v>
                </c:pt>
                <c:pt idx="690">
                  <c:v>44112</c:v>
                </c:pt>
                <c:pt idx="691">
                  <c:v>44119</c:v>
                </c:pt>
                <c:pt idx="692">
                  <c:v>44126</c:v>
                </c:pt>
                <c:pt idx="693">
                  <c:v>44133</c:v>
                </c:pt>
                <c:pt idx="694">
                  <c:v>44140</c:v>
                </c:pt>
                <c:pt idx="695">
                  <c:v>44147</c:v>
                </c:pt>
                <c:pt idx="696">
                  <c:v>44154</c:v>
                </c:pt>
                <c:pt idx="697">
                  <c:v>44161</c:v>
                </c:pt>
                <c:pt idx="698">
                  <c:v>44168</c:v>
                </c:pt>
                <c:pt idx="699">
                  <c:v>44175</c:v>
                </c:pt>
                <c:pt idx="700">
                  <c:v>44182</c:v>
                </c:pt>
                <c:pt idx="701">
                  <c:v>44193</c:v>
                </c:pt>
                <c:pt idx="702">
                  <c:v>44200</c:v>
                </c:pt>
                <c:pt idx="703">
                  <c:v>44204</c:v>
                </c:pt>
                <c:pt idx="704">
                  <c:v>44210</c:v>
                </c:pt>
                <c:pt idx="705">
                  <c:v>44217</c:v>
                </c:pt>
                <c:pt idx="706">
                  <c:v>44224</c:v>
                </c:pt>
                <c:pt idx="707">
                  <c:v>44231</c:v>
                </c:pt>
                <c:pt idx="708">
                  <c:v>44238</c:v>
                </c:pt>
                <c:pt idx="709">
                  <c:v>44245</c:v>
                </c:pt>
                <c:pt idx="710">
                  <c:v>44252</c:v>
                </c:pt>
                <c:pt idx="711">
                  <c:v>44259</c:v>
                </c:pt>
                <c:pt idx="712">
                  <c:v>44266</c:v>
                </c:pt>
                <c:pt idx="713">
                  <c:v>44273</c:v>
                </c:pt>
                <c:pt idx="714">
                  <c:v>44280</c:v>
                </c:pt>
                <c:pt idx="715">
                  <c:v>44287</c:v>
                </c:pt>
                <c:pt idx="716">
                  <c:v>44294</c:v>
                </c:pt>
                <c:pt idx="717">
                  <c:v>44301</c:v>
                </c:pt>
                <c:pt idx="718">
                  <c:v>44308</c:v>
                </c:pt>
                <c:pt idx="719">
                  <c:v>44315</c:v>
                </c:pt>
                <c:pt idx="720">
                  <c:v>44322</c:v>
                </c:pt>
                <c:pt idx="721">
                  <c:v>44330</c:v>
                </c:pt>
                <c:pt idx="722">
                  <c:v>44336</c:v>
                </c:pt>
                <c:pt idx="723">
                  <c:v>44343</c:v>
                </c:pt>
                <c:pt idx="724">
                  <c:v>44350</c:v>
                </c:pt>
                <c:pt idx="725">
                  <c:v>44357</c:v>
                </c:pt>
                <c:pt idx="726">
                  <c:v>44364</c:v>
                </c:pt>
                <c:pt idx="727">
                  <c:v>44371</c:v>
                </c:pt>
                <c:pt idx="728">
                  <c:v>44378</c:v>
                </c:pt>
                <c:pt idx="729">
                  <c:v>44385</c:v>
                </c:pt>
                <c:pt idx="730">
                  <c:v>44392</c:v>
                </c:pt>
                <c:pt idx="731">
                  <c:v>44399</c:v>
                </c:pt>
                <c:pt idx="732">
                  <c:v>44406</c:v>
                </c:pt>
                <c:pt idx="733">
                  <c:v>44413</c:v>
                </c:pt>
                <c:pt idx="734">
                  <c:v>44420</c:v>
                </c:pt>
                <c:pt idx="735">
                  <c:v>44427</c:v>
                </c:pt>
                <c:pt idx="736">
                  <c:v>44434</c:v>
                </c:pt>
                <c:pt idx="737">
                  <c:v>44441</c:v>
                </c:pt>
                <c:pt idx="738">
                  <c:v>44448</c:v>
                </c:pt>
                <c:pt idx="739">
                  <c:v>44455</c:v>
                </c:pt>
                <c:pt idx="740">
                  <c:v>44462</c:v>
                </c:pt>
                <c:pt idx="741">
                  <c:v>44469</c:v>
                </c:pt>
                <c:pt idx="742">
                  <c:v>44476</c:v>
                </c:pt>
                <c:pt idx="743">
                  <c:v>44483</c:v>
                </c:pt>
                <c:pt idx="744">
                  <c:v>44490</c:v>
                </c:pt>
                <c:pt idx="745">
                  <c:v>44497</c:v>
                </c:pt>
                <c:pt idx="746">
                  <c:v>44504</c:v>
                </c:pt>
                <c:pt idx="747">
                  <c:v>44511</c:v>
                </c:pt>
                <c:pt idx="748">
                  <c:v>44518</c:v>
                </c:pt>
                <c:pt idx="749">
                  <c:v>44525</c:v>
                </c:pt>
                <c:pt idx="750">
                  <c:v>44532</c:v>
                </c:pt>
                <c:pt idx="751">
                  <c:v>44539</c:v>
                </c:pt>
                <c:pt idx="752">
                  <c:v>44546</c:v>
                </c:pt>
                <c:pt idx="753">
                  <c:v>44553</c:v>
                </c:pt>
                <c:pt idx="754">
                  <c:v>44560</c:v>
                </c:pt>
                <c:pt idx="755">
                  <c:v>44568</c:v>
                </c:pt>
                <c:pt idx="756">
                  <c:v>44574</c:v>
                </c:pt>
                <c:pt idx="757">
                  <c:v>44581</c:v>
                </c:pt>
                <c:pt idx="758">
                  <c:v>44588</c:v>
                </c:pt>
                <c:pt idx="759">
                  <c:v>44595</c:v>
                </c:pt>
                <c:pt idx="760">
                  <c:v>44602</c:v>
                </c:pt>
                <c:pt idx="761">
                  <c:v>44609</c:v>
                </c:pt>
                <c:pt idx="762">
                  <c:v>44616</c:v>
                </c:pt>
                <c:pt idx="763">
                  <c:v>44623</c:v>
                </c:pt>
                <c:pt idx="764">
                  <c:v>44630</c:v>
                </c:pt>
                <c:pt idx="765">
                  <c:v>44637</c:v>
                </c:pt>
                <c:pt idx="766">
                  <c:v>44644</c:v>
                </c:pt>
                <c:pt idx="767">
                  <c:v>44651</c:v>
                </c:pt>
                <c:pt idx="768">
                  <c:v>44658</c:v>
                </c:pt>
                <c:pt idx="769">
                  <c:v>44665</c:v>
                </c:pt>
                <c:pt idx="770">
                  <c:v>44672</c:v>
                </c:pt>
                <c:pt idx="771">
                  <c:v>44679</c:v>
                </c:pt>
                <c:pt idx="772">
                  <c:v>44686</c:v>
                </c:pt>
                <c:pt idx="773">
                  <c:v>44693</c:v>
                </c:pt>
                <c:pt idx="774">
                  <c:v>44700</c:v>
                </c:pt>
                <c:pt idx="775">
                  <c:v>44708</c:v>
                </c:pt>
                <c:pt idx="776">
                  <c:v>44714</c:v>
                </c:pt>
                <c:pt idx="777">
                  <c:v>44721</c:v>
                </c:pt>
                <c:pt idx="778">
                  <c:v>44728</c:v>
                </c:pt>
                <c:pt idx="779">
                  <c:v>44735</c:v>
                </c:pt>
                <c:pt idx="780">
                  <c:v>44742</c:v>
                </c:pt>
                <c:pt idx="781">
                  <c:v>44749</c:v>
                </c:pt>
                <c:pt idx="782">
                  <c:v>44756</c:v>
                </c:pt>
                <c:pt idx="783">
                  <c:v>44763</c:v>
                </c:pt>
                <c:pt idx="784">
                  <c:v>44770</c:v>
                </c:pt>
                <c:pt idx="785">
                  <c:v>44777</c:v>
                </c:pt>
                <c:pt idx="786">
                  <c:v>44784</c:v>
                </c:pt>
                <c:pt idx="787">
                  <c:v>44791</c:v>
                </c:pt>
                <c:pt idx="788">
                  <c:v>44798</c:v>
                </c:pt>
                <c:pt idx="789">
                  <c:v>44805</c:v>
                </c:pt>
                <c:pt idx="790">
                  <c:v>44812</c:v>
                </c:pt>
                <c:pt idx="791">
                  <c:v>44819</c:v>
                </c:pt>
                <c:pt idx="792">
                  <c:v>44826</c:v>
                </c:pt>
                <c:pt idx="793">
                  <c:v>44833</c:v>
                </c:pt>
                <c:pt idx="794">
                  <c:v>44840</c:v>
                </c:pt>
                <c:pt idx="795">
                  <c:v>44847</c:v>
                </c:pt>
                <c:pt idx="796">
                  <c:v>44854</c:v>
                </c:pt>
                <c:pt idx="797">
                  <c:v>44861</c:v>
                </c:pt>
                <c:pt idx="798">
                  <c:v>44868</c:v>
                </c:pt>
                <c:pt idx="799">
                  <c:v>44875</c:v>
                </c:pt>
                <c:pt idx="800">
                  <c:v>44882</c:v>
                </c:pt>
                <c:pt idx="801">
                  <c:v>44889</c:v>
                </c:pt>
                <c:pt idx="802">
                  <c:v>44896</c:v>
                </c:pt>
                <c:pt idx="803">
                  <c:v>44903</c:v>
                </c:pt>
                <c:pt idx="804">
                  <c:v>44910</c:v>
                </c:pt>
                <c:pt idx="805">
                  <c:v>44917</c:v>
                </c:pt>
                <c:pt idx="806">
                  <c:v>44924</c:v>
                </c:pt>
                <c:pt idx="807">
                  <c:v>44931</c:v>
                </c:pt>
                <c:pt idx="808">
                  <c:v>44938</c:v>
                </c:pt>
                <c:pt idx="809">
                  <c:v>44945</c:v>
                </c:pt>
                <c:pt idx="810">
                  <c:v>44952</c:v>
                </c:pt>
                <c:pt idx="811">
                  <c:v>44959</c:v>
                </c:pt>
                <c:pt idx="812">
                  <c:v>44966</c:v>
                </c:pt>
                <c:pt idx="813">
                  <c:v>44973</c:v>
                </c:pt>
                <c:pt idx="814">
                  <c:v>44980</c:v>
                </c:pt>
                <c:pt idx="815">
                  <c:v>44987</c:v>
                </c:pt>
                <c:pt idx="816">
                  <c:v>44994</c:v>
                </c:pt>
                <c:pt idx="817">
                  <c:v>45001</c:v>
                </c:pt>
                <c:pt idx="818">
                  <c:v>45008</c:v>
                </c:pt>
                <c:pt idx="819">
                  <c:v>45015</c:v>
                </c:pt>
                <c:pt idx="820">
                  <c:v>45022</c:v>
                </c:pt>
                <c:pt idx="821">
                  <c:v>45029</c:v>
                </c:pt>
                <c:pt idx="822">
                  <c:v>45036</c:v>
                </c:pt>
                <c:pt idx="823">
                  <c:v>45043</c:v>
                </c:pt>
                <c:pt idx="824">
                  <c:v>45050</c:v>
                </c:pt>
                <c:pt idx="825">
                  <c:v>45057</c:v>
                </c:pt>
                <c:pt idx="826">
                  <c:v>45065</c:v>
                </c:pt>
                <c:pt idx="827">
                  <c:v>45071</c:v>
                </c:pt>
                <c:pt idx="828">
                  <c:v>45078</c:v>
                </c:pt>
                <c:pt idx="829">
                  <c:v>45085</c:v>
                </c:pt>
                <c:pt idx="830">
                  <c:v>45092</c:v>
                </c:pt>
                <c:pt idx="831">
                  <c:v>45099</c:v>
                </c:pt>
                <c:pt idx="832">
                  <c:v>45106</c:v>
                </c:pt>
                <c:pt idx="833">
                  <c:v>45113</c:v>
                </c:pt>
                <c:pt idx="834">
                  <c:v>45120</c:v>
                </c:pt>
                <c:pt idx="835">
                  <c:v>45127</c:v>
                </c:pt>
                <c:pt idx="836">
                  <c:v>45134</c:v>
                </c:pt>
                <c:pt idx="837">
                  <c:v>45141</c:v>
                </c:pt>
                <c:pt idx="838">
                  <c:v>45148</c:v>
                </c:pt>
                <c:pt idx="839">
                  <c:v>45155</c:v>
                </c:pt>
                <c:pt idx="840">
                  <c:v>45162</c:v>
                </c:pt>
                <c:pt idx="841">
                  <c:v>45169</c:v>
                </c:pt>
                <c:pt idx="842">
                  <c:v>45176</c:v>
                </c:pt>
                <c:pt idx="843">
                  <c:v>45183</c:v>
                </c:pt>
                <c:pt idx="844">
                  <c:v>45190</c:v>
                </c:pt>
                <c:pt idx="845">
                  <c:v>45197</c:v>
                </c:pt>
                <c:pt idx="846">
                  <c:v>45204</c:v>
                </c:pt>
                <c:pt idx="847">
                  <c:v>45211</c:v>
                </c:pt>
                <c:pt idx="848">
                  <c:v>45218</c:v>
                </c:pt>
                <c:pt idx="849">
                  <c:v>45225</c:v>
                </c:pt>
                <c:pt idx="850">
                  <c:v>45232</c:v>
                </c:pt>
                <c:pt idx="851">
                  <c:v>45239</c:v>
                </c:pt>
                <c:pt idx="852">
                  <c:v>45246</c:v>
                </c:pt>
                <c:pt idx="853">
                  <c:v>45253</c:v>
                </c:pt>
                <c:pt idx="854">
                  <c:v>45260</c:v>
                </c:pt>
                <c:pt idx="855">
                  <c:v>45267</c:v>
                </c:pt>
                <c:pt idx="856">
                  <c:v>45274</c:v>
                </c:pt>
                <c:pt idx="857">
                  <c:v>45281</c:v>
                </c:pt>
                <c:pt idx="858">
                  <c:v>45289</c:v>
                </c:pt>
                <c:pt idx="859">
                  <c:v>45296</c:v>
                </c:pt>
                <c:pt idx="860">
                  <c:v>45303</c:v>
                </c:pt>
                <c:pt idx="861">
                  <c:v>45310</c:v>
                </c:pt>
                <c:pt idx="862">
                  <c:v>45317</c:v>
                </c:pt>
                <c:pt idx="863">
                  <c:v>45324</c:v>
                </c:pt>
                <c:pt idx="864">
                  <c:v>45331</c:v>
                </c:pt>
                <c:pt idx="865">
                  <c:v>45338</c:v>
                </c:pt>
                <c:pt idx="866">
                  <c:v>45345</c:v>
                </c:pt>
                <c:pt idx="867">
                  <c:v>45352</c:v>
                </c:pt>
                <c:pt idx="868">
                  <c:v>45359</c:v>
                </c:pt>
                <c:pt idx="869">
                  <c:v>45366</c:v>
                </c:pt>
                <c:pt idx="870">
                  <c:v>45373</c:v>
                </c:pt>
                <c:pt idx="871">
                  <c:v>45384</c:v>
                </c:pt>
                <c:pt idx="872">
                  <c:v>45387</c:v>
                </c:pt>
                <c:pt idx="873">
                  <c:v>45394</c:v>
                </c:pt>
                <c:pt idx="874">
                  <c:v>45401</c:v>
                </c:pt>
                <c:pt idx="875">
                  <c:v>45408</c:v>
                </c:pt>
                <c:pt idx="876">
                  <c:v>45418</c:v>
                </c:pt>
                <c:pt idx="877">
                  <c:v>45426</c:v>
                </c:pt>
                <c:pt idx="878">
                  <c:v>45434</c:v>
                </c:pt>
                <c:pt idx="879">
                  <c:v>45440</c:v>
                </c:pt>
                <c:pt idx="880">
                  <c:v>45447</c:v>
                </c:pt>
                <c:pt idx="881">
                  <c:v>45454</c:v>
                </c:pt>
                <c:pt idx="882">
                  <c:v>45461</c:v>
                </c:pt>
                <c:pt idx="883">
                  <c:v>45469</c:v>
                </c:pt>
                <c:pt idx="884">
                  <c:v>45476</c:v>
                </c:pt>
                <c:pt idx="885">
                  <c:v>45483</c:v>
                </c:pt>
                <c:pt idx="886">
                  <c:v>45490</c:v>
                </c:pt>
                <c:pt idx="887">
                  <c:v>45497</c:v>
                </c:pt>
                <c:pt idx="888">
                  <c:v>45504</c:v>
                </c:pt>
                <c:pt idx="889">
                  <c:v>45511</c:v>
                </c:pt>
                <c:pt idx="890">
                  <c:v>45518</c:v>
                </c:pt>
                <c:pt idx="891">
                  <c:v>45525</c:v>
                </c:pt>
                <c:pt idx="892">
                  <c:v>45532</c:v>
                </c:pt>
                <c:pt idx="893">
                  <c:v>45539</c:v>
                </c:pt>
                <c:pt idx="894">
                  <c:v>45546</c:v>
                </c:pt>
                <c:pt idx="895">
                  <c:v>45553</c:v>
                </c:pt>
                <c:pt idx="896">
                  <c:v>45560</c:v>
                </c:pt>
                <c:pt idx="897">
                  <c:v>45567</c:v>
                </c:pt>
                <c:pt idx="898">
                  <c:v>45574</c:v>
                </c:pt>
                <c:pt idx="899">
                  <c:v>45581</c:v>
                </c:pt>
                <c:pt idx="900">
                  <c:v>45588</c:v>
                </c:pt>
                <c:pt idx="901">
                  <c:v>45595</c:v>
                </c:pt>
                <c:pt idx="902">
                  <c:v>45602</c:v>
                </c:pt>
                <c:pt idx="903">
                  <c:v>45609</c:v>
                </c:pt>
                <c:pt idx="904">
                  <c:v>45616</c:v>
                </c:pt>
                <c:pt idx="905">
                  <c:v>45623</c:v>
                </c:pt>
                <c:pt idx="906">
                  <c:v>45630</c:v>
                </c:pt>
                <c:pt idx="907">
                  <c:v>45637</c:v>
                </c:pt>
                <c:pt idx="908">
                  <c:v>45644</c:v>
                </c:pt>
                <c:pt idx="909">
                  <c:v>45656</c:v>
                </c:pt>
                <c:pt idx="910">
                  <c:v>45660</c:v>
                </c:pt>
                <c:pt idx="911">
                  <c:v>45666</c:v>
                </c:pt>
                <c:pt idx="912">
                  <c:v>45673</c:v>
                </c:pt>
                <c:pt idx="913">
                  <c:v>45680</c:v>
                </c:pt>
                <c:pt idx="914">
                  <c:v>45687</c:v>
                </c:pt>
                <c:pt idx="915">
                  <c:v>45694</c:v>
                </c:pt>
                <c:pt idx="916">
                  <c:v>45701</c:v>
                </c:pt>
                <c:pt idx="917">
                  <c:v>45708</c:v>
                </c:pt>
                <c:pt idx="918">
                  <c:v>45715</c:v>
                </c:pt>
                <c:pt idx="919">
                  <c:v>45722</c:v>
                </c:pt>
                <c:pt idx="920">
                  <c:v>45729</c:v>
                </c:pt>
                <c:pt idx="921">
                  <c:v>45736</c:v>
                </c:pt>
                <c:pt idx="922">
                  <c:v>45743</c:v>
                </c:pt>
                <c:pt idx="923">
                  <c:v>45750</c:v>
                </c:pt>
                <c:pt idx="924">
                  <c:v>45757</c:v>
                </c:pt>
                <c:pt idx="925">
                  <c:v>45764</c:v>
                </c:pt>
                <c:pt idx="926">
                  <c:v>45771</c:v>
                </c:pt>
                <c:pt idx="927">
                  <c:v>45779</c:v>
                </c:pt>
                <c:pt idx="928">
                  <c:v>45785</c:v>
                </c:pt>
                <c:pt idx="929">
                  <c:v>45792</c:v>
                </c:pt>
                <c:pt idx="930">
                  <c:v>45799</c:v>
                </c:pt>
                <c:pt idx="931">
                  <c:v>45807</c:v>
                </c:pt>
                <c:pt idx="932">
                  <c:v>45813</c:v>
                </c:pt>
                <c:pt idx="933">
                  <c:v>45820</c:v>
                </c:pt>
                <c:pt idx="934">
                  <c:v>45827</c:v>
                </c:pt>
                <c:pt idx="935">
                  <c:v>45834</c:v>
                </c:pt>
                <c:pt idx="936">
                  <c:v>45841</c:v>
                </c:pt>
                <c:pt idx="937">
                  <c:v>45848</c:v>
                </c:pt>
                <c:pt idx="938">
                  <c:v>45855</c:v>
                </c:pt>
                <c:pt idx="939">
                  <c:v>45862</c:v>
                </c:pt>
                <c:pt idx="940">
                  <c:v>45869</c:v>
                </c:pt>
                <c:pt idx="941">
                  <c:v>45876</c:v>
                </c:pt>
                <c:pt idx="942">
                  <c:v>45883</c:v>
                </c:pt>
                <c:pt idx="943">
                  <c:v>45890</c:v>
                </c:pt>
                <c:pt idx="944">
                  <c:v>45897</c:v>
                </c:pt>
                <c:pt idx="945">
                  <c:v>45904</c:v>
                </c:pt>
                <c:pt idx="946">
                  <c:v>45911</c:v>
                </c:pt>
                <c:pt idx="947">
                  <c:v>45918</c:v>
                </c:pt>
                <c:pt idx="948">
                  <c:v>45925</c:v>
                </c:pt>
                <c:pt idx="949">
                  <c:v>45932</c:v>
                </c:pt>
                <c:pt idx="950">
                  <c:v>45939</c:v>
                </c:pt>
                <c:pt idx="951">
                  <c:v>45946</c:v>
                </c:pt>
                <c:pt idx="952">
                  <c:v>45953</c:v>
                </c:pt>
                <c:pt idx="953">
                  <c:v>45960</c:v>
                </c:pt>
                <c:pt idx="954">
                  <c:v>45967</c:v>
                </c:pt>
                <c:pt idx="955">
                  <c:v>45974</c:v>
                </c:pt>
                <c:pt idx="956">
                  <c:v>45981</c:v>
                </c:pt>
                <c:pt idx="957">
                  <c:v>45988</c:v>
                </c:pt>
                <c:pt idx="958">
                  <c:v>45995</c:v>
                </c:pt>
                <c:pt idx="959">
                  <c:v>46002</c:v>
                </c:pt>
                <c:pt idx="960">
                  <c:v>46009</c:v>
                </c:pt>
                <c:pt idx="961">
                  <c:v>46021</c:v>
                </c:pt>
                <c:pt idx="962">
                  <c:v>46027</c:v>
                </c:pt>
                <c:pt idx="963">
                  <c:v>46031</c:v>
                </c:pt>
                <c:pt idx="964">
                  <c:v>46038</c:v>
                </c:pt>
                <c:pt idx="965">
                  <c:v>46045</c:v>
                </c:pt>
                <c:pt idx="966">
                  <c:v>46052</c:v>
                </c:pt>
                <c:pt idx="967">
                  <c:v>46059</c:v>
                </c:pt>
                <c:pt idx="968">
                  <c:v>46066</c:v>
                </c:pt>
                <c:pt idx="969">
                  <c:v>46073</c:v>
                </c:pt>
                <c:pt idx="970">
                  <c:v>46080</c:v>
                </c:pt>
                <c:pt idx="971">
                  <c:v>46087</c:v>
                </c:pt>
                <c:pt idx="972">
                  <c:v>46094</c:v>
                </c:pt>
                <c:pt idx="973">
                  <c:v>46101</c:v>
                </c:pt>
                <c:pt idx="974">
                  <c:v>46108</c:v>
                </c:pt>
                <c:pt idx="975">
                  <c:v>46119</c:v>
                </c:pt>
                <c:pt idx="976">
                  <c:v>46122</c:v>
                </c:pt>
                <c:pt idx="977">
                  <c:v>46129</c:v>
                </c:pt>
                <c:pt idx="978">
                  <c:v>46136</c:v>
                </c:pt>
                <c:pt idx="979">
                  <c:v>46146</c:v>
                </c:pt>
                <c:pt idx="980">
                  <c:v>46150</c:v>
                </c:pt>
                <c:pt idx="981">
                  <c:v>46160</c:v>
                </c:pt>
                <c:pt idx="982">
                  <c:v>46164</c:v>
                </c:pt>
                <c:pt idx="983">
                  <c:v>46171</c:v>
                </c:pt>
                <c:pt idx="984">
                  <c:v>46178</c:v>
                </c:pt>
                <c:pt idx="985">
                  <c:v>46185</c:v>
                </c:pt>
                <c:pt idx="986">
                  <c:v>46195</c:v>
                </c:pt>
                <c:pt idx="987">
                  <c:v>46199</c:v>
                </c:pt>
                <c:pt idx="988">
                  <c:v>46206</c:v>
                </c:pt>
                <c:pt idx="989">
                  <c:v>46213</c:v>
                </c:pt>
                <c:pt idx="990">
                  <c:v>46220</c:v>
                </c:pt>
                <c:pt idx="991">
                  <c:v>46227</c:v>
                </c:pt>
                <c:pt idx="992">
                  <c:v>46234</c:v>
                </c:pt>
                <c:pt idx="993">
                  <c:v>46241</c:v>
                </c:pt>
                <c:pt idx="994">
                  <c:v>46248</c:v>
                </c:pt>
                <c:pt idx="995">
                  <c:v>46255</c:v>
                </c:pt>
                <c:pt idx="996">
                  <c:v>46262</c:v>
                </c:pt>
                <c:pt idx="997">
                  <c:v>46269</c:v>
                </c:pt>
                <c:pt idx="998">
                  <c:v>46276</c:v>
                </c:pt>
                <c:pt idx="999">
                  <c:v>46283</c:v>
                </c:pt>
                <c:pt idx="1000">
                  <c:v>46290</c:v>
                </c:pt>
                <c:pt idx="1001">
                  <c:v>46297</c:v>
                </c:pt>
                <c:pt idx="1002">
                  <c:v>46304</c:v>
                </c:pt>
                <c:pt idx="1003">
                  <c:v>46311</c:v>
                </c:pt>
                <c:pt idx="1004">
                  <c:v>46318</c:v>
                </c:pt>
                <c:pt idx="1005">
                  <c:v>46325</c:v>
                </c:pt>
                <c:pt idx="1006">
                  <c:v>46332</c:v>
                </c:pt>
                <c:pt idx="1007">
                  <c:v>46339</c:v>
                </c:pt>
                <c:pt idx="1008">
                  <c:v>46346</c:v>
                </c:pt>
                <c:pt idx="1009">
                  <c:v>46353</c:v>
                </c:pt>
                <c:pt idx="1010">
                  <c:v>46360</c:v>
                </c:pt>
                <c:pt idx="1011">
                  <c:v>46367</c:v>
                </c:pt>
                <c:pt idx="1012">
                  <c:v>46374</c:v>
                </c:pt>
                <c:pt idx="1013">
                  <c:v>46385</c:v>
                </c:pt>
                <c:pt idx="1014">
                  <c:v>46392</c:v>
                </c:pt>
                <c:pt idx="1015">
                  <c:v>46398</c:v>
                </c:pt>
                <c:pt idx="1016">
                  <c:v>46405</c:v>
                </c:pt>
                <c:pt idx="1017">
                  <c:v>46412</c:v>
                </c:pt>
                <c:pt idx="1018">
                  <c:v>46419</c:v>
                </c:pt>
                <c:pt idx="1019">
                  <c:v>46426</c:v>
                </c:pt>
                <c:pt idx="1020">
                  <c:v>46433</c:v>
                </c:pt>
                <c:pt idx="1021">
                  <c:v>46440</c:v>
                </c:pt>
                <c:pt idx="1022">
                  <c:v>46447</c:v>
                </c:pt>
                <c:pt idx="1023">
                  <c:v>46454</c:v>
                </c:pt>
                <c:pt idx="1024">
                  <c:v>46461</c:v>
                </c:pt>
                <c:pt idx="1025">
                  <c:v>46468</c:v>
                </c:pt>
                <c:pt idx="1026">
                  <c:v>46477</c:v>
                </c:pt>
                <c:pt idx="1027">
                  <c:v>46482</c:v>
                </c:pt>
                <c:pt idx="1028">
                  <c:v>46489</c:v>
                </c:pt>
                <c:pt idx="1029">
                  <c:v>46496</c:v>
                </c:pt>
                <c:pt idx="1030">
                  <c:v>46503</c:v>
                </c:pt>
                <c:pt idx="1031">
                  <c:v>46510</c:v>
                </c:pt>
                <c:pt idx="1032">
                  <c:v>46518</c:v>
                </c:pt>
                <c:pt idx="1033">
                  <c:v>46526</c:v>
                </c:pt>
                <c:pt idx="1034">
                  <c:v>46532</c:v>
                </c:pt>
                <c:pt idx="1035">
                  <c:v>46539</c:v>
                </c:pt>
                <c:pt idx="1036">
                  <c:v>46546</c:v>
                </c:pt>
                <c:pt idx="1037">
                  <c:v>46553</c:v>
                </c:pt>
                <c:pt idx="1038">
                  <c:v>46560</c:v>
                </c:pt>
                <c:pt idx="1039">
                  <c:v>46568</c:v>
                </c:pt>
                <c:pt idx="1040">
                  <c:v>46575</c:v>
                </c:pt>
                <c:pt idx="1041">
                  <c:v>46582</c:v>
                </c:pt>
                <c:pt idx="1042">
                  <c:v>46589</c:v>
                </c:pt>
                <c:pt idx="1043">
                  <c:v>46596</c:v>
                </c:pt>
                <c:pt idx="1044">
                  <c:v>46603</c:v>
                </c:pt>
                <c:pt idx="1045">
                  <c:v>46610</c:v>
                </c:pt>
                <c:pt idx="1046">
                  <c:v>46617</c:v>
                </c:pt>
                <c:pt idx="1047">
                  <c:v>46624</c:v>
                </c:pt>
                <c:pt idx="1048">
                  <c:v>46631</c:v>
                </c:pt>
                <c:pt idx="1049">
                  <c:v>46638</c:v>
                </c:pt>
                <c:pt idx="1050">
                  <c:v>46645</c:v>
                </c:pt>
                <c:pt idx="1051">
                  <c:v>46652</c:v>
                </c:pt>
                <c:pt idx="1052">
                  <c:v>46659</c:v>
                </c:pt>
                <c:pt idx="1053">
                  <c:v>46666</c:v>
                </c:pt>
                <c:pt idx="1054">
                  <c:v>46673</c:v>
                </c:pt>
                <c:pt idx="1055">
                  <c:v>46680</c:v>
                </c:pt>
                <c:pt idx="1056">
                  <c:v>46687</c:v>
                </c:pt>
                <c:pt idx="1057">
                  <c:v>46694</c:v>
                </c:pt>
                <c:pt idx="1058">
                  <c:v>46701</c:v>
                </c:pt>
                <c:pt idx="1059">
                  <c:v>46708</c:v>
                </c:pt>
                <c:pt idx="1060">
                  <c:v>46715</c:v>
                </c:pt>
                <c:pt idx="1061">
                  <c:v>46722</c:v>
                </c:pt>
                <c:pt idx="1062">
                  <c:v>46729</c:v>
                </c:pt>
                <c:pt idx="1063">
                  <c:v>46736</c:v>
                </c:pt>
                <c:pt idx="1064">
                  <c:v>46743</c:v>
                </c:pt>
                <c:pt idx="1065">
                  <c:v>46750</c:v>
                </c:pt>
                <c:pt idx="1066">
                  <c:v>46757</c:v>
                </c:pt>
                <c:pt idx="1067">
                  <c:v>46764</c:v>
                </c:pt>
                <c:pt idx="1068">
                  <c:v>46771</c:v>
                </c:pt>
                <c:pt idx="1069">
                  <c:v>46778</c:v>
                </c:pt>
                <c:pt idx="1070">
                  <c:v>46785</c:v>
                </c:pt>
                <c:pt idx="1071">
                  <c:v>46792</c:v>
                </c:pt>
                <c:pt idx="1072">
                  <c:v>46799</c:v>
                </c:pt>
                <c:pt idx="1073">
                  <c:v>46806</c:v>
                </c:pt>
                <c:pt idx="1074">
                  <c:v>46813</c:v>
                </c:pt>
                <c:pt idx="1075">
                  <c:v>46820</c:v>
                </c:pt>
                <c:pt idx="1076">
                  <c:v>46827</c:v>
                </c:pt>
                <c:pt idx="1077">
                  <c:v>46834</c:v>
                </c:pt>
                <c:pt idx="1078">
                  <c:v>46841</c:v>
                </c:pt>
                <c:pt idx="1079">
                  <c:v>46848</c:v>
                </c:pt>
                <c:pt idx="1080">
                  <c:v>46855</c:v>
                </c:pt>
                <c:pt idx="1081">
                  <c:v>46863</c:v>
                </c:pt>
                <c:pt idx="1082">
                  <c:v>46870</c:v>
                </c:pt>
                <c:pt idx="1083">
                  <c:v>46877</c:v>
                </c:pt>
                <c:pt idx="1084">
                  <c:v>46884</c:v>
                </c:pt>
                <c:pt idx="1085">
                  <c:v>46891</c:v>
                </c:pt>
                <c:pt idx="1086">
                  <c:v>46899</c:v>
                </c:pt>
                <c:pt idx="1087">
                  <c:v>46905</c:v>
                </c:pt>
                <c:pt idx="1088">
                  <c:v>46912</c:v>
                </c:pt>
                <c:pt idx="1089">
                  <c:v>46919</c:v>
                </c:pt>
                <c:pt idx="1090">
                  <c:v>46926</c:v>
                </c:pt>
                <c:pt idx="1091">
                  <c:v>46933</c:v>
                </c:pt>
                <c:pt idx="1092">
                  <c:v>46940</c:v>
                </c:pt>
                <c:pt idx="1093">
                  <c:v>46947</c:v>
                </c:pt>
                <c:pt idx="1094">
                  <c:v>46954</c:v>
                </c:pt>
                <c:pt idx="1095">
                  <c:v>46961</c:v>
                </c:pt>
                <c:pt idx="1096">
                  <c:v>46968</c:v>
                </c:pt>
                <c:pt idx="1097">
                  <c:v>46975</c:v>
                </c:pt>
                <c:pt idx="1098">
                  <c:v>46982</c:v>
                </c:pt>
                <c:pt idx="1099">
                  <c:v>46989</c:v>
                </c:pt>
                <c:pt idx="1100">
                  <c:v>46996</c:v>
                </c:pt>
                <c:pt idx="1101">
                  <c:v>47003</c:v>
                </c:pt>
                <c:pt idx="1102">
                  <c:v>47010</c:v>
                </c:pt>
                <c:pt idx="1103">
                  <c:v>47017</c:v>
                </c:pt>
                <c:pt idx="1104">
                  <c:v>47024</c:v>
                </c:pt>
                <c:pt idx="1105">
                  <c:v>47031</c:v>
                </c:pt>
                <c:pt idx="1106">
                  <c:v>47038</c:v>
                </c:pt>
                <c:pt idx="1107">
                  <c:v>47045</c:v>
                </c:pt>
                <c:pt idx="1108">
                  <c:v>47052</c:v>
                </c:pt>
                <c:pt idx="1109">
                  <c:v>47059</c:v>
                </c:pt>
                <c:pt idx="1110">
                  <c:v>47066</c:v>
                </c:pt>
                <c:pt idx="1111">
                  <c:v>47073</c:v>
                </c:pt>
                <c:pt idx="1112">
                  <c:v>47080</c:v>
                </c:pt>
                <c:pt idx="1113">
                  <c:v>47087</c:v>
                </c:pt>
                <c:pt idx="1114">
                  <c:v>47094</c:v>
                </c:pt>
                <c:pt idx="1115">
                  <c:v>47101</c:v>
                </c:pt>
                <c:pt idx="1116">
                  <c:v>47108</c:v>
                </c:pt>
                <c:pt idx="1117">
                  <c:v>47116</c:v>
                </c:pt>
                <c:pt idx="1118">
                  <c:v>47123</c:v>
                </c:pt>
                <c:pt idx="1119">
                  <c:v>47130</c:v>
                </c:pt>
                <c:pt idx="1120">
                  <c:v>47137</c:v>
                </c:pt>
                <c:pt idx="1121">
                  <c:v>47144</c:v>
                </c:pt>
                <c:pt idx="1122">
                  <c:v>47151</c:v>
                </c:pt>
                <c:pt idx="1123">
                  <c:v>47158</c:v>
                </c:pt>
                <c:pt idx="1124">
                  <c:v>47165</c:v>
                </c:pt>
                <c:pt idx="1125">
                  <c:v>47172</c:v>
                </c:pt>
                <c:pt idx="1126">
                  <c:v>47179</c:v>
                </c:pt>
                <c:pt idx="1127">
                  <c:v>47186</c:v>
                </c:pt>
                <c:pt idx="1128">
                  <c:v>47193</c:v>
                </c:pt>
                <c:pt idx="1129">
                  <c:v>47200</c:v>
                </c:pt>
                <c:pt idx="1130">
                  <c:v>47211</c:v>
                </c:pt>
                <c:pt idx="1131">
                  <c:v>47214</c:v>
                </c:pt>
                <c:pt idx="1132">
                  <c:v>47221</c:v>
                </c:pt>
                <c:pt idx="1133">
                  <c:v>47228</c:v>
                </c:pt>
                <c:pt idx="1134">
                  <c:v>47235</c:v>
                </c:pt>
                <c:pt idx="1135">
                  <c:v>47242</c:v>
                </c:pt>
                <c:pt idx="1136">
                  <c:v>47252</c:v>
                </c:pt>
                <c:pt idx="1137">
                  <c:v>47256</c:v>
                </c:pt>
                <c:pt idx="1138">
                  <c:v>47263</c:v>
                </c:pt>
                <c:pt idx="1139">
                  <c:v>47270</c:v>
                </c:pt>
                <c:pt idx="1140">
                  <c:v>47277</c:v>
                </c:pt>
                <c:pt idx="1141">
                  <c:v>47284</c:v>
                </c:pt>
                <c:pt idx="1142">
                  <c:v>47294</c:v>
                </c:pt>
                <c:pt idx="1143">
                  <c:v>47298</c:v>
                </c:pt>
                <c:pt idx="1144">
                  <c:v>47305</c:v>
                </c:pt>
                <c:pt idx="1145">
                  <c:v>47312</c:v>
                </c:pt>
                <c:pt idx="1146">
                  <c:v>47319</c:v>
                </c:pt>
                <c:pt idx="1147">
                  <c:v>47326</c:v>
                </c:pt>
                <c:pt idx="1148">
                  <c:v>47333</c:v>
                </c:pt>
                <c:pt idx="1149">
                  <c:v>47340</c:v>
                </c:pt>
                <c:pt idx="1150">
                  <c:v>47347</c:v>
                </c:pt>
                <c:pt idx="1151">
                  <c:v>47354</c:v>
                </c:pt>
                <c:pt idx="1152">
                  <c:v>47361</c:v>
                </c:pt>
                <c:pt idx="1153">
                  <c:v>47368</c:v>
                </c:pt>
                <c:pt idx="1154">
                  <c:v>47375</c:v>
                </c:pt>
                <c:pt idx="1155">
                  <c:v>47382</c:v>
                </c:pt>
                <c:pt idx="1156">
                  <c:v>47389</c:v>
                </c:pt>
                <c:pt idx="1157">
                  <c:v>47396</c:v>
                </c:pt>
                <c:pt idx="1158">
                  <c:v>47403</c:v>
                </c:pt>
                <c:pt idx="1159">
                  <c:v>47410</c:v>
                </c:pt>
                <c:pt idx="1160">
                  <c:v>47417</c:v>
                </c:pt>
                <c:pt idx="1161">
                  <c:v>47424</c:v>
                </c:pt>
                <c:pt idx="1162">
                  <c:v>47431</c:v>
                </c:pt>
                <c:pt idx="1163">
                  <c:v>47438</c:v>
                </c:pt>
                <c:pt idx="1164">
                  <c:v>47445</c:v>
                </c:pt>
                <c:pt idx="1165">
                  <c:v>47452</c:v>
                </c:pt>
                <c:pt idx="1166">
                  <c:v>47459</c:v>
                </c:pt>
                <c:pt idx="1167">
                  <c:v>47466</c:v>
                </c:pt>
                <c:pt idx="1168">
                  <c:v>47473</c:v>
                </c:pt>
                <c:pt idx="1169">
                  <c:v>47485</c:v>
                </c:pt>
                <c:pt idx="1170">
                  <c:v>47490</c:v>
                </c:pt>
                <c:pt idx="1171">
                  <c:v>47497</c:v>
                </c:pt>
                <c:pt idx="1172">
                  <c:v>47504</c:v>
                </c:pt>
                <c:pt idx="1173">
                  <c:v>47511</c:v>
                </c:pt>
                <c:pt idx="1174">
                  <c:v>47518</c:v>
                </c:pt>
                <c:pt idx="1175">
                  <c:v>47525</c:v>
                </c:pt>
                <c:pt idx="1176">
                  <c:v>47532</c:v>
                </c:pt>
                <c:pt idx="1177">
                  <c:v>47539</c:v>
                </c:pt>
                <c:pt idx="1178">
                  <c:v>47546</c:v>
                </c:pt>
                <c:pt idx="1179">
                  <c:v>47553</c:v>
                </c:pt>
                <c:pt idx="1180">
                  <c:v>47560</c:v>
                </c:pt>
                <c:pt idx="1181">
                  <c:v>47567</c:v>
                </c:pt>
                <c:pt idx="1182">
                  <c:v>47574</c:v>
                </c:pt>
                <c:pt idx="1183">
                  <c:v>47581</c:v>
                </c:pt>
                <c:pt idx="1184">
                  <c:v>47588</c:v>
                </c:pt>
                <c:pt idx="1185">
                  <c:v>47597</c:v>
                </c:pt>
                <c:pt idx="1186">
                  <c:v>47602</c:v>
                </c:pt>
                <c:pt idx="1187">
                  <c:v>47609</c:v>
                </c:pt>
                <c:pt idx="1188">
                  <c:v>47616</c:v>
                </c:pt>
                <c:pt idx="1189">
                  <c:v>47623</c:v>
                </c:pt>
                <c:pt idx="1190">
                  <c:v>47630</c:v>
                </c:pt>
                <c:pt idx="1191">
                  <c:v>47638</c:v>
                </c:pt>
                <c:pt idx="1192">
                  <c:v>47646</c:v>
                </c:pt>
                <c:pt idx="1193">
                  <c:v>47652</c:v>
                </c:pt>
                <c:pt idx="1194">
                  <c:v>47660</c:v>
                </c:pt>
                <c:pt idx="1195">
                  <c:v>47667</c:v>
                </c:pt>
                <c:pt idx="1196">
                  <c:v>47674</c:v>
                </c:pt>
                <c:pt idx="1197">
                  <c:v>47681</c:v>
                </c:pt>
                <c:pt idx="1198">
                  <c:v>47688</c:v>
                </c:pt>
                <c:pt idx="1199">
                  <c:v>47695</c:v>
                </c:pt>
                <c:pt idx="1200">
                  <c:v>47702</c:v>
                </c:pt>
                <c:pt idx="1201">
                  <c:v>47709</c:v>
                </c:pt>
                <c:pt idx="1202">
                  <c:v>47716</c:v>
                </c:pt>
                <c:pt idx="1203">
                  <c:v>47723</c:v>
                </c:pt>
                <c:pt idx="1204">
                  <c:v>47730</c:v>
                </c:pt>
                <c:pt idx="1205">
                  <c:v>47737</c:v>
                </c:pt>
                <c:pt idx="1206">
                  <c:v>47744</c:v>
                </c:pt>
                <c:pt idx="1207">
                  <c:v>47751</c:v>
                </c:pt>
                <c:pt idx="1208">
                  <c:v>47758</c:v>
                </c:pt>
                <c:pt idx="1209">
                  <c:v>47765</c:v>
                </c:pt>
                <c:pt idx="1210">
                  <c:v>47772</c:v>
                </c:pt>
                <c:pt idx="1211">
                  <c:v>47779</c:v>
                </c:pt>
                <c:pt idx="1212">
                  <c:v>47786</c:v>
                </c:pt>
                <c:pt idx="1213">
                  <c:v>47793</c:v>
                </c:pt>
                <c:pt idx="1214">
                  <c:v>47800</c:v>
                </c:pt>
                <c:pt idx="1215">
                  <c:v>47807</c:v>
                </c:pt>
                <c:pt idx="1216">
                  <c:v>47814</c:v>
                </c:pt>
                <c:pt idx="1217">
                  <c:v>47821</c:v>
                </c:pt>
                <c:pt idx="1218">
                  <c:v>47828</c:v>
                </c:pt>
                <c:pt idx="1219">
                  <c:v>47835</c:v>
                </c:pt>
                <c:pt idx="1220">
                  <c:v>47847</c:v>
                </c:pt>
                <c:pt idx="1221">
                  <c:v>47851</c:v>
                </c:pt>
                <c:pt idx="1222">
                  <c:v>47857</c:v>
                </c:pt>
                <c:pt idx="1223">
                  <c:v>47864</c:v>
                </c:pt>
                <c:pt idx="1224">
                  <c:v>47871</c:v>
                </c:pt>
                <c:pt idx="1225">
                  <c:v>47878</c:v>
                </c:pt>
                <c:pt idx="1226">
                  <c:v>47885</c:v>
                </c:pt>
                <c:pt idx="1227">
                  <c:v>47892</c:v>
                </c:pt>
                <c:pt idx="1228">
                  <c:v>47899</c:v>
                </c:pt>
                <c:pt idx="1229">
                  <c:v>47906</c:v>
                </c:pt>
                <c:pt idx="1230">
                  <c:v>47913</c:v>
                </c:pt>
                <c:pt idx="1231">
                  <c:v>47920</c:v>
                </c:pt>
                <c:pt idx="1232">
                  <c:v>47927</c:v>
                </c:pt>
                <c:pt idx="1233">
                  <c:v>47934</c:v>
                </c:pt>
                <c:pt idx="1234">
                  <c:v>47941</c:v>
                </c:pt>
                <c:pt idx="1235">
                  <c:v>47948</c:v>
                </c:pt>
                <c:pt idx="1236">
                  <c:v>47955</c:v>
                </c:pt>
                <c:pt idx="1237">
                  <c:v>47962</c:v>
                </c:pt>
                <c:pt idx="1238">
                  <c:v>47970</c:v>
                </c:pt>
                <c:pt idx="1239">
                  <c:v>47976</c:v>
                </c:pt>
                <c:pt idx="1240">
                  <c:v>47983</c:v>
                </c:pt>
                <c:pt idx="1241">
                  <c:v>47991</c:v>
                </c:pt>
                <c:pt idx="1242">
                  <c:v>47997</c:v>
                </c:pt>
                <c:pt idx="1243">
                  <c:v>48004</c:v>
                </c:pt>
                <c:pt idx="1244">
                  <c:v>48011</c:v>
                </c:pt>
                <c:pt idx="1245">
                  <c:v>48018</c:v>
                </c:pt>
                <c:pt idx="1246">
                  <c:v>48025</c:v>
                </c:pt>
                <c:pt idx="1247">
                  <c:v>48032</c:v>
                </c:pt>
                <c:pt idx="1248">
                  <c:v>48039</c:v>
                </c:pt>
                <c:pt idx="1249">
                  <c:v>48046</c:v>
                </c:pt>
                <c:pt idx="1250">
                  <c:v>48053</c:v>
                </c:pt>
                <c:pt idx="1251">
                  <c:v>48060</c:v>
                </c:pt>
                <c:pt idx="1252">
                  <c:v>48067</c:v>
                </c:pt>
                <c:pt idx="1253">
                  <c:v>48074</c:v>
                </c:pt>
                <c:pt idx="1254">
                  <c:v>48081</c:v>
                </c:pt>
                <c:pt idx="1255">
                  <c:v>48088</c:v>
                </c:pt>
                <c:pt idx="1256">
                  <c:v>48095</c:v>
                </c:pt>
                <c:pt idx="1257">
                  <c:v>48102</c:v>
                </c:pt>
                <c:pt idx="1258">
                  <c:v>48109</c:v>
                </c:pt>
                <c:pt idx="1259">
                  <c:v>48116</c:v>
                </c:pt>
                <c:pt idx="1260">
                  <c:v>48123</c:v>
                </c:pt>
                <c:pt idx="1261">
                  <c:v>48130</c:v>
                </c:pt>
                <c:pt idx="1262">
                  <c:v>48137</c:v>
                </c:pt>
                <c:pt idx="1263">
                  <c:v>48144</c:v>
                </c:pt>
                <c:pt idx="1264">
                  <c:v>48151</c:v>
                </c:pt>
                <c:pt idx="1265">
                  <c:v>48158</c:v>
                </c:pt>
                <c:pt idx="1266">
                  <c:v>48165</c:v>
                </c:pt>
                <c:pt idx="1267">
                  <c:v>48172</c:v>
                </c:pt>
                <c:pt idx="1268">
                  <c:v>48179</c:v>
                </c:pt>
                <c:pt idx="1269">
                  <c:v>48186</c:v>
                </c:pt>
                <c:pt idx="1270">
                  <c:v>48193</c:v>
                </c:pt>
                <c:pt idx="1271">
                  <c:v>48200</c:v>
                </c:pt>
                <c:pt idx="1272">
                  <c:v>48212</c:v>
                </c:pt>
                <c:pt idx="1273">
                  <c:v>48218</c:v>
                </c:pt>
                <c:pt idx="1274">
                  <c:v>48222</c:v>
                </c:pt>
                <c:pt idx="1275">
                  <c:v>48229</c:v>
                </c:pt>
                <c:pt idx="1276">
                  <c:v>48236</c:v>
                </c:pt>
                <c:pt idx="1277">
                  <c:v>48243</c:v>
                </c:pt>
                <c:pt idx="1278">
                  <c:v>48250</c:v>
                </c:pt>
                <c:pt idx="1279">
                  <c:v>48257</c:v>
                </c:pt>
                <c:pt idx="1280">
                  <c:v>48264</c:v>
                </c:pt>
                <c:pt idx="1281">
                  <c:v>48271</c:v>
                </c:pt>
                <c:pt idx="1282">
                  <c:v>48278</c:v>
                </c:pt>
                <c:pt idx="1283">
                  <c:v>48285</c:v>
                </c:pt>
                <c:pt idx="1284">
                  <c:v>48292</c:v>
                </c:pt>
                <c:pt idx="1285">
                  <c:v>48303</c:v>
                </c:pt>
                <c:pt idx="1286">
                  <c:v>48306</c:v>
                </c:pt>
                <c:pt idx="1287">
                  <c:v>48313</c:v>
                </c:pt>
                <c:pt idx="1288">
                  <c:v>48320</c:v>
                </c:pt>
                <c:pt idx="1289">
                  <c:v>48327</c:v>
                </c:pt>
                <c:pt idx="1290">
                  <c:v>48334</c:v>
                </c:pt>
                <c:pt idx="1291">
                  <c:v>48344</c:v>
                </c:pt>
                <c:pt idx="1292">
                  <c:v>48348</c:v>
                </c:pt>
                <c:pt idx="1293">
                  <c:v>48355</c:v>
                </c:pt>
                <c:pt idx="1294">
                  <c:v>48362</c:v>
                </c:pt>
                <c:pt idx="1295">
                  <c:v>48369</c:v>
                </c:pt>
                <c:pt idx="1296">
                  <c:v>48376</c:v>
                </c:pt>
                <c:pt idx="1297">
                  <c:v>48383</c:v>
                </c:pt>
                <c:pt idx="1298">
                  <c:v>48393</c:v>
                </c:pt>
                <c:pt idx="1299">
                  <c:v>48397</c:v>
                </c:pt>
                <c:pt idx="1300">
                  <c:v>48404</c:v>
                </c:pt>
                <c:pt idx="1301">
                  <c:v>48411</c:v>
                </c:pt>
                <c:pt idx="1302">
                  <c:v>48418</c:v>
                </c:pt>
                <c:pt idx="1303">
                  <c:v>48425</c:v>
                </c:pt>
                <c:pt idx="1304">
                  <c:v>48432</c:v>
                </c:pt>
                <c:pt idx="1305">
                  <c:v>48439</c:v>
                </c:pt>
                <c:pt idx="1306">
                  <c:v>48446</c:v>
                </c:pt>
                <c:pt idx="1307">
                  <c:v>48453</c:v>
                </c:pt>
                <c:pt idx="1308">
                  <c:v>48460</c:v>
                </c:pt>
                <c:pt idx="1309">
                  <c:v>48467</c:v>
                </c:pt>
                <c:pt idx="1310">
                  <c:v>48474</c:v>
                </c:pt>
                <c:pt idx="1311">
                  <c:v>48481</c:v>
                </c:pt>
                <c:pt idx="1312">
                  <c:v>48488</c:v>
                </c:pt>
                <c:pt idx="1313">
                  <c:v>48495</c:v>
                </c:pt>
                <c:pt idx="1314">
                  <c:v>48502</c:v>
                </c:pt>
                <c:pt idx="1315">
                  <c:v>48509</c:v>
                </c:pt>
                <c:pt idx="1316">
                  <c:v>48516</c:v>
                </c:pt>
                <c:pt idx="1317">
                  <c:v>48523</c:v>
                </c:pt>
                <c:pt idx="1318">
                  <c:v>48530</c:v>
                </c:pt>
                <c:pt idx="1319">
                  <c:v>48537</c:v>
                </c:pt>
                <c:pt idx="1320">
                  <c:v>48544</c:v>
                </c:pt>
                <c:pt idx="1321">
                  <c:v>48551</c:v>
                </c:pt>
                <c:pt idx="1322">
                  <c:v>48558</c:v>
                </c:pt>
                <c:pt idx="1323">
                  <c:v>48565</c:v>
                </c:pt>
                <c:pt idx="1324">
                  <c:v>48575</c:v>
                </c:pt>
                <c:pt idx="1325">
                  <c:v>48582</c:v>
                </c:pt>
                <c:pt idx="1326">
                  <c:v>48589</c:v>
                </c:pt>
                <c:pt idx="1327">
                  <c:v>48593</c:v>
                </c:pt>
                <c:pt idx="1328">
                  <c:v>48600</c:v>
                </c:pt>
                <c:pt idx="1329">
                  <c:v>48607</c:v>
                </c:pt>
                <c:pt idx="1330">
                  <c:v>48614</c:v>
                </c:pt>
                <c:pt idx="1331">
                  <c:v>48621</c:v>
                </c:pt>
                <c:pt idx="1332">
                  <c:v>48628</c:v>
                </c:pt>
                <c:pt idx="1333">
                  <c:v>48635</c:v>
                </c:pt>
                <c:pt idx="1334">
                  <c:v>48642</c:v>
                </c:pt>
                <c:pt idx="1335">
                  <c:v>48649</c:v>
                </c:pt>
                <c:pt idx="1336">
                  <c:v>48656</c:v>
                </c:pt>
                <c:pt idx="1337">
                  <c:v>48663</c:v>
                </c:pt>
                <c:pt idx="1338">
                  <c:v>48670</c:v>
                </c:pt>
                <c:pt idx="1339">
                  <c:v>48677</c:v>
                </c:pt>
                <c:pt idx="1340">
                  <c:v>48688</c:v>
                </c:pt>
                <c:pt idx="1341">
                  <c:v>48691</c:v>
                </c:pt>
                <c:pt idx="1342">
                  <c:v>48698</c:v>
                </c:pt>
                <c:pt idx="1343">
                  <c:v>48705</c:v>
                </c:pt>
                <c:pt idx="1344">
                  <c:v>48712</c:v>
                </c:pt>
                <c:pt idx="1345">
                  <c:v>48719</c:v>
                </c:pt>
                <c:pt idx="1346">
                  <c:v>48729</c:v>
                </c:pt>
                <c:pt idx="1347">
                  <c:v>48733</c:v>
                </c:pt>
                <c:pt idx="1348">
                  <c:v>48740</c:v>
                </c:pt>
                <c:pt idx="1349">
                  <c:v>48747</c:v>
                </c:pt>
                <c:pt idx="1350">
                  <c:v>48757</c:v>
                </c:pt>
                <c:pt idx="1351">
                  <c:v>48761</c:v>
                </c:pt>
                <c:pt idx="1352">
                  <c:v>48768</c:v>
                </c:pt>
                <c:pt idx="1353">
                  <c:v>48775</c:v>
                </c:pt>
                <c:pt idx="1354">
                  <c:v>48782</c:v>
                </c:pt>
                <c:pt idx="1355">
                  <c:v>48789</c:v>
                </c:pt>
                <c:pt idx="1356">
                  <c:v>48796</c:v>
                </c:pt>
                <c:pt idx="1357">
                  <c:v>48803</c:v>
                </c:pt>
                <c:pt idx="1358">
                  <c:v>48810</c:v>
                </c:pt>
                <c:pt idx="1359">
                  <c:v>48817</c:v>
                </c:pt>
                <c:pt idx="1360">
                  <c:v>48824</c:v>
                </c:pt>
                <c:pt idx="1361">
                  <c:v>48831</c:v>
                </c:pt>
                <c:pt idx="1362">
                  <c:v>48838</c:v>
                </c:pt>
                <c:pt idx="1363">
                  <c:v>48845</c:v>
                </c:pt>
                <c:pt idx="1364">
                  <c:v>48852</c:v>
                </c:pt>
                <c:pt idx="1365">
                  <c:v>48859</c:v>
                </c:pt>
                <c:pt idx="1366">
                  <c:v>48866</c:v>
                </c:pt>
                <c:pt idx="1367">
                  <c:v>48873</c:v>
                </c:pt>
                <c:pt idx="1368">
                  <c:v>48880</c:v>
                </c:pt>
                <c:pt idx="1369">
                  <c:v>48887</c:v>
                </c:pt>
                <c:pt idx="1370">
                  <c:v>48894</c:v>
                </c:pt>
                <c:pt idx="1371">
                  <c:v>48901</c:v>
                </c:pt>
                <c:pt idx="1372">
                  <c:v>48908</c:v>
                </c:pt>
                <c:pt idx="1373">
                  <c:v>48915</c:v>
                </c:pt>
                <c:pt idx="1374">
                  <c:v>48922</c:v>
                </c:pt>
                <c:pt idx="1375">
                  <c:v>48929</c:v>
                </c:pt>
                <c:pt idx="1376">
                  <c:v>48936</c:v>
                </c:pt>
                <c:pt idx="1377">
                  <c:v>48943</c:v>
                </c:pt>
                <c:pt idx="1378">
                  <c:v>48953</c:v>
                </c:pt>
                <c:pt idx="1379">
                  <c:v>48957</c:v>
                </c:pt>
                <c:pt idx="1380">
                  <c:v>48964</c:v>
                </c:pt>
                <c:pt idx="1381">
                  <c:v>48971</c:v>
                </c:pt>
                <c:pt idx="1382">
                  <c:v>48978</c:v>
                </c:pt>
                <c:pt idx="1383">
                  <c:v>48985</c:v>
                </c:pt>
                <c:pt idx="1384">
                  <c:v>48992</c:v>
                </c:pt>
                <c:pt idx="1385">
                  <c:v>48999</c:v>
                </c:pt>
                <c:pt idx="1386">
                  <c:v>49006</c:v>
                </c:pt>
                <c:pt idx="1387">
                  <c:v>49013</c:v>
                </c:pt>
                <c:pt idx="1388">
                  <c:v>49020</c:v>
                </c:pt>
                <c:pt idx="1389">
                  <c:v>49027</c:v>
                </c:pt>
                <c:pt idx="1390">
                  <c:v>49034</c:v>
                </c:pt>
                <c:pt idx="1391">
                  <c:v>49045</c:v>
                </c:pt>
                <c:pt idx="1392">
                  <c:v>49048</c:v>
                </c:pt>
                <c:pt idx="1393">
                  <c:v>49055</c:v>
                </c:pt>
                <c:pt idx="1394">
                  <c:v>49062</c:v>
                </c:pt>
                <c:pt idx="1395">
                  <c:v>49069</c:v>
                </c:pt>
                <c:pt idx="1396">
                  <c:v>49076</c:v>
                </c:pt>
                <c:pt idx="1397">
                  <c:v>49086</c:v>
                </c:pt>
                <c:pt idx="1398">
                  <c:v>49090</c:v>
                </c:pt>
                <c:pt idx="1399">
                  <c:v>49097</c:v>
                </c:pt>
                <c:pt idx="1400">
                  <c:v>49104</c:v>
                </c:pt>
                <c:pt idx="1401">
                  <c:v>49111</c:v>
                </c:pt>
                <c:pt idx="1402">
                  <c:v>49121</c:v>
                </c:pt>
                <c:pt idx="1403">
                  <c:v>49125</c:v>
                </c:pt>
                <c:pt idx="1404">
                  <c:v>49132</c:v>
                </c:pt>
                <c:pt idx="1405">
                  <c:v>49139</c:v>
                </c:pt>
                <c:pt idx="1406">
                  <c:v>49146</c:v>
                </c:pt>
                <c:pt idx="1407">
                  <c:v>49153</c:v>
                </c:pt>
                <c:pt idx="1408">
                  <c:v>49160</c:v>
                </c:pt>
                <c:pt idx="1409">
                  <c:v>49167</c:v>
                </c:pt>
                <c:pt idx="1410">
                  <c:v>49174</c:v>
                </c:pt>
                <c:pt idx="1411">
                  <c:v>49181</c:v>
                </c:pt>
                <c:pt idx="1412">
                  <c:v>49188</c:v>
                </c:pt>
                <c:pt idx="1413">
                  <c:v>49195</c:v>
                </c:pt>
                <c:pt idx="1414">
                  <c:v>49202</c:v>
                </c:pt>
                <c:pt idx="1415">
                  <c:v>49209</c:v>
                </c:pt>
                <c:pt idx="1416">
                  <c:v>49216</c:v>
                </c:pt>
                <c:pt idx="1417">
                  <c:v>49223</c:v>
                </c:pt>
                <c:pt idx="1418">
                  <c:v>49230</c:v>
                </c:pt>
                <c:pt idx="1419">
                  <c:v>49237</c:v>
                </c:pt>
                <c:pt idx="1420">
                  <c:v>49244</c:v>
                </c:pt>
                <c:pt idx="1421">
                  <c:v>49251</c:v>
                </c:pt>
                <c:pt idx="1422">
                  <c:v>49258</c:v>
                </c:pt>
                <c:pt idx="1423">
                  <c:v>49265</c:v>
                </c:pt>
                <c:pt idx="1424">
                  <c:v>49272</c:v>
                </c:pt>
                <c:pt idx="1425">
                  <c:v>49279</c:v>
                </c:pt>
                <c:pt idx="1426">
                  <c:v>49286</c:v>
                </c:pt>
                <c:pt idx="1427">
                  <c:v>49293</c:v>
                </c:pt>
                <c:pt idx="1428">
                  <c:v>49300</c:v>
                </c:pt>
                <c:pt idx="1429">
                  <c:v>49307</c:v>
                </c:pt>
                <c:pt idx="1430">
                  <c:v>49314</c:v>
                </c:pt>
                <c:pt idx="1431">
                  <c:v>49321</c:v>
                </c:pt>
                <c:pt idx="1432">
                  <c:v>49328</c:v>
                </c:pt>
                <c:pt idx="1433">
                  <c:v>49335</c:v>
                </c:pt>
                <c:pt idx="1434">
                  <c:v>49342</c:v>
                </c:pt>
                <c:pt idx="1435">
                  <c:v>49349</c:v>
                </c:pt>
                <c:pt idx="1436">
                  <c:v>49356</c:v>
                </c:pt>
                <c:pt idx="1437">
                  <c:v>49363</c:v>
                </c:pt>
                <c:pt idx="1438">
                  <c:v>49370</c:v>
                </c:pt>
                <c:pt idx="1439">
                  <c:v>49377</c:v>
                </c:pt>
                <c:pt idx="1440">
                  <c:v>49384</c:v>
                </c:pt>
                <c:pt idx="1441">
                  <c:v>49395</c:v>
                </c:pt>
                <c:pt idx="1442">
                  <c:v>49398</c:v>
                </c:pt>
                <c:pt idx="1443">
                  <c:v>49405</c:v>
                </c:pt>
                <c:pt idx="1444">
                  <c:v>49412</c:v>
                </c:pt>
                <c:pt idx="1445">
                  <c:v>49419</c:v>
                </c:pt>
                <c:pt idx="1446">
                  <c:v>49426</c:v>
                </c:pt>
                <c:pt idx="1447">
                  <c:v>49436</c:v>
                </c:pt>
                <c:pt idx="1448">
                  <c:v>49440</c:v>
                </c:pt>
                <c:pt idx="1449">
                  <c:v>49447</c:v>
                </c:pt>
                <c:pt idx="1450">
                  <c:v>49454</c:v>
                </c:pt>
                <c:pt idx="1451">
                  <c:v>49461</c:v>
                </c:pt>
                <c:pt idx="1452">
                  <c:v>49468</c:v>
                </c:pt>
                <c:pt idx="1453">
                  <c:v>49475</c:v>
                </c:pt>
                <c:pt idx="1454">
                  <c:v>49485</c:v>
                </c:pt>
                <c:pt idx="1455">
                  <c:v>49489</c:v>
                </c:pt>
                <c:pt idx="1456">
                  <c:v>49496</c:v>
                </c:pt>
                <c:pt idx="1457">
                  <c:v>49503</c:v>
                </c:pt>
                <c:pt idx="1458">
                  <c:v>49510</c:v>
                </c:pt>
                <c:pt idx="1459">
                  <c:v>49517</c:v>
                </c:pt>
                <c:pt idx="1460">
                  <c:v>49524</c:v>
                </c:pt>
                <c:pt idx="1461">
                  <c:v>49531</c:v>
                </c:pt>
                <c:pt idx="1462">
                  <c:v>49538</c:v>
                </c:pt>
                <c:pt idx="1463">
                  <c:v>49545</c:v>
                </c:pt>
                <c:pt idx="1464">
                  <c:v>49552</c:v>
                </c:pt>
                <c:pt idx="1465">
                  <c:v>49559</c:v>
                </c:pt>
                <c:pt idx="1466">
                  <c:v>49566</c:v>
                </c:pt>
                <c:pt idx="1467">
                  <c:v>49573</c:v>
                </c:pt>
                <c:pt idx="1468">
                  <c:v>49580</c:v>
                </c:pt>
                <c:pt idx="1469">
                  <c:v>49587</c:v>
                </c:pt>
                <c:pt idx="1470">
                  <c:v>49594</c:v>
                </c:pt>
                <c:pt idx="1471">
                  <c:v>49601</c:v>
                </c:pt>
                <c:pt idx="1472">
                  <c:v>49608</c:v>
                </c:pt>
                <c:pt idx="1473">
                  <c:v>49615</c:v>
                </c:pt>
                <c:pt idx="1474">
                  <c:v>49622</c:v>
                </c:pt>
                <c:pt idx="1475">
                  <c:v>49629</c:v>
                </c:pt>
                <c:pt idx="1476">
                  <c:v>49636</c:v>
                </c:pt>
                <c:pt idx="1477">
                  <c:v>49643</c:v>
                </c:pt>
                <c:pt idx="1478">
                  <c:v>49650</c:v>
                </c:pt>
                <c:pt idx="1479">
                  <c:v>49657</c:v>
                </c:pt>
                <c:pt idx="1480">
                  <c:v>49664</c:v>
                </c:pt>
                <c:pt idx="1481">
                  <c:v>49676</c:v>
                </c:pt>
                <c:pt idx="1482">
                  <c:v>49681</c:v>
                </c:pt>
                <c:pt idx="1483">
                  <c:v>49688</c:v>
                </c:pt>
                <c:pt idx="1484">
                  <c:v>49695</c:v>
                </c:pt>
                <c:pt idx="1485">
                  <c:v>49702</c:v>
                </c:pt>
                <c:pt idx="1486">
                  <c:v>49709</c:v>
                </c:pt>
                <c:pt idx="1487">
                  <c:v>49716</c:v>
                </c:pt>
                <c:pt idx="1488">
                  <c:v>49723</c:v>
                </c:pt>
                <c:pt idx="1489">
                  <c:v>49730</c:v>
                </c:pt>
                <c:pt idx="1490">
                  <c:v>49737</c:v>
                </c:pt>
                <c:pt idx="1491">
                  <c:v>49744</c:v>
                </c:pt>
                <c:pt idx="1492">
                  <c:v>49751</c:v>
                </c:pt>
                <c:pt idx="1493">
                  <c:v>49758</c:v>
                </c:pt>
                <c:pt idx="1494">
                  <c:v>49765</c:v>
                </c:pt>
                <c:pt idx="1495">
                  <c:v>49772</c:v>
                </c:pt>
                <c:pt idx="1496">
                  <c:v>49781</c:v>
                </c:pt>
                <c:pt idx="1497">
                  <c:v>49786</c:v>
                </c:pt>
                <c:pt idx="1498">
                  <c:v>49793</c:v>
                </c:pt>
                <c:pt idx="1499">
                  <c:v>49801</c:v>
                </c:pt>
                <c:pt idx="1500">
                  <c:v>49808</c:v>
                </c:pt>
                <c:pt idx="1501">
                  <c:v>49815</c:v>
                </c:pt>
                <c:pt idx="1502">
                  <c:v>49822</c:v>
                </c:pt>
                <c:pt idx="1503">
                  <c:v>49830</c:v>
                </c:pt>
                <c:pt idx="1504">
                  <c:v>49836</c:v>
                </c:pt>
                <c:pt idx="1505">
                  <c:v>49843</c:v>
                </c:pt>
                <c:pt idx="1506">
                  <c:v>49851</c:v>
                </c:pt>
                <c:pt idx="1507">
                  <c:v>49858</c:v>
                </c:pt>
                <c:pt idx="1508">
                  <c:v>49865</c:v>
                </c:pt>
                <c:pt idx="1509">
                  <c:v>49872</c:v>
                </c:pt>
                <c:pt idx="1510">
                  <c:v>49879</c:v>
                </c:pt>
                <c:pt idx="1511">
                  <c:v>49886</c:v>
                </c:pt>
                <c:pt idx="1512">
                  <c:v>49893</c:v>
                </c:pt>
                <c:pt idx="1513">
                  <c:v>49900</c:v>
                </c:pt>
                <c:pt idx="1514">
                  <c:v>49907</c:v>
                </c:pt>
                <c:pt idx="1515">
                  <c:v>49914</c:v>
                </c:pt>
                <c:pt idx="1516">
                  <c:v>49921</c:v>
                </c:pt>
                <c:pt idx="1517">
                  <c:v>49928</c:v>
                </c:pt>
                <c:pt idx="1518">
                  <c:v>49935</c:v>
                </c:pt>
                <c:pt idx="1519">
                  <c:v>49942</c:v>
                </c:pt>
                <c:pt idx="1520">
                  <c:v>49949</c:v>
                </c:pt>
                <c:pt idx="1521">
                  <c:v>49956</c:v>
                </c:pt>
                <c:pt idx="1522">
                  <c:v>49963</c:v>
                </c:pt>
                <c:pt idx="1523">
                  <c:v>49970</c:v>
                </c:pt>
                <c:pt idx="1524">
                  <c:v>49977</c:v>
                </c:pt>
                <c:pt idx="1525">
                  <c:v>49984</c:v>
                </c:pt>
                <c:pt idx="1526">
                  <c:v>49991</c:v>
                </c:pt>
                <c:pt idx="1527">
                  <c:v>49998</c:v>
                </c:pt>
                <c:pt idx="1528">
                  <c:v>50005</c:v>
                </c:pt>
                <c:pt idx="1529">
                  <c:v>50012</c:v>
                </c:pt>
                <c:pt idx="1530">
                  <c:v>50019</c:v>
                </c:pt>
                <c:pt idx="1531">
                  <c:v>50026</c:v>
                </c:pt>
                <c:pt idx="1532">
                  <c:v>50038</c:v>
                </c:pt>
                <c:pt idx="1533">
                  <c:v>50042</c:v>
                </c:pt>
                <c:pt idx="1534">
                  <c:v>50048</c:v>
                </c:pt>
                <c:pt idx="1535">
                  <c:v>50054</c:v>
                </c:pt>
                <c:pt idx="1536">
                  <c:v>50061</c:v>
                </c:pt>
                <c:pt idx="1537">
                  <c:v>50068</c:v>
                </c:pt>
                <c:pt idx="1538">
                  <c:v>50075</c:v>
                </c:pt>
                <c:pt idx="1539">
                  <c:v>50082</c:v>
                </c:pt>
                <c:pt idx="1540">
                  <c:v>50089</c:v>
                </c:pt>
                <c:pt idx="1541">
                  <c:v>50096</c:v>
                </c:pt>
                <c:pt idx="1542">
                  <c:v>50103</c:v>
                </c:pt>
                <c:pt idx="1543">
                  <c:v>50110</c:v>
                </c:pt>
                <c:pt idx="1544">
                  <c:v>50117</c:v>
                </c:pt>
                <c:pt idx="1545">
                  <c:v>50124</c:v>
                </c:pt>
                <c:pt idx="1546">
                  <c:v>50131</c:v>
                </c:pt>
                <c:pt idx="1547">
                  <c:v>50139</c:v>
                </c:pt>
                <c:pt idx="1548">
                  <c:v>50146</c:v>
                </c:pt>
                <c:pt idx="1549">
                  <c:v>50153</c:v>
                </c:pt>
                <c:pt idx="1550">
                  <c:v>50160</c:v>
                </c:pt>
                <c:pt idx="1551">
                  <c:v>50167</c:v>
                </c:pt>
                <c:pt idx="1552">
                  <c:v>50175</c:v>
                </c:pt>
                <c:pt idx="1553">
                  <c:v>50181</c:v>
                </c:pt>
                <c:pt idx="1554">
                  <c:v>50188</c:v>
                </c:pt>
                <c:pt idx="1555">
                  <c:v>50195</c:v>
                </c:pt>
                <c:pt idx="1556">
                  <c:v>50202</c:v>
                </c:pt>
                <c:pt idx="1557">
                  <c:v>50209</c:v>
                </c:pt>
                <c:pt idx="1558">
                  <c:v>50216</c:v>
                </c:pt>
                <c:pt idx="1559">
                  <c:v>50223</c:v>
                </c:pt>
                <c:pt idx="1560">
                  <c:v>50230</c:v>
                </c:pt>
                <c:pt idx="1561">
                  <c:v>50237</c:v>
                </c:pt>
                <c:pt idx="1562">
                  <c:v>50244</c:v>
                </c:pt>
                <c:pt idx="1563">
                  <c:v>50251</c:v>
                </c:pt>
                <c:pt idx="1564">
                  <c:v>50258</c:v>
                </c:pt>
                <c:pt idx="1565">
                  <c:v>50265</c:v>
                </c:pt>
                <c:pt idx="1566">
                  <c:v>50272</c:v>
                </c:pt>
                <c:pt idx="1567">
                  <c:v>50279</c:v>
                </c:pt>
                <c:pt idx="1568">
                  <c:v>50286</c:v>
                </c:pt>
                <c:pt idx="1569">
                  <c:v>50293</c:v>
                </c:pt>
                <c:pt idx="1570">
                  <c:v>50300</c:v>
                </c:pt>
                <c:pt idx="1571">
                  <c:v>50307</c:v>
                </c:pt>
                <c:pt idx="1572">
                  <c:v>50314</c:v>
                </c:pt>
                <c:pt idx="1573">
                  <c:v>50321</c:v>
                </c:pt>
                <c:pt idx="1574">
                  <c:v>50328</c:v>
                </c:pt>
                <c:pt idx="1575">
                  <c:v>50335</c:v>
                </c:pt>
                <c:pt idx="1576">
                  <c:v>50342</c:v>
                </c:pt>
                <c:pt idx="1577">
                  <c:v>50349</c:v>
                </c:pt>
                <c:pt idx="1578">
                  <c:v>50356</c:v>
                </c:pt>
                <c:pt idx="1579">
                  <c:v>50363</c:v>
                </c:pt>
                <c:pt idx="1580">
                  <c:v>50370</c:v>
                </c:pt>
                <c:pt idx="1581">
                  <c:v>50377</c:v>
                </c:pt>
                <c:pt idx="1582">
                  <c:v>50384</c:v>
                </c:pt>
                <c:pt idx="1583">
                  <c:v>50391</c:v>
                </c:pt>
                <c:pt idx="1584">
                  <c:v>50402</c:v>
                </c:pt>
                <c:pt idx="1585">
                  <c:v>50409</c:v>
                </c:pt>
                <c:pt idx="1586">
                  <c:v>50413</c:v>
                </c:pt>
                <c:pt idx="1587">
                  <c:v>50419</c:v>
                </c:pt>
                <c:pt idx="1588">
                  <c:v>50426</c:v>
                </c:pt>
                <c:pt idx="1589">
                  <c:v>50433</c:v>
                </c:pt>
                <c:pt idx="1590">
                  <c:v>50440</c:v>
                </c:pt>
                <c:pt idx="1591">
                  <c:v>50447</c:v>
                </c:pt>
                <c:pt idx="1592">
                  <c:v>50454</c:v>
                </c:pt>
                <c:pt idx="1593">
                  <c:v>50461</c:v>
                </c:pt>
                <c:pt idx="1594">
                  <c:v>50468</c:v>
                </c:pt>
                <c:pt idx="1595">
                  <c:v>50475</c:v>
                </c:pt>
                <c:pt idx="1596">
                  <c:v>50482</c:v>
                </c:pt>
                <c:pt idx="1597">
                  <c:v>50489</c:v>
                </c:pt>
                <c:pt idx="1598">
                  <c:v>50496</c:v>
                </c:pt>
                <c:pt idx="1599">
                  <c:v>50503</c:v>
                </c:pt>
                <c:pt idx="1600">
                  <c:v>50510</c:v>
                </c:pt>
                <c:pt idx="1601">
                  <c:v>50517</c:v>
                </c:pt>
                <c:pt idx="1602">
                  <c:v>50524</c:v>
                </c:pt>
                <c:pt idx="1603">
                  <c:v>50531</c:v>
                </c:pt>
                <c:pt idx="1604">
                  <c:v>50538</c:v>
                </c:pt>
                <c:pt idx="1605">
                  <c:v>50545</c:v>
                </c:pt>
                <c:pt idx="1606">
                  <c:v>50552</c:v>
                </c:pt>
                <c:pt idx="1607">
                  <c:v>50560</c:v>
                </c:pt>
                <c:pt idx="1608">
                  <c:v>50566</c:v>
                </c:pt>
                <c:pt idx="1609">
                  <c:v>50573</c:v>
                </c:pt>
                <c:pt idx="1610">
                  <c:v>50580</c:v>
                </c:pt>
                <c:pt idx="1611">
                  <c:v>50587</c:v>
                </c:pt>
                <c:pt idx="1612">
                  <c:v>50594</c:v>
                </c:pt>
                <c:pt idx="1613">
                  <c:v>50601</c:v>
                </c:pt>
                <c:pt idx="1614">
                  <c:v>50608</c:v>
                </c:pt>
                <c:pt idx="1615">
                  <c:v>50615</c:v>
                </c:pt>
                <c:pt idx="1616">
                  <c:v>50622</c:v>
                </c:pt>
                <c:pt idx="1617">
                  <c:v>50629</c:v>
                </c:pt>
                <c:pt idx="1618">
                  <c:v>50636</c:v>
                </c:pt>
                <c:pt idx="1619">
                  <c:v>50643</c:v>
                </c:pt>
                <c:pt idx="1620">
                  <c:v>50650</c:v>
                </c:pt>
                <c:pt idx="1621">
                  <c:v>50657</c:v>
                </c:pt>
                <c:pt idx="1622">
                  <c:v>50664</c:v>
                </c:pt>
                <c:pt idx="1623">
                  <c:v>50671</c:v>
                </c:pt>
                <c:pt idx="1624">
                  <c:v>50678</c:v>
                </c:pt>
                <c:pt idx="1625">
                  <c:v>50685</c:v>
                </c:pt>
                <c:pt idx="1626">
                  <c:v>50692</c:v>
                </c:pt>
                <c:pt idx="1627">
                  <c:v>50699</c:v>
                </c:pt>
                <c:pt idx="1628">
                  <c:v>50706</c:v>
                </c:pt>
                <c:pt idx="1629">
                  <c:v>50713</c:v>
                </c:pt>
                <c:pt idx="1630">
                  <c:v>50720</c:v>
                </c:pt>
                <c:pt idx="1631">
                  <c:v>50727</c:v>
                </c:pt>
                <c:pt idx="1632">
                  <c:v>50734</c:v>
                </c:pt>
                <c:pt idx="1633">
                  <c:v>50741</c:v>
                </c:pt>
                <c:pt idx="1634">
                  <c:v>50748</c:v>
                </c:pt>
                <c:pt idx="1635">
                  <c:v>50755</c:v>
                </c:pt>
                <c:pt idx="1636">
                  <c:v>50762</c:v>
                </c:pt>
                <c:pt idx="1637">
                  <c:v>50769</c:v>
                </c:pt>
                <c:pt idx="1638">
                  <c:v>50777</c:v>
                </c:pt>
                <c:pt idx="1639">
                  <c:v>50783</c:v>
                </c:pt>
                <c:pt idx="1640">
                  <c:v>50790</c:v>
                </c:pt>
                <c:pt idx="1641">
                  <c:v>50797</c:v>
                </c:pt>
                <c:pt idx="1642">
                  <c:v>50804</c:v>
                </c:pt>
                <c:pt idx="1643">
                  <c:v>50811</c:v>
                </c:pt>
                <c:pt idx="1644">
                  <c:v>50818</c:v>
                </c:pt>
                <c:pt idx="1645">
                  <c:v>50825</c:v>
                </c:pt>
                <c:pt idx="1646">
                  <c:v>50832</c:v>
                </c:pt>
                <c:pt idx="1647">
                  <c:v>50839</c:v>
                </c:pt>
                <c:pt idx="1648">
                  <c:v>50846</c:v>
                </c:pt>
                <c:pt idx="1649">
                  <c:v>50853</c:v>
                </c:pt>
                <c:pt idx="1650">
                  <c:v>50860</c:v>
                </c:pt>
                <c:pt idx="1651">
                  <c:v>50867</c:v>
                </c:pt>
                <c:pt idx="1652">
                  <c:v>50874</c:v>
                </c:pt>
                <c:pt idx="1653">
                  <c:v>50881</c:v>
                </c:pt>
                <c:pt idx="1654">
                  <c:v>50888</c:v>
                </c:pt>
                <c:pt idx="1655">
                  <c:v>50895</c:v>
                </c:pt>
                <c:pt idx="1656">
                  <c:v>50902</c:v>
                </c:pt>
                <c:pt idx="1657">
                  <c:v>50910</c:v>
                </c:pt>
                <c:pt idx="1658">
                  <c:v>50916</c:v>
                </c:pt>
                <c:pt idx="1659">
                  <c:v>50923</c:v>
                </c:pt>
                <c:pt idx="1660">
                  <c:v>50930</c:v>
                </c:pt>
                <c:pt idx="1661">
                  <c:v>50937</c:v>
                </c:pt>
                <c:pt idx="1662">
                  <c:v>50944</c:v>
                </c:pt>
                <c:pt idx="1663">
                  <c:v>50951</c:v>
                </c:pt>
                <c:pt idx="1664">
                  <c:v>50958</c:v>
                </c:pt>
                <c:pt idx="1665">
                  <c:v>50965</c:v>
                </c:pt>
                <c:pt idx="1666">
                  <c:v>50972</c:v>
                </c:pt>
                <c:pt idx="1667">
                  <c:v>50979</c:v>
                </c:pt>
                <c:pt idx="1668">
                  <c:v>50986</c:v>
                </c:pt>
                <c:pt idx="1669">
                  <c:v>50993</c:v>
                </c:pt>
                <c:pt idx="1670">
                  <c:v>51000</c:v>
                </c:pt>
                <c:pt idx="1671">
                  <c:v>51007</c:v>
                </c:pt>
                <c:pt idx="1672">
                  <c:v>51014</c:v>
                </c:pt>
                <c:pt idx="1673">
                  <c:v>51021</c:v>
                </c:pt>
                <c:pt idx="1674">
                  <c:v>51028</c:v>
                </c:pt>
                <c:pt idx="1675">
                  <c:v>51035</c:v>
                </c:pt>
                <c:pt idx="1676">
                  <c:v>51042</c:v>
                </c:pt>
                <c:pt idx="1677">
                  <c:v>51049</c:v>
                </c:pt>
                <c:pt idx="1678">
                  <c:v>51056</c:v>
                </c:pt>
                <c:pt idx="1679">
                  <c:v>51063</c:v>
                </c:pt>
                <c:pt idx="1680">
                  <c:v>51070</c:v>
                </c:pt>
                <c:pt idx="1681">
                  <c:v>51077</c:v>
                </c:pt>
                <c:pt idx="1682">
                  <c:v>51084</c:v>
                </c:pt>
                <c:pt idx="1683">
                  <c:v>51091</c:v>
                </c:pt>
                <c:pt idx="1684">
                  <c:v>51098</c:v>
                </c:pt>
                <c:pt idx="1685">
                  <c:v>51105</c:v>
                </c:pt>
                <c:pt idx="1686">
                  <c:v>51112</c:v>
                </c:pt>
                <c:pt idx="1687">
                  <c:v>51119</c:v>
                </c:pt>
                <c:pt idx="1688">
                  <c:v>51126</c:v>
                </c:pt>
                <c:pt idx="1689">
                  <c:v>51133</c:v>
                </c:pt>
                <c:pt idx="1690">
                  <c:v>51140</c:v>
                </c:pt>
                <c:pt idx="1691">
                  <c:v>51147</c:v>
                </c:pt>
                <c:pt idx="1692">
                  <c:v>51154</c:v>
                </c:pt>
                <c:pt idx="1693">
                  <c:v>51161</c:v>
                </c:pt>
                <c:pt idx="1694">
                  <c:v>51168</c:v>
                </c:pt>
                <c:pt idx="1695">
                  <c:v>51175</c:v>
                </c:pt>
                <c:pt idx="1696">
                  <c:v>51182</c:v>
                </c:pt>
                <c:pt idx="1697">
                  <c:v>51189</c:v>
                </c:pt>
                <c:pt idx="1698">
                  <c:v>51196</c:v>
                </c:pt>
                <c:pt idx="1699">
                  <c:v>51203</c:v>
                </c:pt>
                <c:pt idx="1700">
                  <c:v>51210</c:v>
                </c:pt>
                <c:pt idx="1701">
                  <c:v>51217</c:v>
                </c:pt>
                <c:pt idx="1702">
                  <c:v>51224</c:v>
                </c:pt>
                <c:pt idx="1703">
                  <c:v>51231</c:v>
                </c:pt>
                <c:pt idx="1704">
                  <c:v>51238</c:v>
                </c:pt>
                <c:pt idx="1705">
                  <c:v>51245</c:v>
                </c:pt>
                <c:pt idx="1706">
                  <c:v>51252</c:v>
                </c:pt>
                <c:pt idx="1707">
                  <c:v>51260</c:v>
                </c:pt>
                <c:pt idx="1708">
                  <c:v>51270</c:v>
                </c:pt>
                <c:pt idx="1709">
                  <c:v>51274</c:v>
                </c:pt>
                <c:pt idx="1710">
                  <c:v>51281</c:v>
                </c:pt>
                <c:pt idx="1711">
                  <c:v>51288</c:v>
                </c:pt>
                <c:pt idx="1712">
                  <c:v>51295</c:v>
                </c:pt>
                <c:pt idx="1713">
                  <c:v>51302</c:v>
                </c:pt>
                <c:pt idx="1714">
                  <c:v>51312</c:v>
                </c:pt>
                <c:pt idx="1715">
                  <c:v>51316</c:v>
                </c:pt>
                <c:pt idx="1716">
                  <c:v>51323</c:v>
                </c:pt>
                <c:pt idx="1717">
                  <c:v>51330</c:v>
                </c:pt>
                <c:pt idx="1718">
                  <c:v>51337</c:v>
                </c:pt>
                <c:pt idx="1719">
                  <c:v>51344</c:v>
                </c:pt>
                <c:pt idx="1720">
                  <c:v>51351</c:v>
                </c:pt>
                <c:pt idx="1721">
                  <c:v>51358</c:v>
                </c:pt>
                <c:pt idx="1722">
                  <c:v>51365</c:v>
                </c:pt>
                <c:pt idx="1723">
                  <c:v>51372</c:v>
                </c:pt>
                <c:pt idx="1724">
                  <c:v>51379</c:v>
                </c:pt>
                <c:pt idx="1725">
                  <c:v>51386</c:v>
                </c:pt>
                <c:pt idx="1726">
                  <c:v>51393</c:v>
                </c:pt>
                <c:pt idx="1727">
                  <c:v>51400</c:v>
                </c:pt>
                <c:pt idx="1728">
                  <c:v>51407</c:v>
                </c:pt>
                <c:pt idx="1729">
                  <c:v>51414</c:v>
                </c:pt>
                <c:pt idx="1730">
                  <c:v>51421</c:v>
                </c:pt>
                <c:pt idx="1731">
                  <c:v>51428</c:v>
                </c:pt>
                <c:pt idx="1732">
                  <c:v>51435</c:v>
                </c:pt>
                <c:pt idx="1733">
                  <c:v>51442</c:v>
                </c:pt>
                <c:pt idx="1734">
                  <c:v>51449</c:v>
                </c:pt>
                <c:pt idx="1735">
                  <c:v>51456</c:v>
                </c:pt>
                <c:pt idx="1736">
                  <c:v>51463</c:v>
                </c:pt>
                <c:pt idx="1737">
                  <c:v>51470</c:v>
                </c:pt>
                <c:pt idx="1738">
                  <c:v>51477</c:v>
                </c:pt>
                <c:pt idx="1739">
                  <c:v>51484</c:v>
                </c:pt>
                <c:pt idx="1740">
                  <c:v>51491</c:v>
                </c:pt>
                <c:pt idx="1741">
                  <c:v>51503</c:v>
                </c:pt>
                <c:pt idx="1742">
                  <c:v>51508</c:v>
                </c:pt>
                <c:pt idx="1743">
                  <c:v>51515</c:v>
                </c:pt>
                <c:pt idx="1744">
                  <c:v>51522</c:v>
                </c:pt>
                <c:pt idx="1745">
                  <c:v>51529</c:v>
                </c:pt>
                <c:pt idx="1746">
                  <c:v>51536</c:v>
                </c:pt>
                <c:pt idx="1747">
                  <c:v>51543</c:v>
                </c:pt>
                <c:pt idx="1748">
                  <c:v>51550</c:v>
                </c:pt>
                <c:pt idx="1749">
                  <c:v>51557</c:v>
                </c:pt>
                <c:pt idx="1750">
                  <c:v>51564</c:v>
                </c:pt>
                <c:pt idx="1751">
                  <c:v>51571</c:v>
                </c:pt>
                <c:pt idx="1752">
                  <c:v>51578</c:v>
                </c:pt>
                <c:pt idx="1753">
                  <c:v>51585</c:v>
                </c:pt>
                <c:pt idx="1754">
                  <c:v>51592</c:v>
                </c:pt>
                <c:pt idx="1755">
                  <c:v>51599</c:v>
                </c:pt>
                <c:pt idx="1756">
                  <c:v>51606</c:v>
                </c:pt>
                <c:pt idx="1757">
                  <c:v>51615</c:v>
                </c:pt>
                <c:pt idx="1758">
                  <c:v>51620</c:v>
                </c:pt>
                <c:pt idx="1759">
                  <c:v>51627</c:v>
                </c:pt>
                <c:pt idx="1760">
                  <c:v>51634</c:v>
                </c:pt>
                <c:pt idx="1761">
                  <c:v>51641</c:v>
                </c:pt>
                <c:pt idx="1762">
                  <c:v>51648</c:v>
                </c:pt>
                <c:pt idx="1763">
                  <c:v>51656</c:v>
                </c:pt>
                <c:pt idx="1764">
                  <c:v>51664</c:v>
                </c:pt>
                <c:pt idx="1765">
                  <c:v>51670</c:v>
                </c:pt>
                <c:pt idx="1766">
                  <c:v>51678</c:v>
                </c:pt>
                <c:pt idx="1767">
                  <c:v>51685</c:v>
                </c:pt>
                <c:pt idx="1768">
                  <c:v>51692</c:v>
                </c:pt>
                <c:pt idx="1769">
                  <c:v>51699</c:v>
                </c:pt>
                <c:pt idx="1770">
                  <c:v>51706</c:v>
                </c:pt>
                <c:pt idx="1771">
                  <c:v>51713</c:v>
                </c:pt>
                <c:pt idx="1772">
                  <c:v>51720</c:v>
                </c:pt>
                <c:pt idx="1773">
                  <c:v>51727</c:v>
                </c:pt>
                <c:pt idx="1774">
                  <c:v>51734</c:v>
                </c:pt>
                <c:pt idx="1775">
                  <c:v>51741</c:v>
                </c:pt>
                <c:pt idx="1776">
                  <c:v>51748</c:v>
                </c:pt>
                <c:pt idx="1777">
                  <c:v>51755</c:v>
                </c:pt>
                <c:pt idx="1778">
                  <c:v>51762</c:v>
                </c:pt>
                <c:pt idx="1779">
                  <c:v>51769</c:v>
                </c:pt>
                <c:pt idx="1780">
                  <c:v>51776</c:v>
                </c:pt>
                <c:pt idx="1781">
                  <c:v>51783</c:v>
                </c:pt>
                <c:pt idx="1782">
                  <c:v>51790</c:v>
                </c:pt>
                <c:pt idx="1783">
                  <c:v>51797</c:v>
                </c:pt>
                <c:pt idx="1784">
                  <c:v>51804</c:v>
                </c:pt>
                <c:pt idx="1785">
                  <c:v>51811</c:v>
                </c:pt>
                <c:pt idx="1786">
                  <c:v>51818</c:v>
                </c:pt>
                <c:pt idx="1787">
                  <c:v>51825</c:v>
                </c:pt>
                <c:pt idx="1788">
                  <c:v>51832</c:v>
                </c:pt>
                <c:pt idx="1789">
                  <c:v>51839</c:v>
                </c:pt>
                <c:pt idx="1790">
                  <c:v>51846</c:v>
                </c:pt>
                <c:pt idx="1791">
                  <c:v>51853</c:v>
                </c:pt>
                <c:pt idx="1792">
                  <c:v>51865</c:v>
                </c:pt>
                <c:pt idx="1793">
                  <c:v>51869</c:v>
                </c:pt>
                <c:pt idx="1794">
                  <c:v>51875</c:v>
                </c:pt>
                <c:pt idx="1795">
                  <c:v>51882</c:v>
                </c:pt>
                <c:pt idx="1796">
                  <c:v>51889</c:v>
                </c:pt>
                <c:pt idx="1797">
                  <c:v>51896</c:v>
                </c:pt>
                <c:pt idx="1798">
                  <c:v>51903</c:v>
                </c:pt>
                <c:pt idx="1799">
                  <c:v>51910</c:v>
                </c:pt>
                <c:pt idx="1800">
                  <c:v>51917</c:v>
                </c:pt>
                <c:pt idx="1801">
                  <c:v>51924</c:v>
                </c:pt>
                <c:pt idx="1802">
                  <c:v>51931</c:v>
                </c:pt>
                <c:pt idx="1803">
                  <c:v>51938</c:v>
                </c:pt>
                <c:pt idx="1804">
                  <c:v>51945</c:v>
                </c:pt>
                <c:pt idx="1805">
                  <c:v>51952</c:v>
                </c:pt>
                <c:pt idx="1806">
                  <c:v>51959</c:v>
                </c:pt>
                <c:pt idx="1807">
                  <c:v>51966</c:v>
                </c:pt>
                <c:pt idx="1808">
                  <c:v>51973</c:v>
                </c:pt>
                <c:pt idx="1809">
                  <c:v>51980</c:v>
                </c:pt>
                <c:pt idx="1810">
                  <c:v>51988</c:v>
                </c:pt>
                <c:pt idx="1811">
                  <c:v>51994</c:v>
                </c:pt>
                <c:pt idx="1812">
                  <c:v>52002</c:v>
                </c:pt>
                <c:pt idx="1813">
                  <c:v>52008</c:v>
                </c:pt>
                <c:pt idx="1814">
                  <c:v>52015</c:v>
                </c:pt>
                <c:pt idx="1815">
                  <c:v>52022</c:v>
                </c:pt>
                <c:pt idx="1816">
                  <c:v>52029</c:v>
                </c:pt>
                <c:pt idx="1817">
                  <c:v>52036</c:v>
                </c:pt>
                <c:pt idx="1818">
                  <c:v>52043</c:v>
                </c:pt>
                <c:pt idx="1819">
                  <c:v>52050</c:v>
                </c:pt>
                <c:pt idx="1820">
                  <c:v>52057</c:v>
                </c:pt>
                <c:pt idx="1821">
                  <c:v>52064</c:v>
                </c:pt>
                <c:pt idx="1822">
                  <c:v>52071</c:v>
                </c:pt>
                <c:pt idx="1823">
                  <c:v>52078</c:v>
                </c:pt>
                <c:pt idx="1824">
                  <c:v>52085</c:v>
                </c:pt>
                <c:pt idx="1825">
                  <c:v>52092</c:v>
                </c:pt>
                <c:pt idx="1826">
                  <c:v>52099</c:v>
                </c:pt>
                <c:pt idx="1827">
                  <c:v>52106</c:v>
                </c:pt>
                <c:pt idx="1828">
                  <c:v>52113</c:v>
                </c:pt>
                <c:pt idx="1829">
                  <c:v>52120</c:v>
                </c:pt>
                <c:pt idx="1830">
                  <c:v>52127</c:v>
                </c:pt>
                <c:pt idx="1831">
                  <c:v>52134</c:v>
                </c:pt>
                <c:pt idx="1832">
                  <c:v>52141</c:v>
                </c:pt>
                <c:pt idx="1833">
                  <c:v>52148</c:v>
                </c:pt>
                <c:pt idx="1834">
                  <c:v>52155</c:v>
                </c:pt>
                <c:pt idx="1835">
                  <c:v>52162</c:v>
                </c:pt>
                <c:pt idx="1836">
                  <c:v>52169</c:v>
                </c:pt>
                <c:pt idx="1837">
                  <c:v>52176</c:v>
                </c:pt>
                <c:pt idx="1838">
                  <c:v>52183</c:v>
                </c:pt>
                <c:pt idx="1839">
                  <c:v>52190</c:v>
                </c:pt>
                <c:pt idx="1840">
                  <c:v>52197</c:v>
                </c:pt>
                <c:pt idx="1841">
                  <c:v>52204</c:v>
                </c:pt>
                <c:pt idx="1842">
                  <c:v>52211</c:v>
                </c:pt>
                <c:pt idx="1843">
                  <c:v>52218</c:v>
                </c:pt>
                <c:pt idx="1844">
                  <c:v>52230</c:v>
                </c:pt>
                <c:pt idx="1845">
                  <c:v>52236</c:v>
                </c:pt>
                <c:pt idx="1846">
                  <c:v>52240</c:v>
                </c:pt>
                <c:pt idx="1847">
                  <c:v>52247</c:v>
                </c:pt>
                <c:pt idx="1848">
                  <c:v>52254</c:v>
                </c:pt>
                <c:pt idx="1849">
                  <c:v>52261</c:v>
                </c:pt>
                <c:pt idx="1850">
                  <c:v>52268</c:v>
                </c:pt>
                <c:pt idx="1851">
                  <c:v>52275</c:v>
                </c:pt>
                <c:pt idx="1852">
                  <c:v>52282</c:v>
                </c:pt>
                <c:pt idx="1853">
                  <c:v>52289</c:v>
                </c:pt>
                <c:pt idx="1854">
                  <c:v>52296</c:v>
                </c:pt>
                <c:pt idx="1855">
                  <c:v>52303</c:v>
                </c:pt>
                <c:pt idx="1856">
                  <c:v>52310</c:v>
                </c:pt>
                <c:pt idx="1857">
                  <c:v>52321</c:v>
                </c:pt>
                <c:pt idx="1858">
                  <c:v>52324</c:v>
                </c:pt>
                <c:pt idx="1859">
                  <c:v>52331</c:v>
                </c:pt>
                <c:pt idx="1860">
                  <c:v>52338</c:v>
                </c:pt>
                <c:pt idx="1861">
                  <c:v>52345</c:v>
                </c:pt>
                <c:pt idx="1862">
                  <c:v>52355</c:v>
                </c:pt>
                <c:pt idx="1863">
                  <c:v>52362</c:v>
                </c:pt>
                <c:pt idx="1864">
                  <c:v>52366</c:v>
                </c:pt>
                <c:pt idx="1865">
                  <c:v>52373</c:v>
                </c:pt>
                <c:pt idx="1866">
                  <c:v>52380</c:v>
                </c:pt>
                <c:pt idx="1867">
                  <c:v>52387</c:v>
                </c:pt>
                <c:pt idx="1868">
                  <c:v>52394</c:v>
                </c:pt>
                <c:pt idx="1869">
                  <c:v>52404</c:v>
                </c:pt>
                <c:pt idx="1870">
                  <c:v>52408</c:v>
                </c:pt>
                <c:pt idx="1871">
                  <c:v>52415</c:v>
                </c:pt>
                <c:pt idx="1872">
                  <c:v>52422</c:v>
                </c:pt>
                <c:pt idx="1873">
                  <c:v>52429</c:v>
                </c:pt>
                <c:pt idx="1874">
                  <c:v>52436</c:v>
                </c:pt>
                <c:pt idx="1875">
                  <c:v>52443</c:v>
                </c:pt>
                <c:pt idx="1876">
                  <c:v>52450</c:v>
                </c:pt>
                <c:pt idx="1877">
                  <c:v>52457</c:v>
                </c:pt>
                <c:pt idx="1878">
                  <c:v>52464</c:v>
                </c:pt>
                <c:pt idx="1879">
                  <c:v>52471</c:v>
                </c:pt>
                <c:pt idx="1880">
                  <c:v>52478</c:v>
                </c:pt>
                <c:pt idx="1881">
                  <c:v>52485</c:v>
                </c:pt>
                <c:pt idx="1882">
                  <c:v>52492</c:v>
                </c:pt>
                <c:pt idx="1883">
                  <c:v>52499</c:v>
                </c:pt>
                <c:pt idx="1884">
                  <c:v>52506</c:v>
                </c:pt>
                <c:pt idx="1885">
                  <c:v>52513</c:v>
                </c:pt>
                <c:pt idx="1886">
                  <c:v>52520</c:v>
                </c:pt>
                <c:pt idx="1887">
                  <c:v>52527</c:v>
                </c:pt>
                <c:pt idx="1888">
                  <c:v>52534</c:v>
                </c:pt>
                <c:pt idx="1889">
                  <c:v>52541</c:v>
                </c:pt>
                <c:pt idx="1890">
                  <c:v>52548</c:v>
                </c:pt>
                <c:pt idx="1891">
                  <c:v>52555</c:v>
                </c:pt>
                <c:pt idx="1892">
                  <c:v>52562</c:v>
                </c:pt>
                <c:pt idx="1893">
                  <c:v>52569</c:v>
                </c:pt>
                <c:pt idx="1894">
                  <c:v>52576</c:v>
                </c:pt>
                <c:pt idx="1895">
                  <c:v>52583</c:v>
                </c:pt>
                <c:pt idx="1896">
                  <c:v>52594</c:v>
                </c:pt>
                <c:pt idx="1897">
                  <c:v>52601</c:v>
                </c:pt>
                <c:pt idx="1898">
                  <c:v>52607</c:v>
                </c:pt>
                <c:pt idx="1899">
                  <c:v>52614</c:v>
                </c:pt>
                <c:pt idx="1900">
                  <c:v>52621</c:v>
                </c:pt>
                <c:pt idx="1901">
                  <c:v>52628</c:v>
                </c:pt>
                <c:pt idx="1902">
                  <c:v>52635</c:v>
                </c:pt>
                <c:pt idx="1903">
                  <c:v>52642</c:v>
                </c:pt>
                <c:pt idx="1904">
                  <c:v>52649</c:v>
                </c:pt>
                <c:pt idx="1905">
                  <c:v>52656</c:v>
                </c:pt>
                <c:pt idx="1906">
                  <c:v>52663</c:v>
                </c:pt>
                <c:pt idx="1907">
                  <c:v>52670</c:v>
                </c:pt>
                <c:pt idx="1908">
                  <c:v>52677</c:v>
                </c:pt>
                <c:pt idx="1909">
                  <c:v>52684</c:v>
                </c:pt>
                <c:pt idx="1910">
                  <c:v>52691</c:v>
                </c:pt>
                <c:pt idx="1911">
                  <c:v>52698</c:v>
                </c:pt>
                <c:pt idx="1912">
                  <c:v>52707</c:v>
                </c:pt>
                <c:pt idx="1913">
                  <c:v>52712</c:v>
                </c:pt>
                <c:pt idx="1914">
                  <c:v>52719</c:v>
                </c:pt>
                <c:pt idx="1915">
                  <c:v>52726</c:v>
                </c:pt>
                <c:pt idx="1916">
                  <c:v>52733</c:v>
                </c:pt>
                <c:pt idx="1917">
                  <c:v>52740</c:v>
                </c:pt>
                <c:pt idx="1918">
                  <c:v>52748</c:v>
                </c:pt>
                <c:pt idx="1919">
                  <c:v>52756</c:v>
                </c:pt>
                <c:pt idx="1920">
                  <c:v>52762</c:v>
                </c:pt>
                <c:pt idx="1921">
                  <c:v>52769</c:v>
                </c:pt>
                <c:pt idx="1922">
                  <c:v>52777</c:v>
                </c:pt>
                <c:pt idx="1923">
                  <c:v>52784</c:v>
                </c:pt>
                <c:pt idx="1924">
                  <c:v>52791</c:v>
                </c:pt>
                <c:pt idx="1925">
                  <c:v>52798</c:v>
                </c:pt>
                <c:pt idx="1926">
                  <c:v>52805</c:v>
                </c:pt>
                <c:pt idx="1927">
                  <c:v>52812</c:v>
                </c:pt>
                <c:pt idx="1928">
                  <c:v>52819</c:v>
                </c:pt>
                <c:pt idx="1929">
                  <c:v>52826</c:v>
                </c:pt>
                <c:pt idx="1930">
                  <c:v>52833</c:v>
                </c:pt>
                <c:pt idx="1931">
                  <c:v>52840</c:v>
                </c:pt>
                <c:pt idx="1932">
                  <c:v>52847</c:v>
                </c:pt>
                <c:pt idx="1933">
                  <c:v>52854</c:v>
                </c:pt>
                <c:pt idx="1934">
                  <c:v>52861</c:v>
                </c:pt>
                <c:pt idx="1935">
                  <c:v>52868</c:v>
                </c:pt>
                <c:pt idx="1936">
                  <c:v>52875</c:v>
                </c:pt>
                <c:pt idx="1937">
                  <c:v>52882</c:v>
                </c:pt>
                <c:pt idx="1938">
                  <c:v>52889</c:v>
                </c:pt>
                <c:pt idx="1939">
                  <c:v>52896</c:v>
                </c:pt>
                <c:pt idx="1940">
                  <c:v>52903</c:v>
                </c:pt>
                <c:pt idx="1941">
                  <c:v>52910</c:v>
                </c:pt>
                <c:pt idx="1942">
                  <c:v>52917</c:v>
                </c:pt>
                <c:pt idx="1943">
                  <c:v>52924</c:v>
                </c:pt>
                <c:pt idx="1944">
                  <c:v>52931</c:v>
                </c:pt>
                <c:pt idx="1945">
                  <c:v>52938</c:v>
                </c:pt>
                <c:pt idx="1946">
                  <c:v>52945</c:v>
                </c:pt>
                <c:pt idx="1947">
                  <c:v>52952</c:v>
                </c:pt>
                <c:pt idx="1948">
                  <c:v>52960</c:v>
                </c:pt>
                <c:pt idx="1949">
                  <c:v>52967</c:v>
                </c:pt>
                <c:pt idx="1950">
                  <c:v>52974</c:v>
                </c:pt>
                <c:pt idx="1951">
                  <c:v>52981</c:v>
                </c:pt>
                <c:pt idx="1952">
                  <c:v>52988</c:v>
                </c:pt>
                <c:pt idx="1953">
                  <c:v>52995</c:v>
                </c:pt>
                <c:pt idx="1954">
                  <c:v>53002</c:v>
                </c:pt>
                <c:pt idx="1955">
                  <c:v>53009</c:v>
                </c:pt>
                <c:pt idx="1956">
                  <c:v>53016</c:v>
                </c:pt>
                <c:pt idx="1957">
                  <c:v>53023</c:v>
                </c:pt>
                <c:pt idx="1958">
                  <c:v>53030</c:v>
                </c:pt>
                <c:pt idx="1959">
                  <c:v>53037</c:v>
                </c:pt>
                <c:pt idx="1960">
                  <c:v>53044</c:v>
                </c:pt>
                <c:pt idx="1961">
                  <c:v>53051</c:v>
                </c:pt>
                <c:pt idx="1962">
                  <c:v>53058</c:v>
                </c:pt>
                <c:pt idx="1963">
                  <c:v>53065</c:v>
                </c:pt>
                <c:pt idx="1964">
                  <c:v>53072</c:v>
                </c:pt>
                <c:pt idx="1965">
                  <c:v>53079</c:v>
                </c:pt>
                <c:pt idx="1966">
                  <c:v>53086</c:v>
                </c:pt>
                <c:pt idx="1967">
                  <c:v>53093</c:v>
                </c:pt>
                <c:pt idx="1968">
                  <c:v>53101</c:v>
                </c:pt>
                <c:pt idx="1969">
                  <c:v>53107</c:v>
                </c:pt>
                <c:pt idx="1970">
                  <c:v>53114</c:v>
                </c:pt>
                <c:pt idx="1971">
                  <c:v>53121</c:v>
                </c:pt>
                <c:pt idx="1972">
                  <c:v>53128</c:v>
                </c:pt>
                <c:pt idx="1973">
                  <c:v>53135</c:v>
                </c:pt>
                <c:pt idx="1974">
                  <c:v>53142</c:v>
                </c:pt>
                <c:pt idx="1975">
                  <c:v>53149</c:v>
                </c:pt>
                <c:pt idx="1976">
                  <c:v>53156</c:v>
                </c:pt>
                <c:pt idx="1977">
                  <c:v>53163</c:v>
                </c:pt>
                <c:pt idx="1978">
                  <c:v>53170</c:v>
                </c:pt>
                <c:pt idx="1979">
                  <c:v>53177</c:v>
                </c:pt>
                <c:pt idx="1980">
                  <c:v>53184</c:v>
                </c:pt>
                <c:pt idx="1981">
                  <c:v>53191</c:v>
                </c:pt>
                <c:pt idx="1982">
                  <c:v>53198</c:v>
                </c:pt>
                <c:pt idx="1983">
                  <c:v>53205</c:v>
                </c:pt>
                <c:pt idx="1984">
                  <c:v>53212</c:v>
                </c:pt>
                <c:pt idx="1985">
                  <c:v>53219</c:v>
                </c:pt>
                <c:pt idx="1986">
                  <c:v>53226</c:v>
                </c:pt>
                <c:pt idx="1987">
                  <c:v>53233</c:v>
                </c:pt>
                <c:pt idx="1988">
                  <c:v>53240</c:v>
                </c:pt>
                <c:pt idx="1989">
                  <c:v>53247</c:v>
                </c:pt>
                <c:pt idx="1990">
                  <c:v>53254</c:v>
                </c:pt>
                <c:pt idx="1991">
                  <c:v>53261</c:v>
                </c:pt>
                <c:pt idx="1992">
                  <c:v>53268</c:v>
                </c:pt>
                <c:pt idx="1993">
                  <c:v>53275</c:v>
                </c:pt>
                <c:pt idx="1994">
                  <c:v>53282</c:v>
                </c:pt>
                <c:pt idx="1995">
                  <c:v>53289</c:v>
                </c:pt>
                <c:pt idx="1996">
                  <c:v>53296</c:v>
                </c:pt>
                <c:pt idx="1997">
                  <c:v>53303</c:v>
                </c:pt>
                <c:pt idx="1998">
                  <c:v>53310</c:v>
                </c:pt>
                <c:pt idx="1999">
                  <c:v>53317</c:v>
                </c:pt>
                <c:pt idx="2000">
                  <c:v>53325</c:v>
                </c:pt>
                <c:pt idx="2001">
                  <c:v>53332</c:v>
                </c:pt>
                <c:pt idx="2002">
                  <c:v>53339</c:v>
                </c:pt>
                <c:pt idx="2003">
                  <c:v>53346</c:v>
                </c:pt>
                <c:pt idx="2004">
                  <c:v>53353</c:v>
                </c:pt>
                <c:pt idx="2005">
                  <c:v>53360</c:v>
                </c:pt>
                <c:pt idx="2006">
                  <c:v>53367</c:v>
                </c:pt>
                <c:pt idx="2007">
                  <c:v>53374</c:v>
                </c:pt>
                <c:pt idx="2008">
                  <c:v>53381</c:v>
                </c:pt>
                <c:pt idx="2009">
                  <c:v>53388</c:v>
                </c:pt>
                <c:pt idx="2010">
                  <c:v>53395</c:v>
                </c:pt>
                <c:pt idx="2011">
                  <c:v>53402</c:v>
                </c:pt>
                <c:pt idx="2012">
                  <c:v>53413</c:v>
                </c:pt>
                <c:pt idx="2013">
                  <c:v>53416</c:v>
                </c:pt>
                <c:pt idx="2014">
                  <c:v>53423</c:v>
                </c:pt>
                <c:pt idx="2015">
                  <c:v>53430</c:v>
                </c:pt>
                <c:pt idx="2016">
                  <c:v>53437</c:v>
                </c:pt>
                <c:pt idx="2017">
                  <c:v>53444</c:v>
                </c:pt>
                <c:pt idx="2018">
                  <c:v>53454</c:v>
                </c:pt>
                <c:pt idx="2019">
                  <c:v>53458</c:v>
                </c:pt>
                <c:pt idx="2020">
                  <c:v>53465</c:v>
                </c:pt>
                <c:pt idx="2021">
                  <c:v>53472</c:v>
                </c:pt>
                <c:pt idx="2022">
                  <c:v>53479</c:v>
                </c:pt>
                <c:pt idx="2023">
                  <c:v>53486</c:v>
                </c:pt>
                <c:pt idx="2024">
                  <c:v>53493</c:v>
                </c:pt>
                <c:pt idx="2025">
                  <c:v>53503</c:v>
                </c:pt>
                <c:pt idx="2026">
                  <c:v>53507</c:v>
                </c:pt>
                <c:pt idx="2027">
                  <c:v>53514</c:v>
                </c:pt>
                <c:pt idx="2028">
                  <c:v>53521</c:v>
                </c:pt>
                <c:pt idx="2029">
                  <c:v>53528</c:v>
                </c:pt>
                <c:pt idx="2030">
                  <c:v>53535</c:v>
                </c:pt>
                <c:pt idx="2031">
                  <c:v>53542</c:v>
                </c:pt>
                <c:pt idx="2032">
                  <c:v>53549</c:v>
                </c:pt>
                <c:pt idx="2033">
                  <c:v>53556</c:v>
                </c:pt>
                <c:pt idx="2034">
                  <c:v>53563</c:v>
                </c:pt>
                <c:pt idx="2035">
                  <c:v>53570</c:v>
                </c:pt>
                <c:pt idx="2036">
                  <c:v>53577</c:v>
                </c:pt>
                <c:pt idx="2037">
                  <c:v>53584</c:v>
                </c:pt>
                <c:pt idx="2038">
                  <c:v>53591</c:v>
                </c:pt>
                <c:pt idx="2039">
                  <c:v>53598</c:v>
                </c:pt>
                <c:pt idx="2040">
                  <c:v>53605</c:v>
                </c:pt>
                <c:pt idx="2041">
                  <c:v>53612</c:v>
                </c:pt>
                <c:pt idx="2042">
                  <c:v>53619</c:v>
                </c:pt>
                <c:pt idx="2043">
                  <c:v>53626</c:v>
                </c:pt>
                <c:pt idx="2044">
                  <c:v>53633</c:v>
                </c:pt>
                <c:pt idx="2045">
                  <c:v>53640</c:v>
                </c:pt>
                <c:pt idx="2046">
                  <c:v>53647</c:v>
                </c:pt>
                <c:pt idx="2047">
                  <c:v>53654</c:v>
                </c:pt>
                <c:pt idx="2048">
                  <c:v>53661</c:v>
                </c:pt>
                <c:pt idx="2049">
                  <c:v>53668</c:v>
                </c:pt>
                <c:pt idx="2050">
                  <c:v>53675</c:v>
                </c:pt>
                <c:pt idx="2051">
                  <c:v>53682</c:v>
                </c:pt>
                <c:pt idx="2052">
                  <c:v>53694</c:v>
                </c:pt>
                <c:pt idx="2053">
                  <c:v>53699</c:v>
                </c:pt>
                <c:pt idx="2054">
                  <c:v>53706</c:v>
                </c:pt>
                <c:pt idx="2055">
                  <c:v>53713</c:v>
                </c:pt>
                <c:pt idx="2056">
                  <c:v>53720</c:v>
                </c:pt>
                <c:pt idx="2057">
                  <c:v>53727</c:v>
                </c:pt>
                <c:pt idx="2058">
                  <c:v>53734</c:v>
                </c:pt>
                <c:pt idx="2059">
                  <c:v>53741</c:v>
                </c:pt>
                <c:pt idx="2060">
                  <c:v>53748</c:v>
                </c:pt>
                <c:pt idx="2061">
                  <c:v>53755</c:v>
                </c:pt>
                <c:pt idx="2062">
                  <c:v>53762</c:v>
                </c:pt>
                <c:pt idx="2063">
                  <c:v>53769</c:v>
                </c:pt>
                <c:pt idx="2064">
                  <c:v>53776</c:v>
                </c:pt>
                <c:pt idx="2065">
                  <c:v>53783</c:v>
                </c:pt>
                <c:pt idx="2066">
                  <c:v>53790</c:v>
                </c:pt>
                <c:pt idx="2067">
                  <c:v>53799</c:v>
                </c:pt>
                <c:pt idx="2068">
                  <c:v>53804</c:v>
                </c:pt>
                <c:pt idx="2069">
                  <c:v>53811</c:v>
                </c:pt>
                <c:pt idx="2070">
                  <c:v>53818</c:v>
                </c:pt>
                <c:pt idx="2071">
                  <c:v>53825</c:v>
                </c:pt>
                <c:pt idx="2072">
                  <c:v>53832</c:v>
                </c:pt>
                <c:pt idx="2073">
                  <c:v>53840</c:v>
                </c:pt>
                <c:pt idx="2074">
                  <c:v>53848</c:v>
                </c:pt>
                <c:pt idx="2075">
                  <c:v>53854</c:v>
                </c:pt>
                <c:pt idx="2076">
                  <c:v>53861</c:v>
                </c:pt>
                <c:pt idx="2077">
                  <c:v>53869</c:v>
                </c:pt>
                <c:pt idx="2078">
                  <c:v>53876</c:v>
                </c:pt>
                <c:pt idx="2079">
                  <c:v>53883</c:v>
                </c:pt>
                <c:pt idx="2080">
                  <c:v>53890</c:v>
                </c:pt>
                <c:pt idx="2081">
                  <c:v>53897</c:v>
                </c:pt>
                <c:pt idx="2082">
                  <c:v>53904</c:v>
                </c:pt>
                <c:pt idx="2083">
                  <c:v>53911</c:v>
                </c:pt>
                <c:pt idx="2084">
                  <c:v>53918</c:v>
                </c:pt>
                <c:pt idx="2085">
                  <c:v>53925</c:v>
                </c:pt>
                <c:pt idx="2086">
                  <c:v>53932</c:v>
                </c:pt>
                <c:pt idx="2087">
                  <c:v>53939</c:v>
                </c:pt>
                <c:pt idx="2088">
                  <c:v>53946</c:v>
                </c:pt>
                <c:pt idx="2089">
                  <c:v>53953</c:v>
                </c:pt>
                <c:pt idx="2090">
                  <c:v>53960</c:v>
                </c:pt>
                <c:pt idx="2091">
                  <c:v>53967</c:v>
                </c:pt>
                <c:pt idx="2092">
                  <c:v>53974</c:v>
                </c:pt>
                <c:pt idx="2093">
                  <c:v>53981</c:v>
                </c:pt>
                <c:pt idx="2094">
                  <c:v>53988</c:v>
                </c:pt>
                <c:pt idx="2095">
                  <c:v>53995</c:v>
                </c:pt>
                <c:pt idx="2096">
                  <c:v>54002</c:v>
                </c:pt>
                <c:pt idx="2097">
                  <c:v>54009</c:v>
                </c:pt>
                <c:pt idx="2098">
                  <c:v>54016</c:v>
                </c:pt>
                <c:pt idx="2099">
                  <c:v>54023</c:v>
                </c:pt>
                <c:pt idx="2100">
                  <c:v>54030</c:v>
                </c:pt>
                <c:pt idx="2101">
                  <c:v>54037</c:v>
                </c:pt>
                <c:pt idx="2102">
                  <c:v>54044</c:v>
                </c:pt>
                <c:pt idx="2103">
                  <c:v>54056</c:v>
                </c:pt>
                <c:pt idx="2104">
                  <c:v>54060</c:v>
                </c:pt>
                <c:pt idx="2105">
                  <c:v>54066</c:v>
                </c:pt>
                <c:pt idx="2106">
                  <c:v>54073</c:v>
                </c:pt>
                <c:pt idx="2107">
                  <c:v>54080</c:v>
                </c:pt>
                <c:pt idx="2108">
                  <c:v>54087</c:v>
                </c:pt>
                <c:pt idx="2109">
                  <c:v>54094</c:v>
                </c:pt>
                <c:pt idx="2110">
                  <c:v>54101</c:v>
                </c:pt>
                <c:pt idx="2111">
                  <c:v>54108</c:v>
                </c:pt>
                <c:pt idx="2112">
                  <c:v>54115</c:v>
                </c:pt>
                <c:pt idx="2113">
                  <c:v>54122</c:v>
                </c:pt>
                <c:pt idx="2114">
                  <c:v>54129</c:v>
                </c:pt>
                <c:pt idx="2115">
                  <c:v>54136</c:v>
                </c:pt>
                <c:pt idx="2116">
                  <c:v>54143</c:v>
                </c:pt>
                <c:pt idx="2117">
                  <c:v>54150</c:v>
                </c:pt>
                <c:pt idx="2118">
                  <c:v>54157</c:v>
                </c:pt>
                <c:pt idx="2119">
                  <c:v>54164</c:v>
                </c:pt>
                <c:pt idx="2120">
                  <c:v>54171</c:v>
                </c:pt>
                <c:pt idx="2121">
                  <c:v>54178</c:v>
                </c:pt>
                <c:pt idx="2122">
                  <c:v>54185</c:v>
                </c:pt>
                <c:pt idx="2123">
                  <c:v>54193</c:v>
                </c:pt>
                <c:pt idx="2124">
                  <c:v>54199</c:v>
                </c:pt>
                <c:pt idx="2125">
                  <c:v>54206</c:v>
                </c:pt>
                <c:pt idx="2126">
                  <c:v>54213</c:v>
                </c:pt>
                <c:pt idx="2127">
                  <c:v>54220</c:v>
                </c:pt>
                <c:pt idx="2128">
                  <c:v>54227</c:v>
                </c:pt>
                <c:pt idx="2129">
                  <c:v>54234</c:v>
                </c:pt>
                <c:pt idx="2130">
                  <c:v>54241</c:v>
                </c:pt>
                <c:pt idx="2131">
                  <c:v>54248</c:v>
                </c:pt>
                <c:pt idx="2132">
                  <c:v>54255</c:v>
                </c:pt>
                <c:pt idx="2133">
                  <c:v>54262</c:v>
                </c:pt>
                <c:pt idx="2134">
                  <c:v>54269</c:v>
                </c:pt>
                <c:pt idx="2135">
                  <c:v>54276</c:v>
                </c:pt>
                <c:pt idx="2136">
                  <c:v>54283</c:v>
                </c:pt>
                <c:pt idx="2137">
                  <c:v>54290</c:v>
                </c:pt>
                <c:pt idx="2138">
                  <c:v>54297</c:v>
                </c:pt>
                <c:pt idx="2139">
                  <c:v>54304</c:v>
                </c:pt>
                <c:pt idx="2140">
                  <c:v>54311</c:v>
                </c:pt>
                <c:pt idx="2141">
                  <c:v>54318</c:v>
                </c:pt>
                <c:pt idx="2142">
                  <c:v>54325</c:v>
                </c:pt>
                <c:pt idx="2143">
                  <c:v>54332</c:v>
                </c:pt>
                <c:pt idx="2144">
                  <c:v>54339</c:v>
                </c:pt>
                <c:pt idx="2145">
                  <c:v>54346</c:v>
                </c:pt>
                <c:pt idx="2146">
                  <c:v>54353</c:v>
                </c:pt>
                <c:pt idx="2147">
                  <c:v>54360</c:v>
                </c:pt>
                <c:pt idx="2148">
                  <c:v>54367</c:v>
                </c:pt>
                <c:pt idx="2149">
                  <c:v>54374</c:v>
                </c:pt>
                <c:pt idx="2150">
                  <c:v>54381</c:v>
                </c:pt>
                <c:pt idx="2151">
                  <c:v>54388</c:v>
                </c:pt>
                <c:pt idx="2152">
                  <c:v>54395</c:v>
                </c:pt>
                <c:pt idx="2153">
                  <c:v>54402</c:v>
                </c:pt>
                <c:pt idx="2154">
                  <c:v>54409</c:v>
                </c:pt>
                <c:pt idx="2155">
                  <c:v>54420</c:v>
                </c:pt>
                <c:pt idx="2156">
                  <c:v>54427</c:v>
                </c:pt>
                <c:pt idx="2157">
                  <c:v>54431</c:v>
                </c:pt>
                <c:pt idx="2158">
                  <c:v>54437</c:v>
                </c:pt>
                <c:pt idx="2159">
                  <c:v>54444</c:v>
                </c:pt>
                <c:pt idx="2160">
                  <c:v>54451</c:v>
                </c:pt>
                <c:pt idx="2161">
                  <c:v>54458</c:v>
                </c:pt>
                <c:pt idx="2162">
                  <c:v>54465</c:v>
                </c:pt>
                <c:pt idx="2163">
                  <c:v>54472</c:v>
                </c:pt>
                <c:pt idx="2164">
                  <c:v>54479</c:v>
                </c:pt>
                <c:pt idx="2165">
                  <c:v>54486</c:v>
                </c:pt>
                <c:pt idx="2166">
                  <c:v>54493</c:v>
                </c:pt>
                <c:pt idx="2167">
                  <c:v>54500</c:v>
                </c:pt>
                <c:pt idx="2168">
                  <c:v>54507</c:v>
                </c:pt>
                <c:pt idx="2169">
                  <c:v>54514</c:v>
                </c:pt>
                <c:pt idx="2170">
                  <c:v>54521</c:v>
                </c:pt>
                <c:pt idx="2171">
                  <c:v>54528</c:v>
                </c:pt>
                <c:pt idx="2172">
                  <c:v>54535</c:v>
                </c:pt>
                <c:pt idx="2173">
                  <c:v>54542</c:v>
                </c:pt>
                <c:pt idx="2174">
                  <c:v>54549</c:v>
                </c:pt>
                <c:pt idx="2175">
                  <c:v>54556</c:v>
                </c:pt>
                <c:pt idx="2176">
                  <c:v>54563</c:v>
                </c:pt>
                <c:pt idx="2177">
                  <c:v>54571</c:v>
                </c:pt>
                <c:pt idx="2178">
                  <c:v>54577</c:v>
                </c:pt>
                <c:pt idx="2179">
                  <c:v>54584</c:v>
                </c:pt>
                <c:pt idx="2180">
                  <c:v>54591</c:v>
                </c:pt>
                <c:pt idx="2181">
                  <c:v>54598</c:v>
                </c:pt>
                <c:pt idx="2182">
                  <c:v>54605</c:v>
                </c:pt>
                <c:pt idx="2183">
                  <c:v>54612</c:v>
                </c:pt>
                <c:pt idx="2184">
                  <c:v>54619</c:v>
                </c:pt>
                <c:pt idx="2185">
                  <c:v>54626</c:v>
                </c:pt>
                <c:pt idx="2186">
                  <c:v>54633</c:v>
                </c:pt>
                <c:pt idx="2187">
                  <c:v>54640</c:v>
                </c:pt>
                <c:pt idx="2188">
                  <c:v>54647</c:v>
                </c:pt>
                <c:pt idx="2189">
                  <c:v>54654</c:v>
                </c:pt>
                <c:pt idx="2190">
                  <c:v>54661</c:v>
                </c:pt>
                <c:pt idx="2191">
                  <c:v>54668</c:v>
                </c:pt>
                <c:pt idx="2192">
                  <c:v>54675</c:v>
                </c:pt>
                <c:pt idx="2193">
                  <c:v>54682</c:v>
                </c:pt>
                <c:pt idx="2194">
                  <c:v>54689</c:v>
                </c:pt>
                <c:pt idx="2195">
                  <c:v>54696</c:v>
                </c:pt>
                <c:pt idx="2196">
                  <c:v>54703</c:v>
                </c:pt>
                <c:pt idx="2197">
                  <c:v>54710</c:v>
                </c:pt>
                <c:pt idx="2198">
                  <c:v>54717</c:v>
                </c:pt>
                <c:pt idx="2199">
                  <c:v>54724</c:v>
                </c:pt>
                <c:pt idx="2200">
                  <c:v>54731</c:v>
                </c:pt>
                <c:pt idx="2201">
                  <c:v>54738</c:v>
                </c:pt>
                <c:pt idx="2202">
                  <c:v>54745</c:v>
                </c:pt>
                <c:pt idx="2203">
                  <c:v>54752</c:v>
                </c:pt>
                <c:pt idx="2204">
                  <c:v>54759</c:v>
                </c:pt>
                <c:pt idx="2205">
                  <c:v>54766</c:v>
                </c:pt>
                <c:pt idx="2206">
                  <c:v>54773</c:v>
                </c:pt>
                <c:pt idx="2207">
                  <c:v>54780</c:v>
                </c:pt>
                <c:pt idx="2208">
                  <c:v>54787</c:v>
                </c:pt>
                <c:pt idx="2209">
                  <c:v>54795</c:v>
                </c:pt>
                <c:pt idx="2210">
                  <c:v>54801</c:v>
                </c:pt>
                <c:pt idx="2211">
                  <c:v>54808</c:v>
                </c:pt>
                <c:pt idx="2212">
                  <c:v>54815</c:v>
                </c:pt>
                <c:pt idx="2213">
                  <c:v>54822</c:v>
                </c:pt>
                <c:pt idx="2214">
                  <c:v>54829</c:v>
                </c:pt>
                <c:pt idx="2215">
                  <c:v>54836</c:v>
                </c:pt>
                <c:pt idx="2216">
                  <c:v>54843</c:v>
                </c:pt>
                <c:pt idx="2217">
                  <c:v>54850</c:v>
                </c:pt>
                <c:pt idx="2218">
                  <c:v>54857</c:v>
                </c:pt>
                <c:pt idx="2219">
                  <c:v>54864</c:v>
                </c:pt>
                <c:pt idx="2220">
                  <c:v>54871</c:v>
                </c:pt>
                <c:pt idx="2221">
                  <c:v>54878</c:v>
                </c:pt>
                <c:pt idx="2222">
                  <c:v>54885</c:v>
                </c:pt>
                <c:pt idx="2223">
                  <c:v>54892</c:v>
                </c:pt>
                <c:pt idx="2224">
                  <c:v>54899</c:v>
                </c:pt>
                <c:pt idx="2225">
                  <c:v>54906</c:v>
                </c:pt>
                <c:pt idx="2226">
                  <c:v>54913</c:v>
                </c:pt>
                <c:pt idx="2227">
                  <c:v>54920</c:v>
                </c:pt>
                <c:pt idx="2228">
                  <c:v>54928</c:v>
                </c:pt>
                <c:pt idx="2229">
                  <c:v>54934</c:v>
                </c:pt>
                <c:pt idx="2230">
                  <c:v>54941</c:v>
                </c:pt>
                <c:pt idx="2231">
                  <c:v>54948</c:v>
                </c:pt>
                <c:pt idx="2232">
                  <c:v>54955</c:v>
                </c:pt>
                <c:pt idx="2233">
                  <c:v>54962</c:v>
                </c:pt>
                <c:pt idx="2234">
                  <c:v>54969</c:v>
                </c:pt>
                <c:pt idx="2235">
                  <c:v>54976</c:v>
                </c:pt>
                <c:pt idx="2236">
                  <c:v>54983</c:v>
                </c:pt>
                <c:pt idx="2237">
                  <c:v>54990</c:v>
                </c:pt>
                <c:pt idx="2238">
                  <c:v>54997</c:v>
                </c:pt>
                <c:pt idx="2239">
                  <c:v>55004</c:v>
                </c:pt>
                <c:pt idx="2240">
                  <c:v>55011</c:v>
                </c:pt>
                <c:pt idx="2241">
                  <c:v>55018</c:v>
                </c:pt>
                <c:pt idx="2242">
                  <c:v>55025</c:v>
                </c:pt>
                <c:pt idx="2243">
                  <c:v>55032</c:v>
                </c:pt>
                <c:pt idx="2244">
                  <c:v>55039</c:v>
                </c:pt>
                <c:pt idx="2245">
                  <c:v>55046</c:v>
                </c:pt>
                <c:pt idx="2246">
                  <c:v>55053</c:v>
                </c:pt>
                <c:pt idx="2247">
                  <c:v>55060</c:v>
                </c:pt>
                <c:pt idx="2248">
                  <c:v>55067</c:v>
                </c:pt>
                <c:pt idx="2249">
                  <c:v>55074</c:v>
                </c:pt>
                <c:pt idx="2250">
                  <c:v>55081</c:v>
                </c:pt>
                <c:pt idx="2251">
                  <c:v>55088</c:v>
                </c:pt>
                <c:pt idx="2252">
                  <c:v>55095</c:v>
                </c:pt>
                <c:pt idx="2253">
                  <c:v>55102</c:v>
                </c:pt>
                <c:pt idx="2254">
                  <c:v>55109</c:v>
                </c:pt>
                <c:pt idx="2255">
                  <c:v>55116</c:v>
                </c:pt>
                <c:pt idx="2256">
                  <c:v>55123</c:v>
                </c:pt>
                <c:pt idx="2257">
                  <c:v>55130</c:v>
                </c:pt>
                <c:pt idx="2258">
                  <c:v>55137</c:v>
                </c:pt>
                <c:pt idx="2259">
                  <c:v>55144</c:v>
                </c:pt>
                <c:pt idx="2260">
                  <c:v>55151</c:v>
                </c:pt>
                <c:pt idx="2261">
                  <c:v>55158</c:v>
                </c:pt>
                <c:pt idx="2262">
                  <c:v>55165</c:v>
                </c:pt>
                <c:pt idx="2263">
                  <c:v>55172</c:v>
                </c:pt>
                <c:pt idx="2264">
                  <c:v>55179</c:v>
                </c:pt>
                <c:pt idx="2265">
                  <c:v>55186</c:v>
                </c:pt>
                <c:pt idx="2266">
                  <c:v>55193</c:v>
                </c:pt>
                <c:pt idx="2267">
                  <c:v>55200</c:v>
                </c:pt>
                <c:pt idx="2268">
                  <c:v>55207</c:v>
                </c:pt>
                <c:pt idx="2269">
                  <c:v>55214</c:v>
                </c:pt>
                <c:pt idx="2270">
                  <c:v>55221</c:v>
                </c:pt>
                <c:pt idx="2271">
                  <c:v>55228</c:v>
                </c:pt>
                <c:pt idx="2272">
                  <c:v>55235</c:v>
                </c:pt>
                <c:pt idx="2273">
                  <c:v>55242</c:v>
                </c:pt>
                <c:pt idx="2274">
                  <c:v>55249</c:v>
                </c:pt>
                <c:pt idx="2275">
                  <c:v>55256</c:v>
                </c:pt>
                <c:pt idx="2276">
                  <c:v>55263</c:v>
                </c:pt>
                <c:pt idx="2277">
                  <c:v>55270</c:v>
                </c:pt>
                <c:pt idx="2278">
                  <c:v>55277</c:v>
                </c:pt>
                <c:pt idx="2279">
                  <c:v>55285</c:v>
                </c:pt>
                <c:pt idx="2280">
                  <c:v>55291</c:v>
                </c:pt>
                <c:pt idx="2281">
                  <c:v>55298</c:v>
                </c:pt>
                <c:pt idx="2282">
                  <c:v>55305</c:v>
                </c:pt>
                <c:pt idx="2283">
                  <c:v>55312</c:v>
                </c:pt>
                <c:pt idx="2284">
                  <c:v>55319</c:v>
                </c:pt>
                <c:pt idx="2285">
                  <c:v>55326</c:v>
                </c:pt>
                <c:pt idx="2286">
                  <c:v>55333</c:v>
                </c:pt>
                <c:pt idx="2287">
                  <c:v>55340</c:v>
                </c:pt>
                <c:pt idx="2288">
                  <c:v>55347</c:v>
                </c:pt>
                <c:pt idx="2289">
                  <c:v>55354</c:v>
                </c:pt>
                <c:pt idx="2290">
                  <c:v>55361</c:v>
                </c:pt>
                <c:pt idx="2291">
                  <c:v>55368</c:v>
                </c:pt>
                <c:pt idx="2292">
                  <c:v>55375</c:v>
                </c:pt>
                <c:pt idx="2293">
                  <c:v>55382</c:v>
                </c:pt>
                <c:pt idx="2294">
                  <c:v>55389</c:v>
                </c:pt>
                <c:pt idx="2295">
                  <c:v>55396</c:v>
                </c:pt>
                <c:pt idx="2296">
                  <c:v>55403</c:v>
                </c:pt>
                <c:pt idx="2297">
                  <c:v>55410</c:v>
                </c:pt>
                <c:pt idx="2298">
                  <c:v>55417</c:v>
                </c:pt>
                <c:pt idx="2299">
                  <c:v>55424</c:v>
                </c:pt>
                <c:pt idx="2300">
                  <c:v>55431</c:v>
                </c:pt>
                <c:pt idx="2301">
                  <c:v>55438</c:v>
                </c:pt>
                <c:pt idx="2302">
                  <c:v>55445</c:v>
                </c:pt>
                <c:pt idx="2303">
                  <c:v>55452</c:v>
                </c:pt>
                <c:pt idx="2304">
                  <c:v>55459</c:v>
                </c:pt>
                <c:pt idx="2305">
                  <c:v>55466</c:v>
                </c:pt>
                <c:pt idx="2306">
                  <c:v>55473</c:v>
                </c:pt>
                <c:pt idx="2307">
                  <c:v>55480</c:v>
                </c:pt>
                <c:pt idx="2308">
                  <c:v>55487</c:v>
                </c:pt>
                <c:pt idx="2309">
                  <c:v>55494</c:v>
                </c:pt>
                <c:pt idx="2310">
                  <c:v>55501</c:v>
                </c:pt>
                <c:pt idx="2311">
                  <c:v>55508</c:v>
                </c:pt>
                <c:pt idx="2312">
                  <c:v>55516</c:v>
                </c:pt>
                <c:pt idx="2313">
                  <c:v>55523</c:v>
                </c:pt>
                <c:pt idx="2314">
                  <c:v>55530</c:v>
                </c:pt>
                <c:pt idx="2315">
                  <c:v>55537</c:v>
                </c:pt>
                <c:pt idx="2316">
                  <c:v>55544</c:v>
                </c:pt>
                <c:pt idx="2317">
                  <c:v>55551</c:v>
                </c:pt>
                <c:pt idx="2318">
                  <c:v>55558</c:v>
                </c:pt>
                <c:pt idx="2319">
                  <c:v>55565</c:v>
                </c:pt>
                <c:pt idx="2320">
                  <c:v>55572</c:v>
                </c:pt>
                <c:pt idx="2321">
                  <c:v>55579</c:v>
                </c:pt>
                <c:pt idx="2322">
                  <c:v>55586</c:v>
                </c:pt>
                <c:pt idx="2323">
                  <c:v>55593</c:v>
                </c:pt>
                <c:pt idx="2324">
                  <c:v>55600</c:v>
                </c:pt>
                <c:pt idx="2325">
                  <c:v>55607</c:v>
                </c:pt>
                <c:pt idx="2326">
                  <c:v>55614</c:v>
                </c:pt>
                <c:pt idx="2327">
                  <c:v>55621</c:v>
                </c:pt>
                <c:pt idx="2328">
                  <c:v>55632</c:v>
                </c:pt>
                <c:pt idx="2329">
                  <c:v>55635</c:v>
                </c:pt>
                <c:pt idx="2330">
                  <c:v>55645</c:v>
                </c:pt>
                <c:pt idx="2331">
                  <c:v>55652</c:v>
                </c:pt>
                <c:pt idx="2332">
                  <c:v>55659</c:v>
                </c:pt>
                <c:pt idx="2333">
                  <c:v>55666</c:v>
                </c:pt>
                <c:pt idx="2334">
                  <c:v>55674</c:v>
                </c:pt>
                <c:pt idx="2335">
                  <c:v>55682</c:v>
                </c:pt>
                <c:pt idx="2336">
                  <c:v>55688</c:v>
                </c:pt>
                <c:pt idx="2337">
                  <c:v>55696</c:v>
                </c:pt>
                <c:pt idx="2338">
                  <c:v>55703</c:v>
                </c:pt>
                <c:pt idx="2339">
                  <c:v>55710</c:v>
                </c:pt>
                <c:pt idx="2340">
                  <c:v>55717</c:v>
                </c:pt>
                <c:pt idx="2341">
                  <c:v>55724</c:v>
                </c:pt>
                <c:pt idx="2342">
                  <c:v>55731</c:v>
                </c:pt>
                <c:pt idx="2343">
                  <c:v>55738</c:v>
                </c:pt>
                <c:pt idx="2344">
                  <c:v>55745</c:v>
                </c:pt>
                <c:pt idx="2345">
                  <c:v>55752</c:v>
                </c:pt>
                <c:pt idx="2346">
                  <c:v>55759</c:v>
                </c:pt>
                <c:pt idx="2347">
                  <c:v>55766</c:v>
                </c:pt>
                <c:pt idx="2348">
                  <c:v>55773</c:v>
                </c:pt>
                <c:pt idx="2349">
                  <c:v>55780</c:v>
                </c:pt>
                <c:pt idx="2350">
                  <c:v>55787</c:v>
                </c:pt>
                <c:pt idx="2351">
                  <c:v>55794</c:v>
                </c:pt>
                <c:pt idx="2352">
                  <c:v>55801</c:v>
                </c:pt>
                <c:pt idx="2353">
                  <c:v>55808</c:v>
                </c:pt>
                <c:pt idx="2354">
                  <c:v>55815</c:v>
                </c:pt>
                <c:pt idx="2355">
                  <c:v>55822</c:v>
                </c:pt>
                <c:pt idx="2356">
                  <c:v>55829</c:v>
                </c:pt>
                <c:pt idx="2357">
                  <c:v>55836</c:v>
                </c:pt>
                <c:pt idx="2358">
                  <c:v>55843</c:v>
                </c:pt>
                <c:pt idx="2359">
                  <c:v>55850</c:v>
                </c:pt>
                <c:pt idx="2360">
                  <c:v>55857</c:v>
                </c:pt>
                <c:pt idx="2361">
                  <c:v>55864</c:v>
                </c:pt>
                <c:pt idx="2362">
                  <c:v>55871</c:v>
                </c:pt>
                <c:pt idx="2363">
                  <c:v>55883</c:v>
                </c:pt>
                <c:pt idx="2364">
                  <c:v>55887</c:v>
                </c:pt>
                <c:pt idx="2365">
                  <c:v>55893</c:v>
                </c:pt>
                <c:pt idx="2366">
                  <c:v>55900</c:v>
                </c:pt>
                <c:pt idx="2367">
                  <c:v>55907</c:v>
                </c:pt>
                <c:pt idx="2368">
                  <c:v>55914</c:v>
                </c:pt>
                <c:pt idx="2369">
                  <c:v>55921</c:v>
                </c:pt>
                <c:pt idx="2370">
                  <c:v>55928</c:v>
                </c:pt>
                <c:pt idx="2371">
                  <c:v>55935</c:v>
                </c:pt>
                <c:pt idx="2372">
                  <c:v>55942</c:v>
                </c:pt>
                <c:pt idx="2373">
                  <c:v>55949</c:v>
                </c:pt>
                <c:pt idx="2374">
                  <c:v>55956</c:v>
                </c:pt>
                <c:pt idx="2375">
                  <c:v>55963</c:v>
                </c:pt>
                <c:pt idx="2376">
                  <c:v>55970</c:v>
                </c:pt>
                <c:pt idx="2377">
                  <c:v>55977</c:v>
                </c:pt>
                <c:pt idx="2378">
                  <c:v>55984</c:v>
                </c:pt>
                <c:pt idx="2379">
                  <c:v>55991</c:v>
                </c:pt>
                <c:pt idx="2380">
                  <c:v>55998</c:v>
                </c:pt>
                <c:pt idx="2381">
                  <c:v>56006</c:v>
                </c:pt>
                <c:pt idx="2382">
                  <c:v>56012</c:v>
                </c:pt>
                <c:pt idx="2383">
                  <c:v>56020</c:v>
                </c:pt>
                <c:pt idx="2384">
                  <c:v>56026</c:v>
                </c:pt>
                <c:pt idx="2385">
                  <c:v>56033</c:v>
                </c:pt>
                <c:pt idx="2386">
                  <c:v>56040</c:v>
                </c:pt>
                <c:pt idx="2387">
                  <c:v>56047</c:v>
                </c:pt>
                <c:pt idx="2388">
                  <c:v>56054</c:v>
                </c:pt>
                <c:pt idx="2389">
                  <c:v>56061</c:v>
                </c:pt>
                <c:pt idx="2390">
                  <c:v>56068</c:v>
                </c:pt>
                <c:pt idx="2391">
                  <c:v>56075</c:v>
                </c:pt>
                <c:pt idx="2392">
                  <c:v>56082</c:v>
                </c:pt>
                <c:pt idx="2393">
                  <c:v>56089</c:v>
                </c:pt>
                <c:pt idx="2394">
                  <c:v>56096</c:v>
                </c:pt>
                <c:pt idx="2395">
                  <c:v>56103</c:v>
                </c:pt>
                <c:pt idx="2396">
                  <c:v>56110</c:v>
                </c:pt>
                <c:pt idx="2397">
                  <c:v>56117</c:v>
                </c:pt>
                <c:pt idx="2398">
                  <c:v>56124</c:v>
                </c:pt>
                <c:pt idx="2399">
                  <c:v>56131</c:v>
                </c:pt>
                <c:pt idx="2400">
                  <c:v>56138</c:v>
                </c:pt>
                <c:pt idx="2401">
                  <c:v>56145</c:v>
                </c:pt>
                <c:pt idx="2402">
                  <c:v>56152</c:v>
                </c:pt>
                <c:pt idx="2403">
                  <c:v>56159</c:v>
                </c:pt>
                <c:pt idx="2404">
                  <c:v>56166</c:v>
                </c:pt>
                <c:pt idx="2405">
                  <c:v>56173</c:v>
                </c:pt>
                <c:pt idx="2406">
                  <c:v>56180</c:v>
                </c:pt>
                <c:pt idx="2407">
                  <c:v>56187</c:v>
                </c:pt>
                <c:pt idx="2408">
                  <c:v>56194</c:v>
                </c:pt>
                <c:pt idx="2409">
                  <c:v>56201</c:v>
                </c:pt>
                <c:pt idx="2410">
                  <c:v>56208</c:v>
                </c:pt>
                <c:pt idx="2411">
                  <c:v>56215</c:v>
                </c:pt>
                <c:pt idx="2412">
                  <c:v>56222</c:v>
                </c:pt>
                <c:pt idx="2413">
                  <c:v>56229</c:v>
                </c:pt>
                <c:pt idx="2414">
                  <c:v>56236</c:v>
                </c:pt>
                <c:pt idx="2415">
                  <c:v>56248</c:v>
                </c:pt>
                <c:pt idx="2416">
                  <c:v>56254</c:v>
                </c:pt>
                <c:pt idx="2417">
                  <c:v>56258</c:v>
                </c:pt>
                <c:pt idx="2418">
                  <c:v>56265</c:v>
                </c:pt>
                <c:pt idx="2419">
                  <c:v>56272</c:v>
                </c:pt>
                <c:pt idx="2420">
                  <c:v>56279</c:v>
                </c:pt>
                <c:pt idx="2421">
                  <c:v>56286</c:v>
                </c:pt>
                <c:pt idx="2422">
                  <c:v>56293</c:v>
                </c:pt>
                <c:pt idx="2423">
                  <c:v>56300</c:v>
                </c:pt>
                <c:pt idx="2424">
                  <c:v>56307</c:v>
                </c:pt>
                <c:pt idx="2425">
                  <c:v>56314</c:v>
                </c:pt>
                <c:pt idx="2426">
                  <c:v>56321</c:v>
                </c:pt>
                <c:pt idx="2427">
                  <c:v>56328</c:v>
                </c:pt>
                <c:pt idx="2428">
                  <c:v>56339</c:v>
                </c:pt>
                <c:pt idx="2429">
                  <c:v>56342</c:v>
                </c:pt>
                <c:pt idx="2430">
                  <c:v>56349</c:v>
                </c:pt>
                <c:pt idx="2431">
                  <c:v>56356</c:v>
                </c:pt>
                <c:pt idx="2432">
                  <c:v>56363</c:v>
                </c:pt>
                <c:pt idx="2433">
                  <c:v>56373</c:v>
                </c:pt>
                <c:pt idx="2434">
                  <c:v>56380</c:v>
                </c:pt>
                <c:pt idx="2435">
                  <c:v>56384</c:v>
                </c:pt>
                <c:pt idx="2436">
                  <c:v>56391</c:v>
                </c:pt>
                <c:pt idx="2437">
                  <c:v>56398</c:v>
                </c:pt>
                <c:pt idx="2438">
                  <c:v>56405</c:v>
                </c:pt>
                <c:pt idx="2439">
                  <c:v>56412</c:v>
                </c:pt>
                <c:pt idx="2440">
                  <c:v>56422</c:v>
                </c:pt>
                <c:pt idx="2441">
                  <c:v>56426</c:v>
                </c:pt>
                <c:pt idx="2442">
                  <c:v>56433</c:v>
                </c:pt>
                <c:pt idx="2443">
                  <c:v>56440</c:v>
                </c:pt>
                <c:pt idx="2444">
                  <c:v>56447</c:v>
                </c:pt>
                <c:pt idx="2445">
                  <c:v>56454</c:v>
                </c:pt>
                <c:pt idx="2446">
                  <c:v>56461</c:v>
                </c:pt>
                <c:pt idx="2447">
                  <c:v>56468</c:v>
                </c:pt>
                <c:pt idx="2448">
                  <c:v>56475</c:v>
                </c:pt>
                <c:pt idx="2449">
                  <c:v>56482</c:v>
                </c:pt>
                <c:pt idx="2450">
                  <c:v>56489</c:v>
                </c:pt>
                <c:pt idx="2451">
                  <c:v>56496</c:v>
                </c:pt>
                <c:pt idx="2452">
                  <c:v>56503</c:v>
                </c:pt>
                <c:pt idx="2453">
                  <c:v>56510</c:v>
                </c:pt>
                <c:pt idx="2454">
                  <c:v>56517</c:v>
                </c:pt>
                <c:pt idx="2455">
                  <c:v>56524</c:v>
                </c:pt>
                <c:pt idx="2456">
                  <c:v>56531</c:v>
                </c:pt>
                <c:pt idx="2457">
                  <c:v>56538</c:v>
                </c:pt>
                <c:pt idx="2458">
                  <c:v>56545</c:v>
                </c:pt>
                <c:pt idx="2459">
                  <c:v>56552</c:v>
                </c:pt>
                <c:pt idx="2460">
                  <c:v>56559</c:v>
                </c:pt>
                <c:pt idx="2461">
                  <c:v>56566</c:v>
                </c:pt>
                <c:pt idx="2462">
                  <c:v>56573</c:v>
                </c:pt>
                <c:pt idx="2463">
                  <c:v>56580</c:v>
                </c:pt>
                <c:pt idx="2464">
                  <c:v>56587</c:v>
                </c:pt>
                <c:pt idx="2465">
                  <c:v>56594</c:v>
                </c:pt>
                <c:pt idx="2466">
                  <c:v>56601</c:v>
                </c:pt>
                <c:pt idx="2467">
                  <c:v>56612</c:v>
                </c:pt>
                <c:pt idx="2468">
                  <c:v>56619</c:v>
                </c:pt>
                <c:pt idx="2469">
                  <c:v>56625</c:v>
                </c:pt>
                <c:pt idx="2470">
                  <c:v>56632</c:v>
                </c:pt>
                <c:pt idx="2471">
                  <c:v>56639</c:v>
                </c:pt>
                <c:pt idx="2472">
                  <c:v>56646</c:v>
                </c:pt>
                <c:pt idx="2473">
                  <c:v>56653</c:v>
                </c:pt>
                <c:pt idx="2474">
                  <c:v>56660</c:v>
                </c:pt>
                <c:pt idx="2475">
                  <c:v>56667</c:v>
                </c:pt>
                <c:pt idx="2476">
                  <c:v>56674</c:v>
                </c:pt>
                <c:pt idx="2477">
                  <c:v>56681</c:v>
                </c:pt>
                <c:pt idx="2478">
                  <c:v>56688</c:v>
                </c:pt>
                <c:pt idx="2479">
                  <c:v>56695</c:v>
                </c:pt>
                <c:pt idx="2480">
                  <c:v>56702</c:v>
                </c:pt>
                <c:pt idx="2481">
                  <c:v>56709</c:v>
                </c:pt>
                <c:pt idx="2482">
                  <c:v>56716</c:v>
                </c:pt>
                <c:pt idx="2483">
                  <c:v>56725</c:v>
                </c:pt>
                <c:pt idx="2484">
                  <c:v>56730</c:v>
                </c:pt>
                <c:pt idx="2485">
                  <c:v>56737</c:v>
                </c:pt>
                <c:pt idx="2486">
                  <c:v>56744</c:v>
                </c:pt>
                <c:pt idx="2487">
                  <c:v>56751</c:v>
                </c:pt>
                <c:pt idx="2488">
                  <c:v>56758</c:v>
                </c:pt>
                <c:pt idx="2489">
                  <c:v>56766</c:v>
                </c:pt>
                <c:pt idx="2490">
                  <c:v>56774</c:v>
                </c:pt>
                <c:pt idx="2491">
                  <c:v>56780</c:v>
                </c:pt>
                <c:pt idx="2492">
                  <c:v>56787</c:v>
                </c:pt>
                <c:pt idx="2493">
                  <c:v>56795</c:v>
                </c:pt>
                <c:pt idx="2494">
                  <c:v>56802</c:v>
                </c:pt>
                <c:pt idx="2495">
                  <c:v>56809</c:v>
                </c:pt>
                <c:pt idx="2496">
                  <c:v>56816</c:v>
                </c:pt>
                <c:pt idx="2497">
                  <c:v>56823</c:v>
                </c:pt>
                <c:pt idx="2498">
                  <c:v>56830</c:v>
                </c:pt>
                <c:pt idx="2499">
                  <c:v>56837</c:v>
                </c:pt>
                <c:pt idx="2500">
                  <c:v>56844</c:v>
                </c:pt>
                <c:pt idx="2501">
                  <c:v>56851</c:v>
                </c:pt>
                <c:pt idx="2502">
                  <c:v>56858</c:v>
                </c:pt>
                <c:pt idx="2503">
                  <c:v>56865</c:v>
                </c:pt>
                <c:pt idx="2504">
                  <c:v>56872</c:v>
                </c:pt>
                <c:pt idx="2505">
                  <c:v>56879</c:v>
                </c:pt>
                <c:pt idx="2506">
                  <c:v>56886</c:v>
                </c:pt>
                <c:pt idx="2507">
                  <c:v>56893</c:v>
                </c:pt>
                <c:pt idx="2508">
                  <c:v>56900</c:v>
                </c:pt>
                <c:pt idx="2509">
                  <c:v>56907</c:v>
                </c:pt>
                <c:pt idx="2510">
                  <c:v>56914</c:v>
                </c:pt>
                <c:pt idx="2511">
                  <c:v>56921</c:v>
                </c:pt>
                <c:pt idx="2512">
                  <c:v>56928</c:v>
                </c:pt>
                <c:pt idx="2513">
                  <c:v>56935</c:v>
                </c:pt>
                <c:pt idx="2514">
                  <c:v>56942</c:v>
                </c:pt>
                <c:pt idx="2515">
                  <c:v>56949</c:v>
                </c:pt>
                <c:pt idx="2516">
                  <c:v>56956</c:v>
                </c:pt>
                <c:pt idx="2517">
                  <c:v>56963</c:v>
                </c:pt>
                <c:pt idx="2518">
                  <c:v>56970</c:v>
                </c:pt>
                <c:pt idx="2519">
                  <c:v>56977</c:v>
                </c:pt>
                <c:pt idx="2520">
                  <c:v>56984</c:v>
                </c:pt>
                <c:pt idx="2521">
                  <c:v>56991</c:v>
                </c:pt>
                <c:pt idx="2522">
                  <c:v>56998</c:v>
                </c:pt>
                <c:pt idx="2523">
                  <c:v>57005</c:v>
                </c:pt>
                <c:pt idx="2524">
                  <c:v>57012</c:v>
                </c:pt>
                <c:pt idx="2525">
                  <c:v>57019</c:v>
                </c:pt>
                <c:pt idx="2526">
                  <c:v>57026</c:v>
                </c:pt>
                <c:pt idx="2527">
                  <c:v>57033</c:v>
                </c:pt>
                <c:pt idx="2528">
                  <c:v>57040</c:v>
                </c:pt>
                <c:pt idx="2529">
                  <c:v>57047</c:v>
                </c:pt>
                <c:pt idx="2530">
                  <c:v>57054</c:v>
                </c:pt>
                <c:pt idx="2531">
                  <c:v>57061</c:v>
                </c:pt>
                <c:pt idx="2532">
                  <c:v>57068</c:v>
                </c:pt>
                <c:pt idx="2533">
                  <c:v>57076</c:v>
                </c:pt>
                <c:pt idx="2534">
                  <c:v>57083</c:v>
                </c:pt>
                <c:pt idx="2535">
                  <c:v>57090</c:v>
                </c:pt>
                <c:pt idx="2536">
                  <c:v>57097</c:v>
                </c:pt>
                <c:pt idx="2537">
                  <c:v>57104</c:v>
                </c:pt>
                <c:pt idx="2538">
                  <c:v>57112</c:v>
                </c:pt>
                <c:pt idx="2539">
                  <c:v>57118</c:v>
                </c:pt>
                <c:pt idx="2540">
                  <c:v>57125</c:v>
                </c:pt>
                <c:pt idx="2541">
                  <c:v>57132</c:v>
                </c:pt>
                <c:pt idx="2542">
                  <c:v>57139</c:v>
                </c:pt>
                <c:pt idx="2543">
                  <c:v>57146</c:v>
                </c:pt>
                <c:pt idx="2544">
                  <c:v>57153</c:v>
                </c:pt>
                <c:pt idx="2545">
                  <c:v>57160</c:v>
                </c:pt>
                <c:pt idx="2546">
                  <c:v>57167</c:v>
                </c:pt>
                <c:pt idx="2547">
                  <c:v>57174</c:v>
                </c:pt>
                <c:pt idx="2548">
                  <c:v>57181</c:v>
                </c:pt>
                <c:pt idx="2549">
                  <c:v>57188</c:v>
                </c:pt>
                <c:pt idx="2550">
                  <c:v>57195</c:v>
                </c:pt>
                <c:pt idx="2551">
                  <c:v>57202</c:v>
                </c:pt>
                <c:pt idx="2552">
                  <c:v>57209</c:v>
                </c:pt>
                <c:pt idx="2553">
                  <c:v>57216</c:v>
                </c:pt>
                <c:pt idx="2554">
                  <c:v>57223</c:v>
                </c:pt>
                <c:pt idx="2555">
                  <c:v>57230</c:v>
                </c:pt>
                <c:pt idx="2556">
                  <c:v>57237</c:v>
                </c:pt>
                <c:pt idx="2557">
                  <c:v>57244</c:v>
                </c:pt>
                <c:pt idx="2558">
                  <c:v>57251</c:v>
                </c:pt>
                <c:pt idx="2559">
                  <c:v>57258</c:v>
                </c:pt>
                <c:pt idx="2560">
                  <c:v>57265</c:v>
                </c:pt>
                <c:pt idx="2561">
                  <c:v>57272</c:v>
                </c:pt>
                <c:pt idx="2562">
                  <c:v>57279</c:v>
                </c:pt>
                <c:pt idx="2563">
                  <c:v>57286</c:v>
                </c:pt>
                <c:pt idx="2564">
                  <c:v>57293</c:v>
                </c:pt>
                <c:pt idx="2565">
                  <c:v>57300</c:v>
                </c:pt>
                <c:pt idx="2566">
                  <c:v>57307</c:v>
                </c:pt>
                <c:pt idx="2567">
                  <c:v>57314</c:v>
                </c:pt>
                <c:pt idx="2568">
                  <c:v>57321</c:v>
                </c:pt>
                <c:pt idx="2569">
                  <c:v>57328</c:v>
                </c:pt>
                <c:pt idx="2570">
                  <c:v>57335</c:v>
                </c:pt>
                <c:pt idx="2571">
                  <c:v>57343</c:v>
                </c:pt>
                <c:pt idx="2572">
                  <c:v>57350</c:v>
                </c:pt>
                <c:pt idx="2573">
                  <c:v>57357</c:v>
                </c:pt>
                <c:pt idx="2574">
                  <c:v>57364</c:v>
                </c:pt>
                <c:pt idx="2575">
                  <c:v>57371</c:v>
                </c:pt>
                <c:pt idx="2576">
                  <c:v>57378</c:v>
                </c:pt>
                <c:pt idx="2577">
                  <c:v>57385</c:v>
                </c:pt>
                <c:pt idx="2578">
                  <c:v>57392</c:v>
                </c:pt>
                <c:pt idx="2579">
                  <c:v>57399</c:v>
                </c:pt>
                <c:pt idx="2580">
                  <c:v>57406</c:v>
                </c:pt>
                <c:pt idx="2581">
                  <c:v>57413</c:v>
                </c:pt>
                <c:pt idx="2582">
                  <c:v>57420</c:v>
                </c:pt>
                <c:pt idx="2583">
                  <c:v>57427</c:v>
                </c:pt>
                <c:pt idx="2584">
                  <c:v>57434</c:v>
                </c:pt>
                <c:pt idx="2585">
                  <c:v>57441</c:v>
                </c:pt>
                <c:pt idx="2586">
                  <c:v>57448</c:v>
                </c:pt>
                <c:pt idx="2587">
                  <c:v>57459</c:v>
                </c:pt>
                <c:pt idx="2588">
                  <c:v>57462</c:v>
                </c:pt>
                <c:pt idx="2589">
                  <c:v>57469</c:v>
                </c:pt>
                <c:pt idx="2590">
                  <c:v>57476</c:v>
                </c:pt>
                <c:pt idx="2591">
                  <c:v>57483</c:v>
                </c:pt>
                <c:pt idx="2592">
                  <c:v>57490</c:v>
                </c:pt>
                <c:pt idx="2593">
                  <c:v>57500</c:v>
                </c:pt>
                <c:pt idx="2594">
                  <c:v>57504</c:v>
                </c:pt>
                <c:pt idx="2595">
                  <c:v>57511</c:v>
                </c:pt>
                <c:pt idx="2596">
                  <c:v>57521</c:v>
                </c:pt>
                <c:pt idx="2597">
                  <c:v>57525</c:v>
                </c:pt>
                <c:pt idx="2598">
                  <c:v>57532</c:v>
                </c:pt>
                <c:pt idx="2599">
                  <c:v>57539</c:v>
                </c:pt>
                <c:pt idx="2600">
                  <c:v>57546</c:v>
                </c:pt>
                <c:pt idx="2601">
                  <c:v>57553</c:v>
                </c:pt>
                <c:pt idx="2602">
                  <c:v>57560</c:v>
                </c:pt>
                <c:pt idx="2603">
                  <c:v>57567</c:v>
                </c:pt>
                <c:pt idx="2604">
                  <c:v>57574</c:v>
                </c:pt>
                <c:pt idx="2605">
                  <c:v>57581</c:v>
                </c:pt>
                <c:pt idx="2606">
                  <c:v>57588</c:v>
                </c:pt>
                <c:pt idx="2607">
                  <c:v>57595</c:v>
                </c:pt>
                <c:pt idx="2608">
                  <c:v>57602</c:v>
                </c:pt>
                <c:pt idx="2609">
                  <c:v>57609</c:v>
                </c:pt>
                <c:pt idx="2610">
                  <c:v>57616</c:v>
                </c:pt>
                <c:pt idx="2611">
                  <c:v>57623</c:v>
                </c:pt>
                <c:pt idx="2612">
                  <c:v>57630</c:v>
                </c:pt>
                <c:pt idx="2613">
                  <c:v>57637</c:v>
                </c:pt>
                <c:pt idx="2614">
                  <c:v>57644</c:v>
                </c:pt>
                <c:pt idx="2615">
                  <c:v>57651</c:v>
                </c:pt>
                <c:pt idx="2616">
                  <c:v>57658</c:v>
                </c:pt>
                <c:pt idx="2617">
                  <c:v>57665</c:v>
                </c:pt>
                <c:pt idx="2618">
                  <c:v>57672</c:v>
                </c:pt>
                <c:pt idx="2619">
                  <c:v>57679</c:v>
                </c:pt>
                <c:pt idx="2620">
                  <c:v>57686</c:v>
                </c:pt>
                <c:pt idx="2621">
                  <c:v>57693</c:v>
                </c:pt>
                <c:pt idx="2622">
                  <c:v>57700</c:v>
                </c:pt>
                <c:pt idx="2623">
                  <c:v>57712</c:v>
                </c:pt>
                <c:pt idx="2624">
                  <c:v>57717</c:v>
                </c:pt>
                <c:pt idx="2625">
                  <c:v>57724</c:v>
                </c:pt>
                <c:pt idx="2626">
                  <c:v>57731</c:v>
                </c:pt>
                <c:pt idx="2627">
                  <c:v>57738</c:v>
                </c:pt>
                <c:pt idx="2628">
                  <c:v>57745</c:v>
                </c:pt>
                <c:pt idx="2629">
                  <c:v>57752</c:v>
                </c:pt>
                <c:pt idx="2630">
                  <c:v>57759</c:v>
                </c:pt>
                <c:pt idx="2631">
                  <c:v>57766</c:v>
                </c:pt>
                <c:pt idx="2632">
                  <c:v>57773</c:v>
                </c:pt>
                <c:pt idx="2633">
                  <c:v>57780</c:v>
                </c:pt>
                <c:pt idx="2634">
                  <c:v>57787</c:v>
                </c:pt>
                <c:pt idx="2635">
                  <c:v>57794</c:v>
                </c:pt>
                <c:pt idx="2636">
                  <c:v>57801</c:v>
                </c:pt>
                <c:pt idx="2637">
                  <c:v>57808</c:v>
                </c:pt>
                <c:pt idx="2638">
                  <c:v>57817</c:v>
                </c:pt>
                <c:pt idx="2639">
                  <c:v>57822</c:v>
                </c:pt>
                <c:pt idx="2640">
                  <c:v>57829</c:v>
                </c:pt>
                <c:pt idx="2641">
                  <c:v>57836</c:v>
                </c:pt>
                <c:pt idx="2642">
                  <c:v>57843</c:v>
                </c:pt>
                <c:pt idx="2643">
                  <c:v>57850</c:v>
                </c:pt>
                <c:pt idx="2644">
                  <c:v>57858</c:v>
                </c:pt>
                <c:pt idx="2645">
                  <c:v>57866</c:v>
                </c:pt>
                <c:pt idx="2646">
                  <c:v>57872</c:v>
                </c:pt>
                <c:pt idx="2647">
                  <c:v>57879</c:v>
                </c:pt>
                <c:pt idx="2648">
                  <c:v>57887</c:v>
                </c:pt>
                <c:pt idx="2649">
                  <c:v>57894</c:v>
                </c:pt>
                <c:pt idx="2650">
                  <c:v>57901</c:v>
                </c:pt>
                <c:pt idx="2651">
                  <c:v>57908</c:v>
                </c:pt>
                <c:pt idx="2652">
                  <c:v>57915</c:v>
                </c:pt>
                <c:pt idx="2653">
                  <c:v>57922</c:v>
                </c:pt>
                <c:pt idx="2654">
                  <c:v>57929</c:v>
                </c:pt>
                <c:pt idx="2655">
                  <c:v>57936</c:v>
                </c:pt>
                <c:pt idx="2656">
                  <c:v>57943</c:v>
                </c:pt>
                <c:pt idx="2657">
                  <c:v>57950</c:v>
                </c:pt>
                <c:pt idx="2658">
                  <c:v>57957</c:v>
                </c:pt>
                <c:pt idx="2659">
                  <c:v>57964</c:v>
                </c:pt>
                <c:pt idx="2660">
                  <c:v>57971</c:v>
                </c:pt>
                <c:pt idx="2661">
                  <c:v>57978</c:v>
                </c:pt>
                <c:pt idx="2662">
                  <c:v>57985</c:v>
                </c:pt>
                <c:pt idx="2663">
                  <c:v>57992</c:v>
                </c:pt>
                <c:pt idx="2664">
                  <c:v>57999</c:v>
                </c:pt>
                <c:pt idx="2665">
                  <c:v>58006</c:v>
                </c:pt>
                <c:pt idx="2666">
                  <c:v>58013</c:v>
                </c:pt>
                <c:pt idx="2667">
                  <c:v>58020</c:v>
                </c:pt>
                <c:pt idx="2668">
                  <c:v>58027</c:v>
                </c:pt>
                <c:pt idx="2669">
                  <c:v>58034</c:v>
                </c:pt>
                <c:pt idx="2670">
                  <c:v>58041</c:v>
                </c:pt>
                <c:pt idx="2671">
                  <c:v>58048</c:v>
                </c:pt>
                <c:pt idx="2672">
                  <c:v>58055</c:v>
                </c:pt>
                <c:pt idx="2673">
                  <c:v>58062</c:v>
                </c:pt>
                <c:pt idx="2674">
                  <c:v>58074</c:v>
                </c:pt>
                <c:pt idx="2675">
                  <c:v>58078</c:v>
                </c:pt>
                <c:pt idx="2676">
                  <c:v>58084</c:v>
                </c:pt>
                <c:pt idx="2677">
                  <c:v>58091</c:v>
                </c:pt>
                <c:pt idx="2678">
                  <c:v>58098</c:v>
                </c:pt>
                <c:pt idx="2679">
                  <c:v>58105</c:v>
                </c:pt>
                <c:pt idx="2680">
                  <c:v>58112</c:v>
                </c:pt>
                <c:pt idx="2681">
                  <c:v>58119</c:v>
                </c:pt>
                <c:pt idx="2682">
                  <c:v>58126</c:v>
                </c:pt>
                <c:pt idx="2683">
                  <c:v>58133</c:v>
                </c:pt>
                <c:pt idx="2684">
                  <c:v>58140</c:v>
                </c:pt>
                <c:pt idx="2685">
                  <c:v>58147</c:v>
                </c:pt>
                <c:pt idx="2686">
                  <c:v>58154</c:v>
                </c:pt>
                <c:pt idx="2687">
                  <c:v>58161</c:v>
                </c:pt>
                <c:pt idx="2688">
                  <c:v>58168</c:v>
                </c:pt>
                <c:pt idx="2689">
                  <c:v>58175</c:v>
                </c:pt>
                <c:pt idx="2690">
                  <c:v>58182</c:v>
                </c:pt>
                <c:pt idx="2691">
                  <c:v>58189</c:v>
                </c:pt>
                <c:pt idx="2692">
                  <c:v>58197</c:v>
                </c:pt>
                <c:pt idx="2693">
                  <c:v>58204</c:v>
                </c:pt>
                <c:pt idx="2694">
                  <c:v>58210</c:v>
                </c:pt>
                <c:pt idx="2695">
                  <c:v>58217</c:v>
                </c:pt>
                <c:pt idx="2696">
                  <c:v>58224</c:v>
                </c:pt>
                <c:pt idx="2697">
                  <c:v>58231</c:v>
                </c:pt>
                <c:pt idx="2698">
                  <c:v>58238</c:v>
                </c:pt>
                <c:pt idx="2699">
                  <c:v>58245</c:v>
                </c:pt>
                <c:pt idx="2700">
                  <c:v>58252</c:v>
                </c:pt>
                <c:pt idx="2701">
                  <c:v>58259</c:v>
                </c:pt>
                <c:pt idx="2702">
                  <c:v>58266</c:v>
                </c:pt>
                <c:pt idx="2703">
                  <c:v>58273</c:v>
                </c:pt>
                <c:pt idx="2704">
                  <c:v>58280</c:v>
                </c:pt>
                <c:pt idx="2705">
                  <c:v>58287</c:v>
                </c:pt>
                <c:pt idx="2706">
                  <c:v>58294</c:v>
                </c:pt>
                <c:pt idx="2707">
                  <c:v>58301</c:v>
                </c:pt>
                <c:pt idx="2708">
                  <c:v>58308</c:v>
                </c:pt>
                <c:pt idx="2709">
                  <c:v>58315</c:v>
                </c:pt>
                <c:pt idx="2710">
                  <c:v>58322</c:v>
                </c:pt>
                <c:pt idx="2711">
                  <c:v>58329</c:v>
                </c:pt>
                <c:pt idx="2712">
                  <c:v>58336</c:v>
                </c:pt>
                <c:pt idx="2713">
                  <c:v>58343</c:v>
                </c:pt>
                <c:pt idx="2714">
                  <c:v>58350</c:v>
                </c:pt>
                <c:pt idx="2715">
                  <c:v>58357</c:v>
                </c:pt>
                <c:pt idx="2716">
                  <c:v>58364</c:v>
                </c:pt>
                <c:pt idx="2717">
                  <c:v>58371</c:v>
                </c:pt>
                <c:pt idx="2718">
                  <c:v>58378</c:v>
                </c:pt>
                <c:pt idx="2719">
                  <c:v>58385</c:v>
                </c:pt>
                <c:pt idx="2720">
                  <c:v>58392</c:v>
                </c:pt>
                <c:pt idx="2721">
                  <c:v>58399</c:v>
                </c:pt>
                <c:pt idx="2722">
                  <c:v>58406</c:v>
                </c:pt>
                <c:pt idx="2723">
                  <c:v>58413</c:v>
                </c:pt>
                <c:pt idx="2724">
                  <c:v>58420</c:v>
                </c:pt>
                <c:pt idx="2725">
                  <c:v>58427</c:v>
                </c:pt>
                <c:pt idx="2726">
                  <c:v>58439</c:v>
                </c:pt>
                <c:pt idx="2727">
                  <c:v>58445</c:v>
                </c:pt>
                <c:pt idx="2728">
                  <c:v>58449</c:v>
                </c:pt>
                <c:pt idx="2729">
                  <c:v>58456</c:v>
                </c:pt>
                <c:pt idx="2730">
                  <c:v>58463</c:v>
                </c:pt>
                <c:pt idx="2731">
                  <c:v>58470</c:v>
                </c:pt>
                <c:pt idx="2732">
                  <c:v>58477</c:v>
                </c:pt>
                <c:pt idx="2733">
                  <c:v>58484</c:v>
                </c:pt>
                <c:pt idx="2734">
                  <c:v>58491</c:v>
                </c:pt>
                <c:pt idx="2735">
                  <c:v>58498</c:v>
                </c:pt>
                <c:pt idx="2736">
                  <c:v>58505</c:v>
                </c:pt>
                <c:pt idx="2737">
                  <c:v>58512</c:v>
                </c:pt>
                <c:pt idx="2738">
                  <c:v>58519</c:v>
                </c:pt>
                <c:pt idx="2739">
                  <c:v>58526</c:v>
                </c:pt>
                <c:pt idx="2740">
                  <c:v>58533</c:v>
                </c:pt>
                <c:pt idx="2741">
                  <c:v>58540</c:v>
                </c:pt>
                <c:pt idx="2742">
                  <c:v>58551</c:v>
                </c:pt>
                <c:pt idx="2743">
                  <c:v>58554</c:v>
                </c:pt>
                <c:pt idx="2744">
                  <c:v>58561</c:v>
                </c:pt>
                <c:pt idx="2745">
                  <c:v>58568</c:v>
                </c:pt>
                <c:pt idx="2746">
                  <c:v>58575</c:v>
                </c:pt>
                <c:pt idx="2747">
                  <c:v>58582</c:v>
                </c:pt>
                <c:pt idx="2748">
                  <c:v>58592</c:v>
                </c:pt>
                <c:pt idx="2749">
                  <c:v>58596</c:v>
                </c:pt>
                <c:pt idx="2750">
                  <c:v>58603</c:v>
                </c:pt>
                <c:pt idx="2751">
                  <c:v>58610</c:v>
                </c:pt>
                <c:pt idx="2752">
                  <c:v>58620</c:v>
                </c:pt>
                <c:pt idx="2753">
                  <c:v>58624</c:v>
                </c:pt>
                <c:pt idx="2754">
                  <c:v>58631</c:v>
                </c:pt>
                <c:pt idx="2755">
                  <c:v>58638</c:v>
                </c:pt>
                <c:pt idx="2756">
                  <c:v>58645</c:v>
                </c:pt>
                <c:pt idx="2757">
                  <c:v>58652</c:v>
                </c:pt>
                <c:pt idx="2758">
                  <c:v>58659</c:v>
                </c:pt>
                <c:pt idx="2759">
                  <c:v>58666</c:v>
                </c:pt>
                <c:pt idx="2760">
                  <c:v>58673</c:v>
                </c:pt>
                <c:pt idx="2761">
                  <c:v>58680</c:v>
                </c:pt>
                <c:pt idx="2762">
                  <c:v>58687</c:v>
                </c:pt>
                <c:pt idx="2763">
                  <c:v>58694</c:v>
                </c:pt>
                <c:pt idx="2764">
                  <c:v>58701</c:v>
                </c:pt>
                <c:pt idx="2765">
                  <c:v>58708</c:v>
                </c:pt>
                <c:pt idx="2766">
                  <c:v>58715</c:v>
                </c:pt>
                <c:pt idx="2767">
                  <c:v>58722</c:v>
                </c:pt>
                <c:pt idx="2768">
                  <c:v>58729</c:v>
                </c:pt>
                <c:pt idx="2769">
                  <c:v>58736</c:v>
                </c:pt>
                <c:pt idx="2770">
                  <c:v>58743</c:v>
                </c:pt>
                <c:pt idx="2771">
                  <c:v>58750</c:v>
                </c:pt>
                <c:pt idx="2772">
                  <c:v>58757</c:v>
                </c:pt>
                <c:pt idx="2773">
                  <c:v>58764</c:v>
                </c:pt>
                <c:pt idx="2774">
                  <c:v>58771</c:v>
                </c:pt>
                <c:pt idx="2775">
                  <c:v>58778</c:v>
                </c:pt>
                <c:pt idx="2776">
                  <c:v>58785</c:v>
                </c:pt>
                <c:pt idx="2777">
                  <c:v>58792</c:v>
                </c:pt>
                <c:pt idx="2778">
                  <c:v>58802</c:v>
                </c:pt>
                <c:pt idx="2779">
                  <c:v>58809</c:v>
                </c:pt>
                <c:pt idx="2780">
                  <c:v>58816</c:v>
                </c:pt>
                <c:pt idx="2781">
                  <c:v>58820</c:v>
                </c:pt>
                <c:pt idx="2782">
                  <c:v>58827</c:v>
                </c:pt>
                <c:pt idx="2783">
                  <c:v>58834</c:v>
                </c:pt>
                <c:pt idx="2784">
                  <c:v>58841</c:v>
                </c:pt>
                <c:pt idx="2785">
                  <c:v>58848</c:v>
                </c:pt>
                <c:pt idx="2786">
                  <c:v>58855</c:v>
                </c:pt>
                <c:pt idx="2787">
                  <c:v>58862</c:v>
                </c:pt>
                <c:pt idx="2788">
                  <c:v>58869</c:v>
                </c:pt>
                <c:pt idx="2789">
                  <c:v>58876</c:v>
                </c:pt>
                <c:pt idx="2790">
                  <c:v>58883</c:v>
                </c:pt>
                <c:pt idx="2791">
                  <c:v>58890</c:v>
                </c:pt>
                <c:pt idx="2792">
                  <c:v>58897</c:v>
                </c:pt>
                <c:pt idx="2793">
                  <c:v>58908</c:v>
                </c:pt>
                <c:pt idx="2794">
                  <c:v>58911</c:v>
                </c:pt>
                <c:pt idx="2795">
                  <c:v>58918</c:v>
                </c:pt>
                <c:pt idx="2796">
                  <c:v>58925</c:v>
                </c:pt>
                <c:pt idx="2797">
                  <c:v>58932</c:v>
                </c:pt>
                <c:pt idx="2798">
                  <c:v>58939</c:v>
                </c:pt>
                <c:pt idx="2799">
                  <c:v>58949</c:v>
                </c:pt>
                <c:pt idx="2800">
                  <c:v>58953</c:v>
                </c:pt>
                <c:pt idx="2801">
                  <c:v>58960</c:v>
                </c:pt>
                <c:pt idx="2802">
                  <c:v>58967</c:v>
                </c:pt>
                <c:pt idx="2803">
                  <c:v>58974</c:v>
                </c:pt>
                <c:pt idx="2804">
                  <c:v>58984</c:v>
                </c:pt>
                <c:pt idx="2805">
                  <c:v>58988</c:v>
                </c:pt>
                <c:pt idx="2806">
                  <c:v>58995</c:v>
                </c:pt>
                <c:pt idx="2807">
                  <c:v>59002</c:v>
                </c:pt>
                <c:pt idx="2808">
                  <c:v>59009</c:v>
                </c:pt>
                <c:pt idx="2809">
                  <c:v>59016</c:v>
                </c:pt>
                <c:pt idx="2810">
                  <c:v>59023</c:v>
                </c:pt>
                <c:pt idx="2811">
                  <c:v>59030</c:v>
                </c:pt>
                <c:pt idx="2812">
                  <c:v>59037</c:v>
                </c:pt>
                <c:pt idx="2813">
                  <c:v>59044</c:v>
                </c:pt>
                <c:pt idx="2814">
                  <c:v>59051</c:v>
                </c:pt>
                <c:pt idx="2815">
                  <c:v>59058</c:v>
                </c:pt>
                <c:pt idx="2816">
                  <c:v>59065</c:v>
                </c:pt>
                <c:pt idx="2817">
                  <c:v>59072</c:v>
                </c:pt>
                <c:pt idx="2818">
                  <c:v>59079</c:v>
                </c:pt>
                <c:pt idx="2819">
                  <c:v>59086</c:v>
                </c:pt>
                <c:pt idx="2820">
                  <c:v>59093</c:v>
                </c:pt>
                <c:pt idx="2821">
                  <c:v>59100</c:v>
                </c:pt>
                <c:pt idx="2822">
                  <c:v>59107</c:v>
                </c:pt>
                <c:pt idx="2823">
                  <c:v>59114</c:v>
                </c:pt>
                <c:pt idx="2824">
                  <c:v>59121</c:v>
                </c:pt>
                <c:pt idx="2825">
                  <c:v>59128</c:v>
                </c:pt>
                <c:pt idx="2826">
                  <c:v>59135</c:v>
                </c:pt>
                <c:pt idx="2827">
                  <c:v>59142</c:v>
                </c:pt>
                <c:pt idx="2828">
                  <c:v>59149</c:v>
                </c:pt>
                <c:pt idx="2829">
                  <c:v>59156</c:v>
                </c:pt>
                <c:pt idx="2830">
                  <c:v>59163</c:v>
                </c:pt>
                <c:pt idx="2831">
                  <c:v>59170</c:v>
                </c:pt>
                <c:pt idx="2832">
                  <c:v>59180</c:v>
                </c:pt>
                <c:pt idx="2833">
                  <c:v>59184</c:v>
                </c:pt>
                <c:pt idx="2834">
                  <c:v>59191</c:v>
                </c:pt>
                <c:pt idx="2835">
                  <c:v>59198</c:v>
                </c:pt>
                <c:pt idx="2836">
                  <c:v>59205</c:v>
                </c:pt>
                <c:pt idx="2837">
                  <c:v>59212</c:v>
                </c:pt>
                <c:pt idx="2838">
                  <c:v>59219</c:v>
                </c:pt>
                <c:pt idx="2839">
                  <c:v>59226</c:v>
                </c:pt>
                <c:pt idx="2840">
                  <c:v>59233</c:v>
                </c:pt>
                <c:pt idx="2841">
                  <c:v>59240</c:v>
                </c:pt>
                <c:pt idx="2842">
                  <c:v>59247</c:v>
                </c:pt>
                <c:pt idx="2843">
                  <c:v>59258</c:v>
                </c:pt>
                <c:pt idx="2844">
                  <c:v>59261</c:v>
                </c:pt>
                <c:pt idx="2845">
                  <c:v>59268</c:v>
                </c:pt>
                <c:pt idx="2846">
                  <c:v>59275</c:v>
                </c:pt>
                <c:pt idx="2847">
                  <c:v>59282</c:v>
                </c:pt>
                <c:pt idx="2848">
                  <c:v>59289</c:v>
                </c:pt>
                <c:pt idx="2849">
                  <c:v>59299</c:v>
                </c:pt>
                <c:pt idx="2850">
                  <c:v>59303</c:v>
                </c:pt>
                <c:pt idx="2851">
                  <c:v>59310</c:v>
                </c:pt>
                <c:pt idx="2852">
                  <c:v>59317</c:v>
                </c:pt>
                <c:pt idx="2853">
                  <c:v>59324</c:v>
                </c:pt>
                <c:pt idx="2854">
                  <c:v>59331</c:v>
                </c:pt>
                <c:pt idx="2855">
                  <c:v>59338</c:v>
                </c:pt>
                <c:pt idx="2856">
                  <c:v>59348</c:v>
                </c:pt>
                <c:pt idx="2857">
                  <c:v>59352</c:v>
                </c:pt>
                <c:pt idx="2858">
                  <c:v>59359</c:v>
                </c:pt>
                <c:pt idx="2859">
                  <c:v>59366</c:v>
                </c:pt>
                <c:pt idx="2860">
                  <c:v>59373</c:v>
                </c:pt>
                <c:pt idx="2861">
                  <c:v>59380</c:v>
                </c:pt>
                <c:pt idx="2862">
                  <c:v>59387</c:v>
                </c:pt>
                <c:pt idx="2863">
                  <c:v>59394</c:v>
                </c:pt>
                <c:pt idx="2864">
                  <c:v>59401</c:v>
                </c:pt>
                <c:pt idx="2865">
                  <c:v>59408</c:v>
                </c:pt>
                <c:pt idx="2866">
                  <c:v>59415</c:v>
                </c:pt>
                <c:pt idx="2867">
                  <c:v>59422</c:v>
                </c:pt>
                <c:pt idx="2868">
                  <c:v>59429</c:v>
                </c:pt>
                <c:pt idx="2869">
                  <c:v>59436</c:v>
                </c:pt>
                <c:pt idx="2870">
                  <c:v>59443</c:v>
                </c:pt>
                <c:pt idx="2871">
                  <c:v>59450</c:v>
                </c:pt>
                <c:pt idx="2872">
                  <c:v>59457</c:v>
                </c:pt>
                <c:pt idx="2873">
                  <c:v>59464</c:v>
                </c:pt>
                <c:pt idx="2874">
                  <c:v>59471</c:v>
                </c:pt>
                <c:pt idx="2875">
                  <c:v>59478</c:v>
                </c:pt>
                <c:pt idx="2876">
                  <c:v>59485</c:v>
                </c:pt>
                <c:pt idx="2877">
                  <c:v>59492</c:v>
                </c:pt>
                <c:pt idx="2878">
                  <c:v>59499</c:v>
                </c:pt>
                <c:pt idx="2879">
                  <c:v>59506</c:v>
                </c:pt>
                <c:pt idx="2880">
                  <c:v>59513</c:v>
                </c:pt>
                <c:pt idx="2881">
                  <c:v>59520</c:v>
                </c:pt>
                <c:pt idx="2882">
                  <c:v>59527</c:v>
                </c:pt>
                <c:pt idx="2883">
                  <c:v>59534</c:v>
                </c:pt>
                <c:pt idx="2884">
                  <c:v>59541</c:v>
                </c:pt>
                <c:pt idx="2885">
                  <c:v>59548</c:v>
                </c:pt>
                <c:pt idx="2886">
                  <c:v>59555</c:v>
                </c:pt>
                <c:pt idx="2887">
                  <c:v>59562</c:v>
                </c:pt>
                <c:pt idx="2888">
                  <c:v>59569</c:v>
                </c:pt>
                <c:pt idx="2889">
                  <c:v>59576</c:v>
                </c:pt>
                <c:pt idx="2890">
                  <c:v>59583</c:v>
                </c:pt>
                <c:pt idx="2891">
                  <c:v>59590</c:v>
                </c:pt>
                <c:pt idx="2892">
                  <c:v>59597</c:v>
                </c:pt>
                <c:pt idx="2893">
                  <c:v>59604</c:v>
                </c:pt>
                <c:pt idx="2894">
                  <c:v>59611</c:v>
                </c:pt>
                <c:pt idx="2895">
                  <c:v>59618</c:v>
                </c:pt>
                <c:pt idx="2896">
                  <c:v>59625</c:v>
                </c:pt>
                <c:pt idx="2897">
                  <c:v>59632</c:v>
                </c:pt>
                <c:pt idx="2898">
                  <c:v>59643</c:v>
                </c:pt>
                <c:pt idx="2899">
                  <c:v>59646</c:v>
                </c:pt>
                <c:pt idx="2900">
                  <c:v>59653</c:v>
                </c:pt>
                <c:pt idx="2901">
                  <c:v>59660</c:v>
                </c:pt>
                <c:pt idx="2902">
                  <c:v>59667</c:v>
                </c:pt>
                <c:pt idx="2903">
                  <c:v>59674</c:v>
                </c:pt>
                <c:pt idx="2904">
                  <c:v>59684</c:v>
                </c:pt>
                <c:pt idx="2905">
                  <c:v>59688</c:v>
                </c:pt>
                <c:pt idx="2906">
                  <c:v>59695</c:v>
                </c:pt>
                <c:pt idx="2907">
                  <c:v>59702</c:v>
                </c:pt>
                <c:pt idx="2908">
                  <c:v>59712</c:v>
                </c:pt>
                <c:pt idx="2909">
                  <c:v>59716</c:v>
                </c:pt>
                <c:pt idx="2910">
                  <c:v>59723</c:v>
                </c:pt>
                <c:pt idx="2911">
                  <c:v>59730</c:v>
                </c:pt>
                <c:pt idx="2912">
                  <c:v>59737</c:v>
                </c:pt>
                <c:pt idx="2913">
                  <c:v>59744</c:v>
                </c:pt>
                <c:pt idx="2914">
                  <c:v>59751</c:v>
                </c:pt>
                <c:pt idx="2915">
                  <c:v>59758</c:v>
                </c:pt>
                <c:pt idx="2916">
                  <c:v>59765</c:v>
                </c:pt>
                <c:pt idx="2917">
                  <c:v>59772</c:v>
                </c:pt>
                <c:pt idx="2918">
                  <c:v>59779</c:v>
                </c:pt>
                <c:pt idx="2919">
                  <c:v>59786</c:v>
                </c:pt>
                <c:pt idx="2920">
                  <c:v>59793</c:v>
                </c:pt>
                <c:pt idx="2921">
                  <c:v>59800</c:v>
                </c:pt>
                <c:pt idx="2922">
                  <c:v>59807</c:v>
                </c:pt>
                <c:pt idx="2923">
                  <c:v>59814</c:v>
                </c:pt>
                <c:pt idx="2924">
                  <c:v>59821</c:v>
                </c:pt>
                <c:pt idx="2925">
                  <c:v>59828</c:v>
                </c:pt>
                <c:pt idx="2926">
                  <c:v>59835</c:v>
                </c:pt>
                <c:pt idx="2927">
                  <c:v>59842</c:v>
                </c:pt>
                <c:pt idx="2928">
                  <c:v>59849</c:v>
                </c:pt>
                <c:pt idx="2929">
                  <c:v>59856</c:v>
                </c:pt>
                <c:pt idx="2930">
                  <c:v>59863</c:v>
                </c:pt>
                <c:pt idx="2931">
                  <c:v>59870</c:v>
                </c:pt>
                <c:pt idx="2932">
                  <c:v>59877</c:v>
                </c:pt>
                <c:pt idx="2933">
                  <c:v>59884</c:v>
                </c:pt>
                <c:pt idx="2934">
                  <c:v>59891</c:v>
                </c:pt>
                <c:pt idx="2935">
                  <c:v>59903</c:v>
                </c:pt>
                <c:pt idx="2936">
                  <c:v>59908</c:v>
                </c:pt>
                <c:pt idx="2937">
                  <c:v>59915</c:v>
                </c:pt>
                <c:pt idx="2938">
                  <c:v>59922</c:v>
                </c:pt>
                <c:pt idx="2939">
                  <c:v>59929</c:v>
                </c:pt>
                <c:pt idx="2940">
                  <c:v>59936</c:v>
                </c:pt>
                <c:pt idx="2941">
                  <c:v>59943</c:v>
                </c:pt>
                <c:pt idx="2942">
                  <c:v>59950</c:v>
                </c:pt>
                <c:pt idx="2943">
                  <c:v>59957</c:v>
                </c:pt>
                <c:pt idx="2944">
                  <c:v>59964</c:v>
                </c:pt>
                <c:pt idx="2945">
                  <c:v>59971</c:v>
                </c:pt>
                <c:pt idx="2946">
                  <c:v>59978</c:v>
                </c:pt>
                <c:pt idx="2947">
                  <c:v>59985</c:v>
                </c:pt>
                <c:pt idx="2948">
                  <c:v>59992</c:v>
                </c:pt>
                <c:pt idx="2949">
                  <c:v>60001</c:v>
                </c:pt>
                <c:pt idx="2950">
                  <c:v>60006</c:v>
                </c:pt>
                <c:pt idx="2951">
                  <c:v>60013</c:v>
                </c:pt>
                <c:pt idx="2952">
                  <c:v>60020</c:v>
                </c:pt>
                <c:pt idx="2953">
                  <c:v>60028</c:v>
                </c:pt>
                <c:pt idx="2954">
                  <c:v>60035</c:v>
                </c:pt>
                <c:pt idx="2955">
                  <c:v>60042</c:v>
                </c:pt>
                <c:pt idx="2956">
                  <c:v>60050</c:v>
                </c:pt>
                <c:pt idx="2957">
                  <c:v>60056</c:v>
                </c:pt>
                <c:pt idx="2958">
                  <c:v>60063</c:v>
                </c:pt>
                <c:pt idx="2959">
                  <c:v>60070</c:v>
                </c:pt>
                <c:pt idx="2960">
                  <c:v>60078</c:v>
                </c:pt>
                <c:pt idx="2961">
                  <c:v>60085</c:v>
                </c:pt>
                <c:pt idx="2962">
                  <c:v>60092</c:v>
                </c:pt>
                <c:pt idx="2963">
                  <c:v>60099</c:v>
                </c:pt>
                <c:pt idx="2964">
                  <c:v>60106</c:v>
                </c:pt>
                <c:pt idx="2965">
                  <c:v>60113</c:v>
                </c:pt>
                <c:pt idx="2966">
                  <c:v>60120</c:v>
                </c:pt>
                <c:pt idx="2967">
                  <c:v>60127</c:v>
                </c:pt>
                <c:pt idx="2968">
                  <c:v>60134</c:v>
                </c:pt>
                <c:pt idx="2969">
                  <c:v>60141</c:v>
                </c:pt>
                <c:pt idx="2970">
                  <c:v>60148</c:v>
                </c:pt>
                <c:pt idx="2971">
                  <c:v>60155</c:v>
                </c:pt>
                <c:pt idx="2972">
                  <c:v>60162</c:v>
                </c:pt>
                <c:pt idx="2973">
                  <c:v>60169</c:v>
                </c:pt>
                <c:pt idx="2974">
                  <c:v>60176</c:v>
                </c:pt>
                <c:pt idx="2975">
                  <c:v>60183</c:v>
                </c:pt>
                <c:pt idx="2976">
                  <c:v>60190</c:v>
                </c:pt>
                <c:pt idx="2977">
                  <c:v>60197</c:v>
                </c:pt>
                <c:pt idx="2978">
                  <c:v>60204</c:v>
                </c:pt>
                <c:pt idx="2979">
                  <c:v>60211</c:v>
                </c:pt>
                <c:pt idx="2980">
                  <c:v>60218</c:v>
                </c:pt>
                <c:pt idx="2981">
                  <c:v>60225</c:v>
                </c:pt>
                <c:pt idx="2982">
                  <c:v>60232</c:v>
                </c:pt>
                <c:pt idx="2983">
                  <c:v>60239</c:v>
                </c:pt>
                <c:pt idx="2984">
                  <c:v>60246</c:v>
                </c:pt>
                <c:pt idx="2985">
                  <c:v>60253</c:v>
                </c:pt>
                <c:pt idx="2986">
                  <c:v>60265</c:v>
                </c:pt>
                <c:pt idx="2987">
                  <c:v>60269</c:v>
                </c:pt>
                <c:pt idx="2988">
                  <c:v>60275</c:v>
                </c:pt>
                <c:pt idx="2989">
                  <c:v>60281</c:v>
                </c:pt>
                <c:pt idx="2990">
                  <c:v>60288</c:v>
                </c:pt>
                <c:pt idx="2991">
                  <c:v>60295</c:v>
                </c:pt>
                <c:pt idx="2992">
                  <c:v>60302</c:v>
                </c:pt>
                <c:pt idx="2993">
                  <c:v>60309</c:v>
                </c:pt>
                <c:pt idx="2994">
                  <c:v>60316</c:v>
                </c:pt>
                <c:pt idx="2995">
                  <c:v>60323</c:v>
                </c:pt>
                <c:pt idx="2996">
                  <c:v>60330</c:v>
                </c:pt>
                <c:pt idx="2997">
                  <c:v>60337</c:v>
                </c:pt>
                <c:pt idx="2998">
                  <c:v>60344</c:v>
                </c:pt>
                <c:pt idx="2999">
                  <c:v>60351</c:v>
                </c:pt>
                <c:pt idx="3000">
                  <c:v>60359</c:v>
                </c:pt>
                <c:pt idx="3001">
                  <c:v>60366</c:v>
                </c:pt>
                <c:pt idx="3002">
                  <c:v>60373</c:v>
                </c:pt>
                <c:pt idx="3003">
                  <c:v>60380</c:v>
                </c:pt>
                <c:pt idx="3004">
                  <c:v>60387</c:v>
                </c:pt>
                <c:pt idx="3005">
                  <c:v>60395</c:v>
                </c:pt>
                <c:pt idx="3006">
                  <c:v>60401</c:v>
                </c:pt>
                <c:pt idx="3007">
                  <c:v>60408</c:v>
                </c:pt>
                <c:pt idx="3008">
                  <c:v>60415</c:v>
                </c:pt>
                <c:pt idx="3009">
                  <c:v>60422</c:v>
                </c:pt>
                <c:pt idx="3010">
                  <c:v>60429</c:v>
                </c:pt>
                <c:pt idx="3011">
                  <c:v>60436</c:v>
                </c:pt>
                <c:pt idx="3012">
                  <c:v>60443</c:v>
                </c:pt>
                <c:pt idx="3013">
                  <c:v>60450</c:v>
                </c:pt>
                <c:pt idx="3014">
                  <c:v>60457</c:v>
                </c:pt>
                <c:pt idx="3015">
                  <c:v>60464</c:v>
                </c:pt>
                <c:pt idx="3016">
                  <c:v>60471</c:v>
                </c:pt>
                <c:pt idx="3017">
                  <c:v>60478</c:v>
                </c:pt>
                <c:pt idx="3018">
                  <c:v>60485</c:v>
                </c:pt>
                <c:pt idx="3019">
                  <c:v>60492</c:v>
                </c:pt>
                <c:pt idx="3020">
                  <c:v>60499</c:v>
                </c:pt>
                <c:pt idx="3021">
                  <c:v>60506</c:v>
                </c:pt>
                <c:pt idx="3022">
                  <c:v>60513</c:v>
                </c:pt>
                <c:pt idx="3023">
                  <c:v>60520</c:v>
                </c:pt>
                <c:pt idx="3024">
                  <c:v>60527</c:v>
                </c:pt>
                <c:pt idx="3025">
                  <c:v>60534</c:v>
                </c:pt>
                <c:pt idx="3026">
                  <c:v>60541</c:v>
                </c:pt>
                <c:pt idx="3027">
                  <c:v>60548</c:v>
                </c:pt>
                <c:pt idx="3028">
                  <c:v>60555</c:v>
                </c:pt>
                <c:pt idx="3029">
                  <c:v>60562</c:v>
                </c:pt>
                <c:pt idx="3030">
                  <c:v>60569</c:v>
                </c:pt>
                <c:pt idx="3031">
                  <c:v>60576</c:v>
                </c:pt>
                <c:pt idx="3032">
                  <c:v>60583</c:v>
                </c:pt>
                <c:pt idx="3033">
                  <c:v>60590</c:v>
                </c:pt>
                <c:pt idx="3034">
                  <c:v>60597</c:v>
                </c:pt>
                <c:pt idx="3035">
                  <c:v>60604</c:v>
                </c:pt>
                <c:pt idx="3036">
                  <c:v>60611</c:v>
                </c:pt>
                <c:pt idx="3037">
                  <c:v>60618</c:v>
                </c:pt>
                <c:pt idx="3038">
                  <c:v>60629</c:v>
                </c:pt>
                <c:pt idx="3039">
                  <c:v>60636</c:v>
                </c:pt>
                <c:pt idx="3040">
                  <c:v>60640</c:v>
                </c:pt>
                <c:pt idx="3041">
                  <c:v>60646</c:v>
                </c:pt>
                <c:pt idx="3042">
                  <c:v>60653</c:v>
                </c:pt>
                <c:pt idx="3043">
                  <c:v>60660</c:v>
                </c:pt>
                <c:pt idx="3044">
                  <c:v>60667</c:v>
                </c:pt>
                <c:pt idx="3045">
                  <c:v>60674</c:v>
                </c:pt>
                <c:pt idx="3046">
                  <c:v>60681</c:v>
                </c:pt>
                <c:pt idx="3047">
                  <c:v>60688</c:v>
                </c:pt>
                <c:pt idx="3048">
                  <c:v>60695</c:v>
                </c:pt>
                <c:pt idx="3049">
                  <c:v>60702</c:v>
                </c:pt>
                <c:pt idx="3050">
                  <c:v>60709</c:v>
                </c:pt>
                <c:pt idx="3051">
                  <c:v>60716</c:v>
                </c:pt>
                <c:pt idx="3052">
                  <c:v>60723</c:v>
                </c:pt>
                <c:pt idx="3053">
                  <c:v>60730</c:v>
                </c:pt>
                <c:pt idx="3054">
                  <c:v>60737</c:v>
                </c:pt>
                <c:pt idx="3055">
                  <c:v>60744</c:v>
                </c:pt>
                <c:pt idx="3056">
                  <c:v>60751</c:v>
                </c:pt>
                <c:pt idx="3057">
                  <c:v>60758</c:v>
                </c:pt>
                <c:pt idx="3058">
                  <c:v>60765</c:v>
                </c:pt>
                <c:pt idx="3059">
                  <c:v>60773</c:v>
                </c:pt>
                <c:pt idx="3060">
                  <c:v>60779</c:v>
                </c:pt>
                <c:pt idx="3061">
                  <c:v>60786</c:v>
                </c:pt>
                <c:pt idx="3062">
                  <c:v>60793</c:v>
                </c:pt>
                <c:pt idx="3063">
                  <c:v>60800</c:v>
                </c:pt>
                <c:pt idx="3064">
                  <c:v>60807</c:v>
                </c:pt>
                <c:pt idx="3065">
                  <c:v>60814</c:v>
                </c:pt>
                <c:pt idx="3066">
                  <c:v>60821</c:v>
                </c:pt>
                <c:pt idx="3067">
                  <c:v>60828</c:v>
                </c:pt>
                <c:pt idx="3068">
                  <c:v>60835</c:v>
                </c:pt>
                <c:pt idx="3069">
                  <c:v>60842</c:v>
                </c:pt>
                <c:pt idx="3070">
                  <c:v>60849</c:v>
                </c:pt>
                <c:pt idx="3071">
                  <c:v>60856</c:v>
                </c:pt>
                <c:pt idx="3072">
                  <c:v>60863</c:v>
                </c:pt>
                <c:pt idx="3073">
                  <c:v>60870</c:v>
                </c:pt>
                <c:pt idx="3074">
                  <c:v>60877</c:v>
                </c:pt>
                <c:pt idx="3075">
                  <c:v>60884</c:v>
                </c:pt>
                <c:pt idx="3076">
                  <c:v>60891</c:v>
                </c:pt>
                <c:pt idx="3077">
                  <c:v>60898</c:v>
                </c:pt>
                <c:pt idx="3078">
                  <c:v>60905</c:v>
                </c:pt>
                <c:pt idx="3079">
                  <c:v>60912</c:v>
                </c:pt>
                <c:pt idx="3080">
                  <c:v>60919</c:v>
                </c:pt>
                <c:pt idx="3081">
                  <c:v>60926</c:v>
                </c:pt>
                <c:pt idx="3082">
                  <c:v>60933</c:v>
                </c:pt>
                <c:pt idx="3083">
                  <c:v>60940</c:v>
                </c:pt>
                <c:pt idx="3084">
                  <c:v>60947</c:v>
                </c:pt>
                <c:pt idx="3085">
                  <c:v>60954</c:v>
                </c:pt>
                <c:pt idx="3086">
                  <c:v>60961</c:v>
                </c:pt>
                <c:pt idx="3087">
                  <c:v>60968</c:v>
                </c:pt>
                <c:pt idx="3088">
                  <c:v>60975</c:v>
                </c:pt>
                <c:pt idx="3089">
                  <c:v>60982</c:v>
                </c:pt>
                <c:pt idx="3090">
                  <c:v>60989</c:v>
                </c:pt>
                <c:pt idx="3091">
                  <c:v>60996</c:v>
                </c:pt>
                <c:pt idx="3092">
                  <c:v>61004</c:v>
                </c:pt>
                <c:pt idx="3093">
                  <c:v>61010</c:v>
                </c:pt>
                <c:pt idx="3094">
                  <c:v>61017</c:v>
                </c:pt>
                <c:pt idx="3095">
                  <c:v>61024</c:v>
                </c:pt>
                <c:pt idx="3096">
                  <c:v>61031</c:v>
                </c:pt>
                <c:pt idx="3097">
                  <c:v>61038</c:v>
                </c:pt>
                <c:pt idx="3098">
                  <c:v>61045</c:v>
                </c:pt>
                <c:pt idx="3099">
                  <c:v>61052</c:v>
                </c:pt>
                <c:pt idx="3100">
                  <c:v>61059</c:v>
                </c:pt>
                <c:pt idx="3101">
                  <c:v>61066</c:v>
                </c:pt>
                <c:pt idx="3102">
                  <c:v>61073</c:v>
                </c:pt>
                <c:pt idx="3103">
                  <c:v>61080</c:v>
                </c:pt>
                <c:pt idx="3104">
                  <c:v>61087</c:v>
                </c:pt>
                <c:pt idx="3105">
                  <c:v>61094</c:v>
                </c:pt>
                <c:pt idx="3106">
                  <c:v>61101</c:v>
                </c:pt>
                <c:pt idx="3107">
                  <c:v>61108</c:v>
                </c:pt>
                <c:pt idx="3108">
                  <c:v>61115</c:v>
                </c:pt>
                <c:pt idx="3109">
                  <c:v>61122</c:v>
                </c:pt>
                <c:pt idx="3110">
                  <c:v>61130</c:v>
                </c:pt>
                <c:pt idx="3111">
                  <c:v>61136</c:v>
                </c:pt>
                <c:pt idx="3112">
                  <c:v>61143</c:v>
                </c:pt>
                <c:pt idx="3113">
                  <c:v>61150</c:v>
                </c:pt>
                <c:pt idx="3114">
                  <c:v>61157</c:v>
                </c:pt>
                <c:pt idx="3115">
                  <c:v>61164</c:v>
                </c:pt>
                <c:pt idx="3116">
                  <c:v>61171</c:v>
                </c:pt>
                <c:pt idx="3117">
                  <c:v>61178</c:v>
                </c:pt>
                <c:pt idx="3118">
                  <c:v>61185</c:v>
                </c:pt>
                <c:pt idx="3119">
                  <c:v>61192</c:v>
                </c:pt>
                <c:pt idx="3120">
                  <c:v>61199</c:v>
                </c:pt>
                <c:pt idx="3121">
                  <c:v>61206</c:v>
                </c:pt>
                <c:pt idx="3122">
                  <c:v>61213</c:v>
                </c:pt>
                <c:pt idx="3123">
                  <c:v>61220</c:v>
                </c:pt>
                <c:pt idx="3124">
                  <c:v>61227</c:v>
                </c:pt>
                <c:pt idx="3125">
                  <c:v>61234</c:v>
                </c:pt>
                <c:pt idx="3126">
                  <c:v>61241</c:v>
                </c:pt>
                <c:pt idx="3127">
                  <c:v>61248</c:v>
                </c:pt>
                <c:pt idx="3128">
                  <c:v>61255</c:v>
                </c:pt>
                <c:pt idx="3129">
                  <c:v>61262</c:v>
                </c:pt>
                <c:pt idx="3130">
                  <c:v>61269</c:v>
                </c:pt>
                <c:pt idx="3131">
                  <c:v>61276</c:v>
                </c:pt>
                <c:pt idx="3132">
                  <c:v>61283</c:v>
                </c:pt>
                <c:pt idx="3133">
                  <c:v>61290</c:v>
                </c:pt>
                <c:pt idx="3134">
                  <c:v>61297</c:v>
                </c:pt>
                <c:pt idx="3135">
                  <c:v>61304</c:v>
                </c:pt>
                <c:pt idx="3136">
                  <c:v>61311</c:v>
                </c:pt>
                <c:pt idx="3137">
                  <c:v>61318</c:v>
                </c:pt>
                <c:pt idx="3138">
                  <c:v>61325</c:v>
                </c:pt>
                <c:pt idx="3139">
                  <c:v>61332</c:v>
                </c:pt>
                <c:pt idx="3140">
                  <c:v>61339</c:v>
                </c:pt>
                <c:pt idx="3141">
                  <c:v>61346</c:v>
                </c:pt>
                <c:pt idx="3142">
                  <c:v>61353</c:v>
                </c:pt>
                <c:pt idx="3143">
                  <c:v>61360</c:v>
                </c:pt>
                <c:pt idx="3144">
                  <c:v>61367</c:v>
                </c:pt>
                <c:pt idx="3145">
                  <c:v>61374</c:v>
                </c:pt>
                <c:pt idx="3146">
                  <c:v>61381</c:v>
                </c:pt>
                <c:pt idx="3147">
                  <c:v>61388</c:v>
                </c:pt>
                <c:pt idx="3148">
                  <c:v>61395</c:v>
                </c:pt>
                <c:pt idx="3149">
                  <c:v>61402</c:v>
                </c:pt>
                <c:pt idx="3150">
                  <c:v>61409</c:v>
                </c:pt>
                <c:pt idx="3151">
                  <c:v>61416</c:v>
                </c:pt>
                <c:pt idx="3152">
                  <c:v>61423</c:v>
                </c:pt>
                <c:pt idx="3153">
                  <c:v>61430</c:v>
                </c:pt>
                <c:pt idx="3154">
                  <c:v>61437</c:v>
                </c:pt>
                <c:pt idx="3155">
                  <c:v>61444</c:v>
                </c:pt>
                <c:pt idx="3156">
                  <c:v>61451</c:v>
                </c:pt>
                <c:pt idx="3157">
                  <c:v>61458</c:v>
                </c:pt>
                <c:pt idx="3158">
                  <c:v>61465</c:v>
                </c:pt>
                <c:pt idx="3159">
                  <c:v>61472</c:v>
                </c:pt>
                <c:pt idx="3160">
                  <c:v>61479</c:v>
                </c:pt>
                <c:pt idx="3161">
                  <c:v>61487</c:v>
                </c:pt>
                <c:pt idx="3162">
                  <c:v>61494</c:v>
                </c:pt>
                <c:pt idx="3163">
                  <c:v>61501</c:v>
                </c:pt>
                <c:pt idx="3164">
                  <c:v>61508</c:v>
                </c:pt>
                <c:pt idx="3165">
                  <c:v>61518</c:v>
                </c:pt>
                <c:pt idx="3166">
                  <c:v>61522</c:v>
                </c:pt>
                <c:pt idx="3167">
                  <c:v>61529</c:v>
                </c:pt>
                <c:pt idx="3168">
                  <c:v>61539</c:v>
                </c:pt>
                <c:pt idx="3169">
                  <c:v>61543</c:v>
                </c:pt>
                <c:pt idx="3170">
                  <c:v>61550</c:v>
                </c:pt>
                <c:pt idx="3171">
                  <c:v>61557</c:v>
                </c:pt>
                <c:pt idx="3172">
                  <c:v>61564</c:v>
                </c:pt>
                <c:pt idx="3173">
                  <c:v>61571</c:v>
                </c:pt>
                <c:pt idx="3174">
                  <c:v>61578</c:v>
                </c:pt>
                <c:pt idx="3175">
                  <c:v>61585</c:v>
                </c:pt>
                <c:pt idx="3176">
                  <c:v>61592</c:v>
                </c:pt>
                <c:pt idx="3177">
                  <c:v>61599</c:v>
                </c:pt>
                <c:pt idx="3178">
                  <c:v>61606</c:v>
                </c:pt>
                <c:pt idx="3179">
                  <c:v>61613</c:v>
                </c:pt>
                <c:pt idx="3180">
                  <c:v>61620</c:v>
                </c:pt>
                <c:pt idx="3181">
                  <c:v>61627</c:v>
                </c:pt>
                <c:pt idx="3182">
                  <c:v>61634</c:v>
                </c:pt>
                <c:pt idx="3183">
                  <c:v>61641</c:v>
                </c:pt>
                <c:pt idx="3184">
                  <c:v>61648</c:v>
                </c:pt>
                <c:pt idx="3185">
                  <c:v>61655</c:v>
                </c:pt>
                <c:pt idx="3186">
                  <c:v>61662</c:v>
                </c:pt>
                <c:pt idx="3187">
                  <c:v>61669</c:v>
                </c:pt>
                <c:pt idx="3188">
                  <c:v>61676</c:v>
                </c:pt>
                <c:pt idx="3189">
                  <c:v>61683</c:v>
                </c:pt>
                <c:pt idx="3190">
                  <c:v>61690</c:v>
                </c:pt>
                <c:pt idx="3191">
                  <c:v>61697</c:v>
                </c:pt>
                <c:pt idx="3192">
                  <c:v>61704</c:v>
                </c:pt>
                <c:pt idx="3193">
                  <c:v>61711</c:v>
                </c:pt>
                <c:pt idx="3194">
                  <c:v>61718</c:v>
                </c:pt>
                <c:pt idx="3195">
                  <c:v>61730</c:v>
                </c:pt>
                <c:pt idx="3196">
                  <c:v>61735</c:v>
                </c:pt>
                <c:pt idx="3197">
                  <c:v>61742</c:v>
                </c:pt>
                <c:pt idx="3198">
                  <c:v>61749</c:v>
                </c:pt>
                <c:pt idx="3199">
                  <c:v>61756</c:v>
                </c:pt>
                <c:pt idx="3200">
                  <c:v>61763</c:v>
                </c:pt>
                <c:pt idx="3201">
                  <c:v>61770</c:v>
                </c:pt>
                <c:pt idx="3202">
                  <c:v>61777</c:v>
                </c:pt>
                <c:pt idx="3203">
                  <c:v>61784</c:v>
                </c:pt>
                <c:pt idx="3204">
                  <c:v>61791</c:v>
                </c:pt>
                <c:pt idx="3205">
                  <c:v>61798</c:v>
                </c:pt>
                <c:pt idx="3206">
                  <c:v>61805</c:v>
                </c:pt>
                <c:pt idx="3207">
                  <c:v>61812</c:v>
                </c:pt>
                <c:pt idx="3208">
                  <c:v>61819</c:v>
                </c:pt>
                <c:pt idx="3209">
                  <c:v>61826</c:v>
                </c:pt>
                <c:pt idx="3210">
                  <c:v>61835</c:v>
                </c:pt>
                <c:pt idx="3211">
                  <c:v>61840</c:v>
                </c:pt>
                <c:pt idx="3212">
                  <c:v>61847</c:v>
                </c:pt>
                <c:pt idx="3213">
                  <c:v>61854</c:v>
                </c:pt>
                <c:pt idx="3214">
                  <c:v>61861</c:v>
                </c:pt>
                <c:pt idx="3215">
                  <c:v>61868</c:v>
                </c:pt>
                <c:pt idx="3216">
                  <c:v>61876</c:v>
                </c:pt>
                <c:pt idx="3217">
                  <c:v>61884</c:v>
                </c:pt>
                <c:pt idx="3218">
                  <c:v>61890</c:v>
                </c:pt>
                <c:pt idx="3219">
                  <c:v>61897</c:v>
                </c:pt>
                <c:pt idx="3220">
                  <c:v>61905</c:v>
                </c:pt>
                <c:pt idx="3221">
                  <c:v>61912</c:v>
                </c:pt>
                <c:pt idx="3222">
                  <c:v>61919</c:v>
                </c:pt>
                <c:pt idx="3223">
                  <c:v>61926</c:v>
                </c:pt>
                <c:pt idx="3224">
                  <c:v>61933</c:v>
                </c:pt>
                <c:pt idx="3225">
                  <c:v>61940</c:v>
                </c:pt>
                <c:pt idx="3226">
                  <c:v>61947</c:v>
                </c:pt>
                <c:pt idx="3227">
                  <c:v>61954</c:v>
                </c:pt>
                <c:pt idx="3228">
                  <c:v>61961</c:v>
                </c:pt>
                <c:pt idx="3229">
                  <c:v>61968</c:v>
                </c:pt>
                <c:pt idx="3230">
                  <c:v>61975</c:v>
                </c:pt>
                <c:pt idx="3231">
                  <c:v>61982</c:v>
                </c:pt>
                <c:pt idx="3232">
                  <c:v>61989</c:v>
                </c:pt>
                <c:pt idx="3233">
                  <c:v>61996</c:v>
                </c:pt>
                <c:pt idx="3234">
                  <c:v>62003</c:v>
                </c:pt>
                <c:pt idx="3235">
                  <c:v>62010</c:v>
                </c:pt>
                <c:pt idx="3236">
                  <c:v>62017</c:v>
                </c:pt>
                <c:pt idx="3237">
                  <c:v>62024</c:v>
                </c:pt>
                <c:pt idx="3238">
                  <c:v>62031</c:v>
                </c:pt>
                <c:pt idx="3239">
                  <c:v>62038</c:v>
                </c:pt>
                <c:pt idx="3240">
                  <c:v>62045</c:v>
                </c:pt>
                <c:pt idx="3241">
                  <c:v>62052</c:v>
                </c:pt>
                <c:pt idx="3242">
                  <c:v>62059</c:v>
                </c:pt>
                <c:pt idx="3243">
                  <c:v>62066</c:v>
                </c:pt>
                <c:pt idx="3244">
                  <c:v>62073</c:v>
                </c:pt>
                <c:pt idx="3245">
                  <c:v>62080</c:v>
                </c:pt>
                <c:pt idx="3246">
                  <c:v>62092</c:v>
                </c:pt>
                <c:pt idx="3247">
                  <c:v>62096</c:v>
                </c:pt>
                <c:pt idx="3248">
                  <c:v>62102</c:v>
                </c:pt>
                <c:pt idx="3249">
                  <c:v>62109</c:v>
                </c:pt>
                <c:pt idx="3250">
                  <c:v>62116</c:v>
                </c:pt>
                <c:pt idx="3251">
                  <c:v>62123</c:v>
                </c:pt>
                <c:pt idx="3252">
                  <c:v>62130</c:v>
                </c:pt>
                <c:pt idx="3253">
                  <c:v>62137</c:v>
                </c:pt>
                <c:pt idx="3254">
                  <c:v>62144</c:v>
                </c:pt>
                <c:pt idx="3255">
                  <c:v>62151</c:v>
                </c:pt>
                <c:pt idx="3256">
                  <c:v>62158</c:v>
                </c:pt>
                <c:pt idx="3257">
                  <c:v>62165</c:v>
                </c:pt>
                <c:pt idx="3258">
                  <c:v>62172</c:v>
                </c:pt>
                <c:pt idx="3259">
                  <c:v>62179</c:v>
                </c:pt>
                <c:pt idx="3260">
                  <c:v>62186</c:v>
                </c:pt>
                <c:pt idx="3261">
                  <c:v>62193</c:v>
                </c:pt>
                <c:pt idx="3262">
                  <c:v>62200</c:v>
                </c:pt>
                <c:pt idx="3263">
                  <c:v>62207</c:v>
                </c:pt>
                <c:pt idx="3264">
                  <c:v>62215</c:v>
                </c:pt>
                <c:pt idx="3265">
                  <c:v>62222</c:v>
                </c:pt>
                <c:pt idx="3266">
                  <c:v>62228</c:v>
                </c:pt>
                <c:pt idx="3267">
                  <c:v>62235</c:v>
                </c:pt>
                <c:pt idx="3268">
                  <c:v>62242</c:v>
                </c:pt>
                <c:pt idx="3269">
                  <c:v>62249</c:v>
                </c:pt>
                <c:pt idx="3270">
                  <c:v>62256</c:v>
                </c:pt>
                <c:pt idx="3271">
                  <c:v>62263</c:v>
                </c:pt>
                <c:pt idx="3272">
                  <c:v>62270</c:v>
                </c:pt>
                <c:pt idx="3273">
                  <c:v>62277</c:v>
                </c:pt>
                <c:pt idx="3274">
                  <c:v>62284</c:v>
                </c:pt>
                <c:pt idx="3275">
                  <c:v>62291</c:v>
                </c:pt>
                <c:pt idx="3276">
                  <c:v>62298</c:v>
                </c:pt>
                <c:pt idx="3277">
                  <c:v>62305</c:v>
                </c:pt>
                <c:pt idx="3278">
                  <c:v>62312</c:v>
                </c:pt>
                <c:pt idx="3279">
                  <c:v>62319</c:v>
                </c:pt>
                <c:pt idx="3280">
                  <c:v>62326</c:v>
                </c:pt>
                <c:pt idx="3281">
                  <c:v>62333</c:v>
                </c:pt>
                <c:pt idx="3282">
                  <c:v>62340</c:v>
                </c:pt>
                <c:pt idx="3283">
                  <c:v>62347</c:v>
                </c:pt>
                <c:pt idx="3284">
                  <c:v>62354</c:v>
                </c:pt>
                <c:pt idx="3285">
                  <c:v>62361</c:v>
                </c:pt>
                <c:pt idx="3286">
                  <c:v>62368</c:v>
                </c:pt>
                <c:pt idx="3287">
                  <c:v>62375</c:v>
                </c:pt>
                <c:pt idx="3288">
                  <c:v>62382</c:v>
                </c:pt>
                <c:pt idx="3289">
                  <c:v>62389</c:v>
                </c:pt>
                <c:pt idx="3290">
                  <c:v>62396</c:v>
                </c:pt>
                <c:pt idx="3291">
                  <c:v>62403</c:v>
                </c:pt>
                <c:pt idx="3292">
                  <c:v>62410</c:v>
                </c:pt>
                <c:pt idx="3293">
                  <c:v>62417</c:v>
                </c:pt>
                <c:pt idx="3294">
                  <c:v>62424</c:v>
                </c:pt>
                <c:pt idx="3295">
                  <c:v>62431</c:v>
                </c:pt>
                <c:pt idx="3296">
                  <c:v>62438</c:v>
                </c:pt>
                <c:pt idx="3297">
                  <c:v>62445</c:v>
                </c:pt>
                <c:pt idx="3298">
                  <c:v>62457</c:v>
                </c:pt>
                <c:pt idx="3299">
                  <c:v>62463</c:v>
                </c:pt>
                <c:pt idx="3300">
                  <c:v>62467</c:v>
                </c:pt>
                <c:pt idx="3301">
                  <c:v>62474</c:v>
                </c:pt>
                <c:pt idx="3302">
                  <c:v>62481</c:v>
                </c:pt>
                <c:pt idx="3303">
                  <c:v>62488</c:v>
                </c:pt>
                <c:pt idx="3304">
                  <c:v>62495</c:v>
                </c:pt>
                <c:pt idx="3305">
                  <c:v>62502</c:v>
                </c:pt>
                <c:pt idx="3306">
                  <c:v>62509</c:v>
                </c:pt>
                <c:pt idx="3307">
                  <c:v>62516</c:v>
                </c:pt>
                <c:pt idx="3308">
                  <c:v>62523</c:v>
                </c:pt>
                <c:pt idx="3309">
                  <c:v>62530</c:v>
                </c:pt>
                <c:pt idx="3310">
                  <c:v>62537</c:v>
                </c:pt>
                <c:pt idx="3311">
                  <c:v>62544</c:v>
                </c:pt>
                <c:pt idx="3312">
                  <c:v>62551</c:v>
                </c:pt>
                <c:pt idx="3313">
                  <c:v>62558</c:v>
                </c:pt>
                <c:pt idx="3314">
                  <c:v>62569</c:v>
                </c:pt>
                <c:pt idx="3315">
                  <c:v>62572</c:v>
                </c:pt>
                <c:pt idx="3316">
                  <c:v>62582</c:v>
                </c:pt>
                <c:pt idx="3317">
                  <c:v>62586</c:v>
                </c:pt>
                <c:pt idx="3318">
                  <c:v>62593</c:v>
                </c:pt>
                <c:pt idx="3319">
                  <c:v>62600</c:v>
                </c:pt>
                <c:pt idx="3320">
                  <c:v>62610</c:v>
                </c:pt>
                <c:pt idx="3321">
                  <c:v>62614</c:v>
                </c:pt>
                <c:pt idx="3322">
                  <c:v>62621</c:v>
                </c:pt>
                <c:pt idx="3323">
                  <c:v>62631</c:v>
                </c:pt>
                <c:pt idx="3324">
                  <c:v>62635</c:v>
                </c:pt>
                <c:pt idx="3325">
                  <c:v>62642</c:v>
                </c:pt>
                <c:pt idx="3326">
                  <c:v>62649</c:v>
                </c:pt>
                <c:pt idx="3327">
                  <c:v>62656</c:v>
                </c:pt>
                <c:pt idx="3328">
                  <c:v>62663</c:v>
                </c:pt>
                <c:pt idx="3329">
                  <c:v>62670</c:v>
                </c:pt>
                <c:pt idx="3330">
                  <c:v>62677</c:v>
                </c:pt>
                <c:pt idx="3331">
                  <c:v>62684</c:v>
                </c:pt>
                <c:pt idx="3332">
                  <c:v>62691</c:v>
                </c:pt>
                <c:pt idx="3333">
                  <c:v>62698</c:v>
                </c:pt>
                <c:pt idx="3334">
                  <c:v>62705</c:v>
                </c:pt>
                <c:pt idx="3335">
                  <c:v>62712</c:v>
                </c:pt>
                <c:pt idx="3336">
                  <c:v>62719</c:v>
                </c:pt>
                <c:pt idx="3337">
                  <c:v>62726</c:v>
                </c:pt>
                <c:pt idx="3338">
                  <c:v>62733</c:v>
                </c:pt>
                <c:pt idx="3339">
                  <c:v>62740</c:v>
                </c:pt>
                <c:pt idx="3340">
                  <c:v>62747</c:v>
                </c:pt>
                <c:pt idx="3341">
                  <c:v>62754</c:v>
                </c:pt>
                <c:pt idx="3342">
                  <c:v>62761</c:v>
                </c:pt>
                <c:pt idx="3343">
                  <c:v>62768</c:v>
                </c:pt>
                <c:pt idx="3344">
                  <c:v>62775</c:v>
                </c:pt>
                <c:pt idx="3345">
                  <c:v>62782</c:v>
                </c:pt>
                <c:pt idx="3346">
                  <c:v>62789</c:v>
                </c:pt>
                <c:pt idx="3347">
                  <c:v>62796</c:v>
                </c:pt>
                <c:pt idx="3348">
                  <c:v>62803</c:v>
                </c:pt>
                <c:pt idx="3349">
                  <c:v>62810</c:v>
                </c:pt>
                <c:pt idx="3350">
                  <c:v>62821</c:v>
                </c:pt>
                <c:pt idx="3351">
                  <c:v>62828</c:v>
                </c:pt>
                <c:pt idx="3352">
                  <c:v>62834</c:v>
                </c:pt>
                <c:pt idx="3353">
                  <c:v>62841</c:v>
                </c:pt>
                <c:pt idx="3354">
                  <c:v>62848</c:v>
                </c:pt>
                <c:pt idx="3355">
                  <c:v>62855</c:v>
                </c:pt>
                <c:pt idx="3356">
                  <c:v>62862</c:v>
                </c:pt>
                <c:pt idx="3357">
                  <c:v>62869</c:v>
                </c:pt>
                <c:pt idx="3358">
                  <c:v>62876</c:v>
                </c:pt>
                <c:pt idx="3359">
                  <c:v>62883</c:v>
                </c:pt>
                <c:pt idx="3360">
                  <c:v>62890</c:v>
                </c:pt>
                <c:pt idx="3361">
                  <c:v>62897</c:v>
                </c:pt>
                <c:pt idx="3362">
                  <c:v>62904</c:v>
                </c:pt>
                <c:pt idx="3363">
                  <c:v>62911</c:v>
                </c:pt>
                <c:pt idx="3364">
                  <c:v>62918</c:v>
                </c:pt>
                <c:pt idx="3365">
                  <c:v>62927</c:v>
                </c:pt>
                <c:pt idx="3366">
                  <c:v>62932</c:v>
                </c:pt>
                <c:pt idx="3367">
                  <c:v>62939</c:v>
                </c:pt>
                <c:pt idx="3368">
                  <c:v>62946</c:v>
                </c:pt>
                <c:pt idx="3369">
                  <c:v>62953</c:v>
                </c:pt>
                <c:pt idx="3370">
                  <c:v>62960</c:v>
                </c:pt>
                <c:pt idx="3371">
                  <c:v>62968</c:v>
                </c:pt>
                <c:pt idx="3372">
                  <c:v>62976</c:v>
                </c:pt>
                <c:pt idx="3373">
                  <c:v>62982</c:v>
                </c:pt>
                <c:pt idx="3374">
                  <c:v>62989</c:v>
                </c:pt>
                <c:pt idx="3375">
                  <c:v>62996</c:v>
                </c:pt>
                <c:pt idx="3376">
                  <c:v>63004</c:v>
                </c:pt>
                <c:pt idx="3377">
                  <c:v>63011</c:v>
                </c:pt>
                <c:pt idx="3378">
                  <c:v>63018</c:v>
                </c:pt>
                <c:pt idx="3379">
                  <c:v>63025</c:v>
                </c:pt>
                <c:pt idx="3380">
                  <c:v>63032</c:v>
                </c:pt>
                <c:pt idx="3381">
                  <c:v>63039</c:v>
                </c:pt>
                <c:pt idx="3382">
                  <c:v>63046</c:v>
                </c:pt>
                <c:pt idx="3383">
                  <c:v>63053</c:v>
                </c:pt>
                <c:pt idx="3384">
                  <c:v>63060</c:v>
                </c:pt>
                <c:pt idx="3385">
                  <c:v>63067</c:v>
                </c:pt>
                <c:pt idx="3386">
                  <c:v>63074</c:v>
                </c:pt>
                <c:pt idx="3387">
                  <c:v>63081</c:v>
                </c:pt>
                <c:pt idx="3388">
                  <c:v>63088</c:v>
                </c:pt>
                <c:pt idx="3389">
                  <c:v>63095</c:v>
                </c:pt>
                <c:pt idx="3390">
                  <c:v>63102</c:v>
                </c:pt>
                <c:pt idx="3391">
                  <c:v>63109</c:v>
                </c:pt>
                <c:pt idx="3392">
                  <c:v>63116</c:v>
                </c:pt>
                <c:pt idx="3393">
                  <c:v>63123</c:v>
                </c:pt>
                <c:pt idx="3394">
                  <c:v>63130</c:v>
                </c:pt>
                <c:pt idx="3395">
                  <c:v>63137</c:v>
                </c:pt>
                <c:pt idx="3396">
                  <c:v>63144</c:v>
                </c:pt>
                <c:pt idx="3397">
                  <c:v>63151</c:v>
                </c:pt>
                <c:pt idx="3398">
                  <c:v>63158</c:v>
                </c:pt>
                <c:pt idx="3399">
                  <c:v>63165</c:v>
                </c:pt>
                <c:pt idx="3400">
                  <c:v>63172</c:v>
                </c:pt>
                <c:pt idx="3401">
                  <c:v>63179</c:v>
                </c:pt>
                <c:pt idx="3402">
                  <c:v>63187</c:v>
                </c:pt>
                <c:pt idx="3403">
                  <c:v>63194</c:v>
                </c:pt>
                <c:pt idx="3404">
                  <c:v>63201</c:v>
                </c:pt>
                <c:pt idx="3405">
                  <c:v>63208</c:v>
                </c:pt>
                <c:pt idx="3406">
                  <c:v>63215</c:v>
                </c:pt>
                <c:pt idx="3407">
                  <c:v>63222</c:v>
                </c:pt>
                <c:pt idx="3408">
                  <c:v>63229</c:v>
                </c:pt>
                <c:pt idx="3409">
                  <c:v>63236</c:v>
                </c:pt>
                <c:pt idx="3410">
                  <c:v>63243</c:v>
                </c:pt>
                <c:pt idx="3411">
                  <c:v>63250</c:v>
                </c:pt>
                <c:pt idx="3412">
                  <c:v>63257</c:v>
                </c:pt>
                <c:pt idx="3413">
                  <c:v>63264</c:v>
                </c:pt>
                <c:pt idx="3414">
                  <c:v>63271</c:v>
                </c:pt>
                <c:pt idx="3415">
                  <c:v>63278</c:v>
                </c:pt>
                <c:pt idx="3416">
                  <c:v>63285</c:v>
                </c:pt>
                <c:pt idx="3417">
                  <c:v>63292</c:v>
                </c:pt>
                <c:pt idx="3418">
                  <c:v>63299</c:v>
                </c:pt>
                <c:pt idx="3419">
                  <c:v>63306</c:v>
                </c:pt>
                <c:pt idx="3420">
                  <c:v>63314</c:v>
                </c:pt>
                <c:pt idx="3421">
                  <c:v>63320</c:v>
                </c:pt>
                <c:pt idx="3422">
                  <c:v>63327</c:v>
                </c:pt>
                <c:pt idx="3423">
                  <c:v>63334</c:v>
                </c:pt>
                <c:pt idx="3424">
                  <c:v>63341</c:v>
                </c:pt>
                <c:pt idx="3425">
                  <c:v>63348</c:v>
                </c:pt>
                <c:pt idx="3426">
                  <c:v>63355</c:v>
                </c:pt>
                <c:pt idx="3427">
                  <c:v>63362</c:v>
                </c:pt>
                <c:pt idx="3428">
                  <c:v>63369</c:v>
                </c:pt>
                <c:pt idx="3429">
                  <c:v>63376</c:v>
                </c:pt>
                <c:pt idx="3430">
                  <c:v>63383</c:v>
                </c:pt>
                <c:pt idx="3431">
                  <c:v>63390</c:v>
                </c:pt>
                <c:pt idx="3432">
                  <c:v>63397</c:v>
                </c:pt>
                <c:pt idx="3433">
                  <c:v>63404</c:v>
                </c:pt>
                <c:pt idx="3434">
                  <c:v>63411</c:v>
                </c:pt>
                <c:pt idx="3435">
                  <c:v>63418</c:v>
                </c:pt>
                <c:pt idx="3436">
                  <c:v>63425</c:v>
                </c:pt>
                <c:pt idx="3437">
                  <c:v>63432</c:v>
                </c:pt>
                <c:pt idx="3438">
                  <c:v>63439</c:v>
                </c:pt>
                <c:pt idx="3439">
                  <c:v>63446</c:v>
                </c:pt>
                <c:pt idx="3440">
                  <c:v>63453</c:v>
                </c:pt>
                <c:pt idx="3441">
                  <c:v>63460</c:v>
                </c:pt>
                <c:pt idx="3442">
                  <c:v>63467</c:v>
                </c:pt>
                <c:pt idx="3443">
                  <c:v>63474</c:v>
                </c:pt>
                <c:pt idx="3444">
                  <c:v>63481</c:v>
                </c:pt>
                <c:pt idx="3445">
                  <c:v>63488</c:v>
                </c:pt>
                <c:pt idx="3446">
                  <c:v>63495</c:v>
                </c:pt>
                <c:pt idx="3447">
                  <c:v>63502</c:v>
                </c:pt>
                <c:pt idx="3448">
                  <c:v>63509</c:v>
                </c:pt>
                <c:pt idx="3449">
                  <c:v>63516</c:v>
                </c:pt>
                <c:pt idx="3450">
                  <c:v>63523</c:v>
                </c:pt>
                <c:pt idx="3451">
                  <c:v>63530</c:v>
                </c:pt>
                <c:pt idx="3452">
                  <c:v>63537</c:v>
                </c:pt>
                <c:pt idx="3453">
                  <c:v>63544</c:v>
                </c:pt>
                <c:pt idx="3454">
                  <c:v>63552</c:v>
                </c:pt>
                <c:pt idx="3455">
                  <c:v>63559</c:v>
                </c:pt>
                <c:pt idx="3456">
                  <c:v>63566</c:v>
                </c:pt>
                <c:pt idx="3457">
                  <c:v>63573</c:v>
                </c:pt>
                <c:pt idx="3458">
                  <c:v>63580</c:v>
                </c:pt>
                <c:pt idx="3459">
                  <c:v>63587</c:v>
                </c:pt>
                <c:pt idx="3460">
                  <c:v>63594</c:v>
                </c:pt>
                <c:pt idx="3461">
                  <c:v>63601</c:v>
                </c:pt>
                <c:pt idx="3462">
                  <c:v>63608</c:v>
                </c:pt>
                <c:pt idx="3463">
                  <c:v>63615</c:v>
                </c:pt>
                <c:pt idx="3464">
                  <c:v>63622</c:v>
                </c:pt>
                <c:pt idx="3465">
                  <c:v>63629</c:v>
                </c:pt>
                <c:pt idx="3466">
                  <c:v>63636</c:v>
                </c:pt>
                <c:pt idx="3467">
                  <c:v>63643</c:v>
                </c:pt>
                <c:pt idx="3468">
                  <c:v>63650</c:v>
                </c:pt>
                <c:pt idx="3469">
                  <c:v>63661</c:v>
                </c:pt>
                <c:pt idx="3470">
                  <c:v>63664</c:v>
                </c:pt>
                <c:pt idx="3471">
                  <c:v>63671</c:v>
                </c:pt>
                <c:pt idx="3472">
                  <c:v>63678</c:v>
                </c:pt>
                <c:pt idx="3473">
                  <c:v>63685</c:v>
                </c:pt>
                <c:pt idx="3474">
                  <c:v>63692</c:v>
                </c:pt>
                <c:pt idx="3475">
                  <c:v>63702</c:v>
                </c:pt>
                <c:pt idx="3476">
                  <c:v>63706</c:v>
                </c:pt>
                <c:pt idx="3477">
                  <c:v>63713</c:v>
                </c:pt>
                <c:pt idx="3478">
                  <c:v>63720</c:v>
                </c:pt>
                <c:pt idx="3479">
                  <c:v>63730</c:v>
                </c:pt>
                <c:pt idx="3480">
                  <c:v>63734</c:v>
                </c:pt>
                <c:pt idx="3481">
                  <c:v>63741</c:v>
                </c:pt>
                <c:pt idx="3482">
                  <c:v>63748</c:v>
                </c:pt>
                <c:pt idx="3483">
                  <c:v>63755</c:v>
                </c:pt>
                <c:pt idx="3484">
                  <c:v>63762</c:v>
                </c:pt>
                <c:pt idx="3485">
                  <c:v>63769</c:v>
                </c:pt>
                <c:pt idx="3486">
                  <c:v>63776</c:v>
                </c:pt>
                <c:pt idx="3487">
                  <c:v>63783</c:v>
                </c:pt>
                <c:pt idx="3488">
                  <c:v>63790</c:v>
                </c:pt>
                <c:pt idx="3489">
                  <c:v>63797</c:v>
                </c:pt>
                <c:pt idx="3490">
                  <c:v>63804</c:v>
                </c:pt>
                <c:pt idx="3491">
                  <c:v>63811</c:v>
                </c:pt>
                <c:pt idx="3492">
                  <c:v>63818</c:v>
                </c:pt>
                <c:pt idx="3493">
                  <c:v>63825</c:v>
                </c:pt>
                <c:pt idx="3494">
                  <c:v>63832</c:v>
                </c:pt>
                <c:pt idx="3495">
                  <c:v>63839</c:v>
                </c:pt>
                <c:pt idx="3496">
                  <c:v>63846</c:v>
                </c:pt>
                <c:pt idx="3497">
                  <c:v>63853</c:v>
                </c:pt>
                <c:pt idx="3498">
                  <c:v>63860</c:v>
                </c:pt>
                <c:pt idx="3499">
                  <c:v>63867</c:v>
                </c:pt>
                <c:pt idx="3500">
                  <c:v>63874</c:v>
                </c:pt>
                <c:pt idx="3501">
                  <c:v>63881</c:v>
                </c:pt>
                <c:pt idx="3502">
                  <c:v>63888</c:v>
                </c:pt>
                <c:pt idx="3503">
                  <c:v>63895</c:v>
                </c:pt>
                <c:pt idx="3504">
                  <c:v>63902</c:v>
                </c:pt>
                <c:pt idx="3505">
                  <c:v>63909</c:v>
                </c:pt>
                <c:pt idx="3506">
                  <c:v>63921</c:v>
                </c:pt>
                <c:pt idx="3507">
                  <c:v>63926</c:v>
                </c:pt>
                <c:pt idx="3508">
                  <c:v>63933</c:v>
                </c:pt>
                <c:pt idx="3509">
                  <c:v>63940</c:v>
                </c:pt>
                <c:pt idx="3510">
                  <c:v>63947</c:v>
                </c:pt>
                <c:pt idx="3511">
                  <c:v>63954</c:v>
                </c:pt>
                <c:pt idx="3512">
                  <c:v>63961</c:v>
                </c:pt>
                <c:pt idx="3513">
                  <c:v>63968</c:v>
                </c:pt>
                <c:pt idx="3514">
                  <c:v>63975</c:v>
                </c:pt>
                <c:pt idx="3515">
                  <c:v>63982</c:v>
                </c:pt>
                <c:pt idx="3516">
                  <c:v>63989</c:v>
                </c:pt>
                <c:pt idx="3517">
                  <c:v>63996</c:v>
                </c:pt>
                <c:pt idx="3518">
                  <c:v>64003</c:v>
                </c:pt>
                <c:pt idx="3519">
                  <c:v>64010</c:v>
                </c:pt>
                <c:pt idx="3520">
                  <c:v>64019</c:v>
                </c:pt>
                <c:pt idx="3521">
                  <c:v>64024</c:v>
                </c:pt>
                <c:pt idx="3522">
                  <c:v>64031</c:v>
                </c:pt>
                <c:pt idx="3523">
                  <c:v>64038</c:v>
                </c:pt>
                <c:pt idx="3524">
                  <c:v>64045</c:v>
                </c:pt>
                <c:pt idx="3525">
                  <c:v>64052</c:v>
                </c:pt>
                <c:pt idx="3526">
                  <c:v>64060</c:v>
                </c:pt>
                <c:pt idx="3527">
                  <c:v>64068</c:v>
                </c:pt>
                <c:pt idx="3528">
                  <c:v>64074</c:v>
                </c:pt>
                <c:pt idx="3529">
                  <c:v>64081</c:v>
                </c:pt>
                <c:pt idx="3530">
                  <c:v>64088</c:v>
                </c:pt>
                <c:pt idx="3531">
                  <c:v>64096</c:v>
                </c:pt>
                <c:pt idx="3532">
                  <c:v>64103</c:v>
                </c:pt>
                <c:pt idx="3533">
                  <c:v>64110</c:v>
                </c:pt>
              </c:numCache>
            </c:numRef>
          </c:cat>
          <c:val>
            <c:numRef>
              <c:f>Monitor!$Q$19:$Q$3552</c:f>
              <c:numCache>
                <c:formatCode>0.0000%</c:formatCode>
                <c:ptCount val="3534"/>
                <c:pt idx="0">
                  <c:v>-2.639999999989962E-3</c:v>
                </c:pt>
                <c:pt idx="1">
                  <c:v>-2.6402301461055998E-3</c:v>
                </c:pt>
                <c:pt idx="2">
                  <c:v>-2.6395740637908849E-3</c:v>
                </c:pt>
                <c:pt idx="3">
                  <c:v>-2.6388859394879671E-3</c:v>
                </c:pt>
                <c:pt idx="4">
                  <c:v>-2.6381676162922836E-3</c:v>
                </c:pt>
                <c:pt idx="5">
                  <c:v>-2.6408134149305271E-3</c:v>
                </c:pt>
                <c:pt idx="6">
                  <c:v>-2.6463896986510123E-3</c:v>
                </c:pt>
                <c:pt idx="7">
                  <c:v>-2.6461096502125581E-3</c:v>
                </c:pt>
                <c:pt idx="8">
                  <c:v>-2.6482605030134221E-3</c:v>
                </c:pt>
                <c:pt idx="9">
                  <c:v>-2.6506520403470901E-3</c:v>
                </c:pt>
                <c:pt idx="10">
                  <c:v>-2.6536189591790382E-3</c:v>
                </c:pt>
                <c:pt idx="11">
                  <c:v>-2.6569044463173874E-3</c:v>
                </c:pt>
                <c:pt idx="12">
                  <c:v>-2.6670586908872362E-3</c:v>
                </c:pt>
                <c:pt idx="13">
                  <c:v>-2.6678900706996493E-3</c:v>
                </c:pt>
                <c:pt idx="14">
                  <c:v>-2.678971442557021E-3</c:v>
                </c:pt>
                <c:pt idx="15">
                  <c:v>-2.6846723784137438E-3</c:v>
                </c:pt>
                <c:pt idx="16">
                  <c:v>-2.6907885985600899E-3</c:v>
                </c:pt>
                <c:pt idx="17">
                  <c:v>-2.7047176533631645E-3</c:v>
                </c:pt>
                <c:pt idx="18">
                  <c:v>-2.7078051055189562E-3</c:v>
                </c:pt>
                <c:pt idx="19">
                  <c:v>-2.7258178344973238E-3</c:v>
                </c:pt>
                <c:pt idx="20">
                  <c:v>-2.7333570842165145E-3</c:v>
                </c:pt>
                <c:pt idx="21">
                  <c:v>-2.7409553938007036E-3</c:v>
                </c:pt>
                <c:pt idx="22">
                  <c:v>-2.7558923380929801E-3</c:v>
                </c:pt>
                <c:pt idx="23">
                  <c:v>-2.7785945488147945E-3</c:v>
                </c:pt>
                <c:pt idx="24">
                  <c:v>-2.7859959242273469E-3</c:v>
                </c:pt>
                <c:pt idx="25">
                  <c:v>-2.7933545825340467E-3</c:v>
                </c:pt>
                <c:pt idx="26">
                  <c:v>-2.8077011672597574E-3</c:v>
                </c:pt>
                <c:pt idx="27">
                  <c:v>-2.8114448015841504E-3</c:v>
                </c:pt>
                <c:pt idx="28">
                  <c:v>-2.8295071201749344E-3</c:v>
                </c:pt>
                <c:pt idx="29">
                  <c:v>-2.8400248734171719E-3</c:v>
                </c:pt>
                <c:pt idx="30">
                  <c:v>-2.853808188836899E-3</c:v>
                </c:pt>
                <c:pt idx="31">
                  <c:v>-2.8574168878350847E-3</c:v>
                </c:pt>
                <c:pt idx="32">
                  <c:v>-2.8610114055357514E-3</c:v>
                </c:pt>
                <c:pt idx="33">
                  <c:v>-2.8816134927564787E-3</c:v>
                </c:pt>
                <c:pt idx="34">
                  <c:v>-2.8883954233181338E-3</c:v>
                </c:pt>
                <c:pt idx="35">
                  <c:v>-2.901579952022166E-3</c:v>
                </c:pt>
                <c:pt idx="36">
                  <c:v>-2.9050395275717622E-3</c:v>
                </c:pt>
                <c:pt idx="37">
                  <c:v>-2.9084849205168201E-3</c:v>
                </c:pt>
                <c:pt idx="38">
                  <c:v>-2.9281899775338823E-3</c:v>
                </c:pt>
                <c:pt idx="39">
                  <c:v>-2.9346728990599412E-3</c:v>
                </c:pt>
                <c:pt idx="40">
                  <c:v>-2.9472586698800741E-3</c:v>
                </c:pt>
                <c:pt idx="41">
                  <c:v>-2.950569113057272E-3</c:v>
                </c:pt>
                <c:pt idx="42">
                  <c:v>-2.9538653721997246E-3</c:v>
                </c:pt>
                <c:pt idx="43">
                  <c:v>-2.9726734096704025E-3</c:v>
                </c:pt>
                <c:pt idx="44">
                  <c:v>-2.9788573256664488E-3</c:v>
                </c:pt>
                <c:pt idx="45">
                  <c:v>-2.9908443687059524E-3</c:v>
                </c:pt>
                <c:pt idx="46">
                  <c:v>-2.9940056697112805E-3</c:v>
                </c:pt>
                <c:pt idx="47">
                  <c:v>-2.9971527851325695E-3</c:v>
                </c:pt>
                <c:pt idx="48">
                  <c:v>-3.0150638132229253E-3</c:v>
                </c:pt>
                <c:pt idx="49">
                  <c:v>-3.02094872703338E-3</c:v>
                </c:pt>
                <c:pt idx="50">
                  <c:v>-3.0323370735888234E-3</c:v>
                </c:pt>
                <c:pt idx="51">
                  <c:v>-3.0353492217743971E-3</c:v>
                </c:pt>
                <c:pt idx="52">
                  <c:v>-3.0383471827172808E-3</c:v>
                </c:pt>
                <c:pt idx="53">
                  <c:v>-3.0553612111163379E-3</c:v>
                </c:pt>
                <c:pt idx="54">
                  <c:v>-3.0609471259257504E-3</c:v>
                </c:pt>
                <c:pt idx="55">
                  <c:v>-3.0717368084186673E-3</c:v>
                </c:pt>
                <c:pt idx="56">
                  <c:v>-3.0745997923356527E-3</c:v>
                </c:pt>
                <c:pt idx="57">
                  <c:v>-3.0774485872392576E-3</c:v>
                </c:pt>
                <c:pt idx="58">
                  <c:v>-3.0935656251499773E-3</c:v>
                </c:pt>
                <c:pt idx="59">
                  <c:v>-3.0988525439778676E-3</c:v>
                </c:pt>
                <c:pt idx="60">
                  <c:v>-3.109043595875524E-3</c:v>
                </c:pt>
                <c:pt idx="61">
                  <c:v>-3.111757403302523E-3</c:v>
                </c:pt>
                <c:pt idx="62">
                  <c:v>-3.1144570198377197E-3</c:v>
                </c:pt>
                <c:pt idx="63">
                  <c:v>-3.1296770759795785E-3</c:v>
                </c:pt>
                <c:pt idx="64">
                  <c:v>-3.1346650016804379E-3</c:v>
                </c:pt>
                <c:pt idx="65">
                  <c:v>-3.1442574574440259E-3</c:v>
                </c:pt>
                <c:pt idx="66">
                  <c:v>-3.1468220754209131E-3</c:v>
                </c:pt>
                <c:pt idx="67">
                  <c:v>-3.1493725005340709E-3</c:v>
                </c:pt>
                <c:pt idx="68">
                  <c:v>-3.1636955831327467E-3</c:v>
                </c:pt>
                <c:pt idx="69">
                  <c:v>-3.1683845184115079E-3</c:v>
                </c:pt>
                <c:pt idx="70">
                  <c:v>-3.1773784133891751E-3</c:v>
                </c:pt>
                <c:pt idx="71">
                  <c:v>-3.179793828263916E-3</c:v>
                </c:pt>
                <c:pt idx="72">
                  <c:v>-3.1821950482086923E-3</c:v>
                </c:pt>
                <c:pt idx="73">
                  <c:v>-3.1935328966361531E-3</c:v>
                </c:pt>
                <c:pt idx="74">
                  <c:v>-3.1979442393446078E-3</c:v>
                </c:pt>
                <c:pt idx="75">
                  <c:v>-3.2023128693476899E-3</c:v>
                </c:pt>
                <c:pt idx="76">
                  <c:v>-3.2106726802368091E-3</c:v>
                </c:pt>
                <c:pt idx="77">
                  <c:v>-3.2129246806099666E-3</c:v>
                </c:pt>
                <c:pt idx="78">
                  <c:v>-3.223515330358584E-3</c:v>
                </c:pt>
                <c:pt idx="79">
                  <c:v>-3.2276276850766727E-3</c:v>
                </c:pt>
                <c:pt idx="80">
                  <c:v>-3.2316973274051364E-3</c:v>
                </c:pt>
                <c:pt idx="81">
                  <c:v>-3.2394586485770538E-3</c:v>
                </c:pt>
                <c:pt idx="82">
                  <c:v>-3.2415614143555698E-3</c:v>
                </c:pt>
                <c:pt idx="83">
                  <c:v>-3.2514048546965491E-3</c:v>
                </c:pt>
                <c:pt idx="84">
                  <c:v>-3.2552182235758842E-3</c:v>
                </c:pt>
                <c:pt idx="85">
                  <c:v>-3.2589888803600253E-3</c:v>
                </c:pt>
                <c:pt idx="86">
                  <c:v>-3.2661517493580428E-3</c:v>
                </c:pt>
                <c:pt idx="87">
                  <c:v>-3.2681052649389144E-3</c:v>
                </c:pt>
                <c:pt idx="88">
                  <c:v>-3.2772014842397112E-3</c:v>
                </c:pt>
                <c:pt idx="89">
                  <c:v>-3.2807158692786942E-3</c:v>
                </c:pt>
                <c:pt idx="90">
                  <c:v>-3.284187542495598E-3</c:v>
                </c:pt>
                <c:pt idx="91">
                  <c:v>-3.2907519974803567E-3</c:v>
                </c:pt>
                <c:pt idx="92">
                  <c:v>-3.2925562467098122E-3</c:v>
                </c:pt>
                <c:pt idx="93">
                  <c:v>-3.3009052324945998E-3</c:v>
                </c:pt>
                <c:pt idx="94">
                  <c:v>-3.3041206355304276E-3</c:v>
                </c:pt>
                <c:pt idx="95">
                  <c:v>-3.3072933269933102E-3</c:v>
                </c:pt>
                <c:pt idx="96">
                  <c:v>-3.3132594066755117E-3</c:v>
                </c:pt>
                <c:pt idx="97">
                  <c:v>-3.314914372889945E-3</c:v>
                </c:pt>
                <c:pt idx="98">
                  <c:v>-3.3238557599245939E-3</c:v>
                </c:pt>
                <c:pt idx="99">
                  <c:v>-3.3267508002456135E-3</c:v>
                </c:pt>
                <c:pt idx="100">
                  <c:v>-3.3321541144629408E-3</c:v>
                </c:pt>
                <c:pt idx="101">
                  <c:v>-3.3336739895059586E-3</c:v>
                </c:pt>
                <c:pt idx="102">
                  <c:v>-3.3351796555728648E-3</c:v>
                </c:pt>
                <c:pt idx="103">
                  <c:v>-3.3432241131026524E-3</c:v>
                </c:pt>
                <c:pt idx="104">
                  <c:v>-3.3458201773513855E-3</c:v>
                </c:pt>
                <c:pt idx="105">
                  <c:v>-3.3506251974775711E-3</c:v>
                </c:pt>
                <c:pt idx="106">
                  <c:v>-3.3519957573725778E-3</c:v>
                </c:pt>
                <c:pt idx="107">
                  <c:v>-3.3533521057175471E-3</c:v>
                </c:pt>
                <c:pt idx="108">
                  <c:v>-3.3604996380912524E-3</c:v>
                </c:pt>
                <c:pt idx="109">
                  <c:v>-3.3627967276730272E-3</c:v>
                </c:pt>
                <c:pt idx="110">
                  <c:v>-3.3670034936792641E-3</c:v>
                </c:pt>
                <c:pt idx="111">
                  <c:v>-3.3682247205009397E-3</c:v>
                </c:pt>
                <c:pt idx="112">
                  <c:v>-3.3694317331535483E-3</c:v>
                </c:pt>
                <c:pt idx="113">
                  <c:v>-3.3756823442351778E-3</c:v>
                </c:pt>
                <c:pt idx="114">
                  <c:v>-3.3776804603928702E-3</c:v>
                </c:pt>
                <c:pt idx="115">
                  <c:v>-3.381289012491997E-3</c:v>
                </c:pt>
                <c:pt idx="116">
                  <c:v>-3.3823608879500477E-3</c:v>
                </c:pt>
                <c:pt idx="117">
                  <c:v>-3.3834185465745599E-3</c:v>
                </c:pt>
                <c:pt idx="118">
                  <c:v>-3.3880311502922922E-3</c:v>
                </c:pt>
                <c:pt idx="119">
                  <c:v>-3.3897516654266546E-3</c:v>
                </c:pt>
                <c:pt idx="120">
                  <c:v>-3.3914294698980108E-3</c:v>
                </c:pt>
                <c:pt idx="121">
                  <c:v>-3.3944042676123387E-3</c:v>
                </c:pt>
                <c:pt idx="122">
                  <c:v>-3.395312553543564E-3</c:v>
                </c:pt>
                <c:pt idx="123">
                  <c:v>-3.3991778329918176E-3</c:v>
                </c:pt>
                <c:pt idx="124">
                  <c:v>-3.4005993738701612E-3</c:v>
                </c:pt>
                <c:pt idx="125">
                  <c:v>-3.4019782042067348E-3</c:v>
                </c:pt>
                <c:pt idx="126">
                  <c:v>-3.4043548662111844E-3</c:v>
                </c:pt>
                <c:pt idx="127">
                  <c:v>-3.4051137604954131E-3</c:v>
                </c:pt>
                <c:pt idx="128">
                  <c:v>-3.4082316982386729E-3</c:v>
                </c:pt>
                <c:pt idx="129">
                  <c:v>-3.4093542656083997E-3</c:v>
                </c:pt>
                <c:pt idx="130">
                  <c:v>-3.4104341225296153E-3</c:v>
                </c:pt>
                <c:pt idx="131">
                  <c:v>-3.4122126893021409E-3</c:v>
                </c:pt>
                <c:pt idx="132">
                  <c:v>-3.4128221727303836E-3</c:v>
                </c:pt>
                <c:pt idx="133">
                  <c:v>-3.4151927507704016E-3</c:v>
                </c:pt>
                <c:pt idx="134">
                  <c:v>-3.417014951819198E-3</c:v>
                </c:pt>
                <c:pt idx="135">
                  <c:v>-3.4175034602707496E-3</c:v>
                </c:pt>
                <c:pt idx="136">
                  <c:v>-3.4179777412692014E-3</c:v>
                </c:pt>
                <c:pt idx="137">
                  <c:v>-3.4184377944154651E-3</c:v>
                </c:pt>
                <c:pt idx="138">
                  <c:v>-3.4200609942320881E-3</c:v>
                </c:pt>
                <c:pt idx="139">
                  <c:v>-3.4209861272159552E-3</c:v>
                </c:pt>
                <c:pt idx="140">
                  <c:v>-3.4213251914083647E-3</c:v>
                </c:pt>
                <c:pt idx="141">
                  <c:v>-3.4216500253335391E-3</c:v>
                </c:pt>
                <c:pt idx="142">
                  <c:v>-3.4219606285895172E-3</c:v>
                </c:pt>
                <c:pt idx="143">
                  <c:v>-3.4228297659374156E-3</c:v>
                </c:pt>
                <c:pt idx="144">
                  <c:v>-3.4230340585860199E-3</c:v>
                </c:pt>
                <c:pt idx="145">
                  <c:v>-3.4230541764265513E-3</c:v>
                </c:pt>
                <c:pt idx="146">
                  <c:v>-3.4232295435435156E-3</c:v>
                </c:pt>
                <c:pt idx="147">
                  <c:v>-3.4233906771529549E-3</c:v>
                </c:pt>
                <c:pt idx="148">
                  <c:v>-3.4233629066870281E-3</c:v>
                </c:pt>
                <c:pt idx="149">
                  <c:v>-3.4232682300811179E-3</c:v>
                </c:pt>
                <c:pt idx="150">
                  <c:v>-3.4226904163305672E-3</c:v>
                </c:pt>
                <c:pt idx="151">
                  <c:v>-3.4227162967809255E-3</c:v>
                </c:pt>
                <c:pt idx="152">
                  <c:v>-3.4227279408870887E-3</c:v>
                </c:pt>
                <c:pt idx="153">
                  <c:v>-3.4218032625905758E-3</c:v>
                </c:pt>
                <c:pt idx="154">
                  <c:v>-3.421409616674712E-3</c:v>
                </c:pt>
                <c:pt idx="155">
                  <c:v>-3.4202339108999817E-3</c:v>
                </c:pt>
                <c:pt idx="156">
                  <c:v>-3.4181508327997055E-3</c:v>
                </c:pt>
                <c:pt idx="157">
                  <c:v>-3.417458217366312E-3</c:v>
                </c:pt>
                <c:pt idx="158">
                  <c:v>-3.417220667879306E-3</c:v>
                </c:pt>
                <c:pt idx="159">
                  <c:v>-3.4124056153430901E-3</c:v>
                </c:pt>
                <c:pt idx="160">
                  <c:v>-3.4114140300169835E-3</c:v>
                </c:pt>
                <c:pt idx="161">
                  <c:v>-3.4086199579534682E-3</c:v>
                </c:pt>
                <c:pt idx="162">
                  <c:v>-3.4081830138385058E-3</c:v>
                </c:pt>
                <c:pt idx="163">
                  <c:v>-3.4045676071135385E-3</c:v>
                </c:pt>
                <c:pt idx="164">
                  <c:v>-3.403277051354505E-3</c:v>
                </c:pt>
                <c:pt idx="165">
                  <c:v>-3.4003079024700548E-3</c:v>
                </c:pt>
                <c:pt idx="166">
                  <c:v>-3.3997356367534981E-3</c:v>
                </c:pt>
                <c:pt idx="167">
                  <c:v>-3.3991491233331672E-3</c:v>
                </c:pt>
                <c:pt idx="168">
                  <c:v>-3.3946368038667036E-3</c:v>
                </c:pt>
                <c:pt idx="169">
                  <c:v>-3.3930472769836835E-3</c:v>
                </c:pt>
                <c:pt idx="170">
                  <c:v>-3.3894803895329066E-3</c:v>
                </c:pt>
                <c:pt idx="171">
                  <c:v>-3.3887585374664519E-3</c:v>
                </c:pt>
                <c:pt idx="172">
                  <c:v>-3.3880224348877223E-3</c:v>
                </c:pt>
                <c:pt idx="173">
                  <c:v>-3.3826132002404232E-3</c:v>
                </c:pt>
                <c:pt idx="174">
                  <c:v>-3.3807247013657236E-3</c:v>
                </c:pt>
                <c:pt idx="175">
                  <c:v>-3.37656011214675E-3</c:v>
                </c:pt>
                <c:pt idx="176">
                  <c:v>-3.3756886539647313E-3</c:v>
                </c:pt>
                <c:pt idx="177">
                  <c:v>-3.3748029424773124E-3</c:v>
                </c:pt>
                <c:pt idx="178">
                  <c:v>-3.3708866677476636E-3</c:v>
                </c:pt>
                <c:pt idx="179">
                  <c:v>-3.3687418662457442E-3</c:v>
                </c:pt>
                <c:pt idx="180">
                  <c:v>-3.3665543534706858E-3</c:v>
                </c:pt>
                <c:pt idx="181">
                  <c:v>-3.3643241294004375E-3</c:v>
                </c:pt>
                <c:pt idx="182">
                  <c:v>-3.3594906389592645E-3</c:v>
                </c:pt>
                <c:pt idx="183">
                  <c:v>-3.3549761197265138E-3</c:v>
                </c:pt>
                <c:pt idx="184">
                  <c:v>-3.3525323388343838E-3</c:v>
                </c:pt>
                <c:pt idx="185">
                  <c:v>-3.3500458465064863E-3</c:v>
                </c:pt>
                <c:pt idx="186">
                  <c:v>-3.3475166427125004E-3</c:v>
                </c:pt>
                <c:pt idx="187">
                  <c:v>-3.3420855160498819E-3</c:v>
                </c:pt>
                <c:pt idx="188">
                  <c:v>-3.336972712369875E-3</c:v>
                </c:pt>
                <c:pt idx="189">
                  <c:v>-3.3342299508554159E-3</c:v>
                </c:pt>
                <c:pt idx="190">
                  <c:v>-3.3314444777108624E-3</c:v>
                </c:pt>
                <c:pt idx="191">
                  <c:v>-3.3286162929169194E-3</c:v>
                </c:pt>
                <c:pt idx="192">
                  <c:v>-3.3225875643373391E-3</c:v>
                </c:pt>
                <c:pt idx="193">
                  <c:v>-3.3168764365677926E-3</c:v>
                </c:pt>
                <c:pt idx="194">
                  <c:v>-3.3138346930417714E-3</c:v>
                </c:pt>
                <c:pt idx="195">
                  <c:v>-3.3107502376775464E-3</c:v>
                </c:pt>
                <c:pt idx="196">
                  <c:v>-3.3007387180005281E-3</c:v>
                </c:pt>
                <c:pt idx="197">
                  <c:v>-3.2992472561868547E-3</c:v>
                </c:pt>
                <c:pt idx="198">
                  <c:v>-3.2911029091498372E-3</c:v>
                </c:pt>
                <c:pt idx="199">
                  <c:v>-3.2877195317857562E-3</c:v>
                </c:pt>
                <c:pt idx="200">
                  <c:v>-3.2805669559979578E-3</c:v>
                </c:pt>
                <c:pt idx="201">
                  <c:v>-3.2789471769667511E-3</c:v>
                </c:pt>
                <c:pt idx="202">
                  <c:v>-3.277313131196767E-3</c:v>
                </c:pt>
                <c:pt idx="203">
                  <c:v>-3.2665223270587863E-3</c:v>
                </c:pt>
                <c:pt idx="204">
                  <c:v>-3.2628399691498676E-3</c:v>
                </c:pt>
                <c:pt idx="205">
                  <c:v>-3.2550898935564251E-3</c:v>
                </c:pt>
                <c:pt idx="206">
                  <c:v>-3.253320394062259E-3</c:v>
                </c:pt>
                <c:pt idx="207">
                  <c:v>-3.25153662527994E-3</c:v>
                </c:pt>
                <c:pt idx="208">
                  <c:v>-3.2398488753004884E-3</c:v>
                </c:pt>
                <c:pt idx="209">
                  <c:v>-3.235867534859934E-3</c:v>
                </c:pt>
                <c:pt idx="210">
                  <c:v>-3.2275199892986806E-3</c:v>
                </c:pt>
                <c:pt idx="211">
                  <c:v>-3.2256007513360718E-3</c:v>
                </c:pt>
                <c:pt idx="212">
                  <c:v>-3.2236672415900921E-3</c:v>
                </c:pt>
                <c:pt idx="213">
                  <c:v>-3.2110825394477747E-3</c:v>
                </c:pt>
                <c:pt idx="214">
                  <c:v>-3.2068022143250468E-3</c:v>
                </c:pt>
                <c:pt idx="215">
                  <c:v>-3.1978572273562056E-3</c:v>
                </c:pt>
                <c:pt idx="216">
                  <c:v>-3.1957882333105703E-3</c:v>
                </c:pt>
                <c:pt idx="217">
                  <c:v>-3.1756439918222985E-3</c:v>
                </c:pt>
                <c:pt idx="218">
                  <c:v>-3.1734608636644346E-3</c:v>
                </c:pt>
                <c:pt idx="219">
                  <c:v>-3.1712634592560704E-3</c:v>
                </c:pt>
                <c:pt idx="220">
                  <c:v>-3.1616497794823904E-3</c:v>
                </c:pt>
                <c:pt idx="221">
                  <c:v>-3.1498166232282188E-3</c:v>
                </c:pt>
                <c:pt idx="222">
                  <c:v>-3.1423928505032316E-3</c:v>
                </c:pt>
                <c:pt idx="223">
                  <c:v>-3.1400599348589964E-3</c:v>
                </c:pt>
                <c:pt idx="224">
                  <c:v>-3.1298845036308032E-3</c:v>
                </c:pt>
                <c:pt idx="225">
                  <c:v>-3.1275016675210458E-3</c:v>
                </c:pt>
                <c:pt idx="226">
                  <c:v>-3.1149207298000192E-3</c:v>
                </c:pt>
                <c:pt idx="227">
                  <c:v>-3.109764748221E-3</c:v>
                </c:pt>
                <c:pt idx="228">
                  <c:v>-3.104566052994695E-3</c:v>
                </c:pt>
                <c:pt idx="229">
                  <c:v>-3.0910062756586954E-3</c:v>
                </c:pt>
                <c:pt idx="230">
                  <c:v>-3.0884665100622266E-3</c:v>
                </c:pt>
                <c:pt idx="231">
                  <c:v>-3.0779318701514846E-3</c:v>
                </c:pt>
                <c:pt idx="232">
                  <c:v>-3.0724769823167186E-3</c:v>
                </c:pt>
                <c:pt idx="233">
                  <c:v>-3.0669799232607708E-3</c:v>
                </c:pt>
                <c:pt idx="234">
                  <c:v>-3.0556196598349739E-3</c:v>
                </c:pt>
                <c:pt idx="235">
                  <c:v>-3.0529375335144973E-3</c:v>
                </c:pt>
                <c:pt idx="236">
                  <c:v>-3.0388810567738567E-3</c:v>
                </c:pt>
                <c:pt idx="237">
                  <c:v>-3.0331423686504877E-3</c:v>
                </c:pt>
                <c:pt idx="238">
                  <c:v>-3.0273653087253827E-3</c:v>
                </c:pt>
                <c:pt idx="239">
                  <c:v>-3.0154784525880662E-3</c:v>
                </c:pt>
                <c:pt idx="240">
                  <c:v>-3.0095934943623337E-3</c:v>
                </c:pt>
                <c:pt idx="241">
                  <c:v>-2.9948284993777394E-3</c:v>
                </c:pt>
                <c:pt idx="242">
                  <c:v>-2.9888173377795768E-3</c:v>
                </c:pt>
                <c:pt idx="243">
                  <c:v>-2.9764937257713668E-3</c:v>
                </c:pt>
                <c:pt idx="244">
                  <c:v>-2.9705800968776192E-3</c:v>
                </c:pt>
                <c:pt idx="245">
                  <c:v>-2.9520482524070246E-3</c:v>
                </c:pt>
                <c:pt idx="246">
                  <c:v>-2.945807954711669E-3</c:v>
                </c:pt>
                <c:pt idx="247">
                  <c:v>-2.9330618456450837E-3</c:v>
                </c:pt>
                <c:pt idx="248">
                  <c:v>-2.9299892931003435E-3</c:v>
                </c:pt>
                <c:pt idx="249">
                  <c:v>-2.9269053667883623E-3</c:v>
                </c:pt>
                <c:pt idx="250">
                  <c:v>-2.9012975717903192E-3</c:v>
                </c:pt>
                <c:pt idx="251">
                  <c:v>-2.8881656350061976E-3</c:v>
                </c:pt>
                <c:pt idx="252">
                  <c:v>-2.8849903236571883E-3</c:v>
                </c:pt>
                <c:pt idx="253">
                  <c:v>-2.8818061514274307E-3</c:v>
                </c:pt>
                <c:pt idx="254">
                  <c:v>-2.8620767685851437E-3</c:v>
                </c:pt>
                <c:pt idx="255">
                  <c:v>-2.8452054531027133E-3</c:v>
                </c:pt>
                <c:pt idx="256">
                  <c:v>-2.8419461286094913E-3</c:v>
                </c:pt>
                <c:pt idx="257">
                  <c:v>-2.8386779426307907E-3</c:v>
                </c:pt>
                <c:pt idx="258">
                  <c:v>-2.8354008950402039E-3</c:v>
                </c:pt>
                <c:pt idx="259">
                  <c:v>-2.8151164659695831E-3</c:v>
                </c:pt>
                <c:pt idx="260">
                  <c:v>-2.8117907510059048E-3</c:v>
                </c:pt>
                <c:pt idx="261">
                  <c:v>-2.8049631439581724E-3</c:v>
                </c:pt>
                <c:pt idx="262">
                  <c:v>-2.7910704544441278E-3</c:v>
                </c:pt>
                <c:pt idx="263">
                  <c:v>-2.7877005262911063E-3</c:v>
                </c:pt>
                <c:pt idx="264">
                  <c:v>-2.7704286405918488E-3</c:v>
                </c:pt>
                <c:pt idx="265">
                  <c:v>-2.7634424459770379E-3</c:v>
                </c:pt>
                <c:pt idx="266">
                  <c:v>-2.7564298199345139E-3</c:v>
                </c:pt>
                <c:pt idx="267">
                  <c:v>-2.742167842649107E-3</c:v>
                </c:pt>
                <c:pt idx="268">
                  <c:v>-2.7387050292187127E-3</c:v>
                </c:pt>
                <c:pt idx="269">
                  <c:v>-2.7209702167674266E-3</c:v>
                </c:pt>
                <c:pt idx="270">
                  <c:v>-2.7137990012140456E-3</c:v>
                </c:pt>
                <c:pt idx="271">
                  <c:v>-2.7066013539092104E-3</c:v>
                </c:pt>
                <c:pt idx="272">
                  <c:v>-2.6919700903567378E-3</c:v>
                </c:pt>
                <c:pt idx="273">
                  <c:v>-2.6884143874271057E-3</c:v>
                </c:pt>
                <c:pt idx="274">
                  <c:v>-2.6702166394572124E-3</c:v>
                </c:pt>
                <c:pt idx="275">
                  <c:v>-2.6628604006457834E-3</c:v>
                </c:pt>
                <c:pt idx="276">
                  <c:v>-2.6554777297445042E-3</c:v>
                </c:pt>
                <c:pt idx="277">
                  <c:v>-2.640477180230888E-3</c:v>
                </c:pt>
                <c:pt idx="278">
                  <c:v>-2.6181678922236884E-3</c:v>
                </c:pt>
                <c:pt idx="279">
                  <c:v>-2.6106266277707846E-3</c:v>
                </c:pt>
                <c:pt idx="280">
                  <c:v>-2.60305893088697E-3</c:v>
                </c:pt>
                <c:pt idx="281">
                  <c:v>-2.5993395231135191E-3</c:v>
                </c:pt>
                <c:pt idx="282">
                  <c:v>-2.5839476019365762E-3</c:v>
                </c:pt>
                <c:pt idx="283">
                  <c:v>-2.5608878361983766E-3</c:v>
                </c:pt>
                <c:pt idx="284">
                  <c:v>-2.5531483822110118E-3</c:v>
                </c:pt>
                <c:pt idx="285">
                  <c:v>-2.537431341986605E-3</c:v>
                </c:pt>
                <c:pt idx="286">
                  <c:v>-2.5336058148697771E-3</c:v>
                </c:pt>
                <c:pt idx="287">
                  <c:v>-2.5297714232875462E-3</c:v>
                </c:pt>
                <c:pt idx="288">
                  <c:v>-2.5061565678048546E-3</c:v>
                </c:pt>
                <c:pt idx="289">
                  <c:v>-2.4982320831583079E-3</c:v>
                </c:pt>
                <c:pt idx="290">
                  <c:v>-2.4821457507748983E-3</c:v>
                </c:pt>
                <c:pt idx="291">
                  <c:v>-2.4782273227227924E-3</c:v>
                </c:pt>
                <c:pt idx="292">
                  <c:v>-2.4743000300023279E-3</c:v>
                </c:pt>
                <c:pt idx="293">
                  <c:v>-2.4501300768782351E-3</c:v>
                </c:pt>
                <c:pt idx="294">
                  <c:v>-2.4420205589191458E-3</c:v>
                </c:pt>
                <c:pt idx="295">
                  <c:v>-2.4255649295066499E-3</c:v>
                </c:pt>
                <c:pt idx="296">
                  <c:v>-2.4215535989076387E-3</c:v>
                </c:pt>
                <c:pt idx="297">
                  <c:v>-2.4175334035228626E-3</c:v>
                </c:pt>
                <c:pt idx="298">
                  <c:v>-2.3928083446683557E-3</c:v>
                </c:pt>
                <c:pt idx="299">
                  <c:v>-2.3845137906866329E-3</c:v>
                </c:pt>
                <c:pt idx="300">
                  <c:v>-2.3676888580294953E-3</c:v>
                </c:pt>
                <c:pt idx="301">
                  <c:v>-2.3635846238524716E-3</c:v>
                </c:pt>
                <c:pt idx="302">
                  <c:v>-2.3509149316313198E-3</c:v>
                </c:pt>
                <c:pt idx="303">
                  <c:v>-2.3341913519957192E-3</c:v>
                </c:pt>
                <c:pt idx="304">
                  <c:v>-2.3257117592116513E-3</c:v>
                </c:pt>
                <c:pt idx="305">
                  <c:v>-2.3085175157187203E-3</c:v>
                </c:pt>
                <c:pt idx="306">
                  <c:v>-2.3043203775233168E-3</c:v>
                </c:pt>
                <c:pt idx="307">
                  <c:v>-2.3001143745623202E-3</c:v>
                </c:pt>
                <c:pt idx="308">
                  <c:v>-2.2742790792398917E-3</c:v>
                </c:pt>
                <c:pt idx="309">
                  <c:v>-2.2656144448196165E-3</c:v>
                </c:pt>
                <c:pt idx="310">
                  <c:v>-2.2480508815026956E-3</c:v>
                </c:pt>
                <c:pt idx="311">
                  <c:v>-2.2437608394590414E-3</c:v>
                </c:pt>
                <c:pt idx="312">
                  <c:v>-2.2394619327900924E-3</c:v>
                </c:pt>
                <c:pt idx="313">
                  <c:v>-2.2130715063588403E-3</c:v>
                </c:pt>
                <c:pt idx="314">
                  <c:v>-2.2042218273988744E-3</c:v>
                </c:pt>
                <c:pt idx="315">
                  <c:v>-2.1862889338434984E-3</c:v>
                </c:pt>
                <c:pt idx="316">
                  <c:v>-2.1819059887388803E-3</c:v>
                </c:pt>
                <c:pt idx="317">
                  <c:v>-2.177514179241316E-3</c:v>
                </c:pt>
                <c:pt idx="318">
                  <c:v>-2.1505686128683059E-3</c:v>
                </c:pt>
                <c:pt idx="319">
                  <c:v>-2.1415338864110146E-3</c:v>
                </c:pt>
                <c:pt idx="320">
                  <c:v>-2.123231650736912E-3</c:v>
                </c:pt>
                <c:pt idx="321">
                  <c:v>-2.1187558039874321E-3</c:v>
                </c:pt>
                <c:pt idx="322">
                  <c:v>-2.1142710931790301E-3</c:v>
                </c:pt>
                <c:pt idx="323">
                  <c:v>-2.0867703778495381E-3</c:v>
                </c:pt>
                <c:pt idx="324">
                  <c:v>-2.0775506008715331E-3</c:v>
                </c:pt>
                <c:pt idx="325">
                  <c:v>-2.073003940704421E-3</c:v>
                </c:pt>
                <c:pt idx="326">
                  <c:v>-2.0543102634033861E-3</c:v>
                </c:pt>
                <c:pt idx="327">
                  <c:v>-2.0497326534498332E-3</c:v>
                </c:pt>
                <c:pt idx="328">
                  <c:v>-2.0264421585651782E-3</c:v>
                </c:pt>
                <c:pt idx="329">
                  <c:v>-2.0170504935022038E-3</c:v>
                </c:pt>
                <c:pt idx="330">
                  <c:v>-2.0076323920901196E-3</c:v>
                </c:pt>
                <c:pt idx="331">
                  <c:v>-1.988569344719554E-3</c:v>
                </c:pt>
                <c:pt idx="332">
                  <c:v>-1.9838988384490719E-3</c:v>
                </c:pt>
                <c:pt idx="333">
                  <c:v>-1.9601453374975542E-3</c:v>
                </c:pt>
                <c:pt idx="334">
                  <c:v>-1.9505686166385594E-3</c:v>
                </c:pt>
                <c:pt idx="335">
                  <c:v>-1.9409654589841452E-3</c:v>
                </c:pt>
                <c:pt idx="336">
                  <c:v>-1.9215330252266016E-3</c:v>
                </c:pt>
                <c:pt idx="337">
                  <c:v>-1.9167696261517837E-3</c:v>
                </c:pt>
                <c:pt idx="338">
                  <c:v>-1.8925531165638887E-3</c:v>
                </c:pt>
                <c:pt idx="339">
                  <c:v>-1.88279133680469E-3</c:v>
                </c:pt>
                <c:pt idx="340">
                  <c:v>-1.8730031198010977E-3</c:v>
                </c:pt>
                <c:pt idx="341">
                  <c:v>-1.8532012817668031E-3</c:v>
                </c:pt>
                <c:pt idx="342">
                  <c:v>-1.8483449940907791E-3</c:v>
                </c:pt>
                <c:pt idx="343">
                  <c:v>-1.8236654738790214E-3</c:v>
                </c:pt>
                <c:pt idx="344">
                  <c:v>-1.8137186320554832E-3</c:v>
                </c:pt>
                <c:pt idx="345">
                  <c:v>-1.8037453525319158E-3</c:v>
                </c:pt>
                <c:pt idx="346">
                  <c:v>-1.7835740907402864E-3</c:v>
                </c:pt>
                <c:pt idx="347">
                  <c:v>-1.7786249193721135E-3</c:v>
                </c:pt>
                <c:pt idx="348">
                  <c:v>-1.7483483175039264E-3</c:v>
                </c:pt>
                <c:pt idx="349">
                  <c:v>-1.7382032403990798E-3</c:v>
                </c:pt>
                <c:pt idx="350">
                  <c:v>-1.7176846175027583E-3</c:v>
                </c:pt>
                <c:pt idx="351">
                  <c:v>-1.7126514280950411E-3</c:v>
                </c:pt>
                <c:pt idx="352">
                  <c:v>-1.7076093786609044E-3</c:v>
                </c:pt>
                <c:pt idx="353">
                  <c:v>-1.6767775698323106E-3</c:v>
                </c:pt>
                <c:pt idx="354">
                  <c:v>-1.6664474227629494E-3</c:v>
                </c:pt>
                <c:pt idx="355">
                  <c:v>-1.645559331474286E-3</c:v>
                </c:pt>
                <c:pt idx="356">
                  <c:v>-1.6404332693256696E-3</c:v>
                </c:pt>
                <c:pt idx="357">
                  <c:v>-1.6352983481968031E-3</c:v>
                </c:pt>
                <c:pt idx="358">
                  <c:v>-1.603911322089605E-3</c:v>
                </c:pt>
                <c:pt idx="359">
                  <c:v>-1.5933961016004283E-3</c:v>
                </c:pt>
                <c:pt idx="360">
                  <c:v>-1.5721385173706926E-3</c:v>
                </c:pt>
                <c:pt idx="361">
                  <c:v>-1.5669195894896237E-3</c:v>
                </c:pt>
                <c:pt idx="362">
                  <c:v>-1.5616918037733663E-3</c:v>
                </c:pt>
                <c:pt idx="363">
                  <c:v>-1.529749549887576E-3</c:v>
                </c:pt>
                <c:pt idx="364">
                  <c:v>-1.5190492524613977E-3</c:v>
                </c:pt>
                <c:pt idx="365">
                  <c:v>-1.4974221490419866E-3</c:v>
                </c:pt>
                <c:pt idx="366">
                  <c:v>-1.4921103631947152E-3</c:v>
                </c:pt>
                <c:pt idx="367">
                  <c:v>-1.4867897207689993E-3</c:v>
                </c:pt>
                <c:pt idx="368">
                  <c:v>-1.4597951386203789E-3</c:v>
                </c:pt>
                <c:pt idx="369">
                  <c:v>-1.4489229369720746E-3</c:v>
                </c:pt>
                <c:pt idx="370">
                  <c:v>-1.4380242952110045E-3</c:v>
                </c:pt>
                <c:pt idx="371">
                  <c:v>-1.4160055645928704E-3</c:v>
                </c:pt>
                <c:pt idx="372">
                  <c:v>-1.4105920741095653E-3</c:v>
                </c:pt>
                <c:pt idx="373">
                  <c:v>-1.3831344822321512E-3</c:v>
                </c:pt>
                <c:pt idx="374">
                  <c:v>-1.3720771982930202E-3</c:v>
                </c:pt>
                <c:pt idx="375">
                  <c:v>-1.3609934737375262E-3</c:v>
                </c:pt>
                <c:pt idx="376">
                  <c:v>-1.3386051674026123E-3</c:v>
                </c:pt>
                <c:pt idx="377">
                  <c:v>-1.3330988383019086E-3</c:v>
                </c:pt>
                <c:pt idx="378">
                  <c:v>-1.305178239112692E-3</c:v>
                </c:pt>
                <c:pt idx="379">
                  <c:v>-1.2939358693069281E-3</c:v>
                </c:pt>
                <c:pt idx="380">
                  <c:v>-1.2826670583638844E-3</c:v>
                </c:pt>
                <c:pt idx="381">
                  <c:v>-1.2599091448765865E-3</c:v>
                </c:pt>
                <c:pt idx="382">
                  <c:v>-1.2543099874080675E-3</c:v>
                </c:pt>
                <c:pt idx="383">
                  <c:v>-1.2259263840235235E-3</c:v>
                </c:pt>
                <c:pt idx="384">
                  <c:v>-1.21449892470471E-3</c:v>
                </c:pt>
                <c:pt idx="385">
                  <c:v>-1.2030450237277002E-3</c:v>
                </c:pt>
                <c:pt idx="386">
                  <c:v>-1.1740807018298131E-3</c:v>
                </c:pt>
                <c:pt idx="387">
                  <c:v>-1.168384318528809E-3</c:v>
                </c:pt>
                <c:pt idx="388">
                  <c:v>-1.1453788912905161E-3</c:v>
                </c:pt>
                <c:pt idx="389">
                  <c:v>-1.1337663387602781E-3</c:v>
                </c:pt>
                <c:pt idx="390">
                  <c:v>-1.1221273440376045E-3</c:v>
                </c:pt>
                <c:pt idx="391">
                  <c:v>-1.098630114644561E-3</c:v>
                </c:pt>
                <c:pt idx="392">
                  <c:v>-1.0928453344723422E-3</c:v>
                </c:pt>
                <c:pt idx="393">
                  <c:v>-1.0575714829191302E-3</c:v>
                </c:pt>
                <c:pt idx="394">
                  <c:v>-1.0277756569774517E-3</c:v>
                </c:pt>
                <c:pt idx="395">
                  <c:v>-1.02191577748661E-3</c:v>
                </c:pt>
                <c:pt idx="396">
                  <c:v>-1.016047051226876E-3</c:v>
                </c:pt>
                <c:pt idx="397">
                  <c:v>-1.010169478393683E-3</c:v>
                </c:pt>
                <c:pt idx="398">
                  <c:v>-9.7434032033001888E-4</c:v>
                </c:pt>
                <c:pt idx="399">
                  <c:v>-9.6234438060329645E-4</c:v>
                </c:pt>
                <c:pt idx="400">
                  <c:v>-9.3812975845955753E-4</c:v>
                </c:pt>
                <c:pt idx="401">
                  <c:v>-9.3216825104880385E-4</c:v>
                </c:pt>
                <c:pt idx="402">
                  <c:v>-9.2619789916173565E-4</c:v>
                </c:pt>
                <c:pt idx="403">
                  <c:v>-8.898134225997894E-4</c:v>
                </c:pt>
                <c:pt idx="404">
                  <c:v>-8.7763237555391689E-4</c:v>
                </c:pt>
                <c:pt idx="405">
                  <c:v>-8.5304795934200558E-4</c:v>
                </c:pt>
                <c:pt idx="406">
                  <c:v>-8.4699368513851958E-4</c:v>
                </c:pt>
                <c:pt idx="407">
                  <c:v>-8.4093056867768701E-4</c:v>
                </c:pt>
                <c:pt idx="408">
                  <c:v>-7.9162460299834092E-4</c:v>
                </c:pt>
                <c:pt idx="409">
                  <c:v>-7.6667034982728802E-4</c:v>
                </c:pt>
                <c:pt idx="410">
                  <c:v>-7.6052332406831291E-4</c:v>
                </c:pt>
                <c:pt idx="411">
                  <c:v>-7.4806463441212667E-4</c:v>
                </c:pt>
                <c:pt idx="412">
                  <c:v>-7.1687230812941729E-4</c:v>
                </c:pt>
                <c:pt idx="413">
                  <c:v>-7.0432103415185218E-4</c:v>
                </c:pt>
                <c:pt idx="414">
                  <c:v>-6.7899689914850052E-4</c:v>
                </c:pt>
                <c:pt idx="415">
                  <c:v>-6.7275713797082526E-4</c:v>
                </c:pt>
                <c:pt idx="416">
                  <c:v>-6.2845803350912216E-4</c:v>
                </c:pt>
                <c:pt idx="417">
                  <c:v>-6.1572163979782145E-4</c:v>
                </c:pt>
                <c:pt idx="418">
                  <c:v>-5.9002757605912273E-4</c:v>
                </c:pt>
                <c:pt idx="419">
                  <c:v>-5.8369509652281271E-4</c:v>
                </c:pt>
                <c:pt idx="420">
                  <c:v>-5.7735378218164287E-4</c:v>
                </c:pt>
                <c:pt idx="421">
                  <c:v>-5.3874790799771891E-4</c:v>
                </c:pt>
                <c:pt idx="422">
                  <c:v>-5.2582639028641773E-4</c:v>
                </c:pt>
                <c:pt idx="423">
                  <c:v>-4.9976234887177452E-4</c:v>
                </c:pt>
                <c:pt idx="424">
                  <c:v>-4.9333716895763602E-4</c:v>
                </c:pt>
                <c:pt idx="425">
                  <c:v>-4.8690315698931132E-4</c:v>
                </c:pt>
                <c:pt idx="426">
                  <c:v>-4.4774190156503561E-4</c:v>
                </c:pt>
                <c:pt idx="427">
                  <c:v>-4.3463525553331895E-4</c:v>
                </c:pt>
                <c:pt idx="428">
                  <c:v>-4.0820118542793762E-4</c:v>
                </c:pt>
                <c:pt idx="429">
                  <c:v>-4.0168332406026463E-4</c:v>
                </c:pt>
                <c:pt idx="430">
                  <c:v>-3.951566335308644E-4</c:v>
                </c:pt>
                <c:pt idx="431">
                  <c:v>-3.6883785552535862E-4</c:v>
                </c:pt>
                <c:pt idx="432">
                  <c:v>-3.6227144247447107E-4</c:v>
                </c:pt>
                <c:pt idx="433">
                  <c:v>-3.4899284851722508E-4</c:v>
                </c:pt>
                <c:pt idx="434">
                  <c:v>-3.356878081106629E-4</c:v>
                </c:pt>
                <c:pt idx="435">
                  <c:v>-3.2235632117342102E-4</c:v>
                </c:pt>
                <c:pt idx="436">
                  <c:v>-2.8220318033971611E-4</c:v>
                </c:pt>
                <c:pt idx="437">
                  <c:v>-2.6876590644899141E-4</c:v>
                </c:pt>
                <c:pt idx="438">
                  <c:v>-2.5530218561220508E-4</c:v>
                </c:pt>
                <c:pt idx="439">
                  <c:v>-2.4181201775227583E-4</c:v>
                </c:pt>
                <c:pt idx="440">
                  <c:v>-2.2829540277356588E-4</c:v>
                </c:pt>
                <c:pt idx="441">
                  <c:v>-1.8758687434537537E-4</c:v>
                </c:pt>
                <c:pt idx="442">
                  <c:v>-1.7396447008789982E-4</c:v>
                </c:pt>
                <c:pt idx="443">
                  <c:v>-1.6031561830339873E-4</c:v>
                </c:pt>
                <c:pt idx="444">
                  <c:v>-1.4664031890194399E-4</c:v>
                </c:pt>
                <c:pt idx="445">
                  <c:v>-1.3293857180502703E-4</c:v>
                </c:pt>
                <c:pt idx="446">
                  <c:v>-9.1674643472198068E-5</c:v>
                </c:pt>
                <c:pt idx="447">
                  <c:v>-7.7867104731264641E-5</c:v>
                </c:pt>
                <c:pt idx="448">
                  <c:v>-6.4033117869494969E-5</c:v>
                </c:pt>
                <c:pt idx="449">
                  <c:v>-5.0172682798388379E-5</c:v>
                </c:pt>
                <c:pt idx="450">
                  <c:v>-3.6285799438008836E-5</c:v>
                </c:pt>
                <c:pt idx="451">
                  <c:v>5.5335412737659132E-6</c:v>
                </c:pt>
                <c:pt idx="452">
                  <c:v>4.0759780201338547E-5</c:v>
                </c:pt>
                <c:pt idx="453">
                  <c:v>6.904483351358435E-5</c:v>
                </c:pt>
                <c:pt idx="454">
                  <c:v>7.6025784285504994E-5</c:v>
                </c:pt>
                <c:pt idx="455">
                  <c:v>8.3015547643858475E-5</c:v>
                </c:pt>
                <c:pt idx="456">
                  <c:v>1.2550937223972328E-4</c:v>
                </c:pt>
                <c:pt idx="457">
                  <c:v>1.3972688248238058E-4</c:v>
                </c:pt>
                <c:pt idx="458">
                  <c:v>1.6838231568334035E-4</c:v>
                </c:pt>
                <c:pt idx="459">
                  <c:v>1.7545581377287345E-4</c:v>
                </c:pt>
                <c:pt idx="460">
                  <c:v>1.825381206910584E-4</c:v>
                </c:pt>
                <c:pt idx="461">
                  <c:v>2.2558742217721454E-4</c:v>
                </c:pt>
                <c:pt idx="462">
                  <c:v>2.6916596650521693E-4</c:v>
                </c:pt>
                <c:pt idx="463">
                  <c:v>2.763275911523438E-4</c:v>
                </c:pt>
                <c:pt idx="464">
                  <c:v>2.8349802101746883E-4</c:v>
                </c:pt>
                <c:pt idx="465">
                  <c:v>2.9067725567294422E-4</c:v>
                </c:pt>
                <c:pt idx="466">
                  <c:v>3.2696160883523864E-4</c:v>
                </c:pt>
                <c:pt idx="467">
                  <c:v>3.4154944455398696E-4</c:v>
                </c:pt>
                <c:pt idx="468">
                  <c:v>3.7094583876331268E-4</c:v>
                </c:pt>
                <c:pt idx="469">
                  <c:v>3.7820435268315356E-4</c:v>
                </c:pt>
                <c:pt idx="470">
                  <c:v>3.8547166747076607E-4</c:v>
                </c:pt>
                <c:pt idx="471">
                  <c:v>4.2963196613504852E-4</c:v>
                </c:pt>
                <c:pt idx="472">
                  <c:v>4.444049718853629E-4</c:v>
                </c:pt>
                <c:pt idx="473">
                  <c:v>4.5173392373687449E-4</c:v>
                </c:pt>
                <c:pt idx="474">
                  <c:v>4.5907167313908139E-4</c:v>
                </c:pt>
                <c:pt idx="475">
                  <c:v>4.664182196267852E-4</c:v>
                </c:pt>
                <c:pt idx="476">
                  <c:v>5.2606178593794795E-4</c:v>
                </c:pt>
                <c:pt idx="477">
                  <c:v>5.4100671747558948E-4</c:v>
                </c:pt>
                <c:pt idx="478">
                  <c:v>5.5597810227414612E-4</c:v>
                </c:pt>
                <c:pt idx="479">
                  <c:v>5.8613776573845922E-4</c:v>
                </c:pt>
                <c:pt idx="480">
                  <c:v>5.9358997559331235E-4</c:v>
                </c:pt>
                <c:pt idx="481">
                  <c:v>6.3123182868185523E-4</c:v>
                </c:pt>
                <c:pt idx="482">
                  <c:v>6.4636193514289175E-4</c:v>
                </c:pt>
                <c:pt idx="483">
                  <c:v>6.6151849556028708E-4</c:v>
                </c:pt>
                <c:pt idx="484">
                  <c:v>6.9204888958951383E-4</c:v>
                </c:pt>
                <c:pt idx="485">
                  <c:v>7.5301339682898316E-4</c:v>
                </c:pt>
                <c:pt idx="486">
                  <c:v>7.6835494439997376E-4</c:v>
                </c:pt>
                <c:pt idx="487">
                  <c:v>7.9924473768255844E-4</c:v>
                </c:pt>
                <c:pt idx="488">
                  <c:v>8.0688134681890103E-4</c:v>
                </c:pt>
                <c:pt idx="489">
                  <c:v>8.4541889665690206E-4</c:v>
                </c:pt>
                <c:pt idx="490">
                  <c:v>8.6869371606519924E-4</c:v>
                </c:pt>
                <c:pt idx="491">
                  <c:v>8.7638905442055659E-4</c:v>
                </c:pt>
                <c:pt idx="492">
                  <c:v>9.075188546123214E-4</c:v>
                </c:pt>
                <c:pt idx="493">
                  <c:v>9.3086620471683943E-4</c:v>
                </c:pt>
                <c:pt idx="494">
                  <c:v>9.7749485973648445E-4</c:v>
                </c:pt>
                <c:pt idx="495">
                  <c:v>1.0165382879456786E-3</c:v>
                </c:pt>
                <c:pt idx="496">
                  <c:v>1.0243200896771626E-3</c:v>
                </c:pt>
                <c:pt idx="497">
                  <c:v>1.0321084480494069E-3</c:v>
                </c:pt>
                <c:pt idx="498">
                  <c:v>1.0711425188528636E-3</c:v>
                </c:pt>
                <c:pt idx="499">
                  <c:v>1.0867670810362881E-3</c:v>
                </c:pt>
                <c:pt idx="500">
                  <c:v>1.1180049821996557E-3</c:v>
                </c:pt>
                <c:pt idx="501">
                  <c:v>1.1258242760997517E-3</c:v>
                </c:pt>
                <c:pt idx="502">
                  <c:v>1.1336468004227271E-3</c:v>
                </c:pt>
                <c:pt idx="503">
                  <c:v>1.1805119889371765E-3</c:v>
                </c:pt>
                <c:pt idx="504">
                  <c:v>1.1961252492759793E-3</c:v>
                </c:pt>
                <c:pt idx="505">
                  <c:v>1.2272920335646119E-3</c:v>
                </c:pt>
                <c:pt idx="506">
                  <c:v>1.2351093931881052E-3</c:v>
                </c:pt>
                <c:pt idx="507">
                  <c:v>1.2429240894674641E-3</c:v>
                </c:pt>
                <c:pt idx="508">
                  <c:v>1.2896492597681158E-3</c:v>
                </c:pt>
                <c:pt idx="509">
                  <c:v>1.3284688052511381E-3</c:v>
                </c:pt>
                <c:pt idx="510">
                  <c:v>1.3362595664911936E-3</c:v>
                </c:pt>
                <c:pt idx="511">
                  <c:v>1.3518325587400586E-3</c:v>
                </c:pt>
                <c:pt idx="512">
                  <c:v>1.3983823357227767E-3</c:v>
                </c:pt>
                <c:pt idx="513">
                  <c:v>1.4138822236327152E-3</c:v>
                </c:pt>
                <c:pt idx="514">
                  <c:v>1.4216475097752479E-3</c:v>
                </c:pt>
                <c:pt idx="515">
                  <c:v>1.4525763535425118E-3</c:v>
                </c:pt>
                <c:pt idx="516">
                  <c:v>1.460331773650641E-3</c:v>
                </c:pt>
                <c:pt idx="517">
                  <c:v>1.5144460031795148E-3</c:v>
                </c:pt>
                <c:pt idx="518">
                  <c:v>1.6069437846883972E-3</c:v>
                </c:pt>
                <c:pt idx="519">
                  <c:v>1.7144777873960848E-3</c:v>
                </c:pt>
                <c:pt idx="520">
                  <c:v>1.8368725782504924E-3</c:v>
                </c:pt>
                <c:pt idx="521">
                  <c:v>1.9359085974099321E-3</c:v>
                </c:pt>
                <c:pt idx="522">
                  <c:v>2.0421859464472927E-3</c:v>
                </c:pt>
                <c:pt idx="523">
                  <c:v>2.1480539680198267E-3</c:v>
                </c:pt>
                <c:pt idx="524">
                  <c:v>2.2535126509235933E-3</c:v>
                </c:pt>
                <c:pt idx="525">
                  <c:v>2.3585619839881734E-3</c:v>
                </c:pt>
                <c:pt idx="526">
                  <c:v>2.4632019560895616E-3</c:v>
                </c:pt>
                <c:pt idx="527">
                  <c:v>2.5674325561450104E-3</c:v>
                </c:pt>
                <c:pt idx="528">
                  <c:v>2.6712537731285011E-3</c:v>
                </c:pt>
                <c:pt idx="529">
                  <c:v>2.7746655960294861E-3</c:v>
                </c:pt>
                <c:pt idx="530">
                  <c:v>2.8703341177482855E-3</c:v>
                </c:pt>
                <c:pt idx="531">
                  <c:v>2.9729555314936817E-3</c:v>
                </c:pt>
                <c:pt idx="532">
                  <c:v>3.0751674934652584E-3</c:v>
                </c:pt>
                <c:pt idx="533">
                  <c:v>3.1769699931887274E-3</c:v>
                </c:pt>
                <c:pt idx="534">
                  <c:v>3.2855834176588831E-3</c:v>
                </c:pt>
                <c:pt idx="535">
                  <c:v>3.3865386476591539E-3</c:v>
                </c:pt>
                <c:pt idx="536">
                  <c:v>3.4870844078413723E-3</c:v>
                </c:pt>
                <c:pt idx="537">
                  <c:v>3.5872206875534143E-3</c:v>
                </c:pt>
                <c:pt idx="538">
                  <c:v>3.6869474761895694E-3</c:v>
                </c:pt>
                <c:pt idx="539">
                  <c:v>3.7791857030162745E-3</c:v>
                </c:pt>
                <c:pt idx="540">
                  <c:v>3.8781216772241223E-3</c:v>
                </c:pt>
                <c:pt idx="541">
                  <c:v>3.9766481068976844E-3</c:v>
                </c:pt>
                <c:pt idx="542">
                  <c:v>4.0747649819357079E-3</c:v>
                </c:pt>
                <c:pt idx="543">
                  <c:v>4.1794386851548657E-3</c:v>
                </c:pt>
                <c:pt idx="544">
                  <c:v>4.2767083070834981E-3</c:v>
                </c:pt>
                <c:pt idx="545">
                  <c:v>4.3735683649185238E-3</c:v>
                </c:pt>
                <c:pt idx="546">
                  <c:v>4.5112412430023145E-3</c:v>
                </c:pt>
                <c:pt idx="547">
                  <c:v>4.579746439673551E-3</c:v>
                </c:pt>
                <c:pt idx="548">
                  <c:v>4.6616910515102786E-3</c:v>
                </c:pt>
                <c:pt idx="549">
                  <c:v>4.7569127508306419E-3</c:v>
                </c:pt>
                <c:pt idx="550">
                  <c:v>4.8517248352025937E-3</c:v>
                </c:pt>
                <c:pt idx="551">
                  <c:v>4.939385253205586E-3</c:v>
                </c:pt>
                <c:pt idx="552">
                  <c:v>5.019970065922268E-3</c:v>
                </c:pt>
                <c:pt idx="553">
                  <c:v>5.1136370735238579E-3</c:v>
                </c:pt>
                <c:pt idx="554">
                  <c:v>5.2068943730808137E-3</c:v>
                </c:pt>
                <c:pt idx="555">
                  <c:v>5.2997419556688463E-3</c:v>
                </c:pt>
                <c:pt idx="556">
                  <c:v>5.4119948682282695E-3</c:v>
                </c:pt>
                <c:pt idx="557">
                  <c:v>5.5039393692320419E-3</c:v>
                </c:pt>
                <c:pt idx="558">
                  <c:v>5.5954741761661767E-3</c:v>
                </c:pt>
                <c:pt idx="559">
                  <c:v>5.6865992793352039E-3</c:v>
                </c:pt>
                <c:pt idx="560">
                  <c:v>5.7966750035545189E-3</c:v>
                </c:pt>
                <c:pt idx="561">
                  <c:v>5.8611571031743637E-3</c:v>
                </c:pt>
                <c:pt idx="562">
                  <c:v>5.9510808294955808E-3</c:v>
                </c:pt>
                <c:pt idx="563">
                  <c:v>6.0406038283895569E-3</c:v>
                </c:pt>
                <c:pt idx="564">
                  <c:v>6.1362324907341462E-3</c:v>
                </c:pt>
                <c:pt idx="565">
                  <c:v>6.2253048515167799E-3</c:v>
                </c:pt>
                <c:pt idx="566">
                  <c:v>6.3271118187294226E-3</c:v>
                </c:pt>
                <c:pt idx="567">
                  <c:v>6.4420389240977217E-3</c:v>
                </c:pt>
                <c:pt idx="568">
                  <c:v>6.5058310251646873E-3</c:v>
                </c:pt>
                <c:pt idx="569">
                  <c:v>6.5890440669145178E-3</c:v>
                </c:pt>
                <c:pt idx="570">
                  <c:v>6.6789533294029368E-3</c:v>
                </c:pt>
                <c:pt idx="571">
                  <c:v>6.7690899754486722E-3</c:v>
                </c:pt>
                <c:pt idx="572">
                  <c:v>6.8723817206057802E-3</c:v>
                </c:pt>
                <c:pt idx="573">
                  <c:v>6.9826941767817379E-3</c:v>
                </c:pt>
                <c:pt idx="574">
                  <c:v>7.0735995418911499E-3</c:v>
                </c:pt>
                <c:pt idx="575">
                  <c:v>7.164732395307542E-3</c:v>
                </c:pt>
                <c:pt idx="576">
                  <c:v>7.2560927427233295E-3</c:v>
                </c:pt>
                <c:pt idx="577">
                  <c:v>7.3476805898309303E-3</c:v>
                </c:pt>
                <c:pt idx="578">
                  <c:v>7.4394959423469817E-3</c:v>
                </c:pt>
                <c:pt idx="579">
                  <c:v>7.5315388059978136E-3</c:v>
                </c:pt>
                <c:pt idx="580">
                  <c:v>7.6238091865242878E-3</c:v>
                </c:pt>
                <c:pt idx="581">
                  <c:v>7.6961837663427346E-3</c:v>
                </c:pt>
                <c:pt idx="582">
                  <c:v>7.7888544635547063E-3</c:v>
                </c:pt>
                <c:pt idx="583">
                  <c:v>7.8817526072576527E-3</c:v>
                </c:pt>
                <c:pt idx="584">
                  <c:v>7.9748782027113663E-3</c:v>
                </c:pt>
                <c:pt idx="585">
                  <c:v>8.0682312552049495E-3</c:v>
                </c:pt>
                <c:pt idx="586">
                  <c:v>8.1822096474396238E-3</c:v>
                </c:pt>
                <c:pt idx="587">
                  <c:v>8.2760728080702711E-3</c:v>
                </c:pt>
                <c:pt idx="588">
                  <c:v>8.3701635320242544E-3</c:v>
                </c:pt>
                <c:pt idx="589">
                  <c:v>8.46448182517082E-3</c:v>
                </c:pt>
                <c:pt idx="590">
                  <c:v>8.538408558949051E-3</c:v>
                </c:pt>
                <c:pt idx="591">
                  <c:v>8.6331264652779183E-3</c:v>
                </c:pt>
                <c:pt idx="592">
                  <c:v>8.7280718659767942E-3</c:v>
                </c:pt>
                <c:pt idx="593">
                  <c:v>8.8232447664200464E-3</c:v>
                </c:pt>
                <c:pt idx="594">
                  <c:v>8.9186451720086879E-3</c:v>
                </c:pt>
                <c:pt idx="595">
                  <c:v>9.0351708676082096E-3</c:v>
                </c:pt>
                <c:pt idx="596">
                  <c:v>9.1310823106552624E-3</c:v>
                </c:pt>
                <c:pt idx="597">
                  <c:v>9.2272213703672255E-3</c:v>
                </c:pt>
                <c:pt idx="598">
                  <c:v>9.4201823637860768E-3</c:v>
                </c:pt>
                <c:pt idx="599">
                  <c:v>9.4752073082233559E-3</c:v>
                </c:pt>
                <c:pt idx="600">
                  <c:v>9.5721542060026484E-3</c:v>
                </c:pt>
                <c:pt idx="601">
                  <c:v>9.6693286835872645E-3</c:v>
                </c:pt>
                <c:pt idx="602">
                  <c:v>9.7667307466681348E-3</c:v>
                </c:pt>
                <c:pt idx="603">
                  <c:v>9.8429828764309436E-3</c:v>
                </c:pt>
                <c:pt idx="604">
                  <c:v>9.9407832969587509E-3</c:v>
                </c:pt>
                <c:pt idx="605">
                  <c:v>1.0038811220234629E-2</c:v>
                </c:pt>
                <c:pt idx="606">
                  <c:v>1.0137066651457274E-2</c:v>
                </c:pt>
                <c:pt idx="607">
                  <c:v>1.0257155044802556E-2</c:v>
                </c:pt>
                <c:pt idx="608">
                  <c:v>1.0355922741211139E-2</c:v>
                </c:pt>
                <c:pt idx="609">
                  <c:v>1.0454918063354756E-2</c:v>
                </c:pt>
                <c:pt idx="610">
                  <c:v>1.0554141017040377E-2</c:v>
                </c:pt>
                <c:pt idx="611">
                  <c:v>1.0653591608074969E-2</c:v>
                </c:pt>
                <c:pt idx="612">
                  <c:v>1.0745970318118303E-2</c:v>
                </c:pt>
                <c:pt idx="613">
                  <c:v>1.0845856946257726E-2</c:v>
                </c:pt>
                <c:pt idx="614">
                  <c:v>1.097460975028941E-2</c:v>
                </c:pt>
                <c:pt idx="615">
                  <c:v>1.1046229649950945E-2</c:v>
                </c:pt>
                <c:pt idx="616">
                  <c:v>1.1153715257828038E-2</c:v>
                </c:pt>
                <c:pt idx="617">
                  <c:v>1.1253544970216295E-2</c:v>
                </c:pt>
                <c:pt idx="618">
                  <c:v>1.1352820942575238E-2</c:v>
                </c:pt>
                <c:pt idx="619">
                  <c:v>1.1451353235140306E-2</c:v>
                </c:pt>
                <c:pt idx="620">
                  <c:v>1.1555911294429677E-2</c:v>
                </c:pt>
                <c:pt idx="621">
                  <c:v>1.166660170428635E-2</c:v>
                </c:pt>
                <c:pt idx="622">
                  <c:v>1.1748949460556268E-2</c:v>
                </c:pt>
                <c:pt idx="623">
                  <c:v>1.1857853044946687E-2</c:v>
                </c:pt>
                <c:pt idx="624">
                  <c:v>1.1972915594562686E-2</c:v>
                </c:pt>
                <c:pt idx="625">
                  <c:v>1.2066428674588828E-2</c:v>
                </c:pt>
                <c:pt idx="626">
                  <c:v>1.2159159942109326E-2</c:v>
                </c:pt>
                <c:pt idx="627">
                  <c:v>1.2251109377198302E-2</c:v>
                </c:pt>
                <c:pt idx="628">
                  <c:v>1.2322300180612089E-2</c:v>
                </c:pt>
                <c:pt idx="629">
                  <c:v>1.2432662671194483E-2</c:v>
                </c:pt>
                <c:pt idx="630">
                  <c:v>1.2522266491088049E-2</c:v>
                </c:pt>
                <c:pt idx="631">
                  <c:v>1.2611088400510699E-2</c:v>
                </c:pt>
                <c:pt idx="632">
                  <c:v>1.2699128380374671E-2</c:v>
                </c:pt>
                <c:pt idx="633">
                  <c:v>1.2767200918635702E-2</c:v>
                </c:pt>
                <c:pt idx="634">
                  <c:v>1.2853835305606687E-2</c:v>
                </c:pt>
                <c:pt idx="635">
                  <c:v>1.2939687732518301E-2</c:v>
                </c:pt>
                <c:pt idx="636">
                  <c:v>1.3024758182589302E-2</c:v>
                </c:pt>
                <c:pt idx="637">
                  <c:v>1.312759867996424E-2</c:v>
                </c:pt>
                <c:pt idx="638">
                  <c:v>1.321094669101716E-2</c:v>
                </c:pt>
                <c:pt idx="639">
                  <c:v>1.3293512643589075E-2</c:v>
                </c:pt>
                <c:pt idx="640">
                  <c:v>1.3375296519939022E-2</c:v>
                </c:pt>
                <c:pt idx="641">
                  <c:v>1.3438380203990796E-2</c:v>
                </c:pt>
                <c:pt idx="642">
                  <c:v>1.351875844933037E-2</c:v>
                </c:pt>
                <c:pt idx="643">
                  <c:v>1.3598354604693164E-2</c:v>
                </c:pt>
                <c:pt idx="644">
                  <c:v>1.3677168654523619E-2</c:v>
                </c:pt>
                <c:pt idx="645">
                  <c:v>1.3755200583418059E-2</c:v>
                </c:pt>
                <c:pt idx="646">
                  <c:v>1.3855273686845086E-2</c:v>
                </c:pt>
                <c:pt idx="647">
                  <c:v>1.3925884064806902E-2</c:v>
                </c:pt>
                <c:pt idx="648">
                  <c:v>1.4001410712700266E-2</c:v>
                </c:pt>
                <c:pt idx="649">
                  <c:v>1.4123558372487743E-2</c:v>
                </c:pt>
                <c:pt idx="650">
                  <c:v>1.4160147912723554E-2</c:v>
                </c:pt>
                <c:pt idx="651">
                  <c:v>1.4228256633396219E-2</c:v>
                </c:pt>
                <c:pt idx="652">
                  <c:v>1.430059553036378E-2</c:v>
                </c:pt>
                <c:pt idx="653">
                  <c:v>1.4372152151299888E-2</c:v>
                </c:pt>
                <c:pt idx="654">
                  <c:v>1.442708126315536E-2</c:v>
                </c:pt>
                <c:pt idx="655">
                  <c:v>1.4497232476294518E-2</c:v>
                </c:pt>
                <c:pt idx="656">
                  <c:v>1.4566601426194663E-2</c:v>
                </c:pt>
                <c:pt idx="657">
                  <c:v>1.4635188099749039E-2</c:v>
                </c:pt>
                <c:pt idx="658">
                  <c:v>1.4702992484002491E-2</c:v>
                </c:pt>
                <c:pt idx="659">
                  <c:v>1.4785063256367581E-2</c:v>
                </c:pt>
                <c:pt idx="660">
                  <c:v>1.4856096742286566E-2</c:v>
                </c:pt>
                <c:pt idx="661">
                  <c:v>1.4916441426015836E-2</c:v>
                </c:pt>
                <c:pt idx="662">
                  <c:v>1.4980956911050114E-2</c:v>
                </c:pt>
                <c:pt idx="663">
                  <c:v>1.5044689978243875E-2</c:v>
                </c:pt>
                <c:pt idx="664">
                  <c:v>1.5107640614312745E-2</c:v>
                </c:pt>
                <c:pt idx="665">
                  <c:v>1.5169808806134721E-2</c:v>
                </c:pt>
                <c:pt idx="666">
                  <c:v>1.5231221121350391E-2</c:v>
                </c:pt>
                <c:pt idx="667">
                  <c:v>1.5278140660565901E-2</c:v>
                </c:pt>
                <c:pt idx="668">
                  <c:v>1.53523362712496E-2</c:v>
                </c:pt>
                <c:pt idx="669">
                  <c:v>1.5412358059868903E-2</c:v>
                </c:pt>
                <c:pt idx="670">
                  <c:v>1.5476177970752403E-2</c:v>
                </c:pt>
                <c:pt idx="671">
                  <c:v>1.5532049978640161E-2</c:v>
                </c:pt>
                <c:pt idx="672">
                  <c:v>1.5591813333864779E-2</c:v>
                </c:pt>
                <c:pt idx="673">
                  <c:v>1.565152327175634E-2</c:v>
                </c:pt>
                <c:pt idx="674">
                  <c:v>1.5711179791455532E-2</c:v>
                </c:pt>
                <c:pt idx="675">
                  <c:v>1.5770782892115531E-2</c:v>
                </c:pt>
                <c:pt idx="676">
                  <c:v>1.5830332572882022E-2</c:v>
                </c:pt>
                <c:pt idx="677">
                  <c:v>1.5889828832908182E-2</c:v>
                </c:pt>
                <c:pt idx="678">
                  <c:v>1.5949271671342191E-2</c:v>
                </c:pt>
                <c:pt idx="679">
                  <c:v>1.600866108733473E-2</c:v>
                </c:pt>
                <c:pt idx="680">
                  <c:v>1.6067997080036478E-2</c:v>
                </c:pt>
                <c:pt idx="681">
                  <c:v>1.612727964860311E-2</c:v>
                </c:pt>
                <c:pt idx="682">
                  <c:v>1.6186508792187804E-2</c:v>
                </c:pt>
                <c:pt idx="683">
                  <c:v>1.6245684509941238E-2</c:v>
                </c:pt>
                <c:pt idx="684">
                  <c:v>1.6304806801024085E-2</c:v>
                </c:pt>
                <c:pt idx="685">
                  <c:v>1.6363875664582028E-2</c:v>
                </c:pt>
                <c:pt idx="686">
                  <c:v>1.6422891099783232E-2</c:v>
                </c:pt>
                <c:pt idx="687">
                  <c:v>1.6481853105778377E-2</c:v>
                </c:pt>
                <c:pt idx="688">
                  <c:v>1.6540761681723137E-2</c:v>
                </c:pt>
                <c:pt idx="689">
                  <c:v>1.6599616826783181E-2</c:v>
                </c:pt>
                <c:pt idx="690">
                  <c:v>1.6658418540111686E-2</c:v>
                </c:pt>
                <c:pt idx="691">
                  <c:v>1.671716682087182E-2</c:v>
                </c:pt>
                <c:pt idx="692">
                  <c:v>1.6775861668224257E-2</c:v>
                </c:pt>
                <c:pt idx="693">
                  <c:v>1.6834503081329666E-2</c:v>
                </c:pt>
                <c:pt idx="694">
                  <c:v>1.6893091059353715E-2</c:v>
                </c:pt>
                <c:pt idx="695">
                  <c:v>1.6951625601454579E-2</c:v>
                </c:pt>
                <c:pt idx="696">
                  <c:v>1.7010106706800421E-2</c:v>
                </c:pt>
                <c:pt idx="697">
                  <c:v>1.7068534374554412E-2</c:v>
                </c:pt>
                <c:pt idx="698">
                  <c:v>1.7126908603882218E-2</c:v>
                </c:pt>
                <c:pt idx="699">
                  <c:v>1.7185229393949508E-2</c:v>
                </c:pt>
                <c:pt idx="700">
                  <c:v>1.7243496743924447E-2</c:v>
                </c:pt>
                <c:pt idx="701">
                  <c:v>1.733038350467854E-2</c:v>
                </c:pt>
                <c:pt idx="702">
                  <c:v>1.7388514449709042E-2</c:v>
                </c:pt>
                <c:pt idx="703">
                  <c:v>1.7421708134769003E-2</c:v>
                </c:pt>
                <c:pt idx="704">
                  <c:v>1.7476031726261498E-2</c:v>
                </c:pt>
                <c:pt idx="705">
                  <c:v>1.7534031863302157E-2</c:v>
                </c:pt>
                <c:pt idx="706">
                  <c:v>1.7578287329761216E-2</c:v>
                </c:pt>
                <c:pt idx="707">
                  <c:v>1.7631620893904403E-2</c:v>
                </c:pt>
                <c:pt idx="708">
                  <c:v>1.7689464619979094E-2</c:v>
                </c:pt>
                <c:pt idx="709">
                  <c:v>1.774725487213992E-2</c:v>
                </c:pt>
                <c:pt idx="710">
                  <c:v>1.7804991649661744E-2</c:v>
                </c:pt>
                <c:pt idx="711">
                  <c:v>1.7885469296912957E-2</c:v>
                </c:pt>
                <c:pt idx="712">
                  <c:v>1.7938536314209552E-2</c:v>
                </c:pt>
                <c:pt idx="713">
                  <c:v>1.7996108867521787E-2</c:v>
                </c:pt>
                <c:pt idx="714">
                  <c:v>1.8053627969160935E-2</c:v>
                </c:pt>
                <c:pt idx="715">
                  <c:v>1.8111093618302654E-2</c:v>
                </c:pt>
                <c:pt idx="716">
                  <c:v>1.81685058141276E-2</c:v>
                </c:pt>
                <c:pt idx="717">
                  <c:v>1.8225864555816429E-2</c:v>
                </c:pt>
                <c:pt idx="718">
                  <c:v>1.8287703620269789E-2</c:v>
                </c:pt>
                <c:pt idx="719">
                  <c:v>1.8340298324822091E-2</c:v>
                </c:pt>
                <c:pt idx="720">
                  <c:v>1.8397170892444914E-2</c:v>
                </c:pt>
                <c:pt idx="721">
                  <c:v>1.8457233923669436E-2</c:v>
                </c:pt>
                <c:pt idx="722">
                  <c:v>1.850965014991296E-2</c:v>
                </c:pt>
                <c:pt idx="723">
                  <c:v>1.8565065764784838E-2</c:v>
                </c:pt>
                <c:pt idx="724">
                  <c:v>1.8619899686413144E-2</c:v>
                </c:pt>
                <c:pt idx="725">
                  <c:v>1.8674151906302172E-2</c:v>
                </c:pt>
                <c:pt idx="726">
                  <c:v>1.8727822416053641E-2</c:v>
                </c:pt>
                <c:pt idx="727">
                  <c:v>1.8780911207349205E-2</c:v>
                </c:pt>
                <c:pt idx="728">
                  <c:v>1.8833418271967939E-2</c:v>
                </c:pt>
                <c:pt idx="729">
                  <c:v>1.8885343601771354E-2</c:v>
                </c:pt>
                <c:pt idx="730">
                  <c:v>1.8936687188718382E-2</c:v>
                </c:pt>
                <c:pt idx="731">
                  <c:v>1.8987449024852887E-2</c:v>
                </c:pt>
                <c:pt idx="732">
                  <c:v>1.9037629102316156E-2</c:v>
                </c:pt>
                <c:pt idx="733">
                  <c:v>1.9087227413329411E-2</c:v>
                </c:pt>
                <c:pt idx="734">
                  <c:v>1.9136243950211296E-2</c:v>
                </c:pt>
                <c:pt idx="735">
                  <c:v>1.9184678705367886E-2</c:v>
                </c:pt>
                <c:pt idx="736">
                  <c:v>1.9232531671297681E-2</c:v>
                </c:pt>
                <c:pt idx="737">
                  <c:v>1.9279802840584115E-2</c:v>
                </c:pt>
                <c:pt idx="738">
                  <c:v>1.9326492205908041E-2</c:v>
                </c:pt>
                <c:pt idx="739">
                  <c:v>1.9372599760030251E-2</c:v>
                </c:pt>
                <c:pt idx="740">
                  <c:v>1.9418125495816452E-2</c:v>
                </c:pt>
                <c:pt idx="741">
                  <c:v>1.9452002269290992E-2</c:v>
                </c:pt>
                <c:pt idx="742">
                  <c:v>1.9507431484240834E-2</c:v>
                </c:pt>
                <c:pt idx="743">
                  <c:v>1.9551211723047579E-2</c:v>
                </c:pt>
                <c:pt idx="744">
                  <c:v>1.9594410115842953E-2</c:v>
                </c:pt>
                <c:pt idx="745">
                  <c:v>1.9637026655934808E-2</c:v>
                </c:pt>
                <c:pt idx="746">
                  <c:v>1.9679061336720927E-2</c:v>
                </c:pt>
                <c:pt idx="747">
                  <c:v>1.9720514151691515E-2</c:v>
                </c:pt>
                <c:pt idx="748">
                  <c:v>1.9761385094421713E-2</c:v>
                </c:pt>
                <c:pt idx="749">
                  <c:v>1.9801674158581584E-2</c:v>
                </c:pt>
                <c:pt idx="750">
                  <c:v>1.9841381337928621E-2</c:v>
                </c:pt>
                <c:pt idx="751">
                  <c:v>1.9880506626310246E-2</c:v>
                </c:pt>
                <c:pt idx="752">
                  <c:v>1.9919050017668805E-2</c:v>
                </c:pt>
                <c:pt idx="753">
                  <c:v>1.9957011506029076E-2</c:v>
                </c:pt>
                <c:pt idx="754">
                  <c:v>1.9994391085510765E-2</c:v>
                </c:pt>
                <c:pt idx="755">
                  <c:v>2.0033268972861278E-2</c:v>
                </c:pt>
                <c:pt idx="756">
                  <c:v>2.006740449476685E-2</c:v>
                </c:pt>
                <c:pt idx="757">
                  <c:v>2.0103038313230293E-2</c:v>
                </c:pt>
                <c:pt idx="758">
                  <c:v>2.0138090200193248E-2</c:v>
                </c:pt>
                <c:pt idx="759">
                  <c:v>2.0160632708665638E-2</c:v>
                </c:pt>
                <c:pt idx="760">
                  <c:v>2.019467935854502E-2</c:v>
                </c:pt>
                <c:pt idx="761">
                  <c:v>2.0228144180207366E-2</c:v>
                </c:pt>
                <c:pt idx="762">
                  <c:v>2.0261027169116312E-2</c:v>
                </c:pt>
                <c:pt idx="763">
                  <c:v>2.0304620475580237E-2</c:v>
                </c:pt>
                <c:pt idx="764">
                  <c:v>2.0336180662651471E-2</c:v>
                </c:pt>
                <c:pt idx="765">
                  <c:v>2.0369893097288934E-2</c:v>
                </c:pt>
                <c:pt idx="766">
                  <c:v>2.039755512913799E-2</c:v>
                </c:pt>
                <c:pt idx="767">
                  <c:v>2.0419383752141276E-2</c:v>
                </c:pt>
                <c:pt idx="768">
                  <c:v>2.0456601687193487E-2</c:v>
                </c:pt>
                <c:pt idx="769">
                  <c:v>2.0485251989071918E-2</c:v>
                </c:pt>
                <c:pt idx="770">
                  <c:v>2.0513321184644773E-2</c:v>
                </c:pt>
                <c:pt idx="771">
                  <c:v>2.0540818842480491E-2</c:v>
                </c:pt>
                <c:pt idx="772">
                  <c:v>2.0570220420806414E-2</c:v>
                </c:pt>
                <c:pt idx="773">
                  <c:v>2.0594157602789043E-2</c:v>
                </c:pt>
                <c:pt idx="774">
                  <c:v>2.0620027812563446E-2</c:v>
                </c:pt>
                <c:pt idx="775">
                  <c:v>2.0646608166601889E-2</c:v>
                </c:pt>
                <c:pt idx="776">
                  <c:v>2.0670218834779319E-2</c:v>
                </c:pt>
                <c:pt idx="777">
                  <c:v>2.06945411686138E-2</c:v>
                </c:pt>
                <c:pt idx="778">
                  <c:v>2.0718348046455393E-2</c:v>
                </c:pt>
                <c:pt idx="779">
                  <c:v>2.0741639465041706E-2</c:v>
                </c:pt>
                <c:pt idx="780">
                  <c:v>2.0757863998543572E-2</c:v>
                </c:pt>
                <c:pt idx="781">
                  <c:v>2.0786675911728669E-2</c:v>
                </c:pt>
                <c:pt idx="782">
                  <c:v>2.0808420933651761E-2</c:v>
                </c:pt>
                <c:pt idx="783">
                  <c:v>2.0829650483956963E-2</c:v>
                </c:pt>
                <c:pt idx="784">
                  <c:v>2.0850364559731605E-2</c:v>
                </c:pt>
                <c:pt idx="785">
                  <c:v>2.0870563158135458E-2</c:v>
                </c:pt>
                <c:pt idx="786">
                  <c:v>2.0890246276398239E-2</c:v>
                </c:pt>
                <c:pt idx="787">
                  <c:v>2.090941391181711E-2</c:v>
                </c:pt>
                <c:pt idx="788">
                  <c:v>2.0928066061761674E-2</c:v>
                </c:pt>
                <c:pt idx="789">
                  <c:v>2.0946202723673979E-2</c:v>
                </c:pt>
                <c:pt idx="790">
                  <c:v>2.0963823895061018E-2</c:v>
                </c:pt>
                <c:pt idx="791">
                  <c:v>2.0980929573512219E-2</c:v>
                </c:pt>
                <c:pt idx="792">
                  <c:v>2.0997519756674465E-2</c:v>
                </c:pt>
                <c:pt idx="793">
                  <c:v>2.1013594442274575E-2</c:v>
                </c:pt>
                <c:pt idx="794">
                  <c:v>2.1029153628106811E-2</c:v>
                </c:pt>
                <c:pt idx="795">
                  <c:v>2.1044197312035384E-2</c:v>
                </c:pt>
                <c:pt idx="796">
                  <c:v>2.1058725491994446E-2</c:v>
                </c:pt>
                <c:pt idx="797">
                  <c:v>2.107273816599059E-2</c:v>
                </c:pt>
                <c:pt idx="798">
                  <c:v>2.108623533210785E-2</c:v>
                </c:pt>
                <c:pt idx="799">
                  <c:v>2.1099216988485214E-2</c:v>
                </c:pt>
                <c:pt idx="800">
                  <c:v>2.1111683133344106E-2</c:v>
                </c:pt>
                <c:pt idx="801">
                  <c:v>2.1125058565941209E-2</c:v>
                </c:pt>
                <c:pt idx="802">
                  <c:v>2.1135068881741881E-2</c:v>
                </c:pt>
                <c:pt idx="803">
                  <c:v>2.1145988482068334E-2</c:v>
                </c:pt>
                <c:pt idx="804">
                  <c:v>2.1156392564461446E-2</c:v>
                </c:pt>
                <c:pt idx="805">
                  <c:v>2.1166281127492359E-2</c:v>
                </c:pt>
                <c:pt idx="806">
                  <c:v>2.1175654169802161E-2</c:v>
                </c:pt>
                <c:pt idx="807">
                  <c:v>2.1184511690106878E-2</c:v>
                </c:pt>
                <c:pt idx="808">
                  <c:v>2.1192853687187485E-2</c:v>
                </c:pt>
                <c:pt idx="809">
                  <c:v>2.1200680159904894E-2</c:v>
                </c:pt>
                <c:pt idx="810">
                  <c:v>2.1207991107182467E-2</c:v>
                </c:pt>
                <c:pt idx="811">
                  <c:v>2.1210504607665572E-2</c:v>
                </c:pt>
                <c:pt idx="812">
                  <c:v>2.1216930281301609E-2</c:v>
                </c:pt>
                <c:pt idx="813">
                  <c:v>2.1222840547926287E-2</c:v>
                </c:pt>
                <c:pt idx="814">
                  <c:v>2.1228235406834464E-2</c:v>
                </c:pt>
                <c:pt idx="815">
                  <c:v>2.1236812929336379E-2</c:v>
                </c:pt>
                <c:pt idx="816">
                  <c:v>2.1241910027618844E-2</c:v>
                </c:pt>
                <c:pt idx="817">
                  <c:v>2.1244732950455314E-2</c:v>
                </c:pt>
                <c:pt idx="818">
                  <c:v>2.1247919664040826E-2</c:v>
                </c:pt>
                <c:pt idx="819">
                  <c:v>2.124826183112842E-2</c:v>
                </c:pt>
                <c:pt idx="820">
                  <c:v>2.1252746495083186E-2</c:v>
                </c:pt>
                <c:pt idx="821">
                  <c:v>2.1254386611875564E-2</c:v>
                </c:pt>
                <c:pt idx="822">
                  <c:v>2.1255512599573645E-2</c:v>
                </c:pt>
                <c:pt idx="823">
                  <c:v>2.1256809782571103E-2</c:v>
                </c:pt>
                <c:pt idx="824">
                  <c:v>2.1256469189068761E-2</c:v>
                </c:pt>
                <c:pt idx="825">
                  <c:v>2.1256510452046795E-2</c:v>
                </c:pt>
                <c:pt idx="826">
                  <c:v>2.1255766764124905E-2</c:v>
                </c:pt>
                <c:pt idx="827">
                  <c:v>2.1256242656256252E-2</c:v>
                </c:pt>
                <c:pt idx="828">
                  <c:v>2.1256055824713516E-2</c:v>
                </c:pt>
                <c:pt idx="829">
                  <c:v>2.1255842576936579E-2</c:v>
                </c:pt>
                <c:pt idx="830">
                  <c:v>2.1255602912935434E-2</c:v>
                </c:pt>
                <c:pt idx="831">
                  <c:v>2.1255336832705085E-2</c:v>
                </c:pt>
                <c:pt idx="832">
                  <c:v>2.1255044336250528E-2</c:v>
                </c:pt>
                <c:pt idx="833">
                  <c:v>2.1254725423574261E-2</c:v>
                </c:pt>
                <c:pt idx="834">
                  <c:v>2.1254380094676284E-2</c:v>
                </c:pt>
                <c:pt idx="835">
                  <c:v>2.1254008349559095E-2</c:v>
                </c:pt>
                <c:pt idx="836">
                  <c:v>2.125361018822769E-2</c:v>
                </c:pt>
                <c:pt idx="837">
                  <c:v>2.1253185610684566E-2</c:v>
                </c:pt>
                <c:pt idx="838">
                  <c:v>2.1252734616929725E-2</c:v>
                </c:pt>
                <c:pt idx="839">
                  <c:v>2.1252257206968161E-2</c:v>
                </c:pt>
                <c:pt idx="840">
                  <c:v>2.1251753380804872E-2</c:v>
                </c:pt>
                <c:pt idx="841">
                  <c:v>2.1249462642722029E-2</c:v>
                </c:pt>
                <c:pt idx="842">
                  <c:v>2.1250666479880609E-2</c:v>
                </c:pt>
                <c:pt idx="843">
                  <c:v>2.1250083405132125E-2</c:v>
                </c:pt>
                <c:pt idx="844">
                  <c:v>2.1249473914191908E-2</c:v>
                </c:pt>
                <c:pt idx="845">
                  <c:v>2.124883800706745E-2</c:v>
                </c:pt>
                <c:pt idx="846">
                  <c:v>2.1248175683768744E-2</c:v>
                </c:pt>
                <c:pt idx="847">
                  <c:v>2.1247486944290794E-2</c:v>
                </c:pt>
                <c:pt idx="848">
                  <c:v>2.1246771788643593E-2</c:v>
                </c:pt>
                <c:pt idx="849">
                  <c:v>2.1246030216834633E-2</c:v>
                </c:pt>
                <c:pt idx="850">
                  <c:v>2.1245262228863915E-2</c:v>
                </c:pt>
                <c:pt idx="851">
                  <c:v>2.1244467824738933E-2</c:v>
                </c:pt>
                <c:pt idx="852">
                  <c:v>2.1243647004467181E-2</c:v>
                </c:pt>
                <c:pt idx="853">
                  <c:v>2.1243926349313408E-2</c:v>
                </c:pt>
                <c:pt idx="854">
                  <c:v>2.1240240839050996E-2</c:v>
                </c:pt>
                <c:pt idx="855">
                  <c:v>2.1241026046816269E-2</c:v>
                </c:pt>
                <c:pt idx="856">
                  <c:v>2.1240099562009895E-2</c:v>
                </c:pt>
                <c:pt idx="857">
                  <c:v>2.1239146661086727E-2</c:v>
                </c:pt>
                <c:pt idx="858">
                  <c:v>2.1238578671199031E-2</c:v>
                </c:pt>
                <c:pt idx="859">
                  <c:v>2.1236464174923048E-2</c:v>
                </c:pt>
                <c:pt idx="860">
                  <c:v>2.1235430199762071E-2</c:v>
                </c:pt>
                <c:pt idx="861">
                  <c:v>2.1234369810066021E-2</c:v>
                </c:pt>
                <c:pt idx="862">
                  <c:v>2.1233283005840053E-2</c:v>
                </c:pt>
                <c:pt idx="863">
                  <c:v>2.1232169787094482E-2</c:v>
                </c:pt>
                <c:pt idx="864">
                  <c:v>2.123103015383446E-2</c:v>
                </c:pt>
                <c:pt idx="865">
                  <c:v>2.1229864106067732E-2</c:v>
                </c:pt>
                <c:pt idx="866">
                  <c:v>2.1228671643804604E-2</c:v>
                </c:pt>
                <c:pt idx="867">
                  <c:v>2.1227988744563497E-2</c:v>
                </c:pt>
                <c:pt idx="868">
                  <c:v>2.1226207475820106E-2</c:v>
                </c:pt>
                <c:pt idx="869">
                  <c:v>2.1224935770114202E-2</c:v>
                </c:pt>
                <c:pt idx="870">
                  <c:v>2.1223637649942846E-2</c:v>
                </c:pt>
                <c:pt idx="871">
                  <c:v>2.122101720830738E-2</c:v>
                </c:pt>
                <c:pt idx="872">
                  <c:v>2.1220962166242453E-2</c:v>
                </c:pt>
                <c:pt idx="873">
                  <c:v>2.1219584802734042E-2</c:v>
                </c:pt>
                <c:pt idx="874">
                  <c:v>2.1218703248201687E-2</c:v>
                </c:pt>
                <c:pt idx="875">
                  <c:v>2.121675296435219E-2</c:v>
                </c:pt>
                <c:pt idx="876">
                  <c:v>2.1214702306899313E-2</c:v>
                </c:pt>
                <c:pt idx="877">
                  <c:v>2.1213088346450155E-2</c:v>
                </c:pt>
                <c:pt idx="878">
                  <c:v>2.121259754670116E-2</c:v>
                </c:pt>
                <c:pt idx="879">
                  <c:v>2.1210414629091671E-2</c:v>
                </c:pt>
                <c:pt idx="880">
                  <c:v>2.1208630412827389E-2</c:v>
                </c:pt>
                <c:pt idx="881">
                  <c:v>2.1207446243123762E-2</c:v>
                </c:pt>
                <c:pt idx="882">
                  <c:v>2.1206325609857579E-2</c:v>
                </c:pt>
                <c:pt idx="883">
                  <c:v>2.1205122685833189E-2</c:v>
                </c:pt>
                <c:pt idx="884">
                  <c:v>2.1205818090197101E-2</c:v>
                </c:pt>
                <c:pt idx="885">
                  <c:v>2.1204910597527001E-2</c:v>
                </c:pt>
                <c:pt idx="886">
                  <c:v>2.1204066652458019E-2</c:v>
                </c:pt>
                <c:pt idx="887">
                  <c:v>2.1203286254968361E-2</c:v>
                </c:pt>
                <c:pt idx="888">
                  <c:v>2.120083563058639E-2</c:v>
                </c:pt>
                <c:pt idx="889">
                  <c:v>2.1201916102683398E-2</c:v>
                </c:pt>
                <c:pt idx="890">
                  <c:v>2.1201326347863869E-2</c:v>
                </c:pt>
                <c:pt idx="891">
                  <c:v>2.1200800140577642E-2</c:v>
                </c:pt>
                <c:pt idx="892">
                  <c:v>2.1200337480817441E-2</c:v>
                </c:pt>
                <c:pt idx="893">
                  <c:v>2.1198136983842986E-2</c:v>
                </c:pt>
                <c:pt idx="894">
                  <c:v>2.1197787863411754E-2</c:v>
                </c:pt>
                <c:pt idx="895">
                  <c:v>2.1197502279268754E-2</c:v>
                </c:pt>
                <c:pt idx="896">
                  <c:v>2.1197280231408655E-2</c:v>
                </c:pt>
                <c:pt idx="897">
                  <c:v>2.1198977394645269E-2</c:v>
                </c:pt>
                <c:pt idx="898">
                  <c:v>2.1198896019905596E-2</c:v>
                </c:pt>
                <c:pt idx="899">
                  <c:v>2.119887819265804E-2</c:v>
                </c:pt>
                <c:pt idx="900">
                  <c:v>2.1198923912900177E-2</c:v>
                </c:pt>
                <c:pt idx="901">
                  <c:v>2.1197123036309051E-2</c:v>
                </c:pt>
                <c:pt idx="902">
                  <c:v>2.1197282206122381E-2</c:v>
                </c:pt>
                <c:pt idx="903">
                  <c:v>2.1197504912221277E-2</c:v>
                </c:pt>
                <c:pt idx="904">
                  <c:v>2.1197791154603074E-2</c:v>
                </c:pt>
                <c:pt idx="905">
                  <c:v>2.1198140933275766E-2</c:v>
                </c:pt>
                <c:pt idx="906">
                  <c:v>2.1201193148307387E-2</c:v>
                </c:pt>
                <c:pt idx="907">
                  <c:v>2.1201023284570623E-2</c:v>
                </c:pt>
                <c:pt idx="908">
                  <c:v>2.1201577384868386E-2</c:v>
                </c:pt>
                <c:pt idx="909">
                  <c:v>2.1201998176325898E-2</c:v>
                </c:pt>
                <c:pt idx="910">
                  <c:v>2.1201723875282165E-2</c:v>
                </c:pt>
                <c:pt idx="911">
                  <c:v>2.1203049064092705E-2</c:v>
                </c:pt>
                <c:pt idx="912">
                  <c:v>2.1203861845897065E-2</c:v>
                </c:pt>
                <c:pt idx="913">
                  <c:v>2.1204738171551607E-2</c:v>
                </c:pt>
                <c:pt idx="914">
                  <c:v>2.1203589057587364E-2</c:v>
                </c:pt>
                <c:pt idx="915">
                  <c:v>2.1203878686168385E-2</c:v>
                </c:pt>
                <c:pt idx="916">
                  <c:v>2.1204927241188339E-2</c:v>
                </c:pt>
                <c:pt idx="917">
                  <c:v>2.1206039325147544E-2</c:v>
                </c:pt>
                <c:pt idx="918">
                  <c:v>2.1207214938060277E-2</c:v>
                </c:pt>
                <c:pt idx="919">
                  <c:v>2.1211330547191987E-2</c:v>
                </c:pt>
                <c:pt idx="920">
                  <c:v>2.1212651680257433E-2</c:v>
                </c:pt>
                <c:pt idx="921">
                  <c:v>2.1214765881558281E-2</c:v>
                </c:pt>
                <c:pt idx="922">
                  <c:v>2.1215484578403498E-2</c:v>
                </c:pt>
                <c:pt idx="923">
                  <c:v>2.121699634353158E-2</c:v>
                </c:pt>
                <c:pt idx="924">
                  <c:v>2.1218571652729667E-2</c:v>
                </c:pt>
                <c:pt idx="925">
                  <c:v>2.1220210506025239E-2</c:v>
                </c:pt>
                <c:pt idx="926">
                  <c:v>2.1221913226902034E-2</c:v>
                </c:pt>
                <c:pt idx="927">
                  <c:v>2.1223181462596885E-2</c:v>
                </c:pt>
                <c:pt idx="928">
                  <c:v>2.1226280042119038E-2</c:v>
                </c:pt>
                <c:pt idx="929">
                  <c:v>2.1227422061957657E-2</c:v>
                </c:pt>
                <c:pt idx="930">
                  <c:v>2.122939834156512E-2</c:v>
                </c:pt>
                <c:pt idx="931">
                  <c:v>2.1230966521511824E-2</c:v>
                </c:pt>
                <c:pt idx="932">
                  <c:v>2.1233568028828087E-2</c:v>
                </c:pt>
                <c:pt idx="933">
                  <c:v>2.1235761496915251E-2</c:v>
                </c:pt>
                <c:pt idx="934">
                  <c:v>2.1238027381365321E-2</c:v>
                </c:pt>
                <c:pt idx="935">
                  <c:v>2.1240365682218265E-2</c:v>
                </c:pt>
                <c:pt idx="936">
                  <c:v>2.1242776399521546E-2</c:v>
                </c:pt>
                <c:pt idx="937">
                  <c:v>2.1245259533322625E-2</c:v>
                </c:pt>
                <c:pt idx="938">
                  <c:v>2.1247815083668964E-2</c:v>
                </c:pt>
                <c:pt idx="939">
                  <c:v>2.1250443050605528E-2</c:v>
                </c:pt>
                <c:pt idx="940">
                  <c:v>2.1250666748794809E-2</c:v>
                </c:pt>
                <c:pt idx="941">
                  <c:v>2.1255916234466654E-2</c:v>
                </c:pt>
                <c:pt idx="942">
                  <c:v>2.1258761451493635E-2</c:v>
                </c:pt>
                <c:pt idx="943">
                  <c:v>2.1261679085325669E-2</c:v>
                </c:pt>
                <c:pt idx="944">
                  <c:v>2.1264669136017711E-2</c:v>
                </c:pt>
                <c:pt idx="945">
                  <c:v>2.1267731603629714E-2</c:v>
                </c:pt>
                <c:pt idx="946">
                  <c:v>2.1270866488216633E-2</c:v>
                </c:pt>
                <c:pt idx="947">
                  <c:v>2.1274073789843417E-2</c:v>
                </c:pt>
                <c:pt idx="948">
                  <c:v>2.127735350856752E-2</c:v>
                </c:pt>
                <c:pt idx="949">
                  <c:v>2.1280705644456388E-2</c:v>
                </c:pt>
                <c:pt idx="950">
                  <c:v>2.1284130197572471E-2</c:v>
                </c:pt>
                <c:pt idx="951">
                  <c:v>2.1287627167983214E-2</c:v>
                </c:pt>
                <c:pt idx="952">
                  <c:v>2.1291196555753567E-2</c:v>
                </c:pt>
                <c:pt idx="953">
                  <c:v>2.1292152594033917E-2</c:v>
                </c:pt>
                <c:pt idx="954">
                  <c:v>2.1298552583650376E-2</c:v>
                </c:pt>
                <c:pt idx="955">
                  <c:v>2.130233922391922E-2</c:v>
                </c:pt>
                <c:pt idx="956">
                  <c:v>2.1306198281834943E-2</c:v>
                </c:pt>
                <c:pt idx="957">
                  <c:v>2.1310129757469987E-2</c:v>
                </c:pt>
                <c:pt idx="958">
                  <c:v>2.1314133650896794E-2</c:v>
                </c:pt>
                <c:pt idx="959">
                  <c:v>2.1318209962197798E-2</c:v>
                </c:pt>
                <c:pt idx="960">
                  <c:v>2.1322358691445442E-2</c:v>
                </c:pt>
                <c:pt idx="961">
                  <c:v>2.1328696345126248E-2</c:v>
                </c:pt>
                <c:pt idx="962">
                  <c:v>2.1332411794207549E-2</c:v>
                </c:pt>
                <c:pt idx="963">
                  <c:v>2.1334918316951751E-2</c:v>
                </c:pt>
                <c:pt idx="964">
                  <c:v>2.1339361628430503E-2</c:v>
                </c:pt>
                <c:pt idx="965">
                  <c:v>2.1343877353937578E-2</c:v>
                </c:pt>
                <c:pt idx="966">
                  <c:v>2.1345567791274229E-2</c:v>
                </c:pt>
                <c:pt idx="967">
                  <c:v>2.1350212002155811E-2</c:v>
                </c:pt>
                <c:pt idx="968">
                  <c:v>2.1354928614250986E-2</c:v>
                </c:pt>
                <c:pt idx="969">
                  <c:v>2.1359717627631128E-2</c:v>
                </c:pt>
                <c:pt idx="970">
                  <c:v>2.1368531031719096E-2</c:v>
                </c:pt>
                <c:pt idx="971">
                  <c:v>2.1373486709574674E-2</c:v>
                </c:pt>
                <c:pt idx="972">
                  <c:v>2.1377515032456312E-2</c:v>
                </c:pt>
                <c:pt idx="973">
                  <c:v>2.1382610073317782E-2</c:v>
                </c:pt>
                <c:pt idx="974">
                  <c:v>2.1387777529014673E-2</c:v>
                </c:pt>
                <c:pt idx="975">
                  <c:v>2.1395025339531415E-2</c:v>
                </c:pt>
                <c:pt idx="976">
                  <c:v>2.139832968529376E-2</c:v>
                </c:pt>
                <c:pt idx="977">
                  <c:v>2.1403714386074506E-2</c:v>
                </c:pt>
                <c:pt idx="978">
                  <c:v>2.1410204192508775E-2</c:v>
                </c:pt>
                <c:pt idx="979">
                  <c:v>2.141709300054883E-2</c:v>
                </c:pt>
                <c:pt idx="980">
                  <c:v>2.1420302980188346E-2</c:v>
                </c:pt>
                <c:pt idx="981">
                  <c:v>2.1428431380105369E-2</c:v>
                </c:pt>
                <c:pt idx="982">
                  <c:v>2.1431724120446399E-2</c:v>
                </c:pt>
                <c:pt idx="983">
                  <c:v>2.1438603555749836E-2</c:v>
                </c:pt>
                <c:pt idx="984">
                  <c:v>2.1443434923710293E-2</c:v>
                </c:pt>
                <c:pt idx="985">
                  <c:v>2.1449398949239216E-2</c:v>
                </c:pt>
                <c:pt idx="986">
                  <c:v>2.1456965978296161E-2</c:v>
                </c:pt>
                <c:pt idx="987">
                  <c:v>2.1461544248653135E-2</c:v>
                </c:pt>
                <c:pt idx="988">
                  <c:v>2.1467725522765053E-2</c:v>
                </c:pt>
                <c:pt idx="989">
                  <c:v>2.1473979213295635E-2</c:v>
                </c:pt>
                <c:pt idx="990">
                  <c:v>2.148030532036866E-2</c:v>
                </c:pt>
                <c:pt idx="991">
                  <c:v>2.1486703844100157E-2</c:v>
                </c:pt>
                <c:pt idx="992">
                  <c:v>2.149317478460875E-2</c:v>
                </c:pt>
                <c:pt idx="993">
                  <c:v>2.1499718142015626E-2</c:v>
                </c:pt>
                <c:pt idx="994">
                  <c:v>2.1506333916441977E-2</c:v>
                </c:pt>
                <c:pt idx="995">
                  <c:v>2.1513022108011579E-2</c:v>
                </c:pt>
                <c:pt idx="996">
                  <c:v>2.1519782716850781E-2</c:v>
                </c:pt>
                <c:pt idx="997">
                  <c:v>2.1526615743083358E-2</c:v>
                </c:pt>
                <c:pt idx="998">
                  <c:v>2.1533521186840814E-2</c:v>
                </c:pt>
                <c:pt idx="999">
                  <c:v>2.1540499048246921E-2</c:v>
                </c:pt>
                <c:pt idx="1000">
                  <c:v>2.1547549327435765E-2</c:v>
                </c:pt>
                <c:pt idx="1001">
                  <c:v>2.155467202453628E-2</c:v>
                </c:pt>
                <c:pt idx="1002">
                  <c:v>2.1561867139685123E-2</c:v>
                </c:pt>
                <c:pt idx="1003">
                  <c:v>2.1569134673013808E-2</c:v>
                </c:pt>
                <c:pt idx="1004">
                  <c:v>2.1576474624658996E-2</c:v>
                </c:pt>
                <c:pt idx="1005">
                  <c:v>2.1583886994759938E-2</c:v>
                </c:pt>
                <c:pt idx="1006">
                  <c:v>2.1591371783450709E-2</c:v>
                </c:pt>
                <c:pt idx="1007">
                  <c:v>2.1598928990870559E-2</c:v>
                </c:pt>
                <c:pt idx="1008">
                  <c:v>2.1606558617166465E-2</c:v>
                </c:pt>
                <c:pt idx="1009">
                  <c:v>2.1614260662477673E-2</c:v>
                </c:pt>
                <c:pt idx="1010">
                  <c:v>2.1622035126946007E-2</c:v>
                </c:pt>
                <c:pt idx="1011">
                  <c:v>2.162988201071844E-2</c:v>
                </c:pt>
                <c:pt idx="1012">
                  <c:v>2.1637801313944532E-2</c:v>
                </c:pt>
                <c:pt idx="1013">
                  <c:v>2.1650392250498546E-2</c:v>
                </c:pt>
                <c:pt idx="1014">
                  <c:v>2.1658497775848811E-2</c:v>
                </c:pt>
                <c:pt idx="1015">
                  <c:v>2.1665503009395602E-2</c:v>
                </c:pt>
                <c:pt idx="1016">
                  <c:v>2.1673743029125371E-2</c:v>
                </c:pt>
                <c:pt idx="1017">
                  <c:v>2.1682055469126209E-2</c:v>
                </c:pt>
                <c:pt idx="1018">
                  <c:v>2.1686667929440455E-2</c:v>
                </c:pt>
                <c:pt idx="1019">
                  <c:v>2.1695108167243404E-2</c:v>
                </c:pt>
                <c:pt idx="1020">
                  <c:v>2.1703620812072444E-2</c:v>
                </c:pt>
                <c:pt idx="1021">
                  <c:v>2.1712205864067462E-2</c:v>
                </c:pt>
                <c:pt idx="1022">
                  <c:v>2.1724703978650166E-2</c:v>
                </c:pt>
                <c:pt idx="1023">
                  <c:v>2.1733450943575438E-2</c:v>
                </c:pt>
                <c:pt idx="1024">
                  <c:v>2.1742270329883146E-2</c:v>
                </c:pt>
                <c:pt idx="1025">
                  <c:v>2.1751162137743481E-2</c:v>
                </c:pt>
                <c:pt idx="1026">
                  <c:v>2.1761395603735245E-2</c:v>
                </c:pt>
                <c:pt idx="1027">
                  <c:v>2.1767853659675929E-2</c:v>
                </c:pt>
                <c:pt idx="1028">
                  <c:v>2.1776957010093412E-2</c:v>
                </c:pt>
                <c:pt idx="1029">
                  <c:v>2.1786132766496102E-2</c:v>
                </c:pt>
                <c:pt idx="1030">
                  <c:v>2.1795375018012209E-2</c:v>
                </c:pt>
                <c:pt idx="1031">
                  <c:v>2.1805987811344525E-2</c:v>
                </c:pt>
                <c:pt idx="1032">
                  <c:v>2.1816625832938467E-2</c:v>
                </c:pt>
                <c:pt idx="1033">
                  <c:v>2.1829900767398932E-2</c:v>
                </c:pt>
                <c:pt idx="1034">
                  <c:v>2.1839168449593719E-2</c:v>
                </c:pt>
                <c:pt idx="1035">
                  <c:v>2.1843129589602661E-2</c:v>
                </c:pt>
                <c:pt idx="1036">
                  <c:v>2.1852347073466838E-2</c:v>
                </c:pt>
                <c:pt idx="1037">
                  <c:v>2.186153454785611E-2</c:v>
                </c:pt>
                <c:pt idx="1038">
                  <c:v>2.1870692012693205E-2</c:v>
                </c:pt>
                <c:pt idx="1039">
                  <c:v>2.1881120940326682E-2</c:v>
                </c:pt>
                <c:pt idx="1040">
                  <c:v>2.1894149755642515E-2</c:v>
                </c:pt>
                <c:pt idx="1041">
                  <c:v>2.1903208124887514E-2</c:v>
                </c:pt>
                <c:pt idx="1042">
                  <c:v>2.1912236479496888E-2</c:v>
                </c:pt>
                <c:pt idx="1043">
                  <c:v>2.1921234819393121E-2</c:v>
                </c:pt>
                <c:pt idx="1044">
                  <c:v>2.1930203144508394E-2</c:v>
                </c:pt>
                <c:pt idx="1045">
                  <c:v>2.1939141454762764E-2</c:v>
                </c:pt>
                <c:pt idx="1046">
                  <c:v>2.1948049750083569E-2</c:v>
                </c:pt>
                <c:pt idx="1047">
                  <c:v>2.1956928030398132E-2</c:v>
                </c:pt>
                <c:pt idx="1048">
                  <c:v>2.1961879009169571E-2</c:v>
                </c:pt>
                <c:pt idx="1049">
                  <c:v>2.1970702077325654E-2</c:v>
                </c:pt>
                <c:pt idx="1050">
                  <c:v>2.1979495135119542E-2</c:v>
                </c:pt>
                <c:pt idx="1051">
                  <c:v>2.1988258182481957E-2</c:v>
                </c:pt>
                <c:pt idx="1052">
                  <c:v>2.1996991219346285E-2</c:v>
                </c:pt>
                <c:pt idx="1053">
                  <c:v>2.2009567393085048E-2</c:v>
                </c:pt>
                <c:pt idx="1054">
                  <c:v>2.2018235566323634E-2</c:v>
                </c:pt>
                <c:pt idx="1055">
                  <c:v>2.2026873723977047E-2</c:v>
                </c:pt>
                <c:pt idx="1056">
                  <c:v>2.2035481865977473E-2</c:v>
                </c:pt>
                <c:pt idx="1057">
                  <c:v>2.2040206243955751E-2</c:v>
                </c:pt>
                <c:pt idx="1058">
                  <c:v>2.204875921648064E-2</c:v>
                </c:pt>
                <c:pt idx="1059">
                  <c:v>2.2057282178054471E-2</c:v>
                </c:pt>
                <c:pt idx="1060">
                  <c:v>2.2069614276003111E-2</c:v>
                </c:pt>
                <c:pt idx="1061">
                  <c:v>2.2078072338667907E-2</c:v>
                </c:pt>
                <c:pt idx="1062">
                  <c:v>2.2086500385253387E-2</c:v>
                </c:pt>
                <c:pt idx="1063">
                  <c:v>2.2094898415691719E-2</c:v>
                </c:pt>
                <c:pt idx="1064">
                  <c:v>2.2103266429917508E-2</c:v>
                </c:pt>
                <c:pt idx="1065">
                  <c:v>2.2111604427855657E-2</c:v>
                </c:pt>
                <c:pt idx="1066">
                  <c:v>2.2119912409440771E-2</c:v>
                </c:pt>
                <c:pt idx="1067">
                  <c:v>2.2128190374602594E-2</c:v>
                </c:pt>
                <c:pt idx="1068">
                  <c:v>2.2136438323273309E-2</c:v>
                </c:pt>
                <c:pt idx="1069">
                  <c:v>2.2144656255389934E-2</c:v>
                </c:pt>
                <c:pt idx="1070">
                  <c:v>2.2147790419900129E-2</c:v>
                </c:pt>
                <c:pt idx="1071">
                  <c:v>2.2155954886914315E-2</c:v>
                </c:pt>
                <c:pt idx="1072">
                  <c:v>2.216408934383202E-2</c:v>
                </c:pt>
                <c:pt idx="1073">
                  <c:v>2.2172193790592609E-2</c:v>
                </c:pt>
                <c:pt idx="1074">
                  <c:v>2.2185295665229695E-2</c:v>
                </c:pt>
                <c:pt idx="1075">
                  <c:v>2.2193333496582923E-2</c:v>
                </c:pt>
                <c:pt idx="1076">
                  <c:v>2.2202594606444661E-2</c:v>
                </c:pt>
                <c:pt idx="1077">
                  <c:v>2.2209319108139818E-2</c:v>
                </c:pt>
                <c:pt idx="1078">
                  <c:v>2.2213516284061541E-2</c:v>
                </c:pt>
                <c:pt idx="1079">
                  <c:v>2.2221439013544675E-2</c:v>
                </c:pt>
                <c:pt idx="1080">
                  <c:v>2.2229331730787116E-2</c:v>
                </c:pt>
                <c:pt idx="1081">
                  <c:v>2.2240805321467327E-2</c:v>
                </c:pt>
                <c:pt idx="1082">
                  <c:v>2.2248630405095893E-2</c:v>
                </c:pt>
                <c:pt idx="1083">
                  <c:v>2.2257667034699065E-2</c:v>
                </c:pt>
                <c:pt idx="1084">
                  <c:v>2.2264190524878547E-2</c:v>
                </c:pt>
                <c:pt idx="1085">
                  <c:v>2.2271925560907735E-2</c:v>
                </c:pt>
                <c:pt idx="1086">
                  <c:v>2.2279492414680174E-2</c:v>
                </c:pt>
                <c:pt idx="1087">
                  <c:v>2.228730558493458E-2</c:v>
                </c:pt>
                <c:pt idx="1088">
                  <c:v>2.2294950572809835E-2</c:v>
                </c:pt>
                <c:pt idx="1089">
                  <c:v>2.2302565544510544E-2</c:v>
                </c:pt>
                <c:pt idx="1090">
                  <c:v>2.2310150499976755E-2</c:v>
                </c:pt>
                <c:pt idx="1091">
                  <c:v>2.2317705439148516E-2</c:v>
                </c:pt>
                <c:pt idx="1092">
                  <c:v>2.2325230361963377E-2</c:v>
                </c:pt>
                <c:pt idx="1093">
                  <c:v>2.2332725268361386E-2</c:v>
                </c:pt>
                <c:pt idx="1094">
                  <c:v>2.2340190158285089E-2</c:v>
                </c:pt>
                <c:pt idx="1095">
                  <c:v>2.2347625031672036E-2</c:v>
                </c:pt>
                <c:pt idx="1096">
                  <c:v>2.2355029888464772E-2</c:v>
                </c:pt>
                <c:pt idx="1097">
                  <c:v>2.2362404728603347E-2</c:v>
                </c:pt>
                <c:pt idx="1098">
                  <c:v>2.2369749552030305E-2</c:v>
                </c:pt>
                <c:pt idx="1099">
                  <c:v>2.2377064358683196E-2</c:v>
                </c:pt>
                <c:pt idx="1100">
                  <c:v>2.2380709377012E-2</c:v>
                </c:pt>
                <c:pt idx="1101">
                  <c:v>2.2391603921444458E-2</c:v>
                </c:pt>
                <c:pt idx="1102">
                  <c:v>2.2398828677432925E-2</c:v>
                </c:pt>
                <c:pt idx="1103">
                  <c:v>2.2406023416415011E-2</c:v>
                </c:pt>
                <c:pt idx="1104">
                  <c:v>2.2413188138340756E-2</c:v>
                </c:pt>
                <c:pt idx="1105">
                  <c:v>2.2420322843145213E-2</c:v>
                </c:pt>
                <c:pt idx="1106">
                  <c:v>2.2427427530775923E-2</c:v>
                </c:pt>
                <c:pt idx="1107">
                  <c:v>2.2434502201172934E-2</c:v>
                </c:pt>
                <c:pt idx="1108">
                  <c:v>2.2441546854281291E-2</c:v>
                </c:pt>
                <c:pt idx="1109">
                  <c:v>2.2448561490041041E-2</c:v>
                </c:pt>
                <c:pt idx="1110">
                  <c:v>2.2455546108404723E-2</c:v>
                </c:pt>
                <c:pt idx="1111">
                  <c:v>2.2462500709307387E-2</c:v>
                </c:pt>
                <c:pt idx="1112">
                  <c:v>2.2471810377612322E-2</c:v>
                </c:pt>
                <c:pt idx="1113">
                  <c:v>2.2472746519702574E-2</c:v>
                </c:pt>
                <c:pt idx="1114">
                  <c:v>2.2483184406722201E-2</c:v>
                </c:pt>
                <c:pt idx="1115">
                  <c:v>2.2490018937243728E-2</c:v>
                </c:pt>
                <c:pt idx="1116">
                  <c:v>2.2496823450034453E-2</c:v>
                </c:pt>
                <c:pt idx="1117">
                  <c:v>2.2505747044111762E-2</c:v>
                </c:pt>
                <c:pt idx="1118">
                  <c:v>2.2510121312143659E-2</c:v>
                </c:pt>
                <c:pt idx="1119">
                  <c:v>2.251683320792347E-2</c:v>
                </c:pt>
                <c:pt idx="1120">
                  <c:v>2.2523515087499564E-2</c:v>
                </c:pt>
                <c:pt idx="1121">
                  <c:v>2.2530166950825527E-2</c:v>
                </c:pt>
                <c:pt idx="1122">
                  <c:v>2.2533262362140719E-2</c:v>
                </c:pt>
                <c:pt idx="1123">
                  <c:v>2.253985938690433E-2</c:v>
                </c:pt>
                <c:pt idx="1124">
                  <c:v>2.2546426400545778E-2</c:v>
                </c:pt>
                <c:pt idx="1125">
                  <c:v>2.2552963403019391E-2</c:v>
                </c:pt>
                <c:pt idx="1126">
                  <c:v>2.2564144330684544E-2</c:v>
                </c:pt>
                <c:pt idx="1127">
                  <c:v>2.2569447786599296E-2</c:v>
                </c:pt>
                <c:pt idx="1128">
                  <c:v>2.257588953472776E-2</c:v>
                </c:pt>
                <c:pt idx="1129">
                  <c:v>2.2582301266196099E-2</c:v>
                </c:pt>
                <c:pt idx="1130">
                  <c:v>2.2591155735046442E-2</c:v>
                </c:pt>
                <c:pt idx="1131">
                  <c:v>2.2595034678959007E-2</c:v>
                </c:pt>
                <c:pt idx="1132">
                  <c:v>2.260135636015817E-2</c:v>
                </c:pt>
                <c:pt idx="1133">
                  <c:v>2.2608804124015502E-2</c:v>
                </c:pt>
                <c:pt idx="1134">
                  <c:v>2.2613909671936633E-2</c:v>
                </c:pt>
                <c:pt idx="1135">
                  <c:v>2.26201413024231E-2</c:v>
                </c:pt>
                <c:pt idx="1136">
                  <c:v>2.2628991561369449E-2</c:v>
                </c:pt>
                <c:pt idx="1137">
                  <c:v>2.2632514512342973E-2</c:v>
                </c:pt>
                <c:pt idx="1138">
                  <c:v>2.263865609168355E-2</c:v>
                </c:pt>
                <c:pt idx="1139">
                  <c:v>2.2644767653879225E-2</c:v>
                </c:pt>
                <c:pt idx="1140">
                  <c:v>2.2650849198883587E-2</c:v>
                </c:pt>
                <c:pt idx="1141">
                  <c:v>2.2656900726650223E-2</c:v>
                </c:pt>
                <c:pt idx="1142">
                  <c:v>2.2664354058297143E-2</c:v>
                </c:pt>
                <c:pt idx="1143">
                  <c:v>2.2670052236707094E-2</c:v>
                </c:pt>
                <c:pt idx="1144">
                  <c:v>2.26748752060493E-2</c:v>
                </c:pt>
                <c:pt idx="1145">
                  <c:v>2.2680806664398302E-2</c:v>
                </c:pt>
                <c:pt idx="1146">
                  <c:v>2.2686708105274924E-2</c:v>
                </c:pt>
                <c:pt idx="1147">
                  <c:v>2.2692579528635331E-2</c:v>
                </c:pt>
                <c:pt idx="1148">
                  <c:v>2.2698420934433108E-2</c:v>
                </c:pt>
                <c:pt idx="1149">
                  <c:v>2.2704232322626999E-2</c:v>
                </c:pt>
                <c:pt idx="1150">
                  <c:v>2.2710013693168014E-2</c:v>
                </c:pt>
                <c:pt idx="1151">
                  <c:v>2.2715765046012311E-2</c:v>
                </c:pt>
                <c:pt idx="1152">
                  <c:v>2.2718118085723406E-2</c:v>
                </c:pt>
                <c:pt idx="1153">
                  <c:v>2.2727177698435415E-2</c:v>
                </c:pt>
                <c:pt idx="1154">
                  <c:v>2.2732838997923971E-2</c:v>
                </c:pt>
                <c:pt idx="1155">
                  <c:v>2.2738470279543045E-2</c:v>
                </c:pt>
                <c:pt idx="1156">
                  <c:v>2.274630215375692E-2</c:v>
                </c:pt>
                <c:pt idx="1157">
                  <c:v>2.2749642788981943E-2</c:v>
                </c:pt>
                <c:pt idx="1158">
                  <c:v>2.2755184016721827E-2</c:v>
                </c:pt>
                <c:pt idx="1159">
                  <c:v>2.2760695226411731E-2</c:v>
                </c:pt>
                <c:pt idx="1160">
                  <c:v>2.2766176418012971E-2</c:v>
                </c:pt>
                <c:pt idx="1161">
                  <c:v>2.2771627591486876E-2</c:v>
                </c:pt>
                <c:pt idx="1162">
                  <c:v>2.2777048746787026E-2</c:v>
                </c:pt>
                <c:pt idx="1163">
                  <c:v>2.2782439883867009E-2</c:v>
                </c:pt>
                <c:pt idx="1164">
                  <c:v>2.2791103552495511E-2</c:v>
                </c:pt>
                <c:pt idx="1165">
                  <c:v>2.2789833841845613E-2</c:v>
                </c:pt>
                <c:pt idx="1166">
                  <c:v>2.2798433185414638E-2</c:v>
                </c:pt>
                <c:pt idx="1167">
                  <c:v>2.2803704249222005E-2</c:v>
                </c:pt>
                <c:pt idx="1168">
                  <c:v>2.2808945294608078E-2</c:v>
                </c:pt>
                <c:pt idx="1169">
                  <c:v>2.2820041227241787E-2</c:v>
                </c:pt>
                <c:pt idx="1170">
                  <c:v>2.2821548572789167E-2</c:v>
                </c:pt>
                <c:pt idx="1171">
                  <c:v>2.2826686697566427E-2</c:v>
                </c:pt>
                <c:pt idx="1172">
                  <c:v>2.2831794803744469E-2</c:v>
                </c:pt>
                <c:pt idx="1173">
                  <c:v>2.2836872891287194E-2</c:v>
                </c:pt>
                <c:pt idx="1174">
                  <c:v>2.2838674070364232E-2</c:v>
                </c:pt>
                <c:pt idx="1175">
                  <c:v>2.2843697597658377E-2</c:v>
                </c:pt>
                <c:pt idx="1176">
                  <c:v>2.284869111170635E-2</c:v>
                </c:pt>
                <c:pt idx="1177">
                  <c:v>2.2853654612471033E-2</c:v>
                </c:pt>
                <c:pt idx="1178">
                  <c:v>2.2861813048032167E-2</c:v>
                </c:pt>
                <c:pt idx="1179">
                  <c:v>2.2866711022924934E-2</c:v>
                </c:pt>
                <c:pt idx="1180">
                  <c:v>2.2871578978903895E-2</c:v>
                </c:pt>
                <c:pt idx="1181">
                  <c:v>2.2876416915938107E-2</c:v>
                </c:pt>
                <c:pt idx="1182">
                  <c:v>2.288122483398889E-2</c:v>
                </c:pt>
                <c:pt idx="1183">
                  <c:v>2.2884937064453936E-2</c:v>
                </c:pt>
                <c:pt idx="1184">
                  <c:v>2.2889686786951913E-2</c:v>
                </c:pt>
                <c:pt idx="1185">
                  <c:v>2.2895749374487906E-2</c:v>
                </c:pt>
                <c:pt idx="1186">
                  <c:v>2.2899095137312031E-2</c:v>
                </c:pt>
                <c:pt idx="1187">
                  <c:v>2.2904807336234075E-2</c:v>
                </c:pt>
                <c:pt idx="1188">
                  <c:v>2.2909422802506473E-2</c:v>
                </c:pt>
                <c:pt idx="1189">
                  <c:v>2.2913998480642215E-2</c:v>
                </c:pt>
                <c:pt idx="1190">
                  <c:v>2.2918531996212903E-2</c:v>
                </c:pt>
                <c:pt idx="1191">
                  <c:v>2.2922614893763793E-2</c:v>
                </c:pt>
                <c:pt idx="1192">
                  <c:v>2.2927691313016751E-2</c:v>
                </c:pt>
                <c:pt idx="1193">
                  <c:v>2.2931462083222165E-2</c:v>
                </c:pt>
                <c:pt idx="1194">
                  <c:v>2.2936441051126799E-2</c:v>
                </c:pt>
                <c:pt idx="1195">
                  <c:v>2.2943855079268521E-2</c:v>
                </c:pt>
                <c:pt idx="1196">
                  <c:v>2.294811503825045E-2</c:v>
                </c:pt>
                <c:pt idx="1197">
                  <c:v>2.2952332354097299E-2</c:v>
                </c:pt>
                <c:pt idx="1198">
                  <c:v>2.2956507026760616E-2</c:v>
                </c:pt>
                <c:pt idx="1199">
                  <c:v>2.2957569282445967E-2</c:v>
                </c:pt>
                <c:pt idx="1200">
                  <c:v>2.2964728442340453E-2</c:v>
                </c:pt>
                <c:pt idx="1201">
                  <c:v>2.296877518515766E-2</c:v>
                </c:pt>
                <c:pt idx="1202">
                  <c:v>2.2972779284602396E-2</c:v>
                </c:pt>
                <c:pt idx="1203">
                  <c:v>2.2976740740621376E-2</c:v>
                </c:pt>
                <c:pt idx="1204">
                  <c:v>2.2977631632227435E-2</c:v>
                </c:pt>
                <c:pt idx="1205">
                  <c:v>2.2981516195927476E-2</c:v>
                </c:pt>
                <c:pt idx="1206">
                  <c:v>2.2985358124105737E-2</c:v>
                </c:pt>
                <c:pt idx="1207">
                  <c:v>2.2989157416727579E-2</c:v>
                </c:pt>
                <c:pt idx="1208">
                  <c:v>2.2995908367765047E-2</c:v>
                </c:pt>
                <c:pt idx="1209">
                  <c:v>2.2999613962284764E-2</c:v>
                </c:pt>
                <c:pt idx="1210">
                  <c:v>2.3003276913073509E-2</c:v>
                </c:pt>
                <c:pt idx="1211">
                  <c:v>2.3006897220077992E-2</c:v>
                </c:pt>
                <c:pt idx="1212">
                  <c:v>2.3007514345064983E-2</c:v>
                </c:pt>
                <c:pt idx="1213">
                  <c:v>2.3011057823500991E-2</c:v>
                </c:pt>
                <c:pt idx="1214">
                  <c:v>2.3014558666111462E-2</c:v>
                </c:pt>
                <c:pt idx="1215">
                  <c:v>2.3018016872851099E-2</c:v>
                </c:pt>
                <c:pt idx="1216">
                  <c:v>2.3021432443685264E-2</c:v>
                </c:pt>
                <c:pt idx="1217">
                  <c:v>2.3028695804003796E-2</c:v>
                </c:pt>
                <c:pt idx="1218">
                  <c:v>2.3031045339773376E-2</c:v>
                </c:pt>
                <c:pt idx="1219">
                  <c:v>2.3034324495055231E-2</c:v>
                </c:pt>
                <c:pt idx="1220">
                  <c:v>2.3038884737245913E-2</c:v>
                </c:pt>
                <c:pt idx="1221">
                  <c:v>2.3039738685146208E-2</c:v>
                </c:pt>
                <c:pt idx="1222">
                  <c:v>2.3043394898535352E-2</c:v>
                </c:pt>
                <c:pt idx="1223">
                  <c:v>2.3046500232410394E-2</c:v>
                </c:pt>
                <c:pt idx="1224">
                  <c:v>2.3049562924687683E-2</c:v>
                </c:pt>
                <c:pt idx="1225">
                  <c:v>2.3049733565119034E-2</c:v>
                </c:pt>
                <c:pt idx="1226">
                  <c:v>2.305177212635964E-2</c:v>
                </c:pt>
                <c:pt idx="1227">
                  <c:v>2.3054718322917785E-2</c:v>
                </c:pt>
                <c:pt idx="1228">
                  <c:v>2.3057621888571411E-2</c:v>
                </c:pt>
                <c:pt idx="1229">
                  <c:v>2.3060482823294821E-2</c:v>
                </c:pt>
                <c:pt idx="1230">
                  <c:v>2.306704360298506E-2</c:v>
                </c:pt>
                <c:pt idx="1231">
                  <c:v>2.3070739969715186E-2</c:v>
                </c:pt>
                <c:pt idx="1232">
                  <c:v>2.3072529361482519E-2</c:v>
                </c:pt>
                <c:pt idx="1233">
                  <c:v>2.3075208277911208E-2</c:v>
                </c:pt>
                <c:pt idx="1234">
                  <c:v>2.3077844552419902E-2</c:v>
                </c:pt>
                <c:pt idx="1235">
                  <c:v>2.3080438184978624E-2</c:v>
                </c:pt>
                <c:pt idx="1236">
                  <c:v>2.30829891755574E-2</c:v>
                </c:pt>
                <c:pt idx="1237">
                  <c:v>2.3085497524131249E-2</c:v>
                </c:pt>
                <c:pt idx="1238">
                  <c:v>2.3088311993473831E-2</c:v>
                </c:pt>
                <c:pt idx="1239">
                  <c:v>2.3090386295139265E-2</c:v>
                </c:pt>
                <c:pt idx="1240">
                  <c:v>2.3092766717515978E-2</c:v>
                </c:pt>
                <c:pt idx="1241">
                  <c:v>2.3094531835380027E-2</c:v>
                </c:pt>
                <c:pt idx="1242">
                  <c:v>2.3097399635892413E-2</c:v>
                </c:pt>
                <c:pt idx="1243">
                  <c:v>2.309965213183468E-2</c:v>
                </c:pt>
                <c:pt idx="1244">
                  <c:v>2.3101861985582173E-2</c:v>
                </c:pt>
                <c:pt idx="1245">
                  <c:v>2.3104029197107412E-2</c:v>
                </c:pt>
                <c:pt idx="1246">
                  <c:v>2.310615376638292E-2</c:v>
                </c:pt>
                <c:pt idx="1247">
                  <c:v>2.3108235693388712E-2</c:v>
                </c:pt>
                <c:pt idx="1248">
                  <c:v>2.311027497809981E-2</c:v>
                </c:pt>
                <c:pt idx="1249">
                  <c:v>2.311227162049373E-2</c:v>
                </c:pt>
                <c:pt idx="1250">
                  <c:v>2.311422562054799E-2</c:v>
                </c:pt>
                <c:pt idx="1251">
                  <c:v>2.3113512887640297E-2</c:v>
                </c:pt>
                <c:pt idx="1252">
                  <c:v>2.3118005693545107E-2</c:v>
                </c:pt>
                <c:pt idx="1253">
                  <c:v>2.3119831766450494E-2</c:v>
                </c:pt>
                <c:pt idx="1254">
                  <c:v>2.3121615196926293E-2</c:v>
                </c:pt>
                <c:pt idx="1255">
                  <c:v>2.3123355984952521E-2</c:v>
                </c:pt>
                <c:pt idx="1256">
                  <c:v>2.3125054130516687E-2</c:v>
                </c:pt>
                <c:pt idx="1257">
                  <c:v>2.3126709633593812E-2</c:v>
                </c:pt>
                <c:pt idx="1258">
                  <c:v>2.3128322494166409E-2</c:v>
                </c:pt>
                <c:pt idx="1259">
                  <c:v>2.3129892712219491E-2</c:v>
                </c:pt>
                <c:pt idx="1260">
                  <c:v>2.3131420287728077E-2</c:v>
                </c:pt>
                <c:pt idx="1261">
                  <c:v>2.3132905220682176E-2</c:v>
                </c:pt>
                <c:pt idx="1262">
                  <c:v>2.3134347511061804E-2</c:v>
                </c:pt>
                <c:pt idx="1263">
                  <c:v>2.3135747158846975E-2</c:v>
                </c:pt>
                <c:pt idx="1264">
                  <c:v>2.313459480418106E-2</c:v>
                </c:pt>
                <c:pt idx="1265">
                  <c:v>2.3138418526586491E-2</c:v>
                </c:pt>
                <c:pt idx="1266">
                  <c:v>2.3139690246510858E-2</c:v>
                </c:pt>
                <c:pt idx="1267">
                  <c:v>2.3140919323780818E-2</c:v>
                </c:pt>
                <c:pt idx="1268">
                  <c:v>2.3142105758386378E-2</c:v>
                </c:pt>
                <c:pt idx="1269">
                  <c:v>2.314324955031255E-2</c:v>
                </c:pt>
                <c:pt idx="1270">
                  <c:v>2.3144350699544347E-2</c:v>
                </c:pt>
                <c:pt idx="1271">
                  <c:v>2.3145409206074274E-2</c:v>
                </c:pt>
                <c:pt idx="1272">
                  <c:v>2.3146314269802994E-2</c:v>
                </c:pt>
                <c:pt idx="1273">
                  <c:v>2.3147127520828228E-2</c:v>
                </c:pt>
                <c:pt idx="1274">
                  <c:v>2.3147652284095904E-2</c:v>
                </c:pt>
                <c:pt idx="1275">
                  <c:v>2.3148537116937741E-2</c:v>
                </c:pt>
                <c:pt idx="1276">
                  <c:v>2.3149379309764188E-2</c:v>
                </c:pt>
                <c:pt idx="1277">
                  <c:v>2.3147786149092044E-2</c:v>
                </c:pt>
                <c:pt idx="1278">
                  <c:v>2.3150935775301286E-2</c:v>
                </c:pt>
                <c:pt idx="1279">
                  <c:v>2.315165004800163E-2</c:v>
                </c:pt>
                <c:pt idx="1280">
                  <c:v>2.3152321680642744E-2</c:v>
                </c:pt>
                <c:pt idx="1281">
                  <c:v>2.3154520546157673E-2</c:v>
                </c:pt>
                <c:pt idx="1282">
                  <c:v>2.3153537025726669E-2</c:v>
                </c:pt>
                <c:pt idx="1283">
                  <c:v>2.3154080738154011E-2</c:v>
                </c:pt>
                <c:pt idx="1284">
                  <c:v>2.3154581810496337E-2</c:v>
                </c:pt>
                <c:pt idx="1285">
                  <c:v>2.3155283059506166E-2</c:v>
                </c:pt>
                <c:pt idx="1286">
                  <c:v>2.3155456034910489E-2</c:v>
                </c:pt>
                <c:pt idx="1287">
                  <c:v>2.3155829186969418E-2</c:v>
                </c:pt>
                <c:pt idx="1288">
                  <c:v>2.3156923646657779E-2</c:v>
                </c:pt>
                <c:pt idx="1289">
                  <c:v>2.3156447570775514E-2</c:v>
                </c:pt>
                <c:pt idx="1290">
                  <c:v>2.3156692802514946E-2</c:v>
                </c:pt>
                <c:pt idx="1291">
                  <c:v>2.3156969166027667E-2</c:v>
                </c:pt>
                <c:pt idx="1292">
                  <c:v>2.3157055345651104E-2</c:v>
                </c:pt>
                <c:pt idx="1293">
                  <c:v>2.315717265704783E-2</c:v>
                </c:pt>
                <c:pt idx="1294">
                  <c:v>2.3157247328320866E-2</c:v>
                </c:pt>
                <c:pt idx="1295">
                  <c:v>2.3157279359480525E-2</c:v>
                </c:pt>
                <c:pt idx="1296">
                  <c:v>2.3157268750519072E-2</c:v>
                </c:pt>
                <c:pt idx="1297">
                  <c:v>2.3157215501436512E-2</c:v>
                </c:pt>
                <c:pt idx="1298">
                  <c:v>2.3156332962699366E-2</c:v>
                </c:pt>
                <c:pt idx="1299">
                  <c:v>2.3156981082920945E-2</c:v>
                </c:pt>
                <c:pt idx="1300">
                  <c:v>2.3156799913485362E-2</c:v>
                </c:pt>
                <c:pt idx="1301">
                  <c:v>2.3156576103938981E-2</c:v>
                </c:pt>
                <c:pt idx="1302">
                  <c:v>2.3156309654281806E-2</c:v>
                </c:pt>
                <c:pt idx="1303">
                  <c:v>2.3156718813247545E-2</c:v>
                </c:pt>
                <c:pt idx="1304">
                  <c:v>2.3155648834640219E-2</c:v>
                </c:pt>
                <c:pt idx="1305">
                  <c:v>2.3155254464666122E-2</c:v>
                </c:pt>
                <c:pt idx="1306">
                  <c:v>2.315481745459412E-2</c:v>
                </c:pt>
                <c:pt idx="1307">
                  <c:v>2.3154337804431952E-2</c:v>
                </c:pt>
                <c:pt idx="1308">
                  <c:v>2.3153815514182191E-2</c:v>
                </c:pt>
                <c:pt idx="1309">
                  <c:v>2.315325058385E-2</c:v>
                </c:pt>
                <c:pt idx="1310">
                  <c:v>2.315264301344569E-2</c:v>
                </c:pt>
                <c:pt idx="1311">
                  <c:v>2.3151992802969264E-2</c:v>
                </c:pt>
                <c:pt idx="1312">
                  <c:v>2.315129995243103E-2</c:v>
                </c:pt>
                <c:pt idx="1313">
                  <c:v>2.3150564461843888E-2</c:v>
                </c:pt>
                <c:pt idx="1314">
                  <c:v>2.3149786331207831E-2</c:v>
                </c:pt>
                <c:pt idx="1315">
                  <c:v>2.3148965560535761E-2</c:v>
                </c:pt>
                <c:pt idx="1316">
                  <c:v>2.3148780294210414E-2</c:v>
                </c:pt>
                <c:pt idx="1317">
                  <c:v>2.3147196099117081E-2</c:v>
                </c:pt>
                <c:pt idx="1318">
                  <c:v>2.3146247408388526E-2</c:v>
                </c:pt>
                <c:pt idx="1319">
                  <c:v>2.3145256077667788E-2</c:v>
                </c:pt>
                <c:pt idx="1320">
                  <c:v>2.314422210695229E-2</c:v>
                </c:pt>
                <c:pt idx="1321">
                  <c:v>2.3143145496267815E-2</c:v>
                </c:pt>
                <c:pt idx="1322">
                  <c:v>2.3142026245614365E-2</c:v>
                </c:pt>
                <c:pt idx="1323">
                  <c:v>2.3140864355009991E-2</c:v>
                </c:pt>
                <c:pt idx="1324">
                  <c:v>2.3139130544054542E-2</c:v>
                </c:pt>
                <c:pt idx="1325">
                  <c:v>2.3137865099337785E-2</c:v>
                </c:pt>
                <c:pt idx="1326">
                  <c:v>2.313655701471394E-2</c:v>
                </c:pt>
                <c:pt idx="1327">
                  <c:v>2.3135790393343684E-2</c:v>
                </c:pt>
                <c:pt idx="1328">
                  <c:v>2.3134415303185815E-2</c:v>
                </c:pt>
                <c:pt idx="1329">
                  <c:v>2.3132997573156958E-2</c:v>
                </c:pt>
                <c:pt idx="1330">
                  <c:v>2.3129632256602774E-2</c:v>
                </c:pt>
                <c:pt idx="1331">
                  <c:v>2.3128138671635639E-2</c:v>
                </c:pt>
                <c:pt idx="1332">
                  <c:v>2.3126602455035998E-2</c:v>
                </c:pt>
                <c:pt idx="1333">
                  <c:v>2.3125023606818118E-2</c:v>
                </c:pt>
                <c:pt idx="1334">
                  <c:v>2.3125269325558955E-2</c:v>
                </c:pt>
                <c:pt idx="1335">
                  <c:v>2.3123595756665165E-2</c:v>
                </c:pt>
                <c:pt idx="1336">
                  <c:v>2.3122495090829032E-2</c:v>
                </c:pt>
                <c:pt idx="1337">
                  <c:v>2.3120120699651407E-2</c:v>
                </c:pt>
                <c:pt idx="1338">
                  <c:v>2.3118319211570117E-2</c:v>
                </c:pt>
                <c:pt idx="1339">
                  <c:v>2.3116475083798337E-2</c:v>
                </c:pt>
                <c:pt idx="1340">
                  <c:v>2.3112889662249003E-2</c:v>
                </c:pt>
                <c:pt idx="1341">
                  <c:v>2.3112658909260675E-2</c:v>
                </c:pt>
                <c:pt idx="1342">
                  <c:v>2.3111283412018679E-2</c:v>
                </c:pt>
                <c:pt idx="1343">
                  <c:v>2.3109265550608216E-2</c:v>
                </c:pt>
                <c:pt idx="1344">
                  <c:v>2.3106614850293812E-2</c:v>
                </c:pt>
                <c:pt idx="1345">
                  <c:v>2.3104514884817462E-2</c:v>
                </c:pt>
                <c:pt idx="1346">
                  <c:v>2.3101440967593475E-2</c:v>
                </c:pt>
                <c:pt idx="1347">
                  <c:v>2.3100187035267759E-2</c:v>
                </c:pt>
                <c:pt idx="1348">
                  <c:v>2.3097959151245979E-2</c:v>
                </c:pt>
                <c:pt idx="1349">
                  <c:v>2.3095688627755465E-2</c:v>
                </c:pt>
                <c:pt idx="1350">
                  <c:v>2.3091801073216622E-2</c:v>
                </c:pt>
                <c:pt idx="1351">
                  <c:v>2.3091019662473972E-2</c:v>
                </c:pt>
                <c:pt idx="1352">
                  <c:v>2.3088621220731985E-2</c:v>
                </c:pt>
                <c:pt idx="1353">
                  <c:v>2.3086180139626992E-2</c:v>
                </c:pt>
                <c:pt idx="1354">
                  <c:v>2.3083696419184771E-2</c:v>
                </c:pt>
                <c:pt idx="1355">
                  <c:v>2.3082279899987155E-2</c:v>
                </c:pt>
                <c:pt idx="1356">
                  <c:v>2.3078601060394392E-2</c:v>
                </c:pt>
                <c:pt idx="1357">
                  <c:v>2.3075989422105536E-2</c:v>
                </c:pt>
                <c:pt idx="1358">
                  <c:v>2.3073335144590337E-2</c:v>
                </c:pt>
                <c:pt idx="1359">
                  <c:v>2.3070638227879737E-2</c:v>
                </c:pt>
                <c:pt idx="1360">
                  <c:v>2.3067898671999525E-2</c:v>
                </c:pt>
                <c:pt idx="1361">
                  <c:v>2.3065116476983217E-2</c:v>
                </c:pt>
                <c:pt idx="1362">
                  <c:v>2.3062291642861762E-2</c:v>
                </c:pt>
                <c:pt idx="1363">
                  <c:v>2.3059424169663521E-2</c:v>
                </c:pt>
                <c:pt idx="1364">
                  <c:v>2.3056514057424593E-2</c:v>
                </c:pt>
                <c:pt idx="1365">
                  <c:v>2.3053561306170766E-2</c:v>
                </c:pt>
                <c:pt idx="1366">
                  <c:v>2.3050565915940718E-2</c:v>
                </c:pt>
                <c:pt idx="1367">
                  <c:v>2.3047527886765395E-2</c:v>
                </c:pt>
                <c:pt idx="1368">
                  <c:v>2.3044447218675733E-2</c:v>
                </c:pt>
                <c:pt idx="1369">
                  <c:v>2.304132391170784E-2</c:v>
                </c:pt>
                <c:pt idx="1370">
                  <c:v>2.3038157965895232E-2</c:v>
                </c:pt>
                <c:pt idx="1371">
                  <c:v>2.3034949381268852E-2</c:v>
                </c:pt>
                <c:pt idx="1372">
                  <c:v>2.3032198274572369E-2</c:v>
                </c:pt>
                <c:pt idx="1373">
                  <c:v>2.3028404295734661E-2</c:v>
                </c:pt>
                <c:pt idx="1374">
                  <c:v>2.3025067794896464E-2</c:v>
                </c:pt>
                <c:pt idx="1375">
                  <c:v>2.3021688655391479E-2</c:v>
                </c:pt>
                <c:pt idx="1376">
                  <c:v>2.3018266877260961E-2</c:v>
                </c:pt>
                <c:pt idx="1377">
                  <c:v>2.3015286268684154E-2</c:v>
                </c:pt>
                <c:pt idx="1378">
                  <c:v>2.300977932895807E-2</c:v>
                </c:pt>
                <c:pt idx="1379">
                  <c:v>2.3007745711464314E-2</c:v>
                </c:pt>
                <c:pt idx="1380">
                  <c:v>2.3004153379197818E-2</c:v>
                </c:pt>
                <c:pt idx="1381">
                  <c:v>2.3000518408496606E-2</c:v>
                </c:pt>
                <c:pt idx="1382">
                  <c:v>2.2995436745322388E-2</c:v>
                </c:pt>
                <c:pt idx="1383">
                  <c:v>2.299172634504679E-2</c:v>
                </c:pt>
                <c:pt idx="1384">
                  <c:v>2.2987973314494741E-2</c:v>
                </c:pt>
                <c:pt idx="1385">
                  <c:v>2.2984177653703357E-2</c:v>
                </c:pt>
                <c:pt idx="1386">
                  <c:v>2.2981703979854464E-2</c:v>
                </c:pt>
                <c:pt idx="1387">
                  <c:v>2.2978264169103146E-2</c:v>
                </c:pt>
                <c:pt idx="1388">
                  <c:v>2.2973879740783631E-2</c:v>
                </c:pt>
                <c:pt idx="1389">
                  <c:v>2.2969903664071884E-2</c:v>
                </c:pt>
                <c:pt idx="1390">
                  <c:v>2.2964559897455303E-2</c:v>
                </c:pt>
                <c:pt idx="1391">
                  <c:v>2.2959047485387352E-2</c:v>
                </c:pt>
                <c:pt idx="1392">
                  <c:v>2.29577196057522E-2</c:v>
                </c:pt>
                <c:pt idx="1393">
                  <c:v>2.2953572977070485E-2</c:v>
                </c:pt>
                <c:pt idx="1394">
                  <c:v>2.2950239128175006E-2</c:v>
                </c:pt>
                <c:pt idx="1395">
                  <c:v>2.2945151806109926E-2</c:v>
                </c:pt>
                <c:pt idx="1396">
                  <c:v>2.2940877263926487E-2</c:v>
                </c:pt>
                <c:pt idx="1397">
                  <c:v>2.2934696811673282E-2</c:v>
                </c:pt>
                <c:pt idx="1398">
                  <c:v>2.2932200266385361E-2</c:v>
                </c:pt>
                <c:pt idx="1399">
                  <c:v>2.2927797811120507E-2</c:v>
                </c:pt>
                <c:pt idx="1400">
                  <c:v>2.2923352718261548E-2</c:v>
                </c:pt>
                <c:pt idx="1401">
                  <c:v>2.2918864987854906E-2</c:v>
                </c:pt>
                <c:pt idx="1402">
                  <c:v>2.2911979848756481E-2</c:v>
                </c:pt>
                <c:pt idx="1403">
                  <c:v>2.2909761614597113E-2</c:v>
                </c:pt>
                <c:pt idx="1404">
                  <c:v>2.2905145971846529E-2</c:v>
                </c:pt>
                <c:pt idx="1405">
                  <c:v>2.2900487691746806E-2</c:v>
                </c:pt>
                <c:pt idx="1406">
                  <c:v>2.2895786774352101E-2</c:v>
                </c:pt>
                <c:pt idx="1407">
                  <c:v>2.2891043219713983E-2</c:v>
                </c:pt>
                <c:pt idx="1408">
                  <c:v>2.2886257027878863E-2</c:v>
                </c:pt>
                <c:pt idx="1409">
                  <c:v>2.2881428198908631E-2</c:v>
                </c:pt>
                <c:pt idx="1410">
                  <c:v>2.2876556732847126E-2</c:v>
                </c:pt>
                <c:pt idx="1411">
                  <c:v>2.2871642629756227E-2</c:v>
                </c:pt>
                <c:pt idx="1412">
                  <c:v>2.286668588968235E-2</c:v>
                </c:pt>
                <c:pt idx="1413">
                  <c:v>2.2861686512687385E-2</c:v>
                </c:pt>
                <c:pt idx="1414">
                  <c:v>2.2856644498822899E-2</c:v>
                </c:pt>
                <c:pt idx="1415">
                  <c:v>2.2851559848140468E-2</c:v>
                </c:pt>
                <c:pt idx="1416">
                  <c:v>2.2846786870782121E-2</c:v>
                </c:pt>
                <c:pt idx="1417">
                  <c:v>2.2841262636561572E-2</c:v>
                </c:pt>
                <c:pt idx="1418">
                  <c:v>2.2836050075775983E-2</c:v>
                </c:pt>
                <c:pt idx="1419">
                  <c:v>2.2830794878401943E-2</c:v>
                </c:pt>
                <c:pt idx="1420">
                  <c:v>2.2825497044498759E-2</c:v>
                </c:pt>
                <c:pt idx="1421">
                  <c:v>2.2820156574120579E-2</c:v>
                </c:pt>
                <c:pt idx="1422">
                  <c:v>2.2814773467334442E-2</c:v>
                </c:pt>
                <c:pt idx="1423">
                  <c:v>2.2809347724191929E-2</c:v>
                </c:pt>
                <c:pt idx="1424">
                  <c:v>2.280453353408066E-2</c:v>
                </c:pt>
                <c:pt idx="1425">
                  <c:v>2.2798692184181346E-2</c:v>
                </c:pt>
                <c:pt idx="1426">
                  <c:v>2.2792814677237223E-2</c:v>
                </c:pt>
                <c:pt idx="1427">
                  <c:v>2.278721838927773E-2</c:v>
                </c:pt>
                <c:pt idx="1428">
                  <c:v>2.2781579465268705E-2</c:v>
                </c:pt>
                <c:pt idx="1429">
                  <c:v>2.2776518097046183E-2</c:v>
                </c:pt>
                <c:pt idx="1430">
                  <c:v>2.2770173709344456E-2</c:v>
                </c:pt>
                <c:pt idx="1431">
                  <c:v>2.2764406877558162E-2</c:v>
                </c:pt>
                <c:pt idx="1432">
                  <c:v>2.2758597409967302E-2</c:v>
                </c:pt>
                <c:pt idx="1433">
                  <c:v>2.2752745306644076E-2</c:v>
                </c:pt>
                <c:pt idx="1434">
                  <c:v>2.2745969120584623E-2</c:v>
                </c:pt>
                <c:pt idx="1435">
                  <c:v>2.2740042004626586E-2</c:v>
                </c:pt>
                <c:pt idx="1436">
                  <c:v>2.2734072260884388E-2</c:v>
                </c:pt>
                <c:pt idx="1437">
                  <c:v>2.2729193457370345E-2</c:v>
                </c:pt>
                <c:pt idx="1438">
                  <c:v>2.272284525623687E-2</c:v>
                </c:pt>
                <c:pt idx="1439">
                  <c:v>2.2716737339857747E-2</c:v>
                </c:pt>
                <c:pt idx="1440">
                  <c:v>2.2710586788207823E-2</c:v>
                </c:pt>
                <c:pt idx="1441">
                  <c:v>2.2700835495110958E-2</c:v>
                </c:pt>
                <c:pt idx="1442">
                  <c:v>2.2698157779343132E-2</c:v>
                </c:pt>
                <c:pt idx="1443">
                  <c:v>2.2691879322270184E-2</c:v>
                </c:pt>
                <c:pt idx="1444">
                  <c:v>2.2685817099532268E-2</c:v>
                </c:pt>
                <c:pt idx="1445">
                  <c:v>2.2679194605965753E-2</c:v>
                </c:pt>
                <c:pt idx="1446">
                  <c:v>2.2672791948098639E-2</c:v>
                </c:pt>
                <c:pt idx="1447">
                  <c:v>2.2663592691776775E-2</c:v>
                </c:pt>
                <c:pt idx="1448">
                  <c:v>2.2659900138264785E-2</c:v>
                </c:pt>
                <c:pt idx="1449">
                  <c:v>2.2653426655121704E-2</c:v>
                </c:pt>
                <c:pt idx="1450">
                  <c:v>2.2646943926618018E-2</c:v>
                </c:pt>
                <c:pt idx="1451">
                  <c:v>2.2640453258491178E-2</c:v>
                </c:pt>
                <c:pt idx="1452">
                  <c:v>2.2633954650761814E-2</c:v>
                </c:pt>
                <c:pt idx="1453">
                  <c:v>2.2627448103437663E-2</c:v>
                </c:pt>
                <c:pt idx="1454">
                  <c:v>2.2617895420309786E-2</c:v>
                </c:pt>
                <c:pt idx="1455">
                  <c:v>2.2614654391955591E-2</c:v>
                </c:pt>
                <c:pt idx="1456">
                  <c:v>2.260788082404604E-2</c:v>
                </c:pt>
                <c:pt idx="1457">
                  <c:v>2.2601342518479402E-2</c:v>
                </c:pt>
                <c:pt idx="1458">
                  <c:v>2.2594796273392753E-2</c:v>
                </c:pt>
                <c:pt idx="1459">
                  <c:v>2.2588242088793831E-2</c:v>
                </c:pt>
                <c:pt idx="1460">
                  <c:v>2.2581679964692951E-2</c:v>
                </c:pt>
                <c:pt idx="1461">
                  <c:v>2.257510990110816E-2</c:v>
                </c:pt>
                <c:pt idx="1462">
                  <c:v>2.2568531898049776E-2</c:v>
                </c:pt>
                <c:pt idx="1463">
                  <c:v>2.256194595553327E-2</c:v>
                </c:pt>
                <c:pt idx="1464">
                  <c:v>2.2554648383899929E-2</c:v>
                </c:pt>
                <c:pt idx="1465">
                  <c:v>2.2548750252177459E-2</c:v>
                </c:pt>
                <c:pt idx="1466">
                  <c:v>2.254214049136136E-2</c:v>
                </c:pt>
                <c:pt idx="1467">
                  <c:v>2.2535522791146446E-2</c:v>
                </c:pt>
                <c:pt idx="1468">
                  <c:v>2.2529358012746543E-2</c:v>
                </c:pt>
                <c:pt idx="1469">
                  <c:v>2.2522263572548534E-2</c:v>
                </c:pt>
                <c:pt idx="1470">
                  <c:v>2.2515622054199061E-2</c:v>
                </c:pt>
                <c:pt idx="1471">
                  <c:v>2.2508972596497184E-2</c:v>
                </c:pt>
                <c:pt idx="1472">
                  <c:v>2.2502315199458375E-2</c:v>
                </c:pt>
                <c:pt idx="1473">
                  <c:v>2.2495649863095532E-2</c:v>
                </c:pt>
                <c:pt idx="1474">
                  <c:v>2.2488976587421546E-2</c:v>
                </c:pt>
                <c:pt idx="1475">
                  <c:v>2.2482295372454466E-2</c:v>
                </c:pt>
                <c:pt idx="1476">
                  <c:v>2.2476273787632728E-2</c:v>
                </c:pt>
                <c:pt idx="1477">
                  <c:v>2.2468243748210753E-2</c:v>
                </c:pt>
                <c:pt idx="1478">
                  <c:v>2.2462204091913272E-2</c:v>
                </c:pt>
                <c:pt idx="1479">
                  <c:v>2.2455491119897589E-2</c:v>
                </c:pt>
                <c:pt idx="1480">
                  <c:v>2.2448770208655853E-2</c:v>
                </c:pt>
                <c:pt idx="1481">
                  <c:v>2.2437664041566989E-2</c:v>
                </c:pt>
                <c:pt idx="1482">
                  <c:v>2.2432414942613717E-2</c:v>
                </c:pt>
                <c:pt idx="1483">
                  <c:v>2.2425666811264525E-2</c:v>
                </c:pt>
                <c:pt idx="1484">
                  <c:v>2.2418910740753743E-2</c:v>
                </c:pt>
                <c:pt idx="1485">
                  <c:v>2.2412146731089114E-2</c:v>
                </c:pt>
                <c:pt idx="1486">
                  <c:v>2.2404949886650184E-2</c:v>
                </c:pt>
                <c:pt idx="1487">
                  <c:v>2.2398171975705962E-2</c:v>
                </c:pt>
                <c:pt idx="1488">
                  <c:v>2.2391386126377994E-2</c:v>
                </c:pt>
                <c:pt idx="1489">
                  <c:v>2.2384592338685578E-2</c:v>
                </c:pt>
                <c:pt idx="1490">
                  <c:v>2.2378207595961024E-2</c:v>
                </c:pt>
                <c:pt idx="1491">
                  <c:v>2.2371395951669829E-2</c:v>
                </c:pt>
                <c:pt idx="1492">
                  <c:v>2.2364576368325347E-2</c:v>
                </c:pt>
                <c:pt idx="1493">
                  <c:v>2.2357748845937893E-2</c:v>
                </c:pt>
                <c:pt idx="1494">
                  <c:v>2.2350708897826976E-2</c:v>
                </c:pt>
                <c:pt idx="1495">
                  <c:v>2.2343866488840902E-2</c:v>
                </c:pt>
                <c:pt idx="1496">
                  <c:v>2.2335057440917794E-2</c:v>
                </c:pt>
                <c:pt idx="1497">
                  <c:v>2.2330157854962174E-2</c:v>
                </c:pt>
                <c:pt idx="1498">
                  <c:v>2.2323291630101494E-2</c:v>
                </c:pt>
                <c:pt idx="1499">
                  <c:v>2.2315634179272886E-2</c:v>
                </c:pt>
                <c:pt idx="1500">
                  <c:v>2.2308749949854104E-2</c:v>
                </c:pt>
                <c:pt idx="1501">
                  <c:v>2.2302449453445106E-2</c:v>
                </c:pt>
                <c:pt idx="1502">
                  <c:v>2.2294957674256363E-2</c:v>
                </c:pt>
                <c:pt idx="1503">
                  <c:v>2.2286866849658971E-2</c:v>
                </c:pt>
                <c:pt idx="1504">
                  <c:v>2.2280939229072594E-2</c:v>
                </c:pt>
                <c:pt idx="1505">
                  <c:v>2.2274016300245059E-2</c:v>
                </c:pt>
                <c:pt idx="1506">
                  <c:v>2.2266094660972513E-2</c:v>
                </c:pt>
                <c:pt idx="1507">
                  <c:v>2.2259728316179114E-2</c:v>
                </c:pt>
                <c:pt idx="1508">
                  <c:v>2.2252777448993042E-2</c:v>
                </c:pt>
                <c:pt idx="1509">
                  <c:v>2.2245818642283994E-2</c:v>
                </c:pt>
                <c:pt idx="1510">
                  <c:v>2.2238851896068921E-2</c:v>
                </c:pt>
                <c:pt idx="1511">
                  <c:v>2.223131557699709E-2</c:v>
                </c:pt>
                <c:pt idx="1512">
                  <c:v>2.2224894585178845E-2</c:v>
                </c:pt>
                <c:pt idx="1513">
                  <c:v>2.2217904020535334E-2</c:v>
                </c:pt>
                <c:pt idx="1514">
                  <c:v>2.2210905516443932E-2</c:v>
                </c:pt>
                <c:pt idx="1515">
                  <c:v>2.2203899072924024E-2</c:v>
                </c:pt>
                <c:pt idx="1516">
                  <c:v>2.2196338032650864E-2</c:v>
                </c:pt>
                <c:pt idx="1517">
                  <c:v>2.2189318708686123E-2</c:v>
                </c:pt>
                <c:pt idx="1518">
                  <c:v>2.2182291446394053E-2</c:v>
                </c:pt>
                <c:pt idx="1519">
                  <c:v>2.2175256245782649E-2</c:v>
                </c:pt>
                <c:pt idx="1520">
                  <c:v>2.2168747764393423E-2</c:v>
                </c:pt>
                <c:pt idx="1521">
                  <c:v>2.2161693684610094E-2</c:v>
                </c:pt>
                <c:pt idx="1522">
                  <c:v>2.2154631665502418E-2</c:v>
                </c:pt>
                <c:pt idx="1523">
                  <c:v>2.2147561707087347E-2</c:v>
                </c:pt>
                <c:pt idx="1524">
                  <c:v>2.2139961168444522E-2</c:v>
                </c:pt>
                <c:pt idx="1525">
                  <c:v>2.2132878338218198E-2</c:v>
                </c:pt>
                <c:pt idx="1526">
                  <c:v>2.2125787569773792E-2</c:v>
                </c:pt>
                <c:pt idx="1527">
                  <c:v>2.211868886312196E-2</c:v>
                </c:pt>
                <c:pt idx="1528">
                  <c:v>2.2112092825936423E-2</c:v>
                </c:pt>
                <c:pt idx="1529">
                  <c:v>2.2104975231996737E-2</c:v>
                </c:pt>
                <c:pt idx="1530">
                  <c:v>2.2097849698858661E-2</c:v>
                </c:pt>
                <c:pt idx="1531">
                  <c:v>2.2090716226539152E-2</c:v>
                </c:pt>
                <c:pt idx="1532">
                  <c:v>2.2078138098950911E-2</c:v>
                </c:pt>
                <c:pt idx="1533">
                  <c:v>2.2074051636229153E-2</c:v>
                </c:pt>
                <c:pt idx="1534">
                  <c:v>2.2068081113778282E-2</c:v>
                </c:pt>
                <c:pt idx="1535">
                  <c:v>2.2062102945715655E-2</c:v>
                </c:pt>
                <c:pt idx="1536">
                  <c:v>2.2054929777709408E-2</c:v>
                </c:pt>
                <c:pt idx="1537">
                  <c:v>2.2047265198390065E-2</c:v>
                </c:pt>
                <c:pt idx="1538">
                  <c:v>2.2039758424117206E-2</c:v>
                </c:pt>
                <c:pt idx="1539">
                  <c:v>2.2032566473859014E-2</c:v>
                </c:pt>
                <c:pt idx="1540">
                  <c:v>2.2025366586264319E-2</c:v>
                </c:pt>
                <c:pt idx="1541">
                  <c:v>2.2018158761344546E-2</c:v>
                </c:pt>
                <c:pt idx="1542">
                  <c:v>2.2011879990211109E-2</c:v>
                </c:pt>
                <c:pt idx="1543">
                  <c:v>2.2004495307979193E-2</c:v>
                </c:pt>
                <c:pt idx="1544">
                  <c:v>2.1997258627686606E-2</c:v>
                </c:pt>
                <c:pt idx="1545">
                  <c:v>2.1990014008425748E-2</c:v>
                </c:pt>
                <c:pt idx="1546">
                  <c:v>2.1982761450213578E-2</c:v>
                </c:pt>
                <c:pt idx="1547">
                  <c:v>2.1974312250686578E-2</c:v>
                </c:pt>
                <c:pt idx="1548">
                  <c:v>2.1967043690740151E-2</c:v>
                </c:pt>
                <c:pt idx="1549">
                  <c:v>2.1959916011836163E-2</c:v>
                </c:pt>
                <c:pt idx="1550">
                  <c:v>2.1952038787198151E-2</c:v>
                </c:pt>
                <c:pt idx="1551">
                  <c:v>2.194519037958198E-2</c:v>
                </c:pt>
                <c:pt idx="1552">
                  <c:v>2.1936700783612536E-2</c:v>
                </c:pt>
                <c:pt idx="1553">
                  <c:v>2.193058181286317E-2</c:v>
                </c:pt>
                <c:pt idx="1554">
                  <c:v>2.1923265621767718E-2</c:v>
                </c:pt>
                <c:pt idx="1555">
                  <c:v>2.1915941492202384E-2</c:v>
                </c:pt>
                <c:pt idx="1556">
                  <c:v>2.1908609424182157E-2</c:v>
                </c:pt>
                <c:pt idx="1557">
                  <c:v>2.1901269417719527E-2</c:v>
                </c:pt>
                <c:pt idx="1558">
                  <c:v>2.1893921472836975E-2</c:v>
                </c:pt>
                <c:pt idx="1559">
                  <c:v>2.1886565589539497E-2</c:v>
                </c:pt>
                <c:pt idx="1560">
                  <c:v>2.1879201767852074E-2</c:v>
                </c:pt>
                <c:pt idx="1561">
                  <c:v>2.1871830007789694E-2</c:v>
                </c:pt>
                <c:pt idx="1562">
                  <c:v>2.1864450309362349E-2</c:v>
                </c:pt>
                <c:pt idx="1563">
                  <c:v>2.1857062672590022E-2</c:v>
                </c:pt>
                <c:pt idx="1564">
                  <c:v>2.1849667097485204E-2</c:v>
                </c:pt>
                <c:pt idx="1565">
                  <c:v>2.184226358406538E-2</c:v>
                </c:pt>
                <c:pt idx="1566">
                  <c:v>2.1834852132348037E-2</c:v>
                </c:pt>
                <c:pt idx="1567">
                  <c:v>2.1827432742345665E-2</c:v>
                </c:pt>
                <c:pt idx="1568">
                  <c:v>2.1820005414075749E-2</c:v>
                </c:pt>
                <c:pt idx="1569">
                  <c:v>2.1812570147553278E-2</c:v>
                </c:pt>
                <c:pt idx="1570">
                  <c:v>2.1805126942795738E-2</c:v>
                </c:pt>
                <c:pt idx="1571">
                  <c:v>2.1797675799810623E-2</c:v>
                </c:pt>
                <c:pt idx="1572">
                  <c:v>2.1790216718627908E-2</c:v>
                </c:pt>
                <c:pt idx="1573">
                  <c:v>2.1782749699250092E-2</c:v>
                </c:pt>
                <c:pt idx="1574">
                  <c:v>2.1775274741704653E-2</c:v>
                </c:pt>
                <c:pt idx="1575">
                  <c:v>2.1767791845996587E-2</c:v>
                </c:pt>
                <c:pt idx="1576">
                  <c:v>2.1760301012148375E-2</c:v>
                </c:pt>
                <c:pt idx="1577">
                  <c:v>2.1752802240172509E-2</c:v>
                </c:pt>
                <c:pt idx="1578">
                  <c:v>2.1745295530086473E-2</c:v>
                </c:pt>
                <c:pt idx="1579">
                  <c:v>2.1737780881905255E-2</c:v>
                </c:pt>
                <c:pt idx="1580">
                  <c:v>2.1730258295646343E-2</c:v>
                </c:pt>
                <c:pt idx="1581">
                  <c:v>2.1722727771327222E-2</c:v>
                </c:pt>
                <c:pt idx="1582">
                  <c:v>2.1715189308957883E-2</c:v>
                </c:pt>
                <c:pt idx="1583">
                  <c:v>2.1707642908558311E-2</c:v>
                </c:pt>
                <c:pt idx="1584">
                  <c:v>2.169565549129529E-2</c:v>
                </c:pt>
                <c:pt idx="1585">
                  <c:v>2.168808970135494E-2</c:v>
                </c:pt>
                <c:pt idx="1586">
                  <c:v>2.1683762828971973E-2</c:v>
                </c:pt>
                <c:pt idx="1587">
                  <c:v>2.1677377926969943E-2</c:v>
                </c:pt>
                <c:pt idx="1588">
                  <c:v>2.1669791836654018E-2</c:v>
                </c:pt>
                <c:pt idx="1589">
                  <c:v>2.1661872870135886E-2</c:v>
                </c:pt>
                <c:pt idx="1590">
                  <c:v>2.1654166499898469E-2</c:v>
                </c:pt>
                <c:pt idx="1591">
                  <c:v>2.1646560692126306E-2</c:v>
                </c:pt>
                <c:pt idx="1592">
                  <c:v>2.1638946947728499E-2</c:v>
                </c:pt>
                <c:pt idx="1593">
                  <c:v>2.1631325266719324E-2</c:v>
                </c:pt>
                <c:pt idx="1594">
                  <c:v>2.162410859869901E-2</c:v>
                </c:pt>
                <c:pt idx="1595">
                  <c:v>2.1616466943178148E-2</c:v>
                </c:pt>
                <c:pt idx="1596">
                  <c:v>2.1608817349834386E-2</c:v>
                </c:pt>
                <c:pt idx="1597">
                  <c:v>2.1601259744719253E-2</c:v>
                </c:pt>
                <c:pt idx="1598">
                  <c:v>2.1593494349745612E-2</c:v>
                </c:pt>
                <c:pt idx="1599">
                  <c:v>2.1585820943033074E-2</c:v>
                </c:pt>
                <c:pt idx="1600">
                  <c:v>2.1578139598562585E-2</c:v>
                </c:pt>
                <c:pt idx="1601">
                  <c:v>2.157045031635163E-2</c:v>
                </c:pt>
                <c:pt idx="1602">
                  <c:v>2.1562753096415199E-2</c:v>
                </c:pt>
                <c:pt idx="1603">
                  <c:v>2.1555047938768279E-2</c:v>
                </c:pt>
                <c:pt idx="1604">
                  <c:v>2.15474275777915E-2</c:v>
                </c:pt>
                <c:pt idx="1605">
                  <c:v>2.1539613810417912E-2</c:v>
                </c:pt>
                <c:pt idx="1606">
                  <c:v>2.1531884839744442E-2</c:v>
                </c:pt>
                <c:pt idx="1607">
                  <c:v>2.1522952415810859E-2</c:v>
                </c:pt>
                <c:pt idx="1608">
                  <c:v>2.151640308548336E-2</c:v>
                </c:pt>
                <c:pt idx="1609">
                  <c:v>2.1508650301928223E-2</c:v>
                </c:pt>
                <c:pt idx="1610">
                  <c:v>2.1500889580780003E-2</c:v>
                </c:pt>
                <c:pt idx="1611">
                  <c:v>2.149312092205119E-2</c:v>
                </c:pt>
                <c:pt idx="1612">
                  <c:v>2.148534432575927E-2</c:v>
                </c:pt>
                <c:pt idx="1613">
                  <c:v>2.1477559791926726E-2</c:v>
                </c:pt>
                <c:pt idx="1614">
                  <c:v>2.1469767320563549E-2</c:v>
                </c:pt>
                <c:pt idx="1615">
                  <c:v>2.1461966911689723E-2</c:v>
                </c:pt>
                <c:pt idx="1616">
                  <c:v>2.1454158565320236E-2</c:v>
                </c:pt>
                <c:pt idx="1617">
                  <c:v>2.1446342281470077E-2</c:v>
                </c:pt>
                <c:pt idx="1618">
                  <c:v>2.143851806015673E-2</c:v>
                </c:pt>
                <c:pt idx="1619">
                  <c:v>2.1430685901400182E-2</c:v>
                </c:pt>
                <c:pt idx="1620">
                  <c:v>2.142284580521292E-2</c:v>
                </c:pt>
                <c:pt idx="1621">
                  <c:v>2.1414997771609934E-2</c:v>
                </c:pt>
                <c:pt idx="1622">
                  <c:v>2.1407141800613705E-2</c:v>
                </c:pt>
                <c:pt idx="1623">
                  <c:v>2.1399277892234225E-2</c:v>
                </c:pt>
                <c:pt idx="1624">
                  <c:v>2.139118916010194E-2</c:v>
                </c:pt>
                <c:pt idx="1625">
                  <c:v>2.1383526263407948E-2</c:v>
                </c:pt>
                <c:pt idx="1626">
                  <c:v>2.1375638542991127E-2</c:v>
                </c:pt>
                <c:pt idx="1627">
                  <c:v>2.1367742885260999E-2</c:v>
                </c:pt>
                <c:pt idx="1628">
                  <c:v>2.135983929023505E-2</c:v>
                </c:pt>
                <c:pt idx="1629">
                  <c:v>2.1351927757928268E-2</c:v>
                </c:pt>
                <c:pt idx="1630">
                  <c:v>2.1344008288358141E-2</c:v>
                </c:pt>
                <c:pt idx="1631">
                  <c:v>2.1336080881542152E-2</c:v>
                </c:pt>
                <c:pt idx="1632">
                  <c:v>2.1328145537495291E-2</c:v>
                </c:pt>
                <c:pt idx="1633">
                  <c:v>2.1320202256237542E-2</c:v>
                </c:pt>
                <c:pt idx="1634">
                  <c:v>2.1312251037783891E-2</c:v>
                </c:pt>
                <c:pt idx="1635">
                  <c:v>2.1304291882149329E-2</c:v>
                </c:pt>
                <c:pt idx="1636">
                  <c:v>2.129632478935134E-2</c:v>
                </c:pt>
                <c:pt idx="1637">
                  <c:v>2.1288349759412406E-2</c:v>
                </c:pt>
                <c:pt idx="1638">
                  <c:v>2.1279168180542464E-2</c:v>
                </c:pt>
                <c:pt idx="1639">
                  <c:v>2.1272375888156669E-2</c:v>
                </c:pt>
                <c:pt idx="1640">
                  <c:v>2.1264377046882332E-2</c:v>
                </c:pt>
                <c:pt idx="1641">
                  <c:v>2.1256370268527003E-2</c:v>
                </c:pt>
                <c:pt idx="1642">
                  <c:v>2.12481408445012E-2</c:v>
                </c:pt>
                <c:pt idx="1643">
                  <c:v>2.1240122351157607E-2</c:v>
                </c:pt>
                <c:pt idx="1644">
                  <c:v>2.1232095921942053E-2</c:v>
                </c:pt>
                <c:pt idx="1645">
                  <c:v>2.1224061556860248E-2</c:v>
                </c:pt>
                <c:pt idx="1646">
                  <c:v>2.1216217321172459E-2</c:v>
                </c:pt>
                <c:pt idx="1647">
                  <c:v>2.1208211152839693E-2</c:v>
                </c:pt>
                <c:pt idx="1648">
                  <c:v>2.1200100583275705E-2</c:v>
                </c:pt>
                <c:pt idx="1649">
                  <c:v>2.1192030308909426E-2</c:v>
                </c:pt>
                <c:pt idx="1650">
                  <c:v>2.1183816191205906E-2</c:v>
                </c:pt>
                <c:pt idx="1651">
                  <c:v>2.1175865949408512E-2</c:v>
                </c:pt>
                <c:pt idx="1652">
                  <c:v>2.1167771864316343E-2</c:v>
                </c:pt>
                <c:pt idx="1653">
                  <c:v>2.1159669842348017E-2</c:v>
                </c:pt>
                <c:pt idx="1654">
                  <c:v>2.1151600819981908E-2</c:v>
                </c:pt>
                <c:pt idx="1655">
                  <c:v>2.1143441987860334E-2</c:v>
                </c:pt>
                <c:pt idx="1656">
                  <c:v>2.1135316155375949E-2</c:v>
                </c:pt>
                <c:pt idx="1657">
                  <c:v>2.1125982016798963E-2</c:v>
                </c:pt>
                <c:pt idx="1658">
                  <c:v>2.1119040680003531E-2</c:v>
                </c:pt>
                <c:pt idx="1659">
                  <c:v>2.1110891037152968E-2</c:v>
                </c:pt>
                <c:pt idx="1660">
                  <c:v>2.1102733457551148E-2</c:v>
                </c:pt>
                <c:pt idx="1661">
                  <c:v>2.1094567941208064E-2</c:v>
                </c:pt>
                <c:pt idx="1662">
                  <c:v>2.1086394488148696E-2</c:v>
                </c:pt>
                <c:pt idx="1663">
                  <c:v>2.1078117899996706E-2</c:v>
                </c:pt>
                <c:pt idx="1664">
                  <c:v>2.107002377194106E-2</c:v>
                </c:pt>
                <c:pt idx="1665">
                  <c:v>2.1061826508825265E-2</c:v>
                </c:pt>
                <c:pt idx="1666">
                  <c:v>2.1053621309063131E-2</c:v>
                </c:pt>
                <c:pt idx="1667">
                  <c:v>2.1045408172669644E-2</c:v>
                </c:pt>
                <c:pt idx="1668">
                  <c:v>2.1037187099657295E-2</c:v>
                </c:pt>
                <c:pt idx="1669">
                  <c:v>2.1028958090046068E-2</c:v>
                </c:pt>
                <c:pt idx="1670">
                  <c:v>2.1020721143858445E-2</c:v>
                </c:pt>
                <c:pt idx="1671">
                  <c:v>2.1012476261106916E-2</c:v>
                </c:pt>
                <c:pt idx="1672">
                  <c:v>2.1004223441806469E-2</c:v>
                </c:pt>
                <c:pt idx="1673">
                  <c:v>2.0995962685979586E-2</c:v>
                </c:pt>
                <c:pt idx="1674">
                  <c:v>2.0987693993641254E-2</c:v>
                </c:pt>
                <c:pt idx="1675">
                  <c:v>2.0979417364811459E-2</c:v>
                </c:pt>
                <c:pt idx="1676">
                  <c:v>2.0971132799505188E-2</c:v>
                </c:pt>
                <c:pt idx="1677">
                  <c:v>2.0962840297739926E-2</c:v>
                </c:pt>
                <c:pt idx="1678">
                  <c:v>2.0954539859535659E-2</c:v>
                </c:pt>
                <c:pt idx="1679">
                  <c:v>2.0946231484907374E-2</c:v>
                </c:pt>
                <c:pt idx="1680">
                  <c:v>2.0937915173872557E-2</c:v>
                </c:pt>
                <c:pt idx="1681">
                  <c:v>2.0929590926448693E-2</c:v>
                </c:pt>
                <c:pt idx="1682">
                  <c:v>2.0921258742655768E-2</c:v>
                </c:pt>
                <c:pt idx="1683">
                  <c:v>2.0912918622511267E-2</c:v>
                </c:pt>
                <c:pt idx="1684">
                  <c:v>2.0904580081032072E-2</c:v>
                </c:pt>
                <c:pt idx="1685">
                  <c:v>2.0896214573229988E-2</c:v>
                </c:pt>
                <c:pt idx="1686">
                  <c:v>2.0887850644130679E-2</c:v>
                </c:pt>
                <c:pt idx="1687">
                  <c:v>2.0879478778752236E-2</c:v>
                </c:pt>
                <c:pt idx="1688">
                  <c:v>2.0871098977104652E-2</c:v>
                </c:pt>
                <c:pt idx="1689">
                  <c:v>2.0862711239212905E-2</c:v>
                </c:pt>
                <c:pt idx="1690">
                  <c:v>2.0854315565091985E-2</c:v>
                </c:pt>
                <c:pt idx="1691">
                  <c:v>2.0845911954756879E-2</c:v>
                </c:pt>
                <c:pt idx="1692">
                  <c:v>2.0837500408232568E-2</c:v>
                </c:pt>
                <c:pt idx="1693">
                  <c:v>2.082908092553154E-2</c:v>
                </c:pt>
                <c:pt idx="1694">
                  <c:v>2.082065594201183E-2</c:v>
                </c:pt>
                <c:pt idx="1695">
                  <c:v>2.0812223749244355E-2</c:v>
                </c:pt>
                <c:pt idx="1696">
                  <c:v>2.0803783621136222E-2</c:v>
                </c:pt>
                <c:pt idx="1697">
                  <c:v>2.0795335557701206E-2</c:v>
                </c:pt>
                <c:pt idx="1698">
                  <c:v>2.078685923892255E-2</c:v>
                </c:pt>
                <c:pt idx="1699">
                  <c:v>2.0778397370621038E-2</c:v>
                </c:pt>
                <c:pt idx="1700">
                  <c:v>2.0769922335187596E-2</c:v>
                </c:pt>
                <c:pt idx="1701">
                  <c:v>2.0761439363719825E-2</c:v>
                </c:pt>
                <c:pt idx="1702">
                  <c:v>2.0752948456237708E-2</c:v>
                </c:pt>
                <c:pt idx="1703">
                  <c:v>2.0744449612758731E-2</c:v>
                </c:pt>
                <c:pt idx="1704">
                  <c:v>2.0735942833302878E-2</c:v>
                </c:pt>
                <c:pt idx="1705">
                  <c:v>2.0727415762788422E-2</c:v>
                </c:pt>
                <c:pt idx="1706">
                  <c:v>2.0718909785982786E-2</c:v>
                </c:pt>
                <c:pt idx="1707">
                  <c:v>2.0709192268126269E-2</c:v>
                </c:pt>
                <c:pt idx="1708">
                  <c:v>2.0697057692268584E-2</c:v>
                </c:pt>
                <c:pt idx="1709">
                  <c:v>2.0692218053078536E-2</c:v>
                </c:pt>
                <c:pt idx="1710">
                  <c:v>2.0683773877461734E-2</c:v>
                </c:pt>
                <c:pt idx="1711">
                  <c:v>2.067536240109211E-2</c:v>
                </c:pt>
                <c:pt idx="1712">
                  <c:v>2.0666983623907779E-2</c:v>
                </c:pt>
                <c:pt idx="1713">
                  <c:v>2.0658637545828813E-2</c:v>
                </c:pt>
                <c:pt idx="1714">
                  <c:v>2.0646769591316172E-2</c:v>
                </c:pt>
                <c:pt idx="1715">
                  <c:v>2.0642046436639971E-2</c:v>
                </c:pt>
                <c:pt idx="1716">
                  <c:v>2.0633795505553627E-2</c:v>
                </c:pt>
                <c:pt idx="1717">
                  <c:v>2.0625580223215347E-2</c:v>
                </c:pt>
                <c:pt idx="1718">
                  <c:v>2.0617397639634317E-2</c:v>
                </c:pt>
                <c:pt idx="1719">
                  <c:v>2.0609247754751231E-2</c:v>
                </c:pt>
                <c:pt idx="1720">
                  <c:v>2.0601130568486149E-2</c:v>
                </c:pt>
                <c:pt idx="1721">
                  <c:v>2.0593046080779769E-2</c:v>
                </c:pt>
                <c:pt idx="1722">
                  <c:v>2.0584994291557312E-2</c:v>
                </c:pt>
                <c:pt idx="1723">
                  <c:v>2.0576975200751729E-2</c:v>
                </c:pt>
                <c:pt idx="1724">
                  <c:v>2.0568930506459995E-2</c:v>
                </c:pt>
                <c:pt idx="1725">
                  <c:v>2.0561035114128181E-2</c:v>
                </c:pt>
                <c:pt idx="1726">
                  <c:v>2.0553114118178707E-2</c:v>
                </c:pt>
                <c:pt idx="1727">
                  <c:v>2.0545225820375358E-2</c:v>
                </c:pt>
                <c:pt idx="1728">
                  <c:v>2.0537425068009346E-2</c:v>
                </c:pt>
                <c:pt idx="1729">
                  <c:v>2.0529547318954344E-2</c:v>
                </c:pt>
                <c:pt idx="1730">
                  <c:v>2.0521757115205166E-2</c:v>
                </c:pt>
                <c:pt idx="1731">
                  <c:v>2.051399960933652E-2</c:v>
                </c:pt>
                <c:pt idx="1732">
                  <c:v>2.0506274801291677E-2</c:v>
                </c:pt>
                <c:pt idx="1733">
                  <c:v>2.0498582691001018E-2</c:v>
                </c:pt>
                <c:pt idx="1734">
                  <c:v>2.0490923278400075E-2</c:v>
                </c:pt>
                <c:pt idx="1735">
                  <c:v>2.0483296563424385E-2</c:v>
                </c:pt>
                <c:pt idx="1736">
                  <c:v>2.0475830622500905E-2</c:v>
                </c:pt>
                <c:pt idx="1737">
                  <c:v>2.0468009081391663E-2</c:v>
                </c:pt>
                <c:pt idx="1738">
                  <c:v>2.0460612603609339E-2</c:v>
                </c:pt>
                <c:pt idx="1739">
                  <c:v>2.0453116678497751E-2</c:v>
                </c:pt>
                <c:pt idx="1740">
                  <c:v>2.0445653450691669E-2</c:v>
                </c:pt>
                <c:pt idx="1741">
                  <c:v>2.0433042457202306E-2</c:v>
                </c:pt>
                <c:pt idx="1742">
                  <c:v>2.0427664596048369E-2</c:v>
                </c:pt>
                <c:pt idx="1743">
                  <c:v>2.0420313472818231E-2</c:v>
                </c:pt>
                <c:pt idx="1744">
                  <c:v>2.0412995046615114E-2</c:v>
                </c:pt>
                <c:pt idx="1745">
                  <c:v>2.0405709317384869E-2</c:v>
                </c:pt>
                <c:pt idx="1746">
                  <c:v>2.0398269945302819E-2</c:v>
                </c:pt>
                <c:pt idx="1747">
                  <c:v>2.0391043830613347E-2</c:v>
                </c:pt>
                <c:pt idx="1748">
                  <c:v>2.0383850406739637E-2</c:v>
                </c:pt>
                <c:pt idx="1749">
                  <c:v>2.0376689673624604E-2</c:v>
                </c:pt>
                <c:pt idx="1750">
                  <c:v>2.0369771123606557E-2</c:v>
                </c:pt>
                <c:pt idx="1751">
                  <c:v>2.0362681574906196E-2</c:v>
                </c:pt>
                <c:pt idx="1752">
                  <c:v>2.0355624722745509E-2</c:v>
                </c:pt>
                <c:pt idx="1753">
                  <c:v>2.0348600567072914E-2</c:v>
                </c:pt>
                <c:pt idx="1754">
                  <c:v>2.0341609107823958E-2</c:v>
                </c:pt>
                <c:pt idx="1755">
                  <c:v>2.0334570634386928E-2</c:v>
                </c:pt>
                <c:pt idx="1756">
                  <c:v>2.032764262330744E-2</c:v>
                </c:pt>
                <c:pt idx="1757">
                  <c:v>2.0318783221052961E-2</c:v>
                </c:pt>
                <c:pt idx="1758">
                  <c:v>2.0313884683922367E-2</c:v>
                </c:pt>
                <c:pt idx="1759">
                  <c:v>2.030714225591463E-2</c:v>
                </c:pt>
                <c:pt idx="1760">
                  <c:v>2.0300346973990378E-2</c:v>
                </c:pt>
                <c:pt idx="1761">
                  <c:v>2.02935843880875E-2</c:v>
                </c:pt>
                <c:pt idx="1762">
                  <c:v>2.0286854498141531E-2</c:v>
                </c:pt>
                <c:pt idx="1763">
                  <c:v>2.0279107629494142E-2</c:v>
                </c:pt>
                <c:pt idx="1764">
                  <c:v>2.027149682651963E-2</c:v>
                </c:pt>
                <c:pt idx="1765">
                  <c:v>2.0265816747565779E-2</c:v>
                </c:pt>
                <c:pt idx="1766">
                  <c:v>2.0258280673270512E-2</c:v>
                </c:pt>
                <c:pt idx="1767">
                  <c:v>2.0252033421168457E-2</c:v>
                </c:pt>
                <c:pt idx="1768">
                  <c:v>2.0245512985423181E-2</c:v>
                </c:pt>
                <c:pt idx="1769">
                  <c:v>2.0239025249133166E-2</c:v>
                </c:pt>
                <c:pt idx="1770">
                  <c:v>2.0232570212242704E-2</c:v>
                </c:pt>
                <c:pt idx="1771">
                  <c:v>2.0225812429147894E-2</c:v>
                </c:pt>
                <c:pt idx="1772">
                  <c:v>2.0219758236413362E-2</c:v>
                </c:pt>
                <c:pt idx="1773">
                  <c:v>2.02134012973679E-2</c:v>
                </c:pt>
                <c:pt idx="1774">
                  <c:v>2.0207077057487026E-2</c:v>
                </c:pt>
                <c:pt idx="1775">
                  <c:v>2.0200785516719871E-2</c:v>
                </c:pt>
                <c:pt idx="1776">
                  <c:v>2.0194161521181364E-2</c:v>
                </c:pt>
                <c:pt idx="1777">
                  <c:v>2.0187929419354766E-2</c:v>
                </c:pt>
                <c:pt idx="1778">
                  <c:v>2.0181730010667032E-2</c:v>
                </c:pt>
                <c:pt idx="1779">
                  <c:v>2.0175563295062204E-2</c:v>
                </c:pt>
                <c:pt idx="1780">
                  <c:v>2.0169818297564843E-2</c:v>
                </c:pt>
                <c:pt idx="1781">
                  <c:v>2.0163722950283389E-2</c:v>
                </c:pt>
                <c:pt idx="1782">
                  <c:v>2.0157660301725663E-2</c:v>
                </c:pt>
                <c:pt idx="1783">
                  <c:v>2.0151630351833531E-2</c:v>
                </c:pt>
                <c:pt idx="1784">
                  <c:v>2.0145220111589701E-2</c:v>
                </c:pt>
                <c:pt idx="1785">
                  <c:v>2.0139249553456473E-2</c:v>
                </c:pt>
                <c:pt idx="1786">
                  <c:v>2.0133311688062427E-2</c:v>
                </c:pt>
                <c:pt idx="1787">
                  <c:v>2.0127406515359603E-2</c:v>
                </c:pt>
                <c:pt idx="1788">
                  <c:v>2.0121534035302702E-2</c:v>
                </c:pt>
                <c:pt idx="1789">
                  <c:v>2.0116285406940652E-2</c:v>
                </c:pt>
                <c:pt idx="1790">
                  <c:v>2.0110336260756062E-2</c:v>
                </c:pt>
                <c:pt idx="1791">
                  <c:v>2.0104567898275055E-2</c:v>
                </c:pt>
                <c:pt idx="1792">
                  <c:v>2.0094599980377825E-2</c:v>
                </c:pt>
                <c:pt idx="1793">
                  <c:v>2.0091193006603676E-2</c:v>
                </c:pt>
                <c:pt idx="1794">
                  <c:v>2.008649337637225E-2</c:v>
                </c:pt>
                <c:pt idx="1795">
                  <c:v>2.008085845601193E-2</c:v>
                </c:pt>
                <c:pt idx="1796">
                  <c:v>2.0075256231719962E-2</c:v>
                </c:pt>
                <c:pt idx="1797">
                  <c:v>2.0069194924963708E-2</c:v>
                </c:pt>
                <c:pt idx="1798">
                  <c:v>2.0063486458492857E-2</c:v>
                </c:pt>
                <c:pt idx="1799">
                  <c:v>2.0057974208290856E-2</c:v>
                </c:pt>
                <c:pt idx="1800">
                  <c:v>2.0052494646363796E-2</c:v>
                </c:pt>
                <c:pt idx="1801">
                  <c:v>2.0047047772674569E-2</c:v>
                </c:pt>
                <c:pt idx="1802">
                  <c:v>2.004250398029438E-2</c:v>
                </c:pt>
                <c:pt idx="1803">
                  <c:v>2.0036956147685692E-2</c:v>
                </c:pt>
                <c:pt idx="1804">
                  <c:v>2.0031615490251897E-2</c:v>
                </c:pt>
                <c:pt idx="1805">
                  <c:v>2.0026307528461795E-2</c:v>
                </c:pt>
                <c:pt idx="1806">
                  <c:v>2.0021032262267924E-2</c:v>
                </c:pt>
                <c:pt idx="1807">
                  <c:v>2.0015789691627817E-2</c:v>
                </c:pt>
                <c:pt idx="1808">
                  <c:v>2.001057981649651E-2</c:v>
                </c:pt>
                <c:pt idx="1809">
                  <c:v>2.0005591412860211E-2</c:v>
                </c:pt>
                <c:pt idx="1810">
                  <c:v>1.9999334978831062E-2</c:v>
                </c:pt>
                <c:pt idx="1811">
                  <c:v>1.9995146363685767E-2</c:v>
                </c:pt>
                <c:pt idx="1812">
                  <c:v>1.9989149332391227E-2</c:v>
                </c:pt>
                <c:pt idx="1813">
                  <c:v>1.9985020871855774E-2</c:v>
                </c:pt>
                <c:pt idx="1814">
                  <c:v>1.9980007168820535E-2</c:v>
                </c:pt>
                <c:pt idx="1815">
                  <c:v>1.9975026160981846E-2</c:v>
                </c:pt>
                <c:pt idx="1816">
                  <c:v>1.9970077848294743E-2</c:v>
                </c:pt>
                <c:pt idx="1817">
                  <c:v>1.996516223071676E-2</c:v>
                </c:pt>
                <c:pt idx="1818">
                  <c:v>1.9960279308202933E-2</c:v>
                </c:pt>
                <c:pt idx="1819">
                  <c:v>1.995542908071829E-2</c:v>
                </c:pt>
                <c:pt idx="1820">
                  <c:v>1.9950611548210373E-2</c:v>
                </c:pt>
                <c:pt idx="1821">
                  <c:v>1.994582671064421E-2</c:v>
                </c:pt>
                <c:pt idx="1822">
                  <c:v>1.9941074567972339E-2</c:v>
                </c:pt>
                <c:pt idx="1823">
                  <c:v>1.9935703416980949E-2</c:v>
                </c:pt>
                <c:pt idx="1824">
                  <c:v>1.993166836716409E-2</c:v>
                </c:pt>
                <c:pt idx="1825">
                  <c:v>1.9927014308942781E-2</c:v>
                </c:pt>
                <c:pt idx="1826">
                  <c:v>1.9922392945455891E-2</c:v>
                </c:pt>
                <c:pt idx="1827">
                  <c:v>1.9917804276660955E-2</c:v>
                </c:pt>
                <c:pt idx="1828">
                  <c:v>1.9913248302520503E-2</c:v>
                </c:pt>
                <c:pt idx="1829">
                  <c:v>1.9908725022992069E-2</c:v>
                </c:pt>
                <c:pt idx="1830">
                  <c:v>1.9904234438045676E-2</c:v>
                </c:pt>
                <c:pt idx="1831">
                  <c:v>1.9899776547631365E-2</c:v>
                </c:pt>
                <c:pt idx="1832">
                  <c:v>1.9895351351711665E-2</c:v>
                </c:pt>
                <c:pt idx="1833">
                  <c:v>1.9890958850254103E-2</c:v>
                </c:pt>
                <c:pt idx="1834">
                  <c:v>1.9886599043216213E-2</c:v>
                </c:pt>
                <c:pt idx="1835">
                  <c:v>1.9882271930560524E-2</c:v>
                </c:pt>
                <c:pt idx="1836">
                  <c:v>1.9877244422028539E-2</c:v>
                </c:pt>
                <c:pt idx="1837">
                  <c:v>1.9873715788243373E-2</c:v>
                </c:pt>
                <c:pt idx="1838">
                  <c:v>1.9869486758511967E-2</c:v>
                </c:pt>
                <c:pt idx="1839">
                  <c:v>1.9865290423012882E-2</c:v>
                </c:pt>
                <c:pt idx="1840">
                  <c:v>1.9861126781711147E-2</c:v>
                </c:pt>
                <c:pt idx="1841">
                  <c:v>1.9856995834569291E-2</c:v>
                </c:pt>
                <c:pt idx="1842">
                  <c:v>1.985289758155484E-2</c:v>
                </c:pt>
                <c:pt idx="1843">
                  <c:v>1.9848832022622831E-2</c:v>
                </c:pt>
                <c:pt idx="1844">
                  <c:v>1.9841675621362451E-2</c:v>
                </c:pt>
                <c:pt idx="1845">
                  <c:v>1.9838263104786039E-2</c:v>
                </c:pt>
                <c:pt idx="1846">
                  <c:v>1.9836001437455203E-2</c:v>
                </c:pt>
                <c:pt idx="1847">
                  <c:v>1.9832069206279689E-2</c:v>
                </c:pt>
                <c:pt idx="1848">
                  <c:v>1.982816966717774E-2</c:v>
                </c:pt>
                <c:pt idx="1849">
                  <c:v>1.9823487130907123E-2</c:v>
                </c:pt>
                <c:pt idx="1850">
                  <c:v>1.9819646604358913E-2</c:v>
                </c:pt>
                <c:pt idx="1851">
                  <c:v>1.9815838764275666E-2</c:v>
                </c:pt>
                <c:pt idx="1852">
                  <c:v>1.981206361062883E-2</c:v>
                </c:pt>
                <c:pt idx="1853">
                  <c:v>1.9809443180924535E-2</c:v>
                </c:pt>
                <c:pt idx="1854">
                  <c:v>1.9805458964215643E-2</c:v>
                </c:pt>
                <c:pt idx="1855">
                  <c:v>1.9801788268700358E-2</c:v>
                </c:pt>
                <c:pt idx="1856">
                  <c:v>1.9798150265000775E-2</c:v>
                </c:pt>
                <c:pt idx="1857">
                  <c:v>1.9792209078182132E-2</c:v>
                </c:pt>
                <c:pt idx="1858">
                  <c:v>1.9790972332924959E-2</c:v>
                </c:pt>
                <c:pt idx="1859">
                  <c:v>1.9787432404491996E-2</c:v>
                </c:pt>
                <c:pt idx="1860">
                  <c:v>1.9784220957234921E-2</c:v>
                </c:pt>
                <c:pt idx="1861">
                  <c:v>1.9780450622673508E-2</c:v>
                </c:pt>
                <c:pt idx="1862">
                  <c:v>1.9775543696822058E-2</c:v>
                </c:pt>
                <c:pt idx="1863">
                  <c:v>1.9772148545663133E-2</c:v>
                </c:pt>
                <c:pt idx="1864">
                  <c:v>1.9770223137141482E-2</c:v>
                </c:pt>
                <c:pt idx="1865">
                  <c:v>1.976687935843208E-2</c:v>
                </c:pt>
                <c:pt idx="1866">
                  <c:v>1.9763876954959625E-2</c:v>
                </c:pt>
                <c:pt idx="1867">
                  <c:v>1.976028987555015E-2</c:v>
                </c:pt>
                <c:pt idx="1868">
                  <c:v>1.9757044171320896E-2</c:v>
                </c:pt>
                <c:pt idx="1869">
                  <c:v>1.975214829677796E-2</c:v>
                </c:pt>
                <c:pt idx="1870">
                  <c:v>1.9750650837151728E-2</c:v>
                </c:pt>
                <c:pt idx="1871">
                  <c:v>1.9747503207157659E-2</c:v>
                </c:pt>
                <c:pt idx="1872">
                  <c:v>1.9744388268520308E-2</c:v>
                </c:pt>
                <c:pt idx="1873">
                  <c:v>1.9741306021219047E-2</c:v>
                </c:pt>
                <c:pt idx="1874">
                  <c:v>1.9738256465217777E-2</c:v>
                </c:pt>
                <c:pt idx="1875">
                  <c:v>1.9735239600498448E-2</c:v>
                </c:pt>
                <c:pt idx="1876">
                  <c:v>1.9732255427030113E-2</c:v>
                </c:pt>
                <c:pt idx="1877">
                  <c:v>1.9729303944792144E-2</c:v>
                </c:pt>
                <c:pt idx="1878">
                  <c:v>1.9726385153763917E-2</c:v>
                </c:pt>
                <c:pt idx="1879">
                  <c:v>1.972349905390933E-2</c:v>
                </c:pt>
                <c:pt idx="1880">
                  <c:v>1.9720645645210332E-2</c:v>
                </c:pt>
                <c:pt idx="1881">
                  <c:v>1.9717824927643714E-2</c:v>
                </c:pt>
                <c:pt idx="1882">
                  <c:v>1.9715036901183692E-2</c:v>
                </c:pt>
                <c:pt idx="1883">
                  <c:v>1.9712281565812215E-2</c:v>
                </c:pt>
                <c:pt idx="1884">
                  <c:v>1.9709558921498345E-2</c:v>
                </c:pt>
                <c:pt idx="1885">
                  <c:v>1.9706868968218865E-2</c:v>
                </c:pt>
                <c:pt idx="1886">
                  <c:v>1.9704211705960893E-2</c:v>
                </c:pt>
                <c:pt idx="1887">
                  <c:v>1.97015871346909E-2</c:v>
                </c:pt>
                <c:pt idx="1888">
                  <c:v>1.9698995254393416E-2</c:v>
                </c:pt>
                <c:pt idx="1889">
                  <c:v>1.9696436065045234E-2</c:v>
                </c:pt>
                <c:pt idx="1890">
                  <c:v>1.969390956662315E-2</c:v>
                </c:pt>
                <c:pt idx="1891">
                  <c:v>1.9691415759106528E-2</c:v>
                </c:pt>
                <c:pt idx="1892">
                  <c:v>1.9688954642474749E-2</c:v>
                </c:pt>
                <c:pt idx="1893">
                  <c:v>1.9686526216709754E-2</c:v>
                </c:pt>
                <c:pt idx="1894">
                  <c:v>1.9684130481785762E-2</c:v>
                </c:pt>
                <c:pt idx="1895">
                  <c:v>1.9681767437687302E-2</c:v>
                </c:pt>
                <c:pt idx="1896">
                  <c:v>1.9678120131431574E-2</c:v>
                </c:pt>
                <c:pt idx="1897">
                  <c:v>1.9675841149357554E-2</c:v>
                </c:pt>
                <c:pt idx="1898">
                  <c:v>1.967391375532479E-2</c:v>
                </c:pt>
                <c:pt idx="1899">
                  <c:v>1.9671695484635075E-2</c:v>
                </c:pt>
                <c:pt idx="1900">
                  <c:v>1.9669509904662586E-2</c:v>
                </c:pt>
                <c:pt idx="1901">
                  <c:v>1.966658538778164E-2</c:v>
                </c:pt>
                <c:pt idx="1902">
                  <c:v>1.9664460751050265E-2</c:v>
                </c:pt>
                <c:pt idx="1903">
                  <c:v>1.9662368801391248E-2</c:v>
                </c:pt>
                <c:pt idx="1904">
                  <c:v>1.9660309538788053E-2</c:v>
                </c:pt>
                <c:pt idx="1905">
                  <c:v>1.9659072364957796E-2</c:v>
                </c:pt>
                <c:pt idx="1906">
                  <c:v>1.9657082928919954E-2</c:v>
                </c:pt>
                <c:pt idx="1907">
                  <c:v>1.9655126183480726E-2</c:v>
                </c:pt>
                <c:pt idx="1908">
                  <c:v>1.9653202128619485E-2</c:v>
                </c:pt>
                <c:pt idx="1909">
                  <c:v>1.9651310764320758E-2</c:v>
                </c:pt>
                <c:pt idx="1910">
                  <c:v>1.964904612669649E-2</c:v>
                </c:pt>
                <c:pt idx="1911">
                  <c:v>1.9647217908138614E-2</c:v>
                </c:pt>
                <c:pt idx="1912">
                  <c:v>1.9644915373831395E-2</c:v>
                </c:pt>
                <c:pt idx="1913">
                  <c:v>1.9643659537183389E-2</c:v>
                </c:pt>
                <c:pt idx="1914">
                  <c:v>1.9642344300718189E-2</c:v>
                </c:pt>
                <c:pt idx="1915">
                  <c:v>1.9640649079469649E-2</c:v>
                </c:pt>
                <c:pt idx="1916">
                  <c:v>1.9638986548677906E-2</c:v>
                </c:pt>
                <c:pt idx="1917">
                  <c:v>1.9637356708327482E-2</c:v>
                </c:pt>
                <c:pt idx="1918">
                  <c:v>1.9635109844805321E-2</c:v>
                </c:pt>
                <c:pt idx="1919">
                  <c:v>1.9633327325438543E-2</c:v>
                </c:pt>
                <c:pt idx="1920">
                  <c:v>1.9632018454722733E-2</c:v>
                </c:pt>
                <c:pt idx="1921">
                  <c:v>1.9630521792589839E-2</c:v>
                </c:pt>
                <c:pt idx="1922">
                  <c:v>1.9628851348422849E-2</c:v>
                </c:pt>
                <c:pt idx="1923">
                  <c:v>1.9628732850089523E-2</c:v>
                </c:pt>
                <c:pt idx="1924">
                  <c:v>1.9627345701504435E-2</c:v>
                </c:pt>
                <c:pt idx="1925">
                  <c:v>1.962599124682269E-2</c:v>
                </c:pt>
                <c:pt idx="1926">
                  <c:v>1.9624669486039442E-2</c:v>
                </c:pt>
                <c:pt idx="1927">
                  <c:v>1.9623380419137734E-2</c:v>
                </c:pt>
                <c:pt idx="1928">
                  <c:v>1.9622124046107879E-2</c:v>
                </c:pt>
                <c:pt idx="1929">
                  <c:v>1.9620900366937765E-2</c:v>
                </c:pt>
                <c:pt idx="1930">
                  <c:v>1.9619709381620127E-2</c:v>
                </c:pt>
                <c:pt idx="1931">
                  <c:v>1.9617188599240443E-2</c:v>
                </c:pt>
                <c:pt idx="1932">
                  <c:v>1.9616056180750796E-2</c:v>
                </c:pt>
                <c:pt idx="1933">
                  <c:v>1.9614956450734411E-2</c:v>
                </c:pt>
                <c:pt idx="1934">
                  <c:v>1.9613889409180629E-2</c:v>
                </c:pt>
                <c:pt idx="1935">
                  <c:v>1.9612855056081457E-2</c:v>
                </c:pt>
                <c:pt idx="1936">
                  <c:v>1.9613250039979168E-2</c:v>
                </c:pt>
                <c:pt idx="1937">
                  <c:v>1.9612287911326059E-2</c:v>
                </c:pt>
                <c:pt idx="1938">
                  <c:v>1.9611358476445483E-2</c:v>
                </c:pt>
                <c:pt idx="1939">
                  <c:v>1.9610461735327756E-2</c:v>
                </c:pt>
                <c:pt idx="1940">
                  <c:v>1.9608173617082336E-2</c:v>
                </c:pt>
                <c:pt idx="1941">
                  <c:v>1.9607335394532299E-2</c:v>
                </c:pt>
                <c:pt idx="1942">
                  <c:v>1.9606529860383581E-2</c:v>
                </c:pt>
                <c:pt idx="1943">
                  <c:v>1.9605757014625524E-2</c:v>
                </c:pt>
                <c:pt idx="1944">
                  <c:v>1.9605016857252799E-2</c:v>
                </c:pt>
                <c:pt idx="1945">
                  <c:v>1.9605767857251231E-2</c:v>
                </c:pt>
                <c:pt idx="1946">
                  <c:v>1.9605099972274817E-2</c:v>
                </c:pt>
                <c:pt idx="1947">
                  <c:v>1.9604464781007958E-2</c:v>
                </c:pt>
                <c:pt idx="1948">
                  <c:v>1.960328525752203E-2</c:v>
                </c:pt>
                <c:pt idx="1949">
                  <c:v>1.9602717819787729E-2</c:v>
                </c:pt>
                <c:pt idx="1950">
                  <c:v>1.9602183073970103E-2</c:v>
                </c:pt>
                <c:pt idx="1951">
                  <c:v>1.9601681020059158E-2</c:v>
                </c:pt>
                <c:pt idx="1952">
                  <c:v>1.9601211658044904E-2</c:v>
                </c:pt>
                <c:pt idx="1953">
                  <c:v>1.9598756720372115E-2</c:v>
                </c:pt>
                <c:pt idx="1954">
                  <c:v>1.9598343491540961E-2</c:v>
                </c:pt>
                <c:pt idx="1955">
                  <c:v>1.959796294748755E-2</c:v>
                </c:pt>
                <c:pt idx="1956">
                  <c:v>1.9597615088214733E-2</c:v>
                </c:pt>
                <c:pt idx="1957">
                  <c:v>1.9599355226408988E-2</c:v>
                </c:pt>
                <c:pt idx="1958">
                  <c:v>1.9599598763414248E-2</c:v>
                </c:pt>
                <c:pt idx="1959">
                  <c:v>1.9598841496955011E-2</c:v>
                </c:pt>
                <c:pt idx="1960">
                  <c:v>1.959863367004433E-2</c:v>
                </c:pt>
                <c:pt idx="1961">
                  <c:v>1.95968888203732E-2</c:v>
                </c:pt>
                <c:pt idx="1962">
                  <c:v>1.9598316091850587E-2</c:v>
                </c:pt>
                <c:pt idx="1963">
                  <c:v>1.9598206340567526E-2</c:v>
                </c:pt>
                <c:pt idx="1964">
                  <c:v>#N/A</c:v>
                </c:pt>
                <c:pt idx="1965">
                  <c:v>#N/A</c:v>
                </c:pt>
                <c:pt idx="1966">
                  <c:v>#N/A</c:v>
                </c:pt>
                <c:pt idx="1967">
                  <c:v>#N/A</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42209664"/>
        <c:axId val="42211200"/>
      </c:lineChart>
      <c:dateAx>
        <c:axId val="42209664"/>
        <c:scaling>
          <c:orientation val="minMax"/>
          <c:max val="42873"/>
          <c:min val="42094"/>
        </c:scaling>
        <c:delete val="0"/>
        <c:axPos val="b"/>
        <c:numFmt formatCode="[$-409]mmm\-yy;@" sourceLinked="0"/>
        <c:majorTickMark val="out"/>
        <c:minorTickMark val="none"/>
        <c:tickLblPos val="low"/>
        <c:txPr>
          <a:bodyPr rot="-2700000" vert="horz"/>
          <a:lstStyle/>
          <a:p>
            <a:pPr>
              <a:defRPr/>
            </a:pPr>
            <a:endParaRPr lang="en-US"/>
          </a:p>
        </c:txPr>
        <c:crossAx val="42211200"/>
        <c:crosses val="autoZero"/>
        <c:auto val="1"/>
        <c:lblOffset val="100"/>
        <c:baseTimeUnit val="days"/>
        <c:majorUnit val="3"/>
        <c:majorTimeUnit val="months"/>
        <c:minorUnit val="1"/>
        <c:minorTimeUnit val="years"/>
      </c:dateAx>
      <c:valAx>
        <c:axId val="42211200"/>
        <c:scaling>
          <c:orientation val="minMax"/>
          <c:max val="2E-3"/>
          <c:min val="-4.0000000000000001E-3"/>
        </c:scaling>
        <c:delete val="0"/>
        <c:axPos val="l"/>
        <c:majorGridlines/>
        <c:numFmt formatCode="0.00%" sourceLinked="0"/>
        <c:majorTickMark val="out"/>
        <c:minorTickMark val="none"/>
        <c:tickLblPos val="nextTo"/>
        <c:crossAx val="42209664"/>
        <c:crosses val="autoZero"/>
        <c:crossBetween val="between"/>
        <c:majorUnit val="1E-3"/>
      </c:valAx>
    </c:plotArea>
    <c:plotVisOnly val="1"/>
    <c:dispBlanksAs val="gap"/>
    <c:showDLblsOverMax val="0"/>
  </c:chart>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1"/>
    </c:title>
    <c:autoTitleDeleted val="0"/>
    <c:plotArea>
      <c:layout>
        <c:manualLayout>
          <c:layoutTarget val="inner"/>
          <c:xMode val="edge"/>
          <c:yMode val="edge"/>
          <c:x val="9.3232112651339488E-2"/>
          <c:y val="4.6493928743336153E-2"/>
          <c:w val="0.86175732637585578"/>
          <c:h val="0.75646931676792994"/>
        </c:manualLayout>
      </c:layout>
      <c:lineChart>
        <c:grouping val="standard"/>
        <c:varyColors val="0"/>
        <c:ser>
          <c:idx val="0"/>
          <c:order val="0"/>
          <c:tx>
            <c:v>ON Fwd</c:v>
          </c:tx>
          <c:spPr>
            <a:ln w="25400">
              <a:solidFill>
                <a:schemeClr val="accent1"/>
              </a:solidFill>
            </a:ln>
          </c:spPr>
          <c:marker>
            <c:symbol val="circle"/>
            <c:size val="2"/>
            <c:spPr>
              <a:solidFill>
                <a:schemeClr val="accent1"/>
              </a:solidFill>
              <a:ln>
                <a:solidFill>
                  <a:schemeClr val="accent1"/>
                </a:solidFill>
                <a:prstDash val="solid"/>
              </a:ln>
            </c:spPr>
          </c:marker>
          <c:cat>
            <c:numRef>
              <c:f>Monitor!$P$19:$P$3552</c:f>
              <c:numCache>
                <c:formatCode>ddd\,\ dd\-mmm\-yyyy</c:formatCode>
                <c:ptCount val="3534"/>
                <c:pt idx="0">
                  <c:v>42142</c:v>
                </c:pt>
                <c:pt idx="1">
                  <c:v>42143</c:v>
                </c:pt>
                <c:pt idx="2">
                  <c:v>42144</c:v>
                </c:pt>
                <c:pt idx="3">
                  <c:v>42145</c:v>
                </c:pt>
                <c:pt idx="4">
                  <c:v>42146</c:v>
                </c:pt>
                <c:pt idx="5">
                  <c:v>42150</c:v>
                </c:pt>
                <c:pt idx="6">
                  <c:v>42151</c:v>
                </c:pt>
                <c:pt idx="7">
                  <c:v>42152</c:v>
                </c:pt>
                <c:pt idx="8">
                  <c:v>42153</c:v>
                </c:pt>
                <c:pt idx="9">
                  <c:v>42156</c:v>
                </c:pt>
                <c:pt idx="10">
                  <c:v>42157</c:v>
                </c:pt>
                <c:pt idx="11">
                  <c:v>42158</c:v>
                </c:pt>
                <c:pt idx="12">
                  <c:v>42159</c:v>
                </c:pt>
                <c:pt idx="13">
                  <c:v>42160</c:v>
                </c:pt>
                <c:pt idx="14">
                  <c:v>42163</c:v>
                </c:pt>
                <c:pt idx="15">
                  <c:v>42164</c:v>
                </c:pt>
                <c:pt idx="16">
                  <c:v>42165</c:v>
                </c:pt>
                <c:pt idx="17">
                  <c:v>42166</c:v>
                </c:pt>
                <c:pt idx="18">
                  <c:v>42167</c:v>
                </c:pt>
                <c:pt idx="19">
                  <c:v>42170</c:v>
                </c:pt>
                <c:pt idx="20">
                  <c:v>42171</c:v>
                </c:pt>
                <c:pt idx="21">
                  <c:v>42172</c:v>
                </c:pt>
                <c:pt idx="22">
                  <c:v>42173</c:v>
                </c:pt>
                <c:pt idx="23">
                  <c:v>42177</c:v>
                </c:pt>
                <c:pt idx="24">
                  <c:v>42178</c:v>
                </c:pt>
                <c:pt idx="25">
                  <c:v>42179</c:v>
                </c:pt>
                <c:pt idx="26">
                  <c:v>42180</c:v>
                </c:pt>
                <c:pt idx="27">
                  <c:v>42181</c:v>
                </c:pt>
                <c:pt idx="28">
                  <c:v>42184</c:v>
                </c:pt>
                <c:pt idx="29">
                  <c:v>42185</c:v>
                </c:pt>
                <c:pt idx="30">
                  <c:v>42186</c:v>
                </c:pt>
                <c:pt idx="31">
                  <c:v>42187</c:v>
                </c:pt>
                <c:pt idx="32">
                  <c:v>42188</c:v>
                </c:pt>
                <c:pt idx="33">
                  <c:v>42191</c:v>
                </c:pt>
                <c:pt idx="34">
                  <c:v>42192</c:v>
                </c:pt>
                <c:pt idx="35">
                  <c:v>42193</c:v>
                </c:pt>
                <c:pt idx="36">
                  <c:v>42194</c:v>
                </c:pt>
                <c:pt idx="37">
                  <c:v>42195</c:v>
                </c:pt>
                <c:pt idx="38">
                  <c:v>42198</c:v>
                </c:pt>
                <c:pt idx="39">
                  <c:v>42199</c:v>
                </c:pt>
                <c:pt idx="40">
                  <c:v>42200</c:v>
                </c:pt>
                <c:pt idx="41">
                  <c:v>42201</c:v>
                </c:pt>
                <c:pt idx="42">
                  <c:v>42202</c:v>
                </c:pt>
                <c:pt idx="43">
                  <c:v>42205</c:v>
                </c:pt>
                <c:pt idx="44">
                  <c:v>42206</c:v>
                </c:pt>
                <c:pt idx="45">
                  <c:v>42207</c:v>
                </c:pt>
                <c:pt idx="46">
                  <c:v>42208</c:v>
                </c:pt>
                <c:pt idx="47">
                  <c:v>42209</c:v>
                </c:pt>
                <c:pt idx="48">
                  <c:v>42212</c:v>
                </c:pt>
                <c:pt idx="49">
                  <c:v>42213</c:v>
                </c:pt>
                <c:pt idx="50">
                  <c:v>42214</c:v>
                </c:pt>
                <c:pt idx="51">
                  <c:v>42215</c:v>
                </c:pt>
                <c:pt idx="52">
                  <c:v>42216</c:v>
                </c:pt>
                <c:pt idx="53">
                  <c:v>42219</c:v>
                </c:pt>
                <c:pt idx="54">
                  <c:v>42220</c:v>
                </c:pt>
                <c:pt idx="55">
                  <c:v>42221</c:v>
                </c:pt>
                <c:pt idx="56">
                  <c:v>42222</c:v>
                </c:pt>
                <c:pt idx="57">
                  <c:v>42223</c:v>
                </c:pt>
                <c:pt idx="58">
                  <c:v>42226</c:v>
                </c:pt>
                <c:pt idx="59">
                  <c:v>42227</c:v>
                </c:pt>
                <c:pt idx="60">
                  <c:v>42228</c:v>
                </c:pt>
                <c:pt idx="61">
                  <c:v>42229</c:v>
                </c:pt>
                <c:pt idx="62">
                  <c:v>42230</c:v>
                </c:pt>
                <c:pt idx="63">
                  <c:v>42233</c:v>
                </c:pt>
                <c:pt idx="64">
                  <c:v>42234</c:v>
                </c:pt>
                <c:pt idx="65">
                  <c:v>42235</c:v>
                </c:pt>
                <c:pt idx="66">
                  <c:v>42236</c:v>
                </c:pt>
                <c:pt idx="67">
                  <c:v>42237</c:v>
                </c:pt>
                <c:pt idx="68">
                  <c:v>42240</c:v>
                </c:pt>
                <c:pt idx="69">
                  <c:v>42241</c:v>
                </c:pt>
                <c:pt idx="70">
                  <c:v>42242</c:v>
                </c:pt>
                <c:pt idx="71">
                  <c:v>42243</c:v>
                </c:pt>
                <c:pt idx="72">
                  <c:v>42244</c:v>
                </c:pt>
                <c:pt idx="73">
                  <c:v>42247</c:v>
                </c:pt>
                <c:pt idx="74">
                  <c:v>42248</c:v>
                </c:pt>
                <c:pt idx="75">
                  <c:v>42249</c:v>
                </c:pt>
                <c:pt idx="76">
                  <c:v>42250</c:v>
                </c:pt>
                <c:pt idx="77">
                  <c:v>42251</c:v>
                </c:pt>
                <c:pt idx="78">
                  <c:v>42254</c:v>
                </c:pt>
                <c:pt idx="79">
                  <c:v>42255</c:v>
                </c:pt>
                <c:pt idx="80">
                  <c:v>42256</c:v>
                </c:pt>
                <c:pt idx="81">
                  <c:v>42257</c:v>
                </c:pt>
                <c:pt idx="82">
                  <c:v>42258</c:v>
                </c:pt>
                <c:pt idx="83">
                  <c:v>42261</c:v>
                </c:pt>
                <c:pt idx="84">
                  <c:v>42262</c:v>
                </c:pt>
                <c:pt idx="85">
                  <c:v>42263</c:v>
                </c:pt>
                <c:pt idx="86">
                  <c:v>42264</c:v>
                </c:pt>
                <c:pt idx="87">
                  <c:v>42265</c:v>
                </c:pt>
                <c:pt idx="88">
                  <c:v>42268</c:v>
                </c:pt>
                <c:pt idx="89">
                  <c:v>42269</c:v>
                </c:pt>
                <c:pt idx="90">
                  <c:v>42270</c:v>
                </c:pt>
                <c:pt idx="91">
                  <c:v>42271</c:v>
                </c:pt>
                <c:pt idx="92">
                  <c:v>42272</c:v>
                </c:pt>
                <c:pt idx="93">
                  <c:v>42275</c:v>
                </c:pt>
                <c:pt idx="94">
                  <c:v>42276</c:v>
                </c:pt>
                <c:pt idx="95">
                  <c:v>42277</c:v>
                </c:pt>
                <c:pt idx="96">
                  <c:v>42278</c:v>
                </c:pt>
                <c:pt idx="97">
                  <c:v>42279</c:v>
                </c:pt>
                <c:pt idx="98">
                  <c:v>42282</c:v>
                </c:pt>
                <c:pt idx="99">
                  <c:v>42283</c:v>
                </c:pt>
                <c:pt idx="100">
                  <c:v>42284</c:v>
                </c:pt>
                <c:pt idx="101">
                  <c:v>42285</c:v>
                </c:pt>
                <c:pt idx="102">
                  <c:v>42286</c:v>
                </c:pt>
                <c:pt idx="103">
                  <c:v>42289</c:v>
                </c:pt>
                <c:pt idx="104">
                  <c:v>42290</c:v>
                </c:pt>
                <c:pt idx="105">
                  <c:v>42291</c:v>
                </c:pt>
                <c:pt idx="106">
                  <c:v>42292</c:v>
                </c:pt>
                <c:pt idx="107">
                  <c:v>42293</c:v>
                </c:pt>
                <c:pt idx="108">
                  <c:v>42296</c:v>
                </c:pt>
                <c:pt idx="109">
                  <c:v>42297</c:v>
                </c:pt>
                <c:pt idx="110">
                  <c:v>42298</c:v>
                </c:pt>
                <c:pt idx="111">
                  <c:v>42299</c:v>
                </c:pt>
                <c:pt idx="112">
                  <c:v>42300</c:v>
                </c:pt>
                <c:pt idx="113">
                  <c:v>42303</c:v>
                </c:pt>
                <c:pt idx="114">
                  <c:v>42304</c:v>
                </c:pt>
                <c:pt idx="115">
                  <c:v>42305</c:v>
                </c:pt>
                <c:pt idx="116">
                  <c:v>42306</c:v>
                </c:pt>
                <c:pt idx="117">
                  <c:v>42307</c:v>
                </c:pt>
                <c:pt idx="118">
                  <c:v>42310</c:v>
                </c:pt>
                <c:pt idx="119">
                  <c:v>42311</c:v>
                </c:pt>
                <c:pt idx="120">
                  <c:v>42312</c:v>
                </c:pt>
                <c:pt idx="121">
                  <c:v>42313</c:v>
                </c:pt>
                <c:pt idx="122">
                  <c:v>42314</c:v>
                </c:pt>
                <c:pt idx="123">
                  <c:v>42317</c:v>
                </c:pt>
                <c:pt idx="124">
                  <c:v>42318</c:v>
                </c:pt>
                <c:pt idx="125">
                  <c:v>42319</c:v>
                </c:pt>
                <c:pt idx="126">
                  <c:v>42320</c:v>
                </c:pt>
                <c:pt idx="127">
                  <c:v>42321</c:v>
                </c:pt>
                <c:pt idx="128">
                  <c:v>42324</c:v>
                </c:pt>
                <c:pt idx="129">
                  <c:v>42325</c:v>
                </c:pt>
                <c:pt idx="130">
                  <c:v>42326</c:v>
                </c:pt>
                <c:pt idx="131">
                  <c:v>42327</c:v>
                </c:pt>
                <c:pt idx="132">
                  <c:v>42328</c:v>
                </c:pt>
                <c:pt idx="133">
                  <c:v>42331</c:v>
                </c:pt>
                <c:pt idx="134">
                  <c:v>42332</c:v>
                </c:pt>
                <c:pt idx="135">
                  <c:v>42333</c:v>
                </c:pt>
                <c:pt idx="136">
                  <c:v>42334</c:v>
                </c:pt>
                <c:pt idx="137">
                  <c:v>42335</c:v>
                </c:pt>
                <c:pt idx="138">
                  <c:v>42338</c:v>
                </c:pt>
                <c:pt idx="139">
                  <c:v>42339</c:v>
                </c:pt>
                <c:pt idx="140">
                  <c:v>42340</c:v>
                </c:pt>
                <c:pt idx="141">
                  <c:v>42341</c:v>
                </c:pt>
                <c:pt idx="142">
                  <c:v>42342</c:v>
                </c:pt>
                <c:pt idx="143">
                  <c:v>42345</c:v>
                </c:pt>
                <c:pt idx="144">
                  <c:v>42346</c:v>
                </c:pt>
                <c:pt idx="145">
                  <c:v>42347</c:v>
                </c:pt>
                <c:pt idx="146">
                  <c:v>42348</c:v>
                </c:pt>
                <c:pt idx="147">
                  <c:v>42349</c:v>
                </c:pt>
                <c:pt idx="148">
                  <c:v>42352</c:v>
                </c:pt>
                <c:pt idx="149">
                  <c:v>42353</c:v>
                </c:pt>
                <c:pt idx="150">
                  <c:v>42354</c:v>
                </c:pt>
                <c:pt idx="151">
                  <c:v>42355</c:v>
                </c:pt>
                <c:pt idx="152">
                  <c:v>42356</c:v>
                </c:pt>
                <c:pt idx="153">
                  <c:v>42359</c:v>
                </c:pt>
                <c:pt idx="154">
                  <c:v>42360</c:v>
                </c:pt>
                <c:pt idx="155">
                  <c:v>42361</c:v>
                </c:pt>
                <c:pt idx="156">
                  <c:v>42366</c:v>
                </c:pt>
                <c:pt idx="157">
                  <c:v>42367</c:v>
                </c:pt>
                <c:pt idx="158">
                  <c:v>42368</c:v>
                </c:pt>
                <c:pt idx="159">
                  <c:v>42373</c:v>
                </c:pt>
                <c:pt idx="160">
                  <c:v>42374</c:v>
                </c:pt>
                <c:pt idx="161">
                  <c:v>42376</c:v>
                </c:pt>
                <c:pt idx="162">
                  <c:v>42377</c:v>
                </c:pt>
                <c:pt idx="163">
                  <c:v>42380</c:v>
                </c:pt>
                <c:pt idx="164">
                  <c:v>42381</c:v>
                </c:pt>
                <c:pt idx="165">
                  <c:v>42382</c:v>
                </c:pt>
                <c:pt idx="166">
                  <c:v>42383</c:v>
                </c:pt>
                <c:pt idx="167">
                  <c:v>42384</c:v>
                </c:pt>
                <c:pt idx="168">
                  <c:v>42387</c:v>
                </c:pt>
                <c:pt idx="169">
                  <c:v>42388</c:v>
                </c:pt>
                <c:pt idx="170">
                  <c:v>42389</c:v>
                </c:pt>
                <c:pt idx="171">
                  <c:v>42390</c:v>
                </c:pt>
                <c:pt idx="172">
                  <c:v>42391</c:v>
                </c:pt>
                <c:pt idx="173">
                  <c:v>42394</c:v>
                </c:pt>
                <c:pt idx="174">
                  <c:v>42395</c:v>
                </c:pt>
                <c:pt idx="175">
                  <c:v>42396</c:v>
                </c:pt>
                <c:pt idx="176">
                  <c:v>42397</c:v>
                </c:pt>
                <c:pt idx="177">
                  <c:v>42398</c:v>
                </c:pt>
                <c:pt idx="178">
                  <c:v>42401</c:v>
                </c:pt>
                <c:pt idx="179">
                  <c:v>42402</c:v>
                </c:pt>
                <c:pt idx="180">
                  <c:v>42403</c:v>
                </c:pt>
                <c:pt idx="181">
                  <c:v>42404</c:v>
                </c:pt>
                <c:pt idx="182">
                  <c:v>42405</c:v>
                </c:pt>
                <c:pt idx="183">
                  <c:v>42408</c:v>
                </c:pt>
                <c:pt idx="184">
                  <c:v>42409</c:v>
                </c:pt>
                <c:pt idx="185">
                  <c:v>42410</c:v>
                </c:pt>
                <c:pt idx="186">
                  <c:v>42411</c:v>
                </c:pt>
                <c:pt idx="187">
                  <c:v>42412</c:v>
                </c:pt>
                <c:pt idx="188">
                  <c:v>42415</c:v>
                </c:pt>
                <c:pt idx="189">
                  <c:v>42416</c:v>
                </c:pt>
                <c:pt idx="190">
                  <c:v>42417</c:v>
                </c:pt>
                <c:pt idx="191">
                  <c:v>42418</c:v>
                </c:pt>
                <c:pt idx="192">
                  <c:v>42419</c:v>
                </c:pt>
                <c:pt idx="193">
                  <c:v>42422</c:v>
                </c:pt>
                <c:pt idx="194">
                  <c:v>42423</c:v>
                </c:pt>
                <c:pt idx="195">
                  <c:v>42424</c:v>
                </c:pt>
                <c:pt idx="196">
                  <c:v>42425</c:v>
                </c:pt>
                <c:pt idx="197">
                  <c:v>42426</c:v>
                </c:pt>
                <c:pt idx="198">
                  <c:v>42429</c:v>
                </c:pt>
                <c:pt idx="199">
                  <c:v>42430</c:v>
                </c:pt>
                <c:pt idx="200">
                  <c:v>42431</c:v>
                </c:pt>
                <c:pt idx="201">
                  <c:v>42432</c:v>
                </c:pt>
                <c:pt idx="202">
                  <c:v>42433</c:v>
                </c:pt>
                <c:pt idx="203">
                  <c:v>42436</c:v>
                </c:pt>
                <c:pt idx="204">
                  <c:v>42437</c:v>
                </c:pt>
                <c:pt idx="205">
                  <c:v>42438</c:v>
                </c:pt>
                <c:pt idx="206">
                  <c:v>42439</c:v>
                </c:pt>
                <c:pt idx="207">
                  <c:v>42440</c:v>
                </c:pt>
                <c:pt idx="208">
                  <c:v>42443</c:v>
                </c:pt>
                <c:pt idx="209">
                  <c:v>42444</c:v>
                </c:pt>
                <c:pt idx="210">
                  <c:v>42445</c:v>
                </c:pt>
                <c:pt idx="211">
                  <c:v>42446</c:v>
                </c:pt>
                <c:pt idx="212">
                  <c:v>42447</c:v>
                </c:pt>
                <c:pt idx="213">
                  <c:v>42450</c:v>
                </c:pt>
                <c:pt idx="214">
                  <c:v>42451</c:v>
                </c:pt>
                <c:pt idx="215">
                  <c:v>42452</c:v>
                </c:pt>
                <c:pt idx="216">
                  <c:v>42453</c:v>
                </c:pt>
                <c:pt idx="217">
                  <c:v>42458</c:v>
                </c:pt>
                <c:pt idx="218">
                  <c:v>42459</c:v>
                </c:pt>
                <c:pt idx="219">
                  <c:v>42460</c:v>
                </c:pt>
                <c:pt idx="220">
                  <c:v>42461</c:v>
                </c:pt>
                <c:pt idx="221">
                  <c:v>42464</c:v>
                </c:pt>
                <c:pt idx="222">
                  <c:v>42465</c:v>
                </c:pt>
                <c:pt idx="223">
                  <c:v>42466</c:v>
                </c:pt>
                <c:pt idx="224">
                  <c:v>42467</c:v>
                </c:pt>
                <c:pt idx="225">
                  <c:v>42468</c:v>
                </c:pt>
                <c:pt idx="226">
                  <c:v>42471</c:v>
                </c:pt>
                <c:pt idx="227">
                  <c:v>42472</c:v>
                </c:pt>
                <c:pt idx="228">
                  <c:v>42473</c:v>
                </c:pt>
                <c:pt idx="229">
                  <c:v>42474</c:v>
                </c:pt>
                <c:pt idx="230">
                  <c:v>42475</c:v>
                </c:pt>
                <c:pt idx="231">
                  <c:v>42478</c:v>
                </c:pt>
                <c:pt idx="232">
                  <c:v>42479</c:v>
                </c:pt>
                <c:pt idx="233">
                  <c:v>42480</c:v>
                </c:pt>
                <c:pt idx="234">
                  <c:v>42481</c:v>
                </c:pt>
                <c:pt idx="235">
                  <c:v>42482</c:v>
                </c:pt>
                <c:pt idx="236">
                  <c:v>42485</c:v>
                </c:pt>
                <c:pt idx="237">
                  <c:v>42486</c:v>
                </c:pt>
                <c:pt idx="238">
                  <c:v>42487</c:v>
                </c:pt>
                <c:pt idx="239">
                  <c:v>42488</c:v>
                </c:pt>
                <c:pt idx="240">
                  <c:v>42489</c:v>
                </c:pt>
                <c:pt idx="241">
                  <c:v>42492</c:v>
                </c:pt>
                <c:pt idx="242">
                  <c:v>42493</c:v>
                </c:pt>
                <c:pt idx="243">
                  <c:v>42494</c:v>
                </c:pt>
                <c:pt idx="244">
                  <c:v>42496</c:v>
                </c:pt>
                <c:pt idx="245">
                  <c:v>42499</c:v>
                </c:pt>
                <c:pt idx="246">
                  <c:v>42500</c:v>
                </c:pt>
                <c:pt idx="247">
                  <c:v>42501</c:v>
                </c:pt>
                <c:pt idx="248">
                  <c:v>42502</c:v>
                </c:pt>
                <c:pt idx="249">
                  <c:v>42503</c:v>
                </c:pt>
                <c:pt idx="250">
                  <c:v>42507</c:v>
                </c:pt>
                <c:pt idx="251">
                  <c:v>42508</c:v>
                </c:pt>
                <c:pt idx="252">
                  <c:v>42509</c:v>
                </c:pt>
                <c:pt idx="253">
                  <c:v>42510</c:v>
                </c:pt>
                <c:pt idx="254">
                  <c:v>42513</c:v>
                </c:pt>
                <c:pt idx="255">
                  <c:v>42514</c:v>
                </c:pt>
                <c:pt idx="256">
                  <c:v>42515</c:v>
                </c:pt>
                <c:pt idx="257">
                  <c:v>42516</c:v>
                </c:pt>
                <c:pt idx="258">
                  <c:v>42517</c:v>
                </c:pt>
                <c:pt idx="259">
                  <c:v>42520</c:v>
                </c:pt>
                <c:pt idx="260">
                  <c:v>42521</c:v>
                </c:pt>
                <c:pt idx="261">
                  <c:v>42522</c:v>
                </c:pt>
                <c:pt idx="262">
                  <c:v>42523</c:v>
                </c:pt>
                <c:pt idx="263">
                  <c:v>42524</c:v>
                </c:pt>
                <c:pt idx="264">
                  <c:v>42527</c:v>
                </c:pt>
                <c:pt idx="265">
                  <c:v>42528</c:v>
                </c:pt>
                <c:pt idx="266">
                  <c:v>42529</c:v>
                </c:pt>
                <c:pt idx="267">
                  <c:v>42530</c:v>
                </c:pt>
                <c:pt idx="268">
                  <c:v>42531</c:v>
                </c:pt>
                <c:pt idx="269">
                  <c:v>42534</c:v>
                </c:pt>
                <c:pt idx="270">
                  <c:v>42535</c:v>
                </c:pt>
                <c:pt idx="271">
                  <c:v>42536</c:v>
                </c:pt>
                <c:pt idx="272">
                  <c:v>42537</c:v>
                </c:pt>
                <c:pt idx="273">
                  <c:v>42538</c:v>
                </c:pt>
                <c:pt idx="274">
                  <c:v>42541</c:v>
                </c:pt>
                <c:pt idx="275">
                  <c:v>42542</c:v>
                </c:pt>
                <c:pt idx="276">
                  <c:v>42543</c:v>
                </c:pt>
                <c:pt idx="277">
                  <c:v>42544</c:v>
                </c:pt>
                <c:pt idx="278">
                  <c:v>42548</c:v>
                </c:pt>
                <c:pt idx="279">
                  <c:v>42549</c:v>
                </c:pt>
                <c:pt idx="280">
                  <c:v>42550</c:v>
                </c:pt>
                <c:pt idx="281">
                  <c:v>42551</c:v>
                </c:pt>
                <c:pt idx="282">
                  <c:v>42552</c:v>
                </c:pt>
                <c:pt idx="283">
                  <c:v>42555</c:v>
                </c:pt>
                <c:pt idx="284">
                  <c:v>42556</c:v>
                </c:pt>
                <c:pt idx="285">
                  <c:v>42557</c:v>
                </c:pt>
                <c:pt idx="286">
                  <c:v>42558</c:v>
                </c:pt>
                <c:pt idx="287">
                  <c:v>42559</c:v>
                </c:pt>
                <c:pt idx="288">
                  <c:v>42562</c:v>
                </c:pt>
                <c:pt idx="289">
                  <c:v>42563</c:v>
                </c:pt>
                <c:pt idx="290">
                  <c:v>42564</c:v>
                </c:pt>
                <c:pt idx="291">
                  <c:v>42565</c:v>
                </c:pt>
                <c:pt idx="292">
                  <c:v>42566</c:v>
                </c:pt>
                <c:pt idx="293">
                  <c:v>42569</c:v>
                </c:pt>
                <c:pt idx="294">
                  <c:v>42570</c:v>
                </c:pt>
                <c:pt idx="295">
                  <c:v>42571</c:v>
                </c:pt>
                <c:pt idx="296">
                  <c:v>42572</c:v>
                </c:pt>
                <c:pt idx="297">
                  <c:v>42573</c:v>
                </c:pt>
                <c:pt idx="298">
                  <c:v>42576</c:v>
                </c:pt>
                <c:pt idx="299">
                  <c:v>42577</c:v>
                </c:pt>
                <c:pt idx="300">
                  <c:v>42578</c:v>
                </c:pt>
                <c:pt idx="301">
                  <c:v>42579</c:v>
                </c:pt>
                <c:pt idx="302">
                  <c:v>42580</c:v>
                </c:pt>
                <c:pt idx="303">
                  <c:v>42583</c:v>
                </c:pt>
                <c:pt idx="304">
                  <c:v>42584</c:v>
                </c:pt>
                <c:pt idx="305">
                  <c:v>42585</c:v>
                </c:pt>
                <c:pt idx="306">
                  <c:v>42586</c:v>
                </c:pt>
                <c:pt idx="307">
                  <c:v>42587</c:v>
                </c:pt>
                <c:pt idx="308">
                  <c:v>42590</c:v>
                </c:pt>
                <c:pt idx="309">
                  <c:v>42591</c:v>
                </c:pt>
                <c:pt idx="310">
                  <c:v>42592</c:v>
                </c:pt>
                <c:pt idx="311">
                  <c:v>42593</c:v>
                </c:pt>
                <c:pt idx="312">
                  <c:v>42594</c:v>
                </c:pt>
                <c:pt idx="313">
                  <c:v>42597</c:v>
                </c:pt>
                <c:pt idx="314">
                  <c:v>42598</c:v>
                </c:pt>
                <c:pt idx="315">
                  <c:v>42599</c:v>
                </c:pt>
                <c:pt idx="316">
                  <c:v>42600</c:v>
                </c:pt>
                <c:pt idx="317">
                  <c:v>42601</c:v>
                </c:pt>
                <c:pt idx="318">
                  <c:v>42604</c:v>
                </c:pt>
                <c:pt idx="319">
                  <c:v>42605</c:v>
                </c:pt>
                <c:pt idx="320">
                  <c:v>42606</c:v>
                </c:pt>
                <c:pt idx="321">
                  <c:v>42607</c:v>
                </c:pt>
                <c:pt idx="322">
                  <c:v>42608</c:v>
                </c:pt>
                <c:pt idx="323">
                  <c:v>42611</c:v>
                </c:pt>
                <c:pt idx="324">
                  <c:v>42612</c:v>
                </c:pt>
                <c:pt idx="325">
                  <c:v>42613</c:v>
                </c:pt>
                <c:pt idx="326">
                  <c:v>42614</c:v>
                </c:pt>
                <c:pt idx="327">
                  <c:v>42615</c:v>
                </c:pt>
                <c:pt idx="328">
                  <c:v>42618</c:v>
                </c:pt>
                <c:pt idx="329">
                  <c:v>42619</c:v>
                </c:pt>
                <c:pt idx="330">
                  <c:v>42620</c:v>
                </c:pt>
                <c:pt idx="331">
                  <c:v>42621</c:v>
                </c:pt>
                <c:pt idx="332">
                  <c:v>42622</c:v>
                </c:pt>
                <c:pt idx="333">
                  <c:v>42625</c:v>
                </c:pt>
                <c:pt idx="334">
                  <c:v>42626</c:v>
                </c:pt>
                <c:pt idx="335">
                  <c:v>42627</c:v>
                </c:pt>
                <c:pt idx="336">
                  <c:v>42628</c:v>
                </c:pt>
                <c:pt idx="337">
                  <c:v>42629</c:v>
                </c:pt>
                <c:pt idx="338">
                  <c:v>42632</c:v>
                </c:pt>
                <c:pt idx="339">
                  <c:v>42633</c:v>
                </c:pt>
                <c:pt idx="340">
                  <c:v>42634</c:v>
                </c:pt>
                <c:pt idx="341">
                  <c:v>42635</c:v>
                </c:pt>
                <c:pt idx="342">
                  <c:v>42636</c:v>
                </c:pt>
                <c:pt idx="343">
                  <c:v>42639</c:v>
                </c:pt>
                <c:pt idx="344">
                  <c:v>42640</c:v>
                </c:pt>
                <c:pt idx="345">
                  <c:v>42641</c:v>
                </c:pt>
                <c:pt idx="346">
                  <c:v>42642</c:v>
                </c:pt>
                <c:pt idx="347">
                  <c:v>42643</c:v>
                </c:pt>
                <c:pt idx="348">
                  <c:v>42646</c:v>
                </c:pt>
                <c:pt idx="349">
                  <c:v>42647</c:v>
                </c:pt>
                <c:pt idx="350">
                  <c:v>42648</c:v>
                </c:pt>
                <c:pt idx="351">
                  <c:v>42649</c:v>
                </c:pt>
                <c:pt idx="352">
                  <c:v>42650</c:v>
                </c:pt>
                <c:pt idx="353">
                  <c:v>42653</c:v>
                </c:pt>
                <c:pt idx="354">
                  <c:v>42654</c:v>
                </c:pt>
                <c:pt idx="355">
                  <c:v>42655</c:v>
                </c:pt>
                <c:pt idx="356">
                  <c:v>42656</c:v>
                </c:pt>
                <c:pt idx="357">
                  <c:v>42657</c:v>
                </c:pt>
                <c:pt idx="358">
                  <c:v>42660</c:v>
                </c:pt>
                <c:pt idx="359">
                  <c:v>42661</c:v>
                </c:pt>
                <c:pt idx="360">
                  <c:v>42662</c:v>
                </c:pt>
                <c:pt idx="361">
                  <c:v>42663</c:v>
                </c:pt>
                <c:pt idx="362">
                  <c:v>42664</c:v>
                </c:pt>
                <c:pt idx="363">
                  <c:v>42667</c:v>
                </c:pt>
                <c:pt idx="364">
                  <c:v>42668</c:v>
                </c:pt>
                <c:pt idx="365">
                  <c:v>42669</c:v>
                </c:pt>
                <c:pt idx="366">
                  <c:v>42670</c:v>
                </c:pt>
                <c:pt idx="367">
                  <c:v>42671</c:v>
                </c:pt>
                <c:pt idx="368">
                  <c:v>42674</c:v>
                </c:pt>
                <c:pt idx="369">
                  <c:v>42675</c:v>
                </c:pt>
                <c:pt idx="370">
                  <c:v>42676</c:v>
                </c:pt>
                <c:pt idx="371">
                  <c:v>42677</c:v>
                </c:pt>
                <c:pt idx="372">
                  <c:v>42678</c:v>
                </c:pt>
                <c:pt idx="373">
                  <c:v>42681</c:v>
                </c:pt>
                <c:pt idx="374">
                  <c:v>42682</c:v>
                </c:pt>
                <c:pt idx="375">
                  <c:v>42683</c:v>
                </c:pt>
                <c:pt idx="376">
                  <c:v>42684</c:v>
                </c:pt>
                <c:pt idx="377">
                  <c:v>42685</c:v>
                </c:pt>
                <c:pt idx="378">
                  <c:v>42688</c:v>
                </c:pt>
                <c:pt idx="379">
                  <c:v>42689</c:v>
                </c:pt>
                <c:pt idx="380">
                  <c:v>42690</c:v>
                </c:pt>
                <c:pt idx="381">
                  <c:v>42691</c:v>
                </c:pt>
                <c:pt idx="382">
                  <c:v>42692</c:v>
                </c:pt>
                <c:pt idx="383">
                  <c:v>42695</c:v>
                </c:pt>
                <c:pt idx="384">
                  <c:v>42696</c:v>
                </c:pt>
                <c:pt idx="385">
                  <c:v>42697</c:v>
                </c:pt>
                <c:pt idx="386">
                  <c:v>42698</c:v>
                </c:pt>
                <c:pt idx="387">
                  <c:v>42699</c:v>
                </c:pt>
                <c:pt idx="388">
                  <c:v>42702</c:v>
                </c:pt>
                <c:pt idx="389">
                  <c:v>42703</c:v>
                </c:pt>
                <c:pt idx="390">
                  <c:v>42704</c:v>
                </c:pt>
                <c:pt idx="391">
                  <c:v>42705</c:v>
                </c:pt>
                <c:pt idx="392">
                  <c:v>42706</c:v>
                </c:pt>
                <c:pt idx="393">
                  <c:v>42709</c:v>
                </c:pt>
                <c:pt idx="394">
                  <c:v>42710</c:v>
                </c:pt>
                <c:pt idx="395">
                  <c:v>42711</c:v>
                </c:pt>
                <c:pt idx="396">
                  <c:v>42712</c:v>
                </c:pt>
                <c:pt idx="397">
                  <c:v>42713</c:v>
                </c:pt>
                <c:pt idx="398">
                  <c:v>42716</c:v>
                </c:pt>
                <c:pt idx="399">
                  <c:v>42717</c:v>
                </c:pt>
                <c:pt idx="400">
                  <c:v>42718</c:v>
                </c:pt>
                <c:pt idx="401">
                  <c:v>42719</c:v>
                </c:pt>
                <c:pt idx="402">
                  <c:v>42720</c:v>
                </c:pt>
                <c:pt idx="403">
                  <c:v>42723</c:v>
                </c:pt>
                <c:pt idx="404">
                  <c:v>42724</c:v>
                </c:pt>
                <c:pt idx="405">
                  <c:v>42725</c:v>
                </c:pt>
                <c:pt idx="406">
                  <c:v>42726</c:v>
                </c:pt>
                <c:pt idx="407">
                  <c:v>42727</c:v>
                </c:pt>
                <c:pt idx="408">
                  <c:v>42731</c:v>
                </c:pt>
                <c:pt idx="409">
                  <c:v>42732</c:v>
                </c:pt>
                <c:pt idx="410">
                  <c:v>42733</c:v>
                </c:pt>
                <c:pt idx="411">
                  <c:v>42734</c:v>
                </c:pt>
                <c:pt idx="412">
                  <c:v>42737</c:v>
                </c:pt>
                <c:pt idx="413">
                  <c:v>42738</c:v>
                </c:pt>
                <c:pt idx="414">
                  <c:v>42739</c:v>
                </c:pt>
                <c:pt idx="415">
                  <c:v>42740</c:v>
                </c:pt>
                <c:pt idx="416">
                  <c:v>42744</c:v>
                </c:pt>
                <c:pt idx="417">
                  <c:v>42745</c:v>
                </c:pt>
                <c:pt idx="418">
                  <c:v>42746</c:v>
                </c:pt>
                <c:pt idx="419">
                  <c:v>42747</c:v>
                </c:pt>
                <c:pt idx="420">
                  <c:v>42748</c:v>
                </c:pt>
                <c:pt idx="421">
                  <c:v>42751</c:v>
                </c:pt>
                <c:pt idx="422">
                  <c:v>42752</c:v>
                </c:pt>
                <c:pt idx="423">
                  <c:v>42753</c:v>
                </c:pt>
                <c:pt idx="424">
                  <c:v>42754</c:v>
                </c:pt>
                <c:pt idx="425">
                  <c:v>42755</c:v>
                </c:pt>
                <c:pt idx="426">
                  <c:v>42758</c:v>
                </c:pt>
                <c:pt idx="427">
                  <c:v>42759</c:v>
                </c:pt>
                <c:pt idx="428">
                  <c:v>42760</c:v>
                </c:pt>
                <c:pt idx="429">
                  <c:v>42761</c:v>
                </c:pt>
                <c:pt idx="430">
                  <c:v>42762</c:v>
                </c:pt>
                <c:pt idx="431">
                  <c:v>42765</c:v>
                </c:pt>
                <c:pt idx="432">
                  <c:v>42766</c:v>
                </c:pt>
                <c:pt idx="433">
                  <c:v>42767</c:v>
                </c:pt>
                <c:pt idx="434">
                  <c:v>42768</c:v>
                </c:pt>
                <c:pt idx="435">
                  <c:v>42769</c:v>
                </c:pt>
                <c:pt idx="436">
                  <c:v>42772</c:v>
                </c:pt>
                <c:pt idx="437">
                  <c:v>42773</c:v>
                </c:pt>
                <c:pt idx="438">
                  <c:v>42774</c:v>
                </c:pt>
                <c:pt idx="439">
                  <c:v>42775</c:v>
                </c:pt>
                <c:pt idx="440">
                  <c:v>42776</c:v>
                </c:pt>
                <c:pt idx="441">
                  <c:v>42779</c:v>
                </c:pt>
                <c:pt idx="442">
                  <c:v>42780</c:v>
                </c:pt>
                <c:pt idx="443">
                  <c:v>42781</c:v>
                </c:pt>
                <c:pt idx="444">
                  <c:v>42782</c:v>
                </c:pt>
                <c:pt idx="445">
                  <c:v>42783</c:v>
                </c:pt>
                <c:pt idx="446">
                  <c:v>42786</c:v>
                </c:pt>
                <c:pt idx="447">
                  <c:v>42787</c:v>
                </c:pt>
                <c:pt idx="448">
                  <c:v>42788</c:v>
                </c:pt>
                <c:pt idx="449">
                  <c:v>42789</c:v>
                </c:pt>
                <c:pt idx="450">
                  <c:v>42790</c:v>
                </c:pt>
                <c:pt idx="451">
                  <c:v>42793</c:v>
                </c:pt>
                <c:pt idx="452">
                  <c:v>42794</c:v>
                </c:pt>
                <c:pt idx="453">
                  <c:v>42795</c:v>
                </c:pt>
                <c:pt idx="454">
                  <c:v>42796</c:v>
                </c:pt>
                <c:pt idx="455">
                  <c:v>42797</c:v>
                </c:pt>
                <c:pt idx="456">
                  <c:v>42800</c:v>
                </c:pt>
                <c:pt idx="457">
                  <c:v>42801</c:v>
                </c:pt>
                <c:pt idx="458">
                  <c:v>42802</c:v>
                </c:pt>
                <c:pt idx="459">
                  <c:v>42803</c:v>
                </c:pt>
                <c:pt idx="460">
                  <c:v>42804</c:v>
                </c:pt>
                <c:pt idx="461">
                  <c:v>42807</c:v>
                </c:pt>
                <c:pt idx="462">
                  <c:v>42808</c:v>
                </c:pt>
                <c:pt idx="463">
                  <c:v>42809</c:v>
                </c:pt>
                <c:pt idx="464">
                  <c:v>42810</c:v>
                </c:pt>
                <c:pt idx="465">
                  <c:v>42811</c:v>
                </c:pt>
                <c:pt idx="466">
                  <c:v>42814</c:v>
                </c:pt>
                <c:pt idx="467">
                  <c:v>42815</c:v>
                </c:pt>
                <c:pt idx="468">
                  <c:v>42816</c:v>
                </c:pt>
                <c:pt idx="469">
                  <c:v>42817</c:v>
                </c:pt>
                <c:pt idx="470">
                  <c:v>42818</c:v>
                </c:pt>
                <c:pt idx="471">
                  <c:v>42821</c:v>
                </c:pt>
                <c:pt idx="472">
                  <c:v>42822</c:v>
                </c:pt>
                <c:pt idx="473">
                  <c:v>42823</c:v>
                </c:pt>
                <c:pt idx="474">
                  <c:v>42824</c:v>
                </c:pt>
                <c:pt idx="475">
                  <c:v>42825</c:v>
                </c:pt>
                <c:pt idx="476">
                  <c:v>42828</c:v>
                </c:pt>
                <c:pt idx="477">
                  <c:v>42829</c:v>
                </c:pt>
                <c:pt idx="478">
                  <c:v>42830</c:v>
                </c:pt>
                <c:pt idx="479">
                  <c:v>42831</c:v>
                </c:pt>
                <c:pt idx="480">
                  <c:v>42832</c:v>
                </c:pt>
                <c:pt idx="481">
                  <c:v>42835</c:v>
                </c:pt>
                <c:pt idx="482">
                  <c:v>42836</c:v>
                </c:pt>
                <c:pt idx="483">
                  <c:v>42837</c:v>
                </c:pt>
                <c:pt idx="484">
                  <c:v>42838</c:v>
                </c:pt>
                <c:pt idx="485">
                  <c:v>42843</c:v>
                </c:pt>
                <c:pt idx="486">
                  <c:v>42844</c:v>
                </c:pt>
                <c:pt idx="487">
                  <c:v>42845</c:v>
                </c:pt>
                <c:pt idx="488">
                  <c:v>42846</c:v>
                </c:pt>
                <c:pt idx="489">
                  <c:v>42849</c:v>
                </c:pt>
                <c:pt idx="490">
                  <c:v>42850</c:v>
                </c:pt>
                <c:pt idx="491">
                  <c:v>42851</c:v>
                </c:pt>
                <c:pt idx="492">
                  <c:v>42852</c:v>
                </c:pt>
                <c:pt idx="493">
                  <c:v>42853</c:v>
                </c:pt>
                <c:pt idx="494">
                  <c:v>42857</c:v>
                </c:pt>
                <c:pt idx="495">
                  <c:v>42858</c:v>
                </c:pt>
                <c:pt idx="496">
                  <c:v>42859</c:v>
                </c:pt>
                <c:pt idx="497">
                  <c:v>42860</c:v>
                </c:pt>
                <c:pt idx="498">
                  <c:v>42863</c:v>
                </c:pt>
                <c:pt idx="499">
                  <c:v>42864</c:v>
                </c:pt>
                <c:pt idx="500">
                  <c:v>42865</c:v>
                </c:pt>
                <c:pt idx="501">
                  <c:v>42866</c:v>
                </c:pt>
                <c:pt idx="502">
                  <c:v>42867</c:v>
                </c:pt>
                <c:pt idx="503">
                  <c:v>42870</c:v>
                </c:pt>
                <c:pt idx="504">
                  <c:v>42871</c:v>
                </c:pt>
                <c:pt idx="505">
                  <c:v>42872</c:v>
                </c:pt>
                <c:pt idx="506">
                  <c:v>42873</c:v>
                </c:pt>
                <c:pt idx="507">
                  <c:v>42874</c:v>
                </c:pt>
                <c:pt idx="508">
                  <c:v>42877</c:v>
                </c:pt>
                <c:pt idx="509">
                  <c:v>42878</c:v>
                </c:pt>
                <c:pt idx="510">
                  <c:v>42879</c:v>
                </c:pt>
                <c:pt idx="511">
                  <c:v>42881</c:v>
                </c:pt>
                <c:pt idx="512">
                  <c:v>42884</c:v>
                </c:pt>
                <c:pt idx="513">
                  <c:v>42885</c:v>
                </c:pt>
                <c:pt idx="514">
                  <c:v>42886</c:v>
                </c:pt>
                <c:pt idx="515">
                  <c:v>42887</c:v>
                </c:pt>
                <c:pt idx="516">
                  <c:v>42888</c:v>
                </c:pt>
                <c:pt idx="517">
                  <c:v>42892</c:v>
                </c:pt>
                <c:pt idx="518">
                  <c:v>42898</c:v>
                </c:pt>
                <c:pt idx="519">
                  <c:v>42905</c:v>
                </c:pt>
                <c:pt idx="520">
                  <c:v>42913</c:v>
                </c:pt>
                <c:pt idx="521">
                  <c:v>42919</c:v>
                </c:pt>
                <c:pt idx="522">
                  <c:v>42926</c:v>
                </c:pt>
                <c:pt idx="523">
                  <c:v>42933</c:v>
                </c:pt>
                <c:pt idx="524">
                  <c:v>42940</c:v>
                </c:pt>
                <c:pt idx="525">
                  <c:v>42947</c:v>
                </c:pt>
                <c:pt idx="526">
                  <c:v>42954</c:v>
                </c:pt>
                <c:pt idx="527">
                  <c:v>42961</c:v>
                </c:pt>
                <c:pt idx="528">
                  <c:v>42968</c:v>
                </c:pt>
                <c:pt idx="529">
                  <c:v>42975</c:v>
                </c:pt>
                <c:pt idx="530">
                  <c:v>42982</c:v>
                </c:pt>
                <c:pt idx="531">
                  <c:v>42989</c:v>
                </c:pt>
                <c:pt idx="532">
                  <c:v>42996</c:v>
                </c:pt>
                <c:pt idx="533">
                  <c:v>43003</c:v>
                </c:pt>
                <c:pt idx="534">
                  <c:v>43010</c:v>
                </c:pt>
                <c:pt idx="535">
                  <c:v>43017</c:v>
                </c:pt>
                <c:pt idx="536">
                  <c:v>43024</c:v>
                </c:pt>
                <c:pt idx="537">
                  <c:v>43031</c:v>
                </c:pt>
                <c:pt idx="538">
                  <c:v>43038</c:v>
                </c:pt>
                <c:pt idx="539">
                  <c:v>43045</c:v>
                </c:pt>
                <c:pt idx="540">
                  <c:v>43052</c:v>
                </c:pt>
                <c:pt idx="541">
                  <c:v>43059</c:v>
                </c:pt>
                <c:pt idx="542">
                  <c:v>43066</c:v>
                </c:pt>
                <c:pt idx="543">
                  <c:v>43073</c:v>
                </c:pt>
                <c:pt idx="544">
                  <c:v>43080</c:v>
                </c:pt>
                <c:pt idx="545">
                  <c:v>43087</c:v>
                </c:pt>
                <c:pt idx="546">
                  <c:v>43096</c:v>
                </c:pt>
                <c:pt idx="547">
                  <c:v>43102</c:v>
                </c:pt>
                <c:pt idx="548">
                  <c:v>43108</c:v>
                </c:pt>
                <c:pt idx="549">
                  <c:v>43115</c:v>
                </c:pt>
                <c:pt idx="550">
                  <c:v>43122</c:v>
                </c:pt>
                <c:pt idx="551">
                  <c:v>43129</c:v>
                </c:pt>
                <c:pt idx="552">
                  <c:v>43136</c:v>
                </c:pt>
                <c:pt idx="553">
                  <c:v>43143</c:v>
                </c:pt>
                <c:pt idx="554">
                  <c:v>43150</c:v>
                </c:pt>
                <c:pt idx="555">
                  <c:v>43157</c:v>
                </c:pt>
                <c:pt idx="556">
                  <c:v>43164</c:v>
                </c:pt>
                <c:pt idx="557">
                  <c:v>43171</c:v>
                </c:pt>
                <c:pt idx="558">
                  <c:v>43178</c:v>
                </c:pt>
                <c:pt idx="559">
                  <c:v>43185</c:v>
                </c:pt>
                <c:pt idx="560">
                  <c:v>43194</c:v>
                </c:pt>
                <c:pt idx="561">
                  <c:v>43199</c:v>
                </c:pt>
                <c:pt idx="562">
                  <c:v>43206</c:v>
                </c:pt>
                <c:pt idx="563">
                  <c:v>43213</c:v>
                </c:pt>
                <c:pt idx="564">
                  <c:v>43220</c:v>
                </c:pt>
                <c:pt idx="565">
                  <c:v>43227</c:v>
                </c:pt>
                <c:pt idx="566">
                  <c:v>43235</c:v>
                </c:pt>
                <c:pt idx="567">
                  <c:v>43243</c:v>
                </c:pt>
                <c:pt idx="568">
                  <c:v>43249</c:v>
                </c:pt>
                <c:pt idx="569">
                  <c:v>43256</c:v>
                </c:pt>
                <c:pt idx="570">
                  <c:v>43263</c:v>
                </c:pt>
                <c:pt idx="571">
                  <c:v>43270</c:v>
                </c:pt>
                <c:pt idx="572">
                  <c:v>43278</c:v>
                </c:pt>
                <c:pt idx="573">
                  <c:v>43285</c:v>
                </c:pt>
                <c:pt idx="574">
                  <c:v>43292</c:v>
                </c:pt>
                <c:pt idx="575">
                  <c:v>43299</c:v>
                </c:pt>
                <c:pt idx="576">
                  <c:v>43306</c:v>
                </c:pt>
                <c:pt idx="577">
                  <c:v>43313</c:v>
                </c:pt>
                <c:pt idx="578">
                  <c:v>43320</c:v>
                </c:pt>
                <c:pt idx="579">
                  <c:v>43327</c:v>
                </c:pt>
                <c:pt idx="580">
                  <c:v>43334</c:v>
                </c:pt>
                <c:pt idx="581">
                  <c:v>43341</c:v>
                </c:pt>
                <c:pt idx="582">
                  <c:v>43348</c:v>
                </c:pt>
                <c:pt idx="583">
                  <c:v>43355</c:v>
                </c:pt>
                <c:pt idx="584">
                  <c:v>43362</c:v>
                </c:pt>
                <c:pt idx="585">
                  <c:v>43369</c:v>
                </c:pt>
                <c:pt idx="586">
                  <c:v>43376</c:v>
                </c:pt>
                <c:pt idx="587">
                  <c:v>43383</c:v>
                </c:pt>
                <c:pt idx="588">
                  <c:v>43390</c:v>
                </c:pt>
                <c:pt idx="589">
                  <c:v>43397</c:v>
                </c:pt>
                <c:pt idx="590">
                  <c:v>43404</c:v>
                </c:pt>
                <c:pt idx="591">
                  <c:v>43411</c:v>
                </c:pt>
                <c:pt idx="592">
                  <c:v>43418</c:v>
                </c:pt>
                <c:pt idx="593">
                  <c:v>43425</c:v>
                </c:pt>
                <c:pt idx="594">
                  <c:v>43432</c:v>
                </c:pt>
                <c:pt idx="595">
                  <c:v>43439</c:v>
                </c:pt>
                <c:pt idx="596">
                  <c:v>43446</c:v>
                </c:pt>
                <c:pt idx="597">
                  <c:v>43453</c:v>
                </c:pt>
                <c:pt idx="598">
                  <c:v>43467</c:v>
                </c:pt>
                <c:pt idx="599">
                  <c:v>43472</c:v>
                </c:pt>
                <c:pt idx="600">
                  <c:v>43479</c:v>
                </c:pt>
                <c:pt idx="601">
                  <c:v>43486</c:v>
                </c:pt>
                <c:pt idx="602">
                  <c:v>43493</c:v>
                </c:pt>
                <c:pt idx="603">
                  <c:v>43500</c:v>
                </c:pt>
                <c:pt idx="604">
                  <c:v>43507</c:v>
                </c:pt>
                <c:pt idx="605">
                  <c:v>43514</c:v>
                </c:pt>
                <c:pt idx="606">
                  <c:v>43521</c:v>
                </c:pt>
                <c:pt idx="607">
                  <c:v>43528</c:v>
                </c:pt>
                <c:pt idx="608">
                  <c:v>43535</c:v>
                </c:pt>
                <c:pt idx="609">
                  <c:v>43542</c:v>
                </c:pt>
                <c:pt idx="610">
                  <c:v>43549</c:v>
                </c:pt>
                <c:pt idx="611">
                  <c:v>43556</c:v>
                </c:pt>
                <c:pt idx="612">
                  <c:v>43563</c:v>
                </c:pt>
                <c:pt idx="613">
                  <c:v>43570</c:v>
                </c:pt>
                <c:pt idx="614">
                  <c:v>43579</c:v>
                </c:pt>
                <c:pt idx="615">
                  <c:v>43584</c:v>
                </c:pt>
                <c:pt idx="616">
                  <c:v>43591</c:v>
                </c:pt>
                <c:pt idx="617">
                  <c:v>43598</c:v>
                </c:pt>
                <c:pt idx="618">
                  <c:v>43605</c:v>
                </c:pt>
                <c:pt idx="619">
                  <c:v>43612</c:v>
                </c:pt>
                <c:pt idx="620">
                  <c:v>43620</c:v>
                </c:pt>
                <c:pt idx="621">
                  <c:v>43628</c:v>
                </c:pt>
                <c:pt idx="622">
                  <c:v>43634</c:v>
                </c:pt>
                <c:pt idx="623">
                  <c:v>43642</c:v>
                </c:pt>
                <c:pt idx="624">
                  <c:v>43649</c:v>
                </c:pt>
                <c:pt idx="625">
                  <c:v>43656</c:v>
                </c:pt>
                <c:pt idx="626">
                  <c:v>43663</c:v>
                </c:pt>
                <c:pt idx="627">
                  <c:v>43670</c:v>
                </c:pt>
                <c:pt idx="628">
                  <c:v>43677</c:v>
                </c:pt>
                <c:pt idx="629">
                  <c:v>43684</c:v>
                </c:pt>
                <c:pt idx="630">
                  <c:v>43691</c:v>
                </c:pt>
                <c:pt idx="631">
                  <c:v>43698</c:v>
                </c:pt>
                <c:pt idx="632">
                  <c:v>43705</c:v>
                </c:pt>
                <c:pt idx="633">
                  <c:v>43712</c:v>
                </c:pt>
                <c:pt idx="634">
                  <c:v>43719</c:v>
                </c:pt>
                <c:pt idx="635">
                  <c:v>43726</c:v>
                </c:pt>
                <c:pt idx="636">
                  <c:v>43733</c:v>
                </c:pt>
                <c:pt idx="637">
                  <c:v>43740</c:v>
                </c:pt>
                <c:pt idx="638">
                  <c:v>43747</c:v>
                </c:pt>
                <c:pt idx="639">
                  <c:v>43754</c:v>
                </c:pt>
                <c:pt idx="640">
                  <c:v>43761</c:v>
                </c:pt>
                <c:pt idx="641">
                  <c:v>43768</c:v>
                </c:pt>
                <c:pt idx="642">
                  <c:v>43775</c:v>
                </c:pt>
                <c:pt idx="643">
                  <c:v>43782</c:v>
                </c:pt>
                <c:pt idx="644">
                  <c:v>43789</c:v>
                </c:pt>
                <c:pt idx="645">
                  <c:v>43796</c:v>
                </c:pt>
                <c:pt idx="646">
                  <c:v>43803</c:v>
                </c:pt>
                <c:pt idx="647">
                  <c:v>43810</c:v>
                </c:pt>
                <c:pt idx="648">
                  <c:v>43817</c:v>
                </c:pt>
                <c:pt idx="649">
                  <c:v>43829</c:v>
                </c:pt>
                <c:pt idx="650">
                  <c:v>43833</c:v>
                </c:pt>
                <c:pt idx="651">
                  <c:v>43839</c:v>
                </c:pt>
                <c:pt idx="652">
                  <c:v>43846</c:v>
                </c:pt>
                <c:pt idx="653">
                  <c:v>43853</c:v>
                </c:pt>
                <c:pt idx="654">
                  <c:v>43860</c:v>
                </c:pt>
                <c:pt idx="655">
                  <c:v>43867</c:v>
                </c:pt>
                <c:pt idx="656">
                  <c:v>43874</c:v>
                </c:pt>
                <c:pt idx="657">
                  <c:v>43881</c:v>
                </c:pt>
                <c:pt idx="658">
                  <c:v>43888</c:v>
                </c:pt>
                <c:pt idx="659">
                  <c:v>43895</c:v>
                </c:pt>
                <c:pt idx="660">
                  <c:v>43902</c:v>
                </c:pt>
                <c:pt idx="661">
                  <c:v>43909</c:v>
                </c:pt>
                <c:pt idx="662">
                  <c:v>43916</c:v>
                </c:pt>
                <c:pt idx="663">
                  <c:v>43923</c:v>
                </c:pt>
                <c:pt idx="664">
                  <c:v>43930</c:v>
                </c:pt>
                <c:pt idx="665">
                  <c:v>43937</c:v>
                </c:pt>
                <c:pt idx="666">
                  <c:v>43944</c:v>
                </c:pt>
                <c:pt idx="667">
                  <c:v>43951</c:v>
                </c:pt>
                <c:pt idx="668">
                  <c:v>43958</c:v>
                </c:pt>
                <c:pt idx="669">
                  <c:v>43965</c:v>
                </c:pt>
                <c:pt idx="670">
                  <c:v>43973</c:v>
                </c:pt>
                <c:pt idx="671">
                  <c:v>43979</c:v>
                </c:pt>
                <c:pt idx="672">
                  <c:v>43986</c:v>
                </c:pt>
                <c:pt idx="673">
                  <c:v>43993</c:v>
                </c:pt>
                <c:pt idx="674">
                  <c:v>44000</c:v>
                </c:pt>
                <c:pt idx="675">
                  <c:v>44007</c:v>
                </c:pt>
                <c:pt idx="676">
                  <c:v>44014</c:v>
                </c:pt>
                <c:pt idx="677">
                  <c:v>44021</c:v>
                </c:pt>
                <c:pt idx="678">
                  <c:v>44028</c:v>
                </c:pt>
                <c:pt idx="679">
                  <c:v>44035</c:v>
                </c:pt>
                <c:pt idx="680">
                  <c:v>44042</c:v>
                </c:pt>
                <c:pt idx="681">
                  <c:v>44049</c:v>
                </c:pt>
                <c:pt idx="682">
                  <c:v>44056</c:v>
                </c:pt>
                <c:pt idx="683">
                  <c:v>44063</c:v>
                </c:pt>
                <c:pt idx="684">
                  <c:v>44070</c:v>
                </c:pt>
                <c:pt idx="685">
                  <c:v>44077</c:v>
                </c:pt>
                <c:pt idx="686">
                  <c:v>44084</c:v>
                </c:pt>
                <c:pt idx="687">
                  <c:v>44091</c:v>
                </c:pt>
                <c:pt idx="688">
                  <c:v>44098</c:v>
                </c:pt>
                <c:pt idx="689">
                  <c:v>44105</c:v>
                </c:pt>
                <c:pt idx="690">
                  <c:v>44112</c:v>
                </c:pt>
                <c:pt idx="691">
                  <c:v>44119</c:v>
                </c:pt>
                <c:pt idx="692">
                  <c:v>44126</c:v>
                </c:pt>
                <c:pt idx="693">
                  <c:v>44133</c:v>
                </c:pt>
                <c:pt idx="694">
                  <c:v>44140</c:v>
                </c:pt>
                <c:pt idx="695">
                  <c:v>44147</c:v>
                </c:pt>
                <c:pt idx="696">
                  <c:v>44154</c:v>
                </c:pt>
                <c:pt idx="697">
                  <c:v>44161</c:v>
                </c:pt>
                <c:pt idx="698">
                  <c:v>44168</c:v>
                </c:pt>
                <c:pt idx="699">
                  <c:v>44175</c:v>
                </c:pt>
                <c:pt idx="700">
                  <c:v>44182</c:v>
                </c:pt>
                <c:pt idx="701">
                  <c:v>44193</c:v>
                </c:pt>
                <c:pt idx="702">
                  <c:v>44200</c:v>
                </c:pt>
                <c:pt idx="703">
                  <c:v>44204</c:v>
                </c:pt>
                <c:pt idx="704">
                  <c:v>44210</c:v>
                </c:pt>
                <c:pt idx="705">
                  <c:v>44217</c:v>
                </c:pt>
                <c:pt idx="706">
                  <c:v>44224</c:v>
                </c:pt>
                <c:pt idx="707">
                  <c:v>44231</c:v>
                </c:pt>
                <c:pt idx="708">
                  <c:v>44238</c:v>
                </c:pt>
                <c:pt idx="709">
                  <c:v>44245</c:v>
                </c:pt>
                <c:pt idx="710">
                  <c:v>44252</c:v>
                </c:pt>
                <c:pt idx="711">
                  <c:v>44259</c:v>
                </c:pt>
                <c:pt idx="712">
                  <c:v>44266</c:v>
                </c:pt>
                <c:pt idx="713">
                  <c:v>44273</c:v>
                </c:pt>
                <c:pt idx="714">
                  <c:v>44280</c:v>
                </c:pt>
                <c:pt idx="715">
                  <c:v>44287</c:v>
                </c:pt>
                <c:pt idx="716">
                  <c:v>44294</c:v>
                </c:pt>
                <c:pt idx="717">
                  <c:v>44301</c:v>
                </c:pt>
                <c:pt idx="718">
                  <c:v>44308</c:v>
                </c:pt>
                <c:pt idx="719">
                  <c:v>44315</c:v>
                </c:pt>
                <c:pt idx="720">
                  <c:v>44322</c:v>
                </c:pt>
                <c:pt idx="721">
                  <c:v>44330</c:v>
                </c:pt>
                <c:pt idx="722">
                  <c:v>44336</c:v>
                </c:pt>
                <c:pt idx="723">
                  <c:v>44343</c:v>
                </c:pt>
                <c:pt idx="724">
                  <c:v>44350</c:v>
                </c:pt>
                <c:pt idx="725">
                  <c:v>44357</c:v>
                </c:pt>
                <c:pt idx="726">
                  <c:v>44364</c:v>
                </c:pt>
                <c:pt idx="727">
                  <c:v>44371</c:v>
                </c:pt>
                <c:pt idx="728">
                  <c:v>44378</c:v>
                </c:pt>
                <c:pt idx="729">
                  <c:v>44385</c:v>
                </c:pt>
                <c:pt idx="730">
                  <c:v>44392</c:v>
                </c:pt>
                <c:pt idx="731">
                  <c:v>44399</c:v>
                </c:pt>
                <c:pt idx="732">
                  <c:v>44406</c:v>
                </c:pt>
                <c:pt idx="733">
                  <c:v>44413</c:v>
                </c:pt>
                <c:pt idx="734">
                  <c:v>44420</c:v>
                </c:pt>
                <c:pt idx="735">
                  <c:v>44427</c:v>
                </c:pt>
                <c:pt idx="736">
                  <c:v>44434</c:v>
                </c:pt>
                <c:pt idx="737">
                  <c:v>44441</c:v>
                </c:pt>
                <c:pt idx="738">
                  <c:v>44448</c:v>
                </c:pt>
                <c:pt idx="739">
                  <c:v>44455</c:v>
                </c:pt>
                <c:pt idx="740">
                  <c:v>44462</c:v>
                </c:pt>
                <c:pt idx="741">
                  <c:v>44469</c:v>
                </c:pt>
                <c:pt idx="742">
                  <c:v>44476</c:v>
                </c:pt>
                <c:pt idx="743">
                  <c:v>44483</c:v>
                </c:pt>
                <c:pt idx="744">
                  <c:v>44490</c:v>
                </c:pt>
                <c:pt idx="745">
                  <c:v>44497</c:v>
                </c:pt>
                <c:pt idx="746">
                  <c:v>44504</c:v>
                </c:pt>
                <c:pt idx="747">
                  <c:v>44511</c:v>
                </c:pt>
                <c:pt idx="748">
                  <c:v>44518</c:v>
                </c:pt>
                <c:pt idx="749">
                  <c:v>44525</c:v>
                </c:pt>
                <c:pt idx="750">
                  <c:v>44532</c:v>
                </c:pt>
                <c:pt idx="751">
                  <c:v>44539</c:v>
                </c:pt>
                <c:pt idx="752">
                  <c:v>44546</c:v>
                </c:pt>
                <c:pt idx="753">
                  <c:v>44553</c:v>
                </c:pt>
                <c:pt idx="754">
                  <c:v>44560</c:v>
                </c:pt>
                <c:pt idx="755">
                  <c:v>44568</c:v>
                </c:pt>
                <c:pt idx="756">
                  <c:v>44574</c:v>
                </c:pt>
                <c:pt idx="757">
                  <c:v>44581</c:v>
                </c:pt>
                <c:pt idx="758">
                  <c:v>44588</c:v>
                </c:pt>
                <c:pt idx="759">
                  <c:v>44595</c:v>
                </c:pt>
                <c:pt idx="760">
                  <c:v>44602</c:v>
                </c:pt>
                <c:pt idx="761">
                  <c:v>44609</c:v>
                </c:pt>
                <c:pt idx="762">
                  <c:v>44616</c:v>
                </c:pt>
                <c:pt idx="763">
                  <c:v>44623</c:v>
                </c:pt>
                <c:pt idx="764">
                  <c:v>44630</c:v>
                </c:pt>
                <c:pt idx="765">
                  <c:v>44637</c:v>
                </c:pt>
                <c:pt idx="766">
                  <c:v>44644</c:v>
                </c:pt>
                <c:pt idx="767">
                  <c:v>44651</c:v>
                </c:pt>
                <c:pt idx="768">
                  <c:v>44658</c:v>
                </c:pt>
                <c:pt idx="769">
                  <c:v>44665</c:v>
                </c:pt>
                <c:pt idx="770">
                  <c:v>44672</c:v>
                </c:pt>
                <c:pt idx="771">
                  <c:v>44679</c:v>
                </c:pt>
                <c:pt idx="772">
                  <c:v>44686</c:v>
                </c:pt>
                <c:pt idx="773">
                  <c:v>44693</c:v>
                </c:pt>
                <c:pt idx="774">
                  <c:v>44700</c:v>
                </c:pt>
                <c:pt idx="775">
                  <c:v>44708</c:v>
                </c:pt>
                <c:pt idx="776">
                  <c:v>44714</c:v>
                </c:pt>
                <c:pt idx="777">
                  <c:v>44721</c:v>
                </c:pt>
                <c:pt idx="778">
                  <c:v>44728</c:v>
                </c:pt>
                <c:pt idx="779">
                  <c:v>44735</c:v>
                </c:pt>
                <c:pt idx="780">
                  <c:v>44742</c:v>
                </c:pt>
                <c:pt idx="781">
                  <c:v>44749</c:v>
                </c:pt>
                <c:pt idx="782">
                  <c:v>44756</c:v>
                </c:pt>
                <c:pt idx="783">
                  <c:v>44763</c:v>
                </c:pt>
                <c:pt idx="784">
                  <c:v>44770</c:v>
                </c:pt>
                <c:pt idx="785">
                  <c:v>44777</c:v>
                </c:pt>
                <c:pt idx="786">
                  <c:v>44784</c:v>
                </c:pt>
                <c:pt idx="787">
                  <c:v>44791</c:v>
                </c:pt>
                <c:pt idx="788">
                  <c:v>44798</c:v>
                </c:pt>
                <c:pt idx="789">
                  <c:v>44805</c:v>
                </c:pt>
                <c:pt idx="790">
                  <c:v>44812</c:v>
                </c:pt>
                <c:pt idx="791">
                  <c:v>44819</c:v>
                </c:pt>
                <c:pt idx="792">
                  <c:v>44826</c:v>
                </c:pt>
                <c:pt idx="793">
                  <c:v>44833</c:v>
                </c:pt>
                <c:pt idx="794">
                  <c:v>44840</c:v>
                </c:pt>
                <c:pt idx="795">
                  <c:v>44847</c:v>
                </c:pt>
                <c:pt idx="796">
                  <c:v>44854</c:v>
                </c:pt>
                <c:pt idx="797">
                  <c:v>44861</c:v>
                </c:pt>
                <c:pt idx="798">
                  <c:v>44868</c:v>
                </c:pt>
                <c:pt idx="799">
                  <c:v>44875</c:v>
                </c:pt>
                <c:pt idx="800">
                  <c:v>44882</c:v>
                </c:pt>
                <c:pt idx="801">
                  <c:v>44889</c:v>
                </c:pt>
                <c:pt idx="802">
                  <c:v>44896</c:v>
                </c:pt>
                <c:pt idx="803">
                  <c:v>44903</c:v>
                </c:pt>
                <c:pt idx="804">
                  <c:v>44910</c:v>
                </c:pt>
                <c:pt idx="805">
                  <c:v>44917</c:v>
                </c:pt>
                <c:pt idx="806">
                  <c:v>44924</c:v>
                </c:pt>
                <c:pt idx="807">
                  <c:v>44931</c:v>
                </c:pt>
                <c:pt idx="808">
                  <c:v>44938</c:v>
                </c:pt>
                <c:pt idx="809">
                  <c:v>44945</c:v>
                </c:pt>
                <c:pt idx="810">
                  <c:v>44952</c:v>
                </c:pt>
                <c:pt idx="811">
                  <c:v>44959</c:v>
                </c:pt>
                <c:pt idx="812">
                  <c:v>44966</c:v>
                </c:pt>
                <c:pt idx="813">
                  <c:v>44973</c:v>
                </c:pt>
                <c:pt idx="814">
                  <c:v>44980</c:v>
                </c:pt>
                <c:pt idx="815">
                  <c:v>44987</c:v>
                </c:pt>
                <c:pt idx="816">
                  <c:v>44994</c:v>
                </c:pt>
                <c:pt idx="817">
                  <c:v>45001</c:v>
                </c:pt>
                <c:pt idx="818">
                  <c:v>45008</c:v>
                </c:pt>
                <c:pt idx="819">
                  <c:v>45015</c:v>
                </c:pt>
                <c:pt idx="820">
                  <c:v>45022</c:v>
                </c:pt>
                <c:pt idx="821">
                  <c:v>45029</c:v>
                </c:pt>
                <c:pt idx="822">
                  <c:v>45036</c:v>
                </c:pt>
                <c:pt idx="823">
                  <c:v>45043</c:v>
                </c:pt>
                <c:pt idx="824">
                  <c:v>45050</c:v>
                </c:pt>
                <c:pt idx="825">
                  <c:v>45057</c:v>
                </c:pt>
                <c:pt idx="826">
                  <c:v>45065</c:v>
                </c:pt>
                <c:pt idx="827">
                  <c:v>45071</c:v>
                </c:pt>
                <c:pt idx="828">
                  <c:v>45078</c:v>
                </c:pt>
                <c:pt idx="829">
                  <c:v>45085</c:v>
                </c:pt>
                <c:pt idx="830">
                  <c:v>45092</c:v>
                </c:pt>
                <c:pt idx="831">
                  <c:v>45099</c:v>
                </c:pt>
                <c:pt idx="832">
                  <c:v>45106</c:v>
                </c:pt>
                <c:pt idx="833">
                  <c:v>45113</c:v>
                </c:pt>
                <c:pt idx="834">
                  <c:v>45120</c:v>
                </c:pt>
                <c:pt idx="835">
                  <c:v>45127</c:v>
                </c:pt>
                <c:pt idx="836">
                  <c:v>45134</c:v>
                </c:pt>
                <c:pt idx="837">
                  <c:v>45141</c:v>
                </c:pt>
                <c:pt idx="838">
                  <c:v>45148</c:v>
                </c:pt>
                <c:pt idx="839">
                  <c:v>45155</c:v>
                </c:pt>
                <c:pt idx="840">
                  <c:v>45162</c:v>
                </c:pt>
                <c:pt idx="841">
                  <c:v>45169</c:v>
                </c:pt>
                <c:pt idx="842">
                  <c:v>45176</c:v>
                </c:pt>
                <c:pt idx="843">
                  <c:v>45183</c:v>
                </c:pt>
                <c:pt idx="844">
                  <c:v>45190</c:v>
                </c:pt>
                <c:pt idx="845">
                  <c:v>45197</c:v>
                </c:pt>
                <c:pt idx="846">
                  <c:v>45204</c:v>
                </c:pt>
                <c:pt idx="847">
                  <c:v>45211</c:v>
                </c:pt>
                <c:pt idx="848">
                  <c:v>45218</c:v>
                </c:pt>
                <c:pt idx="849">
                  <c:v>45225</c:v>
                </c:pt>
                <c:pt idx="850">
                  <c:v>45232</c:v>
                </c:pt>
                <c:pt idx="851">
                  <c:v>45239</c:v>
                </c:pt>
                <c:pt idx="852">
                  <c:v>45246</c:v>
                </c:pt>
                <c:pt idx="853">
                  <c:v>45253</c:v>
                </c:pt>
                <c:pt idx="854">
                  <c:v>45260</c:v>
                </c:pt>
                <c:pt idx="855">
                  <c:v>45267</c:v>
                </c:pt>
                <c:pt idx="856">
                  <c:v>45274</c:v>
                </c:pt>
                <c:pt idx="857">
                  <c:v>45281</c:v>
                </c:pt>
                <c:pt idx="858">
                  <c:v>45289</c:v>
                </c:pt>
                <c:pt idx="859">
                  <c:v>45296</c:v>
                </c:pt>
                <c:pt idx="860">
                  <c:v>45303</c:v>
                </c:pt>
                <c:pt idx="861">
                  <c:v>45310</c:v>
                </c:pt>
                <c:pt idx="862">
                  <c:v>45317</c:v>
                </c:pt>
                <c:pt idx="863">
                  <c:v>45324</c:v>
                </c:pt>
                <c:pt idx="864">
                  <c:v>45331</c:v>
                </c:pt>
                <c:pt idx="865">
                  <c:v>45338</c:v>
                </c:pt>
                <c:pt idx="866">
                  <c:v>45345</c:v>
                </c:pt>
                <c:pt idx="867">
                  <c:v>45352</c:v>
                </c:pt>
                <c:pt idx="868">
                  <c:v>45359</c:v>
                </c:pt>
                <c:pt idx="869">
                  <c:v>45366</c:v>
                </c:pt>
                <c:pt idx="870">
                  <c:v>45373</c:v>
                </c:pt>
                <c:pt idx="871">
                  <c:v>45384</c:v>
                </c:pt>
                <c:pt idx="872">
                  <c:v>45387</c:v>
                </c:pt>
                <c:pt idx="873">
                  <c:v>45394</c:v>
                </c:pt>
                <c:pt idx="874">
                  <c:v>45401</c:v>
                </c:pt>
                <c:pt idx="875">
                  <c:v>45408</c:v>
                </c:pt>
                <c:pt idx="876">
                  <c:v>45418</c:v>
                </c:pt>
                <c:pt idx="877">
                  <c:v>45426</c:v>
                </c:pt>
                <c:pt idx="878">
                  <c:v>45434</c:v>
                </c:pt>
                <c:pt idx="879">
                  <c:v>45440</c:v>
                </c:pt>
                <c:pt idx="880">
                  <c:v>45447</c:v>
                </c:pt>
                <c:pt idx="881">
                  <c:v>45454</c:v>
                </c:pt>
                <c:pt idx="882">
                  <c:v>45461</c:v>
                </c:pt>
                <c:pt idx="883">
                  <c:v>45469</c:v>
                </c:pt>
                <c:pt idx="884">
                  <c:v>45476</c:v>
                </c:pt>
                <c:pt idx="885">
                  <c:v>45483</c:v>
                </c:pt>
                <c:pt idx="886">
                  <c:v>45490</c:v>
                </c:pt>
                <c:pt idx="887">
                  <c:v>45497</c:v>
                </c:pt>
                <c:pt idx="888">
                  <c:v>45504</c:v>
                </c:pt>
                <c:pt idx="889">
                  <c:v>45511</c:v>
                </c:pt>
                <c:pt idx="890">
                  <c:v>45518</c:v>
                </c:pt>
                <c:pt idx="891">
                  <c:v>45525</c:v>
                </c:pt>
                <c:pt idx="892">
                  <c:v>45532</c:v>
                </c:pt>
                <c:pt idx="893">
                  <c:v>45539</c:v>
                </c:pt>
                <c:pt idx="894">
                  <c:v>45546</c:v>
                </c:pt>
                <c:pt idx="895">
                  <c:v>45553</c:v>
                </c:pt>
                <c:pt idx="896">
                  <c:v>45560</c:v>
                </c:pt>
                <c:pt idx="897">
                  <c:v>45567</c:v>
                </c:pt>
                <c:pt idx="898">
                  <c:v>45574</c:v>
                </c:pt>
                <c:pt idx="899">
                  <c:v>45581</c:v>
                </c:pt>
                <c:pt idx="900">
                  <c:v>45588</c:v>
                </c:pt>
                <c:pt idx="901">
                  <c:v>45595</c:v>
                </c:pt>
                <c:pt idx="902">
                  <c:v>45602</c:v>
                </c:pt>
                <c:pt idx="903">
                  <c:v>45609</c:v>
                </c:pt>
                <c:pt idx="904">
                  <c:v>45616</c:v>
                </c:pt>
                <c:pt idx="905">
                  <c:v>45623</c:v>
                </c:pt>
                <c:pt idx="906">
                  <c:v>45630</c:v>
                </c:pt>
                <c:pt idx="907">
                  <c:v>45637</c:v>
                </c:pt>
                <c:pt idx="908">
                  <c:v>45644</c:v>
                </c:pt>
                <c:pt idx="909">
                  <c:v>45656</c:v>
                </c:pt>
                <c:pt idx="910">
                  <c:v>45660</c:v>
                </c:pt>
                <c:pt idx="911">
                  <c:v>45666</c:v>
                </c:pt>
                <c:pt idx="912">
                  <c:v>45673</c:v>
                </c:pt>
                <c:pt idx="913">
                  <c:v>45680</c:v>
                </c:pt>
                <c:pt idx="914">
                  <c:v>45687</c:v>
                </c:pt>
                <c:pt idx="915">
                  <c:v>45694</c:v>
                </c:pt>
                <c:pt idx="916">
                  <c:v>45701</c:v>
                </c:pt>
                <c:pt idx="917">
                  <c:v>45708</c:v>
                </c:pt>
                <c:pt idx="918">
                  <c:v>45715</c:v>
                </c:pt>
                <c:pt idx="919">
                  <c:v>45722</c:v>
                </c:pt>
                <c:pt idx="920">
                  <c:v>45729</c:v>
                </c:pt>
                <c:pt idx="921">
                  <c:v>45736</c:v>
                </c:pt>
                <c:pt idx="922">
                  <c:v>45743</c:v>
                </c:pt>
                <c:pt idx="923">
                  <c:v>45750</c:v>
                </c:pt>
                <c:pt idx="924">
                  <c:v>45757</c:v>
                </c:pt>
                <c:pt idx="925">
                  <c:v>45764</c:v>
                </c:pt>
                <c:pt idx="926">
                  <c:v>45771</c:v>
                </c:pt>
                <c:pt idx="927">
                  <c:v>45779</c:v>
                </c:pt>
                <c:pt idx="928">
                  <c:v>45785</c:v>
                </c:pt>
                <c:pt idx="929">
                  <c:v>45792</c:v>
                </c:pt>
                <c:pt idx="930">
                  <c:v>45799</c:v>
                </c:pt>
                <c:pt idx="931">
                  <c:v>45807</c:v>
                </c:pt>
                <c:pt idx="932">
                  <c:v>45813</c:v>
                </c:pt>
                <c:pt idx="933">
                  <c:v>45820</c:v>
                </c:pt>
                <c:pt idx="934">
                  <c:v>45827</c:v>
                </c:pt>
                <c:pt idx="935">
                  <c:v>45834</c:v>
                </c:pt>
                <c:pt idx="936">
                  <c:v>45841</c:v>
                </c:pt>
                <c:pt idx="937">
                  <c:v>45848</c:v>
                </c:pt>
                <c:pt idx="938">
                  <c:v>45855</c:v>
                </c:pt>
                <c:pt idx="939">
                  <c:v>45862</c:v>
                </c:pt>
                <c:pt idx="940">
                  <c:v>45869</c:v>
                </c:pt>
                <c:pt idx="941">
                  <c:v>45876</c:v>
                </c:pt>
                <c:pt idx="942">
                  <c:v>45883</c:v>
                </c:pt>
                <c:pt idx="943">
                  <c:v>45890</c:v>
                </c:pt>
                <c:pt idx="944">
                  <c:v>45897</c:v>
                </c:pt>
                <c:pt idx="945">
                  <c:v>45904</c:v>
                </c:pt>
                <c:pt idx="946">
                  <c:v>45911</c:v>
                </c:pt>
                <c:pt idx="947">
                  <c:v>45918</c:v>
                </c:pt>
                <c:pt idx="948">
                  <c:v>45925</c:v>
                </c:pt>
                <c:pt idx="949">
                  <c:v>45932</c:v>
                </c:pt>
                <c:pt idx="950">
                  <c:v>45939</c:v>
                </c:pt>
                <c:pt idx="951">
                  <c:v>45946</c:v>
                </c:pt>
                <c:pt idx="952">
                  <c:v>45953</c:v>
                </c:pt>
                <c:pt idx="953">
                  <c:v>45960</c:v>
                </c:pt>
                <c:pt idx="954">
                  <c:v>45967</c:v>
                </c:pt>
                <c:pt idx="955">
                  <c:v>45974</c:v>
                </c:pt>
                <c:pt idx="956">
                  <c:v>45981</c:v>
                </c:pt>
                <c:pt idx="957">
                  <c:v>45988</c:v>
                </c:pt>
                <c:pt idx="958">
                  <c:v>45995</c:v>
                </c:pt>
                <c:pt idx="959">
                  <c:v>46002</c:v>
                </c:pt>
                <c:pt idx="960">
                  <c:v>46009</c:v>
                </c:pt>
                <c:pt idx="961">
                  <c:v>46021</c:v>
                </c:pt>
                <c:pt idx="962">
                  <c:v>46027</c:v>
                </c:pt>
                <c:pt idx="963">
                  <c:v>46031</c:v>
                </c:pt>
                <c:pt idx="964">
                  <c:v>46038</c:v>
                </c:pt>
                <c:pt idx="965">
                  <c:v>46045</c:v>
                </c:pt>
                <c:pt idx="966">
                  <c:v>46052</c:v>
                </c:pt>
                <c:pt idx="967">
                  <c:v>46059</c:v>
                </c:pt>
                <c:pt idx="968">
                  <c:v>46066</c:v>
                </c:pt>
                <c:pt idx="969">
                  <c:v>46073</c:v>
                </c:pt>
                <c:pt idx="970">
                  <c:v>46080</c:v>
                </c:pt>
                <c:pt idx="971">
                  <c:v>46087</c:v>
                </c:pt>
                <c:pt idx="972">
                  <c:v>46094</c:v>
                </c:pt>
                <c:pt idx="973">
                  <c:v>46101</c:v>
                </c:pt>
                <c:pt idx="974">
                  <c:v>46108</c:v>
                </c:pt>
                <c:pt idx="975">
                  <c:v>46119</c:v>
                </c:pt>
                <c:pt idx="976">
                  <c:v>46122</c:v>
                </c:pt>
                <c:pt idx="977">
                  <c:v>46129</c:v>
                </c:pt>
                <c:pt idx="978">
                  <c:v>46136</c:v>
                </c:pt>
                <c:pt idx="979">
                  <c:v>46146</c:v>
                </c:pt>
                <c:pt idx="980">
                  <c:v>46150</c:v>
                </c:pt>
                <c:pt idx="981">
                  <c:v>46160</c:v>
                </c:pt>
                <c:pt idx="982">
                  <c:v>46164</c:v>
                </c:pt>
                <c:pt idx="983">
                  <c:v>46171</c:v>
                </c:pt>
                <c:pt idx="984">
                  <c:v>46178</c:v>
                </c:pt>
                <c:pt idx="985">
                  <c:v>46185</c:v>
                </c:pt>
                <c:pt idx="986">
                  <c:v>46195</c:v>
                </c:pt>
                <c:pt idx="987">
                  <c:v>46199</c:v>
                </c:pt>
                <c:pt idx="988">
                  <c:v>46206</c:v>
                </c:pt>
                <c:pt idx="989">
                  <c:v>46213</c:v>
                </c:pt>
                <c:pt idx="990">
                  <c:v>46220</c:v>
                </c:pt>
                <c:pt idx="991">
                  <c:v>46227</c:v>
                </c:pt>
                <c:pt idx="992">
                  <c:v>46234</c:v>
                </c:pt>
                <c:pt idx="993">
                  <c:v>46241</c:v>
                </c:pt>
                <c:pt idx="994">
                  <c:v>46248</c:v>
                </c:pt>
                <c:pt idx="995">
                  <c:v>46255</c:v>
                </c:pt>
                <c:pt idx="996">
                  <c:v>46262</c:v>
                </c:pt>
                <c:pt idx="997">
                  <c:v>46269</c:v>
                </c:pt>
                <c:pt idx="998">
                  <c:v>46276</c:v>
                </c:pt>
                <c:pt idx="999">
                  <c:v>46283</c:v>
                </c:pt>
                <c:pt idx="1000">
                  <c:v>46290</c:v>
                </c:pt>
                <c:pt idx="1001">
                  <c:v>46297</c:v>
                </c:pt>
                <c:pt idx="1002">
                  <c:v>46304</c:v>
                </c:pt>
                <c:pt idx="1003">
                  <c:v>46311</c:v>
                </c:pt>
                <c:pt idx="1004">
                  <c:v>46318</c:v>
                </c:pt>
                <c:pt idx="1005">
                  <c:v>46325</c:v>
                </c:pt>
                <c:pt idx="1006">
                  <c:v>46332</c:v>
                </c:pt>
                <c:pt idx="1007">
                  <c:v>46339</c:v>
                </c:pt>
                <c:pt idx="1008">
                  <c:v>46346</c:v>
                </c:pt>
                <c:pt idx="1009">
                  <c:v>46353</c:v>
                </c:pt>
                <c:pt idx="1010">
                  <c:v>46360</c:v>
                </c:pt>
                <c:pt idx="1011">
                  <c:v>46367</c:v>
                </c:pt>
                <c:pt idx="1012">
                  <c:v>46374</c:v>
                </c:pt>
                <c:pt idx="1013">
                  <c:v>46385</c:v>
                </c:pt>
                <c:pt idx="1014">
                  <c:v>46392</c:v>
                </c:pt>
                <c:pt idx="1015">
                  <c:v>46398</c:v>
                </c:pt>
                <c:pt idx="1016">
                  <c:v>46405</c:v>
                </c:pt>
                <c:pt idx="1017">
                  <c:v>46412</c:v>
                </c:pt>
                <c:pt idx="1018">
                  <c:v>46419</c:v>
                </c:pt>
                <c:pt idx="1019">
                  <c:v>46426</c:v>
                </c:pt>
                <c:pt idx="1020">
                  <c:v>46433</c:v>
                </c:pt>
                <c:pt idx="1021">
                  <c:v>46440</c:v>
                </c:pt>
                <c:pt idx="1022">
                  <c:v>46447</c:v>
                </c:pt>
                <c:pt idx="1023">
                  <c:v>46454</c:v>
                </c:pt>
                <c:pt idx="1024">
                  <c:v>46461</c:v>
                </c:pt>
                <c:pt idx="1025">
                  <c:v>46468</c:v>
                </c:pt>
                <c:pt idx="1026">
                  <c:v>46477</c:v>
                </c:pt>
                <c:pt idx="1027">
                  <c:v>46482</c:v>
                </c:pt>
                <c:pt idx="1028">
                  <c:v>46489</c:v>
                </c:pt>
                <c:pt idx="1029">
                  <c:v>46496</c:v>
                </c:pt>
                <c:pt idx="1030">
                  <c:v>46503</c:v>
                </c:pt>
                <c:pt idx="1031">
                  <c:v>46510</c:v>
                </c:pt>
                <c:pt idx="1032">
                  <c:v>46518</c:v>
                </c:pt>
                <c:pt idx="1033">
                  <c:v>46526</c:v>
                </c:pt>
                <c:pt idx="1034">
                  <c:v>46532</c:v>
                </c:pt>
                <c:pt idx="1035">
                  <c:v>46539</c:v>
                </c:pt>
                <c:pt idx="1036">
                  <c:v>46546</c:v>
                </c:pt>
                <c:pt idx="1037">
                  <c:v>46553</c:v>
                </c:pt>
                <c:pt idx="1038">
                  <c:v>46560</c:v>
                </c:pt>
                <c:pt idx="1039">
                  <c:v>46568</c:v>
                </c:pt>
                <c:pt idx="1040">
                  <c:v>46575</c:v>
                </c:pt>
                <c:pt idx="1041">
                  <c:v>46582</c:v>
                </c:pt>
                <c:pt idx="1042">
                  <c:v>46589</c:v>
                </c:pt>
                <c:pt idx="1043">
                  <c:v>46596</c:v>
                </c:pt>
                <c:pt idx="1044">
                  <c:v>46603</c:v>
                </c:pt>
                <c:pt idx="1045">
                  <c:v>46610</c:v>
                </c:pt>
                <c:pt idx="1046">
                  <c:v>46617</c:v>
                </c:pt>
                <c:pt idx="1047">
                  <c:v>46624</c:v>
                </c:pt>
                <c:pt idx="1048">
                  <c:v>46631</c:v>
                </c:pt>
                <c:pt idx="1049">
                  <c:v>46638</c:v>
                </c:pt>
                <c:pt idx="1050">
                  <c:v>46645</c:v>
                </c:pt>
                <c:pt idx="1051">
                  <c:v>46652</c:v>
                </c:pt>
                <c:pt idx="1052">
                  <c:v>46659</c:v>
                </c:pt>
                <c:pt idx="1053">
                  <c:v>46666</c:v>
                </c:pt>
                <c:pt idx="1054">
                  <c:v>46673</c:v>
                </c:pt>
                <c:pt idx="1055">
                  <c:v>46680</c:v>
                </c:pt>
                <c:pt idx="1056">
                  <c:v>46687</c:v>
                </c:pt>
                <c:pt idx="1057">
                  <c:v>46694</c:v>
                </c:pt>
                <c:pt idx="1058">
                  <c:v>46701</c:v>
                </c:pt>
                <c:pt idx="1059">
                  <c:v>46708</c:v>
                </c:pt>
                <c:pt idx="1060">
                  <c:v>46715</c:v>
                </c:pt>
                <c:pt idx="1061">
                  <c:v>46722</c:v>
                </c:pt>
                <c:pt idx="1062">
                  <c:v>46729</c:v>
                </c:pt>
                <c:pt idx="1063">
                  <c:v>46736</c:v>
                </c:pt>
                <c:pt idx="1064">
                  <c:v>46743</c:v>
                </c:pt>
                <c:pt idx="1065">
                  <c:v>46750</c:v>
                </c:pt>
                <c:pt idx="1066">
                  <c:v>46757</c:v>
                </c:pt>
                <c:pt idx="1067">
                  <c:v>46764</c:v>
                </c:pt>
                <c:pt idx="1068">
                  <c:v>46771</c:v>
                </c:pt>
                <c:pt idx="1069">
                  <c:v>46778</c:v>
                </c:pt>
                <c:pt idx="1070">
                  <c:v>46785</c:v>
                </c:pt>
                <c:pt idx="1071">
                  <c:v>46792</c:v>
                </c:pt>
                <c:pt idx="1072">
                  <c:v>46799</c:v>
                </c:pt>
                <c:pt idx="1073">
                  <c:v>46806</c:v>
                </c:pt>
                <c:pt idx="1074">
                  <c:v>46813</c:v>
                </c:pt>
                <c:pt idx="1075">
                  <c:v>46820</c:v>
                </c:pt>
                <c:pt idx="1076">
                  <c:v>46827</c:v>
                </c:pt>
                <c:pt idx="1077">
                  <c:v>46834</c:v>
                </c:pt>
                <c:pt idx="1078">
                  <c:v>46841</c:v>
                </c:pt>
                <c:pt idx="1079">
                  <c:v>46848</c:v>
                </c:pt>
                <c:pt idx="1080">
                  <c:v>46855</c:v>
                </c:pt>
                <c:pt idx="1081">
                  <c:v>46863</c:v>
                </c:pt>
                <c:pt idx="1082">
                  <c:v>46870</c:v>
                </c:pt>
                <c:pt idx="1083">
                  <c:v>46877</c:v>
                </c:pt>
                <c:pt idx="1084">
                  <c:v>46884</c:v>
                </c:pt>
                <c:pt idx="1085">
                  <c:v>46891</c:v>
                </c:pt>
                <c:pt idx="1086">
                  <c:v>46899</c:v>
                </c:pt>
                <c:pt idx="1087">
                  <c:v>46905</c:v>
                </c:pt>
                <c:pt idx="1088">
                  <c:v>46912</c:v>
                </c:pt>
                <c:pt idx="1089">
                  <c:v>46919</c:v>
                </c:pt>
                <c:pt idx="1090">
                  <c:v>46926</c:v>
                </c:pt>
                <c:pt idx="1091">
                  <c:v>46933</c:v>
                </c:pt>
                <c:pt idx="1092">
                  <c:v>46940</c:v>
                </c:pt>
                <c:pt idx="1093">
                  <c:v>46947</c:v>
                </c:pt>
                <c:pt idx="1094">
                  <c:v>46954</c:v>
                </c:pt>
                <c:pt idx="1095">
                  <c:v>46961</c:v>
                </c:pt>
                <c:pt idx="1096">
                  <c:v>46968</c:v>
                </c:pt>
                <c:pt idx="1097">
                  <c:v>46975</c:v>
                </c:pt>
                <c:pt idx="1098">
                  <c:v>46982</c:v>
                </c:pt>
                <c:pt idx="1099">
                  <c:v>46989</c:v>
                </c:pt>
                <c:pt idx="1100">
                  <c:v>46996</c:v>
                </c:pt>
                <c:pt idx="1101">
                  <c:v>47003</c:v>
                </c:pt>
                <c:pt idx="1102">
                  <c:v>47010</c:v>
                </c:pt>
                <c:pt idx="1103">
                  <c:v>47017</c:v>
                </c:pt>
                <c:pt idx="1104">
                  <c:v>47024</c:v>
                </c:pt>
                <c:pt idx="1105">
                  <c:v>47031</c:v>
                </c:pt>
                <c:pt idx="1106">
                  <c:v>47038</c:v>
                </c:pt>
                <c:pt idx="1107">
                  <c:v>47045</c:v>
                </c:pt>
                <c:pt idx="1108">
                  <c:v>47052</c:v>
                </c:pt>
                <c:pt idx="1109">
                  <c:v>47059</c:v>
                </c:pt>
                <c:pt idx="1110">
                  <c:v>47066</c:v>
                </c:pt>
                <c:pt idx="1111">
                  <c:v>47073</c:v>
                </c:pt>
                <c:pt idx="1112">
                  <c:v>47080</c:v>
                </c:pt>
                <c:pt idx="1113">
                  <c:v>47087</c:v>
                </c:pt>
                <c:pt idx="1114">
                  <c:v>47094</c:v>
                </c:pt>
                <c:pt idx="1115">
                  <c:v>47101</c:v>
                </c:pt>
                <c:pt idx="1116">
                  <c:v>47108</c:v>
                </c:pt>
                <c:pt idx="1117">
                  <c:v>47116</c:v>
                </c:pt>
                <c:pt idx="1118">
                  <c:v>47123</c:v>
                </c:pt>
                <c:pt idx="1119">
                  <c:v>47130</c:v>
                </c:pt>
                <c:pt idx="1120">
                  <c:v>47137</c:v>
                </c:pt>
                <c:pt idx="1121">
                  <c:v>47144</c:v>
                </c:pt>
                <c:pt idx="1122">
                  <c:v>47151</c:v>
                </c:pt>
                <c:pt idx="1123">
                  <c:v>47158</c:v>
                </c:pt>
                <c:pt idx="1124">
                  <c:v>47165</c:v>
                </c:pt>
                <c:pt idx="1125">
                  <c:v>47172</c:v>
                </c:pt>
                <c:pt idx="1126">
                  <c:v>47179</c:v>
                </c:pt>
                <c:pt idx="1127">
                  <c:v>47186</c:v>
                </c:pt>
                <c:pt idx="1128">
                  <c:v>47193</c:v>
                </c:pt>
                <c:pt idx="1129">
                  <c:v>47200</c:v>
                </c:pt>
                <c:pt idx="1130">
                  <c:v>47211</c:v>
                </c:pt>
                <c:pt idx="1131">
                  <c:v>47214</c:v>
                </c:pt>
                <c:pt idx="1132">
                  <c:v>47221</c:v>
                </c:pt>
                <c:pt idx="1133">
                  <c:v>47228</c:v>
                </c:pt>
                <c:pt idx="1134">
                  <c:v>47235</c:v>
                </c:pt>
                <c:pt idx="1135">
                  <c:v>47242</c:v>
                </c:pt>
                <c:pt idx="1136">
                  <c:v>47252</c:v>
                </c:pt>
                <c:pt idx="1137">
                  <c:v>47256</c:v>
                </c:pt>
                <c:pt idx="1138">
                  <c:v>47263</c:v>
                </c:pt>
                <c:pt idx="1139">
                  <c:v>47270</c:v>
                </c:pt>
                <c:pt idx="1140">
                  <c:v>47277</c:v>
                </c:pt>
                <c:pt idx="1141">
                  <c:v>47284</c:v>
                </c:pt>
                <c:pt idx="1142">
                  <c:v>47294</c:v>
                </c:pt>
                <c:pt idx="1143">
                  <c:v>47298</c:v>
                </c:pt>
                <c:pt idx="1144">
                  <c:v>47305</c:v>
                </c:pt>
                <c:pt idx="1145">
                  <c:v>47312</c:v>
                </c:pt>
                <c:pt idx="1146">
                  <c:v>47319</c:v>
                </c:pt>
                <c:pt idx="1147">
                  <c:v>47326</c:v>
                </c:pt>
                <c:pt idx="1148">
                  <c:v>47333</c:v>
                </c:pt>
                <c:pt idx="1149">
                  <c:v>47340</c:v>
                </c:pt>
                <c:pt idx="1150">
                  <c:v>47347</c:v>
                </c:pt>
                <c:pt idx="1151">
                  <c:v>47354</c:v>
                </c:pt>
                <c:pt idx="1152">
                  <c:v>47361</c:v>
                </c:pt>
                <c:pt idx="1153">
                  <c:v>47368</c:v>
                </c:pt>
                <c:pt idx="1154">
                  <c:v>47375</c:v>
                </c:pt>
                <c:pt idx="1155">
                  <c:v>47382</c:v>
                </c:pt>
                <c:pt idx="1156">
                  <c:v>47389</c:v>
                </c:pt>
                <c:pt idx="1157">
                  <c:v>47396</c:v>
                </c:pt>
                <c:pt idx="1158">
                  <c:v>47403</c:v>
                </c:pt>
                <c:pt idx="1159">
                  <c:v>47410</c:v>
                </c:pt>
                <c:pt idx="1160">
                  <c:v>47417</c:v>
                </c:pt>
                <c:pt idx="1161">
                  <c:v>47424</c:v>
                </c:pt>
                <c:pt idx="1162">
                  <c:v>47431</c:v>
                </c:pt>
                <c:pt idx="1163">
                  <c:v>47438</c:v>
                </c:pt>
                <c:pt idx="1164">
                  <c:v>47445</c:v>
                </c:pt>
                <c:pt idx="1165">
                  <c:v>47452</c:v>
                </c:pt>
                <c:pt idx="1166">
                  <c:v>47459</c:v>
                </c:pt>
                <c:pt idx="1167">
                  <c:v>47466</c:v>
                </c:pt>
                <c:pt idx="1168">
                  <c:v>47473</c:v>
                </c:pt>
                <c:pt idx="1169">
                  <c:v>47485</c:v>
                </c:pt>
                <c:pt idx="1170">
                  <c:v>47490</c:v>
                </c:pt>
                <c:pt idx="1171">
                  <c:v>47497</c:v>
                </c:pt>
                <c:pt idx="1172">
                  <c:v>47504</c:v>
                </c:pt>
                <c:pt idx="1173">
                  <c:v>47511</c:v>
                </c:pt>
                <c:pt idx="1174">
                  <c:v>47518</c:v>
                </c:pt>
                <c:pt idx="1175">
                  <c:v>47525</c:v>
                </c:pt>
                <c:pt idx="1176">
                  <c:v>47532</c:v>
                </c:pt>
                <c:pt idx="1177">
                  <c:v>47539</c:v>
                </c:pt>
                <c:pt idx="1178">
                  <c:v>47546</c:v>
                </c:pt>
                <c:pt idx="1179">
                  <c:v>47553</c:v>
                </c:pt>
                <c:pt idx="1180">
                  <c:v>47560</c:v>
                </c:pt>
                <c:pt idx="1181">
                  <c:v>47567</c:v>
                </c:pt>
                <c:pt idx="1182">
                  <c:v>47574</c:v>
                </c:pt>
                <c:pt idx="1183">
                  <c:v>47581</c:v>
                </c:pt>
                <c:pt idx="1184">
                  <c:v>47588</c:v>
                </c:pt>
                <c:pt idx="1185">
                  <c:v>47597</c:v>
                </c:pt>
                <c:pt idx="1186">
                  <c:v>47602</c:v>
                </c:pt>
                <c:pt idx="1187">
                  <c:v>47609</c:v>
                </c:pt>
                <c:pt idx="1188">
                  <c:v>47616</c:v>
                </c:pt>
                <c:pt idx="1189">
                  <c:v>47623</c:v>
                </c:pt>
                <c:pt idx="1190">
                  <c:v>47630</c:v>
                </c:pt>
                <c:pt idx="1191">
                  <c:v>47638</c:v>
                </c:pt>
                <c:pt idx="1192">
                  <c:v>47646</c:v>
                </c:pt>
                <c:pt idx="1193">
                  <c:v>47652</c:v>
                </c:pt>
                <c:pt idx="1194">
                  <c:v>47660</c:v>
                </c:pt>
                <c:pt idx="1195">
                  <c:v>47667</c:v>
                </c:pt>
                <c:pt idx="1196">
                  <c:v>47674</c:v>
                </c:pt>
                <c:pt idx="1197">
                  <c:v>47681</c:v>
                </c:pt>
                <c:pt idx="1198">
                  <c:v>47688</c:v>
                </c:pt>
                <c:pt idx="1199">
                  <c:v>47695</c:v>
                </c:pt>
                <c:pt idx="1200">
                  <c:v>47702</c:v>
                </c:pt>
                <c:pt idx="1201">
                  <c:v>47709</c:v>
                </c:pt>
                <c:pt idx="1202">
                  <c:v>47716</c:v>
                </c:pt>
                <c:pt idx="1203">
                  <c:v>47723</c:v>
                </c:pt>
                <c:pt idx="1204">
                  <c:v>47730</c:v>
                </c:pt>
                <c:pt idx="1205">
                  <c:v>47737</c:v>
                </c:pt>
                <c:pt idx="1206">
                  <c:v>47744</c:v>
                </c:pt>
                <c:pt idx="1207">
                  <c:v>47751</c:v>
                </c:pt>
                <c:pt idx="1208">
                  <c:v>47758</c:v>
                </c:pt>
                <c:pt idx="1209">
                  <c:v>47765</c:v>
                </c:pt>
                <c:pt idx="1210">
                  <c:v>47772</c:v>
                </c:pt>
                <c:pt idx="1211">
                  <c:v>47779</c:v>
                </c:pt>
                <c:pt idx="1212">
                  <c:v>47786</c:v>
                </c:pt>
                <c:pt idx="1213">
                  <c:v>47793</c:v>
                </c:pt>
                <c:pt idx="1214">
                  <c:v>47800</c:v>
                </c:pt>
                <c:pt idx="1215">
                  <c:v>47807</c:v>
                </c:pt>
                <c:pt idx="1216">
                  <c:v>47814</c:v>
                </c:pt>
                <c:pt idx="1217">
                  <c:v>47821</c:v>
                </c:pt>
                <c:pt idx="1218">
                  <c:v>47828</c:v>
                </c:pt>
                <c:pt idx="1219">
                  <c:v>47835</c:v>
                </c:pt>
                <c:pt idx="1220">
                  <c:v>47847</c:v>
                </c:pt>
                <c:pt idx="1221">
                  <c:v>47851</c:v>
                </c:pt>
                <c:pt idx="1222">
                  <c:v>47857</c:v>
                </c:pt>
                <c:pt idx="1223">
                  <c:v>47864</c:v>
                </c:pt>
                <c:pt idx="1224">
                  <c:v>47871</c:v>
                </c:pt>
                <c:pt idx="1225">
                  <c:v>47878</c:v>
                </c:pt>
                <c:pt idx="1226">
                  <c:v>47885</c:v>
                </c:pt>
                <c:pt idx="1227">
                  <c:v>47892</c:v>
                </c:pt>
                <c:pt idx="1228">
                  <c:v>47899</c:v>
                </c:pt>
                <c:pt idx="1229">
                  <c:v>47906</c:v>
                </c:pt>
                <c:pt idx="1230">
                  <c:v>47913</c:v>
                </c:pt>
                <c:pt idx="1231">
                  <c:v>47920</c:v>
                </c:pt>
                <c:pt idx="1232">
                  <c:v>47927</c:v>
                </c:pt>
                <c:pt idx="1233">
                  <c:v>47934</c:v>
                </c:pt>
                <c:pt idx="1234">
                  <c:v>47941</c:v>
                </c:pt>
                <c:pt idx="1235">
                  <c:v>47948</c:v>
                </c:pt>
                <c:pt idx="1236">
                  <c:v>47955</c:v>
                </c:pt>
                <c:pt idx="1237">
                  <c:v>47962</c:v>
                </c:pt>
                <c:pt idx="1238">
                  <c:v>47970</c:v>
                </c:pt>
                <c:pt idx="1239">
                  <c:v>47976</c:v>
                </c:pt>
                <c:pt idx="1240">
                  <c:v>47983</c:v>
                </c:pt>
                <c:pt idx="1241">
                  <c:v>47991</c:v>
                </c:pt>
                <c:pt idx="1242">
                  <c:v>47997</c:v>
                </c:pt>
                <c:pt idx="1243">
                  <c:v>48004</c:v>
                </c:pt>
                <c:pt idx="1244">
                  <c:v>48011</c:v>
                </c:pt>
                <c:pt idx="1245">
                  <c:v>48018</c:v>
                </c:pt>
                <c:pt idx="1246">
                  <c:v>48025</c:v>
                </c:pt>
                <c:pt idx="1247">
                  <c:v>48032</c:v>
                </c:pt>
                <c:pt idx="1248">
                  <c:v>48039</c:v>
                </c:pt>
                <c:pt idx="1249">
                  <c:v>48046</c:v>
                </c:pt>
                <c:pt idx="1250">
                  <c:v>48053</c:v>
                </c:pt>
                <c:pt idx="1251">
                  <c:v>48060</c:v>
                </c:pt>
                <c:pt idx="1252">
                  <c:v>48067</c:v>
                </c:pt>
                <c:pt idx="1253">
                  <c:v>48074</c:v>
                </c:pt>
                <c:pt idx="1254">
                  <c:v>48081</c:v>
                </c:pt>
                <c:pt idx="1255">
                  <c:v>48088</c:v>
                </c:pt>
                <c:pt idx="1256">
                  <c:v>48095</c:v>
                </c:pt>
                <c:pt idx="1257">
                  <c:v>48102</c:v>
                </c:pt>
                <c:pt idx="1258">
                  <c:v>48109</c:v>
                </c:pt>
                <c:pt idx="1259">
                  <c:v>48116</c:v>
                </c:pt>
                <c:pt idx="1260">
                  <c:v>48123</c:v>
                </c:pt>
                <c:pt idx="1261">
                  <c:v>48130</c:v>
                </c:pt>
                <c:pt idx="1262">
                  <c:v>48137</c:v>
                </c:pt>
                <c:pt idx="1263">
                  <c:v>48144</c:v>
                </c:pt>
                <c:pt idx="1264">
                  <c:v>48151</c:v>
                </c:pt>
                <c:pt idx="1265">
                  <c:v>48158</c:v>
                </c:pt>
                <c:pt idx="1266">
                  <c:v>48165</c:v>
                </c:pt>
                <c:pt idx="1267">
                  <c:v>48172</c:v>
                </c:pt>
                <c:pt idx="1268">
                  <c:v>48179</c:v>
                </c:pt>
                <c:pt idx="1269">
                  <c:v>48186</c:v>
                </c:pt>
                <c:pt idx="1270">
                  <c:v>48193</c:v>
                </c:pt>
                <c:pt idx="1271">
                  <c:v>48200</c:v>
                </c:pt>
                <c:pt idx="1272">
                  <c:v>48212</c:v>
                </c:pt>
                <c:pt idx="1273">
                  <c:v>48218</c:v>
                </c:pt>
                <c:pt idx="1274">
                  <c:v>48222</c:v>
                </c:pt>
                <c:pt idx="1275">
                  <c:v>48229</c:v>
                </c:pt>
                <c:pt idx="1276">
                  <c:v>48236</c:v>
                </c:pt>
                <c:pt idx="1277">
                  <c:v>48243</c:v>
                </c:pt>
                <c:pt idx="1278">
                  <c:v>48250</c:v>
                </c:pt>
                <c:pt idx="1279">
                  <c:v>48257</c:v>
                </c:pt>
                <c:pt idx="1280">
                  <c:v>48264</c:v>
                </c:pt>
                <c:pt idx="1281">
                  <c:v>48271</c:v>
                </c:pt>
                <c:pt idx="1282">
                  <c:v>48278</c:v>
                </c:pt>
                <c:pt idx="1283">
                  <c:v>48285</c:v>
                </c:pt>
                <c:pt idx="1284">
                  <c:v>48292</c:v>
                </c:pt>
                <c:pt idx="1285">
                  <c:v>48303</c:v>
                </c:pt>
                <c:pt idx="1286">
                  <c:v>48306</c:v>
                </c:pt>
                <c:pt idx="1287">
                  <c:v>48313</c:v>
                </c:pt>
                <c:pt idx="1288">
                  <c:v>48320</c:v>
                </c:pt>
                <c:pt idx="1289">
                  <c:v>48327</c:v>
                </c:pt>
                <c:pt idx="1290">
                  <c:v>48334</c:v>
                </c:pt>
                <c:pt idx="1291">
                  <c:v>48344</c:v>
                </c:pt>
                <c:pt idx="1292">
                  <c:v>48348</c:v>
                </c:pt>
                <c:pt idx="1293">
                  <c:v>48355</c:v>
                </c:pt>
                <c:pt idx="1294">
                  <c:v>48362</c:v>
                </c:pt>
                <c:pt idx="1295">
                  <c:v>48369</c:v>
                </c:pt>
                <c:pt idx="1296">
                  <c:v>48376</c:v>
                </c:pt>
                <c:pt idx="1297">
                  <c:v>48383</c:v>
                </c:pt>
                <c:pt idx="1298">
                  <c:v>48393</c:v>
                </c:pt>
                <c:pt idx="1299">
                  <c:v>48397</c:v>
                </c:pt>
                <c:pt idx="1300">
                  <c:v>48404</c:v>
                </c:pt>
                <c:pt idx="1301">
                  <c:v>48411</c:v>
                </c:pt>
                <c:pt idx="1302">
                  <c:v>48418</c:v>
                </c:pt>
                <c:pt idx="1303">
                  <c:v>48425</c:v>
                </c:pt>
                <c:pt idx="1304">
                  <c:v>48432</c:v>
                </c:pt>
                <c:pt idx="1305">
                  <c:v>48439</c:v>
                </c:pt>
                <c:pt idx="1306">
                  <c:v>48446</c:v>
                </c:pt>
                <c:pt idx="1307">
                  <c:v>48453</c:v>
                </c:pt>
                <c:pt idx="1308">
                  <c:v>48460</c:v>
                </c:pt>
                <c:pt idx="1309">
                  <c:v>48467</c:v>
                </c:pt>
                <c:pt idx="1310">
                  <c:v>48474</c:v>
                </c:pt>
                <c:pt idx="1311">
                  <c:v>48481</c:v>
                </c:pt>
                <c:pt idx="1312">
                  <c:v>48488</c:v>
                </c:pt>
                <c:pt idx="1313">
                  <c:v>48495</c:v>
                </c:pt>
                <c:pt idx="1314">
                  <c:v>48502</c:v>
                </c:pt>
                <c:pt idx="1315">
                  <c:v>48509</c:v>
                </c:pt>
                <c:pt idx="1316">
                  <c:v>48516</c:v>
                </c:pt>
                <c:pt idx="1317">
                  <c:v>48523</c:v>
                </c:pt>
                <c:pt idx="1318">
                  <c:v>48530</c:v>
                </c:pt>
                <c:pt idx="1319">
                  <c:v>48537</c:v>
                </c:pt>
                <c:pt idx="1320">
                  <c:v>48544</c:v>
                </c:pt>
                <c:pt idx="1321">
                  <c:v>48551</c:v>
                </c:pt>
                <c:pt idx="1322">
                  <c:v>48558</c:v>
                </c:pt>
                <c:pt idx="1323">
                  <c:v>48565</c:v>
                </c:pt>
                <c:pt idx="1324">
                  <c:v>48575</c:v>
                </c:pt>
                <c:pt idx="1325">
                  <c:v>48582</c:v>
                </c:pt>
                <c:pt idx="1326">
                  <c:v>48589</c:v>
                </c:pt>
                <c:pt idx="1327">
                  <c:v>48593</c:v>
                </c:pt>
                <c:pt idx="1328">
                  <c:v>48600</c:v>
                </c:pt>
                <c:pt idx="1329">
                  <c:v>48607</c:v>
                </c:pt>
                <c:pt idx="1330">
                  <c:v>48614</c:v>
                </c:pt>
                <c:pt idx="1331">
                  <c:v>48621</c:v>
                </c:pt>
                <c:pt idx="1332">
                  <c:v>48628</c:v>
                </c:pt>
                <c:pt idx="1333">
                  <c:v>48635</c:v>
                </c:pt>
                <c:pt idx="1334">
                  <c:v>48642</c:v>
                </c:pt>
                <c:pt idx="1335">
                  <c:v>48649</c:v>
                </c:pt>
                <c:pt idx="1336">
                  <c:v>48656</c:v>
                </c:pt>
                <c:pt idx="1337">
                  <c:v>48663</c:v>
                </c:pt>
                <c:pt idx="1338">
                  <c:v>48670</c:v>
                </c:pt>
                <c:pt idx="1339">
                  <c:v>48677</c:v>
                </c:pt>
                <c:pt idx="1340">
                  <c:v>48688</c:v>
                </c:pt>
                <c:pt idx="1341">
                  <c:v>48691</c:v>
                </c:pt>
                <c:pt idx="1342">
                  <c:v>48698</c:v>
                </c:pt>
                <c:pt idx="1343">
                  <c:v>48705</c:v>
                </c:pt>
                <c:pt idx="1344">
                  <c:v>48712</c:v>
                </c:pt>
                <c:pt idx="1345">
                  <c:v>48719</c:v>
                </c:pt>
                <c:pt idx="1346">
                  <c:v>48729</c:v>
                </c:pt>
                <c:pt idx="1347">
                  <c:v>48733</c:v>
                </c:pt>
                <c:pt idx="1348">
                  <c:v>48740</c:v>
                </c:pt>
                <c:pt idx="1349">
                  <c:v>48747</c:v>
                </c:pt>
                <c:pt idx="1350">
                  <c:v>48757</c:v>
                </c:pt>
                <c:pt idx="1351">
                  <c:v>48761</c:v>
                </c:pt>
                <c:pt idx="1352">
                  <c:v>48768</c:v>
                </c:pt>
                <c:pt idx="1353">
                  <c:v>48775</c:v>
                </c:pt>
                <c:pt idx="1354">
                  <c:v>48782</c:v>
                </c:pt>
                <c:pt idx="1355">
                  <c:v>48789</c:v>
                </c:pt>
                <c:pt idx="1356">
                  <c:v>48796</c:v>
                </c:pt>
                <c:pt idx="1357">
                  <c:v>48803</c:v>
                </c:pt>
                <c:pt idx="1358">
                  <c:v>48810</c:v>
                </c:pt>
                <c:pt idx="1359">
                  <c:v>48817</c:v>
                </c:pt>
                <c:pt idx="1360">
                  <c:v>48824</c:v>
                </c:pt>
                <c:pt idx="1361">
                  <c:v>48831</c:v>
                </c:pt>
                <c:pt idx="1362">
                  <c:v>48838</c:v>
                </c:pt>
                <c:pt idx="1363">
                  <c:v>48845</c:v>
                </c:pt>
                <c:pt idx="1364">
                  <c:v>48852</c:v>
                </c:pt>
                <c:pt idx="1365">
                  <c:v>48859</c:v>
                </c:pt>
                <c:pt idx="1366">
                  <c:v>48866</c:v>
                </c:pt>
                <c:pt idx="1367">
                  <c:v>48873</c:v>
                </c:pt>
                <c:pt idx="1368">
                  <c:v>48880</c:v>
                </c:pt>
                <c:pt idx="1369">
                  <c:v>48887</c:v>
                </c:pt>
                <c:pt idx="1370">
                  <c:v>48894</c:v>
                </c:pt>
                <c:pt idx="1371">
                  <c:v>48901</c:v>
                </c:pt>
                <c:pt idx="1372">
                  <c:v>48908</c:v>
                </c:pt>
                <c:pt idx="1373">
                  <c:v>48915</c:v>
                </c:pt>
                <c:pt idx="1374">
                  <c:v>48922</c:v>
                </c:pt>
                <c:pt idx="1375">
                  <c:v>48929</c:v>
                </c:pt>
                <c:pt idx="1376">
                  <c:v>48936</c:v>
                </c:pt>
                <c:pt idx="1377">
                  <c:v>48943</c:v>
                </c:pt>
                <c:pt idx="1378">
                  <c:v>48953</c:v>
                </c:pt>
                <c:pt idx="1379">
                  <c:v>48957</c:v>
                </c:pt>
                <c:pt idx="1380">
                  <c:v>48964</c:v>
                </c:pt>
                <c:pt idx="1381">
                  <c:v>48971</c:v>
                </c:pt>
                <c:pt idx="1382">
                  <c:v>48978</c:v>
                </c:pt>
                <c:pt idx="1383">
                  <c:v>48985</c:v>
                </c:pt>
                <c:pt idx="1384">
                  <c:v>48992</c:v>
                </c:pt>
                <c:pt idx="1385">
                  <c:v>48999</c:v>
                </c:pt>
                <c:pt idx="1386">
                  <c:v>49006</c:v>
                </c:pt>
                <c:pt idx="1387">
                  <c:v>49013</c:v>
                </c:pt>
                <c:pt idx="1388">
                  <c:v>49020</c:v>
                </c:pt>
                <c:pt idx="1389">
                  <c:v>49027</c:v>
                </c:pt>
                <c:pt idx="1390">
                  <c:v>49034</c:v>
                </c:pt>
                <c:pt idx="1391">
                  <c:v>49045</c:v>
                </c:pt>
                <c:pt idx="1392">
                  <c:v>49048</c:v>
                </c:pt>
                <c:pt idx="1393">
                  <c:v>49055</c:v>
                </c:pt>
                <c:pt idx="1394">
                  <c:v>49062</c:v>
                </c:pt>
                <c:pt idx="1395">
                  <c:v>49069</c:v>
                </c:pt>
                <c:pt idx="1396">
                  <c:v>49076</c:v>
                </c:pt>
                <c:pt idx="1397">
                  <c:v>49086</c:v>
                </c:pt>
                <c:pt idx="1398">
                  <c:v>49090</c:v>
                </c:pt>
                <c:pt idx="1399">
                  <c:v>49097</c:v>
                </c:pt>
                <c:pt idx="1400">
                  <c:v>49104</c:v>
                </c:pt>
                <c:pt idx="1401">
                  <c:v>49111</c:v>
                </c:pt>
                <c:pt idx="1402">
                  <c:v>49121</c:v>
                </c:pt>
                <c:pt idx="1403">
                  <c:v>49125</c:v>
                </c:pt>
                <c:pt idx="1404">
                  <c:v>49132</c:v>
                </c:pt>
                <c:pt idx="1405">
                  <c:v>49139</c:v>
                </c:pt>
                <c:pt idx="1406">
                  <c:v>49146</c:v>
                </c:pt>
                <c:pt idx="1407">
                  <c:v>49153</c:v>
                </c:pt>
                <c:pt idx="1408">
                  <c:v>49160</c:v>
                </c:pt>
                <c:pt idx="1409">
                  <c:v>49167</c:v>
                </c:pt>
                <c:pt idx="1410">
                  <c:v>49174</c:v>
                </c:pt>
                <c:pt idx="1411">
                  <c:v>49181</c:v>
                </c:pt>
                <c:pt idx="1412">
                  <c:v>49188</c:v>
                </c:pt>
                <c:pt idx="1413">
                  <c:v>49195</c:v>
                </c:pt>
                <c:pt idx="1414">
                  <c:v>49202</c:v>
                </c:pt>
                <c:pt idx="1415">
                  <c:v>49209</c:v>
                </c:pt>
                <c:pt idx="1416">
                  <c:v>49216</c:v>
                </c:pt>
                <c:pt idx="1417">
                  <c:v>49223</c:v>
                </c:pt>
                <c:pt idx="1418">
                  <c:v>49230</c:v>
                </c:pt>
                <c:pt idx="1419">
                  <c:v>49237</c:v>
                </c:pt>
                <c:pt idx="1420">
                  <c:v>49244</c:v>
                </c:pt>
                <c:pt idx="1421">
                  <c:v>49251</c:v>
                </c:pt>
                <c:pt idx="1422">
                  <c:v>49258</c:v>
                </c:pt>
                <c:pt idx="1423">
                  <c:v>49265</c:v>
                </c:pt>
                <c:pt idx="1424">
                  <c:v>49272</c:v>
                </c:pt>
                <c:pt idx="1425">
                  <c:v>49279</c:v>
                </c:pt>
                <c:pt idx="1426">
                  <c:v>49286</c:v>
                </c:pt>
                <c:pt idx="1427">
                  <c:v>49293</c:v>
                </c:pt>
                <c:pt idx="1428">
                  <c:v>49300</c:v>
                </c:pt>
                <c:pt idx="1429">
                  <c:v>49307</c:v>
                </c:pt>
                <c:pt idx="1430">
                  <c:v>49314</c:v>
                </c:pt>
                <c:pt idx="1431">
                  <c:v>49321</c:v>
                </c:pt>
                <c:pt idx="1432">
                  <c:v>49328</c:v>
                </c:pt>
                <c:pt idx="1433">
                  <c:v>49335</c:v>
                </c:pt>
                <c:pt idx="1434">
                  <c:v>49342</c:v>
                </c:pt>
                <c:pt idx="1435">
                  <c:v>49349</c:v>
                </c:pt>
                <c:pt idx="1436">
                  <c:v>49356</c:v>
                </c:pt>
                <c:pt idx="1437">
                  <c:v>49363</c:v>
                </c:pt>
                <c:pt idx="1438">
                  <c:v>49370</c:v>
                </c:pt>
                <c:pt idx="1439">
                  <c:v>49377</c:v>
                </c:pt>
                <c:pt idx="1440">
                  <c:v>49384</c:v>
                </c:pt>
                <c:pt idx="1441">
                  <c:v>49395</c:v>
                </c:pt>
                <c:pt idx="1442">
                  <c:v>49398</c:v>
                </c:pt>
                <c:pt idx="1443">
                  <c:v>49405</c:v>
                </c:pt>
                <c:pt idx="1444">
                  <c:v>49412</c:v>
                </c:pt>
                <c:pt idx="1445">
                  <c:v>49419</c:v>
                </c:pt>
                <c:pt idx="1446">
                  <c:v>49426</c:v>
                </c:pt>
                <c:pt idx="1447">
                  <c:v>49436</c:v>
                </c:pt>
                <c:pt idx="1448">
                  <c:v>49440</c:v>
                </c:pt>
                <c:pt idx="1449">
                  <c:v>49447</c:v>
                </c:pt>
                <c:pt idx="1450">
                  <c:v>49454</c:v>
                </c:pt>
                <c:pt idx="1451">
                  <c:v>49461</c:v>
                </c:pt>
                <c:pt idx="1452">
                  <c:v>49468</c:v>
                </c:pt>
                <c:pt idx="1453">
                  <c:v>49475</c:v>
                </c:pt>
                <c:pt idx="1454">
                  <c:v>49485</c:v>
                </c:pt>
                <c:pt idx="1455">
                  <c:v>49489</c:v>
                </c:pt>
                <c:pt idx="1456">
                  <c:v>49496</c:v>
                </c:pt>
                <c:pt idx="1457">
                  <c:v>49503</c:v>
                </c:pt>
                <c:pt idx="1458">
                  <c:v>49510</c:v>
                </c:pt>
                <c:pt idx="1459">
                  <c:v>49517</c:v>
                </c:pt>
                <c:pt idx="1460">
                  <c:v>49524</c:v>
                </c:pt>
                <c:pt idx="1461">
                  <c:v>49531</c:v>
                </c:pt>
                <c:pt idx="1462">
                  <c:v>49538</c:v>
                </c:pt>
                <c:pt idx="1463">
                  <c:v>49545</c:v>
                </c:pt>
                <c:pt idx="1464">
                  <c:v>49552</c:v>
                </c:pt>
                <c:pt idx="1465">
                  <c:v>49559</c:v>
                </c:pt>
                <c:pt idx="1466">
                  <c:v>49566</c:v>
                </c:pt>
                <c:pt idx="1467">
                  <c:v>49573</c:v>
                </c:pt>
                <c:pt idx="1468">
                  <c:v>49580</c:v>
                </c:pt>
                <c:pt idx="1469">
                  <c:v>49587</c:v>
                </c:pt>
                <c:pt idx="1470">
                  <c:v>49594</c:v>
                </c:pt>
                <c:pt idx="1471">
                  <c:v>49601</c:v>
                </c:pt>
                <c:pt idx="1472">
                  <c:v>49608</c:v>
                </c:pt>
                <c:pt idx="1473">
                  <c:v>49615</c:v>
                </c:pt>
                <c:pt idx="1474">
                  <c:v>49622</c:v>
                </c:pt>
                <c:pt idx="1475">
                  <c:v>49629</c:v>
                </c:pt>
                <c:pt idx="1476">
                  <c:v>49636</c:v>
                </c:pt>
                <c:pt idx="1477">
                  <c:v>49643</c:v>
                </c:pt>
                <c:pt idx="1478">
                  <c:v>49650</c:v>
                </c:pt>
                <c:pt idx="1479">
                  <c:v>49657</c:v>
                </c:pt>
                <c:pt idx="1480">
                  <c:v>49664</c:v>
                </c:pt>
                <c:pt idx="1481">
                  <c:v>49676</c:v>
                </c:pt>
                <c:pt idx="1482">
                  <c:v>49681</c:v>
                </c:pt>
                <c:pt idx="1483">
                  <c:v>49688</c:v>
                </c:pt>
                <c:pt idx="1484">
                  <c:v>49695</c:v>
                </c:pt>
                <c:pt idx="1485">
                  <c:v>49702</c:v>
                </c:pt>
                <c:pt idx="1486">
                  <c:v>49709</c:v>
                </c:pt>
                <c:pt idx="1487">
                  <c:v>49716</c:v>
                </c:pt>
                <c:pt idx="1488">
                  <c:v>49723</c:v>
                </c:pt>
                <c:pt idx="1489">
                  <c:v>49730</c:v>
                </c:pt>
                <c:pt idx="1490">
                  <c:v>49737</c:v>
                </c:pt>
                <c:pt idx="1491">
                  <c:v>49744</c:v>
                </c:pt>
                <c:pt idx="1492">
                  <c:v>49751</c:v>
                </c:pt>
                <c:pt idx="1493">
                  <c:v>49758</c:v>
                </c:pt>
                <c:pt idx="1494">
                  <c:v>49765</c:v>
                </c:pt>
                <c:pt idx="1495">
                  <c:v>49772</c:v>
                </c:pt>
                <c:pt idx="1496">
                  <c:v>49781</c:v>
                </c:pt>
                <c:pt idx="1497">
                  <c:v>49786</c:v>
                </c:pt>
                <c:pt idx="1498">
                  <c:v>49793</c:v>
                </c:pt>
                <c:pt idx="1499">
                  <c:v>49801</c:v>
                </c:pt>
                <c:pt idx="1500">
                  <c:v>49808</c:v>
                </c:pt>
                <c:pt idx="1501">
                  <c:v>49815</c:v>
                </c:pt>
                <c:pt idx="1502">
                  <c:v>49822</c:v>
                </c:pt>
                <c:pt idx="1503">
                  <c:v>49830</c:v>
                </c:pt>
                <c:pt idx="1504">
                  <c:v>49836</c:v>
                </c:pt>
                <c:pt idx="1505">
                  <c:v>49843</c:v>
                </c:pt>
                <c:pt idx="1506">
                  <c:v>49851</c:v>
                </c:pt>
                <c:pt idx="1507">
                  <c:v>49858</c:v>
                </c:pt>
                <c:pt idx="1508">
                  <c:v>49865</c:v>
                </c:pt>
                <c:pt idx="1509">
                  <c:v>49872</c:v>
                </c:pt>
                <c:pt idx="1510">
                  <c:v>49879</c:v>
                </c:pt>
                <c:pt idx="1511">
                  <c:v>49886</c:v>
                </c:pt>
                <c:pt idx="1512">
                  <c:v>49893</c:v>
                </c:pt>
                <c:pt idx="1513">
                  <c:v>49900</c:v>
                </c:pt>
                <c:pt idx="1514">
                  <c:v>49907</c:v>
                </c:pt>
                <c:pt idx="1515">
                  <c:v>49914</c:v>
                </c:pt>
                <c:pt idx="1516">
                  <c:v>49921</c:v>
                </c:pt>
                <c:pt idx="1517">
                  <c:v>49928</c:v>
                </c:pt>
                <c:pt idx="1518">
                  <c:v>49935</c:v>
                </c:pt>
                <c:pt idx="1519">
                  <c:v>49942</c:v>
                </c:pt>
                <c:pt idx="1520">
                  <c:v>49949</c:v>
                </c:pt>
                <c:pt idx="1521">
                  <c:v>49956</c:v>
                </c:pt>
                <c:pt idx="1522">
                  <c:v>49963</c:v>
                </c:pt>
                <c:pt idx="1523">
                  <c:v>49970</c:v>
                </c:pt>
                <c:pt idx="1524">
                  <c:v>49977</c:v>
                </c:pt>
                <c:pt idx="1525">
                  <c:v>49984</c:v>
                </c:pt>
                <c:pt idx="1526">
                  <c:v>49991</c:v>
                </c:pt>
                <c:pt idx="1527">
                  <c:v>49998</c:v>
                </c:pt>
                <c:pt idx="1528">
                  <c:v>50005</c:v>
                </c:pt>
                <c:pt idx="1529">
                  <c:v>50012</c:v>
                </c:pt>
                <c:pt idx="1530">
                  <c:v>50019</c:v>
                </c:pt>
                <c:pt idx="1531">
                  <c:v>50026</c:v>
                </c:pt>
                <c:pt idx="1532">
                  <c:v>50038</c:v>
                </c:pt>
                <c:pt idx="1533">
                  <c:v>50042</c:v>
                </c:pt>
                <c:pt idx="1534">
                  <c:v>50048</c:v>
                </c:pt>
                <c:pt idx="1535">
                  <c:v>50054</c:v>
                </c:pt>
                <c:pt idx="1536">
                  <c:v>50061</c:v>
                </c:pt>
                <c:pt idx="1537">
                  <c:v>50068</c:v>
                </c:pt>
                <c:pt idx="1538">
                  <c:v>50075</c:v>
                </c:pt>
                <c:pt idx="1539">
                  <c:v>50082</c:v>
                </c:pt>
                <c:pt idx="1540">
                  <c:v>50089</c:v>
                </c:pt>
                <c:pt idx="1541">
                  <c:v>50096</c:v>
                </c:pt>
                <c:pt idx="1542">
                  <c:v>50103</c:v>
                </c:pt>
                <c:pt idx="1543">
                  <c:v>50110</c:v>
                </c:pt>
                <c:pt idx="1544">
                  <c:v>50117</c:v>
                </c:pt>
                <c:pt idx="1545">
                  <c:v>50124</c:v>
                </c:pt>
                <c:pt idx="1546">
                  <c:v>50131</c:v>
                </c:pt>
                <c:pt idx="1547">
                  <c:v>50139</c:v>
                </c:pt>
                <c:pt idx="1548">
                  <c:v>50146</c:v>
                </c:pt>
                <c:pt idx="1549">
                  <c:v>50153</c:v>
                </c:pt>
                <c:pt idx="1550">
                  <c:v>50160</c:v>
                </c:pt>
                <c:pt idx="1551">
                  <c:v>50167</c:v>
                </c:pt>
                <c:pt idx="1552">
                  <c:v>50175</c:v>
                </c:pt>
                <c:pt idx="1553">
                  <c:v>50181</c:v>
                </c:pt>
                <c:pt idx="1554">
                  <c:v>50188</c:v>
                </c:pt>
                <c:pt idx="1555">
                  <c:v>50195</c:v>
                </c:pt>
                <c:pt idx="1556">
                  <c:v>50202</c:v>
                </c:pt>
                <c:pt idx="1557">
                  <c:v>50209</c:v>
                </c:pt>
                <c:pt idx="1558">
                  <c:v>50216</c:v>
                </c:pt>
                <c:pt idx="1559">
                  <c:v>50223</c:v>
                </c:pt>
                <c:pt idx="1560">
                  <c:v>50230</c:v>
                </c:pt>
                <c:pt idx="1561">
                  <c:v>50237</c:v>
                </c:pt>
                <c:pt idx="1562">
                  <c:v>50244</c:v>
                </c:pt>
                <c:pt idx="1563">
                  <c:v>50251</c:v>
                </c:pt>
                <c:pt idx="1564">
                  <c:v>50258</c:v>
                </c:pt>
                <c:pt idx="1565">
                  <c:v>50265</c:v>
                </c:pt>
                <c:pt idx="1566">
                  <c:v>50272</c:v>
                </c:pt>
                <c:pt idx="1567">
                  <c:v>50279</c:v>
                </c:pt>
                <c:pt idx="1568">
                  <c:v>50286</c:v>
                </c:pt>
                <c:pt idx="1569">
                  <c:v>50293</c:v>
                </c:pt>
                <c:pt idx="1570">
                  <c:v>50300</c:v>
                </c:pt>
                <c:pt idx="1571">
                  <c:v>50307</c:v>
                </c:pt>
                <c:pt idx="1572">
                  <c:v>50314</c:v>
                </c:pt>
                <c:pt idx="1573">
                  <c:v>50321</c:v>
                </c:pt>
                <c:pt idx="1574">
                  <c:v>50328</c:v>
                </c:pt>
                <c:pt idx="1575">
                  <c:v>50335</c:v>
                </c:pt>
                <c:pt idx="1576">
                  <c:v>50342</c:v>
                </c:pt>
                <c:pt idx="1577">
                  <c:v>50349</c:v>
                </c:pt>
                <c:pt idx="1578">
                  <c:v>50356</c:v>
                </c:pt>
                <c:pt idx="1579">
                  <c:v>50363</c:v>
                </c:pt>
                <c:pt idx="1580">
                  <c:v>50370</c:v>
                </c:pt>
                <c:pt idx="1581">
                  <c:v>50377</c:v>
                </c:pt>
                <c:pt idx="1582">
                  <c:v>50384</c:v>
                </c:pt>
                <c:pt idx="1583">
                  <c:v>50391</c:v>
                </c:pt>
                <c:pt idx="1584">
                  <c:v>50402</c:v>
                </c:pt>
                <c:pt idx="1585">
                  <c:v>50409</c:v>
                </c:pt>
                <c:pt idx="1586">
                  <c:v>50413</c:v>
                </c:pt>
                <c:pt idx="1587">
                  <c:v>50419</c:v>
                </c:pt>
                <c:pt idx="1588">
                  <c:v>50426</c:v>
                </c:pt>
                <c:pt idx="1589">
                  <c:v>50433</c:v>
                </c:pt>
                <c:pt idx="1590">
                  <c:v>50440</c:v>
                </c:pt>
                <c:pt idx="1591">
                  <c:v>50447</c:v>
                </c:pt>
                <c:pt idx="1592">
                  <c:v>50454</c:v>
                </c:pt>
                <c:pt idx="1593">
                  <c:v>50461</c:v>
                </c:pt>
                <c:pt idx="1594">
                  <c:v>50468</c:v>
                </c:pt>
                <c:pt idx="1595">
                  <c:v>50475</c:v>
                </c:pt>
                <c:pt idx="1596">
                  <c:v>50482</c:v>
                </c:pt>
                <c:pt idx="1597">
                  <c:v>50489</c:v>
                </c:pt>
                <c:pt idx="1598">
                  <c:v>50496</c:v>
                </c:pt>
                <c:pt idx="1599">
                  <c:v>50503</c:v>
                </c:pt>
                <c:pt idx="1600">
                  <c:v>50510</c:v>
                </c:pt>
                <c:pt idx="1601">
                  <c:v>50517</c:v>
                </c:pt>
                <c:pt idx="1602">
                  <c:v>50524</c:v>
                </c:pt>
                <c:pt idx="1603">
                  <c:v>50531</c:v>
                </c:pt>
                <c:pt idx="1604">
                  <c:v>50538</c:v>
                </c:pt>
                <c:pt idx="1605">
                  <c:v>50545</c:v>
                </c:pt>
                <c:pt idx="1606">
                  <c:v>50552</c:v>
                </c:pt>
                <c:pt idx="1607">
                  <c:v>50560</c:v>
                </c:pt>
                <c:pt idx="1608">
                  <c:v>50566</c:v>
                </c:pt>
                <c:pt idx="1609">
                  <c:v>50573</c:v>
                </c:pt>
                <c:pt idx="1610">
                  <c:v>50580</c:v>
                </c:pt>
                <c:pt idx="1611">
                  <c:v>50587</c:v>
                </c:pt>
                <c:pt idx="1612">
                  <c:v>50594</c:v>
                </c:pt>
                <c:pt idx="1613">
                  <c:v>50601</c:v>
                </c:pt>
                <c:pt idx="1614">
                  <c:v>50608</c:v>
                </c:pt>
                <c:pt idx="1615">
                  <c:v>50615</c:v>
                </c:pt>
                <c:pt idx="1616">
                  <c:v>50622</c:v>
                </c:pt>
                <c:pt idx="1617">
                  <c:v>50629</c:v>
                </c:pt>
                <c:pt idx="1618">
                  <c:v>50636</c:v>
                </c:pt>
                <c:pt idx="1619">
                  <c:v>50643</c:v>
                </c:pt>
                <c:pt idx="1620">
                  <c:v>50650</c:v>
                </c:pt>
                <c:pt idx="1621">
                  <c:v>50657</c:v>
                </c:pt>
                <c:pt idx="1622">
                  <c:v>50664</c:v>
                </c:pt>
                <c:pt idx="1623">
                  <c:v>50671</c:v>
                </c:pt>
                <c:pt idx="1624">
                  <c:v>50678</c:v>
                </c:pt>
                <c:pt idx="1625">
                  <c:v>50685</c:v>
                </c:pt>
                <c:pt idx="1626">
                  <c:v>50692</c:v>
                </c:pt>
                <c:pt idx="1627">
                  <c:v>50699</c:v>
                </c:pt>
                <c:pt idx="1628">
                  <c:v>50706</c:v>
                </c:pt>
                <c:pt idx="1629">
                  <c:v>50713</c:v>
                </c:pt>
                <c:pt idx="1630">
                  <c:v>50720</c:v>
                </c:pt>
                <c:pt idx="1631">
                  <c:v>50727</c:v>
                </c:pt>
                <c:pt idx="1632">
                  <c:v>50734</c:v>
                </c:pt>
                <c:pt idx="1633">
                  <c:v>50741</c:v>
                </c:pt>
                <c:pt idx="1634">
                  <c:v>50748</c:v>
                </c:pt>
                <c:pt idx="1635">
                  <c:v>50755</c:v>
                </c:pt>
                <c:pt idx="1636">
                  <c:v>50762</c:v>
                </c:pt>
                <c:pt idx="1637">
                  <c:v>50769</c:v>
                </c:pt>
                <c:pt idx="1638">
                  <c:v>50777</c:v>
                </c:pt>
                <c:pt idx="1639">
                  <c:v>50783</c:v>
                </c:pt>
                <c:pt idx="1640">
                  <c:v>50790</c:v>
                </c:pt>
                <c:pt idx="1641">
                  <c:v>50797</c:v>
                </c:pt>
                <c:pt idx="1642">
                  <c:v>50804</c:v>
                </c:pt>
                <c:pt idx="1643">
                  <c:v>50811</c:v>
                </c:pt>
                <c:pt idx="1644">
                  <c:v>50818</c:v>
                </c:pt>
                <c:pt idx="1645">
                  <c:v>50825</c:v>
                </c:pt>
                <c:pt idx="1646">
                  <c:v>50832</c:v>
                </c:pt>
                <c:pt idx="1647">
                  <c:v>50839</c:v>
                </c:pt>
                <c:pt idx="1648">
                  <c:v>50846</c:v>
                </c:pt>
                <c:pt idx="1649">
                  <c:v>50853</c:v>
                </c:pt>
                <c:pt idx="1650">
                  <c:v>50860</c:v>
                </c:pt>
                <c:pt idx="1651">
                  <c:v>50867</c:v>
                </c:pt>
                <c:pt idx="1652">
                  <c:v>50874</c:v>
                </c:pt>
                <c:pt idx="1653">
                  <c:v>50881</c:v>
                </c:pt>
                <c:pt idx="1654">
                  <c:v>50888</c:v>
                </c:pt>
                <c:pt idx="1655">
                  <c:v>50895</c:v>
                </c:pt>
                <c:pt idx="1656">
                  <c:v>50902</c:v>
                </c:pt>
                <c:pt idx="1657">
                  <c:v>50910</c:v>
                </c:pt>
                <c:pt idx="1658">
                  <c:v>50916</c:v>
                </c:pt>
                <c:pt idx="1659">
                  <c:v>50923</c:v>
                </c:pt>
                <c:pt idx="1660">
                  <c:v>50930</c:v>
                </c:pt>
                <c:pt idx="1661">
                  <c:v>50937</c:v>
                </c:pt>
                <c:pt idx="1662">
                  <c:v>50944</c:v>
                </c:pt>
                <c:pt idx="1663">
                  <c:v>50951</c:v>
                </c:pt>
                <c:pt idx="1664">
                  <c:v>50958</c:v>
                </c:pt>
                <c:pt idx="1665">
                  <c:v>50965</c:v>
                </c:pt>
                <c:pt idx="1666">
                  <c:v>50972</c:v>
                </c:pt>
                <c:pt idx="1667">
                  <c:v>50979</c:v>
                </c:pt>
                <c:pt idx="1668">
                  <c:v>50986</c:v>
                </c:pt>
                <c:pt idx="1669">
                  <c:v>50993</c:v>
                </c:pt>
                <c:pt idx="1670">
                  <c:v>51000</c:v>
                </c:pt>
                <c:pt idx="1671">
                  <c:v>51007</c:v>
                </c:pt>
                <c:pt idx="1672">
                  <c:v>51014</c:v>
                </c:pt>
                <c:pt idx="1673">
                  <c:v>51021</c:v>
                </c:pt>
                <c:pt idx="1674">
                  <c:v>51028</c:v>
                </c:pt>
                <c:pt idx="1675">
                  <c:v>51035</c:v>
                </c:pt>
                <c:pt idx="1676">
                  <c:v>51042</c:v>
                </c:pt>
                <c:pt idx="1677">
                  <c:v>51049</c:v>
                </c:pt>
                <c:pt idx="1678">
                  <c:v>51056</c:v>
                </c:pt>
                <c:pt idx="1679">
                  <c:v>51063</c:v>
                </c:pt>
                <c:pt idx="1680">
                  <c:v>51070</c:v>
                </c:pt>
                <c:pt idx="1681">
                  <c:v>51077</c:v>
                </c:pt>
                <c:pt idx="1682">
                  <c:v>51084</c:v>
                </c:pt>
                <c:pt idx="1683">
                  <c:v>51091</c:v>
                </c:pt>
                <c:pt idx="1684">
                  <c:v>51098</c:v>
                </c:pt>
                <c:pt idx="1685">
                  <c:v>51105</c:v>
                </c:pt>
                <c:pt idx="1686">
                  <c:v>51112</c:v>
                </c:pt>
                <c:pt idx="1687">
                  <c:v>51119</c:v>
                </c:pt>
                <c:pt idx="1688">
                  <c:v>51126</c:v>
                </c:pt>
                <c:pt idx="1689">
                  <c:v>51133</c:v>
                </c:pt>
                <c:pt idx="1690">
                  <c:v>51140</c:v>
                </c:pt>
                <c:pt idx="1691">
                  <c:v>51147</c:v>
                </c:pt>
                <c:pt idx="1692">
                  <c:v>51154</c:v>
                </c:pt>
                <c:pt idx="1693">
                  <c:v>51161</c:v>
                </c:pt>
                <c:pt idx="1694">
                  <c:v>51168</c:v>
                </c:pt>
                <c:pt idx="1695">
                  <c:v>51175</c:v>
                </c:pt>
                <c:pt idx="1696">
                  <c:v>51182</c:v>
                </c:pt>
                <c:pt idx="1697">
                  <c:v>51189</c:v>
                </c:pt>
                <c:pt idx="1698">
                  <c:v>51196</c:v>
                </c:pt>
                <c:pt idx="1699">
                  <c:v>51203</c:v>
                </c:pt>
                <c:pt idx="1700">
                  <c:v>51210</c:v>
                </c:pt>
                <c:pt idx="1701">
                  <c:v>51217</c:v>
                </c:pt>
                <c:pt idx="1702">
                  <c:v>51224</c:v>
                </c:pt>
                <c:pt idx="1703">
                  <c:v>51231</c:v>
                </c:pt>
                <c:pt idx="1704">
                  <c:v>51238</c:v>
                </c:pt>
                <c:pt idx="1705">
                  <c:v>51245</c:v>
                </c:pt>
                <c:pt idx="1706">
                  <c:v>51252</c:v>
                </c:pt>
                <c:pt idx="1707">
                  <c:v>51260</c:v>
                </c:pt>
                <c:pt idx="1708">
                  <c:v>51270</c:v>
                </c:pt>
                <c:pt idx="1709">
                  <c:v>51274</c:v>
                </c:pt>
                <c:pt idx="1710">
                  <c:v>51281</c:v>
                </c:pt>
                <c:pt idx="1711">
                  <c:v>51288</c:v>
                </c:pt>
                <c:pt idx="1712">
                  <c:v>51295</c:v>
                </c:pt>
                <c:pt idx="1713">
                  <c:v>51302</c:v>
                </c:pt>
                <c:pt idx="1714">
                  <c:v>51312</c:v>
                </c:pt>
                <c:pt idx="1715">
                  <c:v>51316</c:v>
                </c:pt>
                <c:pt idx="1716">
                  <c:v>51323</c:v>
                </c:pt>
                <c:pt idx="1717">
                  <c:v>51330</c:v>
                </c:pt>
                <c:pt idx="1718">
                  <c:v>51337</c:v>
                </c:pt>
                <c:pt idx="1719">
                  <c:v>51344</c:v>
                </c:pt>
                <c:pt idx="1720">
                  <c:v>51351</c:v>
                </c:pt>
                <c:pt idx="1721">
                  <c:v>51358</c:v>
                </c:pt>
                <c:pt idx="1722">
                  <c:v>51365</c:v>
                </c:pt>
                <c:pt idx="1723">
                  <c:v>51372</c:v>
                </c:pt>
                <c:pt idx="1724">
                  <c:v>51379</c:v>
                </c:pt>
                <c:pt idx="1725">
                  <c:v>51386</c:v>
                </c:pt>
                <c:pt idx="1726">
                  <c:v>51393</c:v>
                </c:pt>
                <c:pt idx="1727">
                  <c:v>51400</c:v>
                </c:pt>
                <c:pt idx="1728">
                  <c:v>51407</c:v>
                </c:pt>
                <c:pt idx="1729">
                  <c:v>51414</c:v>
                </c:pt>
                <c:pt idx="1730">
                  <c:v>51421</c:v>
                </c:pt>
                <c:pt idx="1731">
                  <c:v>51428</c:v>
                </c:pt>
                <c:pt idx="1732">
                  <c:v>51435</c:v>
                </c:pt>
                <c:pt idx="1733">
                  <c:v>51442</c:v>
                </c:pt>
                <c:pt idx="1734">
                  <c:v>51449</c:v>
                </c:pt>
                <c:pt idx="1735">
                  <c:v>51456</c:v>
                </c:pt>
                <c:pt idx="1736">
                  <c:v>51463</c:v>
                </c:pt>
                <c:pt idx="1737">
                  <c:v>51470</c:v>
                </c:pt>
                <c:pt idx="1738">
                  <c:v>51477</c:v>
                </c:pt>
                <c:pt idx="1739">
                  <c:v>51484</c:v>
                </c:pt>
                <c:pt idx="1740">
                  <c:v>51491</c:v>
                </c:pt>
                <c:pt idx="1741">
                  <c:v>51503</c:v>
                </c:pt>
                <c:pt idx="1742">
                  <c:v>51508</c:v>
                </c:pt>
                <c:pt idx="1743">
                  <c:v>51515</c:v>
                </c:pt>
                <c:pt idx="1744">
                  <c:v>51522</c:v>
                </c:pt>
                <c:pt idx="1745">
                  <c:v>51529</c:v>
                </c:pt>
                <c:pt idx="1746">
                  <c:v>51536</c:v>
                </c:pt>
                <c:pt idx="1747">
                  <c:v>51543</c:v>
                </c:pt>
                <c:pt idx="1748">
                  <c:v>51550</c:v>
                </c:pt>
                <c:pt idx="1749">
                  <c:v>51557</c:v>
                </c:pt>
                <c:pt idx="1750">
                  <c:v>51564</c:v>
                </c:pt>
                <c:pt idx="1751">
                  <c:v>51571</c:v>
                </c:pt>
                <c:pt idx="1752">
                  <c:v>51578</c:v>
                </c:pt>
                <c:pt idx="1753">
                  <c:v>51585</c:v>
                </c:pt>
                <c:pt idx="1754">
                  <c:v>51592</c:v>
                </c:pt>
                <c:pt idx="1755">
                  <c:v>51599</c:v>
                </c:pt>
                <c:pt idx="1756">
                  <c:v>51606</c:v>
                </c:pt>
                <c:pt idx="1757">
                  <c:v>51615</c:v>
                </c:pt>
                <c:pt idx="1758">
                  <c:v>51620</c:v>
                </c:pt>
                <c:pt idx="1759">
                  <c:v>51627</c:v>
                </c:pt>
                <c:pt idx="1760">
                  <c:v>51634</c:v>
                </c:pt>
                <c:pt idx="1761">
                  <c:v>51641</c:v>
                </c:pt>
                <c:pt idx="1762">
                  <c:v>51648</c:v>
                </c:pt>
                <c:pt idx="1763">
                  <c:v>51656</c:v>
                </c:pt>
                <c:pt idx="1764">
                  <c:v>51664</c:v>
                </c:pt>
                <c:pt idx="1765">
                  <c:v>51670</c:v>
                </c:pt>
                <c:pt idx="1766">
                  <c:v>51678</c:v>
                </c:pt>
                <c:pt idx="1767">
                  <c:v>51685</c:v>
                </c:pt>
                <c:pt idx="1768">
                  <c:v>51692</c:v>
                </c:pt>
                <c:pt idx="1769">
                  <c:v>51699</c:v>
                </c:pt>
                <c:pt idx="1770">
                  <c:v>51706</c:v>
                </c:pt>
                <c:pt idx="1771">
                  <c:v>51713</c:v>
                </c:pt>
                <c:pt idx="1772">
                  <c:v>51720</c:v>
                </c:pt>
                <c:pt idx="1773">
                  <c:v>51727</c:v>
                </c:pt>
                <c:pt idx="1774">
                  <c:v>51734</c:v>
                </c:pt>
                <c:pt idx="1775">
                  <c:v>51741</c:v>
                </c:pt>
                <c:pt idx="1776">
                  <c:v>51748</c:v>
                </c:pt>
                <c:pt idx="1777">
                  <c:v>51755</c:v>
                </c:pt>
                <c:pt idx="1778">
                  <c:v>51762</c:v>
                </c:pt>
                <c:pt idx="1779">
                  <c:v>51769</c:v>
                </c:pt>
                <c:pt idx="1780">
                  <c:v>51776</c:v>
                </c:pt>
                <c:pt idx="1781">
                  <c:v>51783</c:v>
                </c:pt>
                <c:pt idx="1782">
                  <c:v>51790</c:v>
                </c:pt>
                <c:pt idx="1783">
                  <c:v>51797</c:v>
                </c:pt>
                <c:pt idx="1784">
                  <c:v>51804</c:v>
                </c:pt>
                <c:pt idx="1785">
                  <c:v>51811</c:v>
                </c:pt>
                <c:pt idx="1786">
                  <c:v>51818</c:v>
                </c:pt>
                <c:pt idx="1787">
                  <c:v>51825</c:v>
                </c:pt>
                <c:pt idx="1788">
                  <c:v>51832</c:v>
                </c:pt>
                <c:pt idx="1789">
                  <c:v>51839</c:v>
                </c:pt>
                <c:pt idx="1790">
                  <c:v>51846</c:v>
                </c:pt>
                <c:pt idx="1791">
                  <c:v>51853</c:v>
                </c:pt>
                <c:pt idx="1792">
                  <c:v>51865</c:v>
                </c:pt>
                <c:pt idx="1793">
                  <c:v>51869</c:v>
                </c:pt>
                <c:pt idx="1794">
                  <c:v>51875</c:v>
                </c:pt>
                <c:pt idx="1795">
                  <c:v>51882</c:v>
                </c:pt>
                <c:pt idx="1796">
                  <c:v>51889</c:v>
                </c:pt>
                <c:pt idx="1797">
                  <c:v>51896</c:v>
                </c:pt>
                <c:pt idx="1798">
                  <c:v>51903</c:v>
                </c:pt>
                <c:pt idx="1799">
                  <c:v>51910</c:v>
                </c:pt>
                <c:pt idx="1800">
                  <c:v>51917</c:v>
                </c:pt>
                <c:pt idx="1801">
                  <c:v>51924</c:v>
                </c:pt>
                <c:pt idx="1802">
                  <c:v>51931</c:v>
                </c:pt>
                <c:pt idx="1803">
                  <c:v>51938</c:v>
                </c:pt>
                <c:pt idx="1804">
                  <c:v>51945</c:v>
                </c:pt>
                <c:pt idx="1805">
                  <c:v>51952</c:v>
                </c:pt>
                <c:pt idx="1806">
                  <c:v>51959</c:v>
                </c:pt>
                <c:pt idx="1807">
                  <c:v>51966</c:v>
                </c:pt>
                <c:pt idx="1808">
                  <c:v>51973</c:v>
                </c:pt>
                <c:pt idx="1809">
                  <c:v>51980</c:v>
                </c:pt>
                <c:pt idx="1810">
                  <c:v>51988</c:v>
                </c:pt>
                <c:pt idx="1811">
                  <c:v>51994</c:v>
                </c:pt>
                <c:pt idx="1812">
                  <c:v>52002</c:v>
                </c:pt>
                <c:pt idx="1813">
                  <c:v>52008</c:v>
                </c:pt>
                <c:pt idx="1814">
                  <c:v>52015</c:v>
                </c:pt>
                <c:pt idx="1815">
                  <c:v>52022</c:v>
                </c:pt>
                <c:pt idx="1816">
                  <c:v>52029</c:v>
                </c:pt>
                <c:pt idx="1817">
                  <c:v>52036</c:v>
                </c:pt>
                <c:pt idx="1818">
                  <c:v>52043</c:v>
                </c:pt>
                <c:pt idx="1819">
                  <c:v>52050</c:v>
                </c:pt>
                <c:pt idx="1820">
                  <c:v>52057</c:v>
                </c:pt>
                <c:pt idx="1821">
                  <c:v>52064</c:v>
                </c:pt>
                <c:pt idx="1822">
                  <c:v>52071</c:v>
                </c:pt>
                <c:pt idx="1823">
                  <c:v>52078</c:v>
                </c:pt>
                <c:pt idx="1824">
                  <c:v>52085</c:v>
                </c:pt>
                <c:pt idx="1825">
                  <c:v>52092</c:v>
                </c:pt>
                <c:pt idx="1826">
                  <c:v>52099</c:v>
                </c:pt>
                <c:pt idx="1827">
                  <c:v>52106</c:v>
                </c:pt>
                <c:pt idx="1828">
                  <c:v>52113</c:v>
                </c:pt>
                <c:pt idx="1829">
                  <c:v>52120</c:v>
                </c:pt>
                <c:pt idx="1830">
                  <c:v>52127</c:v>
                </c:pt>
                <c:pt idx="1831">
                  <c:v>52134</c:v>
                </c:pt>
                <c:pt idx="1832">
                  <c:v>52141</c:v>
                </c:pt>
                <c:pt idx="1833">
                  <c:v>52148</c:v>
                </c:pt>
                <c:pt idx="1834">
                  <c:v>52155</c:v>
                </c:pt>
                <c:pt idx="1835">
                  <c:v>52162</c:v>
                </c:pt>
                <c:pt idx="1836">
                  <c:v>52169</c:v>
                </c:pt>
                <c:pt idx="1837">
                  <c:v>52176</c:v>
                </c:pt>
                <c:pt idx="1838">
                  <c:v>52183</c:v>
                </c:pt>
                <c:pt idx="1839">
                  <c:v>52190</c:v>
                </c:pt>
                <c:pt idx="1840">
                  <c:v>52197</c:v>
                </c:pt>
                <c:pt idx="1841">
                  <c:v>52204</c:v>
                </c:pt>
                <c:pt idx="1842">
                  <c:v>52211</c:v>
                </c:pt>
                <c:pt idx="1843">
                  <c:v>52218</c:v>
                </c:pt>
                <c:pt idx="1844">
                  <c:v>52230</c:v>
                </c:pt>
                <c:pt idx="1845">
                  <c:v>52236</c:v>
                </c:pt>
                <c:pt idx="1846">
                  <c:v>52240</c:v>
                </c:pt>
                <c:pt idx="1847">
                  <c:v>52247</c:v>
                </c:pt>
                <c:pt idx="1848">
                  <c:v>52254</c:v>
                </c:pt>
                <c:pt idx="1849">
                  <c:v>52261</c:v>
                </c:pt>
                <c:pt idx="1850">
                  <c:v>52268</c:v>
                </c:pt>
                <c:pt idx="1851">
                  <c:v>52275</c:v>
                </c:pt>
                <c:pt idx="1852">
                  <c:v>52282</c:v>
                </c:pt>
                <c:pt idx="1853">
                  <c:v>52289</c:v>
                </c:pt>
                <c:pt idx="1854">
                  <c:v>52296</c:v>
                </c:pt>
                <c:pt idx="1855">
                  <c:v>52303</c:v>
                </c:pt>
                <c:pt idx="1856">
                  <c:v>52310</c:v>
                </c:pt>
                <c:pt idx="1857">
                  <c:v>52321</c:v>
                </c:pt>
                <c:pt idx="1858">
                  <c:v>52324</c:v>
                </c:pt>
                <c:pt idx="1859">
                  <c:v>52331</c:v>
                </c:pt>
                <c:pt idx="1860">
                  <c:v>52338</c:v>
                </c:pt>
                <c:pt idx="1861">
                  <c:v>52345</c:v>
                </c:pt>
                <c:pt idx="1862">
                  <c:v>52355</c:v>
                </c:pt>
                <c:pt idx="1863">
                  <c:v>52362</c:v>
                </c:pt>
                <c:pt idx="1864">
                  <c:v>52366</c:v>
                </c:pt>
                <c:pt idx="1865">
                  <c:v>52373</c:v>
                </c:pt>
                <c:pt idx="1866">
                  <c:v>52380</c:v>
                </c:pt>
                <c:pt idx="1867">
                  <c:v>52387</c:v>
                </c:pt>
                <c:pt idx="1868">
                  <c:v>52394</c:v>
                </c:pt>
                <c:pt idx="1869">
                  <c:v>52404</c:v>
                </c:pt>
                <c:pt idx="1870">
                  <c:v>52408</c:v>
                </c:pt>
                <c:pt idx="1871">
                  <c:v>52415</c:v>
                </c:pt>
                <c:pt idx="1872">
                  <c:v>52422</c:v>
                </c:pt>
                <c:pt idx="1873">
                  <c:v>52429</c:v>
                </c:pt>
                <c:pt idx="1874">
                  <c:v>52436</c:v>
                </c:pt>
                <c:pt idx="1875">
                  <c:v>52443</c:v>
                </c:pt>
                <c:pt idx="1876">
                  <c:v>52450</c:v>
                </c:pt>
                <c:pt idx="1877">
                  <c:v>52457</c:v>
                </c:pt>
                <c:pt idx="1878">
                  <c:v>52464</c:v>
                </c:pt>
                <c:pt idx="1879">
                  <c:v>52471</c:v>
                </c:pt>
                <c:pt idx="1880">
                  <c:v>52478</c:v>
                </c:pt>
                <c:pt idx="1881">
                  <c:v>52485</c:v>
                </c:pt>
                <c:pt idx="1882">
                  <c:v>52492</c:v>
                </c:pt>
                <c:pt idx="1883">
                  <c:v>52499</c:v>
                </c:pt>
                <c:pt idx="1884">
                  <c:v>52506</c:v>
                </c:pt>
                <c:pt idx="1885">
                  <c:v>52513</c:v>
                </c:pt>
                <c:pt idx="1886">
                  <c:v>52520</c:v>
                </c:pt>
                <c:pt idx="1887">
                  <c:v>52527</c:v>
                </c:pt>
                <c:pt idx="1888">
                  <c:v>52534</c:v>
                </c:pt>
                <c:pt idx="1889">
                  <c:v>52541</c:v>
                </c:pt>
                <c:pt idx="1890">
                  <c:v>52548</c:v>
                </c:pt>
                <c:pt idx="1891">
                  <c:v>52555</c:v>
                </c:pt>
                <c:pt idx="1892">
                  <c:v>52562</c:v>
                </c:pt>
                <c:pt idx="1893">
                  <c:v>52569</c:v>
                </c:pt>
                <c:pt idx="1894">
                  <c:v>52576</c:v>
                </c:pt>
                <c:pt idx="1895">
                  <c:v>52583</c:v>
                </c:pt>
                <c:pt idx="1896">
                  <c:v>52594</c:v>
                </c:pt>
                <c:pt idx="1897">
                  <c:v>52601</c:v>
                </c:pt>
                <c:pt idx="1898">
                  <c:v>52607</c:v>
                </c:pt>
                <c:pt idx="1899">
                  <c:v>52614</c:v>
                </c:pt>
                <c:pt idx="1900">
                  <c:v>52621</c:v>
                </c:pt>
                <c:pt idx="1901">
                  <c:v>52628</c:v>
                </c:pt>
                <c:pt idx="1902">
                  <c:v>52635</c:v>
                </c:pt>
                <c:pt idx="1903">
                  <c:v>52642</c:v>
                </c:pt>
                <c:pt idx="1904">
                  <c:v>52649</c:v>
                </c:pt>
                <c:pt idx="1905">
                  <c:v>52656</c:v>
                </c:pt>
                <c:pt idx="1906">
                  <c:v>52663</c:v>
                </c:pt>
                <c:pt idx="1907">
                  <c:v>52670</c:v>
                </c:pt>
                <c:pt idx="1908">
                  <c:v>52677</c:v>
                </c:pt>
                <c:pt idx="1909">
                  <c:v>52684</c:v>
                </c:pt>
                <c:pt idx="1910">
                  <c:v>52691</c:v>
                </c:pt>
                <c:pt idx="1911">
                  <c:v>52698</c:v>
                </c:pt>
                <c:pt idx="1912">
                  <c:v>52707</c:v>
                </c:pt>
                <c:pt idx="1913">
                  <c:v>52712</c:v>
                </c:pt>
                <c:pt idx="1914">
                  <c:v>52719</c:v>
                </c:pt>
                <c:pt idx="1915">
                  <c:v>52726</c:v>
                </c:pt>
                <c:pt idx="1916">
                  <c:v>52733</c:v>
                </c:pt>
                <c:pt idx="1917">
                  <c:v>52740</c:v>
                </c:pt>
                <c:pt idx="1918">
                  <c:v>52748</c:v>
                </c:pt>
                <c:pt idx="1919">
                  <c:v>52756</c:v>
                </c:pt>
                <c:pt idx="1920">
                  <c:v>52762</c:v>
                </c:pt>
                <c:pt idx="1921">
                  <c:v>52769</c:v>
                </c:pt>
                <c:pt idx="1922">
                  <c:v>52777</c:v>
                </c:pt>
                <c:pt idx="1923">
                  <c:v>52784</c:v>
                </c:pt>
                <c:pt idx="1924">
                  <c:v>52791</c:v>
                </c:pt>
                <c:pt idx="1925">
                  <c:v>52798</c:v>
                </c:pt>
                <c:pt idx="1926">
                  <c:v>52805</c:v>
                </c:pt>
                <c:pt idx="1927">
                  <c:v>52812</c:v>
                </c:pt>
                <c:pt idx="1928">
                  <c:v>52819</c:v>
                </c:pt>
                <c:pt idx="1929">
                  <c:v>52826</c:v>
                </c:pt>
                <c:pt idx="1930">
                  <c:v>52833</c:v>
                </c:pt>
                <c:pt idx="1931">
                  <c:v>52840</c:v>
                </c:pt>
                <c:pt idx="1932">
                  <c:v>52847</c:v>
                </c:pt>
                <c:pt idx="1933">
                  <c:v>52854</c:v>
                </c:pt>
                <c:pt idx="1934">
                  <c:v>52861</c:v>
                </c:pt>
                <c:pt idx="1935">
                  <c:v>52868</c:v>
                </c:pt>
                <c:pt idx="1936">
                  <c:v>52875</c:v>
                </c:pt>
                <c:pt idx="1937">
                  <c:v>52882</c:v>
                </c:pt>
                <c:pt idx="1938">
                  <c:v>52889</c:v>
                </c:pt>
                <c:pt idx="1939">
                  <c:v>52896</c:v>
                </c:pt>
                <c:pt idx="1940">
                  <c:v>52903</c:v>
                </c:pt>
                <c:pt idx="1941">
                  <c:v>52910</c:v>
                </c:pt>
                <c:pt idx="1942">
                  <c:v>52917</c:v>
                </c:pt>
                <c:pt idx="1943">
                  <c:v>52924</c:v>
                </c:pt>
                <c:pt idx="1944">
                  <c:v>52931</c:v>
                </c:pt>
                <c:pt idx="1945">
                  <c:v>52938</c:v>
                </c:pt>
                <c:pt idx="1946">
                  <c:v>52945</c:v>
                </c:pt>
                <c:pt idx="1947">
                  <c:v>52952</c:v>
                </c:pt>
                <c:pt idx="1948">
                  <c:v>52960</c:v>
                </c:pt>
                <c:pt idx="1949">
                  <c:v>52967</c:v>
                </c:pt>
                <c:pt idx="1950">
                  <c:v>52974</c:v>
                </c:pt>
                <c:pt idx="1951">
                  <c:v>52981</c:v>
                </c:pt>
                <c:pt idx="1952">
                  <c:v>52988</c:v>
                </c:pt>
                <c:pt idx="1953">
                  <c:v>52995</c:v>
                </c:pt>
                <c:pt idx="1954">
                  <c:v>53002</c:v>
                </c:pt>
                <c:pt idx="1955">
                  <c:v>53009</c:v>
                </c:pt>
                <c:pt idx="1956">
                  <c:v>53016</c:v>
                </c:pt>
                <c:pt idx="1957">
                  <c:v>53023</c:v>
                </c:pt>
                <c:pt idx="1958">
                  <c:v>53030</c:v>
                </c:pt>
                <c:pt idx="1959">
                  <c:v>53037</c:v>
                </c:pt>
                <c:pt idx="1960">
                  <c:v>53044</c:v>
                </c:pt>
                <c:pt idx="1961">
                  <c:v>53051</c:v>
                </c:pt>
                <c:pt idx="1962">
                  <c:v>53058</c:v>
                </c:pt>
                <c:pt idx="1963">
                  <c:v>53065</c:v>
                </c:pt>
                <c:pt idx="1964">
                  <c:v>53072</c:v>
                </c:pt>
                <c:pt idx="1965">
                  <c:v>53079</c:v>
                </c:pt>
                <c:pt idx="1966">
                  <c:v>53086</c:v>
                </c:pt>
                <c:pt idx="1967">
                  <c:v>53093</c:v>
                </c:pt>
                <c:pt idx="1968">
                  <c:v>53101</c:v>
                </c:pt>
                <c:pt idx="1969">
                  <c:v>53107</c:v>
                </c:pt>
                <c:pt idx="1970">
                  <c:v>53114</c:v>
                </c:pt>
                <c:pt idx="1971">
                  <c:v>53121</c:v>
                </c:pt>
                <c:pt idx="1972">
                  <c:v>53128</c:v>
                </c:pt>
                <c:pt idx="1973">
                  <c:v>53135</c:v>
                </c:pt>
                <c:pt idx="1974">
                  <c:v>53142</c:v>
                </c:pt>
                <c:pt idx="1975">
                  <c:v>53149</c:v>
                </c:pt>
                <c:pt idx="1976">
                  <c:v>53156</c:v>
                </c:pt>
                <c:pt idx="1977">
                  <c:v>53163</c:v>
                </c:pt>
                <c:pt idx="1978">
                  <c:v>53170</c:v>
                </c:pt>
                <c:pt idx="1979">
                  <c:v>53177</c:v>
                </c:pt>
                <c:pt idx="1980">
                  <c:v>53184</c:v>
                </c:pt>
                <c:pt idx="1981">
                  <c:v>53191</c:v>
                </c:pt>
                <c:pt idx="1982">
                  <c:v>53198</c:v>
                </c:pt>
                <c:pt idx="1983">
                  <c:v>53205</c:v>
                </c:pt>
                <c:pt idx="1984">
                  <c:v>53212</c:v>
                </c:pt>
                <c:pt idx="1985">
                  <c:v>53219</c:v>
                </c:pt>
                <c:pt idx="1986">
                  <c:v>53226</c:v>
                </c:pt>
                <c:pt idx="1987">
                  <c:v>53233</c:v>
                </c:pt>
                <c:pt idx="1988">
                  <c:v>53240</c:v>
                </c:pt>
                <c:pt idx="1989">
                  <c:v>53247</c:v>
                </c:pt>
                <c:pt idx="1990">
                  <c:v>53254</c:v>
                </c:pt>
                <c:pt idx="1991">
                  <c:v>53261</c:v>
                </c:pt>
                <c:pt idx="1992">
                  <c:v>53268</c:v>
                </c:pt>
                <c:pt idx="1993">
                  <c:v>53275</c:v>
                </c:pt>
                <c:pt idx="1994">
                  <c:v>53282</c:v>
                </c:pt>
                <c:pt idx="1995">
                  <c:v>53289</c:v>
                </c:pt>
                <c:pt idx="1996">
                  <c:v>53296</c:v>
                </c:pt>
                <c:pt idx="1997">
                  <c:v>53303</c:v>
                </c:pt>
                <c:pt idx="1998">
                  <c:v>53310</c:v>
                </c:pt>
                <c:pt idx="1999">
                  <c:v>53317</c:v>
                </c:pt>
                <c:pt idx="2000">
                  <c:v>53325</c:v>
                </c:pt>
                <c:pt idx="2001">
                  <c:v>53332</c:v>
                </c:pt>
                <c:pt idx="2002">
                  <c:v>53339</c:v>
                </c:pt>
                <c:pt idx="2003">
                  <c:v>53346</c:v>
                </c:pt>
                <c:pt idx="2004">
                  <c:v>53353</c:v>
                </c:pt>
                <c:pt idx="2005">
                  <c:v>53360</c:v>
                </c:pt>
                <c:pt idx="2006">
                  <c:v>53367</c:v>
                </c:pt>
                <c:pt idx="2007">
                  <c:v>53374</c:v>
                </c:pt>
                <c:pt idx="2008">
                  <c:v>53381</c:v>
                </c:pt>
                <c:pt idx="2009">
                  <c:v>53388</c:v>
                </c:pt>
                <c:pt idx="2010">
                  <c:v>53395</c:v>
                </c:pt>
                <c:pt idx="2011">
                  <c:v>53402</c:v>
                </c:pt>
                <c:pt idx="2012">
                  <c:v>53413</c:v>
                </c:pt>
                <c:pt idx="2013">
                  <c:v>53416</c:v>
                </c:pt>
                <c:pt idx="2014">
                  <c:v>53423</c:v>
                </c:pt>
                <c:pt idx="2015">
                  <c:v>53430</c:v>
                </c:pt>
                <c:pt idx="2016">
                  <c:v>53437</c:v>
                </c:pt>
                <c:pt idx="2017">
                  <c:v>53444</c:v>
                </c:pt>
                <c:pt idx="2018">
                  <c:v>53454</c:v>
                </c:pt>
                <c:pt idx="2019">
                  <c:v>53458</c:v>
                </c:pt>
                <c:pt idx="2020">
                  <c:v>53465</c:v>
                </c:pt>
                <c:pt idx="2021">
                  <c:v>53472</c:v>
                </c:pt>
                <c:pt idx="2022">
                  <c:v>53479</c:v>
                </c:pt>
                <c:pt idx="2023">
                  <c:v>53486</c:v>
                </c:pt>
                <c:pt idx="2024">
                  <c:v>53493</c:v>
                </c:pt>
                <c:pt idx="2025">
                  <c:v>53503</c:v>
                </c:pt>
                <c:pt idx="2026">
                  <c:v>53507</c:v>
                </c:pt>
                <c:pt idx="2027">
                  <c:v>53514</c:v>
                </c:pt>
                <c:pt idx="2028">
                  <c:v>53521</c:v>
                </c:pt>
                <c:pt idx="2029">
                  <c:v>53528</c:v>
                </c:pt>
                <c:pt idx="2030">
                  <c:v>53535</c:v>
                </c:pt>
                <c:pt idx="2031">
                  <c:v>53542</c:v>
                </c:pt>
                <c:pt idx="2032">
                  <c:v>53549</c:v>
                </c:pt>
                <c:pt idx="2033">
                  <c:v>53556</c:v>
                </c:pt>
                <c:pt idx="2034">
                  <c:v>53563</c:v>
                </c:pt>
                <c:pt idx="2035">
                  <c:v>53570</c:v>
                </c:pt>
                <c:pt idx="2036">
                  <c:v>53577</c:v>
                </c:pt>
                <c:pt idx="2037">
                  <c:v>53584</c:v>
                </c:pt>
                <c:pt idx="2038">
                  <c:v>53591</c:v>
                </c:pt>
                <c:pt idx="2039">
                  <c:v>53598</c:v>
                </c:pt>
                <c:pt idx="2040">
                  <c:v>53605</c:v>
                </c:pt>
                <c:pt idx="2041">
                  <c:v>53612</c:v>
                </c:pt>
                <c:pt idx="2042">
                  <c:v>53619</c:v>
                </c:pt>
                <c:pt idx="2043">
                  <c:v>53626</c:v>
                </c:pt>
                <c:pt idx="2044">
                  <c:v>53633</c:v>
                </c:pt>
                <c:pt idx="2045">
                  <c:v>53640</c:v>
                </c:pt>
                <c:pt idx="2046">
                  <c:v>53647</c:v>
                </c:pt>
                <c:pt idx="2047">
                  <c:v>53654</c:v>
                </c:pt>
                <c:pt idx="2048">
                  <c:v>53661</c:v>
                </c:pt>
                <c:pt idx="2049">
                  <c:v>53668</c:v>
                </c:pt>
                <c:pt idx="2050">
                  <c:v>53675</c:v>
                </c:pt>
                <c:pt idx="2051">
                  <c:v>53682</c:v>
                </c:pt>
                <c:pt idx="2052">
                  <c:v>53694</c:v>
                </c:pt>
                <c:pt idx="2053">
                  <c:v>53699</c:v>
                </c:pt>
                <c:pt idx="2054">
                  <c:v>53706</c:v>
                </c:pt>
                <c:pt idx="2055">
                  <c:v>53713</c:v>
                </c:pt>
                <c:pt idx="2056">
                  <c:v>53720</c:v>
                </c:pt>
                <c:pt idx="2057">
                  <c:v>53727</c:v>
                </c:pt>
                <c:pt idx="2058">
                  <c:v>53734</c:v>
                </c:pt>
                <c:pt idx="2059">
                  <c:v>53741</c:v>
                </c:pt>
                <c:pt idx="2060">
                  <c:v>53748</c:v>
                </c:pt>
                <c:pt idx="2061">
                  <c:v>53755</c:v>
                </c:pt>
                <c:pt idx="2062">
                  <c:v>53762</c:v>
                </c:pt>
                <c:pt idx="2063">
                  <c:v>53769</c:v>
                </c:pt>
                <c:pt idx="2064">
                  <c:v>53776</c:v>
                </c:pt>
                <c:pt idx="2065">
                  <c:v>53783</c:v>
                </c:pt>
                <c:pt idx="2066">
                  <c:v>53790</c:v>
                </c:pt>
                <c:pt idx="2067">
                  <c:v>53799</c:v>
                </c:pt>
                <c:pt idx="2068">
                  <c:v>53804</c:v>
                </c:pt>
                <c:pt idx="2069">
                  <c:v>53811</c:v>
                </c:pt>
                <c:pt idx="2070">
                  <c:v>53818</c:v>
                </c:pt>
                <c:pt idx="2071">
                  <c:v>53825</c:v>
                </c:pt>
                <c:pt idx="2072">
                  <c:v>53832</c:v>
                </c:pt>
                <c:pt idx="2073">
                  <c:v>53840</c:v>
                </c:pt>
                <c:pt idx="2074">
                  <c:v>53848</c:v>
                </c:pt>
                <c:pt idx="2075">
                  <c:v>53854</c:v>
                </c:pt>
                <c:pt idx="2076">
                  <c:v>53861</c:v>
                </c:pt>
                <c:pt idx="2077">
                  <c:v>53869</c:v>
                </c:pt>
                <c:pt idx="2078">
                  <c:v>53876</c:v>
                </c:pt>
                <c:pt idx="2079">
                  <c:v>53883</c:v>
                </c:pt>
                <c:pt idx="2080">
                  <c:v>53890</c:v>
                </c:pt>
                <c:pt idx="2081">
                  <c:v>53897</c:v>
                </c:pt>
                <c:pt idx="2082">
                  <c:v>53904</c:v>
                </c:pt>
                <c:pt idx="2083">
                  <c:v>53911</c:v>
                </c:pt>
                <c:pt idx="2084">
                  <c:v>53918</c:v>
                </c:pt>
                <c:pt idx="2085">
                  <c:v>53925</c:v>
                </c:pt>
                <c:pt idx="2086">
                  <c:v>53932</c:v>
                </c:pt>
                <c:pt idx="2087">
                  <c:v>53939</c:v>
                </c:pt>
                <c:pt idx="2088">
                  <c:v>53946</c:v>
                </c:pt>
                <c:pt idx="2089">
                  <c:v>53953</c:v>
                </c:pt>
                <c:pt idx="2090">
                  <c:v>53960</c:v>
                </c:pt>
                <c:pt idx="2091">
                  <c:v>53967</c:v>
                </c:pt>
                <c:pt idx="2092">
                  <c:v>53974</c:v>
                </c:pt>
                <c:pt idx="2093">
                  <c:v>53981</c:v>
                </c:pt>
                <c:pt idx="2094">
                  <c:v>53988</c:v>
                </c:pt>
                <c:pt idx="2095">
                  <c:v>53995</c:v>
                </c:pt>
                <c:pt idx="2096">
                  <c:v>54002</c:v>
                </c:pt>
                <c:pt idx="2097">
                  <c:v>54009</c:v>
                </c:pt>
                <c:pt idx="2098">
                  <c:v>54016</c:v>
                </c:pt>
                <c:pt idx="2099">
                  <c:v>54023</c:v>
                </c:pt>
                <c:pt idx="2100">
                  <c:v>54030</c:v>
                </c:pt>
                <c:pt idx="2101">
                  <c:v>54037</c:v>
                </c:pt>
                <c:pt idx="2102">
                  <c:v>54044</c:v>
                </c:pt>
                <c:pt idx="2103">
                  <c:v>54056</c:v>
                </c:pt>
                <c:pt idx="2104">
                  <c:v>54060</c:v>
                </c:pt>
                <c:pt idx="2105">
                  <c:v>54066</c:v>
                </c:pt>
                <c:pt idx="2106">
                  <c:v>54073</c:v>
                </c:pt>
                <c:pt idx="2107">
                  <c:v>54080</c:v>
                </c:pt>
                <c:pt idx="2108">
                  <c:v>54087</c:v>
                </c:pt>
                <c:pt idx="2109">
                  <c:v>54094</c:v>
                </c:pt>
                <c:pt idx="2110">
                  <c:v>54101</c:v>
                </c:pt>
                <c:pt idx="2111">
                  <c:v>54108</c:v>
                </c:pt>
                <c:pt idx="2112">
                  <c:v>54115</c:v>
                </c:pt>
                <c:pt idx="2113">
                  <c:v>54122</c:v>
                </c:pt>
                <c:pt idx="2114">
                  <c:v>54129</c:v>
                </c:pt>
                <c:pt idx="2115">
                  <c:v>54136</c:v>
                </c:pt>
                <c:pt idx="2116">
                  <c:v>54143</c:v>
                </c:pt>
                <c:pt idx="2117">
                  <c:v>54150</c:v>
                </c:pt>
                <c:pt idx="2118">
                  <c:v>54157</c:v>
                </c:pt>
                <c:pt idx="2119">
                  <c:v>54164</c:v>
                </c:pt>
                <c:pt idx="2120">
                  <c:v>54171</c:v>
                </c:pt>
                <c:pt idx="2121">
                  <c:v>54178</c:v>
                </c:pt>
                <c:pt idx="2122">
                  <c:v>54185</c:v>
                </c:pt>
                <c:pt idx="2123">
                  <c:v>54193</c:v>
                </c:pt>
                <c:pt idx="2124">
                  <c:v>54199</c:v>
                </c:pt>
                <c:pt idx="2125">
                  <c:v>54206</c:v>
                </c:pt>
                <c:pt idx="2126">
                  <c:v>54213</c:v>
                </c:pt>
                <c:pt idx="2127">
                  <c:v>54220</c:v>
                </c:pt>
                <c:pt idx="2128">
                  <c:v>54227</c:v>
                </c:pt>
                <c:pt idx="2129">
                  <c:v>54234</c:v>
                </c:pt>
                <c:pt idx="2130">
                  <c:v>54241</c:v>
                </c:pt>
                <c:pt idx="2131">
                  <c:v>54248</c:v>
                </c:pt>
                <c:pt idx="2132">
                  <c:v>54255</c:v>
                </c:pt>
                <c:pt idx="2133">
                  <c:v>54262</c:v>
                </c:pt>
                <c:pt idx="2134">
                  <c:v>54269</c:v>
                </c:pt>
                <c:pt idx="2135">
                  <c:v>54276</c:v>
                </c:pt>
                <c:pt idx="2136">
                  <c:v>54283</c:v>
                </c:pt>
                <c:pt idx="2137">
                  <c:v>54290</c:v>
                </c:pt>
                <c:pt idx="2138">
                  <c:v>54297</c:v>
                </c:pt>
                <c:pt idx="2139">
                  <c:v>54304</c:v>
                </c:pt>
                <c:pt idx="2140">
                  <c:v>54311</c:v>
                </c:pt>
                <c:pt idx="2141">
                  <c:v>54318</c:v>
                </c:pt>
                <c:pt idx="2142">
                  <c:v>54325</c:v>
                </c:pt>
                <c:pt idx="2143">
                  <c:v>54332</c:v>
                </c:pt>
                <c:pt idx="2144">
                  <c:v>54339</c:v>
                </c:pt>
                <c:pt idx="2145">
                  <c:v>54346</c:v>
                </c:pt>
                <c:pt idx="2146">
                  <c:v>54353</c:v>
                </c:pt>
                <c:pt idx="2147">
                  <c:v>54360</c:v>
                </c:pt>
                <c:pt idx="2148">
                  <c:v>54367</c:v>
                </c:pt>
                <c:pt idx="2149">
                  <c:v>54374</c:v>
                </c:pt>
                <c:pt idx="2150">
                  <c:v>54381</c:v>
                </c:pt>
                <c:pt idx="2151">
                  <c:v>54388</c:v>
                </c:pt>
                <c:pt idx="2152">
                  <c:v>54395</c:v>
                </c:pt>
                <c:pt idx="2153">
                  <c:v>54402</c:v>
                </c:pt>
                <c:pt idx="2154">
                  <c:v>54409</c:v>
                </c:pt>
                <c:pt idx="2155">
                  <c:v>54420</c:v>
                </c:pt>
                <c:pt idx="2156">
                  <c:v>54427</c:v>
                </c:pt>
                <c:pt idx="2157">
                  <c:v>54431</c:v>
                </c:pt>
                <c:pt idx="2158">
                  <c:v>54437</c:v>
                </c:pt>
                <c:pt idx="2159">
                  <c:v>54444</c:v>
                </c:pt>
                <c:pt idx="2160">
                  <c:v>54451</c:v>
                </c:pt>
                <c:pt idx="2161">
                  <c:v>54458</c:v>
                </c:pt>
                <c:pt idx="2162">
                  <c:v>54465</c:v>
                </c:pt>
                <c:pt idx="2163">
                  <c:v>54472</c:v>
                </c:pt>
                <c:pt idx="2164">
                  <c:v>54479</c:v>
                </c:pt>
                <c:pt idx="2165">
                  <c:v>54486</c:v>
                </c:pt>
                <c:pt idx="2166">
                  <c:v>54493</c:v>
                </c:pt>
                <c:pt idx="2167">
                  <c:v>54500</c:v>
                </c:pt>
                <c:pt idx="2168">
                  <c:v>54507</c:v>
                </c:pt>
                <c:pt idx="2169">
                  <c:v>54514</c:v>
                </c:pt>
                <c:pt idx="2170">
                  <c:v>54521</c:v>
                </c:pt>
                <c:pt idx="2171">
                  <c:v>54528</c:v>
                </c:pt>
                <c:pt idx="2172">
                  <c:v>54535</c:v>
                </c:pt>
                <c:pt idx="2173">
                  <c:v>54542</c:v>
                </c:pt>
                <c:pt idx="2174">
                  <c:v>54549</c:v>
                </c:pt>
                <c:pt idx="2175">
                  <c:v>54556</c:v>
                </c:pt>
                <c:pt idx="2176">
                  <c:v>54563</c:v>
                </c:pt>
                <c:pt idx="2177">
                  <c:v>54571</c:v>
                </c:pt>
                <c:pt idx="2178">
                  <c:v>54577</c:v>
                </c:pt>
                <c:pt idx="2179">
                  <c:v>54584</c:v>
                </c:pt>
                <c:pt idx="2180">
                  <c:v>54591</c:v>
                </c:pt>
                <c:pt idx="2181">
                  <c:v>54598</c:v>
                </c:pt>
                <c:pt idx="2182">
                  <c:v>54605</c:v>
                </c:pt>
                <c:pt idx="2183">
                  <c:v>54612</c:v>
                </c:pt>
                <c:pt idx="2184">
                  <c:v>54619</c:v>
                </c:pt>
                <c:pt idx="2185">
                  <c:v>54626</c:v>
                </c:pt>
                <c:pt idx="2186">
                  <c:v>54633</c:v>
                </c:pt>
                <c:pt idx="2187">
                  <c:v>54640</c:v>
                </c:pt>
                <c:pt idx="2188">
                  <c:v>54647</c:v>
                </c:pt>
                <c:pt idx="2189">
                  <c:v>54654</c:v>
                </c:pt>
                <c:pt idx="2190">
                  <c:v>54661</c:v>
                </c:pt>
                <c:pt idx="2191">
                  <c:v>54668</c:v>
                </c:pt>
                <c:pt idx="2192">
                  <c:v>54675</c:v>
                </c:pt>
                <c:pt idx="2193">
                  <c:v>54682</c:v>
                </c:pt>
                <c:pt idx="2194">
                  <c:v>54689</c:v>
                </c:pt>
                <c:pt idx="2195">
                  <c:v>54696</c:v>
                </c:pt>
                <c:pt idx="2196">
                  <c:v>54703</c:v>
                </c:pt>
                <c:pt idx="2197">
                  <c:v>54710</c:v>
                </c:pt>
                <c:pt idx="2198">
                  <c:v>54717</c:v>
                </c:pt>
                <c:pt idx="2199">
                  <c:v>54724</c:v>
                </c:pt>
                <c:pt idx="2200">
                  <c:v>54731</c:v>
                </c:pt>
                <c:pt idx="2201">
                  <c:v>54738</c:v>
                </c:pt>
                <c:pt idx="2202">
                  <c:v>54745</c:v>
                </c:pt>
                <c:pt idx="2203">
                  <c:v>54752</c:v>
                </c:pt>
                <c:pt idx="2204">
                  <c:v>54759</c:v>
                </c:pt>
                <c:pt idx="2205">
                  <c:v>54766</c:v>
                </c:pt>
                <c:pt idx="2206">
                  <c:v>54773</c:v>
                </c:pt>
                <c:pt idx="2207">
                  <c:v>54780</c:v>
                </c:pt>
                <c:pt idx="2208">
                  <c:v>54787</c:v>
                </c:pt>
                <c:pt idx="2209">
                  <c:v>54795</c:v>
                </c:pt>
                <c:pt idx="2210">
                  <c:v>54801</c:v>
                </c:pt>
                <c:pt idx="2211">
                  <c:v>54808</c:v>
                </c:pt>
                <c:pt idx="2212">
                  <c:v>54815</c:v>
                </c:pt>
                <c:pt idx="2213">
                  <c:v>54822</c:v>
                </c:pt>
                <c:pt idx="2214">
                  <c:v>54829</c:v>
                </c:pt>
                <c:pt idx="2215">
                  <c:v>54836</c:v>
                </c:pt>
                <c:pt idx="2216">
                  <c:v>54843</c:v>
                </c:pt>
                <c:pt idx="2217">
                  <c:v>54850</c:v>
                </c:pt>
                <c:pt idx="2218">
                  <c:v>54857</c:v>
                </c:pt>
                <c:pt idx="2219">
                  <c:v>54864</c:v>
                </c:pt>
                <c:pt idx="2220">
                  <c:v>54871</c:v>
                </c:pt>
                <c:pt idx="2221">
                  <c:v>54878</c:v>
                </c:pt>
                <c:pt idx="2222">
                  <c:v>54885</c:v>
                </c:pt>
                <c:pt idx="2223">
                  <c:v>54892</c:v>
                </c:pt>
                <c:pt idx="2224">
                  <c:v>54899</c:v>
                </c:pt>
                <c:pt idx="2225">
                  <c:v>54906</c:v>
                </c:pt>
                <c:pt idx="2226">
                  <c:v>54913</c:v>
                </c:pt>
                <c:pt idx="2227">
                  <c:v>54920</c:v>
                </c:pt>
                <c:pt idx="2228">
                  <c:v>54928</c:v>
                </c:pt>
                <c:pt idx="2229">
                  <c:v>54934</c:v>
                </c:pt>
                <c:pt idx="2230">
                  <c:v>54941</c:v>
                </c:pt>
                <c:pt idx="2231">
                  <c:v>54948</c:v>
                </c:pt>
                <c:pt idx="2232">
                  <c:v>54955</c:v>
                </c:pt>
                <c:pt idx="2233">
                  <c:v>54962</c:v>
                </c:pt>
                <c:pt idx="2234">
                  <c:v>54969</c:v>
                </c:pt>
                <c:pt idx="2235">
                  <c:v>54976</c:v>
                </c:pt>
                <c:pt idx="2236">
                  <c:v>54983</c:v>
                </c:pt>
                <c:pt idx="2237">
                  <c:v>54990</c:v>
                </c:pt>
                <c:pt idx="2238">
                  <c:v>54997</c:v>
                </c:pt>
                <c:pt idx="2239">
                  <c:v>55004</c:v>
                </c:pt>
                <c:pt idx="2240">
                  <c:v>55011</c:v>
                </c:pt>
                <c:pt idx="2241">
                  <c:v>55018</c:v>
                </c:pt>
                <c:pt idx="2242">
                  <c:v>55025</c:v>
                </c:pt>
                <c:pt idx="2243">
                  <c:v>55032</c:v>
                </c:pt>
                <c:pt idx="2244">
                  <c:v>55039</c:v>
                </c:pt>
                <c:pt idx="2245">
                  <c:v>55046</c:v>
                </c:pt>
                <c:pt idx="2246">
                  <c:v>55053</c:v>
                </c:pt>
                <c:pt idx="2247">
                  <c:v>55060</c:v>
                </c:pt>
                <c:pt idx="2248">
                  <c:v>55067</c:v>
                </c:pt>
                <c:pt idx="2249">
                  <c:v>55074</c:v>
                </c:pt>
                <c:pt idx="2250">
                  <c:v>55081</c:v>
                </c:pt>
                <c:pt idx="2251">
                  <c:v>55088</c:v>
                </c:pt>
                <c:pt idx="2252">
                  <c:v>55095</c:v>
                </c:pt>
                <c:pt idx="2253">
                  <c:v>55102</c:v>
                </c:pt>
                <c:pt idx="2254">
                  <c:v>55109</c:v>
                </c:pt>
                <c:pt idx="2255">
                  <c:v>55116</c:v>
                </c:pt>
                <c:pt idx="2256">
                  <c:v>55123</c:v>
                </c:pt>
                <c:pt idx="2257">
                  <c:v>55130</c:v>
                </c:pt>
                <c:pt idx="2258">
                  <c:v>55137</c:v>
                </c:pt>
                <c:pt idx="2259">
                  <c:v>55144</c:v>
                </c:pt>
                <c:pt idx="2260">
                  <c:v>55151</c:v>
                </c:pt>
                <c:pt idx="2261">
                  <c:v>55158</c:v>
                </c:pt>
                <c:pt idx="2262">
                  <c:v>55165</c:v>
                </c:pt>
                <c:pt idx="2263">
                  <c:v>55172</c:v>
                </c:pt>
                <c:pt idx="2264">
                  <c:v>55179</c:v>
                </c:pt>
                <c:pt idx="2265">
                  <c:v>55186</c:v>
                </c:pt>
                <c:pt idx="2266">
                  <c:v>55193</c:v>
                </c:pt>
                <c:pt idx="2267">
                  <c:v>55200</c:v>
                </c:pt>
                <c:pt idx="2268">
                  <c:v>55207</c:v>
                </c:pt>
                <c:pt idx="2269">
                  <c:v>55214</c:v>
                </c:pt>
                <c:pt idx="2270">
                  <c:v>55221</c:v>
                </c:pt>
                <c:pt idx="2271">
                  <c:v>55228</c:v>
                </c:pt>
                <c:pt idx="2272">
                  <c:v>55235</c:v>
                </c:pt>
                <c:pt idx="2273">
                  <c:v>55242</c:v>
                </c:pt>
                <c:pt idx="2274">
                  <c:v>55249</c:v>
                </c:pt>
                <c:pt idx="2275">
                  <c:v>55256</c:v>
                </c:pt>
                <c:pt idx="2276">
                  <c:v>55263</c:v>
                </c:pt>
                <c:pt idx="2277">
                  <c:v>55270</c:v>
                </c:pt>
                <c:pt idx="2278">
                  <c:v>55277</c:v>
                </c:pt>
                <c:pt idx="2279">
                  <c:v>55285</c:v>
                </c:pt>
                <c:pt idx="2280">
                  <c:v>55291</c:v>
                </c:pt>
                <c:pt idx="2281">
                  <c:v>55298</c:v>
                </c:pt>
                <c:pt idx="2282">
                  <c:v>55305</c:v>
                </c:pt>
                <c:pt idx="2283">
                  <c:v>55312</c:v>
                </c:pt>
                <c:pt idx="2284">
                  <c:v>55319</c:v>
                </c:pt>
                <c:pt idx="2285">
                  <c:v>55326</c:v>
                </c:pt>
                <c:pt idx="2286">
                  <c:v>55333</c:v>
                </c:pt>
                <c:pt idx="2287">
                  <c:v>55340</c:v>
                </c:pt>
                <c:pt idx="2288">
                  <c:v>55347</c:v>
                </c:pt>
                <c:pt idx="2289">
                  <c:v>55354</c:v>
                </c:pt>
                <c:pt idx="2290">
                  <c:v>55361</c:v>
                </c:pt>
                <c:pt idx="2291">
                  <c:v>55368</c:v>
                </c:pt>
                <c:pt idx="2292">
                  <c:v>55375</c:v>
                </c:pt>
                <c:pt idx="2293">
                  <c:v>55382</c:v>
                </c:pt>
                <c:pt idx="2294">
                  <c:v>55389</c:v>
                </c:pt>
                <c:pt idx="2295">
                  <c:v>55396</c:v>
                </c:pt>
                <c:pt idx="2296">
                  <c:v>55403</c:v>
                </c:pt>
                <c:pt idx="2297">
                  <c:v>55410</c:v>
                </c:pt>
                <c:pt idx="2298">
                  <c:v>55417</c:v>
                </c:pt>
                <c:pt idx="2299">
                  <c:v>55424</c:v>
                </c:pt>
                <c:pt idx="2300">
                  <c:v>55431</c:v>
                </c:pt>
                <c:pt idx="2301">
                  <c:v>55438</c:v>
                </c:pt>
                <c:pt idx="2302">
                  <c:v>55445</c:v>
                </c:pt>
                <c:pt idx="2303">
                  <c:v>55452</c:v>
                </c:pt>
                <c:pt idx="2304">
                  <c:v>55459</c:v>
                </c:pt>
                <c:pt idx="2305">
                  <c:v>55466</c:v>
                </c:pt>
                <c:pt idx="2306">
                  <c:v>55473</c:v>
                </c:pt>
                <c:pt idx="2307">
                  <c:v>55480</c:v>
                </c:pt>
                <c:pt idx="2308">
                  <c:v>55487</c:v>
                </c:pt>
                <c:pt idx="2309">
                  <c:v>55494</c:v>
                </c:pt>
                <c:pt idx="2310">
                  <c:v>55501</c:v>
                </c:pt>
                <c:pt idx="2311">
                  <c:v>55508</c:v>
                </c:pt>
                <c:pt idx="2312">
                  <c:v>55516</c:v>
                </c:pt>
                <c:pt idx="2313">
                  <c:v>55523</c:v>
                </c:pt>
                <c:pt idx="2314">
                  <c:v>55530</c:v>
                </c:pt>
                <c:pt idx="2315">
                  <c:v>55537</c:v>
                </c:pt>
                <c:pt idx="2316">
                  <c:v>55544</c:v>
                </c:pt>
                <c:pt idx="2317">
                  <c:v>55551</c:v>
                </c:pt>
                <c:pt idx="2318">
                  <c:v>55558</c:v>
                </c:pt>
                <c:pt idx="2319">
                  <c:v>55565</c:v>
                </c:pt>
                <c:pt idx="2320">
                  <c:v>55572</c:v>
                </c:pt>
                <c:pt idx="2321">
                  <c:v>55579</c:v>
                </c:pt>
                <c:pt idx="2322">
                  <c:v>55586</c:v>
                </c:pt>
                <c:pt idx="2323">
                  <c:v>55593</c:v>
                </c:pt>
                <c:pt idx="2324">
                  <c:v>55600</c:v>
                </c:pt>
                <c:pt idx="2325">
                  <c:v>55607</c:v>
                </c:pt>
                <c:pt idx="2326">
                  <c:v>55614</c:v>
                </c:pt>
                <c:pt idx="2327">
                  <c:v>55621</c:v>
                </c:pt>
                <c:pt idx="2328">
                  <c:v>55632</c:v>
                </c:pt>
                <c:pt idx="2329">
                  <c:v>55635</c:v>
                </c:pt>
                <c:pt idx="2330">
                  <c:v>55645</c:v>
                </c:pt>
                <c:pt idx="2331">
                  <c:v>55652</c:v>
                </c:pt>
                <c:pt idx="2332">
                  <c:v>55659</c:v>
                </c:pt>
                <c:pt idx="2333">
                  <c:v>55666</c:v>
                </c:pt>
                <c:pt idx="2334">
                  <c:v>55674</c:v>
                </c:pt>
                <c:pt idx="2335">
                  <c:v>55682</c:v>
                </c:pt>
                <c:pt idx="2336">
                  <c:v>55688</c:v>
                </c:pt>
                <c:pt idx="2337">
                  <c:v>55696</c:v>
                </c:pt>
                <c:pt idx="2338">
                  <c:v>55703</c:v>
                </c:pt>
                <c:pt idx="2339">
                  <c:v>55710</c:v>
                </c:pt>
                <c:pt idx="2340">
                  <c:v>55717</c:v>
                </c:pt>
                <c:pt idx="2341">
                  <c:v>55724</c:v>
                </c:pt>
                <c:pt idx="2342">
                  <c:v>55731</c:v>
                </c:pt>
                <c:pt idx="2343">
                  <c:v>55738</c:v>
                </c:pt>
                <c:pt idx="2344">
                  <c:v>55745</c:v>
                </c:pt>
                <c:pt idx="2345">
                  <c:v>55752</c:v>
                </c:pt>
                <c:pt idx="2346">
                  <c:v>55759</c:v>
                </c:pt>
                <c:pt idx="2347">
                  <c:v>55766</c:v>
                </c:pt>
                <c:pt idx="2348">
                  <c:v>55773</c:v>
                </c:pt>
                <c:pt idx="2349">
                  <c:v>55780</c:v>
                </c:pt>
                <c:pt idx="2350">
                  <c:v>55787</c:v>
                </c:pt>
                <c:pt idx="2351">
                  <c:v>55794</c:v>
                </c:pt>
                <c:pt idx="2352">
                  <c:v>55801</c:v>
                </c:pt>
                <c:pt idx="2353">
                  <c:v>55808</c:v>
                </c:pt>
                <c:pt idx="2354">
                  <c:v>55815</c:v>
                </c:pt>
                <c:pt idx="2355">
                  <c:v>55822</c:v>
                </c:pt>
                <c:pt idx="2356">
                  <c:v>55829</c:v>
                </c:pt>
                <c:pt idx="2357">
                  <c:v>55836</c:v>
                </c:pt>
                <c:pt idx="2358">
                  <c:v>55843</c:v>
                </c:pt>
                <c:pt idx="2359">
                  <c:v>55850</c:v>
                </c:pt>
                <c:pt idx="2360">
                  <c:v>55857</c:v>
                </c:pt>
                <c:pt idx="2361">
                  <c:v>55864</c:v>
                </c:pt>
                <c:pt idx="2362">
                  <c:v>55871</c:v>
                </c:pt>
                <c:pt idx="2363">
                  <c:v>55883</c:v>
                </c:pt>
                <c:pt idx="2364">
                  <c:v>55887</c:v>
                </c:pt>
                <c:pt idx="2365">
                  <c:v>55893</c:v>
                </c:pt>
                <c:pt idx="2366">
                  <c:v>55900</c:v>
                </c:pt>
                <c:pt idx="2367">
                  <c:v>55907</c:v>
                </c:pt>
                <c:pt idx="2368">
                  <c:v>55914</c:v>
                </c:pt>
                <c:pt idx="2369">
                  <c:v>55921</c:v>
                </c:pt>
                <c:pt idx="2370">
                  <c:v>55928</c:v>
                </c:pt>
                <c:pt idx="2371">
                  <c:v>55935</c:v>
                </c:pt>
                <c:pt idx="2372">
                  <c:v>55942</c:v>
                </c:pt>
                <c:pt idx="2373">
                  <c:v>55949</c:v>
                </c:pt>
                <c:pt idx="2374">
                  <c:v>55956</c:v>
                </c:pt>
                <c:pt idx="2375">
                  <c:v>55963</c:v>
                </c:pt>
                <c:pt idx="2376">
                  <c:v>55970</c:v>
                </c:pt>
                <c:pt idx="2377">
                  <c:v>55977</c:v>
                </c:pt>
                <c:pt idx="2378">
                  <c:v>55984</c:v>
                </c:pt>
                <c:pt idx="2379">
                  <c:v>55991</c:v>
                </c:pt>
                <c:pt idx="2380">
                  <c:v>55998</c:v>
                </c:pt>
                <c:pt idx="2381">
                  <c:v>56006</c:v>
                </c:pt>
                <c:pt idx="2382">
                  <c:v>56012</c:v>
                </c:pt>
                <c:pt idx="2383">
                  <c:v>56020</c:v>
                </c:pt>
                <c:pt idx="2384">
                  <c:v>56026</c:v>
                </c:pt>
                <c:pt idx="2385">
                  <c:v>56033</c:v>
                </c:pt>
                <c:pt idx="2386">
                  <c:v>56040</c:v>
                </c:pt>
                <c:pt idx="2387">
                  <c:v>56047</c:v>
                </c:pt>
                <c:pt idx="2388">
                  <c:v>56054</c:v>
                </c:pt>
                <c:pt idx="2389">
                  <c:v>56061</c:v>
                </c:pt>
                <c:pt idx="2390">
                  <c:v>56068</c:v>
                </c:pt>
                <c:pt idx="2391">
                  <c:v>56075</c:v>
                </c:pt>
                <c:pt idx="2392">
                  <c:v>56082</c:v>
                </c:pt>
                <c:pt idx="2393">
                  <c:v>56089</c:v>
                </c:pt>
                <c:pt idx="2394">
                  <c:v>56096</c:v>
                </c:pt>
                <c:pt idx="2395">
                  <c:v>56103</c:v>
                </c:pt>
                <c:pt idx="2396">
                  <c:v>56110</c:v>
                </c:pt>
                <c:pt idx="2397">
                  <c:v>56117</c:v>
                </c:pt>
                <c:pt idx="2398">
                  <c:v>56124</c:v>
                </c:pt>
                <c:pt idx="2399">
                  <c:v>56131</c:v>
                </c:pt>
                <c:pt idx="2400">
                  <c:v>56138</c:v>
                </c:pt>
                <c:pt idx="2401">
                  <c:v>56145</c:v>
                </c:pt>
                <c:pt idx="2402">
                  <c:v>56152</c:v>
                </c:pt>
                <c:pt idx="2403">
                  <c:v>56159</c:v>
                </c:pt>
                <c:pt idx="2404">
                  <c:v>56166</c:v>
                </c:pt>
                <c:pt idx="2405">
                  <c:v>56173</c:v>
                </c:pt>
                <c:pt idx="2406">
                  <c:v>56180</c:v>
                </c:pt>
                <c:pt idx="2407">
                  <c:v>56187</c:v>
                </c:pt>
                <c:pt idx="2408">
                  <c:v>56194</c:v>
                </c:pt>
                <c:pt idx="2409">
                  <c:v>56201</c:v>
                </c:pt>
                <c:pt idx="2410">
                  <c:v>56208</c:v>
                </c:pt>
                <c:pt idx="2411">
                  <c:v>56215</c:v>
                </c:pt>
                <c:pt idx="2412">
                  <c:v>56222</c:v>
                </c:pt>
                <c:pt idx="2413">
                  <c:v>56229</c:v>
                </c:pt>
                <c:pt idx="2414">
                  <c:v>56236</c:v>
                </c:pt>
                <c:pt idx="2415">
                  <c:v>56248</c:v>
                </c:pt>
                <c:pt idx="2416">
                  <c:v>56254</c:v>
                </c:pt>
                <c:pt idx="2417">
                  <c:v>56258</c:v>
                </c:pt>
                <c:pt idx="2418">
                  <c:v>56265</c:v>
                </c:pt>
                <c:pt idx="2419">
                  <c:v>56272</c:v>
                </c:pt>
                <c:pt idx="2420">
                  <c:v>56279</c:v>
                </c:pt>
                <c:pt idx="2421">
                  <c:v>56286</c:v>
                </c:pt>
                <c:pt idx="2422">
                  <c:v>56293</c:v>
                </c:pt>
                <c:pt idx="2423">
                  <c:v>56300</c:v>
                </c:pt>
                <c:pt idx="2424">
                  <c:v>56307</c:v>
                </c:pt>
                <c:pt idx="2425">
                  <c:v>56314</c:v>
                </c:pt>
                <c:pt idx="2426">
                  <c:v>56321</c:v>
                </c:pt>
                <c:pt idx="2427">
                  <c:v>56328</c:v>
                </c:pt>
                <c:pt idx="2428">
                  <c:v>56339</c:v>
                </c:pt>
                <c:pt idx="2429">
                  <c:v>56342</c:v>
                </c:pt>
                <c:pt idx="2430">
                  <c:v>56349</c:v>
                </c:pt>
                <c:pt idx="2431">
                  <c:v>56356</c:v>
                </c:pt>
                <c:pt idx="2432">
                  <c:v>56363</c:v>
                </c:pt>
                <c:pt idx="2433">
                  <c:v>56373</c:v>
                </c:pt>
                <c:pt idx="2434">
                  <c:v>56380</c:v>
                </c:pt>
                <c:pt idx="2435">
                  <c:v>56384</c:v>
                </c:pt>
                <c:pt idx="2436">
                  <c:v>56391</c:v>
                </c:pt>
                <c:pt idx="2437">
                  <c:v>56398</c:v>
                </c:pt>
                <c:pt idx="2438">
                  <c:v>56405</c:v>
                </c:pt>
                <c:pt idx="2439">
                  <c:v>56412</c:v>
                </c:pt>
                <c:pt idx="2440">
                  <c:v>56422</c:v>
                </c:pt>
                <c:pt idx="2441">
                  <c:v>56426</c:v>
                </c:pt>
                <c:pt idx="2442">
                  <c:v>56433</c:v>
                </c:pt>
                <c:pt idx="2443">
                  <c:v>56440</c:v>
                </c:pt>
                <c:pt idx="2444">
                  <c:v>56447</c:v>
                </c:pt>
                <c:pt idx="2445">
                  <c:v>56454</c:v>
                </c:pt>
                <c:pt idx="2446">
                  <c:v>56461</c:v>
                </c:pt>
                <c:pt idx="2447">
                  <c:v>56468</c:v>
                </c:pt>
                <c:pt idx="2448">
                  <c:v>56475</c:v>
                </c:pt>
                <c:pt idx="2449">
                  <c:v>56482</c:v>
                </c:pt>
                <c:pt idx="2450">
                  <c:v>56489</c:v>
                </c:pt>
                <c:pt idx="2451">
                  <c:v>56496</c:v>
                </c:pt>
                <c:pt idx="2452">
                  <c:v>56503</c:v>
                </c:pt>
                <c:pt idx="2453">
                  <c:v>56510</c:v>
                </c:pt>
                <c:pt idx="2454">
                  <c:v>56517</c:v>
                </c:pt>
                <c:pt idx="2455">
                  <c:v>56524</c:v>
                </c:pt>
                <c:pt idx="2456">
                  <c:v>56531</c:v>
                </c:pt>
                <c:pt idx="2457">
                  <c:v>56538</c:v>
                </c:pt>
                <c:pt idx="2458">
                  <c:v>56545</c:v>
                </c:pt>
                <c:pt idx="2459">
                  <c:v>56552</c:v>
                </c:pt>
                <c:pt idx="2460">
                  <c:v>56559</c:v>
                </c:pt>
                <c:pt idx="2461">
                  <c:v>56566</c:v>
                </c:pt>
                <c:pt idx="2462">
                  <c:v>56573</c:v>
                </c:pt>
                <c:pt idx="2463">
                  <c:v>56580</c:v>
                </c:pt>
                <c:pt idx="2464">
                  <c:v>56587</c:v>
                </c:pt>
                <c:pt idx="2465">
                  <c:v>56594</c:v>
                </c:pt>
                <c:pt idx="2466">
                  <c:v>56601</c:v>
                </c:pt>
                <c:pt idx="2467">
                  <c:v>56612</c:v>
                </c:pt>
                <c:pt idx="2468">
                  <c:v>56619</c:v>
                </c:pt>
                <c:pt idx="2469">
                  <c:v>56625</c:v>
                </c:pt>
                <c:pt idx="2470">
                  <c:v>56632</c:v>
                </c:pt>
                <c:pt idx="2471">
                  <c:v>56639</c:v>
                </c:pt>
                <c:pt idx="2472">
                  <c:v>56646</c:v>
                </c:pt>
                <c:pt idx="2473">
                  <c:v>56653</c:v>
                </c:pt>
                <c:pt idx="2474">
                  <c:v>56660</c:v>
                </c:pt>
                <c:pt idx="2475">
                  <c:v>56667</c:v>
                </c:pt>
                <c:pt idx="2476">
                  <c:v>56674</c:v>
                </c:pt>
                <c:pt idx="2477">
                  <c:v>56681</c:v>
                </c:pt>
                <c:pt idx="2478">
                  <c:v>56688</c:v>
                </c:pt>
                <c:pt idx="2479">
                  <c:v>56695</c:v>
                </c:pt>
                <c:pt idx="2480">
                  <c:v>56702</c:v>
                </c:pt>
                <c:pt idx="2481">
                  <c:v>56709</c:v>
                </c:pt>
                <c:pt idx="2482">
                  <c:v>56716</c:v>
                </c:pt>
                <c:pt idx="2483">
                  <c:v>56725</c:v>
                </c:pt>
                <c:pt idx="2484">
                  <c:v>56730</c:v>
                </c:pt>
                <c:pt idx="2485">
                  <c:v>56737</c:v>
                </c:pt>
                <c:pt idx="2486">
                  <c:v>56744</c:v>
                </c:pt>
                <c:pt idx="2487">
                  <c:v>56751</c:v>
                </c:pt>
                <c:pt idx="2488">
                  <c:v>56758</c:v>
                </c:pt>
                <c:pt idx="2489">
                  <c:v>56766</c:v>
                </c:pt>
                <c:pt idx="2490">
                  <c:v>56774</c:v>
                </c:pt>
                <c:pt idx="2491">
                  <c:v>56780</c:v>
                </c:pt>
                <c:pt idx="2492">
                  <c:v>56787</c:v>
                </c:pt>
                <c:pt idx="2493">
                  <c:v>56795</c:v>
                </c:pt>
                <c:pt idx="2494">
                  <c:v>56802</c:v>
                </c:pt>
                <c:pt idx="2495">
                  <c:v>56809</c:v>
                </c:pt>
                <c:pt idx="2496">
                  <c:v>56816</c:v>
                </c:pt>
                <c:pt idx="2497">
                  <c:v>56823</c:v>
                </c:pt>
                <c:pt idx="2498">
                  <c:v>56830</c:v>
                </c:pt>
                <c:pt idx="2499">
                  <c:v>56837</c:v>
                </c:pt>
                <c:pt idx="2500">
                  <c:v>56844</c:v>
                </c:pt>
                <c:pt idx="2501">
                  <c:v>56851</c:v>
                </c:pt>
                <c:pt idx="2502">
                  <c:v>56858</c:v>
                </c:pt>
                <c:pt idx="2503">
                  <c:v>56865</c:v>
                </c:pt>
                <c:pt idx="2504">
                  <c:v>56872</c:v>
                </c:pt>
                <c:pt idx="2505">
                  <c:v>56879</c:v>
                </c:pt>
                <c:pt idx="2506">
                  <c:v>56886</c:v>
                </c:pt>
                <c:pt idx="2507">
                  <c:v>56893</c:v>
                </c:pt>
                <c:pt idx="2508">
                  <c:v>56900</c:v>
                </c:pt>
                <c:pt idx="2509">
                  <c:v>56907</c:v>
                </c:pt>
                <c:pt idx="2510">
                  <c:v>56914</c:v>
                </c:pt>
                <c:pt idx="2511">
                  <c:v>56921</c:v>
                </c:pt>
                <c:pt idx="2512">
                  <c:v>56928</c:v>
                </c:pt>
                <c:pt idx="2513">
                  <c:v>56935</c:v>
                </c:pt>
                <c:pt idx="2514">
                  <c:v>56942</c:v>
                </c:pt>
                <c:pt idx="2515">
                  <c:v>56949</c:v>
                </c:pt>
                <c:pt idx="2516">
                  <c:v>56956</c:v>
                </c:pt>
                <c:pt idx="2517">
                  <c:v>56963</c:v>
                </c:pt>
                <c:pt idx="2518">
                  <c:v>56970</c:v>
                </c:pt>
                <c:pt idx="2519">
                  <c:v>56977</c:v>
                </c:pt>
                <c:pt idx="2520">
                  <c:v>56984</c:v>
                </c:pt>
                <c:pt idx="2521">
                  <c:v>56991</c:v>
                </c:pt>
                <c:pt idx="2522">
                  <c:v>56998</c:v>
                </c:pt>
                <c:pt idx="2523">
                  <c:v>57005</c:v>
                </c:pt>
                <c:pt idx="2524">
                  <c:v>57012</c:v>
                </c:pt>
                <c:pt idx="2525">
                  <c:v>57019</c:v>
                </c:pt>
                <c:pt idx="2526">
                  <c:v>57026</c:v>
                </c:pt>
                <c:pt idx="2527">
                  <c:v>57033</c:v>
                </c:pt>
                <c:pt idx="2528">
                  <c:v>57040</c:v>
                </c:pt>
                <c:pt idx="2529">
                  <c:v>57047</c:v>
                </c:pt>
                <c:pt idx="2530">
                  <c:v>57054</c:v>
                </c:pt>
                <c:pt idx="2531">
                  <c:v>57061</c:v>
                </c:pt>
                <c:pt idx="2532">
                  <c:v>57068</c:v>
                </c:pt>
                <c:pt idx="2533">
                  <c:v>57076</c:v>
                </c:pt>
                <c:pt idx="2534">
                  <c:v>57083</c:v>
                </c:pt>
                <c:pt idx="2535">
                  <c:v>57090</c:v>
                </c:pt>
                <c:pt idx="2536">
                  <c:v>57097</c:v>
                </c:pt>
                <c:pt idx="2537">
                  <c:v>57104</c:v>
                </c:pt>
                <c:pt idx="2538">
                  <c:v>57112</c:v>
                </c:pt>
                <c:pt idx="2539">
                  <c:v>57118</c:v>
                </c:pt>
                <c:pt idx="2540">
                  <c:v>57125</c:v>
                </c:pt>
                <c:pt idx="2541">
                  <c:v>57132</c:v>
                </c:pt>
                <c:pt idx="2542">
                  <c:v>57139</c:v>
                </c:pt>
                <c:pt idx="2543">
                  <c:v>57146</c:v>
                </c:pt>
                <c:pt idx="2544">
                  <c:v>57153</c:v>
                </c:pt>
                <c:pt idx="2545">
                  <c:v>57160</c:v>
                </c:pt>
                <c:pt idx="2546">
                  <c:v>57167</c:v>
                </c:pt>
                <c:pt idx="2547">
                  <c:v>57174</c:v>
                </c:pt>
                <c:pt idx="2548">
                  <c:v>57181</c:v>
                </c:pt>
                <c:pt idx="2549">
                  <c:v>57188</c:v>
                </c:pt>
                <c:pt idx="2550">
                  <c:v>57195</c:v>
                </c:pt>
                <c:pt idx="2551">
                  <c:v>57202</c:v>
                </c:pt>
                <c:pt idx="2552">
                  <c:v>57209</c:v>
                </c:pt>
                <c:pt idx="2553">
                  <c:v>57216</c:v>
                </c:pt>
                <c:pt idx="2554">
                  <c:v>57223</c:v>
                </c:pt>
                <c:pt idx="2555">
                  <c:v>57230</c:v>
                </c:pt>
                <c:pt idx="2556">
                  <c:v>57237</c:v>
                </c:pt>
                <c:pt idx="2557">
                  <c:v>57244</c:v>
                </c:pt>
                <c:pt idx="2558">
                  <c:v>57251</c:v>
                </c:pt>
                <c:pt idx="2559">
                  <c:v>57258</c:v>
                </c:pt>
                <c:pt idx="2560">
                  <c:v>57265</c:v>
                </c:pt>
                <c:pt idx="2561">
                  <c:v>57272</c:v>
                </c:pt>
                <c:pt idx="2562">
                  <c:v>57279</c:v>
                </c:pt>
                <c:pt idx="2563">
                  <c:v>57286</c:v>
                </c:pt>
                <c:pt idx="2564">
                  <c:v>57293</c:v>
                </c:pt>
                <c:pt idx="2565">
                  <c:v>57300</c:v>
                </c:pt>
                <c:pt idx="2566">
                  <c:v>57307</c:v>
                </c:pt>
                <c:pt idx="2567">
                  <c:v>57314</c:v>
                </c:pt>
                <c:pt idx="2568">
                  <c:v>57321</c:v>
                </c:pt>
                <c:pt idx="2569">
                  <c:v>57328</c:v>
                </c:pt>
                <c:pt idx="2570">
                  <c:v>57335</c:v>
                </c:pt>
                <c:pt idx="2571">
                  <c:v>57343</c:v>
                </c:pt>
                <c:pt idx="2572">
                  <c:v>57350</c:v>
                </c:pt>
                <c:pt idx="2573">
                  <c:v>57357</c:v>
                </c:pt>
                <c:pt idx="2574">
                  <c:v>57364</c:v>
                </c:pt>
                <c:pt idx="2575">
                  <c:v>57371</c:v>
                </c:pt>
                <c:pt idx="2576">
                  <c:v>57378</c:v>
                </c:pt>
                <c:pt idx="2577">
                  <c:v>57385</c:v>
                </c:pt>
                <c:pt idx="2578">
                  <c:v>57392</c:v>
                </c:pt>
                <c:pt idx="2579">
                  <c:v>57399</c:v>
                </c:pt>
                <c:pt idx="2580">
                  <c:v>57406</c:v>
                </c:pt>
                <c:pt idx="2581">
                  <c:v>57413</c:v>
                </c:pt>
                <c:pt idx="2582">
                  <c:v>57420</c:v>
                </c:pt>
                <c:pt idx="2583">
                  <c:v>57427</c:v>
                </c:pt>
                <c:pt idx="2584">
                  <c:v>57434</c:v>
                </c:pt>
                <c:pt idx="2585">
                  <c:v>57441</c:v>
                </c:pt>
                <c:pt idx="2586">
                  <c:v>57448</c:v>
                </c:pt>
                <c:pt idx="2587">
                  <c:v>57459</c:v>
                </c:pt>
                <c:pt idx="2588">
                  <c:v>57462</c:v>
                </c:pt>
                <c:pt idx="2589">
                  <c:v>57469</c:v>
                </c:pt>
                <c:pt idx="2590">
                  <c:v>57476</c:v>
                </c:pt>
                <c:pt idx="2591">
                  <c:v>57483</c:v>
                </c:pt>
                <c:pt idx="2592">
                  <c:v>57490</c:v>
                </c:pt>
                <c:pt idx="2593">
                  <c:v>57500</c:v>
                </c:pt>
                <c:pt idx="2594">
                  <c:v>57504</c:v>
                </c:pt>
                <c:pt idx="2595">
                  <c:v>57511</c:v>
                </c:pt>
                <c:pt idx="2596">
                  <c:v>57521</c:v>
                </c:pt>
                <c:pt idx="2597">
                  <c:v>57525</c:v>
                </c:pt>
                <c:pt idx="2598">
                  <c:v>57532</c:v>
                </c:pt>
                <c:pt idx="2599">
                  <c:v>57539</c:v>
                </c:pt>
                <c:pt idx="2600">
                  <c:v>57546</c:v>
                </c:pt>
                <c:pt idx="2601">
                  <c:v>57553</c:v>
                </c:pt>
                <c:pt idx="2602">
                  <c:v>57560</c:v>
                </c:pt>
                <c:pt idx="2603">
                  <c:v>57567</c:v>
                </c:pt>
                <c:pt idx="2604">
                  <c:v>57574</c:v>
                </c:pt>
                <c:pt idx="2605">
                  <c:v>57581</c:v>
                </c:pt>
                <c:pt idx="2606">
                  <c:v>57588</c:v>
                </c:pt>
                <c:pt idx="2607">
                  <c:v>57595</c:v>
                </c:pt>
                <c:pt idx="2608">
                  <c:v>57602</c:v>
                </c:pt>
                <c:pt idx="2609">
                  <c:v>57609</c:v>
                </c:pt>
                <c:pt idx="2610">
                  <c:v>57616</c:v>
                </c:pt>
                <c:pt idx="2611">
                  <c:v>57623</c:v>
                </c:pt>
                <c:pt idx="2612">
                  <c:v>57630</c:v>
                </c:pt>
                <c:pt idx="2613">
                  <c:v>57637</c:v>
                </c:pt>
                <c:pt idx="2614">
                  <c:v>57644</c:v>
                </c:pt>
                <c:pt idx="2615">
                  <c:v>57651</c:v>
                </c:pt>
                <c:pt idx="2616">
                  <c:v>57658</c:v>
                </c:pt>
                <c:pt idx="2617">
                  <c:v>57665</c:v>
                </c:pt>
                <c:pt idx="2618">
                  <c:v>57672</c:v>
                </c:pt>
                <c:pt idx="2619">
                  <c:v>57679</c:v>
                </c:pt>
                <c:pt idx="2620">
                  <c:v>57686</c:v>
                </c:pt>
                <c:pt idx="2621">
                  <c:v>57693</c:v>
                </c:pt>
                <c:pt idx="2622">
                  <c:v>57700</c:v>
                </c:pt>
                <c:pt idx="2623">
                  <c:v>57712</c:v>
                </c:pt>
                <c:pt idx="2624">
                  <c:v>57717</c:v>
                </c:pt>
                <c:pt idx="2625">
                  <c:v>57724</c:v>
                </c:pt>
                <c:pt idx="2626">
                  <c:v>57731</c:v>
                </c:pt>
                <c:pt idx="2627">
                  <c:v>57738</c:v>
                </c:pt>
                <c:pt idx="2628">
                  <c:v>57745</c:v>
                </c:pt>
                <c:pt idx="2629">
                  <c:v>57752</c:v>
                </c:pt>
                <c:pt idx="2630">
                  <c:v>57759</c:v>
                </c:pt>
                <c:pt idx="2631">
                  <c:v>57766</c:v>
                </c:pt>
                <c:pt idx="2632">
                  <c:v>57773</c:v>
                </c:pt>
                <c:pt idx="2633">
                  <c:v>57780</c:v>
                </c:pt>
                <c:pt idx="2634">
                  <c:v>57787</c:v>
                </c:pt>
                <c:pt idx="2635">
                  <c:v>57794</c:v>
                </c:pt>
                <c:pt idx="2636">
                  <c:v>57801</c:v>
                </c:pt>
                <c:pt idx="2637">
                  <c:v>57808</c:v>
                </c:pt>
                <c:pt idx="2638">
                  <c:v>57817</c:v>
                </c:pt>
                <c:pt idx="2639">
                  <c:v>57822</c:v>
                </c:pt>
                <c:pt idx="2640">
                  <c:v>57829</c:v>
                </c:pt>
                <c:pt idx="2641">
                  <c:v>57836</c:v>
                </c:pt>
                <c:pt idx="2642">
                  <c:v>57843</c:v>
                </c:pt>
                <c:pt idx="2643">
                  <c:v>57850</c:v>
                </c:pt>
                <c:pt idx="2644">
                  <c:v>57858</c:v>
                </c:pt>
                <c:pt idx="2645">
                  <c:v>57866</c:v>
                </c:pt>
                <c:pt idx="2646">
                  <c:v>57872</c:v>
                </c:pt>
                <c:pt idx="2647">
                  <c:v>57879</c:v>
                </c:pt>
                <c:pt idx="2648">
                  <c:v>57887</c:v>
                </c:pt>
                <c:pt idx="2649">
                  <c:v>57894</c:v>
                </c:pt>
                <c:pt idx="2650">
                  <c:v>57901</c:v>
                </c:pt>
                <c:pt idx="2651">
                  <c:v>57908</c:v>
                </c:pt>
                <c:pt idx="2652">
                  <c:v>57915</c:v>
                </c:pt>
                <c:pt idx="2653">
                  <c:v>57922</c:v>
                </c:pt>
                <c:pt idx="2654">
                  <c:v>57929</c:v>
                </c:pt>
                <c:pt idx="2655">
                  <c:v>57936</c:v>
                </c:pt>
                <c:pt idx="2656">
                  <c:v>57943</c:v>
                </c:pt>
                <c:pt idx="2657">
                  <c:v>57950</c:v>
                </c:pt>
                <c:pt idx="2658">
                  <c:v>57957</c:v>
                </c:pt>
                <c:pt idx="2659">
                  <c:v>57964</c:v>
                </c:pt>
                <c:pt idx="2660">
                  <c:v>57971</c:v>
                </c:pt>
                <c:pt idx="2661">
                  <c:v>57978</c:v>
                </c:pt>
                <c:pt idx="2662">
                  <c:v>57985</c:v>
                </c:pt>
                <c:pt idx="2663">
                  <c:v>57992</c:v>
                </c:pt>
                <c:pt idx="2664">
                  <c:v>57999</c:v>
                </c:pt>
                <c:pt idx="2665">
                  <c:v>58006</c:v>
                </c:pt>
                <c:pt idx="2666">
                  <c:v>58013</c:v>
                </c:pt>
                <c:pt idx="2667">
                  <c:v>58020</c:v>
                </c:pt>
                <c:pt idx="2668">
                  <c:v>58027</c:v>
                </c:pt>
                <c:pt idx="2669">
                  <c:v>58034</c:v>
                </c:pt>
                <c:pt idx="2670">
                  <c:v>58041</c:v>
                </c:pt>
                <c:pt idx="2671">
                  <c:v>58048</c:v>
                </c:pt>
                <c:pt idx="2672">
                  <c:v>58055</c:v>
                </c:pt>
                <c:pt idx="2673">
                  <c:v>58062</c:v>
                </c:pt>
                <c:pt idx="2674">
                  <c:v>58074</c:v>
                </c:pt>
                <c:pt idx="2675">
                  <c:v>58078</c:v>
                </c:pt>
                <c:pt idx="2676">
                  <c:v>58084</c:v>
                </c:pt>
                <c:pt idx="2677">
                  <c:v>58091</c:v>
                </c:pt>
                <c:pt idx="2678">
                  <c:v>58098</c:v>
                </c:pt>
                <c:pt idx="2679">
                  <c:v>58105</c:v>
                </c:pt>
                <c:pt idx="2680">
                  <c:v>58112</c:v>
                </c:pt>
                <c:pt idx="2681">
                  <c:v>58119</c:v>
                </c:pt>
                <c:pt idx="2682">
                  <c:v>58126</c:v>
                </c:pt>
                <c:pt idx="2683">
                  <c:v>58133</c:v>
                </c:pt>
                <c:pt idx="2684">
                  <c:v>58140</c:v>
                </c:pt>
                <c:pt idx="2685">
                  <c:v>58147</c:v>
                </c:pt>
                <c:pt idx="2686">
                  <c:v>58154</c:v>
                </c:pt>
                <c:pt idx="2687">
                  <c:v>58161</c:v>
                </c:pt>
                <c:pt idx="2688">
                  <c:v>58168</c:v>
                </c:pt>
                <c:pt idx="2689">
                  <c:v>58175</c:v>
                </c:pt>
                <c:pt idx="2690">
                  <c:v>58182</c:v>
                </c:pt>
                <c:pt idx="2691">
                  <c:v>58189</c:v>
                </c:pt>
                <c:pt idx="2692">
                  <c:v>58197</c:v>
                </c:pt>
                <c:pt idx="2693">
                  <c:v>58204</c:v>
                </c:pt>
                <c:pt idx="2694">
                  <c:v>58210</c:v>
                </c:pt>
                <c:pt idx="2695">
                  <c:v>58217</c:v>
                </c:pt>
                <c:pt idx="2696">
                  <c:v>58224</c:v>
                </c:pt>
                <c:pt idx="2697">
                  <c:v>58231</c:v>
                </c:pt>
                <c:pt idx="2698">
                  <c:v>58238</c:v>
                </c:pt>
                <c:pt idx="2699">
                  <c:v>58245</c:v>
                </c:pt>
                <c:pt idx="2700">
                  <c:v>58252</c:v>
                </c:pt>
                <c:pt idx="2701">
                  <c:v>58259</c:v>
                </c:pt>
                <c:pt idx="2702">
                  <c:v>58266</c:v>
                </c:pt>
                <c:pt idx="2703">
                  <c:v>58273</c:v>
                </c:pt>
                <c:pt idx="2704">
                  <c:v>58280</c:v>
                </c:pt>
                <c:pt idx="2705">
                  <c:v>58287</c:v>
                </c:pt>
                <c:pt idx="2706">
                  <c:v>58294</c:v>
                </c:pt>
                <c:pt idx="2707">
                  <c:v>58301</c:v>
                </c:pt>
                <c:pt idx="2708">
                  <c:v>58308</c:v>
                </c:pt>
                <c:pt idx="2709">
                  <c:v>58315</c:v>
                </c:pt>
                <c:pt idx="2710">
                  <c:v>58322</c:v>
                </c:pt>
                <c:pt idx="2711">
                  <c:v>58329</c:v>
                </c:pt>
                <c:pt idx="2712">
                  <c:v>58336</c:v>
                </c:pt>
                <c:pt idx="2713">
                  <c:v>58343</c:v>
                </c:pt>
                <c:pt idx="2714">
                  <c:v>58350</c:v>
                </c:pt>
                <c:pt idx="2715">
                  <c:v>58357</c:v>
                </c:pt>
                <c:pt idx="2716">
                  <c:v>58364</c:v>
                </c:pt>
                <c:pt idx="2717">
                  <c:v>58371</c:v>
                </c:pt>
                <c:pt idx="2718">
                  <c:v>58378</c:v>
                </c:pt>
                <c:pt idx="2719">
                  <c:v>58385</c:v>
                </c:pt>
                <c:pt idx="2720">
                  <c:v>58392</c:v>
                </c:pt>
                <c:pt idx="2721">
                  <c:v>58399</c:v>
                </c:pt>
                <c:pt idx="2722">
                  <c:v>58406</c:v>
                </c:pt>
                <c:pt idx="2723">
                  <c:v>58413</c:v>
                </c:pt>
                <c:pt idx="2724">
                  <c:v>58420</c:v>
                </c:pt>
                <c:pt idx="2725">
                  <c:v>58427</c:v>
                </c:pt>
                <c:pt idx="2726">
                  <c:v>58439</c:v>
                </c:pt>
                <c:pt idx="2727">
                  <c:v>58445</c:v>
                </c:pt>
                <c:pt idx="2728">
                  <c:v>58449</c:v>
                </c:pt>
                <c:pt idx="2729">
                  <c:v>58456</c:v>
                </c:pt>
                <c:pt idx="2730">
                  <c:v>58463</c:v>
                </c:pt>
                <c:pt idx="2731">
                  <c:v>58470</c:v>
                </c:pt>
                <c:pt idx="2732">
                  <c:v>58477</c:v>
                </c:pt>
                <c:pt idx="2733">
                  <c:v>58484</c:v>
                </c:pt>
                <c:pt idx="2734">
                  <c:v>58491</c:v>
                </c:pt>
                <c:pt idx="2735">
                  <c:v>58498</c:v>
                </c:pt>
                <c:pt idx="2736">
                  <c:v>58505</c:v>
                </c:pt>
                <c:pt idx="2737">
                  <c:v>58512</c:v>
                </c:pt>
                <c:pt idx="2738">
                  <c:v>58519</c:v>
                </c:pt>
                <c:pt idx="2739">
                  <c:v>58526</c:v>
                </c:pt>
                <c:pt idx="2740">
                  <c:v>58533</c:v>
                </c:pt>
                <c:pt idx="2741">
                  <c:v>58540</c:v>
                </c:pt>
                <c:pt idx="2742">
                  <c:v>58551</c:v>
                </c:pt>
                <c:pt idx="2743">
                  <c:v>58554</c:v>
                </c:pt>
                <c:pt idx="2744">
                  <c:v>58561</c:v>
                </c:pt>
                <c:pt idx="2745">
                  <c:v>58568</c:v>
                </c:pt>
                <c:pt idx="2746">
                  <c:v>58575</c:v>
                </c:pt>
                <c:pt idx="2747">
                  <c:v>58582</c:v>
                </c:pt>
                <c:pt idx="2748">
                  <c:v>58592</c:v>
                </c:pt>
                <c:pt idx="2749">
                  <c:v>58596</c:v>
                </c:pt>
                <c:pt idx="2750">
                  <c:v>58603</c:v>
                </c:pt>
                <c:pt idx="2751">
                  <c:v>58610</c:v>
                </c:pt>
                <c:pt idx="2752">
                  <c:v>58620</c:v>
                </c:pt>
                <c:pt idx="2753">
                  <c:v>58624</c:v>
                </c:pt>
                <c:pt idx="2754">
                  <c:v>58631</c:v>
                </c:pt>
                <c:pt idx="2755">
                  <c:v>58638</c:v>
                </c:pt>
                <c:pt idx="2756">
                  <c:v>58645</c:v>
                </c:pt>
                <c:pt idx="2757">
                  <c:v>58652</c:v>
                </c:pt>
                <c:pt idx="2758">
                  <c:v>58659</c:v>
                </c:pt>
                <c:pt idx="2759">
                  <c:v>58666</c:v>
                </c:pt>
                <c:pt idx="2760">
                  <c:v>58673</c:v>
                </c:pt>
                <c:pt idx="2761">
                  <c:v>58680</c:v>
                </c:pt>
                <c:pt idx="2762">
                  <c:v>58687</c:v>
                </c:pt>
                <c:pt idx="2763">
                  <c:v>58694</c:v>
                </c:pt>
                <c:pt idx="2764">
                  <c:v>58701</c:v>
                </c:pt>
                <c:pt idx="2765">
                  <c:v>58708</c:v>
                </c:pt>
                <c:pt idx="2766">
                  <c:v>58715</c:v>
                </c:pt>
                <c:pt idx="2767">
                  <c:v>58722</c:v>
                </c:pt>
                <c:pt idx="2768">
                  <c:v>58729</c:v>
                </c:pt>
                <c:pt idx="2769">
                  <c:v>58736</c:v>
                </c:pt>
                <c:pt idx="2770">
                  <c:v>58743</c:v>
                </c:pt>
                <c:pt idx="2771">
                  <c:v>58750</c:v>
                </c:pt>
                <c:pt idx="2772">
                  <c:v>58757</c:v>
                </c:pt>
                <c:pt idx="2773">
                  <c:v>58764</c:v>
                </c:pt>
                <c:pt idx="2774">
                  <c:v>58771</c:v>
                </c:pt>
                <c:pt idx="2775">
                  <c:v>58778</c:v>
                </c:pt>
                <c:pt idx="2776">
                  <c:v>58785</c:v>
                </c:pt>
                <c:pt idx="2777">
                  <c:v>58792</c:v>
                </c:pt>
                <c:pt idx="2778">
                  <c:v>58802</c:v>
                </c:pt>
                <c:pt idx="2779">
                  <c:v>58809</c:v>
                </c:pt>
                <c:pt idx="2780">
                  <c:v>58816</c:v>
                </c:pt>
                <c:pt idx="2781">
                  <c:v>58820</c:v>
                </c:pt>
                <c:pt idx="2782">
                  <c:v>58827</c:v>
                </c:pt>
                <c:pt idx="2783">
                  <c:v>58834</c:v>
                </c:pt>
                <c:pt idx="2784">
                  <c:v>58841</c:v>
                </c:pt>
                <c:pt idx="2785">
                  <c:v>58848</c:v>
                </c:pt>
                <c:pt idx="2786">
                  <c:v>58855</c:v>
                </c:pt>
                <c:pt idx="2787">
                  <c:v>58862</c:v>
                </c:pt>
                <c:pt idx="2788">
                  <c:v>58869</c:v>
                </c:pt>
                <c:pt idx="2789">
                  <c:v>58876</c:v>
                </c:pt>
                <c:pt idx="2790">
                  <c:v>58883</c:v>
                </c:pt>
                <c:pt idx="2791">
                  <c:v>58890</c:v>
                </c:pt>
                <c:pt idx="2792">
                  <c:v>58897</c:v>
                </c:pt>
                <c:pt idx="2793">
                  <c:v>58908</c:v>
                </c:pt>
                <c:pt idx="2794">
                  <c:v>58911</c:v>
                </c:pt>
                <c:pt idx="2795">
                  <c:v>58918</c:v>
                </c:pt>
                <c:pt idx="2796">
                  <c:v>58925</c:v>
                </c:pt>
                <c:pt idx="2797">
                  <c:v>58932</c:v>
                </c:pt>
                <c:pt idx="2798">
                  <c:v>58939</c:v>
                </c:pt>
                <c:pt idx="2799">
                  <c:v>58949</c:v>
                </c:pt>
                <c:pt idx="2800">
                  <c:v>58953</c:v>
                </c:pt>
                <c:pt idx="2801">
                  <c:v>58960</c:v>
                </c:pt>
                <c:pt idx="2802">
                  <c:v>58967</c:v>
                </c:pt>
                <c:pt idx="2803">
                  <c:v>58974</c:v>
                </c:pt>
                <c:pt idx="2804">
                  <c:v>58984</c:v>
                </c:pt>
                <c:pt idx="2805">
                  <c:v>58988</c:v>
                </c:pt>
                <c:pt idx="2806">
                  <c:v>58995</c:v>
                </c:pt>
                <c:pt idx="2807">
                  <c:v>59002</c:v>
                </c:pt>
                <c:pt idx="2808">
                  <c:v>59009</c:v>
                </c:pt>
                <c:pt idx="2809">
                  <c:v>59016</c:v>
                </c:pt>
                <c:pt idx="2810">
                  <c:v>59023</c:v>
                </c:pt>
                <c:pt idx="2811">
                  <c:v>59030</c:v>
                </c:pt>
                <c:pt idx="2812">
                  <c:v>59037</c:v>
                </c:pt>
                <c:pt idx="2813">
                  <c:v>59044</c:v>
                </c:pt>
                <c:pt idx="2814">
                  <c:v>59051</c:v>
                </c:pt>
                <c:pt idx="2815">
                  <c:v>59058</c:v>
                </c:pt>
                <c:pt idx="2816">
                  <c:v>59065</c:v>
                </c:pt>
                <c:pt idx="2817">
                  <c:v>59072</c:v>
                </c:pt>
                <c:pt idx="2818">
                  <c:v>59079</c:v>
                </c:pt>
                <c:pt idx="2819">
                  <c:v>59086</c:v>
                </c:pt>
                <c:pt idx="2820">
                  <c:v>59093</c:v>
                </c:pt>
                <c:pt idx="2821">
                  <c:v>59100</c:v>
                </c:pt>
                <c:pt idx="2822">
                  <c:v>59107</c:v>
                </c:pt>
                <c:pt idx="2823">
                  <c:v>59114</c:v>
                </c:pt>
                <c:pt idx="2824">
                  <c:v>59121</c:v>
                </c:pt>
                <c:pt idx="2825">
                  <c:v>59128</c:v>
                </c:pt>
                <c:pt idx="2826">
                  <c:v>59135</c:v>
                </c:pt>
                <c:pt idx="2827">
                  <c:v>59142</c:v>
                </c:pt>
                <c:pt idx="2828">
                  <c:v>59149</c:v>
                </c:pt>
                <c:pt idx="2829">
                  <c:v>59156</c:v>
                </c:pt>
                <c:pt idx="2830">
                  <c:v>59163</c:v>
                </c:pt>
                <c:pt idx="2831">
                  <c:v>59170</c:v>
                </c:pt>
                <c:pt idx="2832">
                  <c:v>59180</c:v>
                </c:pt>
                <c:pt idx="2833">
                  <c:v>59184</c:v>
                </c:pt>
                <c:pt idx="2834">
                  <c:v>59191</c:v>
                </c:pt>
                <c:pt idx="2835">
                  <c:v>59198</c:v>
                </c:pt>
                <c:pt idx="2836">
                  <c:v>59205</c:v>
                </c:pt>
                <c:pt idx="2837">
                  <c:v>59212</c:v>
                </c:pt>
                <c:pt idx="2838">
                  <c:v>59219</c:v>
                </c:pt>
                <c:pt idx="2839">
                  <c:v>59226</c:v>
                </c:pt>
                <c:pt idx="2840">
                  <c:v>59233</c:v>
                </c:pt>
                <c:pt idx="2841">
                  <c:v>59240</c:v>
                </c:pt>
                <c:pt idx="2842">
                  <c:v>59247</c:v>
                </c:pt>
                <c:pt idx="2843">
                  <c:v>59258</c:v>
                </c:pt>
                <c:pt idx="2844">
                  <c:v>59261</c:v>
                </c:pt>
                <c:pt idx="2845">
                  <c:v>59268</c:v>
                </c:pt>
                <c:pt idx="2846">
                  <c:v>59275</c:v>
                </c:pt>
                <c:pt idx="2847">
                  <c:v>59282</c:v>
                </c:pt>
                <c:pt idx="2848">
                  <c:v>59289</c:v>
                </c:pt>
                <c:pt idx="2849">
                  <c:v>59299</c:v>
                </c:pt>
                <c:pt idx="2850">
                  <c:v>59303</c:v>
                </c:pt>
                <c:pt idx="2851">
                  <c:v>59310</c:v>
                </c:pt>
                <c:pt idx="2852">
                  <c:v>59317</c:v>
                </c:pt>
                <c:pt idx="2853">
                  <c:v>59324</c:v>
                </c:pt>
                <c:pt idx="2854">
                  <c:v>59331</c:v>
                </c:pt>
                <c:pt idx="2855">
                  <c:v>59338</c:v>
                </c:pt>
                <c:pt idx="2856">
                  <c:v>59348</c:v>
                </c:pt>
                <c:pt idx="2857">
                  <c:v>59352</c:v>
                </c:pt>
                <c:pt idx="2858">
                  <c:v>59359</c:v>
                </c:pt>
                <c:pt idx="2859">
                  <c:v>59366</c:v>
                </c:pt>
                <c:pt idx="2860">
                  <c:v>59373</c:v>
                </c:pt>
                <c:pt idx="2861">
                  <c:v>59380</c:v>
                </c:pt>
                <c:pt idx="2862">
                  <c:v>59387</c:v>
                </c:pt>
                <c:pt idx="2863">
                  <c:v>59394</c:v>
                </c:pt>
                <c:pt idx="2864">
                  <c:v>59401</c:v>
                </c:pt>
                <c:pt idx="2865">
                  <c:v>59408</c:v>
                </c:pt>
                <c:pt idx="2866">
                  <c:v>59415</c:v>
                </c:pt>
                <c:pt idx="2867">
                  <c:v>59422</c:v>
                </c:pt>
                <c:pt idx="2868">
                  <c:v>59429</c:v>
                </c:pt>
                <c:pt idx="2869">
                  <c:v>59436</c:v>
                </c:pt>
                <c:pt idx="2870">
                  <c:v>59443</c:v>
                </c:pt>
                <c:pt idx="2871">
                  <c:v>59450</c:v>
                </c:pt>
                <c:pt idx="2872">
                  <c:v>59457</c:v>
                </c:pt>
                <c:pt idx="2873">
                  <c:v>59464</c:v>
                </c:pt>
                <c:pt idx="2874">
                  <c:v>59471</c:v>
                </c:pt>
                <c:pt idx="2875">
                  <c:v>59478</c:v>
                </c:pt>
                <c:pt idx="2876">
                  <c:v>59485</c:v>
                </c:pt>
                <c:pt idx="2877">
                  <c:v>59492</c:v>
                </c:pt>
                <c:pt idx="2878">
                  <c:v>59499</c:v>
                </c:pt>
                <c:pt idx="2879">
                  <c:v>59506</c:v>
                </c:pt>
                <c:pt idx="2880">
                  <c:v>59513</c:v>
                </c:pt>
                <c:pt idx="2881">
                  <c:v>59520</c:v>
                </c:pt>
                <c:pt idx="2882">
                  <c:v>59527</c:v>
                </c:pt>
                <c:pt idx="2883">
                  <c:v>59534</c:v>
                </c:pt>
                <c:pt idx="2884">
                  <c:v>59541</c:v>
                </c:pt>
                <c:pt idx="2885">
                  <c:v>59548</c:v>
                </c:pt>
                <c:pt idx="2886">
                  <c:v>59555</c:v>
                </c:pt>
                <c:pt idx="2887">
                  <c:v>59562</c:v>
                </c:pt>
                <c:pt idx="2888">
                  <c:v>59569</c:v>
                </c:pt>
                <c:pt idx="2889">
                  <c:v>59576</c:v>
                </c:pt>
                <c:pt idx="2890">
                  <c:v>59583</c:v>
                </c:pt>
                <c:pt idx="2891">
                  <c:v>59590</c:v>
                </c:pt>
                <c:pt idx="2892">
                  <c:v>59597</c:v>
                </c:pt>
                <c:pt idx="2893">
                  <c:v>59604</c:v>
                </c:pt>
                <c:pt idx="2894">
                  <c:v>59611</c:v>
                </c:pt>
                <c:pt idx="2895">
                  <c:v>59618</c:v>
                </c:pt>
                <c:pt idx="2896">
                  <c:v>59625</c:v>
                </c:pt>
                <c:pt idx="2897">
                  <c:v>59632</c:v>
                </c:pt>
                <c:pt idx="2898">
                  <c:v>59643</c:v>
                </c:pt>
                <c:pt idx="2899">
                  <c:v>59646</c:v>
                </c:pt>
                <c:pt idx="2900">
                  <c:v>59653</c:v>
                </c:pt>
                <c:pt idx="2901">
                  <c:v>59660</c:v>
                </c:pt>
                <c:pt idx="2902">
                  <c:v>59667</c:v>
                </c:pt>
                <c:pt idx="2903">
                  <c:v>59674</c:v>
                </c:pt>
                <c:pt idx="2904">
                  <c:v>59684</c:v>
                </c:pt>
                <c:pt idx="2905">
                  <c:v>59688</c:v>
                </c:pt>
                <c:pt idx="2906">
                  <c:v>59695</c:v>
                </c:pt>
                <c:pt idx="2907">
                  <c:v>59702</c:v>
                </c:pt>
                <c:pt idx="2908">
                  <c:v>59712</c:v>
                </c:pt>
                <c:pt idx="2909">
                  <c:v>59716</c:v>
                </c:pt>
                <c:pt idx="2910">
                  <c:v>59723</c:v>
                </c:pt>
                <c:pt idx="2911">
                  <c:v>59730</c:v>
                </c:pt>
                <c:pt idx="2912">
                  <c:v>59737</c:v>
                </c:pt>
                <c:pt idx="2913">
                  <c:v>59744</c:v>
                </c:pt>
                <c:pt idx="2914">
                  <c:v>59751</c:v>
                </c:pt>
                <c:pt idx="2915">
                  <c:v>59758</c:v>
                </c:pt>
                <c:pt idx="2916">
                  <c:v>59765</c:v>
                </c:pt>
                <c:pt idx="2917">
                  <c:v>59772</c:v>
                </c:pt>
                <c:pt idx="2918">
                  <c:v>59779</c:v>
                </c:pt>
                <c:pt idx="2919">
                  <c:v>59786</c:v>
                </c:pt>
                <c:pt idx="2920">
                  <c:v>59793</c:v>
                </c:pt>
                <c:pt idx="2921">
                  <c:v>59800</c:v>
                </c:pt>
                <c:pt idx="2922">
                  <c:v>59807</c:v>
                </c:pt>
                <c:pt idx="2923">
                  <c:v>59814</c:v>
                </c:pt>
                <c:pt idx="2924">
                  <c:v>59821</c:v>
                </c:pt>
                <c:pt idx="2925">
                  <c:v>59828</c:v>
                </c:pt>
                <c:pt idx="2926">
                  <c:v>59835</c:v>
                </c:pt>
                <c:pt idx="2927">
                  <c:v>59842</c:v>
                </c:pt>
                <c:pt idx="2928">
                  <c:v>59849</c:v>
                </c:pt>
                <c:pt idx="2929">
                  <c:v>59856</c:v>
                </c:pt>
                <c:pt idx="2930">
                  <c:v>59863</c:v>
                </c:pt>
                <c:pt idx="2931">
                  <c:v>59870</c:v>
                </c:pt>
                <c:pt idx="2932">
                  <c:v>59877</c:v>
                </c:pt>
                <c:pt idx="2933">
                  <c:v>59884</c:v>
                </c:pt>
                <c:pt idx="2934">
                  <c:v>59891</c:v>
                </c:pt>
                <c:pt idx="2935">
                  <c:v>59903</c:v>
                </c:pt>
                <c:pt idx="2936">
                  <c:v>59908</c:v>
                </c:pt>
                <c:pt idx="2937">
                  <c:v>59915</c:v>
                </c:pt>
                <c:pt idx="2938">
                  <c:v>59922</c:v>
                </c:pt>
                <c:pt idx="2939">
                  <c:v>59929</c:v>
                </c:pt>
                <c:pt idx="2940">
                  <c:v>59936</c:v>
                </c:pt>
                <c:pt idx="2941">
                  <c:v>59943</c:v>
                </c:pt>
                <c:pt idx="2942">
                  <c:v>59950</c:v>
                </c:pt>
                <c:pt idx="2943">
                  <c:v>59957</c:v>
                </c:pt>
                <c:pt idx="2944">
                  <c:v>59964</c:v>
                </c:pt>
                <c:pt idx="2945">
                  <c:v>59971</c:v>
                </c:pt>
                <c:pt idx="2946">
                  <c:v>59978</c:v>
                </c:pt>
                <c:pt idx="2947">
                  <c:v>59985</c:v>
                </c:pt>
                <c:pt idx="2948">
                  <c:v>59992</c:v>
                </c:pt>
                <c:pt idx="2949">
                  <c:v>60001</c:v>
                </c:pt>
                <c:pt idx="2950">
                  <c:v>60006</c:v>
                </c:pt>
                <c:pt idx="2951">
                  <c:v>60013</c:v>
                </c:pt>
                <c:pt idx="2952">
                  <c:v>60020</c:v>
                </c:pt>
                <c:pt idx="2953">
                  <c:v>60028</c:v>
                </c:pt>
                <c:pt idx="2954">
                  <c:v>60035</c:v>
                </c:pt>
                <c:pt idx="2955">
                  <c:v>60042</c:v>
                </c:pt>
                <c:pt idx="2956">
                  <c:v>60050</c:v>
                </c:pt>
                <c:pt idx="2957">
                  <c:v>60056</c:v>
                </c:pt>
                <c:pt idx="2958">
                  <c:v>60063</c:v>
                </c:pt>
                <c:pt idx="2959">
                  <c:v>60070</c:v>
                </c:pt>
                <c:pt idx="2960">
                  <c:v>60078</c:v>
                </c:pt>
                <c:pt idx="2961">
                  <c:v>60085</c:v>
                </c:pt>
                <c:pt idx="2962">
                  <c:v>60092</c:v>
                </c:pt>
                <c:pt idx="2963">
                  <c:v>60099</c:v>
                </c:pt>
                <c:pt idx="2964">
                  <c:v>60106</c:v>
                </c:pt>
                <c:pt idx="2965">
                  <c:v>60113</c:v>
                </c:pt>
                <c:pt idx="2966">
                  <c:v>60120</c:v>
                </c:pt>
                <c:pt idx="2967">
                  <c:v>60127</c:v>
                </c:pt>
                <c:pt idx="2968">
                  <c:v>60134</c:v>
                </c:pt>
                <c:pt idx="2969">
                  <c:v>60141</c:v>
                </c:pt>
                <c:pt idx="2970">
                  <c:v>60148</c:v>
                </c:pt>
                <c:pt idx="2971">
                  <c:v>60155</c:v>
                </c:pt>
                <c:pt idx="2972">
                  <c:v>60162</c:v>
                </c:pt>
                <c:pt idx="2973">
                  <c:v>60169</c:v>
                </c:pt>
                <c:pt idx="2974">
                  <c:v>60176</c:v>
                </c:pt>
                <c:pt idx="2975">
                  <c:v>60183</c:v>
                </c:pt>
                <c:pt idx="2976">
                  <c:v>60190</c:v>
                </c:pt>
                <c:pt idx="2977">
                  <c:v>60197</c:v>
                </c:pt>
                <c:pt idx="2978">
                  <c:v>60204</c:v>
                </c:pt>
                <c:pt idx="2979">
                  <c:v>60211</c:v>
                </c:pt>
                <c:pt idx="2980">
                  <c:v>60218</c:v>
                </c:pt>
                <c:pt idx="2981">
                  <c:v>60225</c:v>
                </c:pt>
                <c:pt idx="2982">
                  <c:v>60232</c:v>
                </c:pt>
                <c:pt idx="2983">
                  <c:v>60239</c:v>
                </c:pt>
                <c:pt idx="2984">
                  <c:v>60246</c:v>
                </c:pt>
                <c:pt idx="2985">
                  <c:v>60253</c:v>
                </c:pt>
                <c:pt idx="2986">
                  <c:v>60265</c:v>
                </c:pt>
                <c:pt idx="2987">
                  <c:v>60269</c:v>
                </c:pt>
                <c:pt idx="2988">
                  <c:v>60275</c:v>
                </c:pt>
                <c:pt idx="2989">
                  <c:v>60281</c:v>
                </c:pt>
                <c:pt idx="2990">
                  <c:v>60288</c:v>
                </c:pt>
                <c:pt idx="2991">
                  <c:v>60295</c:v>
                </c:pt>
                <c:pt idx="2992">
                  <c:v>60302</c:v>
                </c:pt>
                <c:pt idx="2993">
                  <c:v>60309</c:v>
                </c:pt>
                <c:pt idx="2994">
                  <c:v>60316</c:v>
                </c:pt>
                <c:pt idx="2995">
                  <c:v>60323</c:v>
                </c:pt>
                <c:pt idx="2996">
                  <c:v>60330</c:v>
                </c:pt>
                <c:pt idx="2997">
                  <c:v>60337</c:v>
                </c:pt>
                <c:pt idx="2998">
                  <c:v>60344</c:v>
                </c:pt>
                <c:pt idx="2999">
                  <c:v>60351</c:v>
                </c:pt>
                <c:pt idx="3000">
                  <c:v>60359</c:v>
                </c:pt>
                <c:pt idx="3001">
                  <c:v>60366</c:v>
                </c:pt>
                <c:pt idx="3002">
                  <c:v>60373</c:v>
                </c:pt>
                <c:pt idx="3003">
                  <c:v>60380</c:v>
                </c:pt>
                <c:pt idx="3004">
                  <c:v>60387</c:v>
                </c:pt>
                <c:pt idx="3005">
                  <c:v>60395</c:v>
                </c:pt>
                <c:pt idx="3006">
                  <c:v>60401</c:v>
                </c:pt>
                <c:pt idx="3007">
                  <c:v>60408</c:v>
                </c:pt>
                <c:pt idx="3008">
                  <c:v>60415</c:v>
                </c:pt>
                <c:pt idx="3009">
                  <c:v>60422</c:v>
                </c:pt>
                <c:pt idx="3010">
                  <c:v>60429</c:v>
                </c:pt>
                <c:pt idx="3011">
                  <c:v>60436</c:v>
                </c:pt>
                <c:pt idx="3012">
                  <c:v>60443</c:v>
                </c:pt>
                <c:pt idx="3013">
                  <c:v>60450</c:v>
                </c:pt>
                <c:pt idx="3014">
                  <c:v>60457</c:v>
                </c:pt>
                <c:pt idx="3015">
                  <c:v>60464</c:v>
                </c:pt>
                <c:pt idx="3016">
                  <c:v>60471</c:v>
                </c:pt>
                <c:pt idx="3017">
                  <c:v>60478</c:v>
                </c:pt>
                <c:pt idx="3018">
                  <c:v>60485</c:v>
                </c:pt>
                <c:pt idx="3019">
                  <c:v>60492</c:v>
                </c:pt>
                <c:pt idx="3020">
                  <c:v>60499</c:v>
                </c:pt>
                <c:pt idx="3021">
                  <c:v>60506</c:v>
                </c:pt>
                <c:pt idx="3022">
                  <c:v>60513</c:v>
                </c:pt>
                <c:pt idx="3023">
                  <c:v>60520</c:v>
                </c:pt>
                <c:pt idx="3024">
                  <c:v>60527</c:v>
                </c:pt>
                <c:pt idx="3025">
                  <c:v>60534</c:v>
                </c:pt>
                <c:pt idx="3026">
                  <c:v>60541</c:v>
                </c:pt>
                <c:pt idx="3027">
                  <c:v>60548</c:v>
                </c:pt>
                <c:pt idx="3028">
                  <c:v>60555</c:v>
                </c:pt>
                <c:pt idx="3029">
                  <c:v>60562</c:v>
                </c:pt>
                <c:pt idx="3030">
                  <c:v>60569</c:v>
                </c:pt>
                <c:pt idx="3031">
                  <c:v>60576</c:v>
                </c:pt>
                <c:pt idx="3032">
                  <c:v>60583</c:v>
                </c:pt>
                <c:pt idx="3033">
                  <c:v>60590</c:v>
                </c:pt>
                <c:pt idx="3034">
                  <c:v>60597</c:v>
                </c:pt>
                <c:pt idx="3035">
                  <c:v>60604</c:v>
                </c:pt>
                <c:pt idx="3036">
                  <c:v>60611</c:v>
                </c:pt>
                <c:pt idx="3037">
                  <c:v>60618</c:v>
                </c:pt>
                <c:pt idx="3038">
                  <c:v>60629</c:v>
                </c:pt>
                <c:pt idx="3039">
                  <c:v>60636</c:v>
                </c:pt>
                <c:pt idx="3040">
                  <c:v>60640</c:v>
                </c:pt>
                <c:pt idx="3041">
                  <c:v>60646</c:v>
                </c:pt>
                <c:pt idx="3042">
                  <c:v>60653</c:v>
                </c:pt>
                <c:pt idx="3043">
                  <c:v>60660</c:v>
                </c:pt>
                <c:pt idx="3044">
                  <c:v>60667</c:v>
                </c:pt>
                <c:pt idx="3045">
                  <c:v>60674</c:v>
                </c:pt>
                <c:pt idx="3046">
                  <c:v>60681</c:v>
                </c:pt>
                <c:pt idx="3047">
                  <c:v>60688</c:v>
                </c:pt>
                <c:pt idx="3048">
                  <c:v>60695</c:v>
                </c:pt>
                <c:pt idx="3049">
                  <c:v>60702</c:v>
                </c:pt>
                <c:pt idx="3050">
                  <c:v>60709</c:v>
                </c:pt>
                <c:pt idx="3051">
                  <c:v>60716</c:v>
                </c:pt>
                <c:pt idx="3052">
                  <c:v>60723</c:v>
                </c:pt>
                <c:pt idx="3053">
                  <c:v>60730</c:v>
                </c:pt>
                <c:pt idx="3054">
                  <c:v>60737</c:v>
                </c:pt>
                <c:pt idx="3055">
                  <c:v>60744</c:v>
                </c:pt>
                <c:pt idx="3056">
                  <c:v>60751</c:v>
                </c:pt>
                <c:pt idx="3057">
                  <c:v>60758</c:v>
                </c:pt>
                <c:pt idx="3058">
                  <c:v>60765</c:v>
                </c:pt>
                <c:pt idx="3059">
                  <c:v>60773</c:v>
                </c:pt>
                <c:pt idx="3060">
                  <c:v>60779</c:v>
                </c:pt>
                <c:pt idx="3061">
                  <c:v>60786</c:v>
                </c:pt>
                <c:pt idx="3062">
                  <c:v>60793</c:v>
                </c:pt>
                <c:pt idx="3063">
                  <c:v>60800</c:v>
                </c:pt>
                <c:pt idx="3064">
                  <c:v>60807</c:v>
                </c:pt>
                <c:pt idx="3065">
                  <c:v>60814</c:v>
                </c:pt>
                <c:pt idx="3066">
                  <c:v>60821</c:v>
                </c:pt>
                <c:pt idx="3067">
                  <c:v>60828</c:v>
                </c:pt>
                <c:pt idx="3068">
                  <c:v>60835</c:v>
                </c:pt>
                <c:pt idx="3069">
                  <c:v>60842</c:v>
                </c:pt>
                <c:pt idx="3070">
                  <c:v>60849</c:v>
                </c:pt>
                <c:pt idx="3071">
                  <c:v>60856</c:v>
                </c:pt>
                <c:pt idx="3072">
                  <c:v>60863</c:v>
                </c:pt>
                <c:pt idx="3073">
                  <c:v>60870</c:v>
                </c:pt>
                <c:pt idx="3074">
                  <c:v>60877</c:v>
                </c:pt>
                <c:pt idx="3075">
                  <c:v>60884</c:v>
                </c:pt>
                <c:pt idx="3076">
                  <c:v>60891</c:v>
                </c:pt>
                <c:pt idx="3077">
                  <c:v>60898</c:v>
                </c:pt>
                <c:pt idx="3078">
                  <c:v>60905</c:v>
                </c:pt>
                <c:pt idx="3079">
                  <c:v>60912</c:v>
                </c:pt>
                <c:pt idx="3080">
                  <c:v>60919</c:v>
                </c:pt>
                <c:pt idx="3081">
                  <c:v>60926</c:v>
                </c:pt>
                <c:pt idx="3082">
                  <c:v>60933</c:v>
                </c:pt>
                <c:pt idx="3083">
                  <c:v>60940</c:v>
                </c:pt>
                <c:pt idx="3084">
                  <c:v>60947</c:v>
                </c:pt>
                <c:pt idx="3085">
                  <c:v>60954</c:v>
                </c:pt>
                <c:pt idx="3086">
                  <c:v>60961</c:v>
                </c:pt>
                <c:pt idx="3087">
                  <c:v>60968</c:v>
                </c:pt>
                <c:pt idx="3088">
                  <c:v>60975</c:v>
                </c:pt>
                <c:pt idx="3089">
                  <c:v>60982</c:v>
                </c:pt>
                <c:pt idx="3090">
                  <c:v>60989</c:v>
                </c:pt>
                <c:pt idx="3091">
                  <c:v>60996</c:v>
                </c:pt>
                <c:pt idx="3092">
                  <c:v>61004</c:v>
                </c:pt>
                <c:pt idx="3093">
                  <c:v>61010</c:v>
                </c:pt>
                <c:pt idx="3094">
                  <c:v>61017</c:v>
                </c:pt>
                <c:pt idx="3095">
                  <c:v>61024</c:v>
                </c:pt>
                <c:pt idx="3096">
                  <c:v>61031</c:v>
                </c:pt>
                <c:pt idx="3097">
                  <c:v>61038</c:v>
                </c:pt>
                <c:pt idx="3098">
                  <c:v>61045</c:v>
                </c:pt>
                <c:pt idx="3099">
                  <c:v>61052</c:v>
                </c:pt>
                <c:pt idx="3100">
                  <c:v>61059</c:v>
                </c:pt>
                <c:pt idx="3101">
                  <c:v>61066</c:v>
                </c:pt>
                <c:pt idx="3102">
                  <c:v>61073</c:v>
                </c:pt>
                <c:pt idx="3103">
                  <c:v>61080</c:v>
                </c:pt>
                <c:pt idx="3104">
                  <c:v>61087</c:v>
                </c:pt>
                <c:pt idx="3105">
                  <c:v>61094</c:v>
                </c:pt>
                <c:pt idx="3106">
                  <c:v>61101</c:v>
                </c:pt>
                <c:pt idx="3107">
                  <c:v>61108</c:v>
                </c:pt>
                <c:pt idx="3108">
                  <c:v>61115</c:v>
                </c:pt>
                <c:pt idx="3109">
                  <c:v>61122</c:v>
                </c:pt>
                <c:pt idx="3110">
                  <c:v>61130</c:v>
                </c:pt>
                <c:pt idx="3111">
                  <c:v>61136</c:v>
                </c:pt>
                <c:pt idx="3112">
                  <c:v>61143</c:v>
                </c:pt>
                <c:pt idx="3113">
                  <c:v>61150</c:v>
                </c:pt>
                <c:pt idx="3114">
                  <c:v>61157</c:v>
                </c:pt>
                <c:pt idx="3115">
                  <c:v>61164</c:v>
                </c:pt>
                <c:pt idx="3116">
                  <c:v>61171</c:v>
                </c:pt>
                <c:pt idx="3117">
                  <c:v>61178</c:v>
                </c:pt>
                <c:pt idx="3118">
                  <c:v>61185</c:v>
                </c:pt>
                <c:pt idx="3119">
                  <c:v>61192</c:v>
                </c:pt>
                <c:pt idx="3120">
                  <c:v>61199</c:v>
                </c:pt>
                <c:pt idx="3121">
                  <c:v>61206</c:v>
                </c:pt>
                <c:pt idx="3122">
                  <c:v>61213</c:v>
                </c:pt>
                <c:pt idx="3123">
                  <c:v>61220</c:v>
                </c:pt>
                <c:pt idx="3124">
                  <c:v>61227</c:v>
                </c:pt>
                <c:pt idx="3125">
                  <c:v>61234</c:v>
                </c:pt>
                <c:pt idx="3126">
                  <c:v>61241</c:v>
                </c:pt>
                <c:pt idx="3127">
                  <c:v>61248</c:v>
                </c:pt>
                <c:pt idx="3128">
                  <c:v>61255</c:v>
                </c:pt>
                <c:pt idx="3129">
                  <c:v>61262</c:v>
                </c:pt>
                <c:pt idx="3130">
                  <c:v>61269</c:v>
                </c:pt>
                <c:pt idx="3131">
                  <c:v>61276</c:v>
                </c:pt>
                <c:pt idx="3132">
                  <c:v>61283</c:v>
                </c:pt>
                <c:pt idx="3133">
                  <c:v>61290</c:v>
                </c:pt>
                <c:pt idx="3134">
                  <c:v>61297</c:v>
                </c:pt>
                <c:pt idx="3135">
                  <c:v>61304</c:v>
                </c:pt>
                <c:pt idx="3136">
                  <c:v>61311</c:v>
                </c:pt>
                <c:pt idx="3137">
                  <c:v>61318</c:v>
                </c:pt>
                <c:pt idx="3138">
                  <c:v>61325</c:v>
                </c:pt>
                <c:pt idx="3139">
                  <c:v>61332</c:v>
                </c:pt>
                <c:pt idx="3140">
                  <c:v>61339</c:v>
                </c:pt>
                <c:pt idx="3141">
                  <c:v>61346</c:v>
                </c:pt>
                <c:pt idx="3142">
                  <c:v>61353</c:v>
                </c:pt>
                <c:pt idx="3143">
                  <c:v>61360</c:v>
                </c:pt>
                <c:pt idx="3144">
                  <c:v>61367</c:v>
                </c:pt>
                <c:pt idx="3145">
                  <c:v>61374</c:v>
                </c:pt>
                <c:pt idx="3146">
                  <c:v>61381</c:v>
                </c:pt>
                <c:pt idx="3147">
                  <c:v>61388</c:v>
                </c:pt>
                <c:pt idx="3148">
                  <c:v>61395</c:v>
                </c:pt>
                <c:pt idx="3149">
                  <c:v>61402</c:v>
                </c:pt>
                <c:pt idx="3150">
                  <c:v>61409</c:v>
                </c:pt>
                <c:pt idx="3151">
                  <c:v>61416</c:v>
                </c:pt>
                <c:pt idx="3152">
                  <c:v>61423</c:v>
                </c:pt>
                <c:pt idx="3153">
                  <c:v>61430</c:v>
                </c:pt>
                <c:pt idx="3154">
                  <c:v>61437</c:v>
                </c:pt>
                <c:pt idx="3155">
                  <c:v>61444</c:v>
                </c:pt>
                <c:pt idx="3156">
                  <c:v>61451</c:v>
                </c:pt>
                <c:pt idx="3157">
                  <c:v>61458</c:v>
                </c:pt>
                <c:pt idx="3158">
                  <c:v>61465</c:v>
                </c:pt>
                <c:pt idx="3159">
                  <c:v>61472</c:v>
                </c:pt>
                <c:pt idx="3160">
                  <c:v>61479</c:v>
                </c:pt>
                <c:pt idx="3161">
                  <c:v>61487</c:v>
                </c:pt>
                <c:pt idx="3162">
                  <c:v>61494</c:v>
                </c:pt>
                <c:pt idx="3163">
                  <c:v>61501</c:v>
                </c:pt>
                <c:pt idx="3164">
                  <c:v>61508</c:v>
                </c:pt>
                <c:pt idx="3165">
                  <c:v>61518</c:v>
                </c:pt>
                <c:pt idx="3166">
                  <c:v>61522</c:v>
                </c:pt>
                <c:pt idx="3167">
                  <c:v>61529</c:v>
                </c:pt>
                <c:pt idx="3168">
                  <c:v>61539</c:v>
                </c:pt>
                <c:pt idx="3169">
                  <c:v>61543</c:v>
                </c:pt>
                <c:pt idx="3170">
                  <c:v>61550</c:v>
                </c:pt>
                <c:pt idx="3171">
                  <c:v>61557</c:v>
                </c:pt>
                <c:pt idx="3172">
                  <c:v>61564</c:v>
                </c:pt>
                <c:pt idx="3173">
                  <c:v>61571</c:v>
                </c:pt>
                <c:pt idx="3174">
                  <c:v>61578</c:v>
                </c:pt>
                <c:pt idx="3175">
                  <c:v>61585</c:v>
                </c:pt>
                <c:pt idx="3176">
                  <c:v>61592</c:v>
                </c:pt>
                <c:pt idx="3177">
                  <c:v>61599</c:v>
                </c:pt>
                <c:pt idx="3178">
                  <c:v>61606</c:v>
                </c:pt>
                <c:pt idx="3179">
                  <c:v>61613</c:v>
                </c:pt>
                <c:pt idx="3180">
                  <c:v>61620</c:v>
                </c:pt>
                <c:pt idx="3181">
                  <c:v>61627</c:v>
                </c:pt>
                <c:pt idx="3182">
                  <c:v>61634</c:v>
                </c:pt>
                <c:pt idx="3183">
                  <c:v>61641</c:v>
                </c:pt>
                <c:pt idx="3184">
                  <c:v>61648</c:v>
                </c:pt>
                <c:pt idx="3185">
                  <c:v>61655</c:v>
                </c:pt>
                <c:pt idx="3186">
                  <c:v>61662</c:v>
                </c:pt>
                <c:pt idx="3187">
                  <c:v>61669</c:v>
                </c:pt>
                <c:pt idx="3188">
                  <c:v>61676</c:v>
                </c:pt>
                <c:pt idx="3189">
                  <c:v>61683</c:v>
                </c:pt>
                <c:pt idx="3190">
                  <c:v>61690</c:v>
                </c:pt>
                <c:pt idx="3191">
                  <c:v>61697</c:v>
                </c:pt>
                <c:pt idx="3192">
                  <c:v>61704</c:v>
                </c:pt>
                <c:pt idx="3193">
                  <c:v>61711</c:v>
                </c:pt>
                <c:pt idx="3194">
                  <c:v>61718</c:v>
                </c:pt>
                <c:pt idx="3195">
                  <c:v>61730</c:v>
                </c:pt>
                <c:pt idx="3196">
                  <c:v>61735</c:v>
                </c:pt>
                <c:pt idx="3197">
                  <c:v>61742</c:v>
                </c:pt>
                <c:pt idx="3198">
                  <c:v>61749</c:v>
                </c:pt>
                <c:pt idx="3199">
                  <c:v>61756</c:v>
                </c:pt>
                <c:pt idx="3200">
                  <c:v>61763</c:v>
                </c:pt>
                <c:pt idx="3201">
                  <c:v>61770</c:v>
                </c:pt>
                <c:pt idx="3202">
                  <c:v>61777</c:v>
                </c:pt>
                <c:pt idx="3203">
                  <c:v>61784</c:v>
                </c:pt>
                <c:pt idx="3204">
                  <c:v>61791</c:v>
                </c:pt>
                <c:pt idx="3205">
                  <c:v>61798</c:v>
                </c:pt>
                <c:pt idx="3206">
                  <c:v>61805</c:v>
                </c:pt>
                <c:pt idx="3207">
                  <c:v>61812</c:v>
                </c:pt>
                <c:pt idx="3208">
                  <c:v>61819</c:v>
                </c:pt>
                <c:pt idx="3209">
                  <c:v>61826</c:v>
                </c:pt>
                <c:pt idx="3210">
                  <c:v>61835</c:v>
                </c:pt>
                <c:pt idx="3211">
                  <c:v>61840</c:v>
                </c:pt>
                <c:pt idx="3212">
                  <c:v>61847</c:v>
                </c:pt>
                <c:pt idx="3213">
                  <c:v>61854</c:v>
                </c:pt>
                <c:pt idx="3214">
                  <c:v>61861</c:v>
                </c:pt>
                <c:pt idx="3215">
                  <c:v>61868</c:v>
                </c:pt>
                <c:pt idx="3216">
                  <c:v>61876</c:v>
                </c:pt>
                <c:pt idx="3217">
                  <c:v>61884</c:v>
                </c:pt>
                <c:pt idx="3218">
                  <c:v>61890</c:v>
                </c:pt>
                <c:pt idx="3219">
                  <c:v>61897</c:v>
                </c:pt>
                <c:pt idx="3220">
                  <c:v>61905</c:v>
                </c:pt>
                <c:pt idx="3221">
                  <c:v>61912</c:v>
                </c:pt>
                <c:pt idx="3222">
                  <c:v>61919</c:v>
                </c:pt>
                <c:pt idx="3223">
                  <c:v>61926</c:v>
                </c:pt>
                <c:pt idx="3224">
                  <c:v>61933</c:v>
                </c:pt>
                <c:pt idx="3225">
                  <c:v>61940</c:v>
                </c:pt>
                <c:pt idx="3226">
                  <c:v>61947</c:v>
                </c:pt>
                <c:pt idx="3227">
                  <c:v>61954</c:v>
                </c:pt>
                <c:pt idx="3228">
                  <c:v>61961</c:v>
                </c:pt>
                <c:pt idx="3229">
                  <c:v>61968</c:v>
                </c:pt>
                <c:pt idx="3230">
                  <c:v>61975</c:v>
                </c:pt>
                <c:pt idx="3231">
                  <c:v>61982</c:v>
                </c:pt>
                <c:pt idx="3232">
                  <c:v>61989</c:v>
                </c:pt>
                <c:pt idx="3233">
                  <c:v>61996</c:v>
                </c:pt>
                <c:pt idx="3234">
                  <c:v>62003</c:v>
                </c:pt>
                <c:pt idx="3235">
                  <c:v>62010</c:v>
                </c:pt>
                <c:pt idx="3236">
                  <c:v>62017</c:v>
                </c:pt>
                <c:pt idx="3237">
                  <c:v>62024</c:v>
                </c:pt>
                <c:pt idx="3238">
                  <c:v>62031</c:v>
                </c:pt>
                <c:pt idx="3239">
                  <c:v>62038</c:v>
                </c:pt>
                <c:pt idx="3240">
                  <c:v>62045</c:v>
                </c:pt>
                <c:pt idx="3241">
                  <c:v>62052</c:v>
                </c:pt>
                <c:pt idx="3242">
                  <c:v>62059</c:v>
                </c:pt>
                <c:pt idx="3243">
                  <c:v>62066</c:v>
                </c:pt>
                <c:pt idx="3244">
                  <c:v>62073</c:v>
                </c:pt>
                <c:pt idx="3245">
                  <c:v>62080</c:v>
                </c:pt>
                <c:pt idx="3246">
                  <c:v>62092</c:v>
                </c:pt>
                <c:pt idx="3247">
                  <c:v>62096</c:v>
                </c:pt>
                <c:pt idx="3248">
                  <c:v>62102</c:v>
                </c:pt>
                <c:pt idx="3249">
                  <c:v>62109</c:v>
                </c:pt>
                <c:pt idx="3250">
                  <c:v>62116</c:v>
                </c:pt>
                <c:pt idx="3251">
                  <c:v>62123</c:v>
                </c:pt>
                <c:pt idx="3252">
                  <c:v>62130</c:v>
                </c:pt>
                <c:pt idx="3253">
                  <c:v>62137</c:v>
                </c:pt>
                <c:pt idx="3254">
                  <c:v>62144</c:v>
                </c:pt>
                <c:pt idx="3255">
                  <c:v>62151</c:v>
                </c:pt>
                <c:pt idx="3256">
                  <c:v>62158</c:v>
                </c:pt>
                <c:pt idx="3257">
                  <c:v>62165</c:v>
                </c:pt>
                <c:pt idx="3258">
                  <c:v>62172</c:v>
                </c:pt>
                <c:pt idx="3259">
                  <c:v>62179</c:v>
                </c:pt>
                <c:pt idx="3260">
                  <c:v>62186</c:v>
                </c:pt>
                <c:pt idx="3261">
                  <c:v>62193</c:v>
                </c:pt>
                <c:pt idx="3262">
                  <c:v>62200</c:v>
                </c:pt>
                <c:pt idx="3263">
                  <c:v>62207</c:v>
                </c:pt>
                <c:pt idx="3264">
                  <c:v>62215</c:v>
                </c:pt>
                <c:pt idx="3265">
                  <c:v>62222</c:v>
                </c:pt>
                <c:pt idx="3266">
                  <c:v>62228</c:v>
                </c:pt>
                <c:pt idx="3267">
                  <c:v>62235</c:v>
                </c:pt>
                <c:pt idx="3268">
                  <c:v>62242</c:v>
                </c:pt>
                <c:pt idx="3269">
                  <c:v>62249</c:v>
                </c:pt>
                <c:pt idx="3270">
                  <c:v>62256</c:v>
                </c:pt>
                <c:pt idx="3271">
                  <c:v>62263</c:v>
                </c:pt>
                <c:pt idx="3272">
                  <c:v>62270</c:v>
                </c:pt>
                <c:pt idx="3273">
                  <c:v>62277</c:v>
                </c:pt>
                <c:pt idx="3274">
                  <c:v>62284</c:v>
                </c:pt>
                <c:pt idx="3275">
                  <c:v>62291</c:v>
                </c:pt>
                <c:pt idx="3276">
                  <c:v>62298</c:v>
                </c:pt>
                <c:pt idx="3277">
                  <c:v>62305</c:v>
                </c:pt>
                <c:pt idx="3278">
                  <c:v>62312</c:v>
                </c:pt>
                <c:pt idx="3279">
                  <c:v>62319</c:v>
                </c:pt>
                <c:pt idx="3280">
                  <c:v>62326</c:v>
                </c:pt>
                <c:pt idx="3281">
                  <c:v>62333</c:v>
                </c:pt>
                <c:pt idx="3282">
                  <c:v>62340</c:v>
                </c:pt>
                <c:pt idx="3283">
                  <c:v>62347</c:v>
                </c:pt>
                <c:pt idx="3284">
                  <c:v>62354</c:v>
                </c:pt>
                <c:pt idx="3285">
                  <c:v>62361</c:v>
                </c:pt>
                <c:pt idx="3286">
                  <c:v>62368</c:v>
                </c:pt>
                <c:pt idx="3287">
                  <c:v>62375</c:v>
                </c:pt>
                <c:pt idx="3288">
                  <c:v>62382</c:v>
                </c:pt>
                <c:pt idx="3289">
                  <c:v>62389</c:v>
                </c:pt>
                <c:pt idx="3290">
                  <c:v>62396</c:v>
                </c:pt>
                <c:pt idx="3291">
                  <c:v>62403</c:v>
                </c:pt>
                <c:pt idx="3292">
                  <c:v>62410</c:v>
                </c:pt>
                <c:pt idx="3293">
                  <c:v>62417</c:v>
                </c:pt>
                <c:pt idx="3294">
                  <c:v>62424</c:v>
                </c:pt>
                <c:pt idx="3295">
                  <c:v>62431</c:v>
                </c:pt>
                <c:pt idx="3296">
                  <c:v>62438</c:v>
                </c:pt>
                <c:pt idx="3297">
                  <c:v>62445</c:v>
                </c:pt>
                <c:pt idx="3298">
                  <c:v>62457</c:v>
                </c:pt>
                <c:pt idx="3299">
                  <c:v>62463</c:v>
                </c:pt>
                <c:pt idx="3300">
                  <c:v>62467</c:v>
                </c:pt>
                <c:pt idx="3301">
                  <c:v>62474</c:v>
                </c:pt>
                <c:pt idx="3302">
                  <c:v>62481</c:v>
                </c:pt>
                <c:pt idx="3303">
                  <c:v>62488</c:v>
                </c:pt>
                <c:pt idx="3304">
                  <c:v>62495</c:v>
                </c:pt>
                <c:pt idx="3305">
                  <c:v>62502</c:v>
                </c:pt>
                <c:pt idx="3306">
                  <c:v>62509</c:v>
                </c:pt>
                <c:pt idx="3307">
                  <c:v>62516</c:v>
                </c:pt>
                <c:pt idx="3308">
                  <c:v>62523</c:v>
                </c:pt>
                <c:pt idx="3309">
                  <c:v>62530</c:v>
                </c:pt>
                <c:pt idx="3310">
                  <c:v>62537</c:v>
                </c:pt>
                <c:pt idx="3311">
                  <c:v>62544</c:v>
                </c:pt>
                <c:pt idx="3312">
                  <c:v>62551</c:v>
                </c:pt>
                <c:pt idx="3313">
                  <c:v>62558</c:v>
                </c:pt>
                <c:pt idx="3314">
                  <c:v>62569</c:v>
                </c:pt>
                <c:pt idx="3315">
                  <c:v>62572</c:v>
                </c:pt>
                <c:pt idx="3316">
                  <c:v>62582</c:v>
                </c:pt>
                <c:pt idx="3317">
                  <c:v>62586</c:v>
                </c:pt>
                <c:pt idx="3318">
                  <c:v>62593</c:v>
                </c:pt>
                <c:pt idx="3319">
                  <c:v>62600</c:v>
                </c:pt>
                <c:pt idx="3320">
                  <c:v>62610</c:v>
                </c:pt>
                <c:pt idx="3321">
                  <c:v>62614</c:v>
                </c:pt>
                <c:pt idx="3322">
                  <c:v>62621</c:v>
                </c:pt>
                <c:pt idx="3323">
                  <c:v>62631</c:v>
                </c:pt>
                <c:pt idx="3324">
                  <c:v>62635</c:v>
                </c:pt>
                <c:pt idx="3325">
                  <c:v>62642</c:v>
                </c:pt>
                <c:pt idx="3326">
                  <c:v>62649</c:v>
                </c:pt>
                <c:pt idx="3327">
                  <c:v>62656</c:v>
                </c:pt>
                <c:pt idx="3328">
                  <c:v>62663</c:v>
                </c:pt>
                <c:pt idx="3329">
                  <c:v>62670</c:v>
                </c:pt>
                <c:pt idx="3330">
                  <c:v>62677</c:v>
                </c:pt>
                <c:pt idx="3331">
                  <c:v>62684</c:v>
                </c:pt>
                <c:pt idx="3332">
                  <c:v>62691</c:v>
                </c:pt>
                <c:pt idx="3333">
                  <c:v>62698</c:v>
                </c:pt>
                <c:pt idx="3334">
                  <c:v>62705</c:v>
                </c:pt>
                <c:pt idx="3335">
                  <c:v>62712</c:v>
                </c:pt>
                <c:pt idx="3336">
                  <c:v>62719</c:v>
                </c:pt>
                <c:pt idx="3337">
                  <c:v>62726</c:v>
                </c:pt>
                <c:pt idx="3338">
                  <c:v>62733</c:v>
                </c:pt>
                <c:pt idx="3339">
                  <c:v>62740</c:v>
                </c:pt>
                <c:pt idx="3340">
                  <c:v>62747</c:v>
                </c:pt>
                <c:pt idx="3341">
                  <c:v>62754</c:v>
                </c:pt>
                <c:pt idx="3342">
                  <c:v>62761</c:v>
                </c:pt>
                <c:pt idx="3343">
                  <c:v>62768</c:v>
                </c:pt>
                <c:pt idx="3344">
                  <c:v>62775</c:v>
                </c:pt>
                <c:pt idx="3345">
                  <c:v>62782</c:v>
                </c:pt>
                <c:pt idx="3346">
                  <c:v>62789</c:v>
                </c:pt>
                <c:pt idx="3347">
                  <c:v>62796</c:v>
                </c:pt>
                <c:pt idx="3348">
                  <c:v>62803</c:v>
                </c:pt>
                <c:pt idx="3349">
                  <c:v>62810</c:v>
                </c:pt>
                <c:pt idx="3350">
                  <c:v>62821</c:v>
                </c:pt>
                <c:pt idx="3351">
                  <c:v>62828</c:v>
                </c:pt>
                <c:pt idx="3352">
                  <c:v>62834</c:v>
                </c:pt>
                <c:pt idx="3353">
                  <c:v>62841</c:v>
                </c:pt>
                <c:pt idx="3354">
                  <c:v>62848</c:v>
                </c:pt>
                <c:pt idx="3355">
                  <c:v>62855</c:v>
                </c:pt>
                <c:pt idx="3356">
                  <c:v>62862</c:v>
                </c:pt>
                <c:pt idx="3357">
                  <c:v>62869</c:v>
                </c:pt>
                <c:pt idx="3358">
                  <c:v>62876</c:v>
                </c:pt>
                <c:pt idx="3359">
                  <c:v>62883</c:v>
                </c:pt>
                <c:pt idx="3360">
                  <c:v>62890</c:v>
                </c:pt>
                <c:pt idx="3361">
                  <c:v>62897</c:v>
                </c:pt>
                <c:pt idx="3362">
                  <c:v>62904</c:v>
                </c:pt>
                <c:pt idx="3363">
                  <c:v>62911</c:v>
                </c:pt>
                <c:pt idx="3364">
                  <c:v>62918</c:v>
                </c:pt>
                <c:pt idx="3365">
                  <c:v>62927</c:v>
                </c:pt>
                <c:pt idx="3366">
                  <c:v>62932</c:v>
                </c:pt>
                <c:pt idx="3367">
                  <c:v>62939</c:v>
                </c:pt>
                <c:pt idx="3368">
                  <c:v>62946</c:v>
                </c:pt>
                <c:pt idx="3369">
                  <c:v>62953</c:v>
                </c:pt>
                <c:pt idx="3370">
                  <c:v>62960</c:v>
                </c:pt>
                <c:pt idx="3371">
                  <c:v>62968</c:v>
                </c:pt>
                <c:pt idx="3372">
                  <c:v>62976</c:v>
                </c:pt>
                <c:pt idx="3373">
                  <c:v>62982</c:v>
                </c:pt>
                <c:pt idx="3374">
                  <c:v>62989</c:v>
                </c:pt>
                <c:pt idx="3375">
                  <c:v>62996</c:v>
                </c:pt>
                <c:pt idx="3376">
                  <c:v>63004</c:v>
                </c:pt>
                <c:pt idx="3377">
                  <c:v>63011</c:v>
                </c:pt>
                <c:pt idx="3378">
                  <c:v>63018</c:v>
                </c:pt>
                <c:pt idx="3379">
                  <c:v>63025</c:v>
                </c:pt>
                <c:pt idx="3380">
                  <c:v>63032</c:v>
                </c:pt>
                <c:pt idx="3381">
                  <c:v>63039</c:v>
                </c:pt>
                <c:pt idx="3382">
                  <c:v>63046</c:v>
                </c:pt>
                <c:pt idx="3383">
                  <c:v>63053</c:v>
                </c:pt>
                <c:pt idx="3384">
                  <c:v>63060</c:v>
                </c:pt>
                <c:pt idx="3385">
                  <c:v>63067</c:v>
                </c:pt>
                <c:pt idx="3386">
                  <c:v>63074</c:v>
                </c:pt>
                <c:pt idx="3387">
                  <c:v>63081</c:v>
                </c:pt>
                <c:pt idx="3388">
                  <c:v>63088</c:v>
                </c:pt>
                <c:pt idx="3389">
                  <c:v>63095</c:v>
                </c:pt>
                <c:pt idx="3390">
                  <c:v>63102</c:v>
                </c:pt>
                <c:pt idx="3391">
                  <c:v>63109</c:v>
                </c:pt>
                <c:pt idx="3392">
                  <c:v>63116</c:v>
                </c:pt>
                <c:pt idx="3393">
                  <c:v>63123</c:v>
                </c:pt>
                <c:pt idx="3394">
                  <c:v>63130</c:v>
                </c:pt>
                <c:pt idx="3395">
                  <c:v>63137</c:v>
                </c:pt>
                <c:pt idx="3396">
                  <c:v>63144</c:v>
                </c:pt>
                <c:pt idx="3397">
                  <c:v>63151</c:v>
                </c:pt>
                <c:pt idx="3398">
                  <c:v>63158</c:v>
                </c:pt>
                <c:pt idx="3399">
                  <c:v>63165</c:v>
                </c:pt>
                <c:pt idx="3400">
                  <c:v>63172</c:v>
                </c:pt>
                <c:pt idx="3401">
                  <c:v>63179</c:v>
                </c:pt>
                <c:pt idx="3402">
                  <c:v>63187</c:v>
                </c:pt>
                <c:pt idx="3403">
                  <c:v>63194</c:v>
                </c:pt>
                <c:pt idx="3404">
                  <c:v>63201</c:v>
                </c:pt>
                <c:pt idx="3405">
                  <c:v>63208</c:v>
                </c:pt>
                <c:pt idx="3406">
                  <c:v>63215</c:v>
                </c:pt>
                <c:pt idx="3407">
                  <c:v>63222</c:v>
                </c:pt>
                <c:pt idx="3408">
                  <c:v>63229</c:v>
                </c:pt>
                <c:pt idx="3409">
                  <c:v>63236</c:v>
                </c:pt>
                <c:pt idx="3410">
                  <c:v>63243</c:v>
                </c:pt>
                <c:pt idx="3411">
                  <c:v>63250</c:v>
                </c:pt>
                <c:pt idx="3412">
                  <c:v>63257</c:v>
                </c:pt>
                <c:pt idx="3413">
                  <c:v>63264</c:v>
                </c:pt>
                <c:pt idx="3414">
                  <c:v>63271</c:v>
                </c:pt>
                <c:pt idx="3415">
                  <c:v>63278</c:v>
                </c:pt>
                <c:pt idx="3416">
                  <c:v>63285</c:v>
                </c:pt>
                <c:pt idx="3417">
                  <c:v>63292</c:v>
                </c:pt>
                <c:pt idx="3418">
                  <c:v>63299</c:v>
                </c:pt>
                <c:pt idx="3419">
                  <c:v>63306</c:v>
                </c:pt>
                <c:pt idx="3420">
                  <c:v>63314</c:v>
                </c:pt>
                <c:pt idx="3421">
                  <c:v>63320</c:v>
                </c:pt>
                <c:pt idx="3422">
                  <c:v>63327</c:v>
                </c:pt>
                <c:pt idx="3423">
                  <c:v>63334</c:v>
                </c:pt>
                <c:pt idx="3424">
                  <c:v>63341</c:v>
                </c:pt>
                <c:pt idx="3425">
                  <c:v>63348</c:v>
                </c:pt>
                <c:pt idx="3426">
                  <c:v>63355</c:v>
                </c:pt>
                <c:pt idx="3427">
                  <c:v>63362</c:v>
                </c:pt>
                <c:pt idx="3428">
                  <c:v>63369</c:v>
                </c:pt>
                <c:pt idx="3429">
                  <c:v>63376</c:v>
                </c:pt>
                <c:pt idx="3430">
                  <c:v>63383</c:v>
                </c:pt>
                <c:pt idx="3431">
                  <c:v>63390</c:v>
                </c:pt>
                <c:pt idx="3432">
                  <c:v>63397</c:v>
                </c:pt>
                <c:pt idx="3433">
                  <c:v>63404</c:v>
                </c:pt>
                <c:pt idx="3434">
                  <c:v>63411</c:v>
                </c:pt>
                <c:pt idx="3435">
                  <c:v>63418</c:v>
                </c:pt>
                <c:pt idx="3436">
                  <c:v>63425</c:v>
                </c:pt>
                <c:pt idx="3437">
                  <c:v>63432</c:v>
                </c:pt>
                <c:pt idx="3438">
                  <c:v>63439</c:v>
                </c:pt>
                <c:pt idx="3439">
                  <c:v>63446</c:v>
                </c:pt>
                <c:pt idx="3440">
                  <c:v>63453</c:v>
                </c:pt>
                <c:pt idx="3441">
                  <c:v>63460</c:v>
                </c:pt>
                <c:pt idx="3442">
                  <c:v>63467</c:v>
                </c:pt>
                <c:pt idx="3443">
                  <c:v>63474</c:v>
                </c:pt>
                <c:pt idx="3444">
                  <c:v>63481</c:v>
                </c:pt>
                <c:pt idx="3445">
                  <c:v>63488</c:v>
                </c:pt>
                <c:pt idx="3446">
                  <c:v>63495</c:v>
                </c:pt>
                <c:pt idx="3447">
                  <c:v>63502</c:v>
                </c:pt>
                <c:pt idx="3448">
                  <c:v>63509</c:v>
                </c:pt>
                <c:pt idx="3449">
                  <c:v>63516</c:v>
                </c:pt>
                <c:pt idx="3450">
                  <c:v>63523</c:v>
                </c:pt>
                <c:pt idx="3451">
                  <c:v>63530</c:v>
                </c:pt>
                <c:pt idx="3452">
                  <c:v>63537</c:v>
                </c:pt>
                <c:pt idx="3453">
                  <c:v>63544</c:v>
                </c:pt>
                <c:pt idx="3454">
                  <c:v>63552</c:v>
                </c:pt>
                <c:pt idx="3455">
                  <c:v>63559</c:v>
                </c:pt>
                <c:pt idx="3456">
                  <c:v>63566</c:v>
                </c:pt>
                <c:pt idx="3457">
                  <c:v>63573</c:v>
                </c:pt>
                <c:pt idx="3458">
                  <c:v>63580</c:v>
                </c:pt>
                <c:pt idx="3459">
                  <c:v>63587</c:v>
                </c:pt>
                <c:pt idx="3460">
                  <c:v>63594</c:v>
                </c:pt>
                <c:pt idx="3461">
                  <c:v>63601</c:v>
                </c:pt>
                <c:pt idx="3462">
                  <c:v>63608</c:v>
                </c:pt>
                <c:pt idx="3463">
                  <c:v>63615</c:v>
                </c:pt>
                <c:pt idx="3464">
                  <c:v>63622</c:v>
                </c:pt>
                <c:pt idx="3465">
                  <c:v>63629</c:v>
                </c:pt>
                <c:pt idx="3466">
                  <c:v>63636</c:v>
                </c:pt>
                <c:pt idx="3467">
                  <c:v>63643</c:v>
                </c:pt>
                <c:pt idx="3468">
                  <c:v>63650</c:v>
                </c:pt>
                <c:pt idx="3469">
                  <c:v>63661</c:v>
                </c:pt>
                <c:pt idx="3470">
                  <c:v>63664</c:v>
                </c:pt>
                <c:pt idx="3471">
                  <c:v>63671</c:v>
                </c:pt>
                <c:pt idx="3472">
                  <c:v>63678</c:v>
                </c:pt>
                <c:pt idx="3473">
                  <c:v>63685</c:v>
                </c:pt>
                <c:pt idx="3474">
                  <c:v>63692</c:v>
                </c:pt>
                <c:pt idx="3475">
                  <c:v>63702</c:v>
                </c:pt>
                <c:pt idx="3476">
                  <c:v>63706</c:v>
                </c:pt>
                <c:pt idx="3477">
                  <c:v>63713</c:v>
                </c:pt>
                <c:pt idx="3478">
                  <c:v>63720</c:v>
                </c:pt>
                <c:pt idx="3479">
                  <c:v>63730</c:v>
                </c:pt>
                <c:pt idx="3480">
                  <c:v>63734</c:v>
                </c:pt>
                <c:pt idx="3481">
                  <c:v>63741</c:v>
                </c:pt>
                <c:pt idx="3482">
                  <c:v>63748</c:v>
                </c:pt>
                <c:pt idx="3483">
                  <c:v>63755</c:v>
                </c:pt>
                <c:pt idx="3484">
                  <c:v>63762</c:v>
                </c:pt>
                <c:pt idx="3485">
                  <c:v>63769</c:v>
                </c:pt>
                <c:pt idx="3486">
                  <c:v>63776</c:v>
                </c:pt>
                <c:pt idx="3487">
                  <c:v>63783</c:v>
                </c:pt>
                <c:pt idx="3488">
                  <c:v>63790</c:v>
                </c:pt>
                <c:pt idx="3489">
                  <c:v>63797</c:v>
                </c:pt>
                <c:pt idx="3490">
                  <c:v>63804</c:v>
                </c:pt>
                <c:pt idx="3491">
                  <c:v>63811</c:v>
                </c:pt>
                <c:pt idx="3492">
                  <c:v>63818</c:v>
                </c:pt>
                <c:pt idx="3493">
                  <c:v>63825</c:v>
                </c:pt>
                <c:pt idx="3494">
                  <c:v>63832</c:v>
                </c:pt>
                <c:pt idx="3495">
                  <c:v>63839</c:v>
                </c:pt>
                <c:pt idx="3496">
                  <c:v>63846</c:v>
                </c:pt>
                <c:pt idx="3497">
                  <c:v>63853</c:v>
                </c:pt>
                <c:pt idx="3498">
                  <c:v>63860</c:v>
                </c:pt>
                <c:pt idx="3499">
                  <c:v>63867</c:v>
                </c:pt>
                <c:pt idx="3500">
                  <c:v>63874</c:v>
                </c:pt>
                <c:pt idx="3501">
                  <c:v>63881</c:v>
                </c:pt>
                <c:pt idx="3502">
                  <c:v>63888</c:v>
                </c:pt>
                <c:pt idx="3503">
                  <c:v>63895</c:v>
                </c:pt>
                <c:pt idx="3504">
                  <c:v>63902</c:v>
                </c:pt>
                <c:pt idx="3505">
                  <c:v>63909</c:v>
                </c:pt>
                <c:pt idx="3506">
                  <c:v>63921</c:v>
                </c:pt>
                <c:pt idx="3507">
                  <c:v>63926</c:v>
                </c:pt>
                <c:pt idx="3508">
                  <c:v>63933</c:v>
                </c:pt>
                <c:pt idx="3509">
                  <c:v>63940</c:v>
                </c:pt>
                <c:pt idx="3510">
                  <c:v>63947</c:v>
                </c:pt>
                <c:pt idx="3511">
                  <c:v>63954</c:v>
                </c:pt>
                <c:pt idx="3512">
                  <c:v>63961</c:v>
                </c:pt>
                <c:pt idx="3513">
                  <c:v>63968</c:v>
                </c:pt>
                <c:pt idx="3514">
                  <c:v>63975</c:v>
                </c:pt>
                <c:pt idx="3515">
                  <c:v>63982</c:v>
                </c:pt>
                <c:pt idx="3516">
                  <c:v>63989</c:v>
                </c:pt>
                <c:pt idx="3517">
                  <c:v>63996</c:v>
                </c:pt>
                <c:pt idx="3518">
                  <c:v>64003</c:v>
                </c:pt>
                <c:pt idx="3519">
                  <c:v>64010</c:v>
                </c:pt>
                <c:pt idx="3520">
                  <c:v>64019</c:v>
                </c:pt>
                <c:pt idx="3521">
                  <c:v>64024</c:v>
                </c:pt>
                <c:pt idx="3522">
                  <c:v>64031</c:v>
                </c:pt>
                <c:pt idx="3523">
                  <c:v>64038</c:v>
                </c:pt>
                <c:pt idx="3524">
                  <c:v>64045</c:v>
                </c:pt>
                <c:pt idx="3525">
                  <c:v>64052</c:v>
                </c:pt>
                <c:pt idx="3526">
                  <c:v>64060</c:v>
                </c:pt>
                <c:pt idx="3527">
                  <c:v>64068</c:v>
                </c:pt>
                <c:pt idx="3528">
                  <c:v>64074</c:v>
                </c:pt>
                <c:pt idx="3529">
                  <c:v>64081</c:v>
                </c:pt>
                <c:pt idx="3530">
                  <c:v>64088</c:v>
                </c:pt>
                <c:pt idx="3531">
                  <c:v>64096</c:v>
                </c:pt>
                <c:pt idx="3532">
                  <c:v>64103</c:v>
                </c:pt>
                <c:pt idx="3533">
                  <c:v>64110</c:v>
                </c:pt>
              </c:numCache>
            </c:numRef>
          </c:cat>
          <c:val>
            <c:numRef>
              <c:f>Monitor!$R$19:$R$3552</c:f>
              <c:numCache>
                <c:formatCode>0.0000%</c:formatCode>
                <c:ptCount val="3534"/>
                <c:pt idx="0">
                  <c:v>-2.6622185117997077E-3</c:v>
                </c:pt>
                <c:pt idx="1">
                  <c:v>-2.6617586450150554E-3</c:v>
                </c:pt>
                <c:pt idx="2">
                  <c:v>-2.6598130553157073E-3</c:v>
                </c:pt>
                <c:pt idx="3">
                  <c:v>-2.6571879175385504E-3</c:v>
                </c:pt>
                <c:pt idx="4">
                  <c:v>-2.655975960124124E-3</c:v>
                </c:pt>
                <c:pt idx="5">
                  <c:v>-2.6547783568675598E-3</c:v>
                </c:pt>
                <c:pt idx="6">
                  <c:v>-2.6524114544468347E-3</c:v>
                </c:pt>
                <c:pt idx="7">
                  <c:v>-2.6499989384864975E-3</c:v>
                </c:pt>
                <c:pt idx="8">
                  <c:v>-2.6480778306536834E-3</c:v>
                </c:pt>
                <c:pt idx="9">
                  <c:v>-2.6453758017730422E-3</c:v>
                </c:pt>
                <c:pt idx="10">
                  <c:v>-2.6418928518845419E-3</c:v>
                </c:pt>
                <c:pt idx="11">
                  <c:v>-2.6323046348508683E-3</c:v>
                </c:pt>
                <c:pt idx="12">
                  <c:v>-2.6205293753367442E-3</c:v>
                </c:pt>
                <c:pt idx="13">
                  <c:v>-2.6154070167994092E-3</c:v>
                </c:pt>
                <c:pt idx="14">
                  <c:v>-2.6117689336446759E-3</c:v>
                </c:pt>
                <c:pt idx="15">
                  <c:v>-2.6096151259924483E-3</c:v>
                </c:pt>
                <c:pt idx="16">
                  <c:v>-2.6102361693292053E-3</c:v>
                </c:pt>
                <c:pt idx="17">
                  <c:v>-2.6158426498890108E-3</c:v>
                </c:pt>
                <c:pt idx="18">
                  <c:v>-2.6211102194295677E-3</c:v>
                </c:pt>
                <c:pt idx="19">
                  <c:v>-2.6278620643527262E-3</c:v>
                </c:pt>
                <c:pt idx="20">
                  <c:v>-2.6480618412438872E-3</c:v>
                </c:pt>
                <c:pt idx="21">
                  <c:v>-2.6683609419642096E-3</c:v>
                </c:pt>
                <c:pt idx="22">
                  <c:v>-2.6763834502618877E-3</c:v>
                </c:pt>
                <c:pt idx="23">
                  <c:v>-2.6843632364537129E-3</c:v>
                </c:pt>
                <c:pt idx="24">
                  <c:v>-2.6923003000201007E-3</c:v>
                </c:pt>
                <c:pt idx="25">
                  <c:v>-2.7080116490951767E-3</c:v>
                </c:pt>
                <c:pt idx="26">
                  <c:v>-2.7236213314285607E-3</c:v>
                </c:pt>
                <c:pt idx="27">
                  <c:v>-2.7313447835064508E-3</c:v>
                </c:pt>
                <c:pt idx="28">
                  <c:v>-2.7390255131187757E-3</c:v>
                </c:pt>
                <c:pt idx="29">
                  <c:v>-2.7466635205053436E-3</c:v>
                </c:pt>
                <c:pt idx="30">
                  <c:v>-2.761775940034461E-3</c:v>
                </c:pt>
                <c:pt idx="31">
                  <c:v>-2.7767883267149074E-3</c:v>
                </c:pt>
                <c:pt idx="32">
                  <c:v>-2.7842127225730096E-3</c:v>
                </c:pt>
                <c:pt idx="33">
                  <c:v>-2.7915943959655465E-3</c:v>
                </c:pt>
                <c:pt idx="34">
                  <c:v>-2.7989333471722944E-3</c:v>
                </c:pt>
                <c:pt idx="35">
                  <c:v>-2.8134468541285429E-3</c:v>
                </c:pt>
                <c:pt idx="36">
                  <c:v>-2.8278619288224505E-3</c:v>
                </c:pt>
                <c:pt idx="37">
                  <c:v>-2.8349872685007327E-3</c:v>
                </c:pt>
                <c:pt idx="38">
                  <c:v>-2.8420698858733218E-3</c:v>
                </c:pt>
                <c:pt idx="39">
                  <c:v>-2.8491097809801857E-3</c:v>
                </c:pt>
                <c:pt idx="40">
                  <c:v>-2.8630243940686029E-3</c:v>
                </c:pt>
                <c:pt idx="41">
                  <c:v>-2.8768421385505505E-3</c:v>
                </c:pt>
                <c:pt idx="42">
                  <c:v>-2.8836684222088849E-3</c:v>
                </c:pt>
                <c:pt idx="43">
                  <c:v>-2.8904519836014941E-3</c:v>
                </c:pt>
                <c:pt idx="44">
                  <c:v>-2.8971928227683463E-3</c:v>
                </c:pt>
                <c:pt idx="45">
                  <c:v>-2.9105085625191762E-3</c:v>
                </c:pt>
                <c:pt idx="46">
                  <c:v>-2.9237289567385361E-3</c:v>
                </c:pt>
                <c:pt idx="47">
                  <c:v>-2.9302561844968267E-3</c:v>
                </c:pt>
                <c:pt idx="48">
                  <c:v>-2.9367406901892323E-3</c:v>
                </c:pt>
                <c:pt idx="49">
                  <c:v>-2.9431824734160728E-3</c:v>
                </c:pt>
                <c:pt idx="50">
                  <c:v>-2.95589936190499E-3</c:v>
                </c:pt>
                <c:pt idx="51">
                  <c:v>-2.9685223842257358E-3</c:v>
                </c:pt>
                <c:pt idx="52">
                  <c:v>-2.9747505562838228E-3</c:v>
                </c:pt>
                <c:pt idx="53">
                  <c:v>-2.9809360061960888E-3</c:v>
                </c:pt>
                <c:pt idx="54">
                  <c:v>-2.9870787337227256E-3</c:v>
                </c:pt>
                <c:pt idx="55">
                  <c:v>-2.9991967945974807E-3</c:v>
                </c:pt>
                <c:pt idx="56">
                  <c:v>-3.0112224218514783E-3</c:v>
                </c:pt>
                <c:pt idx="57">
                  <c:v>-3.0171515383292657E-3</c:v>
                </c:pt>
                <c:pt idx="58">
                  <c:v>-3.0230379325013601E-3</c:v>
                </c:pt>
                <c:pt idx="59">
                  <c:v>-3.0288816045276334E-3</c:v>
                </c:pt>
                <c:pt idx="60">
                  <c:v>-3.0404008628748258E-3</c:v>
                </c:pt>
                <c:pt idx="61">
                  <c:v>-3.05182907029522E-3</c:v>
                </c:pt>
                <c:pt idx="62">
                  <c:v>-3.057459131232676E-3</c:v>
                </c:pt>
                <c:pt idx="63">
                  <c:v>-3.0630464699443749E-3</c:v>
                </c:pt>
                <c:pt idx="64">
                  <c:v>-3.0685910864303168E-3</c:v>
                </c:pt>
                <c:pt idx="65">
                  <c:v>-3.079511568935267E-3</c:v>
                </c:pt>
                <c:pt idx="66">
                  <c:v>-3.0903423302364175E-3</c:v>
                </c:pt>
                <c:pt idx="67">
                  <c:v>-3.0956733358333821E-3</c:v>
                </c:pt>
                <c:pt idx="68">
                  <c:v>-3.1009616190846856E-3</c:v>
                </c:pt>
                <c:pt idx="69">
                  <c:v>-3.1062071801502E-3</c:v>
                </c:pt>
                <c:pt idx="70">
                  <c:v>-3.1165289147505604E-3</c:v>
                </c:pt>
                <c:pt idx="71">
                  <c:v>-3.1267622025543673E-3</c:v>
                </c:pt>
                <c:pt idx="72">
                  <c:v>-3.1317941526909365E-3</c:v>
                </c:pt>
                <c:pt idx="73">
                  <c:v>-3.1367833806017487E-3</c:v>
                </c:pt>
                <c:pt idx="74">
                  <c:v>-3.1417298864067078E-3</c:v>
                </c:pt>
                <c:pt idx="75">
                  <c:v>-3.15145290233243E-3</c:v>
                </c:pt>
                <c:pt idx="76">
                  <c:v>-3.1610886876887179E-3</c:v>
                </c:pt>
                <c:pt idx="77">
                  <c:v>-3.1658215824847957E-3</c:v>
                </c:pt>
                <c:pt idx="78">
                  <c:v>-3.1705117551750206E-3</c:v>
                </c:pt>
                <c:pt idx="79">
                  <c:v>-3.1751592057993605E-3</c:v>
                </c:pt>
                <c:pt idx="80">
                  <c:v>-3.1842835334394692E-3</c:v>
                </c:pt>
                <c:pt idx="81">
                  <c:v>-3.1933217861990215E-3</c:v>
                </c:pt>
                <c:pt idx="82">
                  <c:v>-3.1977556259343842E-3</c:v>
                </c:pt>
                <c:pt idx="83">
                  <c:v>-3.2021467434439899E-3</c:v>
                </c:pt>
                <c:pt idx="84">
                  <c:v>-3.2064951387678065E-3</c:v>
                </c:pt>
                <c:pt idx="85">
                  <c:v>-3.2150208098702393E-3</c:v>
                </c:pt>
                <c:pt idx="86">
                  <c:v>-3.2234614987647348E-3</c:v>
                </c:pt>
                <c:pt idx="87">
                  <c:v>-3.2275962833594463E-3</c:v>
                </c:pt>
                <c:pt idx="88">
                  <c:v>-3.2316883458483048E-3</c:v>
                </c:pt>
                <c:pt idx="89">
                  <c:v>-3.2357376860714382E-3</c:v>
                </c:pt>
                <c:pt idx="90">
                  <c:v>-3.2436647331701707E-3</c:v>
                </c:pt>
                <c:pt idx="91">
                  <c:v>-3.2515078258654739E-3</c:v>
                </c:pt>
                <c:pt idx="92">
                  <c:v>-3.2553435553994703E-3</c:v>
                </c:pt>
                <c:pt idx="93">
                  <c:v>-3.2591365628675817E-3</c:v>
                </c:pt>
                <c:pt idx="94">
                  <c:v>-3.2628868482298401E-3</c:v>
                </c:pt>
                <c:pt idx="95">
                  <c:v>-3.2702153048180804E-3</c:v>
                </c:pt>
                <c:pt idx="96">
                  <c:v>-3.2774607680208234E-3</c:v>
                </c:pt>
                <c:pt idx="97">
                  <c:v>-3.2809974426539767E-3</c:v>
                </c:pt>
                <c:pt idx="98">
                  <c:v>-3.2844913951812771E-3</c:v>
                </c:pt>
                <c:pt idx="99">
                  <c:v>-3.2879426254828203E-3</c:v>
                </c:pt>
                <c:pt idx="100">
                  <c:v>-3.2946725262528176E-3</c:v>
                </c:pt>
                <c:pt idx="101">
                  <c:v>-3.3013203257103996E-3</c:v>
                </c:pt>
                <c:pt idx="102">
                  <c:v>-3.3045579453627738E-3</c:v>
                </c:pt>
                <c:pt idx="103">
                  <c:v>-3.3077528429492631E-3</c:v>
                </c:pt>
                <c:pt idx="104">
                  <c:v>-3.3109050185098354E-3</c:v>
                </c:pt>
                <c:pt idx="105">
                  <c:v>-3.3170363987533591E-3</c:v>
                </c:pt>
                <c:pt idx="106">
                  <c:v>-3.3230864992539466E-3</c:v>
                </c:pt>
                <c:pt idx="107">
                  <c:v>-3.3260250640854139E-3</c:v>
                </c:pt>
                <c:pt idx="108">
                  <c:v>-3.3289209068509962E-3</c:v>
                </c:pt>
                <c:pt idx="109">
                  <c:v>-3.3317740275506935E-3</c:v>
                </c:pt>
                <c:pt idx="110">
                  <c:v>-3.3373069234921005E-3</c:v>
                </c:pt>
                <c:pt idx="111">
                  <c:v>-3.3427592890511448E-3</c:v>
                </c:pt>
                <c:pt idx="112">
                  <c:v>-3.3453987990617051E-3</c:v>
                </c:pt>
                <c:pt idx="113">
                  <c:v>-3.3479955871262845E-3</c:v>
                </c:pt>
                <c:pt idx="114">
                  <c:v>-3.3505496530050749E-3</c:v>
                </c:pt>
                <c:pt idx="115">
                  <c:v>-3.3554841015215331E-3</c:v>
                </c:pt>
                <c:pt idx="116">
                  <c:v>-3.3603386954617065E-3</c:v>
                </c:pt>
                <c:pt idx="117">
                  <c:v>-3.3626791508511999E-3</c:v>
                </c:pt>
                <c:pt idx="118">
                  <c:v>-3.3649768840549044E-3</c:v>
                </c:pt>
                <c:pt idx="119">
                  <c:v>-3.3672318952726599E-3</c:v>
                </c:pt>
                <c:pt idx="120">
                  <c:v>-3.3715679337609217E-3</c:v>
                </c:pt>
                <c:pt idx="121">
                  <c:v>-3.3758247188453439E-3</c:v>
                </c:pt>
                <c:pt idx="122">
                  <c:v>-3.3778661195338344E-3</c:v>
                </c:pt>
                <c:pt idx="123">
                  <c:v>-3.379864798076504E-3</c:v>
                </c:pt>
                <c:pt idx="124">
                  <c:v>-3.3818207545532886E-3</c:v>
                </c:pt>
                <c:pt idx="125">
                  <c:v>-3.3855584210762402E-3</c:v>
                </c:pt>
                <c:pt idx="126">
                  <c:v>-3.3892173594818331E-3</c:v>
                </c:pt>
                <c:pt idx="127">
                  <c:v>-3.3909597053893847E-3</c:v>
                </c:pt>
                <c:pt idx="128">
                  <c:v>-3.3926593293509555E-3</c:v>
                </c:pt>
                <c:pt idx="129">
                  <c:v>-3.3943162311667052E-3</c:v>
                </c:pt>
                <c:pt idx="130">
                  <c:v>-3.3974555642402038E-3</c:v>
                </c:pt>
                <c:pt idx="131">
                  <c:v>-3.4005166174511103E-3</c:v>
                </c:pt>
                <c:pt idx="132">
                  <c:v>-3.4019599087775632E-3</c:v>
                </c:pt>
                <c:pt idx="133">
                  <c:v>-3.4033604781580351E-3</c:v>
                </c:pt>
                <c:pt idx="134">
                  <c:v>-3.404718325272782E-3</c:v>
                </c:pt>
                <c:pt idx="135">
                  <c:v>-3.4072593637990423E-3</c:v>
                </c:pt>
                <c:pt idx="136">
                  <c:v>-3.4097224931128878E-3</c:v>
                </c:pt>
                <c:pt idx="137">
                  <c:v>-3.4108667298982098E-3</c:v>
                </c:pt>
                <c:pt idx="138">
                  <c:v>-3.4119682446176469E-3</c:v>
                </c:pt>
                <c:pt idx="139">
                  <c:v>-3.4130270370713589E-3</c:v>
                </c:pt>
                <c:pt idx="140">
                  <c:v>-3.4149698203256307E-3</c:v>
                </c:pt>
                <c:pt idx="141">
                  <c:v>-3.4168349865471015E-3</c:v>
                </c:pt>
                <c:pt idx="142">
                  <c:v>-3.4176801687912928E-3</c:v>
                </c:pt>
                <c:pt idx="143">
                  <c:v>-3.4184826287697589E-3</c:v>
                </c:pt>
                <c:pt idx="144">
                  <c:v>-3.4192423668422123E-3</c:v>
                </c:pt>
                <c:pt idx="145">
                  <c:v>-3.420586934193004E-3</c:v>
                </c:pt>
                <c:pt idx="146">
                  <c:v>-3.4218540979136236E-3</c:v>
                </c:pt>
                <c:pt idx="147">
                  <c:v>-3.4224002255767161E-3</c:v>
                </c:pt>
                <c:pt idx="148">
                  <c:v>-3.4229036310939875E-3</c:v>
                </c:pt>
                <c:pt idx="149">
                  <c:v>-3.42336431442547E-3</c:v>
                </c:pt>
                <c:pt idx="150">
                  <c:v>-3.4241107057075837E-3</c:v>
                </c:pt>
                <c:pt idx="151">
                  <c:v>-3.4247798273723262E-3</c:v>
                </c:pt>
                <c:pt idx="152">
                  <c:v>-3.4250269003344158E-3</c:v>
                </c:pt>
                <c:pt idx="153">
                  <c:v>-3.4254038774799156E-3</c:v>
                </c:pt>
                <c:pt idx="154">
                  <c:v>-3.4256121748033053E-3</c:v>
                </c:pt>
                <c:pt idx="155">
                  <c:v>-3.4255601932242641E-3</c:v>
                </c:pt>
                <c:pt idx="156">
                  <c:v>-3.4250400205193543E-3</c:v>
                </c:pt>
                <c:pt idx="157">
                  <c:v>-3.4243511402465288E-3</c:v>
                </c:pt>
                <c:pt idx="158">
                  <c:v>-3.4237869439568414E-3</c:v>
                </c:pt>
                <c:pt idx="159">
                  <c:v>-3.423169865728326E-3</c:v>
                </c:pt>
                <c:pt idx="160">
                  <c:v>-3.4221219674002157E-3</c:v>
                </c:pt>
                <c:pt idx="161">
                  <c:v>-3.4209967238618688E-3</c:v>
                </c:pt>
                <c:pt idx="162">
                  <c:v>-3.4203466332005661E-3</c:v>
                </c:pt>
                <c:pt idx="163">
                  <c:v>-3.4196538204334104E-3</c:v>
                </c:pt>
                <c:pt idx="164">
                  <c:v>-3.4189182855604017E-3</c:v>
                </c:pt>
                <c:pt idx="165">
                  <c:v>-3.4172723702630137E-3</c:v>
                </c:pt>
                <c:pt idx="166">
                  <c:v>-3.4155489253295812E-3</c:v>
                </c:pt>
                <c:pt idx="167">
                  <c:v>-3.4145997801671157E-3</c:v>
                </c:pt>
                <c:pt idx="168">
                  <c:v>-3.4136079128188612E-3</c:v>
                </c:pt>
                <c:pt idx="169">
                  <c:v>-3.4125733233247857E-3</c:v>
                </c:pt>
                <c:pt idx="170">
                  <c:v>-3.4103294305598553E-3</c:v>
                </c:pt>
                <c:pt idx="171">
                  <c:v>-3.4080077448894741E-3</c:v>
                </c:pt>
                <c:pt idx="172">
                  <c:v>-3.4067595449860377E-3</c:v>
                </c:pt>
                <c:pt idx="173">
                  <c:v>-3.4054686230167164E-3</c:v>
                </c:pt>
                <c:pt idx="174">
                  <c:v>-3.4041349790614461E-3</c:v>
                </c:pt>
                <c:pt idx="175">
                  <c:v>-3.4012931479709962E-3</c:v>
                </c:pt>
                <c:pt idx="176">
                  <c:v>-3.3983731820619312E-3</c:v>
                </c:pt>
                <c:pt idx="177">
                  <c:v>-3.396825927577396E-3</c:v>
                </c:pt>
                <c:pt idx="178">
                  <c:v>-3.3952359510269758E-3</c:v>
                </c:pt>
                <c:pt idx="179">
                  <c:v>-3.3936032523707027E-3</c:v>
                </c:pt>
                <c:pt idx="180">
                  <c:v>-3.3901635220301429E-3</c:v>
                </c:pt>
                <c:pt idx="181">
                  <c:v>-3.3866452368869204E-3</c:v>
                </c:pt>
                <c:pt idx="182">
                  <c:v>-3.3847989277013824E-3</c:v>
                </c:pt>
                <c:pt idx="183">
                  <c:v>-3.3829098965698634E-3</c:v>
                </c:pt>
                <c:pt idx="184">
                  <c:v>-3.3809781432125874E-3</c:v>
                </c:pt>
                <c:pt idx="185">
                  <c:v>-3.3769405521377749E-3</c:v>
                </c:pt>
                <c:pt idx="186">
                  <c:v>-3.3728239090446976E-3</c:v>
                </c:pt>
                <c:pt idx="187">
                  <c:v>-3.3706785452780608E-3</c:v>
                </c:pt>
                <c:pt idx="188">
                  <c:v>-3.3684904593656029E-3</c:v>
                </c:pt>
                <c:pt idx="189">
                  <c:v>-3.3662596514671961E-3</c:v>
                </c:pt>
                <c:pt idx="190">
                  <c:v>-3.361624237601113E-3</c:v>
                </c:pt>
                <c:pt idx="191">
                  <c:v>-3.3569091983753907E-3</c:v>
                </c:pt>
                <c:pt idx="192">
                  <c:v>-3.354464779947719E-3</c:v>
                </c:pt>
                <c:pt idx="193">
                  <c:v>-3.3519776392543221E-3</c:v>
                </c:pt>
                <c:pt idx="194">
                  <c:v>-3.3494477766149444E-3</c:v>
                </c:pt>
                <c:pt idx="195">
                  <c:v>-3.3442145776074739E-3</c:v>
                </c:pt>
                <c:pt idx="196">
                  <c:v>-3.3389011046391914E-3</c:v>
                </c:pt>
                <c:pt idx="197">
                  <c:v>-3.3361576313906127E-3</c:v>
                </c:pt>
                <c:pt idx="198">
                  <c:v>-3.333371436036181E-3</c:v>
                </c:pt>
                <c:pt idx="199">
                  <c:v>-3.3305425184559923E-3</c:v>
                </c:pt>
                <c:pt idx="200">
                  <c:v>-3.3247115713042064E-3</c:v>
                </c:pt>
                <c:pt idx="201">
                  <c:v>-3.3187996274364195E-3</c:v>
                </c:pt>
                <c:pt idx="202">
                  <c:v>-3.3157570993269658E-3</c:v>
                </c:pt>
                <c:pt idx="203">
                  <c:v>-3.3126718491915952E-3</c:v>
                </c:pt>
                <c:pt idx="204">
                  <c:v>-3.3095438768704355E-3</c:v>
                </c:pt>
                <c:pt idx="205">
                  <c:v>-3.3031152175855283E-3</c:v>
                </c:pt>
                <c:pt idx="206">
                  <c:v>-3.2966047664473308E-3</c:v>
                </c:pt>
                <c:pt idx="207">
                  <c:v>-3.2932631835169701E-3</c:v>
                </c:pt>
                <c:pt idx="208">
                  <c:v>-3.2898788784008204E-3</c:v>
                </c:pt>
                <c:pt idx="209">
                  <c:v>-3.2864518513386898E-3</c:v>
                </c:pt>
                <c:pt idx="210">
                  <c:v>-3.2794255153589802E-3</c:v>
                </c:pt>
                <c:pt idx="211">
                  <c:v>-3.2723165212322769E-3</c:v>
                </c:pt>
                <c:pt idx="212">
                  <c:v>-3.2686758834010732E-3</c:v>
                </c:pt>
                <c:pt idx="213">
                  <c:v>-3.2649925234640165E-3</c:v>
                </c:pt>
                <c:pt idx="214">
                  <c:v>-3.2535845768926208E-3</c:v>
                </c:pt>
                <c:pt idx="215">
                  <c:v>-3.2419951986195628E-3</c:v>
                </c:pt>
                <c:pt idx="216">
                  <c:v>-3.2380127836217909E-3</c:v>
                </c:pt>
                <c:pt idx="217">
                  <c:v>-3.2339876465981021E-3</c:v>
                </c:pt>
                <c:pt idx="218">
                  <c:v>-3.225766060399593E-3</c:v>
                </c:pt>
                <c:pt idx="219">
                  <c:v>-3.2174598765655205E-3</c:v>
                </c:pt>
                <c:pt idx="220">
                  <c:v>-3.2132211287327905E-3</c:v>
                </c:pt>
                <c:pt idx="221">
                  <c:v>-3.2089396586743035E-3</c:v>
                </c:pt>
                <c:pt idx="222">
                  <c:v>-3.2046154665099635E-3</c:v>
                </c:pt>
                <c:pt idx="223">
                  <c:v>-3.1957963048023785E-3</c:v>
                </c:pt>
                <c:pt idx="224">
                  <c:v>-3.1868914761945533E-3</c:v>
                </c:pt>
                <c:pt idx="225">
                  <c:v>-3.1823536732211721E-3</c:v>
                </c:pt>
                <c:pt idx="226">
                  <c:v>-3.1777731479820659E-3</c:v>
                </c:pt>
                <c:pt idx="227">
                  <c:v>-3.1731499007170427E-3</c:v>
                </c:pt>
                <c:pt idx="228">
                  <c:v>-3.1637331950884473E-3</c:v>
                </c:pt>
                <c:pt idx="229">
                  <c:v>-3.1542296896791555E-3</c:v>
                </c:pt>
                <c:pt idx="230">
                  <c:v>-3.1493928315251551E-3</c:v>
                </c:pt>
                <c:pt idx="231">
                  <c:v>-3.1445132511054297E-3</c:v>
                </c:pt>
                <c:pt idx="232">
                  <c:v>-3.1395909486198192E-3</c:v>
                </c:pt>
                <c:pt idx="233">
                  <c:v>-3.1295767295524968E-3</c:v>
                </c:pt>
                <c:pt idx="234">
                  <c:v>-3.1194745164997428E-3</c:v>
                </c:pt>
                <c:pt idx="235">
                  <c:v>-3.1143386030452191E-3</c:v>
                </c:pt>
                <c:pt idx="236">
                  <c:v>-3.1091599673649384E-3</c:v>
                </c:pt>
                <c:pt idx="237">
                  <c:v>-3.1039386095788046E-3</c:v>
                </c:pt>
                <c:pt idx="238">
                  <c:v>-3.093326906462579E-3</c:v>
                </c:pt>
                <c:pt idx="239">
                  <c:v>-3.0826259560567948E-3</c:v>
                </c:pt>
                <c:pt idx="240">
                  <c:v>-3.0771909872218117E-3</c:v>
                </c:pt>
                <c:pt idx="241">
                  <c:v>-3.0689400083416807E-3</c:v>
                </c:pt>
                <c:pt idx="242">
                  <c:v>-3.0549837239002287E-3</c:v>
                </c:pt>
                <c:pt idx="243">
                  <c:v>-3.043684007750791E-3</c:v>
                </c:pt>
                <c:pt idx="244">
                  <c:v>-3.0379499834154444E-3</c:v>
                </c:pt>
                <c:pt idx="245">
                  <c:v>-3.0321732368543408E-3</c:v>
                </c:pt>
                <c:pt idx="246">
                  <c:v>-3.0263537681873842E-3</c:v>
                </c:pt>
                <c:pt idx="247">
                  <c:v>-3.0115536950003907E-3</c:v>
                </c:pt>
                <c:pt idx="248">
                  <c:v>-2.9966155909466607E-3</c:v>
                </c:pt>
                <c:pt idx="249">
                  <c:v>-2.9905425036336197E-3</c:v>
                </c:pt>
                <c:pt idx="250">
                  <c:v>-2.9844402681566962E-3</c:v>
                </c:pt>
                <c:pt idx="251">
                  <c:v>-2.9721231484192145E-3</c:v>
                </c:pt>
                <c:pt idx="252">
                  <c:v>-2.9597669933334458E-3</c:v>
                </c:pt>
                <c:pt idx="253">
                  <c:v>-2.9535325912588561E-3</c:v>
                </c:pt>
                <c:pt idx="254">
                  <c:v>-2.9472717559686501E-3</c:v>
                </c:pt>
                <c:pt idx="255">
                  <c:v>-2.9409844873029556E-3</c:v>
                </c:pt>
                <c:pt idx="256">
                  <c:v>-2.9282980194267338E-3</c:v>
                </c:pt>
                <c:pt idx="257">
                  <c:v>-2.9155710795247813E-3</c:v>
                </c:pt>
                <c:pt idx="258">
                  <c:v>-2.9091516442614207E-3</c:v>
                </c:pt>
                <c:pt idx="259">
                  <c:v>-2.9027057756225716E-3</c:v>
                </c:pt>
                <c:pt idx="260">
                  <c:v>-2.8962334737681061E-3</c:v>
                </c:pt>
                <c:pt idx="261">
                  <c:v>-2.8831776677185061E-3</c:v>
                </c:pt>
                <c:pt idx="262">
                  <c:v>-2.8700799327552318E-3</c:v>
                </c:pt>
                <c:pt idx="263">
                  <c:v>-2.8634754642231641E-3</c:v>
                </c:pt>
                <c:pt idx="264">
                  <c:v>-2.85684456227564E-3</c:v>
                </c:pt>
                <c:pt idx="265">
                  <c:v>-2.8501872270325634E-3</c:v>
                </c:pt>
                <c:pt idx="266">
                  <c:v>-2.8367620917757463E-3</c:v>
                </c:pt>
                <c:pt idx="267">
                  <c:v>-2.8232935525851488E-3</c:v>
                </c:pt>
                <c:pt idx="268">
                  <c:v>-2.816504050584534E-3</c:v>
                </c:pt>
                <c:pt idx="269">
                  <c:v>-2.8096881153283348E-3</c:v>
                </c:pt>
                <c:pt idx="270">
                  <c:v>-2.8028457465367751E-3</c:v>
                </c:pt>
                <c:pt idx="271">
                  <c:v>-2.789051290092992E-3</c:v>
                </c:pt>
                <c:pt idx="272">
                  <c:v>-2.775211938415012E-3</c:v>
                </c:pt>
                <c:pt idx="273">
                  <c:v>-2.7682374029458501E-3</c:v>
                </c:pt>
                <c:pt idx="274">
                  <c:v>-2.7612364342211038E-3</c:v>
                </c:pt>
                <c:pt idx="275">
                  <c:v>-2.7435704816602957E-3</c:v>
                </c:pt>
                <c:pt idx="276">
                  <c:v>-2.7258350897652051E-3</c:v>
                </c:pt>
                <c:pt idx="277">
                  <c:v>-2.7186755207075919E-3</c:v>
                </c:pt>
                <c:pt idx="278">
                  <c:v>-2.7114895184743304E-3</c:v>
                </c:pt>
                <c:pt idx="279">
                  <c:v>-2.7042770827057083E-3</c:v>
                </c:pt>
                <c:pt idx="280">
                  <c:v>-2.6897440033524234E-3</c:v>
                </c:pt>
                <c:pt idx="281">
                  <c:v>-2.6751630060362075E-3</c:v>
                </c:pt>
                <c:pt idx="282">
                  <c:v>-2.6678184035100472E-3</c:v>
                </c:pt>
                <c:pt idx="283">
                  <c:v>-2.6604473675284623E-3</c:v>
                </c:pt>
                <c:pt idx="284">
                  <c:v>-2.653049898091453E-3</c:v>
                </c:pt>
                <c:pt idx="285">
                  <c:v>-2.638147515083844E-3</c:v>
                </c:pt>
                <c:pt idx="286">
                  <c:v>-2.623195686828339E-3</c:v>
                </c:pt>
                <c:pt idx="287">
                  <c:v>-2.6156660505538554E-3</c:v>
                </c:pt>
                <c:pt idx="288">
                  <c:v>-2.6081099808639152E-3</c:v>
                </c:pt>
                <c:pt idx="289">
                  <c:v>-2.6005274777185505E-3</c:v>
                </c:pt>
                <c:pt idx="290">
                  <c:v>-2.5852557946670629E-3</c:v>
                </c:pt>
                <c:pt idx="291">
                  <c:v>-2.5699331314221752E-3</c:v>
                </c:pt>
                <c:pt idx="292">
                  <c:v>-2.5622184613993682E-3</c:v>
                </c:pt>
                <c:pt idx="293">
                  <c:v>-2.5544773578811686E-3</c:v>
                </c:pt>
                <c:pt idx="294">
                  <c:v>-2.5467098209475125E-3</c:v>
                </c:pt>
                <c:pt idx="295">
                  <c:v>-2.5310688404101001E-3</c:v>
                </c:pt>
                <c:pt idx="296">
                  <c:v>-2.5153753392981315E-3</c:v>
                </c:pt>
                <c:pt idx="297">
                  <c:v>-2.5074756354070971E-3</c:v>
                </c:pt>
                <c:pt idx="298">
                  <c:v>-2.4995494980606381E-3</c:v>
                </c:pt>
                <c:pt idx="299">
                  <c:v>-2.4915969272587546E-3</c:v>
                </c:pt>
                <c:pt idx="300">
                  <c:v>-2.4755866504877488E-3</c:v>
                </c:pt>
                <c:pt idx="301">
                  <c:v>-2.4595223099765917E-3</c:v>
                </c:pt>
                <c:pt idx="302">
                  <c:v>-2.4514375720974257E-3</c:v>
                </c:pt>
                <c:pt idx="303">
                  <c:v>-2.4433264007628352E-3</c:v>
                </c:pt>
                <c:pt idx="304">
                  <c:v>-2.4351887959728202E-3</c:v>
                </c:pt>
                <c:pt idx="305">
                  <c:v>-2.4188092231680614E-3</c:v>
                </c:pt>
                <c:pt idx="306">
                  <c:v>-2.4023740426981632E-3</c:v>
                </c:pt>
                <c:pt idx="307">
                  <c:v>-2.3941042707908977E-3</c:v>
                </c:pt>
                <c:pt idx="308">
                  <c:v>-2.3858080653482716E-3</c:v>
                </c:pt>
                <c:pt idx="309">
                  <c:v>-2.3774854265701251E-3</c:v>
                </c:pt>
                <c:pt idx="310">
                  <c:v>-2.3607365566125083E-3</c:v>
                </c:pt>
                <c:pt idx="311">
                  <c:v>-2.3439305369032937E-3</c:v>
                </c:pt>
                <c:pt idx="312">
                  <c:v>-2.3354757308480245E-3</c:v>
                </c:pt>
                <c:pt idx="313">
                  <c:v>-2.3269944912973628E-3</c:v>
                </c:pt>
                <c:pt idx="314">
                  <c:v>-2.3184868183312446E-3</c:v>
                </c:pt>
                <c:pt idx="315">
                  <c:v>-2.3013686489026242E-3</c:v>
                </c:pt>
                <c:pt idx="316">
                  <c:v>-2.2841917919924626E-3</c:v>
                </c:pt>
                <c:pt idx="317">
                  <c:v>-2.2755519516293177E-3</c:v>
                </c:pt>
                <c:pt idx="318">
                  <c:v>-2.2668856780105884E-3</c:v>
                </c:pt>
                <c:pt idx="319">
                  <c:v>-2.2581929707365944E-3</c:v>
                </c:pt>
                <c:pt idx="320">
                  <c:v>-2.240705498146589E-3</c:v>
                </c:pt>
                <c:pt idx="321">
                  <c:v>-2.2231578071663094E-3</c:v>
                </c:pt>
                <c:pt idx="322">
                  <c:v>-2.2143329326151928E-3</c:v>
                </c:pt>
                <c:pt idx="323">
                  <c:v>-2.2054816246086517E-3</c:v>
                </c:pt>
                <c:pt idx="324">
                  <c:v>-2.196603882986814E-3</c:v>
                </c:pt>
                <c:pt idx="325">
                  <c:v>-2.1787471023593241E-3</c:v>
                </c:pt>
                <c:pt idx="326">
                  <c:v>-2.1608285820651219E-3</c:v>
                </c:pt>
                <c:pt idx="327">
                  <c:v>-2.1518186730062894E-3</c:v>
                </c:pt>
                <c:pt idx="328">
                  <c:v>-2.1427823306119365E-3</c:v>
                </c:pt>
                <c:pt idx="329">
                  <c:v>-2.1337195546422549E-3</c:v>
                </c:pt>
                <c:pt idx="330">
                  <c:v>-2.1154934595291053E-3</c:v>
                </c:pt>
                <c:pt idx="331">
                  <c:v>-2.0972041157696353E-3</c:v>
                </c:pt>
                <c:pt idx="332">
                  <c:v>-2.0880091722030869E-3</c:v>
                </c:pt>
                <c:pt idx="333">
                  <c:v>-2.0787877953010181E-3</c:v>
                </c:pt>
                <c:pt idx="334">
                  <c:v>-2.0695399847836526E-3</c:v>
                </c:pt>
                <c:pt idx="335">
                  <c:v>-2.0509445676841764E-3</c:v>
                </c:pt>
                <c:pt idx="336">
                  <c:v>-2.0322844076003932E-3</c:v>
                </c:pt>
                <c:pt idx="337">
                  <c:v>-2.022904429566097E-3</c:v>
                </c:pt>
                <c:pt idx="338">
                  <c:v>-2.0134980179165041E-3</c:v>
                </c:pt>
                <c:pt idx="339">
                  <c:v>-2.0040651728514547E-3</c:v>
                </c:pt>
                <c:pt idx="340">
                  <c:v>-1.985100424586328E-3</c:v>
                </c:pt>
                <c:pt idx="341">
                  <c:v>-1.9660694569978432E-3</c:v>
                </c:pt>
                <c:pt idx="342">
                  <c:v>-1.9565044442959589E-3</c:v>
                </c:pt>
                <c:pt idx="343">
                  <c:v>-1.946912997898842E-3</c:v>
                </c:pt>
                <c:pt idx="344">
                  <c:v>-1.9372951180463005E-3</c:v>
                </c:pt>
                <c:pt idx="345">
                  <c:v>-1.9179610282771264E-3</c:v>
                </c:pt>
                <c:pt idx="346">
                  <c:v>-1.8985592631626247E-3</c:v>
                </c:pt>
                <c:pt idx="347">
                  <c:v>-1.8888092156332803E-3</c:v>
                </c:pt>
                <c:pt idx="348">
                  <c:v>-1.8790327344087032E-3</c:v>
                </c:pt>
                <c:pt idx="349">
                  <c:v>-1.8692298198486057E-3</c:v>
                </c:pt>
                <c:pt idx="350">
                  <c:v>-1.8495263764384262E-3</c:v>
                </c:pt>
                <c:pt idx="351">
                  <c:v>-1.8297538254152812E-3</c:v>
                </c:pt>
                <c:pt idx="352">
                  <c:v>-1.8198187428186685E-3</c:v>
                </c:pt>
                <c:pt idx="353">
                  <c:v>-1.8098572268865354E-3</c:v>
                </c:pt>
                <c:pt idx="354">
                  <c:v>-1.7998692771392655E-3</c:v>
                </c:pt>
                <c:pt idx="355">
                  <c:v>-1.7797964669385991E-3</c:v>
                </c:pt>
                <c:pt idx="356">
                  <c:v>-1.7596531429564521E-3</c:v>
                </c:pt>
                <c:pt idx="357">
                  <c:v>-1.7495330253725072E-3</c:v>
                </c:pt>
                <c:pt idx="358">
                  <c:v>-1.7393864742931697E-3</c:v>
                </c:pt>
                <c:pt idx="359">
                  <c:v>-1.7292134896385036E-3</c:v>
                </c:pt>
                <c:pt idx="360">
                  <c:v>-1.708771297472822E-3</c:v>
                </c:pt>
                <c:pt idx="361">
                  <c:v>-1.6882572149867769E-3</c:v>
                </c:pt>
                <c:pt idx="362">
                  <c:v>-1.6779520623755317E-3</c:v>
                </c:pt>
                <c:pt idx="363">
                  <c:v>-1.6676204760690538E-3</c:v>
                </c:pt>
                <c:pt idx="364">
                  <c:v>-1.6572624562272154E-3</c:v>
                </c:pt>
                <c:pt idx="365">
                  <c:v>-1.6364508657895627E-3</c:v>
                </c:pt>
                <c:pt idx="366">
                  <c:v>-1.6155660408267991E-3</c:v>
                </c:pt>
                <c:pt idx="367">
                  <c:v>-1.6050758529484455E-3</c:v>
                </c:pt>
                <c:pt idx="368">
                  <c:v>-1.5945592314947632E-3</c:v>
                </c:pt>
                <c:pt idx="369">
                  <c:v>-1.5840161763058802E-3</c:v>
                </c:pt>
                <c:pt idx="370">
                  <c:v>-1.5628351695040621E-3</c:v>
                </c:pt>
                <c:pt idx="371">
                  <c:v>-1.5415796196771581E-3</c:v>
                </c:pt>
                <c:pt idx="372">
                  <c:v>-1.5309043964117919E-3</c:v>
                </c:pt>
                <c:pt idx="373">
                  <c:v>-1.5202027395311291E-3</c:v>
                </c:pt>
                <c:pt idx="374">
                  <c:v>-1.5094746491151056E-3</c:v>
                </c:pt>
                <c:pt idx="375">
                  <c:v>-1.4879242062582065E-3</c:v>
                </c:pt>
                <c:pt idx="376">
                  <c:v>-1.4662979506185891E-3</c:v>
                </c:pt>
                <c:pt idx="377">
                  <c:v>-1.4554376920461465E-3</c:v>
                </c:pt>
                <c:pt idx="378">
                  <c:v>-1.444550999658567E-3</c:v>
                </c:pt>
                <c:pt idx="379">
                  <c:v>-1.433637873655691E-3</c:v>
                </c:pt>
                <c:pt idx="380">
                  <c:v>-1.4117179735873009E-3</c:v>
                </c:pt>
                <c:pt idx="381">
                  <c:v>-1.3897210330915399E-3</c:v>
                </c:pt>
                <c:pt idx="382">
                  <c:v>-1.3786757388123405E-3</c:v>
                </c:pt>
                <c:pt idx="383">
                  <c:v>-1.3676040109178444E-3</c:v>
                </c:pt>
                <c:pt idx="384">
                  <c:v>-1.3565058492481796E-3</c:v>
                </c:pt>
                <c:pt idx="385">
                  <c:v>-1.3342164690666181E-3</c:v>
                </c:pt>
                <c:pt idx="386">
                  <c:v>-1.3118488660968097E-3</c:v>
                </c:pt>
                <c:pt idx="387">
                  <c:v>-1.3006185360708855E-3</c:v>
                </c:pt>
                <c:pt idx="388">
                  <c:v>-1.2893617725096007E-3</c:v>
                </c:pt>
                <c:pt idx="389">
                  <c:v>-1.278078575013275E-3</c:v>
                </c:pt>
                <c:pt idx="390">
                  <c:v>-1.2554196901781722E-3</c:v>
                </c:pt>
                <c:pt idx="391">
                  <c:v>-1.2326814487950699E-3</c:v>
                </c:pt>
                <c:pt idx="392">
                  <c:v>-1.2212660829824529E-3</c:v>
                </c:pt>
                <c:pt idx="393">
                  <c:v>-1.2098242834346351E-3</c:v>
                </c:pt>
                <c:pt idx="394">
                  <c:v>-1.1983560502715207E-3</c:v>
                </c:pt>
                <c:pt idx="395">
                  <c:v>-1.1753276343506869E-3</c:v>
                </c:pt>
                <c:pt idx="396">
                  <c:v>-1.1522187803070238E-3</c:v>
                </c:pt>
                <c:pt idx="397">
                  <c:v>-1.1406183785078738E-3</c:v>
                </c:pt>
                <c:pt idx="398">
                  <c:v>-1.1289915431333952E-3</c:v>
                </c:pt>
                <c:pt idx="399">
                  <c:v>-1.1173382739038118E-3</c:v>
                </c:pt>
                <c:pt idx="400">
                  <c:v>-1.0939402990128855E-3</c:v>
                </c:pt>
                <c:pt idx="401">
                  <c:v>-1.070460859873279E-3</c:v>
                </c:pt>
                <c:pt idx="402">
                  <c:v>-1.058675422047628E-3</c:v>
                </c:pt>
                <c:pt idx="403">
                  <c:v>-1.0468635504468082E-3</c:v>
                </c:pt>
                <c:pt idx="404">
                  <c:v>-1.0350252451907238E-3</c:v>
                </c:pt>
                <c:pt idx="405">
                  <c:v>-1.0052931025028577E-3</c:v>
                </c:pt>
                <c:pt idx="406">
                  <c:v>-9.7543721252257853E-4</c:v>
                </c:pt>
                <c:pt idx="407">
                  <c:v>-9.6344030469541764E-4</c:v>
                </c:pt>
                <c:pt idx="408">
                  <c:v>-9.5141696313305602E-4</c:v>
                </c:pt>
                <c:pt idx="409">
                  <c:v>-9.2727977918816151E-4</c:v>
                </c:pt>
                <c:pt idx="410">
                  <c:v>-9.0305925937173015E-4</c:v>
                </c:pt>
                <c:pt idx="411">
                  <c:v>-8.9090374901346081E-4</c:v>
                </c:pt>
                <c:pt idx="412">
                  <c:v>-8.7872180491999075E-4</c:v>
                </c:pt>
                <c:pt idx="413">
                  <c:v>-8.4813177870790568E-4</c:v>
                </c:pt>
                <c:pt idx="414">
                  <c:v>-8.1741557758530092E-4</c:v>
                </c:pt>
                <c:pt idx="415">
                  <c:v>-8.0507503072091424E-4</c:v>
                </c:pt>
                <c:pt idx="416">
                  <c:v>-7.9270805008135881E-4</c:v>
                </c:pt>
                <c:pt idx="417">
                  <c:v>-7.8031463566663462E-4</c:v>
                </c:pt>
                <c:pt idx="418">
                  <c:v>-7.5543810913458742E-4</c:v>
                </c:pt>
                <c:pt idx="419">
                  <c:v>-7.3047664013614622E-4</c:v>
                </c:pt>
                <c:pt idx="420">
                  <c:v>-7.1795105668570613E-4</c:v>
                </c:pt>
                <c:pt idx="421">
                  <c:v>-7.0539903942012927E-4</c:v>
                </c:pt>
                <c:pt idx="422">
                  <c:v>-6.9282058841935168E-4</c:v>
                </c:pt>
                <c:pt idx="423">
                  <c:v>-6.6757433582420589E-4</c:v>
                </c:pt>
                <c:pt idx="424">
                  <c:v>-6.4224244614496939E-4</c:v>
                </c:pt>
                <c:pt idx="425">
                  <c:v>-6.295318259486038E-4</c:v>
                </c:pt>
                <c:pt idx="426">
                  <c:v>-6.1679477197706944E-4</c:v>
                </c:pt>
                <c:pt idx="427">
                  <c:v>-6.0403128411046225E-4</c:v>
                </c:pt>
                <c:pt idx="428">
                  <c:v>-5.7841526656332576E-4</c:v>
                </c:pt>
                <c:pt idx="429">
                  <c:v>-5.527129945726017E-4</c:v>
                </c:pt>
                <c:pt idx="430">
                  <c:v>-5.3981733755037453E-4</c:v>
                </c:pt>
                <c:pt idx="431">
                  <c:v>-5.2689524667304255E-4</c:v>
                </c:pt>
                <c:pt idx="432">
                  <c:v>-5.1394672194060576E-4</c:v>
                </c:pt>
                <c:pt idx="433">
                  <c:v>-4.8796089846092627E-4</c:v>
                </c:pt>
                <c:pt idx="434">
                  <c:v>-4.6188828453974651E-4</c:v>
                </c:pt>
                <c:pt idx="435">
                  <c:v>-4.4880759057175368E-4</c:v>
                </c:pt>
                <c:pt idx="436">
                  <c:v>-4.3570046258878392E-4</c:v>
                </c:pt>
                <c:pt idx="437">
                  <c:v>-4.2256690091058147E-4</c:v>
                </c:pt>
                <c:pt idx="438">
                  <c:v>-3.9621122857269597E-4</c:v>
                </c:pt>
                <c:pt idx="439">
                  <c:v>-3.6976831504720309E-4</c:v>
                </c:pt>
                <c:pt idx="440">
                  <c:v>-3.5650258393360446E-4</c:v>
                </c:pt>
                <c:pt idx="441">
                  <c:v>-3.4321041892493298E-4</c:v>
                </c:pt>
                <c:pt idx="442">
                  <c:v>-3.2989181986131655E-4</c:v>
                </c:pt>
                <c:pt idx="443">
                  <c:v>-3.0316625392767804E-4</c:v>
                </c:pt>
                <c:pt idx="444">
                  <c:v>-2.7635308517570678E-4</c:v>
                </c:pt>
                <c:pt idx="445">
                  <c:v>-2.6290231667669417E-4</c:v>
                </c:pt>
                <c:pt idx="446">
                  <c:v>-2.494251144025128E-4</c:v>
                </c:pt>
                <c:pt idx="447">
                  <c:v>-2.3592147803341845E-4</c:v>
                </c:pt>
                <c:pt idx="448">
                  <c:v>-2.0882597152827032E-4</c:v>
                </c:pt>
                <c:pt idx="449">
                  <c:v>-1.8164259376618475E-4</c:v>
                </c:pt>
                <c:pt idx="450">
                  <c:v>-1.6800678788175816E-4</c:v>
                </c:pt>
                <c:pt idx="451">
                  <c:v>-1.5434454810225873E-4</c:v>
                </c:pt>
                <c:pt idx="452">
                  <c:v>-1.406558743477504E-4</c:v>
                </c:pt>
                <c:pt idx="453">
                  <c:v>-1.1319037828361189E-4</c:v>
                </c:pt>
                <c:pt idx="454">
                  <c:v>-8.5636839939340348E-5</c:v>
                </c:pt>
                <c:pt idx="455">
                  <c:v>-7.1815996469659638E-5</c:v>
                </c:pt>
                <c:pt idx="456">
                  <c:v>-5.7968719104906086E-5</c:v>
                </c:pt>
                <c:pt idx="457">
                  <c:v>-4.4095007605271519E-5</c:v>
                </c:pt>
                <c:pt idx="458">
                  <c:v>-1.6259471182777929E-5</c:v>
                </c:pt>
                <c:pt idx="459">
                  <c:v>1.166417746389925E-5</c:v>
                </c:pt>
                <c:pt idx="460">
                  <c:v>2.5670058638738169E-5</c:v>
                </c:pt>
                <c:pt idx="461">
                  <c:v>3.9702373788585987E-5</c:v>
                </c:pt>
                <c:pt idx="462">
                  <c:v>5.3761122993378763E-5</c:v>
                </c:pt>
                <c:pt idx="463">
                  <c:v>8.1966753011641913E-5</c:v>
                </c:pt>
                <c:pt idx="464">
                  <c:v>1.1026045940276674E-4</c:v>
                </c:pt>
                <c:pt idx="465">
                  <c:v>1.2445137856254007E-4</c:v>
                </c:pt>
                <c:pt idx="466">
                  <c:v>1.3866873153745018E-4</c:v>
                </c:pt>
                <c:pt idx="467">
                  <c:v>1.5291251856730526E-4</c:v>
                </c:pt>
                <c:pt idx="468">
                  <c:v>1.8148829745712192E-4</c:v>
                </c:pt>
                <c:pt idx="469">
                  <c:v>2.1015200691643088E-4</c:v>
                </c:pt>
                <c:pt idx="470">
                  <c:v>2.2452796406113862E-4</c:v>
                </c:pt>
                <c:pt idx="471">
                  <c:v>2.3893035526079132E-4</c:v>
                </c:pt>
                <c:pt idx="472">
                  <c:v>2.5335918035551686E-4</c:v>
                </c:pt>
                <c:pt idx="473">
                  <c:v>2.8230516532445904E-4</c:v>
                </c:pt>
                <c:pt idx="474">
                  <c:v>3.1133882120393253E-4</c:v>
                </c:pt>
                <c:pt idx="475">
                  <c:v>3.2589981657338285E-4</c:v>
                </c:pt>
                <c:pt idx="476">
                  <c:v>3.4048724591784207E-4</c:v>
                </c:pt>
                <c:pt idx="477">
                  <c:v>3.5510110931724626E-4</c:v>
                </c:pt>
                <c:pt idx="478">
                  <c:v>3.8441735989103165E-4</c:v>
                </c:pt>
                <c:pt idx="479">
                  <c:v>4.1382090338437649E-4</c:v>
                </c:pt>
                <c:pt idx="480">
                  <c:v>4.2856693705850546E-4</c:v>
                </c:pt>
                <c:pt idx="481">
                  <c:v>4.4333940470764333E-4</c:v>
                </c:pt>
                <c:pt idx="482">
                  <c:v>4.8784316794225902E-4</c:v>
                </c:pt>
                <c:pt idx="483">
                  <c:v>5.325293265556752E-4</c:v>
                </c:pt>
                <c:pt idx="484">
                  <c:v>5.4748683282923594E-4</c:v>
                </c:pt>
                <c:pt idx="485">
                  <c:v>5.6247077315774163E-4</c:v>
                </c:pt>
                <c:pt idx="486">
                  <c:v>5.9252774249785034E-4</c:v>
                </c:pt>
                <c:pt idx="487">
                  <c:v>6.2267087542089428E-4</c:v>
                </c:pt>
                <c:pt idx="488">
                  <c:v>6.3778698626393293E-4</c:v>
                </c:pt>
                <c:pt idx="489">
                  <c:v>6.529295312418526E-4</c:v>
                </c:pt>
                <c:pt idx="490">
                  <c:v>6.6809851027471723E-4</c:v>
                </c:pt>
                <c:pt idx="491">
                  <c:v>7.0615520576966517E-4</c:v>
                </c:pt>
                <c:pt idx="492">
                  <c:v>7.4433991738231953E-4</c:v>
                </c:pt>
                <c:pt idx="493">
                  <c:v>7.5966750106459813E-4</c:v>
                </c:pt>
                <c:pt idx="494">
                  <c:v>7.750215189616938E-4</c:v>
                </c:pt>
                <c:pt idx="495">
                  <c:v>8.0581947221602945E-4</c:v>
                </c:pt>
                <c:pt idx="496">
                  <c:v>8.3670193221863087E-4</c:v>
                </c:pt>
                <c:pt idx="497">
                  <c:v>8.5218812079013162E-4</c:v>
                </c:pt>
                <c:pt idx="498">
                  <c:v>8.6770074373632156E-4</c:v>
                </c:pt>
                <c:pt idx="499">
                  <c:v>8.8323980057758433E-4</c:v>
                </c:pt>
                <c:pt idx="500">
                  <c:v>9.1440835082501337E-4</c:v>
                </c:pt>
                <c:pt idx="501">
                  <c:v>9.4566037009080617E-4</c:v>
                </c:pt>
                <c:pt idx="502">
                  <c:v>9.6133159800615431E-4</c:v>
                </c:pt>
                <c:pt idx="503">
                  <c:v>9.7702925997644741E-4</c:v>
                </c:pt>
                <c:pt idx="504">
                  <c:v>9.9274755520184499E-4</c:v>
                </c:pt>
                <c:pt idx="505">
                  <c:v>1.0241707568958702E-3</c:v>
                </c:pt>
                <c:pt idx="506">
                  <c:v>1.0555602273853992E-3</c:v>
                </c:pt>
                <c:pt idx="507">
                  <c:v>1.0712424673720022E-3</c:v>
                </c:pt>
                <c:pt idx="508">
                  <c:v>1.0947507491332331E-3</c:v>
                </c:pt>
                <c:pt idx="509">
                  <c:v>1.1338884950173878E-3</c:v>
                </c:pt>
                <c:pt idx="510">
                  <c:v>1.1651601102347087E-3</c:v>
                </c:pt>
                <c:pt idx="511">
                  <c:v>1.1807837512556318E-3</c:v>
                </c:pt>
                <c:pt idx="512">
                  <c:v>1.1963990210528408E-3</c:v>
                </c:pt>
                <c:pt idx="513">
                  <c:v>1.2120059195463995E-3</c:v>
                </c:pt>
                <c:pt idx="514">
                  <c:v>1.2509878296662613E-3</c:v>
                </c:pt>
                <c:pt idx="515">
                  <c:v>1.289914842939055E-3</c:v>
                </c:pt>
                <c:pt idx="516">
                  <c:v>1.3054715138505202E-3</c:v>
                </c:pt>
                <c:pt idx="517">
                  <c:v>1.3210198134583351E-3</c:v>
                </c:pt>
                <c:pt idx="518">
                  <c:v>1.4141338140483128E-3</c:v>
                </c:pt>
                <c:pt idx="519">
                  <c:v>1.5223859213264745E-3</c:v>
                </c:pt>
                <c:pt idx="520">
                  <c:v>1.6456003377562922E-3</c:v>
                </c:pt>
                <c:pt idx="521">
                  <c:v>1.73765955560512E-3</c:v>
                </c:pt>
                <c:pt idx="522">
                  <c:v>1.8446810817263071E-3</c:v>
                </c:pt>
                <c:pt idx="523">
                  <c:v>1.9512924134090781E-3</c:v>
                </c:pt>
                <c:pt idx="524">
                  <c:v>2.0574935503336889E-3</c:v>
                </c:pt>
                <c:pt idx="525">
                  <c:v>2.163284492100459E-3</c:v>
                </c:pt>
                <c:pt idx="526">
                  <c:v>2.2686652383896444E-3</c:v>
                </c:pt>
                <c:pt idx="527">
                  <c:v>2.3736357887216286E-3</c:v>
                </c:pt>
                <c:pt idx="528">
                  <c:v>2.4781961428566035E-3</c:v>
                </c:pt>
                <c:pt idx="529">
                  <c:v>2.5823463003948888E-3</c:v>
                </c:pt>
                <c:pt idx="530">
                  <c:v>2.6860862609368041E-3</c:v>
                </c:pt>
                <c:pt idx="531">
                  <c:v>2.7894160241626054E-3</c:v>
                </c:pt>
                <c:pt idx="532">
                  <c:v>2.8923355898324843E-3</c:v>
                </c:pt>
                <c:pt idx="533">
                  <c:v>2.9948449573868885E-3</c:v>
                </c:pt>
                <c:pt idx="534">
                  <c:v>3.0969441265860098E-3</c:v>
                </c:pt>
                <c:pt idx="535">
                  <c:v>3.198633097030168E-3</c:v>
                </c:pt>
                <c:pt idx="536">
                  <c:v>3.2999118685594908E-3</c:v>
                </c:pt>
                <c:pt idx="537">
                  <c:v>3.4007804405344899E-3</c:v>
                </c:pt>
                <c:pt idx="538">
                  <c:v>3.5012388128752292E-3</c:v>
                </c:pt>
                <c:pt idx="539">
                  <c:v>3.6012869849422202E-3</c:v>
                </c:pt>
                <c:pt idx="540">
                  <c:v>3.700924956735463E-3</c:v>
                </c:pt>
                <c:pt idx="541">
                  <c:v>3.800152727695405E-3</c:v>
                </c:pt>
                <c:pt idx="542">
                  <c:v>3.8989702975023022E-3</c:v>
                </c:pt>
                <c:pt idx="543">
                  <c:v>3.9973776658364102E-3</c:v>
                </c:pt>
                <c:pt idx="544">
                  <c:v>4.0953748324579209E-3</c:v>
                </c:pt>
                <c:pt idx="545">
                  <c:v>4.1929617968872179E-3</c:v>
                </c:pt>
                <c:pt idx="546">
                  <c:v>4.3386463118788576E-3</c:v>
                </c:pt>
                <c:pt idx="547">
                  <c:v>4.400695426385326E-3</c:v>
                </c:pt>
                <c:pt idx="548">
                  <c:v>4.4832614742240651E-3</c:v>
                </c:pt>
                <c:pt idx="549">
                  <c:v>4.5792076267670012E-3</c:v>
                </c:pt>
                <c:pt idx="550">
                  <c:v>4.6747435755989386E-3</c:v>
                </c:pt>
                <c:pt idx="551">
                  <c:v>4.7698693203201969E-3</c:v>
                </c:pt>
                <c:pt idx="552">
                  <c:v>4.8645848606909681E-3</c:v>
                </c:pt>
                <c:pt idx="553">
                  <c:v>4.9588901962316356E-3</c:v>
                </c:pt>
                <c:pt idx="554">
                  <c:v>5.0527853266224554E-3</c:v>
                </c:pt>
                <c:pt idx="555">
                  <c:v>5.1462702517035552E-3</c:v>
                </c:pt>
                <c:pt idx="556">
                  <c:v>5.2393449709953188E-3</c:v>
                </c:pt>
                <c:pt idx="557">
                  <c:v>5.332009484337874E-3</c:v>
                </c:pt>
                <c:pt idx="558">
                  <c:v>5.4242637912516045E-3</c:v>
                </c:pt>
                <c:pt idx="559">
                  <c:v>5.5161078914967021E-3</c:v>
                </c:pt>
                <c:pt idx="560">
                  <c:v>5.6466879421357419E-3</c:v>
                </c:pt>
                <c:pt idx="561">
                  <c:v>5.6985654707819577E-3</c:v>
                </c:pt>
                <c:pt idx="562">
                  <c:v>5.7891789492625634E-3</c:v>
                </c:pt>
                <c:pt idx="563">
                  <c:v>5.8793822197156231E-3</c:v>
                </c:pt>
                <c:pt idx="564">
                  <c:v>5.9819693757656722E-3</c:v>
                </c:pt>
                <c:pt idx="565">
                  <c:v>6.0649769698439826E-3</c:v>
                </c:pt>
                <c:pt idx="566">
                  <c:v>6.1602076718880738E-3</c:v>
                </c:pt>
                <c:pt idx="567">
                  <c:v>6.2745039011691262E-3</c:v>
                </c:pt>
                <c:pt idx="568">
                  <c:v>6.3379899586202271E-3</c:v>
                </c:pt>
                <c:pt idx="569">
                  <c:v>6.4272199316306455E-3</c:v>
                </c:pt>
                <c:pt idx="570">
                  <c:v>6.5166765134527793E-3</c:v>
                </c:pt>
                <c:pt idx="571">
                  <c:v>6.6257928165858182E-3</c:v>
                </c:pt>
                <c:pt idx="572">
                  <c:v>6.7221266968786608E-3</c:v>
                </c:pt>
                <c:pt idx="573">
                  <c:v>6.8123312423917781E-3</c:v>
                </c:pt>
                <c:pt idx="574">
                  <c:v>6.9027624512063568E-3</c:v>
                </c:pt>
                <c:pt idx="575">
                  <c:v>6.9934203238553039E-3</c:v>
                </c:pt>
                <c:pt idx="576">
                  <c:v>7.0843048608182357E-3</c:v>
                </c:pt>
                <c:pt idx="577">
                  <c:v>7.1754160626280594E-3</c:v>
                </c:pt>
                <c:pt idx="578">
                  <c:v>7.266753929817682E-3</c:v>
                </c:pt>
                <c:pt idx="579">
                  <c:v>7.3583184628667198E-3</c:v>
                </c:pt>
                <c:pt idx="580">
                  <c:v>7.4501096623347252E-3</c:v>
                </c:pt>
                <c:pt idx="581">
                  <c:v>7.5421275287279599E-3</c:v>
                </c:pt>
                <c:pt idx="582">
                  <c:v>7.634372062579331E-3</c:v>
                </c:pt>
                <c:pt idx="583">
                  <c:v>7.7268432643418095E-3</c:v>
                </c:pt>
                <c:pt idx="584">
                  <c:v>7.8195411346548838E-3</c:v>
                </c:pt>
                <c:pt idx="585">
                  <c:v>7.9124656739448795E-3</c:v>
                </c:pt>
                <c:pt idx="586">
                  <c:v>8.0056168827979945E-3</c:v>
                </c:pt>
                <c:pt idx="587">
                  <c:v>8.0989947616938451E-3</c:v>
                </c:pt>
                <c:pt idx="588">
                  <c:v>8.1925993112186291E-3</c:v>
                </c:pt>
                <c:pt idx="589">
                  <c:v>8.2864305318519627E-3</c:v>
                </c:pt>
                <c:pt idx="590">
                  <c:v>8.3804884241533983E-3</c:v>
                </c:pt>
                <c:pt idx="591">
                  <c:v>8.4747729886291978E-3</c:v>
                </c:pt>
                <c:pt idx="592">
                  <c:v>8.5692842258655588E-3</c:v>
                </c:pt>
                <c:pt idx="593">
                  <c:v>8.6640221363154524E-3</c:v>
                </c:pt>
                <c:pt idx="594">
                  <c:v>8.7589867206183669E-3</c:v>
                </c:pt>
                <c:pt idx="595">
                  <c:v>8.8541779792272735E-3</c:v>
                </c:pt>
                <c:pt idx="596">
                  <c:v>8.9495959127283697E-3</c:v>
                </c:pt>
                <c:pt idx="597">
                  <c:v>9.0661129393021511E-3</c:v>
                </c:pt>
                <c:pt idx="598">
                  <c:v>9.2372097678605769E-3</c:v>
                </c:pt>
                <c:pt idx="599">
                  <c:v>9.2919832824112092E-3</c:v>
                </c:pt>
                <c:pt idx="600">
                  <c:v>9.3884324460269397E-3</c:v>
                </c:pt>
                <c:pt idx="601">
                  <c:v>9.4851082238900375E-3</c:v>
                </c:pt>
                <c:pt idx="602">
                  <c:v>9.5820106162403107E-3</c:v>
                </c:pt>
                <c:pt idx="603">
                  <c:v>9.6791396231576954E-3</c:v>
                </c:pt>
                <c:pt idx="604">
                  <c:v>9.7764952449619358E-3</c:v>
                </c:pt>
                <c:pt idx="605">
                  <c:v>9.874077481812904E-3</c:v>
                </c:pt>
                <c:pt idx="606">
                  <c:v>9.9718863337905361E-3</c:v>
                </c:pt>
                <c:pt idx="607">
                  <c:v>1.0069921801214576E-2</c:v>
                </c:pt>
                <c:pt idx="608">
                  <c:v>1.0168183884164961E-2</c:v>
                </c:pt>
                <c:pt idx="609">
                  <c:v>1.0266672582881498E-2</c:v>
                </c:pt>
                <c:pt idx="610">
                  <c:v>1.0365387897603995E-2</c:v>
                </c:pt>
                <c:pt idx="611">
                  <c:v>1.0464329828332453E-2</c:v>
                </c:pt>
                <c:pt idx="612">
                  <c:v>1.0563498375466551E-2</c:v>
                </c:pt>
                <c:pt idx="613">
                  <c:v>1.0662893539006291E-2</c:v>
                </c:pt>
                <c:pt idx="614">
                  <c:v>1.0805605602133284E-2</c:v>
                </c:pt>
                <c:pt idx="615">
                  <c:v>1.0876646272519608E-2</c:v>
                </c:pt>
                <c:pt idx="616">
                  <c:v>1.0962438730697244E-2</c:v>
                </c:pt>
                <c:pt idx="617">
                  <c:v>1.1062740362177692E-2</c:v>
                </c:pt>
                <c:pt idx="618">
                  <c:v>1.1163203445230252E-2</c:v>
                </c:pt>
                <c:pt idx="619">
                  <c:v>1.1270373552059176E-2</c:v>
                </c:pt>
                <c:pt idx="620">
                  <c:v>1.1376297417138304E-2</c:v>
                </c:pt>
                <c:pt idx="621">
                  <c:v>1.1502792984758869E-2</c:v>
                </c:pt>
                <c:pt idx="622">
                  <c:v>1.1593273428696094E-2</c:v>
                </c:pt>
                <c:pt idx="623">
                  <c:v>1.1696444344826418E-2</c:v>
                </c:pt>
                <c:pt idx="624">
                  <c:v>1.1792097413998448E-2</c:v>
                </c:pt>
                <c:pt idx="625">
                  <c:v>1.1886968740100201E-2</c:v>
                </c:pt>
                <c:pt idx="626">
                  <c:v>1.1981058321239857E-2</c:v>
                </c:pt>
                <c:pt idx="627">
                  <c:v>1.2074366155632177E-2</c:v>
                </c:pt>
                <c:pt idx="628">
                  <c:v>1.2166892241438632E-2</c:v>
                </c:pt>
                <c:pt idx="629">
                  <c:v>1.2258636576820692E-2</c:v>
                </c:pt>
                <c:pt idx="630">
                  <c:v>1.2349599160019764E-2</c:v>
                </c:pt>
                <c:pt idx="631">
                  <c:v>1.243977998925061E-2</c:v>
                </c:pt>
                <c:pt idx="632">
                  <c:v>1.2529179062754636E-2</c:v>
                </c:pt>
                <c:pt idx="633">
                  <c:v>1.2617796378773249E-2</c:v>
                </c:pt>
                <c:pt idx="634">
                  <c:v>1.2705631935574502E-2</c:v>
                </c:pt>
                <c:pt idx="635">
                  <c:v>1.2792685731453091E-2</c:v>
                </c:pt>
                <c:pt idx="636">
                  <c:v>1.2878957764677068E-2</c:v>
                </c:pt>
                <c:pt idx="637">
                  <c:v>1.2964448033621068E-2</c:v>
                </c:pt>
                <c:pt idx="638">
                  <c:v>1.3049156536553141E-2</c:v>
                </c:pt>
                <c:pt idx="639">
                  <c:v>1.3133083271847923E-2</c:v>
                </c:pt>
                <c:pt idx="640">
                  <c:v>1.3216228237880046E-2</c:v>
                </c:pt>
                <c:pt idx="641">
                  <c:v>1.3298591432970852E-2</c:v>
                </c:pt>
                <c:pt idx="642">
                  <c:v>1.3380172855548267E-2</c:v>
                </c:pt>
                <c:pt idx="643">
                  <c:v>1.3460972504013569E-2</c:v>
                </c:pt>
                <c:pt idx="644">
                  <c:v>1.3540990376794682E-2</c:v>
                </c:pt>
                <c:pt idx="645">
                  <c:v>1.362022647231953E-2</c:v>
                </c:pt>
                <c:pt idx="646">
                  <c:v>1.3698680789069329E-2</c:v>
                </c:pt>
                <c:pt idx="647">
                  <c:v>1.3776353325445356E-2</c:v>
                </c:pt>
                <c:pt idx="648">
                  <c:v>1.3853244079955473E-2</c:v>
                </c:pt>
                <c:pt idx="649">
                  <c:v>1.4010298786935049E-2</c:v>
                </c:pt>
                <c:pt idx="650">
                  <c:v>1.404683055648448E-2</c:v>
                </c:pt>
                <c:pt idx="651">
                  <c:v>1.4099833803955519E-2</c:v>
                </c:pt>
                <c:pt idx="652">
                  <c:v>1.4173368272789588E-2</c:v>
                </c:pt>
                <c:pt idx="653">
                  <c:v>1.4246120983765209E-2</c:v>
                </c:pt>
                <c:pt idx="654">
                  <c:v>1.4318091936482702E-2</c:v>
                </c:pt>
                <c:pt idx="655">
                  <c:v>1.438928113046245E-2</c:v>
                </c:pt>
                <c:pt idx="656">
                  <c:v>1.4459688565304774E-2</c:v>
                </c:pt>
                <c:pt idx="657">
                  <c:v>1.4529314240370184E-2</c:v>
                </c:pt>
                <c:pt idx="658">
                  <c:v>1.4598158155418872E-2</c:v>
                </c:pt>
                <c:pt idx="659">
                  <c:v>1.4666220309891287E-2</c:v>
                </c:pt>
                <c:pt idx="660">
                  <c:v>1.4733500703307811E-2</c:v>
                </c:pt>
                <c:pt idx="661">
                  <c:v>1.4799999335348701E-2</c:v>
                </c:pt>
                <c:pt idx="662">
                  <c:v>1.4865716205534341E-2</c:v>
                </c:pt>
                <c:pt idx="663">
                  <c:v>1.4930651313385113E-2</c:v>
                </c:pt>
                <c:pt idx="664">
                  <c:v>1.5012990596536824E-2</c:v>
                </c:pt>
                <c:pt idx="665">
                  <c:v>1.5058176240403398E-2</c:v>
                </c:pt>
                <c:pt idx="666">
                  <c:v>1.5120766058851487E-2</c:v>
                </c:pt>
                <c:pt idx="667">
                  <c:v>1.5191340017928212E-2</c:v>
                </c:pt>
                <c:pt idx="668">
                  <c:v>1.5243600403467283E-2</c:v>
                </c:pt>
                <c:pt idx="669">
                  <c:v>1.5303847405334636E-2</c:v>
                </c:pt>
                <c:pt idx="670">
                  <c:v>1.5372275968310589E-2</c:v>
                </c:pt>
                <c:pt idx="671">
                  <c:v>1.543209347653729E-2</c:v>
                </c:pt>
                <c:pt idx="672">
                  <c:v>1.5483322923701692E-2</c:v>
                </c:pt>
                <c:pt idx="673">
                  <c:v>1.5543040792351803E-2</c:v>
                </c:pt>
                <c:pt idx="674">
                  <c:v>1.561122408856086E-2</c:v>
                </c:pt>
                <c:pt idx="675">
                  <c:v>1.5662315573043983E-2</c:v>
                </c:pt>
                <c:pt idx="676">
                  <c:v>1.5721872485165989E-2</c:v>
                </c:pt>
                <c:pt idx="677">
                  <c:v>1.5781375745005377E-2</c:v>
                </c:pt>
                <c:pt idx="678">
                  <c:v>1.5840825352642085E-2</c:v>
                </c:pt>
                <c:pt idx="679">
                  <c:v>1.5900221307996176E-2</c:v>
                </c:pt>
                <c:pt idx="680">
                  <c:v>1.5959563610987715E-2</c:v>
                </c:pt>
                <c:pt idx="681">
                  <c:v>1.6018852261696637E-2</c:v>
                </c:pt>
                <c:pt idx="682">
                  <c:v>1.6078087260043006E-2</c:v>
                </c:pt>
                <c:pt idx="683">
                  <c:v>1.6137268606026822E-2</c:v>
                </c:pt>
                <c:pt idx="684">
                  <c:v>1.6196396299488214E-2</c:v>
                </c:pt>
                <c:pt idx="685">
                  <c:v>1.6255470340666989E-2</c:v>
                </c:pt>
                <c:pt idx="686">
                  <c:v>1.6314490729243403E-2</c:v>
                </c:pt>
                <c:pt idx="687">
                  <c:v>1.6373457465457264E-2</c:v>
                </c:pt>
                <c:pt idx="688">
                  <c:v>1.6432370549068764E-2</c:v>
                </c:pt>
                <c:pt idx="689">
                  <c:v>1.649122998015784E-2</c:v>
                </c:pt>
                <c:pt idx="690">
                  <c:v>1.6550035758644555E-2</c:v>
                </c:pt>
                <c:pt idx="691">
                  <c:v>1.6608787884608844E-2</c:v>
                </c:pt>
                <c:pt idx="692">
                  <c:v>1.6667486357890837E-2</c:v>
                </c:pt>
                <c:pt idx="693">
                  <c:v>1.6726131178490533E-2</c:v>
                </c:pt>
                <c:pt idx="694">
                  <c:v>1.6784722346487868E-2</c:v>
                </c:pt>
                <c:pt idx="695">
                  <c:v>1.6843259861802906E-2</c:v>
                </c:pt>
                <c:pt idx="696">
                  <c:v>1.6901743724355711E-2</c:v>
                </c:pt>
                <c:pt idx="697">
                  <c:v>1.6960173934226219E-2</c:v>
                </c:pt>
                <c:pt idx="698">
                  <c:v>1.7018550491174622E-2</c:v>
                </c:pt>
                <c:pt idx="699">
                  <c:v>1.7076873395440728E-2</c:v>
                </c:pt>
                <c:pt idx="700">
                  <c:v>1.7135142646784729E-2</c:v>
                </c:pt>
                <c:pt idx="701">
                  <c:v>1.7228247839236488E-2</c:v>
                </c:pt>
                <c:pt idx="702">
                  <c:v>1.7276430314749902E-2</c:v>
                </c:pt>
                <c:pt idx="703">
                  <c:v>1.7317925288606872E-2</c:v>
                </c:pt>
                <c:pt idx="704">
                  <c:v>1.736768312357917E-2</c:v>
                </c:pt>
                <c:pt idx="705">
                  <c:v>1.7425684110392581E-2</c:v>
                </c:pt>
                <c:pt idx="706">
                  <c:v>1.7483631444283887E-2</c:v>
                </c:pt>
                <c:pt idx="707">
                  <c:v>1.7541525125173152E-2</c:v>
                </c:pt>
                <c:pt idx="708">
                  <c:v>1.759936515298044E-2</c:v>
                </c:pt>
                <c:pt idx="709">
                  <c:v>1.765715152770575E-2</c:v>
                </c:pt>
                <c:pt idx="710">
                  <c:v>1.7714884249349083E-2</c:v>
                </c:pt>
                <c:pt idx="711">
                  <c:v>1.7772563317910439E-2</c:v>
                </c:pt>
                <c:pt idx="712">
                  <c:v>1.7830188733309882E-2</c:v>
                </c:pt>
                <c:pt idx="713">
                  <c:v>1.7887760495467475E-2</c:v>
                </c:pt>
                <c:pt idx="714">
                  <c:v>1.7945278604543091E-2</c:v>
                </c:pt>
                <c:pt idx="715">
                  <c:v>1.8019151621606611E-2</c:v>
                </c:pt>
                <c:pt idx="716">
                  <c:v>1.8060153862968775E-2</c:v>
                </c:pt>
                <c:pt idx="717">
                  <c:v>1.8117511012238907E-2</c:v>
                </c:pt>
                <c:pt idx="718">
                  <c:v>1.817481450826719E-2</c:v>
                </c:pt>
                <c:pt idx="719">
                  <c:v>1.8232064350893751E-2</c:v>
                </c:pt>
                <c:pt idx="720">
                  <c:v>1.8289260540278462E-2</c:v>
                </c:pt>
                <c:pt idx="721">
                  <c:v>1.8354560122020303E-2</c:v>
                </c:pt>
                <c:pt idx="722">
                  <c:v>1.8411339984671926E-2</c:v>
                </c:pt>
                <c:pt idx="723">
                  <c:v>1.8459545990019421E-2</c:v>
                </c:pt>
                <c:pt idx="724">
                  <c:v>1.8515246806138919E-2</c:v>
                </c:pt>
                <c:pt idx="725">
                  <c:v>1.8570366596790677E-2</c:v>
                </c:pt>
                <c:pt idx="726">
                  <c:v>1.8624905361654953E-2</c:v>
                </c:pt>
                <c:pt idx="727">
                  <c:v>1.8686523918312048E-2</c:v>
                </c:pt>
                <c:pt idx="728">
                  <c:v>1.8732239813221696E-2</c:v>
                </c:pt>
                <c:pt idx="729">
                  <c:v>1.8785035499284675E-2</c:v>
                </c:pt>
                <c:pt idx="730">
                  <c:v>1.8837250158600938E-2</c:v>
                </c:pt>
                <c:pt idx="731">
                  <c:v>1.8888883790850741E-2</c:v>
                </c:pt>
                <c:pt idx="732">
                  <c:v>1.8939936395874213E-2</c:v>
                </c:pt>
                <c:pt idx="733">
                  <c:v>1.8990407973271672E-2</c:v>
                </c:pt>
                <c:pt idx="734">
                  <c:v>1.9040298522883248E-2</c:v>
                </c:pt>
                <c:pt idx="735">
                  <c:v>1.9089608044629003E-2</c:v>
                </c:pt>
                <c:pt idx="736">
                  <c:v>1.9138336537949385E-2</c:v>
                </c:pt>
                <c:pt idx="737">
                  <c:v>1.9186484002844395E-2</c:v>
                </c:pt>
                <c:pt idx="738">
                  <c:v>1.9234050438994288E-2</c:v>
                </c:pt>
                <c:pt idx="739">
                  <c:v>1.9281035846159256E-2</c:v>
                </c:pt>
                <c:pt idx="740">
                  <c:v>1.9327440224259362E-2</c:v>
                </c:pt>
                <c:pt idx="741">
                  <c:v>1.9373263572814992E-2</c:v>
                </c:pt>
                <c:pt idx="742">
                  <c:v>1.9418505891826143E-2</c:v>
                </c:pt>
                <c:pt idx="743">
                  <c:v>1.9463167180893137E-2</c:v>
                </c:pt>
                <c:pt idx="744">
                  <c:v>1.9507247439936037E-2</c:v>
                </c:pt>
                <c:pt idx="745">
                  <c:v>1.9550746668715036E-2</c:v>
                </c:pt>
                <c:pt idx="746">
                  <c:v>1.9593664866990324E-2</c:v>
                </c:pt>
                <c:pt idx="747">
                  <c:v>1.9636002034602029E-2</c:v>
                </c:pt>
                <c:pt idx="748">
                  <c:v>1.9677758171230408E-2</c:v>
                </c:pt>
                <c:pt idx="749">
                  <c:v>1.9718933276795525E-2</c:v>
                </c:pt>
                <c:pt idx="750">
                  <c:v>1.9759527351057571E-2</c:v>
                </c:pt>
                <c:pt idx="751">
                  <c:v>1.9799540393856674E-2</c:v>
                </c:pt>
                <c:pt idx="752">
                  <c:v>1.983897240487309E-2</c:v>
                </c:pt>
                <c:pt idx="753">
                  <c:v>1.9883326092715592E-2</c:v>
                </c:pt>
                <c:pt idx="754">
                  <c:v>1.9921513035203731E-2</c:v>
                </c:pt>
                <c:pt idx="755">
                  <c:v>1.9959118945429566E-2</c:v>
                </c:pt>
                <c:pt idx="756">
                  <c:v>1.999089012831412E-2</c:v>
                </c:pt>
                <c:pt idx="757">
                  <c:v>2.0027416978098955E-2</c:v>
                </c:pt>
                <c:pt idx="758">
                  <c:v>2.0063362794981998E-2</c:v>
                </c:pt>
                <c:pt idx="759">
                  <c:v>2.0098727579043185E-2</c:v>
                </c:pt>
                <c:pt idx="760">
                  <c:v>2.0133511329882836E-2</c:v>
                </c:pt>
                <c:pt idx="761">
                  <c:v>2.0167714047341079E-2</c:v>
                </c:pt>
                <c:pt idx="762">
                  <c:v>2.0201335731417913E-2</c:v>
                </c:pt>
                <c:pt idx="763">
                  <c:v>2.0234376381873531E-2</c:v>
                </c:pt>
                <c:pt idx="764">
                  <c:v>2.0266835998468125E-2</c:v>
                </c:pt>
                <c:pt idx="765">
                  <c:v>2.0298714581041821E-2</c:v>
                </c:pt>
                <c:pt idx="766">
                  <c:v>2.0330012129594621E-2</c:v>
                </c:pt>
                <c:pt idx="767">
                  <c:v>2.0360728643886716E-2</c:v>
                </c:pt>
                <c:pt idx="768">
                  <c:v>2.0390864123758234E-2</c:v>
                </c:pt>
                <c:pt idx="769">
                  <c:v>2.0428755975574475E-2</c:v>
                </c:pt>
                <c:pt idx="770">
                  <c:v>2.0449391979600051E-2</c:v>
                </c:pt>
                <c:pt idx="771">
                  <c:v>2.0477784355330542E-2</c:v>
                </c:pt>
                <c:pt idx="772">
                  <c:v>2.0505595696080903E-2</c:v>
                </c:pt>
                <c:pt idx="773">
                  <c:v>2.0532826001691262E-2</c:v>
                </c:pt>
                <c:pt idx="774">
                  <c:v>2.0559495839069797E-2</c:v>
                </c:pt>
                <c:pt idx="775">
                  <c:v>2.0589343737063004E-2</c:v>
                </c:pt>
                <c:pt idx="776">
                  <c:v>2.0614909302967277E-2</c:v>
                </c:pt>
                <c:pt idx="777">
                  <c:v>2.0636413074770488E-2</c:v>
                </c:pt>
                <c:pt idx="778">
                  <c:v>2.0661022976247168E-2</c:v>
                </c:pt>
                <c:pt idx="779">
                  <c:v>2.0688518469329509E-2</c:v>
                </c:pt>
                <c:pt idx="780">
                  <c:v>2.0708699012965681E-2</c:v>
                </c:pt>
                <c:pt idx="781">
                  <c:v>2.0731765147967707E-2</c:v>
                </c:pt>
                <c:pt idx="782">
                  <c:v>2.075431669395833E-2</c:v>
                </c:pt>
                <c:pt idx="783">
                  <c:v>2.0776353650857615E-2</c:v>
                </c:pt>
                <c:pt idx="784">
                  <c:v>2.079787601850569E-2</c:v>
                </c:pt>
                <c:pt idx="785">
                  <c:v>2.0818883796822618E-2</c:v>
                </c:pt>
                <c:pt idx="786">
                  <c:v>2.08393769858084E-2</c:v>
                </c:pt>
                <c:pt idx="787">
                  <c:v>2.0859355585223227E-2</c:v>
                </c:pt>
                <c:pt idx="788">
                  <c:v>2.0878819595147036E-2</c:v>
                </c:pt>
                <c:pt idx="789">
                  <c:v>2.0897769015419954E-2</c:v>
                </c:pt>
                <c:pt idx="790">
                  <c:v>2.0916203845962045E-2</c:v>
                </c:pt>
                <c:pt idx="791">
                  <c:v>2.0934124086613437E-2</c:v>
                </c:pt>
                <c:pt idx="792">
                  <c:v>2.095152973737413E-2</c:v>
                </c:pt>
                <c:pt idx="793">
                  <c:v>2.0968420798244125E-2</c:v>
                </c:pt>
                <c:pt idx="794">
                  <c:v>2.0984797268983613E-2</c:v>
                </c:pt>
                <c:pt idx="795">
                  <c:v>2.1000659149752465E-2</c:v>
                </c:pt>
                <c:pt idx="796">
                  <c:v>2.1016006440230939E-2</c:v>
                </c:pt>
                <c:pt idx="797">
                  <c:v>2.1030839140498969E-2</c:v>
                </c:pt>
                <c:pt idx="798">
                  <c:v>2.104515725047662E-2</c:v>
                </c:pt>
                <c:pt idx="799">
                  <c:v>2.1058960770083957E-2</c:v>
                </c:pt>
                <c:pt idx="800">
                  <c:v>2.1072249699241041E-2</c:v>
                </c:pt>
                <c:pt idx="801">
                  <c:v>2.1085024037947875E-2</c:v>
                </c:pt>
                <c:pt idx="802">
                  <c:v>2.1097283786124521E-2</c:v>
                </c:pt>
                <c:pt idx="803">
                  <c:v>2.1109028943691044E-2</c:v>
                </c:pt>
                <c:pt idx="804">
                  <c:v>2.1120259510567507E-2</c:v>
                </c:pt>
                <c:pt idx="805">
                  <c:v>2.1132464333160073E-2</c:v>
                </c:pt>
                <c:pt idx="806">
                  <c:v>2.1141176872330192E-2</c:v>
                </c:pt>
                <c:pt idx="807">
                  <c:v>2.1152205487471321E-2</c:v>
                </c:pt>
                <c:pt idx="808">
                  <c:v>2.1160035870932958E-2</c:v>
                </c:pt>
                <c:pt idx="809">
                  <c:v>2.1168693483959444E-2</c:v>
                </c:pt>
                <c:pt idx="810">
                  <c:v>2.1176836506135999E-2</c:v>
                </c:pt>
                <c:pt idx="811">
                  <c:v>2.1184464937302749E-2</c:v>
                </c:pt>
                <c:pt idx="812">
                  <c:v>2.1191578777539632E-2</c:v>
                </c:pt>
                <c:pt idx="813">
                  <c:v>2.1198178026846648E-2</c:v>
                </c:pt>
                <c:pt idx="814">
                  <c:v>2.1204262685063924E-2</c:v>
                </c:pt>
                <c:pt idx="815">
                  <c:v>2.120983275219146E-2</c:v>
                </c:pt>
                <c:pt idx="816">
                  <c:v>2.1214888228389128E-2</c:v>
                </c:pt>
                <c:pt idx="817">
                  <c:v>2.1219429113337185E-2</c:v>
                </c:pt>
                <c:pt idx="818">
                  <c:v>2.1223455407275438E-2</c:v>
                </c:pt>
                <c:pt idx="819">
                  <c:v>2.1226967110044015E-2</c:v>
                </c:pt>
                <c:pt idx="820">
                  <c:v>2.1230726022585245E-2</c:v>
                </c:pt>
                <c:pt idx="821">
                  <c:v>2.1232446742152078E-2</c:v>
                </c:pt>
                <c:pt idx="822">
                  <c:v>2.1234414671411628E-2</c:v>
                </c:pt>
                <c:pt idx="823">
                  <c:v>2.1236033621825356E-2</c:v>
                </c:pt>
                <c:pt idx="824">
                  <c:v>2.12368067564217E-2</c:v>
                </c:pt>
                <c:pt idx="825">
                  <c:v>2.1237230912252159E-2</c:v>
                </c:pt>
                <c:pt idx="826">
                  <c:v>2.1237186847979928E-2</c:v>
                </c:pt>
                <c:pt idx="827">
                  <c:v>2.1237066277706163E-2</c:v>
                </c:pt>
                <c:pt idx="828">
                  <c:v>2.123694194500203E-2</c:v>
                </c:pt>
                <c:pt idx="829">
                  <c:v>2.1236772405579529E-2</c:v>
                </c:pt>
                <c:pt idx="830">
                  <c:v>2.1236576498289139E-2</c:v>
                </c:pt>
                <c:pt idx="831">
                  <c:v>2.1236320316893043E-2</c:v>
                </c:pt>
                <c:pt idx="832">
                  <c:v>2.1236105579705011E-2</c:v>
                </c:pt>
                <c:pt idx="833">
                  <c:v>2.123583056849121E-2</c:v>
                </c:pt>
                <c:pt idx="834">
                  <c:v>2.1235529189169711E-2</c:v>
                </c:pt>
                <c:pt idx="835">
                  <c:v>2.1235201441980323E-2</c:v>
                </c:pt>
                <c:pt idx="836">
                  <c:v>2.1234847326843109E-2</c:v>
                </c:pt>
                <c:pt idx="837">
                  <c:v>2.1234466843678135E-2</c:v>
                </c:pt>
                <c:pt idx="838">
                  <c:v>2.1234059992565335E-2</c:v>
                </c:pt>
                <c:pt idx="839">
                  <c:v>2.123362677350471E-2</c:v>
                </c:pt>
                <c:pt idx="840">
                  <c:v>2.123316718649626E-2</c:v>
                </c:pt>
                <c:pt idx="841">
                  <c:v>2.1232681231460049E-2</c:v>
                </c:pt>
                <c:pt idx="842">
                  <c:v>2.1232168908476012E-2</c:v>
                </c:pt>
                <c:pt idx="843">
                  <c:v>2.1231630217544151E-2</c:v>
                </c:pt>
                <c:pt idx="844">
                  <c:v>2.1231065158584528E-2</c:v>
                </c:pt>
                <c:pt idx="845">
                  <c:v>2.123047373167708E-2</c:v>
                </c:pt>
                <c:pt idx="846">
                  <c:v>2.1229855936821806E-2</c:v>
                </c:pt>
                <c:pt idx="847">
                  <c:v>2.1229211773938772E-2</c:v>
                </c:pt>
                <c:pt idx="848">
                  <c:v>2.1228541243187848E-2</c:v>
                </c:pt>
                <c:pt idx="849">
                  <c:v>2.1227844344409164E-2</c:v>
                </c:pt>
                <c:pt idx="850">
                  <c:v>2.1227121077682654E-2</c:v>
                </c:pt>
                <c:pt idx="851">
                  <c:v>2.1226371442928382E-2</c:v>
                </c:pt>
                <c:pt idx="852">
                  <c:v>2.1225595440226286E-2</c:v>
                </c:pt>
                <c:pt idx="853">
                  <c:v>2.1224793069576364E-2</c:v>
                </c:pt>
                <c:pt idx="854">
                  <c:v>2.1223964330978617E-2</c:v>
                </c:pt>
                <c:pt idx="855">
                  <c:v>2.1223109224353109E-2</c:v>
                </c:pt>
                <c:pt idx="856">
                  <c:v>2.1222227749779776E-2</c:v>
                </c:pt>
                <c:pt idx="857">
                  <c:v>2.1221055680538115E-2</c:v>
                </c:pt>
                <c:pt idx="858">
                  <c:v>2.122011393641543E-2</c:v>
                </c:pt>
                <c:pt idx="859">
                  <c:v>2.1219285740343707E-2</c:v>
                </c:pt>
                <c:pt idx="860">
                  <c:v>2.1218295027072287E-2</c:v>
                </c:pt>
                <c:pt idx="861">
                  <c:v>2.1217277945853041E-2</c:v>
                </c:pt>
                <c:pt idx="862">
                  <c:v>2.1216234496606035E-2</c:v>
                </c:pt>
                <c:pt idx="863">
                  <c:v>2.1215164679411203E-2</c:v>
                </c:pt>
                <c:pt idx="864">
                  <c:v>2.1214068494268545E-2</c:v>
                </c:pt>
                <c:pt idx="865">
                  <c:v>2.1212945941098127E-2</c:v>
                </c:pt>
                <c:pt idx="866">
                  <c:v>2.1211797020059819E-2</c:v>
                </c:pt>
                <c:pt idx="867">
                  <c:v>2.1210621730993751E-2</c:v>
                </c:pt>
                <c:pt idx="868">
                  <c:v>2.1209420073979857E-2</c:v>
                </c:pt>
                <c:pt idx="869">
                  <c:v>2.1208192049018137E-2</c:v>
                </c:pt>
                <c:pt idx="870">
                  <c:v>2.1206937656028657E-2</c:v>
                </c:pt>
                <c:pt idx="871">
                  <c:v>2.1205286120400402E-2</c:v>
                </c:pt>
                <c:pt idx="872">
                  <c:v>2.1204349766286157E-2</c:v>
                </c:pt>
                <c:pt idx="873">
                  <c:v>2.1203016269453201E-2</c:v>
                </c:pt>
                <c:pt idx="874">
                  <c:v>2.120165640467242E-2</c:v>
                </c:pt>
                <c:pt idx="875">
                  <c:v>2.1200794311235782E-2</c:v>
                </c:pt>
                <c:pt idx="876">
                  <c:v>2.1199175510102641E-2</c:v>
                </c:pt>
                <c:pt idx="877">
                  <c:v>2.1197002625470418E-2</c:v>
                </c:pt>
                <c:pt idx="878">
                  <c:v>2.1196371049105878E-2</c:v>
                </c:pt>
                <c:pt idx="879">
                  <c:v>2.1194113287821281E-2</c:v>
                </c:pt>
                <c:pt idx="880">
                  <c:v>2.1192754445422679E-2</c:v>
                </c:pt>
                <c:pt idx="881">
                  <c:v>2.1191459031006943E-2</c:v>
                </c:pt>
                <c:pt idx="882">
                  <c:v>2.1191843077601469E-2</c:v>
                </c:pt>
                <c:pt idx="883">
                  <c:v>2.1189983836560344E-2</c:v>
                </c:pt>
                <c:pt idx="884">
                  <c:v>2.1188896700445881E-2</c:v>
                </c:pt>
                <c:pt idx="885">
                  <c:v>2.1187872999748336E-2</c:v>
                </c:pt>
                <c:pt idx="886">
                  <c:v>2.1186912734494356E-2</c:v>
                </c:pt>
                <c:pt idx="887">
                  <c:v>2.1186015904710587E-2</c:v>
                </c:pt>
                <c:pt idx="888">
                  <c:v>2.1185182510370382E-2</c:v>
                </c:pt>
                <c:pt idx="889">
                  <c:v>2.1184412551473741E-2</c:v>
                </c:pt>
                <c:pt idx="890">
                  <c:v>2.1183706028047311E-2</c:v>
                </c:pt>
                <c:pt idx="891">
                  <c:v>2.11830629400378E-2</c:v>
                </c:pt>
                <c:pt idx="892">
                  <c:v>2.1182483287471854E-2</c:v>
                </c:pt>
                <c:pt idx="893">
                  <c:v>2.1181967070349472E-2</c:v>
                </c:pt>
                <c:pt idx="894">
                  <c:v>2.1181514288670655E-2</c:v>
                </c:pt>
                <c:pt idx="895">
                  <c:v>2.1181124942435403E-2</c:v>
                </c:pt>
                <c:pt idx="896">
                  <c:v>2.118079903161707E-2</c:v>
                </c:pt>
                <c:pt idx="897">
                  <c:v>2.1180536556268947E-2</c:v>
                </c:pt>
                <c:pt idx="898">
                  <c:v>2.1180337516337744E-2</c:v>
                </c:pt>
                <c:pt idx="899">
                  <c:v>2.1180201911850105E-2</c:v>
                </c:pt>
                <c:pt idx="900">
                  <c:v>2.1180129742806031E-2</c:v>
                </c:pt>
                <c:pt idx="901">
                  <c:v>2.1180121009205521E-2</c:v>
                </c:pt>
                <c:pt idx="902">
                  <c:v>2.1180175711021931E-2</c:v>
                </c:pt>
                <c:pt idx="903">
                  <c:v>2.1180293848308551E-2</c:v>
                </c:pt>
                <c:pt idx="904">
                  <c:v>2.118047542101209E-2</c:v>
                </c:pt>
                <c:pt idx="905">
                  <c:v>2.1180720429132549E-2</c:v>
                </c:pt>
                <c:pt idx="906">
                  <c:v>2.1181028872723218E-2</c:v>
                </c:pt>
                <c:pt idx="907">
                  <c:v>2.1181400751757451E-2</c:v>
                </c:pt>
                <c:pt idx="908">
                  <c:v>2.1181836066208604E-2</c:v>
                </c:pt>
                <c:pt idx="909">
                  <c:v>2.1183563156053076E-2</c:v>
                </c:pt>
                <c:pt idx="910">
                  <c:v>2.1181999950128372E-2</c:v>
                </c:pt>
                <c:pt idx="911">
                  <c:v>2.1182466186298043E-2</c:v>
                </c:pt>
                <c:pt idx="912">
                  <c:v>2.1183173283638723E-2</c:v>
                </c:pt>
                <c:pt idx="913">
                  <c:v>2.1183943809122141E-2</c:v>
                </c:pt>
                <c:pt idx="914">
                  <c:v>2.1184777762508489E-2</c:v>
                </c:pt>
                <c:pt idx="915">
                  <c:v>2.1185675143877702E-2</c:v>
                </c:pt>
                <c:pt idx="916">
                  <c:v>2.1186635953229782E-2</c:v>
                </c:pt>
                <c:pt idx="917">
                  <c:v>2.1187660190484792E-2</c:v>
                </c:pt>
                <c:pt idx="918">
                  <c:v>2.1188747855802603E-2</c:v>
                </c:pt>
                <c:pt idx="919">
                  <c:v>2.1189898949023345E-2</c:v>
                </c:pt>
                <c:pt idx="920">
                  <c:v>2.1191113470306888E-2</c:v>
                </c:pt>
                <c:pt idx="921">
                  <c:v>2.1192391419573298E-2</c:v>
                </c:pt>
                <c:pt idx="922">
                  <c:v>2.1193732796822573E-2</c:v>
                </c:pt>
                <c:pt idx="923">
                  <c:v>2.1195137601974778E-2</c:v>
                </c:pt>
                <c:pt idx="924">
                  <c:v>2.1196605835189786E-2</c:v>
                </c:pt>
                <c:pt idx="925">
                  <c:v>2.1198586763890859E-2</c:v>
                </c:pt>
                <c:pt idx="926">
                  <c:v>2.1199732585568398E-2</c:v>
                </c:pt>
                <c:pt idx="927">
                  <c:v>2.1201633211465065E-2</c:v>
                </c:pt>
                <c:pt idx="928">
                  <c:v>2.1203113047798539E-2</c:v>
                </c:pt>
                <c:pt idx="929">
                  <c:v>2.1204898450983833E-2</c:v>
                </c:pt>
                <c:pt idx="930">
                  <c:v>2.120675231252811E-2</c:v>
                </c:pt>
                <c:pt idx="931">
                  <c:v>2.1208959522143189E-2</c:v>
                </c:pt>
                <c:pt idx="932">
                  <c:v>2.121096827746527E-2</c:v>
                </c:pt>
                <c:pt idx="933">
                  <c:v>2.1212747599674842E-2</c:v>
                </c:pt>
                <c:pt idx="934">
                  <c:v>2.1215202639366382E-2</c:v>
                </c:pt>
                <c:pt idx="935">
                  <c:v>2.1217105876534248E-2</c:v>
                </c:pt>
                <c:pt idx="936">
                  <c:v>2.1219393440592427E-2</c:v>
                </c:pt>
                <c:pt idx="937">
                  <c:v>2.1221753288429568E-2</c:v>
                </c:pt>
                <c:pt idx="938">
                  <c:v>2.1224185420045671E-2</c:v>
                </c:pt>
                <c:pt idx="939">
                  <c:v>2.1226689835360801E-2</c:v>
                </c:pt>
                <c:pt idx="940">
                  <c:v>2.122926653453483E-2</c:v>
                </c:pt>
                <c:pt idx="941">
                  <c:v>2.1231915517407884E-2</c:v>
                </c:pt>
                <c:pt idx="942">
                  <c:v>2.1234636783979965E-2</c:v>
                </c:pt>
                <c:pt idx="943">
                  <c:v>2.1237430334410945E-2</c:v>
                </c:pt>
                <c:pt idx="944">
                  <c:v>2.1240296168620887E-2</c:v>
                </c:pt>
                <c:pt idx="945">
                  <c:v>2.1243234286529855E-2</c:v>
                </c:pt>
                <c:pt idx="946">
                  <c:v>2.1246244688217786E-2</c:v>
                </c:pt>
                <c:pt idx="947">
                  <c:v>2.1249327373764615E-2</c:v>
                </c:pt>
                <c:pt idx="948">
                  <c:v>2.1252482343090406E-2</c:v>
                </c:pt>
                <c:pt idx="949">
                  <c:v>2.1255709596035288E-2</c:v>
                </c:pt>
                <c:pt idx="950">
                  <c:v>2.1259009132919005E-2</c:v>
                </c:pt>
                <c:pt idx="951">
                  <c:v>2.1262380953581683E-2</c:v>
                </c:pt>
                <c:pt idx="952">
                  <c:v>2.1265825057943388E-2</c:v>
                </c:pt>
                <c:pt idx="953">
                  <c:v>2.1269341446163992E-2</c:v>
                </c:pt>
                <c:pt idx="954">
                  <c:v>2.1272930118163558E-2</c:v>
                </c:pt>
                <c:pt idx="955">
                  <c:v>2.127659107386215E-2</c:v>
                </c:pt>
                <c:pt idx="956">
                  <c:v>2.1280324313419641E-2</c:v>
                </c:pt>
                <c:pt idx="957">
                  <c:v>2.1284129836756094E-2</c:v>
                </c:pt>
                <c:pt idx="958">
                  <c:v>2.1288007643951445E-2</c:v>
                </c:pt>
                <c:pt idx="959">
                  <c:v>2.1291957734925759E-2</c:v>
                </c:pt>
                <c:pt idx="960">
                  <c:v>2.1295980109679036E-2</c:v>
                </c:pt>
                <c:pt idx="961">
                  <c:v>2.1305172693493191E-2</c:v>
                </c:pt>
                <c:pt idx="962">
                  <c:v>2.1306049670704041E-2</c:v>
                </c:pt>
                <c:pt idx="963">
                  <c:v>2.130909244121959E-2</c:v>
                </c:pt>
                <c:pt idx="964">
                  <c:v>2.1313414277468468E-2</c:v>
                </c:pt>
                <c:pt idx="965">
                  <c:v>2.1317808397576243E-2</c:v>
                </c:pt>
                <c:pt idx="966">
                  <c:v>2.1322274801462981E-2</c:v>
                </c:pt>
                <c:pt idx="967">
                  <c:v>2.1326813489128682E-2</c:v>
                </c:pt>
                <c:pt idx="968">
                  <c:v>2.1331424460733217E-2</c:v>
                </c:pt>
                <c:pt idx="969">
                  <c:v>2.1336107716036778E-2</c:v>
                </c:pt>
                <c:pt idx="970">
                  <c:v>2.1340863255279174E-2</c:v>
                </c:pt>
                <c:pt idx="971">
                  <c:v>2.1345691078220597E-2</c:v>
                </c:pt>
                <c:pt idx="972">
                  <c:v>2.1350591185020917E-2</c:v>
                </c:pt>
                <c:pt idx="973">
                  <c:v>2.1355563575760073E-2</c:v>
                </c:pt>
                <c:pt idx="974">
                  <c:v>2.136060825027819E-2</c:v>
                </c:pt>
                <c:pt idx="975">
                  <c:v>2.13672004733656E-2</c:v>
                </c:pt>
                <c:pt idx="976">
                  <c:v>2.1370914450891121E-2</c:v>
                </c:pt>
                <c:pt idx="977">
                  <c:v>2.1376175976985934E-2</c:v>
                </c:pt>
                <c:pt idx="978">
                  <c:v>2.1381509786939645E-2</c:v>
                </c:pt>
                <c:pt idx="979">
                  <c:v>2.13876940804969E-2</c:v>
                </c:pt>
                <c:pt idx="980">
                  <c:v>2.1392394258343828E-2</c:v>
                </c:pt>
                <c:pt idx="981">
                  <c:v>2.1398743772218509E-2</c:v>
                </c:pt>
                <c:pt idx="982">
                  <c:v>2.1404377043827694E-2</c:v>
                </c:pt>
                <c:pt idx="983">
                  <c:v>2.1409263094431807E-2</c:v>
                </c:pt>
                <c:pt idx="984">
                  <c:v>2.141503060753891E-2</c:v>
                </c:pt>
                <c:pt idx="985">
                  <c:v>2.142087040450491E-2</c:v>
                </c:pt>
                <c:pt idx="986">
                  <c:v>2.142763296917316E-2</c:v>
                </c:pt>
                <c:pt idx="987">
                  <c:v>2.1432766850173479E-2</c:v>
                </c:pt>
                <c:pt idx="988">
                  <c:v>2.1438823498796111E-2</c:v>
                </c:pt>
                <c:pt idx="989">
                  <c:v>2.1444952431277642E-2</c:v>
                </c:pt>
                <c:pt idx="990">
                  <c:v>2.1451153647777943E-2</c:v>
                </c:pt>
                <c:pt idx="991">
                  <c:v>2.1457427148137143E-2</c:v>
                </c:pt>
                <c:pt idx="992">
                  <c:v>2.1463772932275305E-2</c:v>
                </c:pt>
                <c:pt idx="993">
                  <c:v>2.1470191000432237E-2</c:v>
                </c:pt>
                <c:pt idx="994">
                  <c:v>2.1476681352448068E-2</c:v>
                </c:pt>
                <c:pt idx="995">
                  <c:v>2.148324398848267E-2</c:v>
                </c:pt>
                <c:pt idx="996">
                  <c:v>2.148987890837617E-2</c:v>
                </c:pt>
                <c:pt idx="997">
                  <c:v>2.1496586112128568E-2</c:v>
                </c:pt>
                <c:pt idx="998">
                  <c:v>2.1503365599819801E-2</c:v>
                </c:pt>
                <c:pt idx="999">
                  <c:v>2.1510217371529805E-2</c:v>
                </c:pt>
                <c:pt idx="1000">
                  <c:v>2.1517141427018771E-2</c:v>
                </c:pt>
                <c:pt idx="1001">
                  <c:v>2.1524137766606444E-2</c:v>
                </c:pt>
                <c:pt idx="1002">
                  <c:v>2.1531206390053015E-2</c:v>
                </c:pt>
                <c:pt idx="1003">
                  <c:v>2.1538347297518357E-2</c:v>
                </c:pt>
                <c:pt idx="1004">
                  <c:v>2.1545560488842597E-2</c:v>
                </c:pt>
                <c:pt idx="1005">
                  <c:v>2.1552845964105671E-2</c:v>
                </c:pt>
                <c:pt idx="1006">
                  <c:v>2.1560203723387517E-2</c:v>
                </c:pt>
                <c:pt idx="1007">
                  <c:v>2.1567633766688132E-2</c:v>
                </c:pt>
                <c:pt idx="1008">
                  <c:v>2.1575136093927583E-2</c:v>
                </c:pt>
                <c:pt idx="1009">
                  <c:v>2.1582710705105868E-2</c:v>
                </c:pt>
                <c:pt idx="1010">
                  <c:v>2.1590357600302923E-2</c:v>
                </c:pt>
                <c:pt idx="1011">
                  <c:v>2.1598076779438813E-2</c:v>
                </c:pt>
                <c:pt idx="1012">
                  <c:v>2.1605868242513537E-2</c:v>
                </c:pt>
                <c:pt idx="1013">
                  <c:v>2.1620529876500427E-2</c:v>
                </c:pt>
                <c:pt idx="1014">
                  <c:v>2.1627535017687549E-2</c:v>
                </c:pt>
                <c:pt idx="1015">
                  <c:v>2.1630826281668902E-2</c:v>
                </c:pt>
                <c:pt idx="1016">
                  <c:v>2.1638917207038588E-2</c:v>
                </c:pt>
                <c:pt idx="1017">
                  <c:v>2.1647080416427045E-2</c:v>
                </c:pt>
                <c:pt idx="1018">
                  <c:v>2.1655315909914208E-2</c:v>
                </c:pt>
                <c:pt idx="1019">
                  <c:v>2.1663623687340205E-2</c:v>
                </c:pt>
                <c:pt idx="1020">
                  <c:v>2.167200374886491E-2</c:v>
                </c:pt>
                <c:pt idx="1021">
                  <c:v>2.1680456094408385E-2</c:v>
                </c:pt>
                <c:pt idx="1022">
                  <c:v>2.168898072397063E-2</c:v>
                </c:pt>
                <c:pt idx="1023">
                  <c:v>2.1697577637551646E-2</c:v>
                </c:pt>
                <c:pt idx="1024">
                  <c:v>2.1706246835151433E-2</c:v>
                </c:pt>
                <c:pt idx="1025">
                  <c:v>2.1714988316929862E-2</c:v>
                </c:pt>
                <c:pt idx="1026">
                  <c:v>2.1728913414165163E-2</c:v>
                </c:pt>
                <c:pt idx="1027">
                  <c:v>2.1732688132463096E-2</c:v>
                </c:pt>
                <c:pt idx="1028">
                  <c:v>2.1741646466297837E-2</c:v>
                </c:pt>
                <c:pt idx="1029">
                  <c:v>2.1750677084311221E-2</c:v>
                </c:pt>
                <c:pt idx="1030">
                  <c:v>2.1759779986343375E-2</c:v>
                </c:pt>
                <c:pt idx="1031">
                  <c:v>2.1770271709993239E-2</c:v>
                </c:pt>
                <c:pt idx="1032">
                  <c:v>2.1779529610599369E-2</c:v>
                </c:pt>
                <c:pt idx="1033">
                  <c:v>2.1792836397258597E-2</c:v>
                </c:pt>
                <c:pt idx="1034">
                  <c:v>2.1798167807265401E-2</c:v>
                </c:pt>
                <c:pt idx="1035">
                  <c:v>2.1807452567585983E-2</c:v>
                </c:pt>
                <c:pt idx="1036">
                  <c:v>2.1816707364354926E-2</c:v>
                </c:pt>
                <c:pt idx="1037">
                  <c:v>2.1825932197652165E-2</c:v>
                </c:pt>
                <c:pt idx="1038">
                  <c:v>2.1839080107413089E-2</c:v>
                </c:pt>
                <c:pt idx="1039">
                  <c:v>2.1848230635548305E-2</c:v>
                </c:pt>
                <c:pt idx="1040">
                  <c:v>2.1857358125139115E-2</c:v>
                </c:pt>
                <c:pt idx="1041">
                  <c:v>2.1866455647980843E-2</c:v>
                </c:pt>
                <c:pt idx="1042">
                  <c:v>2.1875523204100134E-2</c:v>
                </c:pt>
                <c:pt idx="1043">
                  <c:v>2.1884560793443697E-2</c:v>
                </c:pt>
                <c:pt idx="1044">
                  <c:v>2.1893568416091469E-2</c:v>
                </c:pt>
                <c:pt idx="1045">
                  <c:v>2.1902546071963513E-2</c:v>
                </c:pt>
                <c:pt idx="1046">
                  <c:v>2.191149376105983E-2</c:v>
                </c:pt>
                <c:pt idx="1047">
                  <c:v>2.1920411483407065E-2</c:v>
                </c:pt>
                <c:pt idx="1048">
                  <c:v>2.1929299238978572E-2</c:v>
                </c:pt>
                <c:pt idx="1049">
                  <c:v>2.1938157027774352E-2</c:v>
                </c:pt>
                <c:pt idx="1050">
                  <c:v>2.1946984849767759E-2</c:v>
                </c:pt>
                <c:pt idx="1051">
                  <c:v>2.1955782704958793E-2</c:v>
                </c:pt>
                <c:pt idx="1052">
                  <c:v>2.1964550593400745E-2</c:v>
                </c:pt>
                <c:pt idx="1053">
                  <c:v>2.1973288514987033E-2</c:v>
                </c:pt>
                <c:pt idx="1054">
                  <c:v>2.1981996469770948E-2</c:v>
                </c:pt>
                <c:pt idx="1055">
                  <c:v>2.1990674457725845E-2</c:v>
                </c:pt>
                <c:pt idx="1056">
                  <c:v>2.1999322478878369E-2</c:v>
                </c:pt>
                <c:pt idx="1057">
                  <c:v>2.2007940533201875E-2</c:v>
                </c:pt>
                <c:pt idx="1058">
                  <c:v>2.2016528620696363E-2</c:v>
                </c:pt>
                <c:pt idx="1059">
                  <c:v>2.2025086741281896E-2</c:v>
                </c:pt>
                <c:pt idx="1060">
                  <c:v>2.2033614895091702E-2</c:v>
                </c:pt>
                <c:pt idx="1061">
                  <c:v>2.2042113081992554E-2</c:v>
                </c:pt>
                <c:pt idx="1062">
                  <c:v>2.2050581302037742E-2</c:v>
                </c:pt>
                <c:pt idx="1063">
                  <c:v>2.2059019555200621E-2</c:v>
                </c:pt>
                <c:pt idx="1064">
                  <c:v>2.2068472054890265E-2</c:v>
                </c:pt>
                <c:pt idx="1065">
                  <c:v>2.2076840786038332E-2</c:v>
                </c:pt>
                <c:pt idx="1066">
                  <c:v>2.2085179553634759E-2</c:v>
                </c:pt>
                <c:pt idx="1067">
                  <c:v>2.2092472899082338E-2</c:v>
                </c:pt>
                <c:pt idx="1068">
                  <c:v>2.2100761317833673E-2</c:v>
                </c:pt>
                <c:pt idx="1069">
                  <c:v>2.2109019769649407E-2</c:v>
                </c:pt>
                <c:pt idx="1070">
                  <c:v>2.2117248254556188E-2</c:v>
                </c:pt>
                <c:pt idx="1071">
                  <c:v>2.2125446772527368E-2</c:v>
                </c:pt>
                <c:pt idx="1072">
                  <c:v>2.213361532356295E-2</c:v>
                </c:pt>
                <c:pt idx="1073">
                  <c:v>2.2141753907716222E-2</c:v>
                </c:pt>
                <c:pt idx="1074">
                  <c:v>2.2149862524880604E-2</c:v>
                </c:pt>
                <c:pt idx="1075">
                  <c:v>2.2157941175136031E-2</c:v>
                </c:pt>
                <c:pt idx="1076">
                  <c:v>2.2165989858429214E-2</c:v>
                </c:pt>
                <c:pt idx="1077">
                  <c:v>2.2174008574760151E-2</c:v>
                </c:pt>
                <c:pt idx="1078">
                  <c:v>2.2181997324102198E-2</c:v>
                </c:pt>
                <c:pt idx="1079">
                  <c:v>2.2189956106508646E-2</c:v>
                </c:pt>
                <c:pt idx="1080">
                  <c:v>2.2199904999578024E-2</c:v>
                </c:pt>
                <c:pt idx="1081">
                  <c:v>2.220666543363059E-2</c:v>
                </c:pt>
                <c:pt idx="1082">
                  <c:v>2.2215645101439918E-2</c:v>
                </c:pt>
                <c:pt idx="1083">
                  <c:v>2.2222354169221248E-2</c:v>
                </c:pt>
                <c:pt idx="1084">
                  <c:v>2.2230153591609181E-2</c:v>
                </c:pt>
                <c:pt idx="1085">
                  <c:v>2.2237923050285602E-2</c:v>
                </c:pt>
                <c:pt idx="1086">
                  <c:v>2.2246765741504859E-2</c:v>
                </c:pt>
                <c:pt idx="1087">
                  <c:v>2.2254470992422171E-2</c:v>
                </c:pt>
                <c:pt idx="1088">
                  <c:v>2.2261051644525409E-2</c:v>
                </c:pt>
                <c:pt idx="1089">
                  <c:v>2.2268701248755463E-2</c:v>
                </c:pt>
                <c:pt idx="1090">
                  <c:v>2.2277406963224777E-2</c:v>
                </c:pt>
                <c:pt idx="1091">
                  <c:v>2.2283910566001097E-2</c:v>
                </c:pt>
                <c:pt idx="1092">
                  <c:v>2.2291470279256487E-2</c:v>
                </c:pt>
                <c:pt idx="1093">
                  <c:v>2.2299000028720428E-2</c:v>
                </c:pt>
                <c:pt idx="1094">
                  <c:v>2.2306499814552794E-2</c:v>
                </c:pt>
                <c:pt idx="1095">
                  <c:v>2.2313969636673647E-2</c:v>
                </c:pt>
                <c:pt idx="1096">
                  <c:v>2.2321409495242861E-2</c:v>
                </c:pt>
                <c:pt idx="1097">
                  <c:v>2.2328819390180499E-2</c:v>
                </c:pt>
                <c:pt idx="1098">
                  <c:v>2.2336199321326689E-2</c:v>
                </c:pt>
                <c:pt idx="1099">
                  <c:v>2.2343549288841302E-2</c:v>
                </c:pt>
                <c:pt idx="1100">
                  <c:v>2.235086929272434E-2</c:v>
                </c:pt>
                <c:pt idx="1101">
                  <c:v>2.2358159332895866E-2</c:v>
                </c:pt>
                <c:pt idx="1102">
                  <c:v>2.236541940935588E-2</c:v>
                </c:pt>
                <c:pt idx="1103">
                  <c:v>2.2372649522184318E-2</c:v>
                </c:pt>
                <c:pt idx="1104">
                  <c:v>2.2379849671301244E-2</c:v>
                </c:pt>
                <c:pt idx="1105">
                  <c:v>2.2387019856786594E-2</c:v>
                </c:pt>
                <c:pt idx="1106">
                  <c:v>2.2394160078560432E-2</c:v>
                </c:pt>
                <c:pt idx="1107">
                  <c:v>2.2401270336702694E-2</c:v>
                </c:pt>
                <c:pt idx="1108">
                  <c:v>2.2408350631053509E-2</c:v>
                </c:pt>
                <c:pt idx="1109">
                  <c:v>2.2415400961852683E-2</c:v>
                </c:pt>
                <c:pt idx="1110">
                  <c:v>2.2422421328860409E-2</c:v>
                </c:pt>
                <c:pt idx="1111">
                  <c:v>2.2429411732236559E-2</c:v>
                </c:pt>
                <c:pt idx="1112">
                  <c:v>2.2436372171901198E-2</c:v>
                </c:pt>
                <c:pt idx="1113">
                  <c:v>2.244330264793426E-2</c:v>
                </c:pt>
                <c:pt idx="1114">
                  <c:v>2.2450203160095938E-2</c:v>
                </c:pt>
                <c:pt idx="1115">
                  <c:v>2.2457073708705977E-2</c:v>
                </c:pt>
                <c:pt idx="1116">
                  <c:v>2.2465863242846495E-2</c:v>
                </c:pt>
                <c:pt idx="1117">
                  <c:v>2.2472665302961659E-2</c:v>
                </c:pt>
                <c:pt idx="1118">
                  <c:v>2.2478471791531618E-2</c:v>
                </c:pt>
                <c:pt idx="1119">
                  <c:v>2.2485218204799651E-2</c:v>
                </c:pt>
                <c:pt idx="1120">
                  <c:v>2.2491934654356172E-2</c:v>
                </c:pt>
                <c:pt idx="1121">
                  <c:v>2.2498621140121244E-2</c:v>
                </c:pt>
                <c:pt idx="1122">
                  <c:v>2.2505277662254741E-2</c:v>
                </c:pt>
                <c:pt idx="1123">
                  <c:v>2.2511904220676726E-2</c:v>
                </c:pt>
                <c:pt idx="1124">
                  <c:v>2.2518500815387199E-2</c:v>
                </c:pt>
                <c:pt idx="1125">
                  <c:v>2.2525067446306224E-2</c:v>
                </c:pt>
                <c:pt idx="1126">
                  <c:v>2.2531604113513737E-2</c:v>
                </c:pt>
                <c:pt idx="1127">
                  <c:v>2.2538110817089674E-2</c:v>
                </c:pt>
                <c:pt idx="1128">
                  <c:v>2.2544587556874163E-2</c:v>
                </c:pt>
                <c:pt idx="1129">
                  <c:v>2.255103433294714E-2</c:v>
                </c:pt>
                <c:pt idx="1130">
                  <c:v>2.2559279016762801E-2</c:v>
                </c:pt>
                <c:pt idx="1131">
                  <c:v>2.2563837994038494E-2</c:v>
                </c:pt>
                <c:pt idx="1132">
                  <c:v>2.2570194878896999E-2</c:v>
                </c:pt>
                <c:pt idx="1133">
                  <c:v>2.2576521800123928E-2</c:v>
                </c:pt>
                <c:pt idx="1134">
                  <c:v>2.2583715876978161E-2</c:v>
                </c:pt>
                <c:pt idx="1135">
                  <c:v>2.2589085751363314E-2</c:v>
                </c:pt>
                <c:pt idx="1136">
                  <c:v>2.2596211339642736E-2</c:v>
                </c:pt>
                <c:pt idx="1137">
                  <c:v>2.2602414125367787E-2</c:v>
                </c:pt>
                <c:pt idx="1138">
                  <c:v>2.2607706950186213E-2</c:v>
                </c:pt>
                <c:pt idx="1139">
                  <c:v>2.2613854088984198E-2</c:v>
                </c:pt>
                <c:pt idx="1140">
                  <c:v>2.2619971263990735E-2</c:v>
                </c:pt>
                <c:pt idx="1141">
                  <c:v>2.262605847528576E-2</c:v>
                </c:pt>
                <c:pt idx="1142">
                  <c:v>2.2632978598000619E-2</c:v>
                </c:pt>
                <c:pt idx="1143">
                  <c:v>2.2638143006741274E-2</c:v>
                </c:pt>
                <c:pt idx="1144">
                  <c:v>2.2644140326821827E-2</c:v>
                </c:pt>
                <c:pt idx="1145">
                  <c:v>2.2650107683190868E-2</c:v>
                </c:pt>
                <c:pt idx="1146">
                  <c:v>2.2656045075688525E-2</c:v>
                </c:pt>
                <c:pt idx="1147">
                  <c:v>2.2661952504554606E-2</c:v>
                </c:pt>
                <c:pt idx="1148">
                  <c:v>2.2667829969709175E-2</c:v>
                </c:pt>
                <c:pt idx="1149">
                  <c:v>2.2673677471072295E-2</c:v>
                </c:pt>
                <c:pt idx="1150">
                  <c:v>2.2679495008643968E-2</c:v>
                </c:pt>
                <c:pt idx="1151">
                  <c:v>2.2685282582504129E-2</c:v>
                </c:pt>
                <c:pt idx="1152">
                  <c:v>2.2691040192572842E-2</c:v>
                </c:pt>
                <c:pt idx="1153">
                  <c:v>2.2696767838850107E-2</c:v>
                </c:pt>
                <c:pt idx="1154">
                  <c:v>2.270246552141586E-2</c:v>
                </c:pt>
                <c:pt idx="1155">
                  <c:v>2.2708133240270101E-2</c:v>
                </c:pt>
                <c:pt idx="1156">
                  <c:v>2.2713770995252958E-2</c:v>
                </c:pt>
                <c:pt idx="1157">
                  <c:v>2.2719378786524302E-2</c:v>
                </c:pt>
                <c:pt idx="1158">
                  <c:v>2.2724956614084135E-2</c:v>
                </c:pt>
                <c:pt idx="1159">
                  <c:v>2.2730504477772584E-2</c:v>
                </c:pt>
                <c:pt idx="1160">
                  <c:v>2.2736022377749521E-2</c:v>
                </c:pt>
                <c:pt idx="1161">
                  <c:v>2.2741510314014945E-2</c:v>
                </c:pt>
                <c:pt idx="1162">
                  <c:v>2.2746968286408986E-2</c:v>
                </c:pt>
                <c:pt idx="1163">
                  <c:v>2.2752396295091515E-2</c:v>
                </c:pt>
                <c:pt idx="1164">
                  <c:v>2.2757794339982595E-2</c:v>
                </c:pt>
                <c:pt idx="1165">
                  <c:v>2.2763162421082228E-2</c:v>
                </c:pt>
                <c:pt idx="1166">
                  <c:v>2.2768500538390413E-2</c:v>
                </c:pt>
                <c:pt idx="1167">
                  <c:v>2.2773808692067021E-2</c:v>
                </c:pt>
                <c:pt idx="1168">
                  <c:v>2.278572189714545E-2</c:v>
                </c:pt>
                <c:pt idx="1169">
                  <c:v>2.2788762861942757E-2</c:v>
                </c:pt>
                <c:pt idx="1170">
                  <c:v>2.2790296390073905E-2</c:v>
                </c:pt>
                <c:pt idx="1171">
                  <c:v>2.2795480407928892E-2</c:v>
                </c:pt>
                <c:pt idx="1172">
                  <c:v>2.2800634462072367E-2</c:v>
                </c:pt>
                <c:pt idx="1173">
                  <c:v>2.2805758552424393E-2</c:v>
                </c:pt>
                <c:pt idx="1174">
                  <c:v>2.2810852678984972E-2</c:v>
                </c:pt>
                <c:pt idx="1175">
                  <c:v>2.2815916841754103E-2</c:v>
                </c:pt>
                <c:pt idx="1176">
                  <c:v>2.2820951040651849E-2</c:v>
                </c:pt>
                <c:pt idx="1177">
                  <c:v>2.282595527591802E-2</c:v>
                </c:pt>
                <c:pt idx="1178">
                  <c:v>2.283092954723287E-2</c:v>
                </c:pt>
                <c:pt idx="1179">
                  <c:v>2.2835873854836208E-2</c:v>
                </c:pt>
                <c:pt idx="1180">
                  <c:v>2.2840788198648099E-2</c:v>
                </c:pt>
                <c:pt idx="1181">
                  <c:v>2.2845672578668541E-2</c:v>
                </c:pt>
                <c:pt idx="1182">
                  <c:v>2.2850526994897535E-2</c:v>
                </c:pt>
                <c:pt idx="1183">
                  <c:v>2.2855351447335082E-2</c:v>
                </c:pt>
                <c:pt idx="1184">
                  <c:v>2.286014593598118E-2</c:v>
                </c:pt>
                <c:pt idx="1185">
                  <c:v>2.2868395546176146E-2</c:v>
                </c:pt>
                <c:pt idx="1186">
                  <c:v>2.2870318941539125E-2</c:v>
                </c:pt>
                <c:pt idx="1187">
                  <c:v>2.2874349618930978E-2</c:v>
                </c:pt>
                <c:pt idx="1188">
                  <c:v>2.2879024252411284E-2</c:v>
                </c:pt>
                <c:pt idx="1189">
                  <c:v>2.288366810803133E-2</c:v>
                </c:pt>
                <c:pt idx="1190">
                  <c:v>2.288932675482247E-2</c:v>
                </c:pt>
                <c:pt idx="1191">
                  <c:v>2.2893481519554726E-2</c:v>
                </c:pt>
                <c:pt idx="1192">
                  <c:v>2.2900732109070177E-2</c:v>
                </c:pt>
                <c:pt idx="1193">
                  <c:v>2.2905601989902102E-2</c:v>
                </c:pt>
                <c:pt idx="1194">
                  <c:v>2.2909606676337901E-2</c:v>
                </c:pt>
                <c:pt idx="1195">
                  <c:v>2.2913980115122357E-2</c:v>
                </c:pt>
                <c:pt idx="1196">
                  <c:v>2.2918310990673874E-2</c:v>
                </c:pt>
                <c:pt idx="1197">
                  <c:v>2.2922599303019098E-2</c:v>
                </c:pt>
                <c:pt idx="1198">
                  <c:v>2.2926845052104738E-2</c:v>
                </c:pt>
                <c:pt idx="1199">
                  <c:v>2.2931048237957441E-2</c:v>
                </c:pt>
                <c:pt idx="1200">
                  <c:v>2.2935208860577205E-2</c:v>
                </c:pt>
                <c:pt idx="1201">
                  <c:v>2.2939326919937386E-2</c:v>
                </c:pt>
                <c:pt idx="1202">
                  <c:v>2.2943402416037983E-2</c:v>
                </c:pt>
                <c:pt idx="1203">
                  <c:v>2.2947435348878997E-2</c:v>
                </c:pt>
                <c:pt idx="1204">
                  <c:v>2.2951425718460428E-2</c:v>
                </c:pt>
                <c:pt idx="1205">
                  <c:v>2.2955373524782274E-2</c:v>
                </c:pt>
                <c:pt idx="1206">
                  <c:v>2.2959278767817892E-2</c:v>
                </c:pt>
                <c:pt idx="1207">
                  <c:v>2.2963141447567281E-2</c:v>
                </c:pt>
                <c:pt idx="1208">
                  <c:v>2.2966961564057087E-2</c:v>
                </c:pt>
                <c:pt idx="1209">
                  <c:v>2.2970739117234018E-2</c:v>
                </c:pt>
                <c:pt idx="1210">
                  <c:v>2.2974474107178011E-2</c:v>
                </c:pt>
                <c:pt idx="1211">
                  <c:v>2.2978166533782485E-2</c:v>
                </c:pt>
                <c:pt idx="1212">
                  <c:v>2.2981816397100729E-2</c:v>
                </c:pt>
                <c:pt idx="1213">
                  <c:v>2.29854236971061E-2</c:v>
                </c:pt>
                <c:pt idx="1214">
                  <c:v>2.2988988433851887E-2</c:v>
                </c:pt>
                <c:pt idx="1215">
                  <c:v>2.2992510607231509E-2</c:v>
                </c:pt>
                <c:pt idx="1216">
                  <c:v>2.2995990217351547E-2</c:v>
                </c:pt>
                <c:pt idx="1217">
                  <c:v>2.2999427264132066E-2</c:v>
                </c:pt>
                <c:pt idx="1218">
                  <c:v>2.3002821747599711E-2</c:v>
                </c:pt>
                <c:pt idx="1219">
                  <c:v>2.3006173667727836E-2</c:v>
                </c:pt>
                <c:pt idx="1220">
                  <c:v>2.3013716798847561E-2</c:v>
                </c:pt>
                <c:pt idx="1221">
                  <c:v>2.3013126583091292E-2</c:v>
                </c:pt>
                <c:pt idx="1222">
                  <c:v>2.3015416282241574E-2</c:v>
                </c:pt>
                <c:pt idx="1223">
                  <c:v>2.3018585382903467E-2</c:v>
                </c:pt>
                <c:pt idx="1224">
                  <c:v>2.3021711925528265E-2</c:v>
                </c:pt>
                <c:pt idx="1225">
                  <c:v>2.3024795910195905E-2</c:v>
                </c:pt>
                <c:pt idx="1226">
                  <c:v>2.3027837336986323E-2</c:v>
                </c:pt>
                <c:pt idx="1227">
                  <c:v>2.3030836205739647E-2</c:v>
                </c:pt>
                <c:pt idx="1228">
                  <c:v>2.3033792516615748E-2</c:v>
                </c:pt>
                <c:pt idx="1229">
                  <c:v>2.3036706269454754E-2</c:v>
                </c:pt>
                <c:pt idx="1230">
                  <c:v>2.3039577464336602E-2</c:v>
                </c:pt>
                <c:pt idx="1231">
                  <c:v>2.3042406101341228E-2</c:v>
                </c:pt>
                <c:pt idx="1232">
                  <c:v>2.304519218030876E-2</c:v>
                </c:pt>
                <c:pt idx="1233">
                  <c:v>2.3047935701319133E-2</c:v>
                </c:pt>
                <c:pt idx="1234">
                  <c:v>2.3050636664372348E-2</c:v>
                </c:pt>
                <c:pt idx="1235">
                  <c:v>2.3054046797028604E-2</c:v>
                </c:pt>
                <c:pt idx="1236">
                  <c:v>2.3055910916607303E-2</c:v>
                </c:pt>
                <c:pt idx="1237">
                  <c:v>2.3058484205789043E-2</c:v>
                </c:pt>
                <c:pt idx="1238">
                  <c:v>2.3061372995876184E-2</c:v>
                </c:pt>
                <c:pt idx="1239">
                  <c:v>2.3063503110281047E-2</c:v>
                </c:pt>
                <c:pt idx="1240">
                  <c:v>2.3065948725511376E-2</c:v>
                </c:pt>
                <c:pt idx="1241">
                  <c:v>2.3068691602556868E-2</c:v>
                </c:pt>
                <c:pt idx="1242">
                  <c:v>2.3071046022176134E-2</c:v>
                </c:pt>
                <c:pt idx="1243">
                  <c:v>2.3073030223379476E-2</c:v>
                </c:pt>
                <c:pt idx="1244">
                  <c:v>2.3075305606861107E-2</c:v>
                </c:pt>
                <c:pt idx="1245">
                  <c:v>2.3077853933211046E-2</c:v>
                </c:pt>
                <c:pt idx="1246">
                  <c:v>2.3079728699633151E-2</c:v>
                </c:pt>
                <c:pt idx="1247">
                  <c:v>2.3081876409083435E-2</c:v>
                </c:pt>
                <c:pt idx="1248">
                  <c:v>2.3083981560576561E-2</c:v>
                </c:pt>
                <c:pt idx="1249">
                  <c:v>2.3086044154032592E-2</c:v>
                </c:pt>
                <c:pt idx="1250">
                  <c:v>2.3088064189611401E-2</c:v>
                </c:pt>
                <c:pt idx="1251">
                  <c:v>2.3090041667153116E-2</c:v>
                </c:pt>
                <c:pt idx="1252">
                  <c:v>2.3091976586657736E-2</c:v>
                </c:pt>
                <c:pt idx="1253">
                  <c:v>2.3093868948285134E-2</c:v>
                </c:pt>
                <c:pt idx="1254">
                  <c:v>2.3095718751875438E-2</c:v>
                </c:pt>
                <c:pt idx="1255">
                  <c:v>2.3097525997508583E-2</c:v>
                </c:pt>
                <c:pt idx="1256">
                  <c:v>2.309929068518457E-2</c:v>
                </c:pt>
                <c:pt idx="1257">
                  <c:v>2.3101012814823463E-2</c:v>
                </c:pt>
                <c:pt idx="1258">
                  <c:v>2.3102692386425261E-2</c:v>
                </c:pt>
                <c:pt idx="1259">
                  <c:v>2.3104329400149837E-2</c:v>
                </c:pt>
                <c:pt idx="1260">
                  <c:v>2.3105923855837318E-2</c:v>
                </c:pt>
                <c:pt idx="1261">
                  <c:v>2.3107475753567641E-2</c:v>
                </c:pt>
                <c:pt idx="1262">
                  <c:v>2.3108985093340806E-2</c:v>
                </c:pt>
                <c:pt idx="1263">
                  <c:v>2.3110451875076876E-2</c:v>
                </c:pt>
                <c:pt idx="1264">
                  <c:v>2.3111876098935724E-2</c:v>
                </c:pt>
                <c:pt idx="1265">
                  <c:v>2.3113257764677542E-2</c:v>
                </c:pt>
                <c:pt idx="1266">
                  <c:v>2.3114596872462201E-2</c:v>
                </c:pt>
                <c:pt idx="1267">
                  <c:v>2.3115893422289702E-2</c:v>
                </c:pt>
                <c:pt idx="1268">
                  <c:v>2.3117147414080108E-2</c:v>
                </c:pt>
                <c:pt idx="1269">
                  <c:v>2.3118358847913356E-2</c:v>
                </c:pt>
                <c:pt idx="1270">
                  <c:v>2.3119527723789446E-2</c:v>
                </c:pt>
                <c:pt idx="1271">
                  <c:v>2.3120654041628441E-2</c:v>
                </c:pt>
                <c:pt idx="1272">
                  <c:v>2.3123594229881306E-2</c:v>
                </c:pt>
                <c:pt idx="1273">
                  <c:v>2.3123212204749777E-2</c:v>
                </c:pt>
                <c:pt idx="1274">
                  <c:v>2.3123916836542691E-2</c:v>
                </c:pt>
                <c:pt idx="1275">
                  <c:v>2.3124866842696434E-2</c:v>
                </c:pt>
                <c:pt idx="1276">
                  <c:v>2.312577429089302E-2</c:v>
                </c:pt>
                <c:pt idx="1277">
                  <c:v>2.3126639181052511E-2</c:v>
                </c:pt>
                <c:pt idx="1278">
                  <c:v>2.3127461513334779E-2</c:v>
                </c:pt>
                <c:pt idx="1279">
                  <c:v>2.3128241287579954E-2</c:v>
                </c:pt>
                <c:pt idx="1280">
                  <c:v>2.3128978503788034E-2</c:v>
                </c:pt>
                <c:pt idx="1281">
                  <c:v>2.3129673161959019E-2</c:v>
                </c:pt>
                <c:pt idx="1282">
                  <c:v>2.3130325262172846E-2</c:v>
                </c:pt>
                <c:pt idx="1283">
                  <c:v>2.3130934804429515E-2</c:v>
                </c:pt>
                <c:pt idx="1284">
                  <c:v>2.3131501788729025E-2</c:v>
                </c:pt>
                <c:pt idx="1285">
                  <c:v>2.3132168234187844E-2</c:v>
                </c:pt>
                <c:pt idx="1286">
                  <c:v>2.3132508083216763E-2</c:v>
                </c:pt>
                <c:pt idx="1287">
                  <c:v>2.3132947393484926E-2</c:v>
                </c:pt>
                <c:pt idx="1288">
                  <c:v>2.3133344145715995E-2</c:v>
                </c:pt>
                <c:pt idx="1289">
                  <c:v>2.3133698340149778E-2</c:v>
                </c:pt>
                <c:pt idx="1290">
                  <c:v>2.3134009976386594E-2</c:v>
                </c:pt>
                <c:pt idx="1291">
                  <c:v>2.3134314020296642E-2</c:v>
                </c:pt>
                <c:pt idx="1292">
                  <c:v>2.313453446084246E-2</c:v>
                </c:pt>
                <c:pt idx="1293">
                  <c:v>2.313468953719422E-2</c:v>
                </c:pt>
                <c:pt idx="1294">
                  <c:v>2.3134830941522466E-2</c:v>
                </c:pt>
                <c:pt idx="1295">
                  <c:v>2.3134929787813618E-2</c:v>
                </c:pt>
                <c:pt idx="1296">
                  <c:v>2.3134986076227548E-2</c:v>
                </c:pt>
                <c:pt idx="1297">
                  <c:v>2.3134999806444512E-2</c:v>
                </c:pt>
                <c:pt idx="1298">
                  <c:v>2.3134963386457486E-2</c:v>
                </c:pt>
                <c:pt idx="1299">
                  <c:v>2.3134899593166836E-2</c:v>
                </c:pt>
                <c:pt idx="1300">
                  <c:v>2.3134785649512324E-2</c:v>
                </c:pt>
                <c:pt idx="1301">
                  <c:v>2.3134629147820718E-2</c:v>
                </c:pt>
                <c:pt idx="1302">
                  <c:v>2.3134430088251889E-2</c:v>
                </c:pt>
                <c:pt idx="1303">
                  <c:v>2.3134188470566031E-2</c:v>
                </c:pt>
                <c:pt idx="1304">
                  <c:v>2.3133904294843077E-2</c:v>
                </c:pt>
                <c:pt idx="1305">
                  <c:v>2.3133577561322838E-2</c:v>
                </c:pt>
                <c:pt idx="1306">
                  <c:v>2.3133208269685568E-2</c:v>
                </c:pt>
                <c:pt idx="1307">
                  <c:v>2.313279642009114E-2</c:v>
                </c:pt>
                <c:pt idx="1308">
                  <c:v>2.3132342012459617E-2</c:v>
                </c:pt>
                <c:pt idx="1309">
                  <c:v>2.3131845046870936E-2</c:v>
                </c:pt>
                <c:pt idx="1310">
                  <c:v>2.3131305523165224E-2</c:v>
                </c:pt>
                <c:pt idx="1311">
                  <c:v>2.3130723441662226E-2</c:v>
                </c:pt>
                <c:pt idx="1312">
                  <c:v>2.3130098802042198E-2</c:v>
                </c:pt>
                <c:pt idx="1313">
                  <c:v>2.3129431604465012E-2</c:v>
                </c:pt>
                <c:pt idx="1314">
                  <c:v>2.3128721848930667E-2</c:v>
                </c:pt>
                <c:pt idx="1315">
                  <c:v>2.3127969535359227E-2</c:v>
                </c:pt>
                <c:pt idx="1316">
                  <c:v>2.312717466383063E-2</c:v>
                </c:pt>
                <c:pt idx="1317">
                  <c:v>2.3126337234185002E-2</c:v>
                </c:pt>
                <c:pt idx="1318">
                  <c:v>2.3125457246742087E-2</c:v>
                </c:pt>
                <c:pt idx="1319">
                  <c:v>2.3124534701182142E-2</c:v>
                </c:pt>
                <c:pt idx="1320">
                  <c:v>2.3123569597585103E-2</c:v>
                </c:pt>
                <c:pt idx="1321">
                  <c:v>2.3122561936110841E-2</c:v>
                </c:pt>
                <c:pt idx="1322">
                  <c:v>2.3121511716599485E-2</c:v>
                </c:pt>
                <c:pt idx="1323">
                  <c:v>2.3120418939130971E-2</c:v>
                </c:pt>
                <c:pt idx="1324">
                  <c:v>2.3119117938703582E-2</c:v>
                </c:pt>
                <c:pt idx="1325">
                  <c:v>2.311858992962712E-2</c:v>
                </c:pt>
                <c:pt idx="1326">
                  <c:v>2.3116707434347461E-2</c:v>
                </c:pt>
                <c:pt idx="1327">
                  <c:v>2.311562224928565E-2</c:v>
                </c:pt>
                <c:pt idx="1328">
                  <c:v>2.3114316681791536E-2</c:v>
                </c:pt>
                <c:pt idx="1329">
                  <c:v>2.3112968556340263E-2</c:v>
                </c:pt>
                <c:pt idx="1330">
                  <c:v>2.3111577872931832E-2</c:v>
                </c:pt>
                <c:pt idx="1331">
                  <c:v>2.3110144631566243E-2</c:v>
                </c:pt>
                <c:pt idx="1332">
                  <c:v>2.3108668832163559E-2</c:v>
                </c:pt>
                <c:pt idx="1333">
                  <c:v>2.3107150474803717E-2</c:v>
                </c:pt>
                <c:pt idx="1334">
                  <c:v>2.3105589559486717E-2</c:v>
                </c:pt>
                <c:pt idx="1335">
                  <c:v>2.3103986086132622E-2</c:v>
                </c:pt>
                <c:pt idx="1336">
                  <c:v>2.3102340054821369E-2</c:v>
                </c:pt>
                <c:pt idx="1337">
                  <c:v>2.3100651465473021E-2</c:v>
                </c:pt>
                <c:pt idx="1338">
                  <c:v>2.3098920318167515E-2</c:v>
                </c:pt>
                <c:pt idx="1339">
                  <c:v>2.3097146612904851E-2</c:v>
                </c:pt>
                <c:pt idx="1340">
                  <c:v>2.3094803600560709E-2</c:v>
                </c:pt>
                <c:pt idx="1341">
                  <c:v>2.3093471528428111E-2</c:v>
                </c:pt>
                <c:pt idx="1342">
                  <c:v>2.3091570149214036E-2</c:v>
                </c:pt>
                <c:pt idx="1343">
                  <c:v>2.3089626212042802E-2</c:v>
                </c:pt>
                <c:pt idx="1344">
                  <c:v>2.3087639716834474E-2</c:v>
                </c:pt>
                <c:pt idx="1345">
                  <c:v>2.3085610663748923E-2</c:v>
                </c:pt>
                <c:pt idx="1346">
                  <c:v>2.3083239633976405E-2</c:v>
                </c:pt>
                <c:pt idx="1347">
                  <c:v>2.3081119385199855E-2</c:v>
                </c:pt>
                <c:pt idx="1348">
                  <c:v>2.3079268156429578E-2</c:v>
                </c:pt>
                <c:pt idx="1349">
                  <c:v>2.3077068871275586E-2</c:v>
                </c:pt>
                <c:pt idx="1350">
                  <c:v>2.3074503290887449E-2</c:v>
                </c:pt>
                <c:pt idx="1351">
                  <c:v>2.3072542627335935E-2</c:v>
                </c:pt>
                <c:pt idx="1352">
                  <c:v>2.3070215668390404E-2</c:v>
                </c:pt>
                <c:pt idx="1353">
                  <c:v>2.3067846151407778E-2</c:v>
                </c:pt>
                <c:pt idx="1354">
                  <c:v>2.306543407654793E-2</c:v>
                </c:pt>
                <c:pt idx="1355">
                  <c:v>2.3062979443571052E-2</c:v>
                </c:pt>
                <c:pt idx="1356">
                  <c:v>2.3060482252716952E-2</c:v>
                </c:pt>
                <c:pt idx="1357">
                  <c:v>2.3057942503905693E-2</c:v>
                </c:pt>
                <c:pt idx="1358">
                  <c:v>2.3055360197137276E-2</c:v>
                </c:pt>
                <c:pt idx="1359">
                  <c:v>2.30527353324117E-2</c:v>
                </c:pt>
                <c:pt idx="1360">
                  <c:v>2.305006790964903E-2</c:v>
                </c:pt>
                <c:pt idx="1361">
                  <c:v>2.3047357929009138E-2</c:v>
                </c:pt>
                <c:pt idx="1362">
                  <c:v>2.3044605390252215E-2</c:v>
                </c:pt>
                <c:pt idx="1363">
                  <c:v>2.3041810293777942E-2</c:v>
                </c:pt>
                <c:pt idx="1364">
                  <c:v>2.3038972639106703E-2</c:v>
                </c:pt>
                <c:pt idx="1365">
                  <c:v>2.3036092426558241E-2</c:v>
                </c:pt>
                <c:pt idx="1366">
                  <c:v>2.3033169656052621E-2</c:v>
                </c:pt>
                <c:pt idx="1367">
                  <c:v>2.3030204327669779E-2</c:v>
                </c:pt>
                <c:pt idx="1368">
                  <c:v>2.3027196441169906E-2</c:v>
                </c:pt>
                <c:pt idx="1369">
                  <c:v>2.3024145996872747E-2</c:v>
                </c:pt>
                <c:pt idx="1370">
                  <c:v>2.3021052994618429E-2</c:v>
                </c:pt>
                <c:pt idx="1371">
                  <c:v>2.3017917434327018E-2</c:v>
                </c:pt>
                <c:pt idx="1372">
                  <c:v>2.3014739316078447E-2</c:v>
                </c:pt>
                <c:pt idx="1373">
                  <c:v>2.3011518639872719E-2</c:v>
                </c:pt>
                <c:pt idx="1374">
                  <c:v>2.3008255405789768E-2</c:v>
                </c:pt>
                <c:pt idx="1375">
                  <c:v>2.3004949613669723E-2</c:v>
                </c:pt>
                <c:pt idx="1376">
                  <c:v>2.300111945372052E-2</c:v>
                </c:pt>
                <c:pt idx="1377">
                  <c:v>2.2998210355638093E-2</c:v>
                </c:pt>
                <c:pt idx="1378">
                  <c:v>2.2994282920461018E-2</c:v>
                </c:pt>
                <c:pt idx="1379">
                  <c:v>2.2991300865777831E-2</c:v>
                </c:pt>
                <c:pt idx="1380">
                  <c:v>2.2987782284031866E-2</c:v>
                </c:pt>
                <c:pt idx="1381">
                  <c:v>2.2984221144328743E-2</c:v>
                </c:pt>
                <c:pt idx="1382">
                  <c:v>2.2980617446588525E-2</c:v>
                </c:pt>
                <c:pt idx="1383">
                  <c:v>2.2976971190891149E-2</c:v>
                </c:pt>
                <c:pt idx="1384">
                  <c:v>2.2973282377316551E-2</c:v>
                </c:pt>
                <c:pt idx="1385">
                  <c:v>2.2969551005784794E-2</c:v>
                </c:pt>
                <c:pt idx="1386">
                  <c:v>2.2965777076375815E-2</c:v>
                </c:pt>
                <c:pt idx="1387">
                  <c:v>2.2961960588929742E-2</c:v>
                </c:pt>
                <c:pt idx="1388">
                  <c:v>2.2958101543686382E-2</c:v>
                </c:pt>
                <c:pt idx="1389">
                  <c:v>2.2954199940405928E-2</c:v>
                </c:pt>
                <c:pt idx="1390">
                  <c:v>2.2950255779328188E-2</c:v>
                </c:pt>
                <c:pt idx="1391">
                  <c:v>2.2945122180821897E-2</c:v>
                </c:pt>
                <c:pt idx="1392">
                  <c:v>2.2942239783061424E-2</c:v>
                </c:pt>
                <c:pt idx="1393">
                  <c:v>2.2938167948112209E-2</c:v>
                </c:pt>
                <c:pt idx="1394">
                  <c:v>2.2933462310632535E-2</c:v>
                </c:pt>
                <c:pt idx="1395">
                  <c:v>2.292989660442224E-2</c:v>
                </c:pt>
                <c:pt idx="1396">
                  <c:v>2.2925697095681485E-2</c:v>
                </c:pt>
                <c:pt idx="1397">
                  <c:v>2.292084554539997E-2</c:v>
                </c:pt>
                <c:pt idx="1398">
                  <c:v>2.2916554841128089E-2</c:v>
                </c:pt>
                <c:pt idx="1399">
                  <c:v>2.2912843222036017E-2</c:v>
                </c:pt>
                <c:pt idx="1400">
                  <c:v>2.2908473481546565E-2</c:v>
                </c:pt>
                <c:pt idx="1401">
                  <c:v>2.2904061183339763E-2</c:v>
                </c:pt>
                <c:pt idx="1402">
                  <c:v>2.2898966444868663E-2</c:v>
                </c:pt>
                <c:pt idx="1403">
                  <c:v>2.2895108912814877E-2</c:v>
                </c:pt>
                <c:pt idx="1404">
                  <c:v>2.2890568940816536E-2</c:v>
                </c:pt>
                <c:pt idx="1405">
                  <c:v>2.2885986410781101E-2</c:v>
                </c:pt>
                <c:pt idx="1406">
                  <c:v>2.2881361322948379E-2</c:v>
                </c:pt>
                <c:pt idx="1407">
                  <c:v>2.2876693677238435E-2</c:v>
                </c:pt>
                <c:pt idx="1408">
                  <c:v>2.2871983473571333E-2</c:v>
                </c:pt>
                <c:pt idx="1409">
                  <c:v>2.2867230711867137E-2</c:v>
                </c:pt>
                <c:pt idx="1410">
                  <c:v>2.2862435392525526E-2</c:v>
                </c:pt>
                <c:pt idx="1411">
                  <c:v>2.2857597515066885E-2</c:v>
                </c:pt>
                <c:pt idx="1412">
                  <c:v>2.2852717079810958E-2</c:v>
                </c:pt>
                <c:pt idx="1413">
                  <c:v>2.2847794086677808E-2</c:v>
                </c:pt>
                <c:pt idx="1414">
                  <c:v>2.28428285355875E-2</c:v>
                </c:pt>
                <c:pt idx="1415">
                  <c:v>2.283782042661997E-2</c:v>
                </c:pt>
                <c:pt idx="1416">
                  <c:v>2.2832769759775218E-2</c:v>
                </c:pt>
                <c:pt idx="1417">
                  <c:v>2.2827676535133179E-2</c:v>
                </c:pt>
                <c:pt idx="1418">
                  <c:v>2.2822540752454046E-2</c:v>
                </c:pt>
                <c:pt idx="1419">
                  <c:v>2.2817362412057562E-2</c:v>
                </c:pt>
                <c:pt idx="1420">
                  <c:v>2.2812141513623985E-2</c:v>
                </c:pt>
                <c:pt idx="1421">
                  <c:v>2.2806878057313185E-2</c:v>
                </c:pt>
                <c:pt idx="1422">
                  <c:v>2.2801572043205098E-2</c:v>
                </c:pt>
                <c:pt idx="1423">
                  <c:v>2.279622347121979E-2</c:v>
                </c:pt>
                <c:pt idx="1424">
                  <c:v>2.2790832341357259E-2</c:v>
                </c:pt>
                <c:pt idx="1425">
                  <c:v>2.278539865353757E-2</c:v>
                </c:pt>
                <c:pt idx="1426">
                  <c:v>2.2779922407840658E-2</c:v>
                </c:pt>
                <c:pt idx="1427">
                  <c:v>2.277440360434646E-2</c:v>
                </c:pt>
                <c:pt idx="1428">
                  <c:v>2.2767245465864505E-2</c:v>
                </c:pt>
                <c:pt idx="1429">
                  <c:v>2.2762434289766986E-2</c:v>
                </c:pt>
                <c:pt idx="1430">
                  <c:v>2.2757591846680469E-2</c:v>
                </c:pt>
                <c:pt idx="1431">
                  <c:v>2.2751902811757319E-2</c:v>
                </c:pt>
                <c:pt idx="1432">
                  <c:v>2.2746171218956945E-2</c:v>
                </c:pt>
                <c:pt idx="1433">
                  <c:v>2.274039706827935E-2</c:v>
                </c:pt>
                <c:pt idx="1434">
                  <c:v>2.2734580359724532E-2</c:v>
                </c:pt>
                <c:pt idx="1435">
                  <c:v>2.2728721093292492E-2</c:v>
                </c:pt>
                <c:pt idx="1436">
                  <c:v>2.2722819269143102E-2</c:v>
                </c:pt>
                <c:pt idx="1437">
                  <c:v>2.2716874887036553E-2</c:v>
                </c:pt>
                <c:pt idx="1438">
                  <c:v>2.2710887947052782E-2</c:v>
                </c:pt>
                <c:pt idx="1439">
                  <c:v>2.2704858449271725E-2</c:v>
                </c:pt>
                <c:pt idx="1440">
                  <c:v>2.2698786393693382E-2</c:v>
                </c:pt>
                <c:pt idx="1441">
                  <c:v>2.2690916931011884E-2</c:v>
                </c:pt>
                <c:pt idx="1442">
                  <c:v>2.2686514608905028E-2</c:v>
                </c:pt>
                <c:pt idx="1443">
                  <c:v>2.268031487985489E-2</c:v>
                </c:pt>
                <c:pt idx="1444">
                  <c:v>2.2674072592847594E-2</c:v>
                </c:pt>
                <c:pt idx="1445">
                  <c:v>2.2667787748043011E-2</c:v>
                </c:pt>
                <c:pt idx="1446">
                  <c:v>2.2660811994827945E-2</c:v>
                </c:pt>
                <c:pt idx="1447">
                  <c:v>2.2654176916541147E-2</c:v>
                </c:pt>
                <c:pt idx="1448">
                  <c:v>2.2647758318568023E-2</c:v>
                </c:pt>
                <c:pt idx="1449">
                  <c:v>2.2642229975744499E-2</c:v>
                </c:pt>
                <c:pt idx="1450">
                  <c:v>2.2635771918535497E-2</c:v>
                </c:pt>
                <c:pt idx="1451">
                  <c:v>2.2629305933268284E-2</c:v>
                </c:pt>
                <c:pt idx="1452">
                  <c:v>2.262283201978299E-2</c:v>
                </c:pt>
                <c:pt idx="1453">
                  <c:v>2.261635017815955E-2</c:v>
                </c:pt>
                <c:pt idx="1454">
                  <c:v>2.2608932651166924E-2</c:v>
                </c:pt>
                <c:pt idx="1455">
                  <c:v>2.2603362710498232E-2</c:v>
                </c:pt>
                <c:pt idx="1456">
                  <c:v>2.2596857084300481E-2</c:v>
                </c:pt>
                <c:pt idx="1457">
                  <c:v>2.2590343530044521E-2</c:v>
                </c:pt>
                <c:pt idx="1458">
                  <c:v>2.2583822047650415E-2</c:v>
                </c:pt>
                <c:pt idx="1459">
                  <c:v>2.2577292637118163E-2</c:v>
                </c:pt>
                <c:pt idx="1460">
                  <c:v>2.2570755298367828E-2</c:v>
                </c:pt>
                <c:pt idx="1461">
                  <c:v>2.2564210031479348E-2</c:v>
                </c:pt>
                <c:pt idx="1462">
                  <c:v>2.2557656836452722E-2</c:v>
                </c:pt>
                <c:pt idx="1463">
                  <c:v>2.2551095713367886E-2</c:v>
                </c:pt>
                <c:pt idx="1464">
                  <c:v>2.2544526662064968E-2</c:v>
                </c:pt>
                <c:pt idx="1465">
                  <c:v>2.2537949682464031E-2</c:v>
                </c:pt>
                <c:pt idx="1466">
                  <c:v>2.2531364774884821E-2</c:v>
                </c:pt>
                <c:pt idx="1467">
                  <c:v>2.2524771939087529E-2</c:v>
                </c:pt>
                <c:pt idx="1468">
                  <c:v>2.2518171175152091E-2</c:v>
                </c:pt>
                <c:pt idx="1469">
                  <c:v>2.2511562483078507E-2</c:v>
                </c:pt>
                <c:pt idx="1470">
                  <c:v>2.2504945862866776E-2</c:v>
                </c:pt>
                <c:pt idx="1471">
                  <c:v>2.2498321314436964E-2</c:v>
                </c:pt>
                <c:pt idx="1472">
                  <c:v>2.2491688837948942E-2</c:v>
                </c:pt>
                <c:pt idx="1473">
                  <c:v>2.2485048433242838E-2</c:v>
                </c:pt>
                <c:pt idx="1474">
                  <c:v>2.2478400100398588E-2</c:v>
                </c:pt>
                <c:pt idx="1475">
                  <c:v>2.2471743839496128E-2</c:v>
                </c:pt>
                <c:pt idx="1476">
                  <c:v>2.246507965029565E-2</c:v>
                </c:pt>
                <c:pt idx="1477">
                  <c:v>2.2458407533116898E-2</c:v>
                </c:pt>
                <c:pt idx="1478">
                  <c:v>2.2451727487640127E-2</c:v>
                </c:pt>
                <c:pt idx="1479">
                  <c:v>2.2445039514025211E-2</c:v>
                </c:pt>
                <c:pt idx="1480">
                  <c:v>2.2436351897383133E-2</c:v>
                </c:pt>
                <c:pt idx="1481">
                  <c:v>2.2429202678289073E-2</c:v>
                </c:pt>
                <c:pt idx="1482">
                  <c:v>2.2423968554727836E-2</c:v>
                </c:pt>
                <c:pt idx="1483">
                  <c:v>2.2417247736026269E-2</c:v>
                </c:pt>
                <c:pt idx="1484">
                  <c:v>2.2410518989186556E-2</c:v>
                </c:pt>
                <c:pt idx="1485">
                  <c:v>2.2403782314128762E-2</c:v>
                </c:pt>
                <c:pt idx="1486">
                  <c:v>2.2397037711012757E-2</c:v>
                </c:pt>
                <c:pt idx="1487">
                  <c:v>2.2390285179678671E-2</c:v>
                </c:pt>
                <c:pt idx="1488">
                  <c:v>2.2383524720286374E-2</c:v>
                </c:pt>
                <c:pt idx="1489">
                  <c:v>2.2376756332755932E-2</c:v>
                </c:pt>
                <c:pt idx="1490">
                  <c:v>2.2369980017007407E-2</c:v>
                </c:pt>
                <c:pt idx="1491">
                  <c:v>2.2363195773120736E-2</c:v>
                </c:pt>
                <c:pt idx="1492">
                  <c:v>2.2356403601015984E-2</c:v>
                </c:pt>
                <c:pt idx="1493">
                  <c:v>2.2349603500932957E-2</c:v>
                </c:pt>
                <c:pt idx="1494">
                  <c:v>2.2342795472631849E-2</c:v>
                </c:pt>
                <c:pt idx="1495">
                  <c:v>2.2335979516192594E-2</c:v>
                </c:pt>
                <c:pt idx="1496">
                  <c:v>2.2327613269883528E-2</c:v>
                </c:pt>
                <c:pt idx="1497">
                  <c:v>2.2322323818899648E-2</c:v>
                </c:pt>
                <c:pt idx="1498">
                  <c:v>2.2315686811316127E-2</c:v>
                </c:pt>
                <c:pt idx="1499">
                  <c:v>2.2307657523521485E-2</c:v>
                </c:pt>
                <c:pt idx="1500">
                  <c:v>2.2300800793777498E-2</c:v>
                </c:pt>
                <c:pt idx="1501">
                  <c:v>2.2293353690416851E-2</c:v>
                </c:pt>
                <c:pt idx="1502">
                  <c:v>2.2287063550034958E-2</c:v>
                </c:pt>
                <c:pt idx="1503">
                  <c:v>2.2279594356637844E-2</c:v>
                </c:pt>
                <c:pt idx="1504">
                  <c:v>2.2273294593659898E-2</c:v>
                </c:pt>
                <c:pt idx="1505">
                  <c:v>2.2266984909844467E-2</c:v>
                </c:pt>
                <c:pt idx="1506">
                  <c:v>2.2258895889590846E-2</c:v>
                </c:pt>
                <c:pt idx="1507">
                  <c:v>2.2251980542895566E-2</c:v>
                </c:pt>
                <c:pt idx="1508">
                  <c:v>2.2245057267342716E-2</c:v>
                </c:pt>
                <c:pt idx="1509">
                  <c:v>2.2238126062958941E-2</c:v>
                </c:pt>
                <c:pt idx="1510">
                  <c:v>2.2231186929690949E-2</c:v>
                </c:pt>
                <c:pt idx="1511">
                  <c:v>2.2224239867592033E-2</c:v>
                </c:pt>
                <c:pt idx="1512">
                  <c:v>2.2217284876662191E-2</c:v>
                </c:pt>
                <c:pt idx="1513">
                  <c:v>2.2210321956901424E-2</c:v>
                </c:pt>
                <c:pt idx="1514">
                  <c:v>2.2203351108283087E-2</c:v>
                </c:pt>
                <c:pt idx="1515">
                  <c:v>2.219637233086047E-2</c:v>
                </c:pt>
                <c:pt idx="1516">
                  <c:v>2.2189385624553637E-2</c:v>
                </c:pt>
                <c:pt idx="1517">
                  <c:v>2.218239098946917E-2</c:v>
                </c:pt>
                <c:pt idx="1518">
                  <c:v>2.2175388425500486E-2</c:v>
                </c:pt>
                <c:pt idx="1519">
                  <c:v>2.2168377932727523E-2</c:v>
                </c:pt>
                <c:pt idx="1520">
                  <c:v>2.2161359511123635E-2</c:v>
                </c:pt>
                <c:pt idx="1521">
                  <c:v>2.2154333160688822E-2</c:v>
                </c:pt>
                <c:pt idx="1522">
                  <c:v>2.2147298881423083E-2</c:v>
                </c:pt>
                <c:pt idx="1523">
                  <c:v>2.2140256673326419E-2</c:v>
                </c:pt>
                <c:pt idx="1524">
                  <c:v>2.2133206536398831E-2</c:v>
                </c:pt>
                <c:pt idx="1525">
                  <c:v>2.2126148470666962E-2</c:v>
                </c:pt>
                <c:pt idx="1526">
                  <c:v>2.2119082476104168E-2</c:v>
                </c:pt>
                <c:pt idx="1527">
                  <c:v>2.2112008552710449E-2</c:v>
                </c:pt>
                <c:pt idx="1528">
                  <c:v>2.2104926700539096E-2</c:v>
                </c:pt>
                <c:pt idx="1529">
                  <c:v>2.2097836919510172E-2</c:v>
                </c:pt>
                <c:pt idx="1530">
                  <c:v>2.2090739209676968E-2</c:v>
                </c:pt>
                <c:pt idx="1531">
                  <c:v>2.2083633571039485E-2</c:v>
                </c:pt>
                <c:pt idx="1532">
                  <c:v>2.2069398507298388E-2</c:v>
                </c:pt>
                <c:pt idx="1533">
                  <c:v>2.2063973272503645E-2</c:v>
                </c:pt>
                <c:pt idx="1534">
                  <c:v>2.2058879023321154E-2</c:v>
                </c:pt>
                <c:pt idx="1535">
                  <c:v>2.2055131728340172E-2</c:v>
                </c:pt>
                <c:pt idx="1536">
                  <c:v>2.2047986445627998E-2</c:v>
                </c:pt>
                <c:pt idx="1537">
                  <c:v>2.2040833234138191E-2</c:v>
                </c:pt>
                <c:pt idx="1538">
                  <c:v>2.2033672093817458E-2</c:v>
                </c:pt>
                <c:pt idx="1539">
                  <c:v>2.2026503024692445E-2</c:v>
                </c:pt>
                <c:pt idx="1540">
                  <c:v>2.2019326026789798E-2</c:v>
                </c:pt>
                <c:pt idx="1541">
                  <c:v>2.2012141100056226E-2</c:v>
                </c:pt>
                <c:pt idx="1542">
                  <c:v>2.200494824454502E-2</c:v>
                </c:pt>
                <c:pt idx="1543">
                  <c:v>2.1997747460229533E-2</c:v>
                </c:pt>
                <c:pt idx="1544">
                  <c:v>2.1990538747136412E-2</c:v>
                </c:pt>
                <c:pt idx="1545">
                  <c:v>2.1983322105212366E-2</c:v>
                </c:pt>
                <c:pt idx="1546">
                  <c:v>2.1971657906751929E-2</c:v>
                </c:pt>
                <c:pt idx="1547">
                  <c:v>2.1965456951162921E-2</c:v>
                </c:pt>
                <c:pt idx="1548">
                  <c:v>2.195821514105134E-2</c:v>
                </c:pt>
                <c:pt idx="1549">
                  <c:v>2.195096540288155E-2</c:v>
                </c:pt>
                <c:pt idx="1550">
                  <c:v>2.1942670280052923E-2</c:v>
                </c:pt>
                <c:pt idx="1551">
                  <c:v>2.1936442142287405E-2</c:v>
                </c:pt>
                <c:pt idx="1552">
                  <c:v>2.192812889795448E-2</c:v>
                </c:pt>
                <c:pt idx="1553">
                  <c:v>2.1920846314777975E-2</c:v>
                </c:pt>
                <c:pt idx="1554">
                  <c:v>2.1914597790440027E-2</c:v>
                </c:pt>
                <c:pt idx="1555">
                  <c:v>2.1907300483681169E-2</c:v>
                </c:pt>
                <c:pt idx="1556">
                  <c:v>2.1899995248704229E-2</c:v>
                </c:pt>
                <c:pt idx="1557">
                  <c:v>2.189163670085037E-2</c:v>
                </c:pt>
                <c:pt idx="1558">
                  <c:v>2.1885360994495784E-2</c:v>
                </c:pt>
                <c:pt idx="1559">
                  <c:v>2.1878031975264278E-2</c:v>
                </c:pt>
                <c:pt idx="1560">
                  <c:v>2.1870695027894627E-2</c:v>
                </c:pt>
                <c:pt idx="1561">
                  <c:v>2.1863350152386829E-2</c:v>
                </c:pt>
                <c:pt idx="1562">
                  <c:v>2.1855997348820821E-2</c:v>
                </c:pt>
                <c:pt idx="1563">
                  <c:v>2.1848636617196604E-2</c:v>
                </c:pt>
                <c:pt idx="1564">
                  <c:v>2.1841267957354304E-2</c:v>
                </c:pt>
                <c:pt idx="1565">
                  <c:v>2.1833891369453795E-2</c:v>
                </c:pt>
                <c:pt idx="1566">
                  <c:v>2.182650685341514E-2</c:v>
                </c:pt>
                <c:pt idx="1567">
                  <c:v>2.1819114409318274E-2</c:v>
                </c:pt>
                <c:pt idx="1568">
                  <c:v>2.1811714037083263E-2</c:v>
                </c:pt>
                <c:pt idx="1569">
                  <c:v>2.1804305736790042E-2</c:v>
                </c:pt>
                <c:pt idx="1570">
                  <c:v>2.1796889508358674E-2</c:v>
                </c:pt>
                <c:pt idx="1571">
                  <c:v>2.1789465351789161E-2</c:v>
                </c:pt>
                <c:pt idx="1572">
                  <c:v>2.1782033267161438E-2</c:v>
                </c:pt>
                <c:pt idx="1573">
                  <c:v>2.1774593254475505E-2</c:v>
                </c:pt>
                <c:pt idx="1574">
                  <c:v>2.1767145313651426E-2</c:v>
                </c:pt>
                <c:pt idx="1575">
                  <c:v>2.1759689444769137E-2</c:v>
                </c:pt>
                <c:pt idx="1576">
                  <c:v>2.1752225647668766E-2</c:v>
                </c:pt>
                <c:pt idx="1577">
                  <c:v>2.1744753922590121E-2</c:v>
                </c:pt>
                <c:pt idx="1578">
                  <c:v>2.1737274269293394E-2</c:v>
                </c:pt>
                <c:pt idx="1579">
                  <c:v>2.1729786688018393E-2</c:v>
                </c:pt>
                <c:pt idx="1580">
                  <c:v>2.172229117852531E-2</c:v>
                </c:pt>
                <c:pt idx="1581">
                  <c:v>2.1714787741053954E-2</c:v>
                </c:pt>
                <c:pt idx="1582">
                  <c:v>2.1707276375444451E-2</c:v>
                </c:pt>
                <c:pt idx="1583">
                  <c:v>2.1699757081696802E-2</c:v>
                </c:pt>
                <c:pt idx="1584">
                  <c:v>2.1690538171293738E-2</c:v>
                </c:pt>
                <c:pt idx="1585">
                  <c:v>2.1681462933100804E-2</c:v>
                </c:pt>
                <c:pt idx="1586">
                  <c:v>2.1676073402279172E-2</c:v>
                </c:pt>
                <c:pt idx="1587">
                  <c:v>2.1669600625804364E-2</c:v>
                </c:pt>
                <c:pt idx="1588">
                  <c:v>2.1662041691685729E-2</c:v>
                </c:pt>
                <c:pt idx="1589">
                  <c:v>2.1654474829428949E-2</c:v>
                </c:pt>
                <c:pt idx="1590">
                  <c:v>2.1646900039113959E-2</c:v>
                </c:pt>
                <c:pt idx="1591">
                  <c:v>2.1639317320580886E-2</c:v>
                </c:pt>
                <c:pt idx="1592">
                  <c:v>2.163172667406954E-2</c:v>
                </c:pt>
                <c:pt idx="1593">
                  <c:v>2.1624128099340112E-2</c:v>
                </c:pt>
                <c:pt idx="1594">
                  <c:v>2.1616521596552474E-2</c:v>
                </c:pt>
                <c:pt idx="1595">
                  <c:v>2.1608907165786562E-2</c:v>
                </c:pt>
                <c:pt idx="1596">
                  <c:v>2.1601284806802568E-2</c:v>
                </c:pt>
                <c:pt idx="1597">
                  <c:v>2.15936545198403E-2</c:v>
                </c:pt>
                <c:pt idx="1598">
                  <c:v>2.1586016304739886E-2</c:v>
                </c:pt>
                <c:pt idx="1599">
                  <c:v>2.1578370161581262E-2</c:v>
                </c:pt>
                <c:pt idx="1600">
                  <c:v>2.1570716090284492E-2</c:v>
                </c:pt>
                <c:pt idx="1601">
                  <c:v>2.1560863491947302E-2</c:v>
                </c:pt>
                <c:pt idx="1602">
                  <c:v>2.1555384163436386E-2</c:v>
                </c:pt>
                <c:pt idx="1603">
                  <c:v>2.1547706307805115E-2</c:v>
                </c:pt>
                <c:pt idx="1604">
                  <c:v>2.1540020524275505E-2</c:v>
                </c:pt>
                <c:pt idx="1605">
                  <c:v>2.1532326812527813E-2</c:v>
                </c:pt>
                <c:pt idx="1606">
                  <c:v>2.1524625172721912E-2</c:v>
                </c:pt>
                <c:pt idx="1607">
                  <c:v>2.1515813590857746E-2</c:v>
                </c:pt>
                <c:pt idx="1608">
                  <c:v>2.1508094962241486E-2</c:v>
                </c:pt>
                <c:pt idx="1609">
                  <c:v>2.1501472684795075E-2</c:v>
                </c:pt>
                <c:pt idx="1610">
                  <c:v>2.1492633920914272E-2</c:v>
                </c:pt>
                <c:pt idx="1611">
                  <c:v>2.1485998052499511E-2</c:v>
                </c:pt>
                <c:pt idx="1612">
                  <c:v>2.1478248844184478E-2</c:v>
                </c:pt>
                <c:pt idx="1613">
                  <c:v>2.1470491707811235E-2</c:v>
                </c:pt>
                <c:pt idx="1614">
                  <c:v>2.1462726643299845E-2</c:v>
                </c:pt>
                <c:pt idx="1615">
                  <c:v>2.1454953650810182E-2</c:v>
                </c:pt>
                <c:pt idx="1616">
                  <c:v>2.1447172730262309E-2</c:v>
                </c:pt>
                <c:pt idx="1617">
                  <c:v>2.1439383881496354E-2</c:v>
                </c:pt>
                <c:pt idx="1618">
                  <c:v>2.1431587104752126E-2</c:v>
                </c:pt>
                <c:pt idx="1619">
                  <c:v>2.1423782399869751E-2</c:v>
                </c:pt>
                <c:pt idx="1620">
                  <c:v>2.1415969766929166E-2</c:v>
                </c:pt>
                <c:pt idx="1621">
                  <c:v>2.1408149205930371E-2</c:v>
                </c:pt>
                <c:pt idx="1622">
                  <c:v>2.1400320716873367E-2</c:v>
                </c:pt>
                <c:pt idx="1623">
                  <c:v>2.1392484299678216E-2</c:v>
                </c:pt>
                <c:pt idx="1624">
                  <c:v>2.1384639954424856E-2</c:v>
                </c:pt>
                <c:pt idx="1625">
                  <c:v>2.1376787681113285E-2</c:v>
                </c:pt>
                <c:pt idx="1626">
                  <c:v>2.1368927479663569E-2</c:v>
                </c:pt>
                <c:pt idx="1627">
                  <c:v>2.1361059350235578E-2</c:v>
                </c:pt>
                <c:pt idx="1628">
                  <c:v>2.1353183292749378E-2</c:v>
                </c:pt>
                <c:pt idx="1629">
                  <c:v>2.1345299307125032E-2</c:v>
                </c:pt>
                <c:pt idx="1630">
                  <c:v>2.1337407393442476E-2</c:v>
                </c:pt>
                <c:pt idx="1631">
                  <c:v>2.1329507551621774E-2</c:v>
                </c:pt>
                <c:pt idx="1632">
                  <c:v>2.1321599781742862E-2</c:v>
                </c:pt>
                <c:pt idx="1633">
                  <c:v>2.1313684083965612E-2</c:v>
                </c:pt>
                <c:pt idx="1634">
                  <c:v>2.130576045797028E-2</c:v>
                </c:pt>
                <c:pt idx="1635">
                  <c:v>2.1297828903996674E-2</c:v>
                </c:pt>
                <c:pt idx="1636">
                  <c:v>2.1288754562878154E-2</c:v>
                </c:pt>
                <c:pt idx="1637">
                  <c:v>2.128080602009419E-2</c:v>
                </c:pt>
                <c:pt idx="1638">
                  <c:v>2.1272849549331951E-2</c:v>
                </c:pt>
                <c:pt idx="1639">
                  <c:v>2.1266023407040535E-2</c:v>
                </c:pt>
                <c:pt idx="1640">
                  <c:v>2.1258052212695944E-2</c:v>
                </c:pt>
                <c:pt idx="1641">
                  <c:v>2.1250073090213206E-2</c:v>
                </c:pt>
                <c:pt idx="1642">
                  <c:v>2.1242086039672259E-2</c:v>
                </c:pt>
                <c:pt idx="1643">
                  <c:v>2.1234091061153038E-2</c:v>
                </c:pt>
                <c:pt idx="1644">
                  <c:v>2.1226088154415734E-2</c:v>
                </c:pt>
                <c:pt idx="1645">
                  <c:v>2.1218077319780093E-2</c:v>
                </c:pt>
                <c:pt idx="1646">
                  <c:v>2.1210058557006306E-2</c:v>
                </c:pt>
                <c:pt idx="1647">
                  <c:v>2.1202031866174309E-2</c:v>
                </c:pt>
                <c:pt idx="1648">
                  <c:v>2.1193997247284102E-2</c:v>
                </c:pt>
                <c:pt idx="1649">
                  <c:v>2.1185954700335685E-2</c:v>
                </c:pt>
                <c:pt idx="1650">
                  <c:v>2.1177904225249122E-2</c:v>
                </c:pt>
                <c:pt idx="1651">
                  <c:v>2.1167541965159131E-2</c:v>
                </c:pt>
                <c:pt idx="1652">
                  <c:v>2.1161779491061239E-2</c:v>
                </c:pt>
                <c:pt idx="1653">
                  <c:v>2.1153705231800046E-2</c:v>
                </c:pt>
                <c:pt idx="1654">
                  <c:v>2.114562304456058E-2</c:v>
                </c:pt>
                <c:pt idx="1655">
                  <c:v>2.1137532929262903E-2</c:v>
                </c:pt>
                <c:pt idx="1656">
                  <c:v>2.1129434885907017E-2</c:v>
                </c:pt>
                <c:pt idx="1657">
                  <c:v>2.1120170271311522E-2</c:v>
                </c:pt>
                <c:pt idx="1658">
                  <c:v>2.1112055239145278E-2</c:v>
                </c:pt>
                <c:pt idx="1659">
                  <c:v>2.1105093187330226E-2</c:v>
                </c:pt>
                <c:pt idx="1660">
                  <c:v>2.1096963431661564E-2</c:v>
                </c:pt>
                <c:pt idx="1661">
                  <c:v>2.1088825748014628E-2</c:v>
                </c:pt>
                <c:pt idx="1662">
                  <c:v>2.1079515830297879E-2</c:v>
                </c:pt>
                <c:pt idx="1663">
                  <c:v>2.1072526596546126E-2</c:v>
                </c:pt>
                <c:pt idx="1664">
                  <c:v>2.106436512872456E-2</c:v>
                </c:pt>
                <c:pt idx="1665">
                  <c:v>2.1056195732764849E-2</c:v>
                </c:pt>
                <c:pt idx="1666">
                  <c:v>2.1048018408906799E-2</c:v>
                </c:pt>
                <c:pt idx="1667">
                  <c:v>2.1039833156830667E-2</c:v>
                </c:pt>
                <c:pt idx="1668">
                  <c:v>2.1031639976776262E-2</c:v>
                </c:pt>
                <c:pt idx="1669">
                  <c:v>2.1023438868663646E-2</c:v>
                </c:pt>
                <c:pt idx="1670">
                  <c:v>2.1015229832492821E-2</c:v>
                </c:pt>
                <c:pt idx="1671">
                  <c:v>2.1007012868263786E-2</c:v>
                </c:pt>
                <c:pt idx="1672">
                  <c:v>2.0998787976056477E-2</c:v>
                </c:pt>
                <c:pt idx="1673">
                  <c:v>2.0990555155790958E-2</c:v>
                </c:pt>
                <c:pt idx="1674">
                  <c:v>2.0982314407387292E-2</c:v>
                </c:pt>
                <c:pt idx="1675">
                  <c:v>2.0974065731005354E-2</c:v>
                </c:pt>
                <c:pt idx="1676">
                  <c:v>2.0965809126565205E-2</c:v>
                </c:pt>
                <c:pt idx="1677">
                  <c:v>2.0957544594066846E-2</c:v>
                </c:pt>
                <c:pt idx="1678">
                  <c:v>2.0949272133510277E-2</c:v>
                </c:pt>
                <c:pt idx="1679">
                  <c:v>2.0940991744895499E-2</c:v>
                </c:pt>
                <c:pt idx="1680">
                  <c:v>2.093270342822251E-2</c:v>
                </c:pt>
                <c:pt idx="1681">
                  <c:v>2.0924407183571248E-2</c:v>
                </c:pt>
                <c:pt idx="1682">
                  <c:v>2.0916103010861775E-2</c:v>
                </c:pt>
                <c:pt idx="1683">
                  <c:v>2.0907790910014157E-2</c:v>
                </c:pt>
                <c:pt idx="1684">
                  <c:v>2.0899470881268201E-2</c:v>
                </c:pt>
                <c:pt idx="1685">
                  <c:v>2.0891142924384098E-2</c:v>
                </c:pt>
                <c:pt idx="1686">
                  <c:v>2.0882807039521722E-2</c:v>
                </c:pt>
                <c:pt idx="1687">
                  <c:v>2.08744632265212E-2</c:v>
                </c:pt>
                <c:pt idx="1688">
                  <c:v>2.0864917732525967E-2</c:v>
                </c:pt>
                <c:pt idx="1689">
                  <c:v>2.0857751816505399E-2</c:v>
                </c:pt>
                <c:pt idx="1690">
                  <c:v>2.0848188201245677E-2</c:v>
                </c:pt>
                <c:pt idx="1691">
                  <c:v>2.0841008694256757E-2</c:v>
                </c:pt>
                <c:pt idx="1692">
                  <c:v>2.0832625241125058E-2</c:v>
                </c:pt>
                <c:pt idx="1693">
                  <c:v>2.0824233860015084E-2</c:v>
                </c:pt>
                <c:pt idx="1694">
                  <c:v>2.0815834550766965E-2</c:v>
                </c:pt>
                <c:pt idx="1695">
                  <c:v>2.0807427313540572E-2</c:v>
                </c:pt>
                <c:pt idx="1696">
                  <c:v>2.0799012148255969E-2</c:v>
                </c:pt>
                <c:pt idx="1697">
                  <c:v>2.0790589054913156E-2</c:v>
                </c:pt>
                <c:pt idx="1698">
                  <c:v>2.0782158033512133E-2</c:v>
                </c:pt>
                <c:pt idx="1699">
                  <c:v>2.0773719084132836E-2</c:v>
                </c:pt>
                <c:pt idx="1700">
                  <c:v>2.0765272206615393E-2</c:v>
                </c:pt>
                <c:pt idx="1701">
                  <c:v>2.0756817401199612E-2</c:v>
                </c:pt>
                <c:pt idx="1702">
                  <c:v>2.0745935287669326E-2</c:v>
                </c:pt>
                <c:pt idx="1703">
                  <c:v>2.0739884006113485E-2</c:v>
                </c:pt>
                <c:pt idx="1704">
                  <c:v>2.0731405416523074E-2</c:v>
                </c:pt>
                <c:pt idx="1705">
                  <c:v>2.072291889895439E-2</c:v>
                </c:pt>
                <c:pt idx="1706">
                  <c:v>2.0714413303366541E-2</c:v>
                </c:pt>
                <c:pt idx="1707">
                  <c:v>2.0704706807679329E-2</c:v>
                </c:pt>
                <c:pt idx="1708">
                  <c:v>2.0694978807034303E-2</c:v>
                </c:pt>
                <c:pt idx="1709">
                  <c:v>2.0686470867961049E-2</c:v>
                </c:pt>
                <c:pt idx="1710">
                  <c:v>2.0679203497415699E-2</c:v>
                </c:pt>
                <c:pt idx="1711">
                  <c:v>2.0670755204390545E-2</c:v>
                </c:pt>
                <c:pt idx="1712">
                  <c:v>2.0662339548378483E-2</c:v>
                </c:pt>
                <c:pt idx="1713">
                  <c:v>2.0653956529379514E-2</c:v>
                </c:pt>
                <c:pt idx="1714">
                  <c:v>2.064441590021282E-2</c:v>
                </c:pt>
                <c:pt idx="1715">
                  <c:v>2.0637288402900467E-2</c:v>
                </c:pt>
                <c:pt idx="1716">
                  <c:v>2.0629003295260517E-2</c:v>
                </c:pt>
                <c:pt idx="1717">
                  <c:v>2.0620750824553724E-2</c:v>
                </c:pt>
                <c:pt idx="1718">
                  <c:v>2.0612530991099831E-2</c:v>
                </c:pt>
                <c:pt idx="1719">
                  <c:v>2.0604343794579094E-2</c:v>
                </c:pt>
                <c:pt idx="1720">
                  <c:v>2.0596189235311257E-2</c:v>
                </c:pt>
                <c:pt idx="1721">
                  <c:v>2.0588067312976577E-2</c:v>
                </c:pt>
                <c:pt idx="1722">
                  <c:v>2.0579978027734924E-2</c:v>
                </c:pt>
                <c:pt idx="1723">
                  <c:v>2.05719213795863E-2</c:v>
                </c:pt>
                <c:pt idx="1724">
                  <c:v>2.0563897368450768E-2</c:v>
                </c:pt>
                <c:pt idx="1725">
                  <c:v>2.0555905994488199E-2</c:v>
                </c:pt>
                <c:pt idx="1726">
                  <c:v>2.0547947257458787E-2</c:v>
                </c:pt>
                <c:pt idx="1727">
                  <c:v>2.0540021157682276E-2</c:v>
                </c:pt>
                <c:pt idx="1728">
                  <c:v>2.0532127694758984E-2</c:v>
                </c:pt>
                <c:pt idx="1729">
                  <c:v>2.052426686892872E-2</c:v>
                </c:pt>
                <c:pt idx="1730">
                  <c:v>2.0516438680191484E-2</c:v>
                </c:pt>
                <c:pt idx="1731">
                  <c:v>2.0508643128467341E-2</c:v>
                </c:pt>
                <c:pt idx="1732">
                  <c:v>2.0500880213836226E-2</c:v>
                </c:pt>
                <c:pt idx="1733">
                  <c:v>2.0493149936218202E-2</c:v>
                </c:pt>
                <c:pt idx="1734">
                  <c:v>2.0485452295533335E-2</c:v>
                </c:pt>
                <c:pt idx="1735">
                  <c:v>2.0477787292101368E-2</c:v>
                </c:pt>
                <c:pt idx="1736">
                  <c:v>2.0470154925602557E-2</c:v>
                </c:pt>
                <c:pt idx="1737">
                  <c:v>2.0462555196116838E-2</c:v>
                </c:pt>
                <c:pt idx="1738">
                  <c:v>2.0454988103644212E-2</c:v>
                </c:pt>
                <c:pt idx="1739">
                  <c:v>2.0447453648344549E-2</c:v>
                </c:pt>
                <c:pt idx="1740">
                  <c:v>2.043693402037583E-2</c:v>
                </c:pt>
                <c:pt idx="1741">
                  <c:v>2.0429388643865565E-2</c:v>
                </c:pt>
                <c:pt idx="1742">
                  <c:v>2.0423986405075922E-2</c:v>
                </c:pt>
                <c:pt idx="1743">
                  <c:v>2.0416587160179134E-2</c:v>
                </c:pt>
                <c:pt idx="1744">
                  <c:v>2.0409220552455309E-2</c:v>
                </c:pt>
                <c:pt idx="1745">
                  <c:v>2.0401886581584705E-2</c:v>
                </c:pt>
                <c:pt idx="1746">
                  <c:v>2.0394585247807129E-2</c:v>
                </c:pt>
                <c:pt idx="1747">
                  <c:v>2.0387316551122581E-2</c:v>
                </c:pt>
                <c:pt idx="1748">
                  <c:v>2.0380080491291253E-2</c:v>
                </c:pt>
                <c:pt idx="1749">
                  <c:v>2.0372877068632889E-2</c:v>
                </c:pt>
                <c:pt idx="1750">
                  <c:v>2.0365706282827745E-2</c:v>
                </c:pt>
                <c:pt idx="1751">
                  <c:v>2.0358568134035693E-2</c:v>
                </c:pt>
                <c:pt idx="1752">
                  <c:v>2.0351462622336669E-2</c:v>
                </c:pt>
                <c:pt idx="1753">
                  <c:v>2.0344389747650737E-2</c:v>
                </c:pt>
                <c:pt idx="1754">
                  <c:v>2.0337349509897962E-2</c:v>
                </c:pt>
                <c:pt idx="1755">
                  <c:v>2.0330341909238214E-2</c:v>
                </c:pt>
                <c:pt idx="1756">
                  <c:v>2.0323366945511623E-2</c:v>
                </c:pt>
                <c:pt idx="1757">
                  <c:v>2.0314605783262607E-2</c:v>
                </c:pt>
                <c:pt idx="1758">
                  <c:v>2.0308530494723698E-2</c:v>
                </c:pt>
                <c:pt idx="1759">
                  <c:v>2.0302637876330465E-2</c:v>
                </c:pt>
                <c:pt idx="1760">
                  <c:v>2.0295793460576306E-2</c:v>
                </c:pt>
                <c:pt idx="1761">
                  <c:v>2.0288981681835239E-2</c:v>
                </c:pt>
                <c:pt idx="1762">
                  <c:v>2.0282290964654948E-2</c:v>
                </c:pt>
                <c:pt idx="1763">
                  <c:v>2.0274494913090635E-2</c:v>
                </c:pt>
                <c:pt idx="1764">
                  <c:v>2.0267015879031902E-2</c:v>
                </c:pt>
                <c:pt idx="1765">
                  <c:v>2.0261393400855532E-2</c:v>
                </c:pt>
                <c:pt idx="1766">
                  <c:v>2.0253712531728141E-2</c:v>
                </c:pt>
                <c:pt idx="1767">
                  <c:v>2.0247109819457876E-2</c:v>
                </c:pt>
                <c:pt idx="1768">
                  <c:v>2.0240539748037634E-2</c:v>
                </c:pt>
                <c:pt idx="1769">
                  <c:v>2.0234002317520705E-2</c:v>
                </c:pt>
                <c:pt idx="1770">
                  <c:v>2.0227497527853799E-2</c:v>
                </c:pt>
                <c:pt idx="1771">
                  <c:v>2.0221025379090207E-2</c:v>
                </c:pt>
                <c:pt idx="1772">
                  <c:v>2.0214585871176638E-2</c:v>
                </c:pt>
                <c:pt idx="1773">
                  <c:v>2.0208179004113092E-2</c:v>
                </c:pt>
                <c:pt idx="1774">
                  <c:v>2.0201804777926213E-2</c:v>
                </c:pt>
                <c:pt idx="1775">
                  <c:v>2.0195463192562713E-2</c:v>
                </c:pt>
                <c:pt idx="1776">
                  <c:v>2.0189154248049235E-2</c:v>
                </c:pt>
                <c:pt idx="1777">
                  <c:v>2.0182877944412425E-2</c:v>
                </c:pt>
                <c:pt idx="1778">
                  <c:v>2.0176634281572348E-2</c:v>
                </c:pt>
                <c:pt idx="1779">
                  <c:v>2.0170423259582293E-2</c:v>
                </c:pt>
                <c:pt idx="1780">
                  <c:v>2.0164244878388971E-2</c:v>
                </c:pt>
                <c:pt idx="1781">
                  <c:v>2.0158099138045671E-2</c:v>
                </c:pt>
                <c:pt idx="1782">
                  <c:v>2.0151986038499103E-2</c:v>
                </c:pt>
                <c:pt idx="1783">
                  <c:v>2.0145905579802559E-2</c:v>
                </c:pt>
                <c:pt idx="1784">
                  <c:v>2.0139857761876101E-2</c:v>
                </c:pt>
                <c:pt idx="1785">
                  <c:v>2.0133842584746375E-2</c:v>
                </c:pt>
                <c:pt idx="1786">
                  <c:v>2.0127860048413382E-2</c:v>
                </c:pt>
                <c:pt idx="1787">
                  <c:v>2.012191015287712E-2</c:v>
                </c:pt>
                <c:pt idx="1788">
                  <c:v>2.0115992898110946E-2</c:v>
                </c:pt>
                <c:pt idx="1789">
                  <c:v>2.0110108284141504E-2</c:v>
                </c:pt>
                <c:pt idx="1790">
                  <c:v>2.0104256310968793E-2</c:v>
                </c:pt>
                <c:pt idx="1791">
                  <c:v>2.0098436978539524E-2</c:v>
                </c:pt>
                <c:pt idx="1792">
                  <c:v>2.0087047025538762E-2</c:v>
                </c:pt>
                <c:pt idx="1793">
                  <c:v>2.0082502322145146E-2</c:v>
                </c:pt>
                <c:pt idx="1794">
                  <c:v>2.007842604738741E-2</c:v>
                </c:pt>
                <c:pt idx="1795">
                  <c:v>2.0072747237325217E-2</c:v>
                </c:pt>
                <c:pt idx="1796">
                  <c:v>2.006710106419618E-2</c:v>
                </c:pt>
                <c:pt idx="1797">
                  <c:v>2.0061487527920363E-2</c:v>
                </c:pt>
                <c:pt idx="1798">
                  <c:v>2.0055906628577702E-2</c:v>
                </c:pt>
                <c:pt idx="1799">
                  <c:v>2.0050358366248133E-2</c:v>
                </c:pt>
                <c:pt idx="1800">
                  <c:v>2.0044842740771784E-2</c:v>
                </c:pt>
                <c:pt idx="1801">
                  <c:v>2.0039359752308528E-2</c:v>
                </c:pt>
                <c:pt idx="1802">
                  <c:v>2.0033909400618555E-2</c:v>
                </c:pt>
                <c:pt idx="1803">
                  <c:v>2.0028491685861738E-2</c:v>
                </c:pt>
                <c:pt idx="1804">
                  <c:v>2.0023106608197949E-2</c:v>
                </c:pt>
                <c:pt idx="1805">
                  <c:v>2.001775416738738E-2</c:v>
                </c:pt>
                <c:pt idx="1806">
                  <c:v>2.0010920413904287E-2</c:v>
                </c:pt>
                <c:pt idx="1807">
                  <c:v>2.0007147196405839E-2</c:v>
                </c:pt>
                <c:pt idx="1808">
                  <c:v>2.0001892666234866E-2</c:v>
                </c:pt>
                <c:pt idx="1809">
                  <c:v>1.9996670772997049E-2</c:v>
                </c:pt>
                <c:pt idx="1810">
                  <c:v>1.9990742858597699E-2</c:v>
                </c:pt>
                <c:pt idx="1811">
                  <c:v>1.9986324897240948E-2</c:v>
                </c:pt>
                <c:pt idx="1812">
                  <c:v>1.9980471581488857E-2</c:v>
                </c:pt>
                <c:pt idx="1813">
                  <c:v>1.997538489833417E-2</c:v>
                </c:pt>
                <c:pt idx="1814">
                  <c:v>1.9971050860485562E-2</c:v>
                </c:pt>
                <c:pt idx="1815">
                  <c:v>1.9966024788686809E-2</c:v>
                </c:pt>
                <c:pt idx="1816">
                  <c:v>1.9961031353741276E-2</c:v>
                </c:pt>
                <c:pt idx="1817">
                  <c:v>1.9955364534567366E-2</c:v>
                </c:pt>
                <c:pt idx="1818">
                  <c:v>1.9951142394649679E-2</c:v>
                </c:pt>
                <c:pt idx="1819">
                  <c:v>1.9946246870503614E-2</c:v>
                </c:pt>
                <c:pt idx="1820">
                  <c:v>1.994138398321077E-2</c:v>
                </c:pt>
                <c:pt idx="1821">
                  <c:v>1.9936553732771145E-2</c:v>
                </c:pt>
                <c:pt idx="1822">
                  <c:v>1.9931756119264676E-2</c:v>
                </c:pt>
                <c:pt idx="1823">
                  <c:v>1.9926991142531492E-2</c:v>
                </c:pt>
                <c:pt idx="1824">
                  <c:v>1.9922258802811399E-2</c:v>
                </c:pt>
                <c:pt idx="1825">
                  <c:v>1.9917559099944526E-2</c:v>
                </c:pt>
                <c:pt idx="1826">
                  <c:v>1.991289203401081E-2</c:v>
                </c:pt>
                <c:pt idx="1827">
                  <c:v>1.9908257604930313E-2</c:v>
                </c:pt>
                <c:pt idx="1828">
                  <c:v>1.9903655812703036E-2</c:v>
                </c:pt>
                <c:pt idx="1829">
                  <c:v>1.9899086657328979E-2</c:v>
                </c:pt>
                <c:pt idx="1830">
                  <c:v>1.9894550138888079E-2</c:v>
                </c:pt>
                <c:pt idx="1831">
                  <c:v>1.9890046257380334E-2</c:v>
                </c:pt>
                <c:pt idx="1832">
                  <c:v>1.9885575012645873E-2</c:v>
                </c:pt>
                <c:pt idx="1833">
                  <c:v>1.9881136404924504E-2</c:v>
                </c:pt>
                <c:pt idx="1834">
                  <c:v>1.9876730433896483E-2</c:v>
                </c:pt>
                <c:pt idx="1835">
                  <c:v>1.9872357099881555E-2</c:v>
                </c:pt>
                <c:pt idx="1836">
                  <c:v>1.9868016402719846E-2</c:v>
                </c:pt>
                <c:pt idx="1837">
                  <c:v>1.9863708342411357E-2</c:v>
                </c:pt>
                <c:pt idx="1838">
                  <c:v>1.9859432918956088E-2</c:v>
                </c:pt>
                <c:pt idx="1839">
                  <c:v>1.9855190132433975E-2</c:v>
                </c:pt>
                <c:pt idx="1840">
                  <c:v>1.9850979982685146E-2</c:v>
                </c:pt>
                <c:pt idx="1841">
                  <c:v>1.9846802469869473E-2</c:v>
                </c:pt>
                <c:pt idx="1842">
                  <c:v>1.984265759390702E-2</c:v>
                </c:pt>
                <c:pt idx="1843">
                  <c:v>1.9838545354797787E-2</c:v>
                </c:pt>
                <c:pt idx="1844">
                  <c:v>1.9830677208823033E-2</c:v>
                </c:pt>
                <c:pt idx="1845">
                  <c:v>1.98286943643744E-2</c:v>
                </c:pt>
                <c:pt idx="1846">
                  <c:v>1.9825833647431068E-2</c:v>
                </c:pt>
                <c:pt idx="1847">
                  <c:v>1.9821856618245093E-2</c:v>
                </c:pt>
                <c:pt idx="1848">
                  <c:v>1.9817912225832401E-2</c:v>
                </c:pt>
                <c:pt idx="1849">
                  <c:v>1.9814000470352866E-2</c:v>
                </c:pt>
                <c:pt idx="1850">
                  <c:v>1.9810121351646615E-2</c:v>
                </c:pt>
                <c:pt idx="1851">
                  <c:v>1.9806274869793583E-2</c:v>
                </c:pt>
                <c:pt idx="1852">
                  <c:v>1.9802461024873708E-2</c:v>
                </c:pt>
                <c:pt idx="1853">
                  <c:v>1.9798679816807052E-2</c:v>
                </c:pt>
                <c:pt idx="1854">
                  <c:v>1.9794931245513681E-2</c:v>
                </c:pt>
                <c:pt idx="1855">
                  <c:v>1.9791215311153465E-2</c:v>
                </c:pt>
                <c:pt idx="1856">
                  <c:v>1.9787532013646469E-2</c:v>
                </c:pt>
                <c:pt idx="1857">
                  <c:v>1.9782844301587943E-2</c:v>
                </c:pt>
                <c:pt idx="1858">
                  <c:v>1.9780263329032266E-2</c:v>
                </c:pt>
                <c:pt idx="1859">
                  <c:v>1.977667794208493E-2</c:v>
                </c:pt>
                <c:pt idx="1860">
                  <c:v>1.9773125191990815E-2</c:v>
                </c:pt>
                <c:pt idx="1861">
                  <c:v>1.9769605078669983E-2</c:v>
                </c:pt>
                <c:pt idx="1862">
                  <c:v>1.9765917212537509E-2</c:v>
                </c:pt>
                <c:pt idx="1863">
                  <c:v>1.9762171878374701E-2</c:v>
                </c:pt>
                <c:pt idx="1864">
                  <c:v>1.9758754337964035E-2</c:v>
                </c:pt>
                <c:pt idx="1865">
                  <c:v>1.9755850993998791E-2</c:v>
                </c:pt>
                <c:pt idx="1866">
                  <c:v>1.9752494064864123E-2</c:v>
                </c:pt>
                <c:pt idx="1867">
                  <c:v>1.9749169772742547E-2</c:v>
                </c:pt>
                <c:pt idx="1868">
                  <c:v>1.9745878117314319E-2</c:v>
                </c:pt>
                <c:pt idx="1869">
                  <c:v>1.9742156188948812E-2</c:v>
                </c:pt>
                <c:pt idx="1870">
                  <c:v>1.9739392717097459E-2</c:v>
                </c:pt>
                <c:pt idx="1871">
                  <c:v>1.9736198972228891E-2</c:v>
                </c:pt>
                <c:pt idx="1872">
                  <c:v>1.9733037864133607E-2</c:v>
                </c:pt>
                <c:pt idx="1873">
                  <c:v>1.9729909392971479E-2</c:v>
                </c:pt>
                <c:pt idx="1874">
                  <c:v>1.972681355866257E-2</c:v>
                </c:pt>
                <c:pt idx="1875">
                  <c:v>1.972375036104701E-2</c:v>
                </c:pt>
                <c:pt idx="1876">
                  <c:v>1.9720719800364606E-2</c:v>
                </c:pt>
                <c:pt idx="1877">
                  <c:v>1.9717721876455485E-2</c:v>
                </c:pt>
                <c:pt idx="1878">
                  <c:v>1.9714756589479521E-2</c:v>
                </c:pt>
                <c:pt idx="1879">
                  <c:v>1.971182393927684E-2</c:v>
                </c:pt>
                <c:pt idx="1880">
                  <c:v>1.970892392592738E-2</c:v>
                </c:pt>
                <c:pt idx="1881">
                  <c:v>1.9706056549351203E-2</c:v>
                </c:pt>
                <c:pt idx="1882">
                  <c:v>1.9703221809628246E-2</c:v>
                </c:pt>
                <c:pt idx="1883">
                  <c:v>1.9700419706678574E-2</c:v>
                </c:pt>
                <c:pt idx="1884">
                  <c:v>1.9697650240662057E-2</c:v>
                </c:pt>
                <c:pt idx="1885">
                  <c:v>1.9694913411418824E-2</c:v>
                </c:pt>
                <c:pt idx="1886">
                  <c:v>1.9692209219108747E-2</c:v>
                </c:pt>
                <c:pt idx="1887">
                  <c:v>1.9689537663492018E-2</c:v>
                </c:pt>
                <c:pt idx="1888">
                  <c:v>1.9686898744648573E-2</c:v>
                </c:pt>
                <c:pt idx="1889">
                  <c:v>1.9684292462738284E-2</c:v>
                </c:pt>
                <c:pt idx="1890">
                  <c:v>1.9681718817601279E-2</c:v>
                </c:pt>
                <c:pt idx="1891">
                  <c:v>1.967917780939743E-2</c:v>
                </c:pt>
                <c:pt idx="1892">
                  <c:v>1.9676669437886929E-2</c:v>
                </c:pt>
                <c:pt idx="1893">
                  <c:v>1.9674193703309584E-2</c:v>
                </c:pt>
                <c:pt idx="1894">
                  <c:v>1.9671750605425586E-2</c:v>
                </c:pt>
                <c:pt idx="1895">
                  <c:v>1.9669340144394809E-2</c:v>
                </c:pt>
                <c:pt idx="1896">
                  <c:v>1.9664950161377703E-2</c:v>
                </c:pt>
                <c:pt idx="1897">
                  <c:v>1.9664365934657368E-2</c:v>
                </c:pt>
                <c:pt idx="1898">
                  <c:v>1.9661976882154875E-2</c:v>
                </c:pt>
                <c:pt idx="1899">
                  <c:v>1.9659701630887483E-2</c:v>
                </c:pt>
                <c:pt idx="1900">
                  <c:v>1.9657459016393375E-2</c:v>
                </c:pt>
                <c:pt idx="1901">
                  <c:v>1.9655249038592615E-2</c:v>
                </c:pt>
                <c:pt idx="1902">
                  <c:v>1.9653071697725011E-2</c:v>
                </c:pt>
                <c:pt idx="1903">
                  <c:v>1.9650926993710627E-2</c:v>
                </c:pt>
                <c:pt idx="1904">
                  <c:v>1.9648814926309655E-2</c:v>
                </c:pt>
                <c:pt idx="1905">
                  <c:v>1.9646735495841838E-2</c:v>
                </c:pt>
                <c:pt idx="1906">
                  <c:v>1.9644688702307178E-2</c:v>
                </c:pt>
                <c:pt idx="1907">
                  <c:v>1.9642674545545802E-2</c:v>
                </c:pt>
                <c:pt idx="1908">
                  <c:v>1.9640693025397837E-2</c:v>
                </c:pt>
                <c:pt idx="1909">
                  <c:v>1.9638744142183029E-2</c:v>
                </c:pt>
                <c:pt idx="1910">
                  <c:v>1.963682789582144E-2</c:v>
                </c:pt>
                <c:pt idx="1911">
                  <c:v>1.9634944286313072E-2</c:v>
                </c:pt>
                <c:pt idx="1912">
                  <c:v>1.9633380904089393E-2</c:v>
                </c:pt>
                <c:pt idx="1913">
                  <c:v>1.9631274977536251E-2</c:v>
                </c:pt>
                <c:pt idx="1914">
                  <c:v>1.9629489278347734E-2</c:v>
                </c:pt>
                <c:pt idx="1915">
                  <c:v>1.9627736216012437E-2</c:v>
                </c:pt>
                <c:pt idx="1916">
                  <c:v>1.962601579053036E-2</c:v>
                </c:pt>
                <c:pt idx="1917">
                  <c:v>1.9624743651975862E-2</c:v>
                </c:pt>
                <c:pt idx="1918">
                  <c:v>1.9622439063775587E-2</c:v>
                </c:pt>
                <c:pt idx="1919">
                  <c:v>1.9621434533210191E-2</c:v>
                </c:pt>
                <c:pt idx="1920">
                  <c:v>1.9619235995165241E-2</c:v>
                </c:pt>
                <c:pt idx="1921">
                  <c:v>1.9618958943843356E-2</c:v>
                </c:pt>
                <c:pt idx="1922">
                  <c:v>1.9616804265654153E-2</c:v>
                </c:pt>
                <c:pt idx="1923">
                  <c:v>1.9615326123911814E-2</c:v>
                </c:pt>
                <c:pt idx="1924">
                  <c:v>1.9613880622513236E-2</c:v>
                </c:pt>
                <c:pt idx="1925">
                  <c:v>1.9612467761511709E-2</c:v>
                </c:pt>
                <c:pt idx="1926">
                  <c:v>1.9611087540827299E-2</c:v>
                </c:pt>
                <c:pt idx="1927">
                  <c:v>1.9609739960566586E-2</c:v>
                </c:pt>
                <c:pt idx="1928">
                  <c:v>1.9608425020649634E-2</c:v>
                </c:pt>
                <c:pt idx="1929">
                  <c:v>1.9607142721129733E-2</c:v>
                </c:pt>
                <c:pt idx="1930">
                  <c:v>1.9605893061926949E-2</c:v>
                </c:pt>
                <c:pt idx="1931">
                  <c:v>1.9604676043121216E-2</c:v>
                </c:pt>
                <c:pt idx="1932">
                  <c:v>1.960349166468589E-2</c:v>
                </c:pt>
                <c:pt idx="1933">
                  <c:v>1.9602339926541035E-2</c:v>
                </c:pt>
                <c:pt idx="1934">
                  <c:v>1.9601220828846522E-2</c:v>
                </c:pt>
                <c:pt idx="1935">
                  <c:v>1.9600134371442479E-2</c:v>
                </c:pt>
                <c:pt idx="1936">
                  <c:v>1.9599080554462134E-2</c:v>
                </c:pt>
                <c:pt idx="1937">
                  <c:v>1.9598059377798904E-2</c:v>
                </c:pt>
                <c:pt idx="1938">
                  <c:v>1.9597070841506081E-2</c:v>
                </c:pt>
                <c:pt idx="1939">
                  <c:v>1.9596114945557019E-2</c:v>
                </c:pt>
                <c:pt idx="1940">
                  <c:v>1.9595191690005009E-2</c:v>
                </c:pt>
                <c:pt idx="1941">
                  <c:v>1.9594301074770115E-2</c:v>
                </c:pt>
                <c:pt idx="1942">
                  <c:v>1.9593443099852337E-2</c:v>
                </c:pt>
                <c:pt idx="1943">
                  <c:v>1.9592617765358256E-2</c:v>
                </c:pt>
                <c:pt idx="1944">
                  <c:v>1.9591825071207936E-2</c:v>
                </c:pt>
                <c:pt idx="1945">
                  <c:v>1.9591065017401377E-2</c:v>
                </c:pt>
                <c:pt idx="1946">
                  <c:v>1.9590337603911934E-2</c:v>
                </c:pt>
                <c:pt idx="1947">
                  <c:v>1.9590127617337139E-2</c:v>
                </c:pt>
                <c:pt idx="1948">
                  <c:v>1.9587731495436245E-2</c:v>
                </c:pt>
                <c:pt idx="1949">
                  <c:v>1.9587025474994135E-2</c:v>
                </c:pt>
                <c:pt idx="1950">
                  <c:v>1.9586523934025379E-2</c:v>
                </c:pt>
                <c:pt idx="1951">
                  <c:v>1.9585969108479873E-2</c:v>
                </c:pt>
                <c:pt idx="1952">
                  <c:v>1.958544691970765E-2</c:v>
                </c:pt>
                <c:pt idx="1953">
                  <c:v>1.9584957367948519E-2</c:v>
                </c:pt>
                <c:pt idx="1954">
                  <c:v>1.9584500452722864E-2</c:v>
                </c:pt>
                <c:pt idx="1955">
                  <c:v>1.9584076174430365E-2</c:v>
                </c:pt>
                <c:pt idx="1956">
                  <c:v>1.9583684532831214E-2</c:v>
                </c:pt>
                <c:pt idx="1957">
                  <c:v>1.9583325528085282E-2</c:v>
                </c:pt>
                <c:pt idx="1958">
                  <c:v>1.9582999160192571E-2</c:v>
                </c:pt>
                <c:pt idx="1959">
                  <c:v>1.9582705428993208E-2</c:v>
                </c:pt>
                <c:pt idx="1960">
                  <c:v>1.9582444334647064E-2</c:v>
                </c:pt>
                <c:pt idx="1961">
                  <c:v>1.9582215877074205E-2</c:v>
                </c:pt>
                <c:pt idx="1962">
                  <c:v>1.9581970102073853E-2</c:v>
                </c:pt>
                <c:pt idx="1963">
                  <c:v>1.9581856872328274E-2</c:v>
                </c:pt>
                <c:pt idx="1964">
                  <c:v>1.9581726325235138E-2</c:v>
                </c:pt>
                <c:pt idx="1965">
                  <c:v>1.9581617091812831E-2</c:v>
                </c:pt>
                <c:pt idx="1966">
                  <c:v>1.9581563141208846E-2</c:v>
                </c:pt>
                <c:pt idx="1967">
                  <c:v>1.9581530504355626E-2</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42140800"/>
        <c:axId val="42142720"/>
      </c:lineChart>
      <c:dateAx>
        <c:axId val="42140800"/>
        <c:scaling>
          <c:orientation val="minMax"/>
          <c:max val="42873"/>
          <c:min val="42094"/>
        </c:scaling>
        <c:delete val="0"/>
        <c:axPos val="b"/>
        <c:numFmt formatCode="[$-409]mmm\-yy;@" sourceLinked="0"/>
        <c:majorTickMark val="out"/>
        <c:minorTickMark val="none"/>
        <c:tickLblPos val="low"/>
        <c:txPr>
          <a:bodyPr rot="-2700000"/>
          <a:lstStyle/>
          <a:p>
            <a:pPr algn="ctr">
              <a:defRPr lang="en-US" sz="1000" b="0" i="0" u="none" strike="noStrike" kern="1200" baseline="0">
                <a:solidFill>
                  <a:sysClr val="windowText" lastClr="000000"/>
                </a:solidFill>
                <a:latin typeface="+mn-lt"/>
                <a:ea typeface="+mn-ea"/>
                <a:cs typeface="+mn-cs"/>
              </a:defRPr>
            </a:pPr>
            <a:endParaRPr lang="en-US"/>
          </a:p>
        </c:txPr>
        <c:crossAx val="42142720"/>
        <c:crosses val="autoZero"/>
        <c:auto val="1"/>
        <c:lblOffset val="100"/>
        <c:baseTimeUnit val="days"/>
        <c:majorUnit val="3"/>
        <c:majorTimeUnit val="months"/>
      </c:dateAx>
      <c:valAx>
        <c:axId val="42142720"/>
        <c:scaling>
          <c:orientation val="minMax"/>
          <c:max val="2E-3"/>
          <c:min val="-4.0000000000000001E-3"/>
        </c:scaling>
        <c:delete val="0"/>
        <c:axPos val="l"/>
        <c:majorGridlines/>
        <c:numFmt formatCode="0.00%" sourceLinked="0"/>
        <c:majorTickMark val="out"/>
        <c:minorTickMark val="none"/>
        <c:tickLblPos val="nextTo"/>
        <c:crossAx val="42140800"/>
        <c:crosses val="autoZero"/>
        <c:crossBetween val="between"/>
        <c:majorUnit val="1E-3"/>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16</xdr:row>
      <xdr:rowOff>57150</xdr:rowOff>
    </xdr:from>
    <xdr:to>
      <xdr:col>8</xdr:col>
      <xdr:colOff>72390</xdr:colOff>
      <xdr:row>37</xdr:row>
      <xdr:rowOff>47625</xdr:rowOff>
    </xdr:to>
    <xdr:graphicFrame macro="">
      <xdr:nvGraphicFramePr>
        <xdr:cNvPr id="2" name="Fwd"/>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523875</xdr:colOff>
          <xdr:row>35</xdr:row>
          <xdr:rowOff>9525</xdr:rowOff>
        </xdr:from>
        <xdr:to>
          <xdr:col>10</xdr:col>
          <xdr:colOff>209550</xdr:colOff>
          <xdr:row>37</xdr:row>
          <xdr:rowOff>0</xdr:rowOff>
        </xdr:to>
        <xdr:sp macro="" textlink="">
          <xdr:nvSpPr>
            <xdr:cNvPr id="9217" name="Length4" hidden="1">
              <a:extLst>
                <a:ext uri="{63B3BB69-23CF-44E3-9099-C40C66FF867C}">
                  <a14:compatExt spid="_x0000_s921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26</xdr:row>
          <xdr:rowOff>133350</xdr:rowOff>
        </xdr:from>
        <xdr:to>
          <xdr:col>10</xdr:col>
          <xdr:colOff>209550</xdr:colOff>
          <xdr:row>28</xdr:row>
          <xdr:rowOff>123825</xdr:rowOff>
        </xdr:to>
        <xdr:sp macro="" textlink="">
          <xdr:nvSpPr>
            <xdr:cNvPr id="9218" name="Length1" hidden="1">
              <a:extLst>
                <a:ext uri="{63B3BB69-23CF-44E3-9099-C40C66FF867C}">
                  <a14:compatExt spid="_x0000_s921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43</xdr:row>
          <xdr:rowOff>19050</xdr:rowOff>
        </xdr:from>
        <xdr:to>
          <xdr:col>10</xdr:col>
          <xdr:colOff>209550</xdr:colOff>
          <xdr:row>45</xdr:row>
          <xdr:rowOff>9525</xdr:rowOff>
        </xdr:to>
        <xdr:sp macro="" textlink="">
          <xdr:nvSpPr>
            <xdr:cNvPr id="9219" name="Length7" hidden="1">
              <a:extLst>
                <a:ext uri="{63B3BB69-23CF-44E3-9099-C40C66FF867C}">
                  <a14:compatExt spid="_x0000_s921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xdr:twoCellAnchor editAs="oneCell">
    <xdr:from>
      <xdr:col>0</xdr:col>
      <xdr:colOff>0</xdr:colOff>
      <xdr:row>38</xdr:row>
      <xdr:rowOff>47624</xdr:rowOff>
    </xdr:from>
    <xdr:to>
      <xdr:col>8</xdr:col>
      <xdr:colOff>72390</xdr:colOff>
      <xdr:row>60</xdr:row>
      <xdr:rowOff>104774</xdr:rowOff>
    </xdr:to>
    <xdr:graphicFrame macro="">
      <xdr:nvGraphicFramePr>
        <xdr:cNvPr id="6" name="Fwd_ON"/>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523875</xdr:colOff>
          <xdr:row>24</xdr:row>
          <xdr:rowOff>19050</xdr:rowOff>
        </xdr:from>
        <xdr:to>
          <xdr:col>10</xdr:col>
          <xdr:colOff>209550</xdr:colOff>
          <xdr:row>26</xdr:row>
          <xdr:rowOff>9525</xdr:rowOff>
        </xdr:to>
        <xdr:sp macro="" textlink="">
          <xdr:nvSpPr>
            <xdr:cNvPr id="9220" name="Length0" hidden="1">
              <a:extLst>
                <a:ext uri="{63B3BB69-23CF-44E3-9099-C40C66FF867C}">
                  <a14:compatExt spid="_x0000_s922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All Graphs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29</xdr:row>
          <xdr:rowOff>95250</xdr:rowOff>
        </xdr:from>
        <xdr:to>
          <xdr:col>10</xdr:col>
          <xdr:colOff>209550</xdr:colOff>
          <xdr:row>31</xdr:row>
          <xdr:rowOff>85725</xdr:rowOff>
        </xdr:to>
        <xdr:sp macro="" textlink="">
          <xdr:nvSpPr>
            <xdr:cNvPr id="9221" name="Length2" hidden="1">
              <a:extLst>
                <a:ext uri="{63B3BB69-23CF-44E3-9099-C40C66FF867C}">
                  <a14:compatExt spid="_x0000_s922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32</xdr:row>
          <xdr:rowOff>57150</xdr:rowOff>
        </xdr:from>
        <xdr:to>
          <xdr:col>10</xdr:col>
          <xdr:colOff>209550</xdr:colOff>
          <xdr:row>34</xdr:row>
          <xdr:rowOff>47625</xdr:rowOff>
        </xdr:to>
        <xdr:sp macro="" textlink="">
          <xdr:nvSpPr>
            <xdr:cNvPr id="9222" name="Length3" hidden="1">
              <a:extLst>
                <a:ext uri="{63B3BB69-23CF-44E3-9099-C40C66FF867C}">
                  <a14:compatExt spid="_x0000_s922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37</xdr:row>
          <xdr:rowOff>85725</xdr:rowOff>
        </xdr:from>
        <xdr:to>
          <xdr:col>10</xdr:col>
          <xdr:colOff>209550</xdr:colOff>
          <xdr:row>39</xdr:row>
          <xdr:rowOff>76200</xdr:rowOff>
        </xdr:to>
        <xdr:sp macro="" textlink="">
          <xdr:nvSpPr>
            <xdr:cNvPr id="9223" name="Length5" hidden="1">
              <a:extLst>
                <a:ext uri="{63B3BB69-23CF-44E3-9099-C40C66FF867C}">
                  <a14:compatExt spid="_x0000_s922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40</xdr:row>
          <xdr:rowOff>47625</xdr:rowOff>
        </xdr:from>
        <xdr:to>
          <xdr:col>10</xdr:col>
          <xdr:colOff>209550</xdr:colOff>
          <xdr:row>42</xdr:row>
          <xdr:rowOff>38100</xdr:rowOff>
        </xdr:to>
        <xdr:sp macro="" textlink="">
          <xdr:nvSpPr>
            <xdr:cNvPr id="9224" name="Length6" hidden="1">
              <a:extLst>
                <a:ext uri="{63B3BB69-23CF-44E3-9099-C40C66FF867C}">
                  <a14:compatExt spid="_x0000_s922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EK_Marke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ettings"/>
      <sheetName val="Stibor"/>
      <sheetName val="StiborSwapForBasisCalc"/>
      <sheetName val="Deposits"/>
      <sheetName val="FRA3M"/>
      <sheetName val="OIS"/>
      <sheetName val="Swaps3M"/>
      <sheetName val="BasisSwap3M6M"/>
      <sheetName val="BasisSwap1M3M"/>
    </sheetNames>
    <sheetDataSet>
      <sheetData sheetId="0"/>
      <sheetData sheetId="1">
        <row r="7">
          <cell r="J7" t="str">
            <v>SEK1M#0000</v>
          </cell>
        </row>
      </sheetData>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6.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1:L31"/>
  <sheetViews>
    <sheetView topLeftCell="A2" workbookViewId="0">
      <selection activeCell="D11" sqref="D11"/>
    </sheetView>
  </sheetViews>
  <sheetFormatPr defaultColWidth="8" defaultRowHeight="11.25" x14ac:dyDescent="0.2"/>
  <cols>
    <col min="1" max="2" width="2.7109375" style="75" customWidth="1"/>
    <col min="3" max="3" width="18" style="75" bestFit="1" customWidth="1"/>
    <col min="4" max="4" width="23.85546875" style="75" bestFit="1" customWidth="1"/>
    <col min="5" max="5" width="22" style="75" bestFit="1" customWidth="1"/>
    <col min="6" max="9" width="2.7109375" style="75" customWidth="1"/>
    <col min="10" max="10" width="18.5703125" style="75" bestFit="1" customWidth="1"/>
    <col min="11" max="11" width="33.5703125" style="75" bestFit="1" customWidth="1"/>
    <col min="12" max="12" width="2.7109375" style="75" customWidth="1"/>
    <col min="13" max="16384" width="8" style="75"/>
  </cols>
  <sheetData>
    <row r="1" spans="2:12" ht="12" thickBot="1" x14ac:dyDescent="0.25">
      <c r="B1" s="75" t="str">
        <f>_xll.qlxlVersion(TRUE,Trigger)</f>
        <v>QuantLibXL 1.6.0 - MS VC++ (version unknown) - Multithreaded Dynamic Runtime library - Release Configuration - May  8 2015 11:10:23</v>
      </c>
    </row>
    <row r="2" spans="2:12" ht="18.75" thickBot="1" x14ac:dyDescent="0.3">
      <c r="B2" s="234" t="s">
        <v>60</v>
      </c>
      <c r="C2" s="235"/>
      <c r="D2" s="235"/>
      <c r="E2" s="235"/>
      <c r="F2" s="236"/>
      <c r="I2" s="234" t="s">
        <v>70</v>
      </c>
      <c r="J2" s="235"/>
      <c r="K2" s="235"/>
      <c r="L2" s="237"/>
    </row>
    <row r="3" spans="2:12" x14ac:dyDescent="0.2">
      <c r="B3" s="26"/>
      <c r="C3" s="55"/>
      <c r="D3" s="24"/>
      <c r="E3" s="24"/>
      <c r="F3" s="23"/>
      <c r="I3" s="71"/>
      <c r="J3" s="74"/>
      <c r="K3" s="74"/>
      <c r="L3" s="73"/>
    </row>
    <row r="4" spans="2:12" x14ac:dyDescent="0.2">
      <c r="B4" s="26"/>
      <c r="C4" s="54" t="s">
        <v>59</v>
      </c>
      <c r="D4" s="178" t="s">
        <v>109</v>
      </c>
      <c r="E4" s="24"/>
      <c r="F4" s="23"/>
      <c r="I4" s="71"/>
      <c r="J4" s="70" t="s">
        <v>69</v>
      </c>
      <c r="K4" s="64" t="b">
        <v>0</v>
      </c>
      <c r="L4" s="69"/>
    </row>
    <row r="5" spans="2:12" x14ac:dyDescent="0.2">
      <c r="B5" s="26"/>
      <c r="C5" s="53" t="s">
        <v>58</v>
      </c>
      <c r="D5" s="27">
        <v>1</v>
      </c>
      <c r="E5" s="24"/>
      <c r="F5" s="23"/>
      <c r="I5" s="71"/>
      <c r="J5" s="70" t="s">
        <v>68</v>
      </c>
      <c r="K5" s="72"/>
      <c r="L5" s="69"/>
    </row>
    <row r="6" spans="2:12" x14ac:dyDescent="0.2">
      <c r="B6" s="26"/>
      <c r="C6" s="53" t="s">
        <v>57</v>
      </c>
      <c r="D6" s="27" t="str">
        <f>_xll.qlPeriodEquivalent(D5&amp;"M")</f>
        <v>1M</v>
      </c>
      <c r="E6" s="24"/>
      <c r="F6" s="23"/>
      <c r="I6" s="71"/>
      <c r="J6" s="70" t="s">
        <v>67</v>
      </c>
      <c r="K6" s="61" t="b">
        <v>1</v>
      </c>
      <c r="L6" s="69"/>
    </row>
    <row r="7" spans="2:12" ht="12" thickBot="1" x14ac:dyDescent="0.25">
      <c r="B7" s="26"/>
      <c r="C7" s="53" t="s">
        <v>56</v>
      </c>
      <c r="D7" s="27" t="str">
        <f>Months&amp;IF(UPPER(Currency)="EUR","E","L")</f>
        <v>1L</v>
      </c>
      <c r="E7" s="24"/>
      <c r="F7" s="23"/>
      <c r="I7" s="68"/>
      <c r="J7" s="67"/>
      <c r="K7" s="67"/>
      <c r="L7" s="66"/>
    </row>
    <row r="8" spans="2:12" ht="12" thickBot="1" x14ac:dyDescent="0.25">
      <c r="B8" s="26"/>
      <c r="C8" s="53" t="s">
        <v>55</v>
      </c>
      <c r="D8" s="27" t="s">
        <v>110</v>
      </c>
      <c r="E8" s="24"/>
      <c r="F8" s="23"/>
      <c r="I8" s="76"/>
      <c r="J8" s="76"/>
      <c r="K8" s="76"/>
      <c r="L8" s="76"/>
    </row>
    <row r="9" spans="2:12" ht="18.75" thickBot="1" x14ac:dyDescent="0.3">
      <c r="B9" s="26"/>
      <c r="C9" s="53" t="s">
        <v>54</v>
      </c>
      <c r="D9" s="27" t="str">
        <f>Currency&amp;"_YC"&amp;IndexTenor&amp;"RH"</f>
        <v>SEK_YC1MRH</v>
      </c>
      <c r="E9" s="24"/>
      <c r="F9" s="23"/>
      <c r="I9" s="234" t="s">
        <v>66</v>
      </c>
      <c r="J9" s="235"/>
      <c r="K9" s="235"/>
      <c r="L9" s="237"/>
    </row>
    <row r="10" spans="2:12" ht="12.75" x14ac:dyDescent="0.2">
      <c r="B10" s="26"/>
      <c r="C10" s="52" t="s">
        <v>53</v>
      </c>
      <c r="D10" s="27" t="b">
        <v>1</v>
      </c>
      <c r="E10" s="24"/>
      <c r="F10" s="23"/>
      <c r="I10" s="63"/>
      <c r="J10" s="65"/>
      <c r="K10" s="65"/>
      <c r="L10" s="60"/>
    </row>
    <row r="11" spans="2:12" ht="12.75" x14ac:dyDescent="0.2">
      <c r="B11" s="26"/>
      <c r="C11" s="52" t="s">
        <v>52</v>
      </c>
      <c r="D11" s="51">
        <v>42137.497048611112</v>
      </c>
      <c r="E11" s="24"/>
      <c r="F11" s="23"/>
      <c r="I11" s="63"/>
      <c r="J11" s="62" t="s">
        <v>65</v>
      </c>
      <c r="K11" s="64" t="s">
        <v>112</v>
      </c>
      <c r="L11" s="60"/>
    </row>
    <row r="12" spans="2:12" ht="12.75" x14ac:dyDescent="0.2">
      <c r="B12" s="26"/>
      <c r="C12" s="50" t="s">
        <v>51</v>
      </c>
      <c r="D12" s="49" t="b">
        <v>1</v>
      </c>
      <c r="E12" s="24"/>
      <c r="F12" s="23"/>
      <c r="I12" s="63"/>
      <c r="J12" s="62" t="s">
        <v>64</v>
      </c>
      <c r="K12" s="61" t="s">
        <v>63</v>
      </c>
      <c r="L12" s="60"/>
    </row>
    <row r="13" spans="2:12" ht="12.75" x14ac:dyDescent="0.2">
      <c r="B13" s="26"/>
      <c r="C13" s="31"/>
      <c r="D13" s="31"/>
      <c r="E13" s="24"/>
      <c r="F13" s="23"/>
      <c r="I13" s="63"/>
      <c r="J13" s="62" t="s">
        <v>81</v>
      </c>
      <c r="K13" s="64" t="s">
        <v>80</v>
      </c>
      <c r="L13" s="60"/>
    </row>
    <row r="14" spans="2:12" ht="12.75" x14ac:dyDescent="0.2">
      <c r="B14" s="26"/>
      <c r="C14" s="46" t="s">
        <v>50</v>
      </c>
      <c r="D14" s="48" t="str">
        <f>_xll.qlPiecewiseYieldCurve(D16,NDays,Calendar,_xll.ohPack(Selected!D2:D126),DayCounter,,,Accuracy,TraitsID,InterpolatorID,Permanent,,ObjectOverwrite)</f>
        <v>_SEKYC1M#0002</v>
      </c>
      <c r="E14" s="24"/>
      <c r="F14" s="23"/>
      <c r="I14" s="63"/>
      <c r="J14" s="62" t="s">
        <v>79</v>
      </c>
      <c r="K14" s="64" t="s">
        <v>113</v>
      </c>
      <c r="L14" s="60"/>
    </row>
    <row r="15" spans="2:12" ht="12.75" x14ac:dyDescent="0.2">
      <c r="B15" s="26"/>
      <c r="C15" s="33" t="s">
        <v>30</v>
      </c>
      <c r="D15" s="47" t="str">
        <f>_xll.ohRangeRetrieveError(YieldCurve)</f>
        <v/>
      </c>
      <c r="E15" s="24"/>
      <c r="F15" s="23"/>
      <c r="I15" s="63"/>
      <c r="J15" s="62" t="s">
        <v>78</v>
      </c>
      <c r="K15" s="64" t="str">
        <f>PROPER(Currency)&amp;"ON"</f>
        <v>SekON</v>
      </c>
      <c r="L15" s="60"/>
    </row>
    <row r="16" spans="2:12" ht="13.5" thickBot="1" x14ac:dyDescent="0.25">
      <c r="B16" s="26"/>
      <c r="C16" s="46" t="s">
        <v>49</v>
      </c>
      <c r="D16" s="45" t="str">
        <f>"_"&amp;Currency&amp;"YC"&amp;IndexTenor</f>
        <v>_SEKYC1M</v>
      </c>
      <c r="E16" s="24"/>
      <c r="F16" s="23"/>
      <c r="I16" s="59"/>
      <c r="J16" s="58"/>
      <c r="K16" s="58"/>
      <c r="L16" s="57"/>
    </row>
    <row r="17" spans="2:6" x14ac:dyDescent="0.2">
      <c r="B17" s="26"/>
      <c r="C17" s="35" t="s">
        <v>48</v>
      </c>
      <c r="D17" s="44">
        <v>2</v>
      </c>
      <c r="E17" s="24"/>
      <c r="F17" s="23"/>
    </row>
    <row r="18" spans="2:6" x14ac:dyDescent="0.2">
      <c r="B18" s="26"/>
      <c r="C18" s="35" t="s">
        <v>107</v>
      </c>
      <c r="D18" s="44" t="s">
        <v>111</v>
      </c>
      <c r="E18" s="24"/>
      <c r="F18" s="23"/>
    </row>
    <row r="19" spans="2:6" x14ac:dyDescent="0.2">
      <c r="B19" s="26"/>
      <c r="C19" s="35" t="s">
        <v>47</v>
      </c>
      <c r="D19" s="43"/>
      <c r="E19" s="24"/>
      <c r="F19" s="23"/>
    </row>
    <row r="20" spans="2:6" x14ac:dyDescent="0.2">
      <c r="B20" s="26"/>
      <c r="C20" s="35" t="s">
        <v>46</v>
      </c>
      <c r="D20" s="42" t="str">
        <f>Currency&amp;"TOY_SYNTH"&amp;IndexTenor&amp;"_Quote"</f>
        <v>SEKTOY_SYNTH1M_Quote</v>
      </c>
      <c r="E20" s="41" t="str">
        <f>Currency&amp;"TOY2_SYNTH"&amp;IndexTenor&amp;"_Quote"</f>
        <v>SEKTOY2_SYNTH1M_Quote</v>
      </c>
      <c r="F20" s="23"/>
    </row>
    <row r="21" spans="2:6" x14ac:dyDescent="0.2">
      <c r="B21" s="26"/>
      <c r="C21" s="35" t="s">
        <v>45</v>
      </c>
      <c r="D21" s="40">
        <f>DATE(YEAR(_xll.qlCalendarAdvance(Calendar,_xll.qlSettingsEvaluationDate(Trigger),NDays&amp;"D")),12,31)</f>
        <v>42369</v>
      </c>
      <c r="E21" s="39">
        <f>DATE(YEAR(D21+1),12,31)</f>
        <v>42735</v>
      </c>
      <c r="F21" s="23"/>
    </row>
    <row r="22" spans="2:6" x14ac:dyDescent="0.2">
      <c r="B22" s="26"/>
      <c r="C22" s="35" t="s">
        <v>44</v>
      </c>
      <c r="D22" s="38"/>
      <c r="E22" s="37"/>
      <c r="F22" s="23"/>
    </row>
    <row r="23" spans="2:6" x14ac:dyDescent="0.2">
      <c r="B23" s="26"/>
      <c r="C23" s="35" t="s">
        <v>43</v>
      </c>
      <c r="D23" s="36" t="e">
        <f>NA()</f>
        <v>#N/A</v>
      </c>
      <c r="E23" s="24"/>
      <c r="F23" s="23"/>
    </row>
    <row r="24" spans="2:6" x14ac:dyDescent="0.2">
      <c r="B24" s="26"/>
      <c r="C24" s="35" t="s">
        <v>42</v>
      </c>
      <c r="D24" s="34" t="s">
        <v>41</v>
      </c>
      <c r="E24" s="24"/>
      <c r="F24" s="23"/>
    </row>
    <row r="25" spans="2:6" x14ac:dyDescent="0.2">
      <c r="B25" s="26"/>
      <c r="C25" s="33" t="s">
        <v>40</v>
      </c>
      <c r="D25" s="32" t="s">
        <v>39</v>
      </c>
      <c r="E25" s="24"/>
      <c r="F25" s="23"/>
    </row>
    <row r="26" spans="2:6" x14ac:dyDescent="0.2">
      <c r="B26" s="26"/>
      <c r="C26" s="31"/>
      <c r="D26" s="31"/>
      <c r="E26" s="24"/>
      <c r="F26" s="23"/>
    </row>
    <row r="27" spans="2:6" x14ac:dyDescent="0.2">
      <c r="B27" s="26"/>
      <c r="C27" s="30">
        <f>_xll.qlTermStructureReferenceDate(YieldCurve)</f>
        <v>42142</v>
      </c>
      <c r="D27" s="29">
        <f>MAX(_xll.ohPack(Selected!J1:J126))</f>
        <v>1.0045426367104635</v>
      </c>
      <c r="E27" s="24"/>
      <c r="F27" s="23"/>
    </row>
    <row r="28" spans="2:6" x14ac:dyDescent="0.2">
      <c r="B28" s="26"/>
      <c r="C28" s="28">
        <f>MAX(_xll.ohPack(Selected!I2:I126))</f>
        <v>53101</v>
      </c>
      <c r="D28" s="27">
        <f>MIN(_xll.ohPack(Selected!J1:J126))</f>
        <v>0.56977067032466167</v>
      </c>
      <c r="E28" s="24"/>
      <c r="F28" s="23"/>
    </row>
    <row r="29" spans="2:6" x14ac:dyDescent="0.2">
      <c r="B29" s="26"/>
      <c r="C29" s="88" t="s">
        <v>30</v>
      </c>
      <c r="D29" s="89" t="str">
        <f>_xll.ohRangeRetrieveError(Selected!J1)</f>
        <v/>
      </c>
      <c r="E29" s="24"/>
      <c r="F29" s="23"/>
    </row>
    <row r="30" spans="2:6" x14ac:dyDescent="0.2">
      <c r="B30" s="26"/>
      <c r="C30" s="25" t="str">
        <f>[1]Stibor!$J$7</f>
        <v>SEK1M#0000</v>
      </c>
      <c r="D30" s="49" t="b">
        <f>_xll.qlRelinkableHandleLinkTo(C30,YieldCurve)</f>
        <v>1</v>
      </c>
      <c r="E30" s="24"/>
      <c r="F30" s="23"/>
    </row>
    <row r="31" spans="2:6" ht="11.25" customHeight="1" thickBot="1" x14ac:dyDescent="0.25">
      <c r="B31" s="22"/>
      <c r="C31" s="21"/>
      <c r="D31" s="21"/>
      <c r="E31" s="21"/>
      <c r="F31" s="20"/>
    </row>
  </sheetData>
  <mergeCells count="3">
    <mergeCell ref="B2:F2"/>
    <mergeCell ref="I2:L2"/>
    <mergeCell ref="I9:L9"/>
  </mergeCells>
  <dataValidations count="10">
    <dataValidation type="list" allowBlank="1" showInputMessage="1" showErrorMessage="1" sqref="D25 IX26 ST26 ACP26 AML26 AWH26 BGD26 BPZ26 BZV26 CJR26 CTN26 DDJ26 DNF26 DXB26 EGX26 EQT26 FAP26 FKL26 FUH26 GED26 GNZ26 GXV26 HHR26 HRN26 IBJ26 ILF26 IVB26 JEX26 JOT26 JYP26 KIL26 KSH26 LCD26 LLZ26 LVV26 MFR26 MPN26 MZJ26 NJF26 NTB26 OCX26 OMT26 OWP26 PGL26 PQH26 QAD26 QJZ26 QTV26 RDR26 RNN26 RXJ26 SHF26 SRB26 TAX26 TKT26 TUP26 UEL26 UOH26 UYD26 VHZ26 VRV26 WBR26 WLN26 WVJ26 D65562 IX65562 ST65562 ACP65562 AML65562 AWH65562 BGD65562 BPZ65562 BZV65562 CJR65562 CTN65562 DDJ65562 DNF65562 DXB65562 EGX65562 EQT65562 FAP65562 FKL65562 FUH65562 GED65562 GNZ65562 GXV65562 HHR65562 HRN65562 IBJ65562 ILF65562 IVB65562 JEX65562 JOT65562 JYP65562 KIL65562 KSH65562 LCD65562 LLZ65562 LVV65562 MFR65562 MPN65562 MZJ65562 NJF65562 NTB65562 OCX65562 OMT65562 OWP65562 PGL65562 PQH65562 QAD65562 QJZ65562 QTV65562 RDR65562 RNN65562 RXJ65562 SHF65562 SRB65562 TAX65562 TKT65562 TUP65562 UEL65562 UOH65562 UYD65562 VHZ65562 VRV65562 WBR65562 WLN65562 WVJ65562 D131098 IX131098 ST131098 ACP131098 AML131098 AWH131098 BGD131098 BPZ131098 BZV131098 CJR131098 CTN131098 DDJ131098 DNF131098 DXB131098 EGX131098 EQT131098 FAP131098 FKL131098 FUH131098 GED131098 GNZ131098 GXV131098 HHR131098 HRN131098 IBJ131098 ILF131098 IVB131098 JEX131098 JOT131098 JYP131098 KIL131098 KSH131098 LCD131098 LLZ131098 LVV131098 MFR131098 MPN131098 MZJ131098 NJF131098 NTB131098 OCX131098 OMT131098 OWP131098 PGL131098 PQH131098 QAD131098 QJZ131098 QTV131098 RDR131098 RNN131098 RXJ131098 SHF131098 SRB131098 TAX131098 TKT131098 TUP131098 UEL131098 UOH131098 UYD131098 VHZ131098 VRV131098 WBR131098 WLN131098 WVJ131098 D196634 IX196634 ST196634 ACP196634 AML196634 AWH196634 BGD196634 BPZ196634 BZV196634 CJR196634 CTN196634 DDJ196634 DNF196634 DXB196634 EGX196634 EQT196634 FAP196634 FKL196634 FUH196634 GED196634 GNZ196634 GXV196634 HHR196634 HRN196634 IBJ196634 ILF196634 IVB196634 JEX196634 JOT196634 JYP196634 KIL196634 KSH196634 LCD196634 LLZ196634 LVV196634 MFR196634 MPN196634 MZJ196634 NJF196634 NTB196634 OCX196634 OMT196634 OWP196634 PGL196634 PQH196634 QAD196634 QJZ196634 QTV196634 RDR196634 RNN196634 RXJ196634 SHF196634 SRB196634 TAX196634 TKT196634 TUP196634 UEL196634 UOH196634 UYD196634 VHZ196634 VRV196634 WBR196634 WLN196634 WVJ196634 D262170 IX262170 ST262170 ACP262170 AML262170 AWH262170 BGD262170 BPZ262170 BZV262170 CJR262170 CTN262170 DDJ262170 DNF262170 DXB262170 EGX262170 EQT262170 FAP262170 FKL262170 FUH262170 GED262170 GNZ262170 GXV262170 HHR262170 HRN262170 IBJ262170 ILF262170 IVB262170 JEX262170 JOT262170 JYP262170 KIL262170 KSH262170 LCD262170 LLZ262170 LVV262170 MFR262170 MPN262170 MZJ262170 NJF262170 NTB262170 OCX262170 OMT262170 OWP262170 PGL262170 PQH262170 QAD262170 QJZ262170 QTV262170 RDR262170 RNN262170 RXJ262170 SHF262170 SRB262170 TAX262170 TKT262170 TUP262170 UEL262170 UOH262170 UYD262170 VHZ262170 VRV262170 WBR262170 WLN262170 WVJ262170 D327706 IX327706 ST327706 ACP327706 AML327706 AWH327706 BGD327706 BPZ327706 BZV327706 CJR327706 CTN327706 DDJ327706 DNF327706 DXB327706 EGX327706 EQT327706 FAP327706 FKL327706 FUH327706 GED327706 GNZ327706 GXV327706 HHR327706 HRN327706 IBJ327706 ILF327706 IVB327706 JEX327706 JOT327706 JYP327706 KIL327706 KSH327706 LCD327706 LLZ327706 LVV327706 MFR327706 MPN327706 MZJ327706 NJF327706 NTB327706 OCX327706 OMT327706 OWP327706 PGL327706 PQH327706 QAD327706 QJZ327706 QTV327706 RDR327706 RNN327706 RXJ327706 SHF327706 SRB327706 TAX327706 TKT327706 TUP327706 UEL327706 UOH327706 UYD327706 VHZ327706 VRV327706 WBR327706 WLN327706 WVJ327706 D393242 IX393242 ST393242 ACP393242 AML393242 AWH393242 BGD393242 BPZ393242 BZV393242 CJR393242 CTN393242 DDJ393242 DNF393242 DXB393242 EGX393242 EQT393242 FAP393242 FKL393242 FUH393242 GED393242 GNZ393242 GXV393242 HHR393242 HRN393242 IBJ393242 ILF393242 IVB393242 JEX393242 JOT393242 JYP393242 KIL393242 KSH393242 LCD393242 LLZ393242 LVV393242 MFR393242 MPN393242 MZJ393242 NJF393242 NTB393242 OCX393242 OMT393242 OWP393242 PGL393242 PQH393242 QAD393242 QJZ393242 QTV393242 RDR393242 RNN393242 RXJ393242 SHF393242 SRB393242 TAX393242 TKT393242 TUP393242 UEL393242 UOH393242 UYD393242 VHZ393242 VRV393242 WBR393242 WLN393242 WVJ393242 D458778 IX458778 ST458778 ACP458778 AML458778 AWH458778 BGD458778 BPZ458778 BZV458778 CJR458778 CTN458778 DDJ458778 DNF458778 DXB458778 EGX458778 EQT458778 FAP458778 FKL458778 FUH458778 GED458778 GNZ458778 GXV458778 HHR458778 HRN458778 IBJ458778 ILF458778 IVB458778 JEX458778 JOT458778 JYP458778 KIL458778 KSH458778 LCD458778 LLZ458778 LVV458778 MFR458778 MPN458778 MZJ458778 NJF458778 NTB458778 OCX458778 OMT458778 OWP458778 PGL458778 PQH458778 QAD458778 QJZ458778 QTV458778 RDR458778 RNN458778 RXJ458778 SHF458778 SRB458778 TAX458778 TKT458778 TUP458778 UEL458778 UOH458778 UYD458778 VHZ458778 VRV458778 WBR458778 WLN458778 WVJ458778 D524314 IX524314 ST524314 ACP524314 AML524314 AWH524314 BGD524314 BPZ524314 BZV524314 CJR524314 CTN524314 DDJ524314 DNF524314 DXB524314 EGX524314 EQT524314 FAP524314 FKL524314 FUH524314 GED524314 GNZ524314 GXV524314 HHR524314 HRN524314 IBJ524314 ILF524314 IVB524314 JEX524314 JOT524314 JYP524314 KIL524314 KSH524314 LCD524314 LLZ524314 LVV524314 MFR524314 MPN524314 MZJ524314 NJF524314 NTB524314 OCX524314 OMT524314 OWP524314 PGL524314 PQH524314 QAD524314 QJZ524314 QTV524314 RDR524314 RNN524314 RXJ524314 SHF524314 SRB524314 TAX524314 TKT524314 TUP524314 UEL524314 UOH524314 UYD524314 VHZ524314 VRV524314 WBR524314 WLN524314 WVJ524314 D589850 IX589850 ST589850 ACP589850 AML589850 AWH589850 BGD589850 BPZ589850 BZV589850 CJR589850 CTN589850 DDJ589850 DNF589850 DXB589850 EGX589850 EQT589850 FAP589850 FKL589850 FUH589850 GED589850 GNZ589850 GXV589850 HHR589850 HRN589850 IBJ589850 ILF589850 IVB589850 JEX589850 JOT589850 JYP589850 KIL589850 KSH589850 LCD589850 LLZ589850 LVV589850 MFR589850 MPN589850 MZJ589850 NJF589850 NTB589850 OCX589850 OMT589850 OWP589850 PGL589850 PQH589850 QAD589850 QJZ589850 QTV589850 RDR589850 RNN589850 RXJ589850 SHF589850 SRB589850 TAX589850 TKT589850 TUP589850 UEL589850 UOH589850 UYD589850 VHZ589850 VRV589850 WBR589850 WLN589850 WVJ589850 D655386 IX655386 ST655386 ACP655386 AML655386 AWH655386 BGD655386 BPZ655386 BZV655386 CJR655386 CTN655386 DDJ655386 DNF655386 DXB655386 EGX655386 EQT655386 FAP655386 FKL655386 FUH655386 GED655386 GNZ655386 GXV655386 HHR655386 HRN655386 IBJ655386 ILF655386 IVB655386 JEX655386 JOT655386 JYP655386 KIL655386 KSH655386 LCD655386 LLZ655386 LVV655386 MFR655386 MPN655386 MZJ655386 NJF655386 NTB655386 OCX655386 OMT655386 OWP655386 PGL655386 PQH655386 QAD655386 QJZ655386 QTV655386 RDR655386 RNN655386 RXJ655386 SHF655386 SRB655386 TAX655386 TKT655386 TUP655386 UEL655386 UOH655386 UYD655386 VHZ655386 VRV655386 WBR655386 WLN655386 WVJ655386 D720922 IX720922 ST720922 ACP720922 AML720922 AWH720922 BGD720922 BPZ720922 BZV720922 CJR720922 CTN720922 DDJ720922 DNF720922 DXB720922 EGX720922 EQT720922 FAP720922 FKL720922 FUH720922 GED720922 GNZ720922 GXV720922 HHR720922 HRN720922 IBJ720922 ILF720922 IVB720922 JEX720922 JOT720922 JYP720922 KIL720922 KSH720922 LCD720922 LLZ720922 LVV720922 MFR720922 MPN720922 MZJ720922 NJF720922 NTB720922 OCX720922 OMT720922 OWP720922 PGL720922 PQH720922 QAD720922 QJZ720922 QTV720922 RDR720922 RNN720922 RXJ720922 SHF720922 SRB720922 TAX720922 TKT720922 TUP720922 UEL720922 UOH720922 UYD720922 VHZ720922 VRV720922 WBR720922 WLN720922 WVJ720922 D786458 IX786458 ST786458 ACP786458 AML786458 AWH786458 BGD786458 BPZ786458 BZV786458 CJR786458 CTN786458 DDJ786458 DNF786458 DXB786458 EGX786458 EQT786458 FAP786458 FKL786458 FUH786458 GED786458 GNZ786458 GXV786458 HHR786458 HRN786458 IBJ786458 ILF786458 IVB786458 JEX786458 JOT786458 JYP786458 KIL786458 KSH786458 LCD786458 LLZ786458 LVV786458 MFR786458 MPN786458 MZJ786458 NJF786458 NTB786458 OCX786458 OMT786458 OWP786458 PGL786458 PQH786458 QAD786458 QJZ786458 QTV786458 RDR786458 RNN786458 RXJ786458 SHF786458 SRB786458 TAX786458 TKT786458 TUP786458 UEL786458 UOH786458 UYD786458 VHZ786458 VRV786458 WBR786458 WLN786458 WVJ786458 D851994 IX851994 ST851994 ACP851994 AML851994 AWH851994 BGD851994 BPZ851994 BZV851994 CJR851994 CTN851994 DDJ851994 DNF851994 DXB851994 EGX851994 EQT851994 FAP851994 FKL851994 FUH851994 GED851994 GNZ851994 GXV851994 HHR851994 HRN851994 IBJ851994 ILF851994 IVB851994 JEX851994 JOT851994 JYP851994 KIL851994 KSH851994 LCD851994 LLZ851994 LVV851994 MFR851994 MPN851994 MZJ851994 NJF851994 NTB851994 OCX851994 OMT851994 OWP851994 PGL851994 PQH851994 QAD851994 QJZ851994 QTV851994 RDR851994 RNN851994 RXJ851994 SHF851994 SRB851994 TAX851994 TKT851994 TUP851994 UEL851994 UOH851994 UYD851994 VHZ851994 VRV851994 WBR851994 WLN851994 WVJ851994 D917530 IX917530 ST917530 ACP917530 AML917530 AWH917530 BGD917530 BPZ917530 BZV917530 CJR917530 CTN917530 DDJ917530 DNF917530 DXB917530 EGX917530 EQT917530 FAP917530 FKL917530 FUH917530 GED917530 GNZ917530 GXV917530 HHR917530 HRN917530 IBJ917530 ILF917530 IVB917530 JEX917530 JOT917530 JYP917530 KIL917530 KSH917530 LCD917530 LLZ917530 LVV917530 MFR917530 MPN917530 MZJ917530 NJF917530 NTB917530 OCX917530 OMT917530 OWP917530 PGL917530 PQH917530 QAD917530 QJZ917530 QTV917530 RDR917530 RNN917530 RXJ917530 SHF917530 SRB917530 TAX917530 TKT917530 TUP917530 UEL917530 UOH917530 UYD917530 VHZ917530 VRV917530 WBR917530 WLN917530 WVJ917530 D983066 IX983066 ST983066 ACP983066 AML983066 AWH983066 BGD983066 BPZ983066 BZV983066 CJR983066 CTN983066 DDJ983066 DNF983066 DXB983066 EGX983066 EQT983066 FAP983066 FKL983066 FUH983066 GED983066 GNZ983066 GXV983066 HHR983066 HRN983066 IBJ983066 ILF983066 IVB983066 JEX983066 JOT983066 JYP983066 KIL983066 KSH983066 LCD983066 LLZ983066 LVV983066 MFR983066 MPN983066 MZJ983066 NJF983066 NTB983066 OCX983066 OMT983066 OWP983066 PGL983066 PQH983066 QAD983066 QJZ983066 QTV983066 RDR983066 RNN983066 RXJ983066 SHF983066 SRB983066 TAX983066 TKT983066 TUP983066 UEL983066 UOH983066 UYD983066 VHZ983066 VRV983066 WBR983066 WLN983066 WVJ983066">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6 IX6 ST6 ACP6 AML6 AWH6 BGD6 BPZ6 BZV6 CJR6 CTN6 DDJ6 DNF6 DXB6 EGX6 EQT6 FAP6 FKL6 FUH6 GED6 GNZ6 GXV6 HHR6 HRN6 IBJ6 ILF6 IVB6 JEX6 JOT6 JYP6 KIL6 KSH6 LCD6 LLZ6 LVV6 MFR6 MPN6 MZJ6 NJF6 NTB6 OCX6 OMT6 OWP6 PGL6 PQH6 QAD6 QJZ6 QTV6 RDR6 RNN6 RXJ6 SHF6 SRB6 TAX6 TKT6 TUP6 UEL6 UOH6 UYD6 VHZ6 VRV6 WBR6 WLN6 WVJ6 D65543 IX65543 ST65543 ACP65543 AML65543 AWH65543 BGD65543 BPZ65543 BZV65543 CJR65543 CTN65543 DDJ65543 DNF65543 DXB65543 EGX65543 EQT65543 FAP65543 FKL65543 FUH65543 GED65543 GNZ65543 GXV65543 HHR65543 HRN65543 IBJ65543 ILF65543 IVB65543 JEX65543 JOT65543 JYP65543 KIL65543 KSH65543 LCD65543 LLZ65543 LVV65543 MFR65543 MPN65543 MZJ65543 NJF65543 NTB65543 OCX65543 OMT65543 OWP65543 PGL65543 PQH65543 QAD65543 QJZ65543 QTV65543 RDR65543 RNN65543 RXJ65543 SHF65543 SRB65543 TAX65543 TKT65543 TUP65543 UEL65543 UOH65543 UYD65543 VHZ65543 VRV65543 WBR65543 WLN65543 WVJ65543 D131079 IX131079 ST131079 ACP131079 AML131079 AWH131079 BGD131079 BPZ131079 BZV131079 CJR131079 CTN131079 DDJ131079 DNF131079 DXB131079 EGX131079 EQT131079 FAP131079 FKL131079 FUH131079 GED131079 GNZ131079 GXV131079 HHR131079 HRN131079 IBJ131079 ILF131079 IVB131079 JEX131079 JOT131079 JYP131079 KIL131079 KSH131079 LCD131079 LLZ131079 LVV131079 MFR131079 MPN131079 MZJ131079 NJF131079 NTB131079 OCX131079 OMT131079 OWP131079 PGL131079 PQH131079 QAD131079 QJZ131079 QTV131079 RDR131079 RNN131079 RXJ131079 SHF131079 SRB131079 TAX131079 TKT131079 TUP131079 UEL131079 UOH131079 UYD131079 VHZ131079 VRV131079 WBR131079 WLN131079 WVJ131079 D196615 IX196615 ST196615 ACP196615 AML196615 AWH196615 BGD196615 BPZ196615 BZV196615 CJR196615 CTN196615 DDJ196615 DNF196615 DXB196615 EGX196615 EQT196615 FAP196615 FKL196615 FUH196615 GED196615 GNZ196615 GXV196615 HHR196615 HRN196615 IBJ196615 ILF196615 IVB196615 JEX196615 JOT196615 JYP196615 KIL196615 KSH196615 LCD196615 LLZ196615 LVV196615 MFR196615 MPN196615 MZJ196615 NJF196615 NTB196615 OCX196615 OMT196615 OWP196615 PGL196615 PQH196615 QAD196615 QJZ196615 QTV196615 RDR196615 RNN196615 RXJ196615 SHF196615 SRB196615 TAX196615 TKT196615 TUP196615 UEL196615 UOH196615 UYD196615 VHZ196615 VRV196615 WBR196615 WLN196615 WVJ196615 D262151 IX262151 ST262151 ACP262151 AML262151 AWH262151 BGD262151 BPZ262151 BZV262151 CJR262151 CTN262151 DDJ262151 DNF262151 DXB262151 EGX262151 EQT262151 FAP262151 FKL262151 FUH262151 GED262151 GNZ262151 GXV262151 HHR262151 HRN262151 IBJ262151 ILF262151 IVB262151 JEX262151 JOT262151 JYP262151 KIL262151 KSH262151 LCD262151 LLZ262151 LVV262151 MFR262151 MPN262151 MZJ262151 NJF262151 NTB262151 OCX262151 OMT262151 OWP262151 PGL262151 PQH262151 QAD262151 QJZ262151 QTV262151 RDR262151 RNN262151 RXJ262151 SHF262151 SRB262151 TAX262151 TKT262151 TUP262151 UEL262151 UOH262151 UYD262151 VHZ262151 VRV262151 WBR262151 WLN262151 WVJ262151 D327687 IX327687 ST327687 ACP327687 AML327687 AWH327687 BGD327687 BPZ327687 BZV327687 CJR327687 CTN327687 DDJ327687 DNF327687 DXB327687 EGX327687 EQT327687 FAP327687 FKL327687 FUH327687 GED327687 GNZ327687 GXV327687 HHR327687 HRN327687 IBJ327687 ILF327687 IVB327687 JEX327687 JOT327687 JYP327687 KIL327687 KSH327687 LCD327687 LLZ327687 LVV327687 MFR327687 MPN327687 MZJ327687 NJF327687 NTB327687 OCX327687 OMT327687 OWP327687 PGL327687 PQH327687 QAD327687 QJZ327687 QTV327687 RDR327687 RNN327687 RXJ327687 SHF327687 SRB327687 TAX327687 TKT327687 TUP327687 UEL327687 UOH327687 UYD327687 VHZ327687 VRV327687 WBR327687 WLN327687 WVJ327687 D393223 IX393223 ST393223 ACP393223 AML393223 AWH393223 BGD393223 BPZ393223 BZV393223 CJR393223 CTN393223 DDJ393223 DNF393223 DXB393223 EGX393223 EQT393223 FAP393223 FKL393223 FUH393223 GED393223 GNZ393223 GXV393223 HHR393223 HRN393223 IBJ393223 ILF393223 IVB393223 JEX393223 JOT393223 JYP393223 KIL393223 KSH393223 LCD393223 LLZ393223 LVV393223 MFR393223 MPN393223 MZJ393223 NJF393223 NTB393223 OCX393223 OMT393223 OWP393223 PGL393223 PQH393223 QAD393223 QJZ393223 QTV393223 RDR393223 RNN393223 RXJ393223 SHF393223 SRB393223 TAX393223 TKT393223 TUP393223 UEL393223 UOH393223 UYD393223 VHZ393223 VRV393223 WBR393223 WLN393223 WVJ393223 D458759 IX458759 ST458759 ACP458759 AML458759 AWH458759 BGD458759 BPZ458759 BZV458759 CJR458759 CTN458759 DDJ458759 DNF458759 DXB458759 EGX458759 EQT458759 FAP458759 FKL458759 FUH458759 GED458759 GNZ458759 GXV458759 HHR458759 HRN458759 IBJ458759 ILF458759 IVB458759 JEX458759 JOT458759 JYP458759 KIL458759 KSH458759 LCD458759 LLZ458759 LVV458759 MFR458759 MPN458759 MZJ458759 NJF458759 NTB458759 OCX458759 OMT458759 OWP458759 PGL458759 PQH458759 QAD458759 QJZ458759 QTV458759 RDR458759 RNN458759 RXJ458759 SHF458759 SRB458759 TAX458759 TKT458759 TUP458759 UEL458759 UOH458759 UYD458759 VHZ458759 VRV458759 WBR458759 WLN458759 WVJ458759 D524295 IX524295 ST524295 ACP524295 AML524295 AWH524295 BGD524295 BPZ524295 BZV524295 CJR524295 CTN524295 DDJ524295 DNF524295 DXB524295 EGX524295 EQT524295 FAP524295 FKL524295 FUH524295 GED524295 GNZ524295 GXV524295 HHR524295 HRN524295 IBJ524295 ILF524295 IVB524295 JEX524295 JOT524295 JYP524295 KIL524295 KSH524295 LCD524295 LLZ524295 LVV524295 MFR524295 MPN524295 MZJ524295 NJF524295 NTB524295 OCX524295 OMT524295 OWP524295 PGL524295 PQH524295 QAD524295 QJZ524295 QTV524295 RDR524295 RNN524295 RXJ524295 SHF524295 SRB524295 TAX524295 TKT524295 TUP524295 UEL524295 UOH524295 UYD524295 VHZ524295 VRV524295 WBR524295 WLN524295 WVJ524295 D589831 IX589831 ST589831 ACP589831 AML589831 AWH589831 BGD589831 BPZ589831 BZV589831 CJR589831 CTN589831 DDJ589831 DNF589831 DXB589831 EGX589831 EQT589831 FAP589831 FKL589831 FUH589831 GED589831 GNZ589831 GXV589831 HHR589831 HRN589831 IBJ589831 ILF589831 IVB589831 JEX589831 JOT589831 JYP589831 KIL589831 KSH589831 LCD589831 LLZ589831 LVV589831 MFR589831 MPN589831 MZJ589831 NJF589831 NTB589831 OCX589831 OMT589831 OWP589831 PGL589831 PQH589831 QAD589831 QJZ589831 QTV589831 RDR589831 RNN589831 RXJ589831 SHF589831 SRB589831 TAX589831 TKT589831 TUP589831 UEL589831 UOH589831 UYD589831 VHZ589831 VRV589831 WBR589831 WLN589831 WVJ589831 D655367 IX655367 ST655367 ACP655367 AML655367 AWH655367 BGD655367 BPZ655367 BZV655367 CJR655367 CTN655367 DDJ655367 DNF655367 DXB655367 EGX655367 EQT655367 FAP655367 FKL655367 FUH655367 GED655367 GNZ655367 GXV655367 HHR655367 HRN655367 IBJ655367 ILF655367 IVB655367 JEX655367 JOT655367 JYP655367 KIL655367 KSH655367 LCD655367 LLZ655367 LVV655367 MFR655367 MPN655367 MZJ655367 NJF655367 NTB655367 OCX655367 OMT655367 OWP655367 PGL655367 PQH655367 QAD655367 QJZ655367 QTV655367 RDR655367 RNN655367 RXJ655367 SHF655367 SRB655367 TAX655367 TKT655367 TUP655367 UEL655367 UOH655367 UYD655367 VHZ655367 VRV655367 WBR655367 WLN655367 WVJ655367 D720903 IX720903 ST720903 ACP720903 AML720903 AWH720903 BGD720903 BPZ720903 BZV720903 CJR720903 CTN720903 DDJ720903 DNF720903 DXB720903 EGX720903 EQT720903 FAP720903 FKL720903 FUH720903 GED720903 GNZ720903 GXV720903 HHR720903 HRN720903 IBJ720903 ILF720903 IVB720903 JEX720903 JOT720903 JYP720903 KIL720903 KSH720903 LCD720903 LLZ720903 LVV720903 MFR720903 MPN720903 MZJ720903 NJF720903 NTB720903 OCX720903 OMT720903 OWP720903 PGL720903 PQH720903 QAD720903 QJZ720903 QTV720903 RDR720903 RNN720903 RXJ720903 SHF720903 SRB720903 TAX720903 TKT720903 TUP720903 UEL720903 UOH720903 UYD720903 VHZ720903 VRV720903 WBR720903 WLN720903 WVJ720903 D786439 IX786439 ST786439 ACP786439 AML786439 AWH786439 BGD786439 BPZ786439 BZV786439 CJR786439 CTN786439 DDJ786439 DNF786439 DXB786439 EGX786439 EQT786439 FAP786439 FKL786439 FUH786439 GED786439 GNZ786439 GXV786439 HHR786439 HRN786439 IBJ786439 ILF786439 IVB786439 JEX786439 JOT786439 JYP786439 KIL786439 KSH786439 LCD786439 LLZ786439 LVV786439 MFR786439 MPN786439 MZJ786439 NJF786439 NTB786439 OCX786439 OMT786439 OWP786439 PGL786439 PQH786439 QAD786439 QJZ786439 QTV786439 RDR786439 RNN786439 RXJ786439 SHF786439 SRB786439 TAX786439 TKT786439 TUP786439 UEL786439 UOH786439 UYD786439 VHZ786439 VRV786439 WBR786439 WLN786439 WVJ786439 D851975 IX851975 ST851975 ACP851975 AML851975 AWH851975 BGD851975 BPZ851975 BZV851975 CJR851975 CTN851975 DDJ851975 DNF851975 DXB851975 EGX851975 EQT851975 FAP851975 FKL851975 FUH851975 GED851975 GNZ851975 GXV851975 HHR851975 HRN851975 IBJ851975 ILF851975 IVB851975 JEX851975 JOT851975 JYP851975 KIL851975 KSH851975 LCD851975 LLZ851975 LVV851975 MFR851975 MPN851975 MZJ851975 NJF851975 NTB851975 OCX851975 OMT851975 OWP851975 PGL851975 PQH851975 QAD851975 QJZ851975 QTV851975 RDR851975 RNN851975 RXJ851975 SHF851975 SRB851975 TAX851975 TKT851975 TUP851975 UEL851975 UOH851975 UYD851975 VHZ851975 VRV851975 WBR851975 WLN851975 WVJ851975 D917511 IX917511 ST917511 ACP917511 AML917511 AWH917511 BGD917511 BPZ917511 BZV917511 CJR917511 CTN917511 DDJ917511 DNF917511 DXB917511 EGX917511 EQT917511 FAP917511 FKL917511 FUH917511 GED917511 GNZ917511 GXV917511 HHR917511 HRN917511 IBJ917511 ILF917511 IVB917511 JEX917511 JOT917511 JYP917511 KIL917511 KSH917511 LCD917511 LLZ917511 LVV917511 MFR917511 MPN917511 MZJ917511 NJF917511 NTB917511 OCX917511 OMT917511 OWP917511 PGL917511 PQH917511 QAD917511 QJZ917511 QTV917511 RDR917511 RNN917511 RXJ917511 SHF917511 SRB917511 TAX917511 TKT917511 TUP917511 UEL917511 UOH917511 UYD917511 VHZ917511 VRV917511 WBR917511 WLN917511 WVJ917511 D983047 IX983047 ST983047 ACP983047 AML983047 AWH983047 BGD983047 BPZ983047 BZV983047 CJR983047 CTN983047 DDJ983047 DNF983047 DXB983047 EGX983047 EQT983047 FAP983047 FKL983047 FUH983047 GED983047 GNZ983047 GXV983047 HHR983047 HRN983047 IBJ983047 ILF983047 IVB983047 JEX983047 JOT983047 JYP983047 KIL983047 KSH983047 LCD983047 LLZ983047 LVV983047 MFR983047 MPN983047 MZJ983047 NJF983047 NTB983047 OCX983047 OMT983047 OWP983047 PGL983047 PQH983047 QAD983047 QJZ983047 QTV983047 RDR983047 RNN983047 RXJ983047 SHF983047 SRB983047 TAX983047 TKT983047 TUP983047 UEL983047 UOH983047 UYD983047 VHZ983047 VRV983047 WBR983047 WLN983047 WVJ983047">
      <formula1>"1D,1W,1M,2M,3M,6M,1Y"</formula1>
    </dataValidation>
    <dataValidation type="list" allowBlank="1" showInputMessage="1" showErrorMessage="1" sqref="D24 IX25 ST25 ACP25 AML25 AWH25 BGD25 BPZ25 BZV25 CJR25 CTN25 DDJ25 DNF25 DXB25 EGX25 EQT25 FAP25 FKL25 FUH25 GED25 GNZ25 GXV25 HHR25 HRN25 IBJ25 ILF25 IVB25 JEX25 JOT25 JYP25 KIL25 KSH25 LCD25 LLZ25 LVV25 MFR25 MPN25 MZJ25 NJF25 NTB25 OCX25 OMT25 OWP25 PGL25 PQH25 QAD25 QJZ25 QTV25 RDR25 RNN25 RXJ25 SHF25 SRB25 TAX25 TKT25 TUP25 UEL25 UOH25 UYD25 VHZ25 VRV25 WBR25 WLN25 WVJ25 D65561 IX65561 ST65561 ACP65561 AML65561 AWH65561 BGD65561 BPZ65561 BZV65561 CJR65561 CTN65561 DDJ65561 DNF65561 DXB65561 EGX65561 EQT65561 FAP65561 FKL65561 FUH65561 GED65561 GNZ65561 GXV65561 HHR65561 HRN65561 IBJ65561 ILF65561 IVB65561 JEX65561 JOT65561 JYP65561 KIL65561 KSH65561 LCD65561 LLZ65561 LVV65561 MFR65561 MPN65561 MZJ65561 NJF65561 NTB65561 OCX65561 OMT65561 OWP65561 PGL65561 PQH65561 QAD65561 QJZ65561 QTV65561 RDR65561 RNN65561 RXJ65561 SHF65561 SRB65561 TAX65561 TKT65561 TUP65561 UEL65561 UOH65561 UYD65561 VHZ65561 VRV65561 WBR65561 WLN65561 WVJ65561 D131097 IX131097 ST131097 ACP131097 AML131097 AWH131097 BGD131097 BPZ131097 BZV131097 CJR131097 CTN131097 DDJ131097 DNF131097 DXB131097 EGX131097 EQT131097 FAP131097 FKL131097 FUH131097 GED131097 GNZ131097 GXV131097 HHR131097 HRN131097 IBJ131097 ILF131097 IVB131097 JEX131097 JOT131097 JYP131097 KIL131097 KSH131097 LCD131097 LLZ131097 LVV131097 MFR131097 MPN131097 MZJ131097 NJF131097 NTB131097 OCX131097 OMT131097 OWP131097 PGL131097 PQH131097 QAD131097 QJZ131097 QTV131097 RDR131097 RNN131097 RXJ131097 SHF131097 SRB131097 TAX131097 TKT131097 TUP131097 UEL131097 UOH131097 UYD131097 VHZ131097 VRV131097 WBR131097 WLN131097 WVJ131097 D196633 IX196633 ST196633 ACP196633 AML196633 AWH196633 BGD196633 BPZ196633 BZV196633 CJR196633 CTN196633 DDJ196633 DNF196633 DXB196633 EGX196633 EQT196633 FAP196633 FKL196633 FUH196633 GED196633 GNZ196633 GXV196633 HHR196633 HRN196633 IBJ196633 ILF196633 IVB196633 JEX196633 JOT196633 JYP196633 KIL196633 KSH196633 LCD196633 LLZ196633 LVV196633 MFR196633 MPN196633 MZJ196633 NJF196633 NTB196633 OCX196633 OMT196633 OWP196633 PGL196633 PQH196633 QAD196633 QJZ196633 QTV196633 RDR196633 RNN196633 RXJ196633 SHF196633 SRB196633 TAX196633 TKT196633 TUP196633 UEL196633 UOH196633 UYD196633 VHZ196633 VRV196633 WBR196633 WLN196633 WVJ196633 D262169 IX262169 ST262169 ACP262169 AML262169 AWH262169 BGD262169 BPZ262169 BZV262169 CJR262169 CTN262169 DDJ262169 DNF262169 DXB262169 EGX262169 EQT262169 FAP262169 FKL262169 FUH262169 GED262169 GNZ262169 GXV262169 HHR262169 HRN262169 IBJ262169 ILF262169 IVB262169 JEX262169 JOT262169 JYP262169 KIL262169 KSH262169 LCD262169 LLZ262169 LVV262169 MFR262169 MPN262169 MZJ262169 NJF262169 NTB262169 OCX262169 OMT262169 OWP262169 PGL262169 PQH262169 QAD262169 QJZ262169 QTV262169 RDR262169 RNN262169 RXJ262169 SHF262169 SRB262169 TAX262169 TKT262169 TUP262169 UEL262169 UOH262169 UYD262169 VHZ262169 VRV262169 WBR262169 WLN262169 WVJ262169 D327705 IX327705 ST327705 ACP327705 AML327705 AWH327705 BGD327705 BPZ327705 BZV327705 CJR327705 CTN327705 DDJ327705 DNF327705 DXB327705 EGX327705 EQT327705 FAP327705 FKL327705 FUH327705 GED327705 GNZ327705 GXV327705 HHR327705 HRN327705 IBJ327705 ILF327705 IVB327705 JEX327705 JOT327705 JYP327705 KIL327705 KSH327705 LCD327705 LLZ327705 LVV327705 MFR327705 MPN327705 MZJ327705 NJF327705 NTB327705 OCX327705 OMT327705 OWP327705 PGL327705 PQH327705 QAD327705 QJZ327705 QTV327705 RDR327705 RNN327705 RXJ327705 SHF327705 SRB327705 TAX327705 TKT327705 TUP327705 UEL327705 UOH327705 UYD327705 VHZ327705 VRV327705 WBR327705 WLN327705 WVJ327705 D393241 IX393241 ST393241 ACP393241 AML393241 AWH393241 BGD393241 BPZ393241 BZV393241 CJR393241 CTN393241 DDJ393241 DNF393241 DXB393241 EGX393241 EQT393241 FAP393241 FKL393241 FUH393241 GED393241 GNZ393241 GXV393241 HHR393241 HRN393241 IBJ393241 ILF393241 IVB393241 JEX393241 JOT393241 JYP393241 KIL393241 KSH393241 LCD393241 LLZ393241 LVV393241 MFR393241 MPN393241 MZJ393241 NJF393241 NTB393241 OCX393241 OMT393241 OWP393241 PGL393241 PQH393241 QAD393241 QJZ393241 QTV393241 RDR393241 RNN393241 RXJ393241 SHF393241 SRB393241 TAX393241 TKT393241 TUP393241 UEL393241 UOH393241 UYD393241 VHZ393241 VRV393241 WBR393241 WLN393241 WVJ393241 D458777 IX458777 ST458777 ACP458777 AML458777 AWH458777 BGD458777 BPZ458777 BZV458777 CJR458777 CTN458777 DDJ458777 DNF458777 DXB458777 EGX458777 EQT458777 FAP458777 FKL458777 FUH458777 GED458777 GNZ458777 GXV458777 HHR458777 HRN458777 IBJ458777 ILF458777 IVB458777 JEX458777 JOT458777 JYP458777 KIL458777 KSH458777 LCD458777 LLZ458777 LVV458777 MFR458777 MPN458777 MZJ458777 NJF458777 NTB458777 OCX458777 OMT458777 OWP458777 PGL458777 PQH458777 QAD458777 QJZ458777 QTV458777 RDR458777 RNN458777 RXJ458777 SHF458777 SRB458777 TAX458777 TKT458777 TUP458777 UEL458777 UOH458777 UYD458777 VHZ458777 VRV458777 WBR458777 WLN458777 WVJ458777 D524313 IX524313 ST524313 ACP524313 AML524313 AWH524313 BGD524313 BPZ524313 BZV524313 CJR524313 CTN524313 DDJ524313 DNF524313 DXB524313 EGX524313 EQT524313 FAP524313 FKL524313 FUH524313 GED524313 GNZ524313 GXV524313 HHR524313 HRN524313 IBJ524313 ILF524313 IVB524313 JEX524313 JOT524313 JYP524313 KIL524313 KSH524313 LCD524313 LLZ524313 LVV524313 MFR524313 MPN524313 MZJ524313 NJF524313 NTB524313 OCX524313 OMT524313 OWP524313 PGL524313 PQH524313 QAD524313 QJZ524313 QTV524313 RDR524313 RNN524313 RXJ524313 SHF524313 SRB524313 TAX524313 TKT524313 TUP524313 UEL524313 UOH524313 UYD524313 VHZ524313 VRV524313 WBR524313 WLN524313 WVJ524313 D589849 IX589849 ST589849 ACP589849 AML589849 AWH589849 BGD589849 BPZ589849 BZV589849 CJR589849 CTN589849 DDJ589849 DNF589849 DXB589849 EGX589849 EQT589849 FAP589849 FKL589849 FUH589849 GED589849 GNZ589849 GXV589849 HHR589849 HRN589849 IBJ589849 ILF589849 IVB589849 JEX589849 JOT589849 JYP589849 KIL589849 KSH589849 LCD589849 LLZ589849 LVV589849 MFR589849 MPN589849 MZJ589849 NJF589849 NTB589849 OCX589849 OMT589849 OWP589849 PGL589849 PQH589849 QAD589849 QJZ589849 QTV589849 RDR589849 RNN589849 RXJ589849 SHF589849 SRB589849 TAX589849 TKT589849 TUP589849 UEL589849 UOH589849 UYD589849 VHZ589849 VRV589849 WBR589849 WLN589849 WVJ589849 D655385 IX655385 ST655385 ACP655385 AML655385 AWH655385 BGD655385 BPZ655385 BZV655385 CJR655385 CTN655385 DDJ655385 DNF655385 DXB655385 EGX655385 EQT655385 FAP655385 FKL655385 FUH655385 GED655385 GNZ655385 GXV655385 HHR655385 HRN655385 IBJ655385 ILF655385 IVB655385 JEX655385 JOT655385 JYP655385 KIL655385 KSH655385 LCD655385 LLZ655385 LVV655385 MFR655385 MPN655385 MZJ655385 NJF655385 NTB655385 OCX655385 OMT655385 OWP655385 PGL655385 PQH655385 QAD655385 QJZ655385 QTV655385 RDR655385 RNN655385 RXJ655385 SHF655385 SRB655385 TAX655385 TKT655385 TUP655385 UEL655385 UOH655385 UYD655385 VHZ655385 VRV655385 WBR655385 WLN655385 WVJ655385 D720921 IX720921 ST720921 ACP720921 AML720921 AWH720921 BGD720921 BPZ720921 BZV720921 CJR720921 CTN720921 DDJ720921 DNF720921 DXB720921 EGX720921 EQT720921 FAP720921 FKL720921 FUH720921 GED720921 GNZ720921 GXV720921 HHR720921 HRN720921 IBJ720921 ILF720921 IVB720921 JEX720921 JOT720921 JYP720921 KIL720921 KSH720921 LCD720921 LLZ720921 LVV720921 MFR720921 MPN720921 MZJ720921 NJF720921 NTB720921 OCX720921 OMT720921 OWP720921 PGL720921 PQH720921 QAD720921 QJZ720921 QTV720921 RDR720921 RNN720921 RXJ720921 SHF720921 SRB720921 TAX720921 TKT720921 TUP720921 UEL720921 UOH720921 UYD720921 VHZ720921 VRV720921 WBR720921 WLN720921 WVJ720921 D786457 IX786457 ST786457 ACP786457 AML786457 AWH786457 BGD786457 BPZ786457 BZV786457 CJR786457 CTN786457 DDJ786457 DNF786457 DXB786457 EGX786457 EQT786457 FAP786457 FKL786457 FUH786457 GED786457 GNZ786457 GXV786457 HHR786457 HRN786457 IBJ786457 ILF786457 IVB786457 JEX786457 JOT786457 JYP786457 KIL786457 KSH786457 LCD786457 LLZ786457 LVV786457 MFR786457 MPN786457 MZJ786457 NJF786457 NTB786457 OCX786457 OMT786457 OWP786457 PGL786457 PQH786457 QAD786457 QJZ786457 QTV786457 RDR786457 RNN786457 RXJ786457 SHF786457 SRB786457 TAX786457 TKT786457 TUP786457 UEL786457 UOH786457 UYD786457 VHZ786457 VRV786457 WBR786457 WLN786457 WVJ786457 D851993 IX851993 ST851993 ACP851993 AML851993 AWH851993 BGD851993 BPZ851993 BZV851993 CJR851993 CTN851993 DDJ851993 DNF851993 DXB851993 EGX851993 EQT851993 FAP851993 FKL851993 FUH851993 GED851993 GNZ851993 GXV851993 HHR851993 HRN851993 IBJ851993 ILF851993 IVB851993 JEX851993 JOT851993 JYP851993 KIL851993 KSH851993 LCD851993 LLZ851993 LVV851993 MFR851993 MPN851993 MZJ851993 NJF851993 NTB851993 OCX851993 OMT851993 OWP851993 PGL851993 PQH851993 QAD851993 QJZ851993 QTV851993 RDR851993 RNN851993 RXJ851993 SHF851993 SRB851993 TAX851993 TKT851993 TUP851993 UEL851993 UOH851993 UYD851993 VHZ851993 VRV851993 WBR851993 WLN851993 WVJ851993 D917529 IX917529 ST917529 ACP917529 AML917529 AWH917529 BGD917529 BPZ917529 BZV917529 CJR917529 CTN917529 DDJ917529 DNF917529 DXB917529 EGX917529 EQT917529 FAP917529 FKL917529 FUH917529 GED917529 GNZ917529 GXV917529 HHR917529 HRN917529 IBJ917529 ILF917529 IVB917529 JEX917529 JOT917529 JYP917529 KIL917529 KSH917529 LCD917529 LLZ917529 LVV917529 MFR917529 MPN917529 MZJ917529 NJF917529 NTB917529 OCX917529 OMT917529 OWP917529 PGL917529 PQH917529 QAD917529 QJZ917529 QTV917529 RDR917529 RNN917529 RXJ917529 SHF917529 SRB917529 TAX917529 TKT917529 TUP917529 UEL917529 UOH917529 UYD917529 VHZ917529 VRV917529 WBR917529 WLN917529 WVJ917529 D983065 IX983065 ST983065 ACP983065 AML983065 AWH983065 BGD983065 BPZ983065 BZV983065 CJR983065 CTN983065 DDJ983065 DNF983065 DXB983065 EGX983065 EQT983065 FAP983065 FKL983065 FUH983065 GED983065 GNZ983065 GXV983065 HHR983065 HRN983065 IBJ983065 ILF983065 IVB983065 JEX983065 JOT983065 JYP983065 KIL983065 KSH983065 LCD983065 LLZ983065 LVV983065 MFR983065 MPN983065 MZJ983065 NJF983065 NTB983065 OCX983065 OMT983065 OWP983065 PGL983065 PQH983065 QAD983065 QJZ983065 QTV983065 RDR983065 RNN983065 RXJ983065 SHF983065 SRB983065 TAX983065 TKT983065 TUP983065 UEL983065 UOH983065 UYD983065 VHZ983065 VRV983065 WBR983065 WLN983065 WVJ983065">
      <formula1>"Discount,ZeroYield,ForwardRate"</formula1>
    </dataValidation>
    <dataValidation type="list" allowBlank="1" showInputMessage="1" showErrorMessage="1" sqref="D19 IX20 ST20 ACP20 AML20 AWH20 BGD20 BPZ20 BZV20 CJR20 CTN20 DDJ20 DNF20 DXB20 EGX20 EQT20 FAP20 FKL20 FUH20 GED20 GNZ20 GXV20 HHR20 HRN20 IBJ20 ILF20 IVB20 JEX20 JOT20 JYP20 KIL20 KSH20 LCD20 LLZ20 LVV20 MFR20 MPN20 MZJ20 NJF20 NTB20 OCX20 OMT20 OWP20 PGL20 PQH20 QAD20 QJZ20 QTV20 RDR20 RNN20 RXJ20 SHF20 SRB20 TAX20 TKT20 TUP20 UEL20 UOH20 UYD20 VHZ20 VRV20 WBR20 WLN20 WVJ20 D65556 IX65556 ST65556 ACP65556 AML65556 AWH65556 BGD65556 BPZ65556 BZV65556 CJR65556 CTN65556 DDJ65556 DNF65556 DXB65556 EGX65556 EQT65556 FAP65556 FKL65556 FUH65556 GED65556 GNZ65556 GXV65556 HHR65556 HRN65556 IBJ65556 ILF65556 IVB65556 JEX65556 JOT65556 JYP65556 KIL65556 KSH65556 LCD65556 LLZ65556 LVV65556 MFR65556 MPN65556 MZJ65556 NJF65556 NTB65556 OCX65556 OMT65556 OWP65556 PGL65556 PQH65556 QAD65556 QJZ65556 QTV65556 RDR65556 RNN65556 RXJ65556 SHF65556 SRB65556 TAX65556 TKT65556 TUP65556 UEL65556 UOH65556 UYD65556 VHZ65556 VRV65556 WBR65556 WLN65556 WVJ65556 D131092 IX131092 ST131092 ACP131092 AML131092 AWH131092 BGD131092 BPZ131092 BZV131092 CJR131092 CTN131092 DDJ131092 DNF131092 DXB131092 EGX131092 EQT131092 FAP131092 FKL131092 FUH131092 GED131092 GNZ131092 GXV131092 HHR131092 HRN131092 IBJ131092 ILF131092 IVB131092 JEX131092 JOT131092 JYP131092 KIL131092 KSH131092 LCD131092 LLZ131092 LVV131092 MFR131092 MPN131092 MZJ131092 NJF131092 NTB131092 OCX131092 OMT131092 OWP131092 PGL131092 PQH131092 QAD131092 QJZ131092 QTV131092 RDR131092 RNN131092 RXJ131092 SHF131092 SRB131092 TAX131092 TKT131092 TUP131092 UEL131092 UOH131092 UYD131092 VHZ131092 VRV131092 WBR131092 WLN131092 WVJ131092 D196628 IX196628 ST196628 ACP196628 AML196628 AWH196628 BGD196628 BPZ196628 BZV196628 CJR196628 CTN196628 DDJ196628 DNF196628 DXB196628 EGX196628 EQT196628 FAP196628 FKL196628 FUH196628 GED196628 GNZ196628 GXV196628 HHR196628 HRN196628 IBJ196628 ILF196628 IVB196628 JEX196628 JOT196628 JYP196628 KIL196628 KSH196628 LCD196628 LLZ196628 LVV196628 MFR196628 MPN196628 MZJ196628 NJF196628 NTB196628 OCX196628 OMT196628 OWP196628 PGL196628 PQH196628 QAD196628 QJZ196628 QTV196628 RDR196628 RNN196628 RXJ196628 SHF196628 SRB196628 TAX196628 TKT196628 TUP196628 UEL196628 UOH196628 UYD196628 VHZ196628 VRV196628 WBR196628 WLN196628 WVJ196628 D262164 IX262164 ST262164 ACP262164 AML262164 AWH262164 BGD262164 BPZ262164 BZV262164 CJR262164 CTN262164 DDJ262164 DNF262164 DXB262164 EGX262164 EQT262164 FAP262164 FKL262164 FUH262164 GED262164 GNZ262164 GXV262164 HHR262164 HRN262164 IBJ262164 ILF262164 IVB262164 JEX262164 JOT262164 JYP262164 KIL262164 KSH262164 LCD262164 LLZ262164 LVV262164 MFR262164 MPN262164 MZJ262164 NJF262164 NTB262164 OCX262164 OMT262164 OWP262164 PGL262164 PQH262164 QAD262164 QJZ262164 QTV262164 RDR262164 RNN262164 RXJ262164 SHF262164 SRB262164 TAX262164 TKT262164 TUP262164 UEL262164 UOH262164 UYD262164 VHZ262164 VRV262164 WBR262164 WLN262164 WVJ262164 D327700 IX327700 ST327700 ACP327700 AML327700 AWH327700 BGD327700 BPZ327700 BZV327700 CJR327700 CTN327700 DDJ327700 DNF327700 DXB327700 EGX327700 EQT327700 FAP327700 FKL327700 FUH327700 GED327700 GNZ327700 GXV327700 HHR327700 HRN327700 IBJ327700 ILF327700 IVB327700 JEX327700 JOT327700 JYP327700 KIL327700 KSH327700 LCD327700 LLZ327700 LVV327700 MFR327700 MPN327700 MZJ327700 NJF327700 NTB327700 OCX327700 OMT327700 OWP327700 PGL327700 PQH327700 QAD327700 QJZ327700 QTV327700 RDR327700 RNN327700 RXJ327700 SHF327700 SRB327700 TAX327700 TKT327700 TUP327700 UEL327700 UOH327700 UYD327700 VHZ327700 VRV327700 WBR327700 WLN327700 WVJ327700 D393236 IX393236 ST393236 ACP393236 AML393236 AWH393236 BGD393236 BPZ393236 BZV393236 CJR393236 CTN393236 DDJ393236 DNF393236 DXB393236 EGX393236 EQT393236 FAP393236 FKL393236 FUH393236 GED393236 GNZ393236 GXV393236 HHR393236 HRN393236 IBJ393236 ILF393236 IVB393236 JEX393236 JOT393236 JYP393236 KIL393236 KSH393236 LCD393236 LLZ393236 LVV393236 MFR393236 MPN393236 MZJ393236 NJF393236 NTB393236 OCX393236 OMT393236 OWP393236 PGL393236 PQH393236 QAD393236 QJZ393236 QTV393236 RDR393236 RNN393236 RXJ393236 SHF393236 SRB393236 TAX393236 TKT393236 TUP393236 UEL393236 UOH393236 UYD393236 VHZ393236 VRV393236 WBR393236 WLN393236 WVJ393236 D458772 IX458772 ST458772 ACP458772 AML458772 AWH458772 BGD458772 BPZ458772 BZV458772 CJR458772 CTN458772 DDJ458772 DNF458772 DXB458772 EGX458772 EQT458772 FAP458772 FKL458772 FUH458772 GED458772 GNZ458772 GXV458772 HHR458772 HRN458772 IBJ458772 ILF458772 IVB458772 JEX458772 JOT458772 JYP458772 KIL458772 KSH458772 LCD458772 LLZ458772 LVV458772 MFR458772 MPN458772 MZJ458772 NJF458772 NTB458772 OCX458772 OMT458772 OWP458772 PGL458772 PQH458772 QAD458772 QJZ458772 QTV458772 RDR458772 RNN458772 RXJ458772 SHF458772 SRB458772 TAX458772 TKT458772 TUP458772 UEL458772 UOH458772 UYD458772 VHZ458772 VRV458772 WBR458772 WLN458772 WVJ458772 D524308 IX524308 ST524308 ACP524308 AML524308 AWH524308 BGD524308 BPZ524308 BZV524308 CJR524308 CTN524308 DDJ524308 DNF524308 DXB524308 EGX524308 EQT524308 FAP524308 FKL524308 FUH524308 GED524308 GNZ524308 GXV524308 HHR524308 HRN524308 IBJ524308 ILF524308 IVB524308 JEX524308 JOT524308 JYP524308 KIL524308 KSH524308 LCD524308 LLZ524308 LVV524308 MFR524308 MPN524308 MZJ524308 NJF524308 NTB524308 OCX524308 OMT524308 OWP524308 PGL524308 PQH524308 QAD524308 QJZ524308 QTV524308 RDR524308 RNN524308 RXJ524308 SHF524308 SRB524308 TAX524308 TKT524308 TUP524308 UEL524308 UOH524308 UYD524308 VHZ524308 VRV524308 WBR524308 WLN524308 WVJ524308 D589844 IX589844 ST589844 ACP589844 AML589844 AWH589844 BGD589844 BPZ589844 BZV589844 CJR589844 CTN589844 DDJ589844 DNF589844 DXB589844 EGX589844 EQT589844 FAP589844 FKL589844 FUH589844 GED589844 GNZ589844 GXV589844 HHR589844 HRN589844 IBJ589844 ILF589844 IVB589844 JEX589844 JOT589844 JYP589844 KIL589844 KSH589844 LCD589844 LLZ589844 LVV589844 MFR589844 MPN589844 MZJ589844 NJF589844 NTB589844 OCX589844 OMT589844 OWP589844 PGL589844 PQH589844 QAD589844 QJZ589844 QTV589844 RDR589844 RNN589844 RXJ589844 SHF589844 SRB589844 TAX589844 TKT589844 TUP589844 UEL589844 UOH589844 UYD589844 VHZ589844 VRV589844 WBR589844 WLN589844 WVJ589844 D655380 IX655380 ST655380 ACP655380 AML655380 AWH655380 BGD655380 BPZ655380 BZV655380 CJR655380 CTN655380 DDJ655380 DNF655380 DXB655380 EGX655380 EQT655380 FAP655380 FKL655380 FUH655380 GED655380 GNZ655380 GXV655380 HHR655380 HRN655380 IBJ655380 ILF655380 IVB655380 JEX655380 JOT655380 JYP655380 KIL655380 KSH655380 LCD655380 LLZ655380 LVV655380 MFR655380 MPN655380 MZJ655380 NJF655380 NTB655380 OCX655380 OMT655380 OWP655380 PGL655380 PQH655380 QAD655380 QJZ655380 QTV655380 RDR655380 RNN655380 RXJ655380 SHF655380 SRB655380 TAX655380 TKT655380 TUP655380 UEL655380 UOH655380 UYD655380 VHZ655380 VRV655380 WBR655380 WLN655380 WVJ655380 D720916 IX720916 ST720916 ACP720916 AML720916 AWH720916 BGD720916 BPZ720916 BZV720916 CJR720916 CTN720916 DDJ720916 DNF720916 DXB720916 EGX720916 EQT720916 FAP720916 FKL720916 FUH720916 GED720916 GNZ720916 GXV720916 HHR720916 HRN720916 IBJ720916 ILF720916 IVB720916 JEX720916 JOT720916 JYP720916 KIL720916 KSH720916 LCD720916 LLZ720916 LVV720916 MFR720916 MPN720916 MZJ720916 NJF720916 NTB720916 OCX720916 OMT720916 OWP720916 PGL720916 PQH720916 QAD720916 QJZ720916 QTV720916 RDR720916 RNN720916 RXJ720916 SHF720916 SRB720916 TAX720916 TKT720916 TUP720916 UEL720916 UOH720916 UYD720916 VHZ720916 VRV720916 WBR720916 WLN720916 WVJ720916 D786452 IX786452 ST786452 ACP786452 AML786452 AWH786452 BGD786452 BPZ786452 BZV786452 CJR786452 CTN786452 DDJ786452 DNF786452 DXB786452 EGX786452 EQT786452 FAP786452 FKL786452 FUH786452 GED786452 GNZ786452 GXV786452 HHR786452 HRN786452 IBJ786452 ILF786452 IVB786452 JEX786452 JOT786452 JYP786452 KIL786452 KSH786452 LCD786452 LLZ786452 LVV786452 MFR786452 MPN786452 MZJ786452 NJF786452 NTB786452 OCX786452 OMT786452 OWP786452 PGL786452 PQH786452 QAD786452 QJZ786452 QTV786452 RDR786452 RNN786452 RXJ786452 SHF786452 SRB786452 TAX786452 TKT786452 TUP786452 UEL786452 UOH786452 UYD786452 VHZ786452 VRV786452 WBR786452 WLN786452 WVJ786452 D851988 IX851988 ST851988 ACP851988 AML851988 AWH851988 BGD851988 BPZ851988 BZV851988 CJR851988 CTN851988 DDJ851988 DNF851988 DXB851988 EGX851988 EQT851988 FAP851988 FKL851988 FUH851988 GED851988 GNZ851988 GXV851988 HHR851988 HRN851988 IBJ851988 ILF851988 IVB851988 JEX851988 JOT851988 JYP851988 KIL851988 KSH851988 LCD851988 LLZ851988 LVV851988 MFR851988 MPN851988 MZJ851988 NJF851988 NTB851988 OCX851988 OMT851988 OWP851988 PGL851988 PQH851988 QAD851988 QJZ851988 QTV851988 RDR851988 RNN851988 RXJ851988 SHF851988 SRB851988 TAX851988 TKT851988 TUP851988 UEL851988 UOH851988 UYD851988 VHZ851988 VRV851988 WBR851988 WLN851988 WVJ851988 D917524 IX917524 ST917524 ACP917524 AML917524 AWH917524 BGD917524 BPZ917524 BZV917524 CJR917524 CTN917524 DDJ917524 DNF917524 DXB917524 EGX917524 EQT917524 FAP917524 FKL917524 FUH917524 GED917524 GNZ917524 GXV917524 HHR917524 HRN917524 IBJ917524 ILF917524 IVB917524 JEX917524 JOT917524 JYP917524 KIL917524 KSH917524 LCD917524 LLZ917524 LVV917524 MFR917524 MPN917524 MZJ917524 NJF917524 NTB917524 OCX917524 OMT917524 OWP917524 PGL917524 PQH917524 QAD917524 QJZ917524 QTV917524 RDR917524 RNN917524 RXJ917524 SHF917524 SRB917524 TAX917524 TKT917524 TUP917524 UEL917524 UOH917524 UYD917524 VHZ917524 VRV917524 WBR917524 WLN917524 WVJ917524 D983060 IX983060 ST983060 ACP983060 AML983060 AWH983060 BGD983060 BPZ983060 BZV983060 CJR983060 CTN983060 DDJ983060 DNF983060 DXB983060 EGX983060 EQT983060 FAP983060 FKL983060 FUH983060 GED983060 GNZ983060 GXV983060 HHR983060 HRN983060 IBJ983060 ILF983060 IVB983060 JEX983060 JOT983060 JYP983060 KIL983060 KSH983060 LCD983060 LLZ983060 LVV983060 MFR983060 MPN983060 MZJ983060 NJF983060 NTB983060 OCX983060 OMT983060 OWP983060 PGL983060 PQH983060 QAD983060 QJZ983060 QTV983060 RDR983060 RNN983060 RXJ983060 SHF983060 SRB983060 TAX983060 TKT983060 TUP983060 UEL983060 UOH983060 UYD983060 VHZ983060 VRV983060 WBR983060 WLN983060 WVJ983060">
      <formula1>"Actual/Actual (ISDA),Actual/360,30/360 (Bond Basis),30E/360 (Eurobond Basis),Actual/365 (Fixed),Actual/Actual (ISMA),Actual/Actual (AFB),'1/1,30/360 (Italian),Simple"</formula1>
    </dataValidation>
    <dataValidation type="list" allowBlank="1" showInputMessage="1" showErrorMessage="1" sqref="WVJ983045 IX4 ST4 ACP4 AML4 AWH4 BGD4 BPZ4 BZV4 CJR4 CTN4 DDJ4 DNF4 DXB4 EGX4 EQT4 FAP4 FKL4 FUH4 GED4 GNZ4 GXV4 HHR4 HRN4 IBJ4 ILF4 IVB4 JEX4 JOT4 JYP4 KIL4 KSH4 LCD4 LLZ4 LVV4 MFR4 MPN4 MZJ4 NJF4 NTB4 OCX4 OMT4 OWP4 PGL4 PQH4 QAD4 QJZ4 QTV4 RDR4 RNN4 RXJ4 SHF4 SRB4 TAX4 TKT4 TUP4 UEL4 UOH4 UYD4 VHZ4 VRV4 WBR4 WLN4 WVJ4 D65541 IX65541 ST65541 ACP65541 AML65541 AWH65541 BGD65541 BPZ65541 BZV65541 CJR65541 CTN65541 DDJ65541 DNF65541 DXB65541 EGX65541 EQT65541 FAP65541 FKL65541 FUH65541 GED65541 GNZ65541 GXV65541 HHR65541 HRN65541 IBJ65541 ILF65541 IVB65541 JEX65541 JOT65541 JYP65541 KIL65541 KSH65541 LCD65541 LLZ65541 LVV65541 MFR65541 MPN65541 MZJ65541 NJF65541 NTB65541 OCX65541 OMT65541 OWP65541 PGL65541 PQH65541 QAD65541 QJZ65541 QTV65541 RDR65541 RNN65541 RXJ65541 SHF65541 SRB65541 TAX65541 TKT65541 TUP65541 UEL65541 UOH65541 UYD65541 VHZ65541 VRV65541 WBR65541 WLN65541 WVJ65541 D131077 IX131077 ST131077 ACP131077 AML131077 AWH131077 BGD131077 BPZ131077 BZV131077 CJR131077 CTN131077 DDJ131077 DNF131077 DXB131077 EGX131077 EQT131077 FAP131077 FKL131077 FUH131077 GED131077 GNZ131077 GXV131077 HHR131077 HRN131077 IBJ131077 ILF131077 IVB131077 JEX131077 JOT131077 JYP131077 KIL131077 KSH131077 LCD131077 LLZ131077 LVV131077 MFR131077 MPN131077 MZJ131077 NJF131077 NTB131077 OCX131077 OMT131077 OWP131077 PGL131077 PQH131077 QAD131077 QJZ131077 QTV131077 RDR131077 RNN131077 RXJ131077 SHF131077 SRB131077 TAX131077 TKT131077 TUP131077 UEL131077 UOH131077 UYD131077 VHZ131077 VRV131077 WBR131077 WLN131077 WVJ131077 D196613 IX196613 ST196613 ACP196613 AML196613 AWH196613 BGD196613 BPZ196613 BZV196613 CJR196613 CTN196613 DDJ196613 DNF196613 DXB196613 EGX196613 EQT196613 FAP196613 FKL196613 FUH196613 GED196613 GNZ196613 GXV196613 HHR196613 HRN196613 IBJ196613 ILF196613 IVB196613 JEX196613 JOT196613 JYP196613 KIL196613 KSH196613 LCD196613 LLZ196613 LVV196613 MFR196613 MPN196613 MZJ196613 NJF196613 NTB196613 OCX196613 OMT196613 OWP196613 PGL196613 PQH196613 QAD196613 QJZ196613 QTV196613 RDR196613 RNN196613 RXJ196613 SHF196613 SRB196613 TAX196613 TKT196613 TUP196613 UEL196613 UOH196613 UYD196613 VHZ196613 VRV196613 WBR196613 WLN196613 WVJ196613 D262149 IX262149 ST262149 ACP262149 AML262149 AWH262149 BGD262149 BPZ262149 BZV262149 CJR262149 CTN262149 DDJ262149 DNF262149 DXB262149 EGX262149 EQT262149 FAP262149 FKL262149 FUH262149 GED262149 GNZ262149 GXV262149 HHR262149 HRN262149 IBJ262149 ILF262149 IVB262149 JEX262149 JOT262149 JYP262149 KIL262149 KSH262149 LCD262149 LLZ262149 LVV262149 MFR262149 MPN262149 MZJ262149 NJF262149 NTB262149 OCX262149 OMT262149 OWP262149 PGL262149 PQH262149 QAD262149 QJZ262149 QTV262149 RDR262149 RNN262149 RXJ262149 SHF262149 SRB262149 TAX262149 TKT262149 TUP262149 UEL262149 UOH262149 UYD262149 VHZ262149 VRV262149 WBR262149 WLN262149 WVJ262149 D327685 IX327685 ST327685 ACP327685 AML327685 AWH327685 BGD327685 BPZ327685 BZV327685 CJR327685 CTN327685 DDJ327685 DNF327685 DXB327685 EGX327685 EQT327685 FAP327685 FKL327685 FUH327685 GED327685 GNZ327685 GXV327685 HHR327685 HRN327685 IBJ327685 ILF327685 IVB327685 JEX327685 JOT327685 JYP327685 KIL327685 KSH327685 LCD327685 LLZ327685 LVV327685 MFR327685 MPN327685 MZJ327685 NJF327685 NTB327685 OCX327685 OMT327685 OWP327685 PGL327685 PQH327685 QAD327685 QJZ327685 QTV327685 RDR327685 RNN327685 RXJ327685 SHF327685 SRB327685 TAX327685 TKT327685 TUP327685 UEL327685 UOH327685 UYD327685 VHZ327685 VRV327685 WBR327685 WLN327685 WVJ327685 D393221 IX393221 ST393221 ACP393221 AML393221 AWH393221 BGD393221 BPZ393221 BZV393221 CJR393221 CTN393221 DDJ393221 DNF393221 DXB393221 EGX393221 EQT393221 FAP393221 FKL393221 FUH393221 GED393221 GNZ393221 GXV393221 HHR393221 HRN393221 IBJ393221 ILF393221 IVB393221 JEX393221 JOT393221 JYP393221 KIL393221 KSH393221 LCD393221 LLZ393221 LVV393221 MFR393221 MPN393221 MZJ393221 NJF393221 NTB393221 OCX393221 OMT393221 OWP393221 PGL393221 PQH393221 QAD393221 QJZ393221 QTV393221 RDR393221 RNN393221 RXJ393221 SHF393221 SRB393221 TAX393221 TKT393221 TUP393221 UEL393221 UOH393221 UYD393221 VHZ393221 VRV393221 WBR393221 WLN393221 WVJ393221 D458757 IX458757 ST458757 ACP458757 AML458757 AWH458757 BGD458757 BPZ458757 BZV458757 CJR458757 CTN458757 DDJ458757 DNF458757 DXB458757 EGX458757 EQT458757 FAP458757 FKL458757 FUH458757 GED458757 GNZ458757 GXV458757 HHR458757 HRN458757 IBJ458757 ILF458757 IVB458757 JEX458757 JOT458757 JYP458757 KIL458757 KSH458757 LCD458757 LLZ458757 LVV458757 MFR458757 MPN458757 MZJ458757 NJF458757 NTB458757 OCX458757 OMT458757 OWP458757 PGL458757 PQH458757 QAD458757 QJZ458757 QTV458757 RDR458757 RNN458757 RXJ458757 SHF458757 SRB458757 TAX458757 TKT458757 TUP458757 UEL458757 UOH458757 UYD458757 VHZ458757 VRV458757 WBR458757 WLN458757 WVJ458757 D524293 IX524293 ST524293 ACP524293 AML524293 AWH524293 BGD524293 BPZ524293 BZV524293 CJR524293 CTN524293 DDJ524293 DNF524293 DXB524293 EGX524293 EQT524293 FAP524293 FKL524293 FUH524293 GED524293 GNZ524293 GXV524293 HHR524293 HRN524293 IBJ524293 ILF524293 IVB524293 JEX524293 JOT524293 JYP524293 KIL524293 KSH524293 LCD524293 LLZ524293 LVV524293 MFR524293 MPN524293 MZJ524293 NJF524293 NTB524293 OCX524293 OMT524293 OWP524293 PGL524293 PQH524293 QAD524293 QJZ524293 QTV524293 RDR524293 RNN524293 RXJ524293 SHF524293 SRB524293 TAX524293 TKT524293 TUP524293 UEL524293 UOH524293 UYD524293 VHZ524293 VRV524293 WBR524293 WLN524293 WVJ524293 D589829 IX589829 ST589829 ACP589829 AML589829 AWH589829 BGD589829 BPZ589829 BZV589829 CJR589829 CTN589829 DDJ589829 DNF589829 DXB589829 EGX589829 EQT589829 FAP589829 FKL589829 FUH589829 GED589829 GNZ589829 GXV589829 HHR589829 HRN589829 IBJ589829 ILF589829 IVB589829 JEX589829 JOT589829 JYP589829 KIL589829 KSH589829 LCD589829 LLZ589829 LVV589829 MFR589829 MPN589829 MZJ589829 NJF589829 NTB589829 OCX589829 OMT589829 OWP589829 PGL589829 PQH589829 QAD589829 QJZ589829 QTV589829 RDR589829 RNN589829 RXJ589829 SHF589829 SRB589829 TAX589829 TKT589829 TUP589829 UEL589829 UOH589829 UYD589829 VHZ589829 VRV589829 WBR589829 WLN589829 WVJ589829 D655365 IX655365 ST655365 ACP655365 AML655365 AWH655365 BGD655365 BPZ655365 BZV655365 CJR655365 CTN655365 DDJ655365 DNF655365 DXB655365 EGX655365 EQT655365 FAP655365 FKL655365 FUH655365 GED655365 GNZ655365 GXV655365 HHR655365 HRN655365 IBJ655365 ILF655365 IVB655365 JEX655365 JOT655365 JYP655365 KIL655365 KSH655365 LCD655365 LLZ655365 LVV655365 MFR655365 MPN655365 MZJ655365 NJF655365 NTB655365 OCX655365 OMT655365 OWP655365 PGL655365 PQH655365 QAD655365 QJZ655365 QTV655365 RDR655365 RNN655365 RXJ655365 SHF655365 SRB655365 TAX655365 TKT655365 TUP655365 UEL655365 UOH655365 UYD655365 VHZ655365 VRV655365 WBR655365 WLN655365 WVJ655365 D720901 IX720901 ST720901 ACP720901 AML720901 AWH720901 BGD720901 BPZ720901 BZV720901 CJR720901 CTN720901 DDJ720901 DNF720901 DXB720901 EGX720901 EQT720901 FAP720901 FKL720901 FUH720901 GED720901 GNZ720901 GXV720901 HHR720901 HRN720901 IBJ720901 ILF720901 IVB720901 JEX720901 JOT720901 JYP720901 KIL720901 KSH720901 LCD720901 LLZ720901 LVV720901 MFR720901 MPN720901 MZJ720901 NJF720901 NTB720901 OCX720901 OMT720901 OWP720901 PGL720901 PQH720901 QAD720901 QJZ720901 QTV720901 RDR720901 RNN720901 RXJ720901 SHF720901 SRB720901 TAX720901 TKT720901 TUP720901 UEL720901 UOH720901 UYD720901 VHZ720901 VRV720901 WBR720901 WLN720901 WVJ720901 D786437 IX786437 ST786437 ACP786437 AML786437 AWH786437 BGD786437 BPZ786437 BZV786437 CJR786437 CTN786437 DDJ786437 DNF786437 DXB786437 EGX786437 EQT786437 FAP786437 FKL786437 FUH786437 GED786437 GNZ786437 GXV786437 HHR786437 HRN786437 IBJ786437 ILF786437 IVB786437 JEX786437 JOT786437 JYP786437 KIL786437 KSH786437 LCD786437 LLZ786437 LVV786437 MFR786437 MPN786437 MZJ786437 NJF786437 NTB786437 OCX786437 OMT786437 OWP786437 PGL786437 PQH786437 QAD786437 QJZ786437 QTV786437 RDR786437 RNN786437 RXJ786437 SHF786437 SRB786437 TAX786437 TKT786437 TUP786437 UEL786437 UOH786437 UYD786437 VHZ786437 VRV786437 WBR786437 WLN786437 WVJ786437 D851973 IX851973 ST851973 ACP851973 AML851973 AWH851973 BGD851973 BPZ851973 BZV851973 CJR851973 CTN851973 DDJ851973 DNF851973 DXB851973 EGX851973 EQT851973 FAP851973 FKL851973 FUH851973 GED851973 GNZ851973 GXV851973 HHR851973 HRN851973 IBJ851973 ILF851973 IVB851973 JEX851973 JOT851973 JYP851973 KIL851973 KSH851973 LCD851973 LLZ851973 LVV851973 MFR851973 MPN851973 MZJ851973 NJF851973 NTB851973 OCX851973 OMT851973 OWP851973 PGL851973 PQH851973 QAD851973 QJZ851973 QTV851973 RDR851973 RNN851973 RXJ851973 SHF851973 SRB851973 TAX851973 TKT851973 TUP851973 UEL851973 UOH851973 UYD851973 VHZ851973 VRV851973 WBR851973 WLN851973 WVJ851973 D917509 IX917509 ST917509 ACP917509 AML917509 AWH917509 BGD917509 BPZ917509 BZV917509 CJR917509 CTN917509 DDJ917509 DNF917509 DXB917509 EGX917509 EQT917509 FAP917509 FKL917509 FUH917509 GED917509 GNZ917509 GXV917509 HHR917509 HRN917509 IBJ917509 ILF917509 IVB917509 JEX917509 JOT917509 JYP917509 KIL917509 KSH917509 LCD917509 LLZ917509 LVV917509 MFR917509 MPN917509 MZJ917509 NJF917509 NTB917509 OCX917509 OMT917509 OWP917509 PGL917509 PQH917509 QAD917509 QJZ917509 QTV917509 RDR917509 RNN917509 RXJ917509 SHF917509 SRB917509 TAX917509 TKT917509 TUP917509 UEL917509 UOH917509 UYD917509 VHZ917509 VRV917509 WBR917509 WLN917509 WVJ917509 D983045 IX983045 ST983045 ACP983045 AML983045 AWH983045 BGD983045 BPZ983045 BZV983045 CJR983045 CTN983045 DDJ983045 DNF983045 DXB983045 EGX983045 EQT983045 FAP983045 FKL983045 FUH983045 GED983045 GNZ983045 GXV983045 HHR983045 HRN983045 IBJ983045 ILF983045 IVB983045 JEX983045 JOT983045 JYP983045 KIL983045 KSH983045 LCD983045 LLZ983045 LVV983045 MFR983045 MPN983045 MZJ983045 NJF983045 NTB983045 OCX983045 OMT983045 OWP983045 PGL983045 PQH983045 QAD983045 QJZ983045 QTV983045 RDR983045 RNN983045 RXJ983045 SHF983045 SRB983045 TAX983045 TKT983045 TUP983045 UEL983045 UOH983045 UYD983045 VHZ983045 VRV983045 WBR983045 WLN983045">
      <formula1>"EUR,USD,GBP,JPY,CHF"</formula1>
    </dataValidation>
    <dataValidation type="list" allowBlank="1" showInputMessage="1" showErrorMessage="1" sqref="IX19 ST19 ACP19 AML19 AWH19 BGD19 BPZ19 BZV19 CJR19 CTN19 DDJ19 DNF19 DXB19 EGX19 EQT19 FAP19 FKL19 FUH19 GED19 GNZ19 GXV19 HHR19 HRN19 IBJ19 ILF19 IVB19 JEX19 JOT19 JYP19 KIL19 KSH19 LCD19 LLZ19 LVV19 MFR19 MPN19 MZJ19 NJF19 NTB19 OCX19 OMT19 OWP19 PGL19 PQH19 QAD19 QJZ19 QTV19 RDR19 RNN19 RXJ19 SHF19 SRB19 TAX19 TKT19 TUP19 UEL19 UOH19 UYD19 VHZ19 VRV19 WBR19 WLN19 WVJ19 D65555 IX65555 ST65555 ACP65555 AML65555 AWH65555 BGD65555 BPZ65555 BZV65555 CJR65555 CTN65555 DDJ65555 DNF65555 DXB65555 EGX65555 EQT65555 FAP65555 FKL65555 FUH65555 GED65555 GNZ65555 GXV65555 HHR65555 HRN65555 IBJ65555 ILF65555 IVB65555 JEX65555 JOT65555 JYP65555 KIL65555 KSH65555 LCD65555 LLZ65555 LVV65555 MFR65555 MPN65555 MZJ65555 NJF65555 NTB65555 OCX65555 OMT65555 OWP65555 PGL65555 PQH65555 QAD65555 QJZ65555 QTV65555 RDR65555 RNN65555 RXJ65555 SHF65555 SRB65555 TAX65555 TKT65555 TUP65555 UEL65555 UOH65555 UYD65555 VHZ65555 VRV65555 WBR65555 WLN65555 WVJ65555 D131091 IX131091 ST131091 ACP131091 AML131091 AWH131091 BGD131091 BPZ131091 BZV131091 CJR131091 CTN131091 DDJ131091 DNF131091 DXB131091 EGX131091 EQT131091 FAP131091 FKL131091 FUH131091 GED131091 GNZ131091 GXV131091 HHR131091 HRN131091 IBJ131091 ILF131091 IVB131091 JEX131091 JOT131091 JYP131091 KIL131091 KSH131091 LCD131091 LLZ131091 LVV131091 MFR131091 MPN131091 MZJ131091 NJF131091 NTB131091 OCX131091 OMT131091 OWP131091 PGL131091 PQH131091 QAD131091 QJZ131091 QTV131091 RDR131091 RNN131091 RXJ131091 SHF131091 SRB131091 TAX131091 TKT131091 TUP131091 UEL131091 UOH131091 UYD131091 VHZ131091 VRV131091 WBR131091 WLN131091 WVJ131091 D196627 IX196627 ST196627 ACP196627 AML196627 AWH196627 BGD196627 BPZ196627 BZV196627 CJR196627 CTN196627 DDJ196627 DNF196627 DXB196627 EGX196627 EQT196627 FAP196627 FKL196627 FUH196627 GED196627 GNZ196627 GXV196627 HHR196627 HRN196627 IBJ196627 ILF196627 IVB196627 JEX196627 JOT196627 JYP196627 KIL196627 KSH196627 LCD196627 LLZ196627 LVV196627 MFR196627 MPN196627 MZJ196627 NJF196627 NTB196627 OCX196627 OMT196627 OWP196627 PGL196627 PQH196627 QAD196627 QJZ196627 QTV196627 RDR196627 RNN196627 RXJ196627 SHF196627 SRB196627 TAX196627 TKT196627 TUP196627 UEL196627 UOH196627 UYD196627 VHZ196627 VRV196627 WBR196627 WLN196627 WVJ196627 D262163 IX262163 ST262163 ACP262163 AML262163 AWH262163 BGD262163 BPZ262163 BZV262163 CJR262163 CTN262163 DDJ262163 DNF262163 DXB262163 EGX262163 EQT262163 FAP262163 FKL262163 FUH262163 GED262163 GNZ262163 GXV262163 HHR262163 HRN262163 IBJ262163 ILF262163 IVB262163 JEX262163 JOT262163 JYP262163 KIL262163 KSH262163 LCD262163 LLZ262163 LVV262163 MFR262163 MPN262163 MZJ262163 NJF262163 NTB262163 OCX262163 OMT262163 OWP262163 PGL262163 PQH262163 QAD262163 QJZ262163 QTV262163 RDR262163 RNN262163 RXJ262163 SHF262163 SRB262163 TAX262163 TKT262163 TUP262163 UEL262163 UOH262163 UYD262163 VHZ262163 VRV262163 WBR262163 WLN262163 WVJ262163 D327699 IX327699 ST327699 ACP327699 AML327699 AWH327699 BGD327699 BPZ327699 BZV327699 CJR327699 CTN327699 DDJ327699 DNF327699 DXB327699 EGX327699 EQT327699 FAP327699 FKL327699 FUH327699 GED327699 GNZ327699 GXV327699 HHR327699 HRN327699 IBJ327699 ILF327699 IVB327699 JEX327699 JOT327699 JYP327699 KIL327699 KSH327699 LCD327699 LLZ327699 LVV327699 MFR327699 MPN327699 MZJ327699 NJF327699 NTB327699 OCX327699 OMT327699 OWP327699 PGL327699 PQH327699 QAD327699 QJZ327699 QTV327699 RDR327699 RNN327699 RXJ327699 SHF327699 SRB327699 TAX327699 TKT327699 TUP327699 UEL327699 UOH327699 UYD327699 VHZ327699 VRV327699 WBR327699 WLN327699 WVJ327699 D393235 IX393235 ST393235 ACP393235 AML393235 AWH393235 BGD393235 BPZ393235 BZV393235 CJR393235 CTN393235 DDJ393235 DNF393235 DXB393235 EGX393235 EQT393235 FAP393235 FKL393235 FUH393235 GED393235 GNZ393235 GXV393235 HHR393235 HRN393235 IBJ393235 ILF393235 IVB393235 JEX393235 JOT393235 JYP393235 KIL393235 KSH393235 LCD393235 LLZ393235 LVV393235 MFR393235 MPN393235 MZJ393235 NJF393235 NTB393235 OCX393235 OMT393235 OWP393235 PGL393235 PQH393235 QAD393235 QJZ393235 QTV393235 RDR393235 RNN393235 RXJ393235 SHF393235 SRB393235 TAX393235 TKT393235 TUP393235 UEL393235 UOH393235 UYD393235 VHZ393235 VRV393235 WBR393235 WLN393235 WVJ393235 D458771 IX458771 ST458771 ACP458771 AML458771 AWH458771 BGD458771 BPZ458771 BZV458771 CJR458771 CTN458771 DDJ458771 DNF458771 DXB458771 EGX458771 EQT458771 FAP458771 FKL458771 FUH458771 GED458771 GNZ458771 GXV458771 HHR458771 HRN458771 IBJ458771 ILF458771 IVB458771 JEX458771 JOT458771 JYP458771 KIL458771 KSH458771 LCD458771 LLZ458771 LVV458771 MFR458771 MPN458771 MZJ458771 NJF458771 NTB458771 OCX458771 OMT458771 OWP458771 PGL458771 PQH458771 QAD458771 QJZ458771 QTV458771 RDR458771 RNN458771 RXJ458771 SHF458771 SRB458771 TAX458771 TKT458771 TUP458771 UEL458771 UOH458771 UYD458771 VHZ458771 VRV458771 WBR458771 WLN458771 WVJ458771 D524307 IX524307 ST524307 ACP524307 AML524307 AWH524307 BGD524307 BPZ524307 BZV524307 CJR524307 CTN524307 DDJ524307 DNF524307 DXB524307 EGX524307 EQT524307 FAP524307 FKL524307 FUH524307 GED524307 GNZ524307 GXV524307 HHR524307 HRN524307 IBJ524307 ILF524307 IVB524307 JEX524307 JOT524307 JYP524307 KIL524307 KSH524307 LCD524307 LLZ524307 LVV524307 MFR524307 MPN524307 MZJ524307 NJF524307 NTB524307 OCX524307 OMT524307 OWP524307 PGL524307 PQH524307 QAD524307 QJZ524307 QTV524307 RDR524307 RNN524307 RXJ524307 SHF524307 SRB524307 TAX524307 TKT524307 TUP524307 UEL524307 UOH524307 UYD524307 VHZ524307 VRV524307 WBR524307 WLN524307 WVJ524307 D589843 IX589843 ST589843 ACP589843 AML589843 AWH589843 BGD589843 BPZ589843 BZV589843 CJR589843 CTN589843 DDJ589843 DNF589843 DXB589843 EGX589843 EQT589843 FAP589843 FKL589843 FUH589843 GED589843 GNZ589843 GXV589843 HHR589843 HRN589843 IBJ589843 ILF589843 IVB589843 JEX589843 JOT589843 JYP589843 KIL589843 KSH589843 LCD589843 LLZ589843 LVV589843 MFR589843 MPN589843 MZJ589843 NJF589843 NTB589843 OCX589843 OMT589843 OWP589843 PGL589843 PQH589843 QAD589843 QJZ589843 QTV589843 RDR589843 RNN589843 RXJ589843 SHF589843 SRB589843 TAX589843 TKT589843 TUP589843 UEL589843 UOH589843 UYD589843 VHZ589843 VRV589843 WBR589843 WLN589843 WVJ589843 D655379 IX655379 ST655379 ACP655379 AML655379 AWH655379 BGD655379 BPZ655379 BZV655379 CJR655379 CTN655379 DDJ655379 DNF655379 DXB655379 EGX655379 EQT655379 FAP655379 FKL655379 FUH655379 GED655379 GNZ655379 GXV655379 HHR655379 HRN655379 IBJ655379 ILF655379 IVB655379 JEX655379 JOT655379 JYP655379 KIL655379 KSH655379 LCD655379 LLZ655379 LVV655379 MFR655379 MPN655379 MZJ655379 NJF655379 NTB655379 OCX655379 OMT655379 OWP655379 PGL655379 PQH655379 QAD655379 QJZ655379 QTV655379 RDR655379 RNN655379 RXJ655379 SHF655379 SRB655379 TAX655379 TKT655379 TUP655379 UEL655379 UOH655379 UYD655379 VHZ655379 VRV655379 WBR655379 WLN655379 WVJ655379 D720915 IX720915 ST720915 ACP720915 AML720915 AWH720915 BGD720915 BPZ720915 BZV720915 CJR720915 CTN720915 DDJ720915 DNF720915 DXB720915 EGX720915 EQT720915 FAP720915 FKL720915 FUH720915 GED720915 GNZ720915 GXV720915 HHR720915 HRN720915 IBJ720915 ILF720915 IVB720915 JEX720915 JOT720915 JYP720915 KIL720915 KSH720915 LCD720915 LLZ720915 LVV720915 MFR720915 MPN720915 MZJ720915 NJF720915 NTB720915 OCX720915 OMT720915 OWP720915 PGL720915 PQH720915 QAD720915 QJZ720915 QTV720915 RDR720915 RNN720915 RXJ720915 SHF720915 SRB720915 TAX720915 TKT720915 TUP720915 UEL720915 UOH720915 UYD720915 VHZ720915 VRV720915 WBR720915 WLN720915 WVJ720915 D786451 IX786451 ST786451 ACP786451 AML786451 AWH786451 BGD786451 BPZ786451 BZV786451 CJR786451 CTN786451 DDJ786451 DNF786451 DXB786451 EGX786451 EQT786451 FAP786451 FKL786451 FUH786451 GED786451 GNZ786451 GXV786451 HHR786451 HRN786451 IBJ786451 ILF786451 IVB786451 JEX786451 JOT786451 JYP786451 KIL786451 KSH786451 LCD786451 LLZ786451 LVV786451 MFR786451 MPN786451 MZJ786451 NJF786451 NTB786451 OCX786451 OMT786451 OWP786451 PGL786451 PQH786451 QAD786451 QJZ786451 QTV786451 RDR786451 RNN786451 RXJ786451 SHF786451 SRB786451 TAX786451 TKT786451 TUP786451 UEL786451 UOH786451 UYD786451 VHZ786451 VRV786451 WBR786451 WLN786451 WVJ786451 D851987 IX851987 ST851987 ACP851987 AML851987 AWH851987 BGD851987 BPZ851987 BZV851987 CJR851987 CTN851987 DDJ851987 DNF851987 DXB851987 EGX851987 EQT851987 FAP851987 FKL851987 FUH851987 GED851987 GNZ851987 GXV851987 HHR851987 HRN851987 IBJ851987 ILF851987 IVB851987 JEX851987 JOT851987 JYP851987 KIL851987 KSH851987 LCD851987 LLZ851987 LVV851987 MFR851987 MPN851987 MZJ851987 NJF851987 NTB851987 OCX851987 OMT851987 OWP851987 PGL851987 PQH851987 QAD851987 QJZ851987 QTV851987 RDR851987 RNN851987 RXJ851987 SHF851987 SRB851987 TAX851987 TKT851987 TUP851987 UEL851987 UOH851987 UYD851987 VHZ851987 VRV851987 WBR851987 WLN851987 WVJ851987 D917523 IX917523 ST917523 ACP917523 AML917523 AWH917523 BGD917523 BPZ917523 BZV917523 CJR917523 CTN917523 DDJ917523 DNF917523 DXB917523 EGX917523 EQT917523 FAP917523 FKL917523 FUH917523 GED917523 GNZ917523 GXV917523 HHR917523 HRN917523 IBJ917523 ILF917523 IVB917523 JEX917523 JOT917523 JYP917523 KIL917523 KSH917523 LCD917523 LLZ917523 LVV917523 MFR917523 MPN917523 MZJ917523 NJF917523 NTB917523 OCX917523 OMT917523 OWP917523 PGL917523 PQH917523 QAD917523 QJZ917523 QTV917523 RDR917523 RNN917523 RXJ917523 SHF917523 SRB917523 TAX917523 TKT917523 TUP917523 UEL917523 UOH917523 UYD917523 VHZ917523 VRV917523 WBR917523 WLN917523 WVJ917523 D983059 IX983059 ST983059 ACP983059 AML983059 AWH983059 BGD983059 BPZ983059 BZV983059 CJR983059 CTN983059 DDJ983059 DNF983059 DXB983059 EGX983059 EQT983059 FAP983059 FKL983059 FUH983059 GED983059 GNZ983059 GXV983059 HHR983059 HRN983059 IBJ983059 ILF983059 IVB983059 JEX983059 JOT983059 JYP983059 KIL983059 KSH983059 LCD983059 LLZ983059 LVV983059 MFR983059 MPN983059 MZJ983059 NJF983059 NTB983059 OCX983059 OMT983059 OWP983059 PGL983059 PQH983059 QAD983059 QJZ983059 QTV983059 RDR983059 RNN983059 RXJ983059 SHF983059 SRB983059 TAX983059 TKT983059 TUP983059 UEL983059 UOH983059 UYD983059 VHZ983059 VRV983059 WBR983059 WLN983059 WVJ983059">
      <formula1>"TARGET,UnitedKingdom::Exchange,UnitedKingdom::Metals,UnitedKingdom::Settlement,UnitedStates::GovernmentBond,UnitedStates::NERC,UnitedStates::NYSE,UnitedStates::Settlement,Switzerland,Japan,Italy::Exchange"</formula1>
    </dataValidation>
    <dataValidation type="list" showInputMessage="1" showErrorMessage="1" sqref="K11">
      <formula1>"Libor,ibor"</formula1>
    </dataValidation>
    <dataValidation type="list" allowBlank="1" showInputMessage="1" showErrorMessage="1" sqref="K13:K14">
      <formula1>"Actual/Actual (ISDA),Actual/360,30/360 (Bond Basis),30E/360 (Eurobond Basis),Actual/365 (Fixed),Actual/Actual (ISMA),Actual/Actual (AFB),1/1,30/360 (Italian),Simple"</formula1>
    </dataValidation>
    <dataValidation type="list" allowBlank="1" showInputMessage="1" showErrorMessage="1" sqref="D4">
      <formula1>"EUR,USD,GBP,JPY,CHF,AUD,CNY,CNH,HKD,RMB,SEK"</formula1>
    </dataValidation>
    <dataValidation type="list" allowBlank="1" showInputMessage="1" showErrorMessage="1" sqref="D18">
      <formula1>"TARGET,UnitedKingdom::Exchange,UnitedKingdom::Metals,UnitedKingdom::Settlement,UnitedStates::GovernmentBond,UnitedStates::NERC,UnitedStates::NYSE,UnitedStates::Settlement,Switzerland,Japan,Italy::Exchange,NullCalendar,Australia,China,HongKong::HKEx,Sweden"</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I30"/>
  <sheetViews>
    <sheetView topLeftCell="B1" zoomScaleNormal="100" workbookViewId="0">
      <selection activeCell="B1" sqref="B1"/>
    </sheetView>
  </sheetViews>
  <sheetFormatPr defaultRowHeight="11.25" outlineLevelCol="1" x14ac:dyDescent="0.2"/>
  <cols>
    <col min="1" max="1" width="15.140625" style="2" hidden="1" customWidth="1" outlineLevel="1"/>
    <col min="2" max="2" width="21.42578125" style="2" bestFit="1" customWidth="1" collapsed="1"/>
    <col min="3" max="3" width="10" style="2" bestFit="1" customWidth="1"/>
    <col min="4" max="4" width="9.42578125" style="2" customWidth="1"/>
    <col min="5" max="5" width="8" style="2" customWidth="1"/>
    <col min="6" max="7" width="8.85546875" style="2" customWidth="1"/>
    <col min="8" max="8" width="17.28515625" style="2" bestFit="1" customWidth="1"/>
    <col min="9" max="9" width="17.42578125" style="2" bestFit="1" customWidth="1"/>
    <col min="10" max="10" width="2.7109375" style="56" bestFit="1" customWidth="1"/>
    <col min="11" max="11" width="13.7109375" style="56" bestFit="1" customWidth="1"/>
    <col min="12" max="12" width="28.140625" style="56" bestFit="1" customWidth="1"/>
    <col min="13" max="13" width="3.5703125" style="56" customWidth="1"/>
    <col min="14" max="16384" width="9.140625" style="56"/>
  </cols>
  <sheetData>
    <row r="1" spans="1:9" ht="32.25" customHeight="1" x14ac:dyDescent="0.2">
      <c r="A1" s="77" t="s">
        <v>29</v>
      </c>
      <c r="B1" s="77" t="s">
        <v>83</v>
      </c>
      <c r="C1" s="77" t="s">
        <v>28</v>
      </c>
      <c r="D1" s="77" t="s">
        <v>27</v>
      </c>
      <c r="E1" s="77" t="s">
        <v>26</v>
      </c>
      <c r="F1" s="77" t="s">
        <v>25</v>
      </c>
      <c r="G1" s="77" t="s">
        <v>24</v>
      </c>
      <c r="H1" s="77" t="s">
        <v>23</v>
      </c>
      <c r="I1" s="77" t="s">
        <v>22</v>
      </c>
    </row>
    <row r="2" spans="1:9" x14ac:dyDescent="0.2">
      <c r="A2" s="78" t="str">
        <f>'Synthetic Deposits'!K3</f>
        <v>obj_002dd#0000</v>
      </c>
      <c r="B2" s="78" t="str">
        <f>_xll.qlRateHelperQuoteName(A2)</f>
        <v>SEKSND_SYNTH1M_Quote</v>
      </c>
      <c r="C2" s="79" t="e">
        <f>_xll.qlRateHelperQuoteValue($A2,Trigger)</f>
        <v>#NUM!</v>
      </c>
      <c r="D2" s="79"/>
      <c r="E2" s="80" t="b">
        <v>0</v>
      </c>
      <c r="F2" s="80">
        <v>10</v>
      </c>
      <c r="G2" s="80">
        <v>1</v>
      </c>
      <c r="H2" s="84">
        <f>_xll.qlRateHelperEarliestDate($A2,Trigger)</f>
        <v>42142</v>
      </c>
      <c r="I2" s="85">
        <f>_xll.qlRateHelperLatestDate($A2,Trigger)</f>
        <v>42143</v>
      </c>
    </row>
    <row r="3" spans="1:9" x14ac:dyDescent="0.2">
      <c r="A3" s="78" t="str">
        <f>'Synthetic Deposits'!K4</f>
        <v>obj_002df#0000</v>
      </c>
      <c r="B3" s="78" t="str">
        <f>_xll.qlRateHelperQuoteName(A3)</f>
        <v>SEKSWD_SYNTH1M_Quote</v>
      </c>
      <c r="C3" s="79" t="e">
        <f>_xll.qlRateHelperQuoteValue($A3,Trigger)</f>
        <v>#NUM!</v>
      </c>
      <c r="D3" s="79"/>
      <c r="E3" s="80" t="b">
        <v>1</v>
      </c>
      <c r="F3" s="80">
        <v>10</v>
      </c>
      <c r="G3" s="80">
        <v>1</v>
      </c>
      <c r="H3" s="84">
        <f>_xll.qlRateHelperEarliestDate($A3,Trigger)</f>
        <v>42142</v>
      </c>
      <c r="I3" s="85">
        <f>_xll.qlRateHelperLatestDate($A3,Trigger)</f>
        <v>42150</v>
      </c>
    </row>
    <row r="4" spans="1:9" x14ac:dyDescent="0.2">
      <c r="A4" s="78" t="str">
        <f>'Synthetic Deposits'!K5</f>
        <v>obj_002e3#0000</v>
      </c>
      <c r="B4" s="78" t="str">
        <f>_xll.qlRateHelperQuoteName(A4)</f>
        <v>SEK2WD_SYNTH1M_Quote</v>
      </c>
      <c r="C4" s="79" t="e">
        <f>_xll.qlRateHelperQuoteValue($A4,Trigger)</f>
        <v>#NUM!</v>
      </c>
      <c r="D4" s="79"/>
      <c r="E4" s="80" t="b">
        <v>1</v>
      </c>
      <c r="F4" s="80">
        <v>10</v>
      </c>
      <c r="G4" s="80">
        <v>1</v>
      </c>
      <c r="H4" s="84">
        <f>_xll.qlRateHelperEarliestDate($A4,Trigger)</f>
        <v>42142</v>
      </c>
      <c r="I4" s="85">
        <f>_xll.qlRateHelperLatestDate($A4,Trigger)</f>
        <v>42156</v>
      </c>
    </row>
    <row r="5" spans="1:9" x14ac:dyDescent="0.2">
      <c r="A5" s="78" t="str">
        <f>'Synthetic Deposits'!K6</f>
        <v>obj_002e5#0000</v>
      </c>
      <c r="B5" s="78" t="str">
        <f>_xll.qlRateHelperQuoteName(A5)</f>
        <v>SEK3WD_SYNTH1M_Quote</v>
      </c>
      <c r="C5" s="79" t="e">
        <f>_xll.qlRateHelperQuoteValue($A5,Trigger)</f>
        <v>#NUM!</v>
      </c>
      <c r="D5" s="79"/>
      <c r="E5" s="80" t="b">
        <v>1</v>
      </c>
      <c r="F5" s="80">
        <v>10</v>
      </c>
      <c r="G5" s="80">
        <v>1</v>
      </c>
      <c r="H5" s="84">
        <f>_xll.qlRateHelperEarliestDate($A5,Trigger)</f>
        <v>42142</v>
      </c>
      <c r="I5" s="85">
        <f>_xll.qlRateHelperLatestDate($A5,Trigger)</f>
        <v>42163</v>
      </c>
    </row>
    <row r="6" spans="1:9" x14ac:dyDescent="0.2">
      <c r="A6" s="78" t="str">
        <f>'Synthetic Deposits'!K7</f>
        <v>obj_002e7#0000</v>
      </c>
      <c r="B6" s="78" t="str">
        <f>_xll.qlRateHelperQuoteName(A6)</f>
        <v>SEK1MD_SYNTH1M_Quote</v>
      </c>
      <c r="C6" s="79" t="e">
        <f>_xll.qlRateHelperQuoteValue($A6,Trigger)</f>
        <v>#NUM!</v>
      </c>
      <c r="D6" s="79"/>
      <c r="E6" s="80" t="b">
        <v>1</v>
      </c>
      <c r="F6" s="80">
        <v>10</v>
      </c>
      <c r="G6" s="80">
        <v>1</v>
      </c>
      <c r="H6" s="84">
        <f>_xll.qlRateHelperEarliestDate($A6,Trigger)</f>
        <v>42142</v>
      </c>
      <c r="I6" s="85">
        <f>_xll.qlRateHelperLatestDate($A6,Trigger)</f>
        <v>42173</v>
      </c>
    </row>
    <row r="7" spans="1:9" x14ac:dyDescent="0.2">
      <c r="A7" s="78" t="str">
        <f>'Synthetic Deposits'!K8</f>
        <v>obj_002dc#0000</v>
      </c>
      <c r="B7" s="229" t="str">
        <f>_xll.qlRateHelperQuoteName(A7)</f>
        <v>Sekibor1MLastFixing_Quote</v>
      </c>
      <c r="C7" s="230">
        <f>_xll.qlRateHelperQuoteValue($A7,Trigger)</f>
        <v>-7.5999999999999993E-4</v>
      </c>
      <c r="D7" s="230"/>
      <c r="E7" s="231" t="b">
        <v>0</v>
      </c>
      <c r="F7" s="231">
        <v>10</v>
      </c>
      <c r="G7" s="231">
        <v>1</v>
      </c>
      <c r="H7" s="232">
        <f>_xll.qlRateHelperEarliestDate($A7,Trigger)</f>
        <v>42142</v>
      </c>
      <c r="I7" s="233">
        <f>_xll.qlRateHelperLatestDate($A7,Trigger)</f>
        <v>42173</v>
      </c>
    </row>
    <row r="8" spans="1:9" x14ac:dyDescent="0.2">
      <c r="A8" s="81" t="str">
        <f>SwapsFromBasis!L5</f>
        <v>obj_002fe#0007</v>
      </c>
      <c r="B8" s="81" t="str">
        <f>_xll.qlRateHelperQuoteName(A8)</f>
        <v>SEKAB3S1Y_Quote</v>
      </c>
      <c r="C8" s="82">
        <f>_xll.qlRateHelperQuoteValue($A8,Trigger)</f>
        <v>-2.3999999999999998E-3</v>
      </c>
      <c r="D8" s="82">
        <f>_xll.qlSwapRateHelperSpread($A8,Trigger)</f>
        <v>7.9900000000000001E-4</v>
      </c>
      <c r="E8" s="80" t="b">
        <v>1</v>
      </c>
      <c r="F8" s="83">
        <v>50</v>
      </c>
      <c r="G8" s="83">
        <v>1</v>
      </c>
      <c r="H8" s="86">
        <f>_xll.qlRateHelperEarliestDate($A8,Trigger)</f>
        <v>42142</v>
      </c>
      <c r="I8" s="87">
        <f>_xll.qlRateHelperLatestDate($A8,Trigger)</f>
        <v>42508</v>
      </c>
    </row>
    <row r="9" spans="1:9" x14ac:dyDescent="0.2">
      <c r="A9" s="78" t="str">
        <f>SwapsFromBasis!L6</f>
        <v>obj_002e9#0001</v>
      </c>
      <c r="B9" s="78" t="str">
        <f>_xll.qlRateHelperQuoteName(A9)</f>
        <v>SEKAB3S15M_Quote</v>
      </c>
      <c r="C9" s="79" t="e">
        <f>_xll.qlRateHelperQuoteValue($A9,Trigger)</f>
        <v>#NUM!</v>
      </c>
      <c r="D9" s="79" t="e">
        <f>_xll.qlSwapRateHelperSpread($A9,Trigger)</f>
        <v>#NUM!</v>
      </c>
      <c r="E9" s="80" t="b">
        <v>0</v>
      </c>
      <c r="F9" s="80">
        <v>50</v>
      </c>
      <c r="G9" s="80">
        <v>1</v>
      </c>
      <c r="H9" s="84">
        <f>_xll.qlRateHelperEarliestDate($A9,Trigger)</f>
        <v>42142</v>
      </c>
      <c r="I9" s="85">
        <f>_xll.qlRateHelperLatestDate($A9,Trigger)</f>
        <v>42600</v>
      </c>
    </row>
    <row r="10" spans="1:9" x14ac:dyDescent="0.2">
      <c r="A10" s="78" t="str">
        <f>SwapsFromBasis!L7</f>
        <v>obj_002f7#0001</v>
      </c>
      <c r="B10" s="78" t="str">
        <f>_xll.qlRateHelperQuoteName(A10)</f>
        <v>SEKAB3S18M_Quote</v>
      </c>
      <c r="C10" s="79" t="e">
        <f>_xll.qlRateHelperQuoteValue($A10,Trigger)</f>
        <v>#NUM!</v>
      </c>
      <c r="D10" s="79" t="e">
        <f>_xll.qlSwapRateHelperSpread($A10,Trigger)</f>
        <v>#NUM!</v>
      </c>
      <c r="E10" s="80" t="b">
        <v>0</v>
      </c>
      <c r="F10" s="80">
        <v>50</v>
      </c>
      <c r="G10" s="80">
        <v>1</v>
      </c>
      <c r="H10" s="84">
        <f>_xll.qlRateHelperEarliestDate($A10,Trigger)</f>
        <v>42142</v>
      </c>
      <c r="I10" s="85">
        <f>_xll.qlRateHelperLatestDate($A10,Trigger)</f>
        <v>42692</v>
      </c>
    </row>
    <row r="11" spans="1:9" x14ac:dyDescent="0.2">
      <c r="A11" s="78" t="str">
        <f>SwapsFromBasis!L8</f>
        <v>obj_002ee#0001</v>
      </c>
      <c r="B11" s="78" t="str">
        <f>_xll.qlRateHelperQuoteName(A11)</f>
        <v>SEKAB3S21M_Quote</v>
      </c>
      <c r="C11" s="79" t="e">
        <f>_xll.qlRateHelperQuoteValue($A11,Trigger)</f>
        <v>#NUM!</v>
      </c>
      <c r="D11" s="79" t="e">
        <f>_xll.qlSwapRateHelperSpread($A11,Trigger)</f>
        <v>#NUM!</v>
      </c>
      <c r="E11" s="80" t="b">
        <v>0</v>
      </c>
      <c r="F11" s="80">
        <v>50</v>
      </c>
      <c r="G11" s="80">
        <v>1</v>
      </c>
      <c r="H11" s="84">
        <f>_xll.qlRateHelperEarliestDate($A11,Trigger)</f>
        <v>42142</v>
      </c>
      <c r="I11" s="85">
        <f>_xll.qlRateHelperLatestDate($A11,Trigger)</f>
        <v>42786</v>
      </c>
    </row>
    <row r="12" spans="1:9" x14ac:dyDescent="0.2">
      <c r="A12" s="78" t="str">
        <f>SwapsFromBasis!L9</f>
        <v>obj_002fc#0001</v>
      </c>
      <c r="B12" s="78" t="str">
        <f>_xll.qlRateHelperQuoteName(A12)</f>
        <v>SEKAB3S2Y_Quote</v>
      </c>
      <c r="C12" s="79">
        <f>_xll.qlRateHelperQuoteValue($A12,Trigger)</f>
        <v>-1.325E-3</v>
      </c>
      <c r="D12" s="79">
        <f>_xll.qlSwapRateHelperSpread($A12,Trigger)</f>
        <v>9.2400000000000002E-4</v>
      </c>
      <c r="E12" s="80" t="b">
        <v>1</v>
      </c>
      <c r="F12" s="80">
        <v>50</v>
      </c>
      <c r="G12" s="80">
        <v>1</v>
      </c>
      <c r="H12" s="84">
        <f>_xll.qlRateHelperEarliestDate($A12,Trigger)</f>
        <v>42142</v>
      </c>
      <c r="I12" s="85">
        <f>_xll.qlRateHelperLatestDate($A12,Trigger)</f>
        <v>42873</v>
      </c>
    </row>
    <row r="13" spans="1:9" x14ac:dyDescent="0.2">
      <c r="A13" s="78" t="str">
        <f>SwapsFromBasis!L10</f>
        <v>obj_002f3#0001</v>
      </c>
      <c r="B13" s="78" t="str">
        <f>_xll.qlRateHelperQuoteName(A13)</f>
        <v>SEKAB3S3Y_Quote</v>
      </c>
      <c r="C13" s="79">
        <f>_xll.qlRateHelperQuoteValue($A13,Trigger)</f>
        <v>7.2500000000000006E-4</v>
      </c>
      <c r="D13" s="79">
        <f>_xll.qlSwapRateHelperSpread($A13,Trigger)</f>
        <v>9.7999999999999997E-4</v>
      </c>
      <c r="E13" s="80" t="b">
        <v>1</v>
      </c>
      <c r="F13" s="80">
        <v>50</v>
      </c>
      <c r="G13" s="80">
        <v>1</v>
      </c>
      <c r="H13" s="84">
        <f>_xll.qlRateHelperEarliestDate($A13,Trigger)</f>
        <v>42142</v>
      </c>
      <c r="I13" s="85">
        <f>_xll.qlRateHelperLatestDate($A13,Trigger)</f>
        <v>43238</v>
      </c>
    </row>
    <row r="14" spans="1:9" x14ac:dyDescent="0.2">
      <c r="A14" s="78" t="str">
        <f>SwapsFromBasis!L11</f>
        <v>obj_002fb#0001</v>
      </c>
      <c r="B14" s="78" t="str">
        <f>_xll.qlRateHelperQuoteName(A14)</f>
        <v>SEKAB3S4Y_Quote</v>
      </c>
      <c r="C14" s="79">
        <f>_xll.qlRateHelperQuoteValue($A14,Trigger)</f>
        <v>3.0000000000000005E-3</v>
      </c>
      <c r="D14" s="79">
        <f>_xll.qlSwapRateHelperSpread($A14,Trigger)</f>
        <v>1.0059999999999999E-3</v>
      </c>
      <c r="E14" s="80" t="b">
        <v>1</v>
      </c>
      <c r="F14" s="80">
        <v>50</v>
      </c>
      <c r="G14" s="80">
        <v>1</v>
      </c>
      <c r="H14" s="84">
        <f>_xll.qlRateHelperEarliestDate($A14,Trigger)</f>
        <v>42142</v>
      </c>
      <c r="I14" s="85">
        <f>_xll.qlRateHelperLatestDate($A14,Trigger)</f>
        <v>43605</v>
      </c>
    </row>
    <row r="15" spans="1:9" x14ac:dyDescent="0.2">
      <c r="A15" s="78" t="str">
        <f>SwapsFromBasis!L12</f>
        <v>obj_002f5#0001</v>
      </c>
      <c r="B15" s="78" t="str">
        <f>_xll.qlRateHelperQuoteName(A15)</f>
        <v>SEKAB3S5Y_Quote</v>
      </c>
      <c r="C15" s="79">
        <f>_xll.qlRateHelperQuoteValue($A15,Trigger)</f>
        <v>5.3E-3</v>
      </c>
      <c r="D15" s="79">
        <f>_xll.qlSwapRateHelperSpread($A15,Trigger)</f>
        <v>1.01E-3</v>
      </c>
      <c r="E15" s="80" t="b">
        <v>1</v>
      </c>
      <c r="F15" s="80">
        <v>50</v>
      </c>
      <c r="G15" s="80">
        <v>1</v>
      </c>
      <c r="H15" s="84">
        <f>_xll.qlRateHelperEarliestDate($A15,Trigger)</f>
        <v>42142</v>
      </c>
      <c r="I15" s="85">
        <f>_xll.qlRateHelperLatestDate($A15,Trigger)</f>
        <v>43969</v>
      </c>
    </row>
    <row r="16" spans="1:9" x14ac:dyDescent="0.2">
      <c r="A16" s="78" t="str">
        <f>SwapsFromBasis!L13</f>
        <v>obj_002ef#0001</v>
      </c>
      <c r="B16" s="78" t="str">
        <f>_xll.qlRateHelperQuoteName(A16)</f>
        <v>SEKAB3S6Y_Quote</v>
      </c>
      <c r="C16" s="79">
        <f>_xll.qlRateHelperQuoteValue($A16,Trigger)</f>
        <v>7.4000000000000003E-3</v>
      </c>
      <c r="D16" s="79">
        <f>_xll.qlSwapRateHelperSpread($A16,Trigger)</f>
        <v>1.011E-3</v>
      </c>
      <c r="E16" s="80" t="b">
        <v>1</v>
      </c>
      <c r="F16" s="80">
        <v>50</v>
      </c>
      <c r="G16" s="80">
        <v>1</v>
      </c>
      <c r="H16" s="84">
        <f>_xll.qlRateHelperEarliestDate($A16,Trigger)</f>
        <v>42142</v>
      </c>
      <c r="I16" s="85">
        <f>_xll.qlRateHelperLatestDate($A16,Trigger)</f>
        <v>44334</v>
      </c>
    </row>
    <row r="17" spans="1:9" x14ac:dyDescent="0.2">
      <c r="A17" s="78" t="str">
        <f>SwapsFromBasis!L14</f>
        <v>obj_002fd#0001</v>
      </c>
      <c r="B17" s="78" t="str">
        <f>_xll.qlRateHelperQuoteName(A17)</f>
        <v>SEKAB3S7Y_Quote</v>
      </c>
      <c r="C17" s="79">
        <f>_xll.qlRateHelperQuoteValue($A17,Trigger)</f>
        <v>9.2750000000000003E-3</v>
      </c>
      <c r="D17" s="79">
        <f>_xll.qlSwapRateHelperSpread($A17,Trigger)</f>
        <v>1.01E-3</v>
      </c>
      <c r="E17" s="80" t="b">
        <v>1</v>
      </c>
      <c r="F17" s="80">
        <v>50</v>
      </c>
      <c r="G17" s="80">
        <v>1</v>
      </c>
      <c r="H17" s="84">
        <f>_xll.qlRateHelperEarliestDate($A17,Trigger)</f>
        <v>42142</v>
      </c>
      <c r="I17" s="85">
        <f>_xll.qlRateHelperLatestDate($A17,Trigger)</f>
        <v>44699</v>
      </c>
    </row>
    <row r="18" spans="1:9" x14ac:dyDescent="0.2">
      <c r="A18" s="78" t="str">
        <f>SwapsFromBasis!L15</f>
        <v>obj_002f4#0001</v>
      </c>
      <c r="B18" s="78" t="str">
        <f>_xll.qlRateHelperQuoteName(A18)</f>
        <v>SEKAB3S8Y_Quote</v>
      </c>
      <c r="C18" s="79">
        <f>_xll.qlRateHelperQuoteValue($A18,Trigger)</f>
        <v>1.085E-2</v>
      </c>
      <c r="D18" s="79">
        <f>_xll.qlSwapRateHelperSpread($A18,Trigger)</f>
        <v>1.0089999999999999E-3</v>
      </c>
      <c r="E18" s="80" t="b">
        <v>1</v>
      </c>
      <c r="F18" s="80">
        <v>50</v>
      </c>
      <c r="G18" s="80">
        <v>1</v>
      </c>
      <c r="H18" s="84">
        <f>_xll.qlRateHelperEarliestDate($A18,Trigger)</f>
        <v>42142</v>
      </c>
      <c r="I18" s="85">
        <f>_xll.qlRateHelperLatestDate($A18,Trigger)</f>
        <v>45065</v>
      </c>
    </row>
    <row r="19" spans="1:9" x14ac:dyDescent="0.2">
      <c r="A19" s="78" t="str">
        <f>SwapsFromBasis!L16</f>
        <v>obj_002eb#0001</v>
      </c>
      <c r="B19" s="78" t="str">
        <f>_xll.qlRateHelperQuoteName(A19)</f>
        <v>SEKAB3S9Y_Quote</v>
      </c>
      <c r="C19" s="79">
        <f>_xll.qlRateHelperQuoteValue($A19,Trigger)</f>
        <v>1.21E-2</v>
      </c>
      <c r="D19" s="79">
        <f>_xll.qlSwapRateHelperSpread($A19,Trigger)</f>
        <v>1.008E-3</v>
      </c>
      <c r="E19" s="80" t="b">
        <v>1</v>
      </c>
      <c r="F19" s="80">
        <v>50</v>
      </c>
      <c r="G19" s="80">
        <v>1</v>
      </c>
      <c r="H19" s="84">
        <f>_xll.qlRateHelperEarliestDate($A19,Trigger)</f>
        <v>42142</v>
      </c>
      <c r="I19" s="85">
        <f>_xll.qlRateHelperLatestDate($A19,Trigger)</f>
        <v>45433</v>
      </c>
    </row>
    <row r="20" spans="1:9" x14ac:dyDescent="0.2">
      <c r="A20" s="78" t="str">
        <f>SwapsFromBasis!L17</f>
        <v>obj_002f9#0001</v>
      </c>
      <c r="B20" s="78" t="str">
        <f>_xll.qlRateHelperQuoteName(A20)</f>
        <v>SEKAB3S10Y_Quote</v>
      </c>
      <c r="C20" s="79">
        <f>_xll.qlRateHelperQuoteValue($A20,Trigger)</f>
        <v>1.3075000000000002E-2</v>
      </c>
      <c r="D20" s="79">
        <f>_xll.qlSwapRateHelperSpread($A20,Trigger)</f>
        <v>1.0070000000000001E-3</v>
      </c>
      <c r="E20" s="80" t="b">
        <v>1</v>
      </c>
      <c r="F20" s="80">
        <v>50</v>
      </c>
      <c r="G20" s="80">
        <v>1</v>
      </c>
      <c r="H20" s="84">
        <f>_xll.qlRateHelperEarliestDate($A20,Trigger)</f>
        <v>42142</v>
      </c>
      <c r="I20" s="85">
        <f>_xll.qlRateHelperLatestDate($A20,Trigger)</f>
        <v>45796</v>
      </c>
    </row>
    <row r="21" spans="1:9" x14ac:dyDescent="0.2">
      <c r="A21" s="78" t="str">
        <f>SwapsFromBasis!L18</f>
        <v>obj_002f0#0001</v>
      </c>
      <c r="B21" s="78" t="str">
        <f>_xll.qlRateHelperQuoteName(A21)</f>
        <v>SEKAB3S12Y_Quote</v>
      </c>
      <c r="C21" s="79">
        <f>_xll.qlRateHelperQuoteValue($A21,Trigger)</f>
        <v>1.4574999999999999E-2</v>
      </c>
      <c r="D21" s="79">
        <f>_xll.qlSwapRateHelperSpread($A21,Trigger)</f>
        <v>1.0059999999999999E-3</v>
      </c>
      <c r="E21" s="80" t="b">
        <v>1</v>
      </c>
      <c r="F21" s="80">
        <v>50</v>
      </c>
      <c r="G21" s="80">
        <v>1</v>
      </c>
      <c r="H21" s="84">
        <f>_xll.qlRateHelperEarliestDate($A21,Trigger)</f>
        <v>42142</v>
      </c>
      <c r="I21" s="85">
        <f>_xll.qlRateHelperLatestDate($A21,Trigger)</f>
        <v>46525</v>
      </c>
    </row>
    <row r="22" spans="1:9" x14ac:dyDescent="0.2">
      <c r="A22" s="78" t="str">
        <f>SwapsFromBasis!L19</f>
        <v>obj_002f8#0001</v>
      </c>
      <c r="B22" s="78" t="str">
        <f>_xll.qlRateHelperQuoteName(A22)</f>
        <v>SEKAB3S15Y_Quote</v>
      </c>
      <c r="C22" s="79">
        <f>_xll.qlRateHelperQuoteValue($A22,Trigger)</f>
        <v>1.6225E-2</v>
      </c>
      <c r="D22" s="79">
        <f>_xll.qlSwapRateHelperSpread($A22,Trigger)</f>
        <v>9.8499999999999998E-4</v>
      </c>
      <c r="E22" s="80" t="b">
        <v>1</v>
      </c>
      <c r="F22" s="80">
        <v>50</v>
      </c>
      <c r="G22" s="80">
        <v>1</v>
      </c>
      <c r="H22" s="84">
        <f>_xll.qlRateHelperEarliestDate($A22,Trigger)</f>
        <v>42142</v>
      </c>
      <c r="I22" s="85">
        <f>_xll.qlRateHelperLatestDate($A22,Trigger)</f>
        <v>47623</v>
      </c>
    </row>
    <row r="23" spans="1:9" x14ac:dyDescent="0.2">
      <c r="A23" s="78" t="str">
        <f>SwapsFromBasis!L20</f>
        <v>obj_002f2#0001</v>
      </c>
      <c r="B23" s="78" t="str">
        <f>_xll.qlRateHelperQuoteName(A23)</f>
        <v>SEKAB3S20Y_Quote</v>
      </c>
      <c r="C23" s="79">
        <f>_xll.qlRateHelperQuoteValue($A23,Trigger)</f>
        <v>1.7950000000000001E-2</v>
      </c>
      <c r="D23" s="79">
        <f>_xll.qlSwapRateHelperSpread($A23,Trigger)</f>
        <v>9.3499999999999996E-4</v>
      </c>
      <c r="E23" s="80" t="b">
        <v>1</v>
      </c>
      <c r="F23" s="80">
        <v>50</v>
      </c>
      <c r="G23" s="80">
        <v>1</v>
      </c>
      <c r="H23" s="84">
        <f>_xll.qlRateHelperEarliestDate($A23,Trigger)</f>
        <v>42142</v>
      </c>
      <c r="I23" s="85">
        <f>_xll.qlRateHelperLatestDate($A23,Trigger)</f>
        <v>49447</v>
      </c>
    </row>
    <row r="24" spans="1:9" x14ac:dyDescent="0.2">
      <c r="A24" s="78" t="str">
        <f>SwapsFromBasis!L21</f>
        <v>obj_002ec#0001</v>
      </c>
      <c r="B24" s="78" t="str">
        <f>_xll.qlRateHelperQuoteName(A24)</f>
        <v>SEKAB3S25Y_Quote</v>
      </c>
      <c r="C24" s="79">
        <f>_xll.qlRateHelperQuoteValue($A24,Trigger)</f>
        <v>1.8749999999999999E-2</v>
      </c>
      <c r="D24" s="79">
        <f>_xll.qlSwapRateHelperSpread($A24,Trigger)</f>
        <v>8.9300000000000002E-4</v>
      </c>
      <c r="E24" s="80" t="b">
        <v>1</v>
      </c>
      <c r="F24" s="80">
        <v>50</v>
      </c>
      <c r="G24" s="80">
        <v>1</v>
      </c>
      <c r="H24" s="84">
        <f>_xll.qlRateHelperEarliestDate($A24,Trigger)</f>
        <v>42142</v>
      </c>
      <c r="I24" s="85">
        <f>_xll.qlRateHelperLatestDate($A24,Trigger)</f>
        <v>51274</v>
      </c>
    </row>
    <row r="25" spans="1:9" x14ac:dyDescent="0.2">
      <c r="A25" s="78" t="str">
        <f>SwapsFromBasis!L22</f>
        <v>obj_002fa#0001</v>
      </c>
      <c r="B25" s="78" t="str">
        <f>_xll.qlRateHelperQuoteName(A25)</f>
        <v>SEKAB3S27Y_Quote</v>
      </c>
      <c r="C25" s="79" t="e">
        <f>_xll.qlRateHelperQuoteValue($A25,Trigger)</f>
        <v>#NUM!</v>
      </c>
      <c r="D25" s="79" t="e">
        <f>_xll.qlSwapRateHelperSpread($A25,Trigger)</f>
        <v>#NUM!</v>
      </c>
      <c r="E25" s="80" t="b">
        <v>0</v>
      </c>
      <c r="F25" s="80">
        <v>50</v>
      </c>
      <c r="G25" s="80">
        <v>1</v>
      </c>
      <c r="H25" s="84">
        <f>_xll.qlRateHelperEarliestDate($A25,Trigger)</f>
        <v>42142</v>
      </c>
      <c r="I25" s="85">
        <f>_xll.qlRateHelperLatestDate($A25,Trigger)</f>
        <v>52005</v>
      </c>
    </row>
    <row r="26" spans="1:9" x14ac:dyDescent="0.2">
      <c r="A26" s="78" t="str">
        <f>SwapsFromBasis!L23</f>
        <v>obj_002f1#0001</v>
      </c>
      <c r="B26" s="78" t="str">
        <f>_xll.qlRateHelperQuoteName(A26)</f>
        <v>SEKAB3S30Y_Quote</v>
      </c>
      <c r="C26" s="79">
        <f>_xll.qlRateHelperQuoteValue($A26,Trigger)</f>
        <v>1.9050000000000001E-2</v>
      </c>
      <c r="D26" s="79">
        <f>_xll.qlSwapRateHelperSpread($A26,Trigger)</f>
        <v>8.6600000000000002E-4</v>
      </c>
      <c r="E26" s="80" t="b">
        <v>1</v>
      </c>
      <c r="F26" s="80">
        <v>50</v>
      </c>
      <c r="G26" s="80">
        <v>1</v>
      </c>
      <c r="H26" s="84">
        <f>_xll.qlRateHelperEarliestDate($A26,Trigger)</f>
        <v>42142</v>
      </c>
      <c r="I26" s="85">
        <f>_xll.qlRateHelperLatestDate($A26,Trigger)</f>
        <v>53101</v>
      </c>
    </row>
    <row r="27" spans="1:9" x14ac:dyDescent="0.2">
      <c r="A27" s="78" t="str">
        <f>SwapsFromBasis!L24</f>
        <v>obj_002ea#0001</v>
      </c>
      <c r="B27" s="78" t="str">
        <f>_xll.qlRateHelperQuoteName(A27)</f>
        <v>SEKAB3S35Y_Quote</v>
      </c>
      <c r="C27" s="79" t="e">
        <f>_xll.qlRateHelperQuoteValue($A27,Trigger)</f>
        <v>#NUM!</v>
      </c>
      <c r="D27" s="79" t="e">
        <f>_xll.qlSwapRateHelperSpread($A27,Trigger)</f>
        <v>#NUM!</v>
      </c>
      <c r="E27" s="80" t="b">
        <v>0</v>
      </c>
      <c r="F27" s="80">
        <v>50</v>
      </c>
      <c r="G27" s="80">
        <v>1</v>
      </c>
      <c r="H27" s="84">
        <f>_xll.qlRateHelperEarliestDate($A27,Trigger)</f>
        <v>42142</v>
      </c>
      <c r="I27" s="85">
        <f>_xll.qlRateHelperLatestDate($A27,Trigger)</f>
        <v>54926</v>
      </c>
    </row>
    <row r="28" spans="1:9" x14ac:dyDescent="0.2">
      <c r="A28" s="78" t="str">
        <f>SwapsFromBasis!L25</f>
        <v>obj_002f6#0001</v>
      </c>
      <c r="B28" s="78" t="str">
        <f>_xll.qlRateHelperQuoteName(A28)</f>
        <v>SEKAB3S40Y_Quote</v>
      </c>
      <c r="C28" s="79" t="e">
        <f>_xll.qlRateHelperQuoteValue($A28,Trigger)</f>
        <v>#NUM!</v>
      </c>
      <c r="D28" s="79" t="e">
        <f>_xll.qlSwapRateHelperSpread($A28,Trigger)</f>
        <v>#NUM!</v>
      </c>
      <c r="E28" s="80" t="b">
        <v>0</v>
      </c>
      <c r="F28" s="80">
        <v>50</v>
      </c>
      <c r="G28" s="80">
        <v>1</v>
      </c>
      <c r="H28" s="84">
        <f>_xll.qlRateHelperEarliestDate($A28,Trigger)</f>
        <v>42142</v>
      </c>
      <c r="I28" s="85">
        <f>_xll.qlRateHelperLatestDate($A28,Trigger)</f>
        <v>56752</v>
      </c>
    </row>
    <row r="29" spans="1:9" x14ac:dyDescent="0.2">
      <c r="A29" s="228" t="str">
        <f>SwapsFromBasis!L26</f>
        <v>obj_002ed#0001</v>
      </c>
      <c r="B29" s="78" t="str">
        <f>_xll.qlRateHelperQuoteName(A29)</f>
        <v>SEKAB3S50Y_Quote</v>
      </c>
      <c r="C29" s="79" t="e">
        <f>_xll.qlRateHelperQuoteValue($A29,Trigger)</f>
        <v>#NUM!</v>
      </c>
      <c r="D29" s="79" t="e">
        <f>_xll.qlSwapRateHelperSpread($A29,Trigger)</f>
        <v>#NUM!</v>
      </c>
      <c r="E29" s="80" t="b">
        <v>0</v>
      </c>
      <c r="F29" s="80">
        <v>50</v>
      </c>
      <c r="G29" s="80">
        <v>1</v>
      </c>
      <c r="H29" s="84">
        <f>_xll.qlRateHelperEarliestDate($A29,Trigger)</f>
        <v>42142</v>
      </c>
      <c r="I29" s="85">
        <f>_xll.qlRateHelperLatestDate($A29,Trigger)</f>
        <v>60406</v>
      </c>
    </row>
    <row r="30" spans="1:9" x14ac:dyDescent="0.2">
      <c r="A30" s="90"/>
      <c r="B30" s="90"/>
      <c r="C30" s="90"/>
      <c r="D30" s="90"/>
      <c r="E30" s="90"/>
      <c r="F30" s="90"/>
      <c r="G30" s="90"/>
      <c r="H30" s="90"/>
      <c r="I30" s="90"/>
    </row>
  </sheetData>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J126"/>
  <sheetViews>
    <sheetView tabSelected="1" workbookViewId="0">
      <selection activeCell="G1" sqref="G1"/>
    </sheetView>
  </sheetViews>
  <sheetFormatPr defaultRowHeight="11.25" x14ac:dyDescent="0.2"/>
  <cols>
    <col min="1" max="1" width="36.85546875" style="1" bestFit="1" customWidth="1"/>
    <col min="2" max="2" width="9" style="1" bestFit="1" customWidth="1"/>
    <col min="3" max="3" width="5.28515625" style="1" customWidth="1"/>
    <col min="4" max="4" width="19.28515625" style="2" hidden="1" customWidth="1"/>
    <col min="5" max="5" width="21.42578125" style="2" bestFit="1" customWidth="1"/>
    <col min="6" max="6" width="10" style="2" bestFit="1" customWidth="1"/>
    <col min="7" max="7" width="8" style="2" bestFit="1" customWidth="1"/>
    <col min="8" max="9" width="17.28515625" style="2" bestFit="1" customWidth="1"/>
    <col min="10" max="10" width="12" style="1" bestFit="1" customWidth="1"/>
    <col min="11" max="16384" width="9.140625" style="1"/>
  </cols>
  <sheetData>
    <row r="1" spans="1:10" ht="23.25" thickBot="1" x14ac:dyDescent="0.25">
      <c r="A1" s="238" t="s">
        <v>38</v>
      </c>
      <c r="B1" s="239"/>
      <c r="D1" s="91" t="s">
        <v>37</v>
      </c>
      <c r="E1" s="19" t="s">
        <v>83</v>
      </c>
      <c r="F1" s="18" t="s">
        <v>36</v>
      </c>
      <c r="G1" s="18"/>
      <c r="H1" s="18" t="s">
        <v>23</v>
      </c>
      <c r="I1" s="17" t="s">
        <v>22</v>
      </c>
      <c r="J1" s="3">
        <f t="array" ref="J1:J126">_xll.qlPiecewiseYieldCurveData(YieldCurve)</f>
        <v>1</v>
      </c>
    </row>
    <row r="2" spans="1:10" x14ac:dyDescent="0.2">
      <c r="A2" s="16" t="s">
        <v>35</v>
      </c>
      <c r="B2" s="15">
        <v>8</v>
      </c>
      <c r="D2" s="11" t="str">
        <f t="array" ref="D2:D126">_xll.qlRateHelperSelection(_xll.ohFilter(RateHelpers,RateHelpersIncluded),_xll.ohFilter(RateHelpersPriority,RateHelpersIncluded),nIMMFutures,nSerialFutures,FrontFuturesRollingDays,DepoInclusionCriteria,_xll.ohFilter(MinDistance,RateHelpersIncluded),Trigger)</f>
        <v>obj_002df</v>
      </c>
      <c r="E2" s="11" t="str">
        <f>_xll.qlRateHelperQuoteName(D2)</f>
        <v>SEKSWD_SYNTH1M_Quote</v>
      </c>
      <c r="F2" s="10">
        <f>_xll.qlRateHelperRate($D2)</f>
        <v>-2.6610000000000002E-3</v>
      </c>
      <c r="G2" s="10" t="str">
        <f>IF(ISERROR(_xll.qlSwapRateHelperSpread($D2)),IF(ISERROR(_xll.qlFuturesRateHelperConvexityAdjustment($D2)),"--",_xll.qlFuturesRateHelperConvexityAdjustment($D2)),_xll.qlSwapRateHelperSpread($D2))</f>
        <v>--</v>
      </c>
      <c r="H2" s="9">
        <f>_xll.qlRateHelperEarliestDate($D2)</f>
        <v>42142</v>
      </c>
      <c r="I2" s="8">
        <f>_xll.qlRateHelperLatestDate($D2)</f>
        <v>42150</v>
      </c>
      <c r="J2" s="3">
        <v>1.0000591368302905</v>
      </c>
    </row>
    <row r="3" spans="1:10" x14ac:dyDescent="0.2">
      <c r="A3" s="12" t="s">
        <v>34</v>
      </c>
      <c r="B3" s="14">
        <v>1</v>
      </c>
      <c r="D3" s="11" t="str">
        <v>obj_002e3</v>
      </c>
      <c r="E3" s="11" t="str">
        <f>_xll.qlRateHelperQuoteName(D3)</f>
        <v>SEK2WD_SYNTH1M_Quote</v>
      </c>
      <c r="F3" s="10">
        <f>_xll.qlRateHelperRate($D3)</f>
        <v>-2.6580000000000002E-3</v>
      </c>
      <c r="G3" s="10" t="str">
        <f>IF(ISERROR(_xll.qlSwapRateHelperSpread($D3)),IF(ISERROR(_xll.qlFuturesRateHelperConvexityAdjustment($D3)),"--",_xll.qlFuturesRateHelperConvexityAdjustment($D3)),_xll.qlSwapRateHelperSpread($D3))</f>
        <v>--</v>
      </c>
      <c r="H3" s="9">
        <f>_xll.qlRateHelperEarliestDate($D3)</f>
        <v>42142</v>
      </c>
      <c r="I3" s="8">
        <f>_xll.qlRateHelperLatestDate($D3)</f>
        <v>42156</v>
      </c>
      <c r="J3" s="3">
        <v>1.000103377352439</v>
      </c>
    </row>
    <row r="4" spans="1:10" x14ac:dyDescent="0.2">
      <c r="A4" s="12" t="s">
        <v>33</v>
      </c>
      <c r="B4" s="14">
        <v>2</v>
      </c>
      <c r="D4" s="11" t="str">
        <v>obj_002e5</v>
      </c>
      <c r="E4" s="11" t="str">
        <f>_xll.qlRateHelperQuoteName(D4)</f>
        <v>SEK3WD_SYNTH1M_Quote</v>
      </c>
      <c r="F4" s="10">
        <f>_xll.qlRateHelperRate($D4)</f>
        <v>-2.6519999999999998E-3</v>
      </c>
      <c r="G4" s="10" t="str">
        <f>IF(ISERROR(_xll.qlSwapRateHelperSpread($D4)),IF(ISERROR(_xll.qlFuturesRateHelperConvexityAdjustment($D4)),"--",_xll.qlFuturesRateHelperConvexityAdjustment($D4)),_xll.qlSwapRateHelperSpread($D4))</f>
        <v>--</v>
      </c>
      <c r="H4" s="9">
        <f>_xll.qlRateHelperEarliestDate($D4)</f>
        <v>42142</v>
      </c>
      <c r="I4" s="8">
        <f>_xll.qlRateHelperLatestDate($D4)</f>
        <v>42163</v>
      </c>
      <c r="J4" s="3">
        <v>1.0001547239357929</v>
      </c>
    </row>
    <row r="5" spans="1:10" x14ac:dyDescent="0.2">
      <c r="A5" s="12" t="s">
        <v>32</v>
      </c>
      <c r="B5" s="13" t="s">
        <v>31</v>
      </c>
      <c r="D5" s="11" t="str">
        <v>obj_002e7</v>
      </c>
      <c r="E5" s="11" t="str">
        <f>_xll.qlRateHelperQuoteName(D5)</f>
        <v>SEK1MD_SYNTH1M_Quote</v>
      </c>
      <c r="F5" s="10">
        <f>_xll.qlRateHelperRate($D5)</f>
        <v>-2.64E-3</v>
      </c>
      <c r="G5" s="10" t="str">
        <f>IF(ISERROR(_xll.qlSwapRateHelperSpread($D5)),IF(ISERROR(_xll.qlFuturesRateHelperConvexityAdjustment($D5)),"--",_xll.qlFuturesRateHelperConvexityAdjustment($D5)),_xll.qlSwapRateHelperSpread($D5))</f>
        <v>--</v>
      </c>
      <c r="H5" s="9">
        <f>_xll.qlRateHelperEarliestDate($D5)</f>
        <v>42142</v>
      </c>
      <c r="I5" s="8">
        <f>_xll.qlRateHelperLatestDate($D5)</f>
        <v>42173</v>
      </c>
      <c r="J5" s="3">
        <v>1.0002273850255283</v>
      </c>
    </row>
    <row r="6" spans="1:10" x14ac:dyDescent="0.2">
      <c r="A6" s="56"/>
      <c r="B6" s="56"/>
      <c r="D6" s="11" t="str">
        <v>obj_002fe</v>
      </c>
      <c r="E6" s="11" t="str">
        <f>_xll.qlRateHelperQuoteName(D6)</f>
        <v>SEKAB3S1Y_Quote</v>
      </c>
      <c r="F6" s="10">
        <f>_xll.qlRateHelperRate($D6)</f>
        <v>-2.3999999999999998E-3</v>
      </c>
      <c r="G6" s="10">
        <f>IF(ISERROR(_xll.qlSwapRateHelperSpread($D6)),IF(ISERROR(_xll.qlFuturesRateHelperConvexityAdjustment($D6)),"--",_xll.qlFuturesRateHelperConvexityAdjustment($D6)),_xll.qlSwapRateHelperSpread($D6))</f>
        <v>7.9900000000000001E-4</v>
      </c>
      <c r="H6" s="9">
        <f>_xll.qlRateHelperEarliestDate($D6)</f>
        <v>42142</v>
      </c>
      <c r="I6" s="8">
        <f>_xll.qlRateHelperLatestDate($D6)</f>
        <v>42508</v>
      </c>
      <c r="J6" s="3">
        <v>1.0032216813181174</v>
      </c>
    </row>
    <row r="7" spans="1:10" x14ac:dyDescent="0.2">
      <c r="A7" s="56"/>
      <c r="B7" s="56"/>
      <c r="D7" s="11" t="str">
        <v>obj_002fc</v>
      </c>
      <c r="E7" s="11" t="str">
        <f>_xll.qlRateHelperQuoteName(D7)</f>
        <v>SEKAB3S2Y_Quote</v>
      </c>
      <c r="F7" s="10">
        <f>_xll.qlRateHelperRate($D7)</f>
        <v>-1.325E-3</v>
      </c>
      <c r="G7" s="10">
        <f>IF(ISERROR(_xll.qlSwapRateHelperSpread($D7)),IF(ISERROR(_xll.qlFuturesRateHelperConvexityAdjustment($D7)),"--",_xll.qlFuturesRateHelperConvexityAdjustment($D7)),_xll.qlSwapRateHelperSpread($D7))</f>
        <v>9.2400000000000002E-4</v>
      </c>
      <c r="H7" s="9">
        <f>_xll.qlRateHelperEarliestDate($D7)</f>
        <v>42142</v>
      </c>
      <c r="I7" s="8">
        <f>_xll.qlRateHelperLatestDate($D7)</f>
        <v>42873</v>
      </c>
      <c r="J7" s="3">
        <v>1.0045426367104635</v>
      </c>
    </row>
    <row r="8" spans="1:10" x14ac:dyDescent="0.2">
      <c r="D8" s="11" t="str">
        <v>obj_002f3</v>
      </c>
      <c r="E8" s="11" t="str">
        <f>_xll.qlRateHelperQuoteName(D8)</f>
        <v>SEKAB3S3Y_Quote</v>
      </c>
      <c r="F8" s="10">
        <f>_xll.qlRateHelperRate($D8)</f>
        <v>7.2500000000000006E-4</v>
      </c>
      <c r="G8" s="10">
        <f>IF(ISERROR(_xll.qlSwapRateHelperSpread($D8)),IF(ISERROR(_xll.qlFuturesRateHelperConvexityAdjustment($D8)),"--",_xll.qlFuturesRateHelperConvexityAdjustment($D8)),_xll.qlSwapRateHelperSpread($D8))</f>
        <v>9.7999999999999997E-4</v>
      </c>
      <c r="H8" s="9">
        <f>_xll.qlRateHelperEarliestDate($D8)</f>
        <v>42142</v>
      </c>
      <c r="I8" s="8">
        <f>_xll.qlRateHelperLatestDate($D8)</f>
        <v>43238</v>
      </c>
      <c r="J8" s="3">
        <v>1.0008130934358095</v>
      </c>
    </row>
    <row r="9" spans="1:10" x14ac:dyDescent="0.2">
      <c r="D9" s="11" t="str">
        <v>obj_002fb</v>
      </c>
      <c r="E9" s="11" t="str">
        <f>_xll.qlRateHelperQuoteName(D9)</f>
        <v>SEKAB3S4Y_Quote</v>
      </c>
      <c r="F9" s="10">
        <f>_xll.qlRateHelperRate($D9)</f>
        <v>3.0000000000000005E-3</v>
      </c>
      <c r="G9" s="10">
        <f>IF(ISERROR(_xll.qlSwapRateHelperSpread($D9)),IF(ISERROR(_xll.qlFuturesRateHelperConvexityAdjustment($D9)),"--",_xll.qlFuturesRateHelperConvexityAdjustment($D9)),_xll.qlSwapRateHelperSpread($D9))</f>
        <v>1.0059999999999999E-3</v>
      </c>
      <c r="H9" s="9">
        <f>_xll.qlRateHelperEarliestDate($D9)</f>
        <v>42142</v>
      </c>
      <c r="I9" s="8">
        <f>_xll.qlRateHelperLatestDate($D9)</f>
        <v>43605</v>
      </c>
      <c r="J9" s="3">
        <v>0.99208222414221647</v>
      </c>
    </row>
    <row r="10" spans="1:10" x14ac:dyDescent="0.2">
      <c r="D10" s="11" t="str">
        <v>obj_002f5</v>
      </c>
      <c r="E10" s="11" t="str">
        <f>_xll.qlRateHelperQuoteName(D10)</f>
        <v>SEKAB3S5Y_Quote</v>
      </c>
      <c r="F10" s="10">
        <f>_xll.qlRateHelperRate($D10)</f>
        <v>5.3E-3</v>
      </c>
      <c r="G10" s="10">
        <f>IF(ISERROR(_xll.qlSwapRateHelperSpread($D10)),IF(ISERROR(_xll.qlFuturesRateHelperConvexityAdjustment($D10)),"--",_xll.qlFuturesRateHelperConvexityAdjustment($D10)),_xll.qlSwapRateHelperSpread($D10))</f>
        <v>1.01E-3</v>
      </c>
      <c r="H10" s="9">
        <f>_xll.qlRateHelperEarliestDate($D10)</f>
        <v>42142</v>
      </c>
      <c r="I10" s="8">
        <f>_xll.qlRateHelperLatestDate($D10)</f>
        <v>43969</v>
      </c>
      <c r="J10" s="3">
        <v>0.97874179348265622</v>
      </c>
    </row>
    <row r="11" spans="1:10" x14ac:dyDescent="0.2">
      <c r="D11" s="11" t="str">
        <v>obj_002ef</v>
      </c>
      <c r="E11" s="11" t="str">
        <f>_xll.qlRateHelperQuoteName(D11)</f>
        <v>SEKAB3S6Y_Quote</v>
      </c>
      <c r="F11" s="10">
        <f>_xll.qlRateHelperRate($D11)</f>
        <v>7.4000000000000003E-3</v>
      </c>
      <c r="G11" s="10">
        <f>IF(ISERROR(_xll.qlSwapRateHelperSpread($D11)),IF(ISERROR(_xll.qlFuturesRateHelperConvexityAdjustment($D11)),"--",_xll.qlFuturesRateHelperConvexityAdjustment($D11)),_xll.qlSwapRateHelperSpread($D11))</f>
        <v>1.011E-3</v>
      </c>
      <c r="H11" s="9">
        <f>_xll.qlRateHelperEarliestDate($D11)</f>
        <v>42142</v>
      </c>
      <c r="I11" s="8">
        <f>_xll.qlRateHelperLatestDate($D11)</f>
        <v>44334</v>
      </c>
      <c r="J11" s="3">
        <v>0.96217585108106807</v>
      </c>
    </row>
    <row r="12" spans="1:10" x14ac:dyDescent="0.2">
      <c r="D12" s="11" t="str">
        <v>obj_002fd</v>
      </c>
      <c r="E12" s="11" t="str">
        <f>_xll.qlRateHelperQuoteName(D12)</f>
        <v>SEKAB3S7Y_Quote</v>
      </c>
      <c r="F12" s="10">
        <f>_xll.qlRateHelperRate($D12)</f>
        <v>9.2750000000000003E-3</v>
      </c>
      <c r="G12" s="10">
        <f>IF(ISERROR(_xll.qlSwapRateHelperSpread($D12)),IF(ISERROR(_xll.qlFuturesRateHelperConvexityAdjustment($D12)),"--",_xll.qlFuturesRateHelperConvexityAdjustment($D12)),_xll.qlSwapRateHelperSpread($D12))</f>
        <v>1.01E-3</v>
      </c>
      <c r="H12" s="9">
        <f>_xll.qlRateHelperEarliestDate($D12)</f>
        <v>42142</v>
      </c>
      <c r="I12" s="8">
        <f>_xll.qlRateHelperLatestDate($D12)</f>
        <v>44699</v>
      </c>
      <c r="J12" s="3">
        <v>0.94326730033249906</v>
      </c>
    </row>
    <row r="13" spans="1:10" x14ac:dyDescent="0.2">
      <c r="D13" s="11" t="str">
        <v>obj_002f4</v>
      </c>
      <c r="E13" s="11" t="str">
        <f>_xll.qlRateHelperQuoteName(D13)</f>
        <v>SEKAB3S8Y_Quote</v>
      </c>
      <c r="F13" s="10">
        <f>_xll.qlRateHelperRate($D13)</f>
        <v>1.085E-2</v>
      </c>
      <c r="G13" s="10">
        <f>IF(ISERROR(_xll.qlSwapRateHelperSpread($D13)),IF(ISERROR(_xll.qlFuturesRateHelperConvexityAdjustment($D13)),"--",_xll.qlFuturesRateHelperConvexityAdjustment($D13)),_xll.qlSwapRateHelperSpread($D13))</f>
        <v>1.0089999999999999E-3</v>
      </c>
      <c r="H13" s="9">
        <f>_xll.qlRateHelperEarliestDate($D13)</f>
        <v>42142</v>
      </c>
      <c r="I13" s="8">
        <f>_xll.qlRateHelperLatestDate($D13)</f>
        <v>45065</v>
      </c>
      <c r="J13" s="3">
        <v>0.92333774345024822</v>
      </c>
    </row>
    <row r="14" spans="1:10" x14ac:dyDescent="0.2">
      <c r="D14" s="11" t="str">
        <v>obj_002eb</v>
      </c>
      <c r="E14" s="11" t="str">
        <f>_xll.qlRateHelperQuoteName(D14)</f>
        <v>SEKAB3S9Y_Quote</v>
      </c>
      <c r="F14" s="10">
        <f>_xll.qlRateHelperRate($D14)</f>
        <v>1.21E-2</v>
      </c>
      <c r="G14" s="10">
        <f>IF(ISERROR(_xll.qlSwapRateHelperSpread($D14)),IF(ISERROR(_xll.qlFuturesRateHelperConvexityAdjustment($D14)),"--",_xll.qlFuturesRateHelperConvexityAdjustment($D14)),_xll.qlSwapRateHelperSpread($D14))</f>
        <v>1.008E-3</v>
      </c>
      <c r="H14" s="9">
        <f>_xll.qlRateHelperEarliestDate($D14)</f>
        <v>42142</v>
      </c>
      <c r="I14" s="8">
        <f>_xll.qlRateHelperLatestDate($D14)</f>
        <v>45433</v>
      </c>
      <c r="J14" s="3">
        <v>0.90352283400430988</v>
      </c>
    </row>
    <row r="15" spans="1:10" x14ac:dyDescent="0.2">
      <c r="D15" s="11" t="str">
        <v>obj_002f9</v>
      </c>
      <c r="E15" s="11" t="str">
        <f>_xll.qlRateHelperQuoteName(D15)</f>
        <v>SEKAB3S10Y_Quote</v>
      </c>
      <c r="F15" s="10">
        <f>_xll.qlRateHelperRate($D15)</f>
        <v>1.3075000000000002E-2</v>
      </c>
      <c r="G15" s="10">
        <f>IF(ISERROR(_xll.qlSwapRateHelperSpread($D15)),IF(ISERROR(_xll.qlFuturesRateHelperConvexityAdjustment($D15)),"--",_xll.qlFuturesRateHelperConvexityAdjustment($D15)),_xll.qlSwapRateHelperSpread($D15))</f>
        <v>1.0070000000000001E-3</v>
      </c>
      <c r="H15" s="9">
        <f>_xll.qlRateHelperEarliestDate($D15)</f>
        <v>42142</v>
      </c>
      <c r="I15" s="8">
        <f>_xll.qlRateHelperLatestDate($D15)</f>
        <v>45796</v>
      </c>
      <c r="J15" s="3">
        <v>0.88442636498506055</v>
      </c>
    </row>
    <row r="16" spans="1:10" x14ac:dyDescent="0.2">
      <c r="D16" s="11" t="str">
        <v>obj_002f0</v>
      </c>
      <c r="E16" s="11" t="str">
        <f>_xll.qlRateHelperQuoteName(D16)</f>
        <v>SEKAB3S12Y_Quote</v>
      </c>
      <c r="F16" s="10">
        <f>_xll.qlRateHelperRate($D16)</f>
        <v>1.4574999999999999E-2</v>
      </c>
      <c r="G16" s="10">
        <f>IF(ISERROR(_xll.qlSwapRateHelperSpread($D16)),IF(ISERROR(_xll.qlFuturesRateHelperConvexityAdjustment($D16)),"--",_xll.qlFuturesRateHelperConvexityAdjustment($D16)),_xll.qlSwapRateHelperSpread($D16))</f>
        <v>1.0059999999999999E-3</v>
      </c>
      <c r="H16" s="9">
        <f>_xll.qlRateHelperEarliestDate($D16)</f>
        <v>42142</v>
      </c>
      <c r="I16" s="8">
        <f>_xll.qlRateHelperLatestDate($D16)</f>
        <v>46525</v>
      </c>
      <c r="J16" s="3">
        <v>0.84686828938748338</v>
      </c>
    </row>
    <row r="17" spans="4:10" x14ac:dyDescent="0.2">
      <c r="D17" s="11" t="str">
        <v>obj_002f8</v>
      </c>
      <c r="E17" s="11" t="str">
        <f>_xll.qlRateHelperQuoteName(D17)</f>
        <v>SEKAB3S15Y_Quote</v>
      </c>
      <c r="F17" s="10">
        <f>_xll.qlRateHelperRate($D17)</f>
        <v>1.6225E-2</v>
      </c>
      <c r="G17" s="10">
        <f>IF(ISERROR(_xll.qlSwapRateHelperSpread($D17)),IF(ISERROR(_xll.qlFuturesRateHelperConvexityAdjustment($D17)),"--",_xll.qlFuturesRateHelperConvexityAdjustment($D17)),_xll.qlSwapRateHelperSpread($D17))</f>
        <v>9.8499999999999998E-4</v>
      </c>
      <c r="H17" s="9">
        <f>_xll.qlRateHelperEarliestDate($D17)</f>
        <v>42142</v>
      </c>
      <c r="I17" s="8">
        <f>_xll.qlRateHelperLatestDate($D17)</f>
        <v>47623</v>
      </c>
      <c r="J17" s="3">
        <v>0.79095568163489949</v>
      </c>
    </row>
    <row r="18" spans="4:10" x14ac:dyDescent="0.2">
      <c r="D18" s="11" t="str">
        <v>obj_002f2</v>
      </c>
      <c r="E18" s="11" t="str">
        <f>_xll.qlRateHelperQuoteName(D18)</f>
        <v>SEKAB3S20Y_Quote</v>
      </c>
      <c r="F18" s="10">
        <f>_xll.qlRateHelperRate($D18)</f>
        <v>1.7950000000000001E-2</v>
      </c>
      <c r="G18" s="10">
        <f>IF(ISERROR(_xll.qlSwapRateHelperSpread($D18)),IF(ISERROR(_xll.qlFuturesRateHelperConvexityAdjustment($D18)),"--",_xll.qlFuturesRateHelperConvexityAdjustment($D18)),_xll.qlSwapRateHelperSpread($D18))</f>
        <v>9.3499999999999996E-4</v>
      </c>
      <c r="H18" s="9">
        <f>_xll.qlRateHelperEarliestDate($D18)</f>
        <v>42142</v>
      </c>
      <c r="I18" s="8">
        <f>_xll.qlRateHelperLatestDate($D18)</f>
        <v>49447</v>
      </c>
      <c r="J18" s="3">
        <v>0.70393570755129631</v>
      </c>
    </row>
    <row r="19" spans="4:10" x14ac:dyDescent="0.2">
      <c r="D19" s="11" t="str">
        <v>obj_002ec</v>
      </c>
      <c r="E19" s="11" t="str">
        <f>_xll.qlRateHelperQuoteName(D19)</f>
        <v>SEKAB3S25Y_Quote</v>
      </c>
      <c r="F19" s="10">
        <f>_xll.qlRateHelperRate($D19)</f>
        <v>1.8749999999999999E-2</v>
      </c>
      <c r="G19" s="10">
        <f>IF(ISERROR(_xll.qlSwapRateHelperSpread($D19)),IF(ISERROR(_xll.qlFuturesRateHelperConvexityAdjustment($D19)),"--",_xll.qlFuturesRateHelperConvexityAdjustment($D19)),_xll.qlSwapRateHelperSpread($D19))</f>
        <v>8.9300000000000002E-4</v>
      </c>
      <c r="H19" s="9">
        <f>_xll.qlRateHelperEarliestDate($D19)</f>
        <v>42142</v>
      </c>
      <c r="I19" s="8">
        <f>_xll.qlRateHelperLatestDate($D19)</f>
        <v>51274</v>
      </c>
      <c r="J19" s="3">
        <v>0.63048406946925462</v>
      </c>
    </row>
    <row r="20" spans="4:10" x14ac:dyDescent="0.2">
      <c r="D20" s="11" t="str">
        <v>obj_002f1</v>
      </c>
      <c r="E20" s="11" t="str">
        <f>_xll.qlRateHelperQuoteName(D20)</f>
        <v>SEKAB3S30Y_Quote</v>
      </c>
      <c r="F20" s="10">
        <f>_xll.qlRateHelperRate($D20)</f>
        <v>1.9050000000000001E-2</v>
      </c>
      <c r="G20" s="10">
        <f>IF(ISERROR(_xll.qlSwapRateHelperSpread($D20)),IF(ISERROR(_xll.qlFuturesRateHelperConvexityAdjustment($D20)),"--",_xll.qlFuturesRateHelperConvexityAdjustment($D20)),_xll.qlSwapRateHelperSpread($D20))</f>
        <v>8.6600000000000002E-4</v>
      </c>
      <c r="H20" s="9">
        <f>_xll.qlRateHelperEarliestDate($D20)</f>
        <v>42142</v>
      </c>
      <c r="I20" s="8">
        <f>_xll.qlRateHelperLatestDate($D20)</f>
        <v>53101</v>
      </c>
      <c r="J20" s="3">
        <v>0.56977067032466167</v>
      </c>
    </row>
    <row r="21" spans="4:10" x14ac:dyDescent="0.2">
      <c r="D21" s="11" t="e">
        <v>#N/A</v>
      </c>
      <c r="E21" s="11" t="e">
        <f>_xll.qlRateHelperQuoteName(D21)</f>
        <v>#VALUE!</v>
      </c>
      <c r="F21" s="10" t="e">
        <f>_xll.qlRateHelperRate($D21)</f>
        <v>#VALUE!</v>
      </c>
      <c r="G21" s="10" t="str">
        <f>IF(ISERROR(_xll.qlSwapRateHelperSpread($D21)),IF(ISERROR(_xll.qlFuturesRateHelperConvexityAdjustment($D21)),"--",_xll.qlFuturesRateHelperConvexityAdjustment($D21)),_xll.qlSwapRateHelperSpread($D21))</f>
        <v>--</v>
      </c>
      <c r="H21" s="9" t="e">
        <f>_xll.qlRateHelperEarliestDate($D21)</f>
        <v>#VALUE!</v>
      </c>
      <c r="I21" s="8" t="e">
        <f>_xll.qlRateHelperLatestDate($D21)</f>
        <v>#VALUE!</v>
      </c>
      <c r="J21" s="3" t="e">
        <v>#N/A</v>
      </c>
    </row>
    <row r="22" spans="4:10" x14ac:dyDescent="0.2">
      <c r="D22" s="11" t="e">
        <v>#N/A</v>
      </c>
      <c r="E22" s="11" t="e">
        <f>_xll.qlRateHelperQuoteName(D22)</f>
        <v>#VALUE!</v>
      </c>
      <c r="F22" s="10" t="e">
        <f>_xll.qlRateHelperRate($D22)</f>
        <v>#VALUE!</v>
      </c>
      <c r="G22" s="10" t="str">
        <f>IF(ISERROR(_xll.qlSwapRateHelperSpread($D22)),IF(ISERROR(_xll.qlFuturesRateHelperConvexityAdjustment($D22)),"--",_xll.qlFuturesRateHelperConvexityAdjustment($D22)),_xll.qlSwapRateHelperSpread($D22))</f>
        <v>--</v>
      </c>
      <c r="H22" s="9" t="e">
        <f>_xll.qlRateHelperEarliestDate($D22)</f>
        <v>#VALUE!</v>
      </c>
      <c r="I22" s="8" t="e">
        <f>_xll.qlRateHelperLatestDate($D22)</f>
        <v>#VALUE!</v>
      </c>
      <c r="J22" s="3" t="e">
        <v>#N/A</v>
      </c>
    </row>
    <row r="23" spans="4:10" x14ac:dyDescent="0.2">
      <c r="D23" s="11" t="e">
        <v>#N/A</v>
      </c>
      <c r="E23" s="11" t="e">
        <f>_xll.qlRateHelperQuoteName(D23)</f>
        <v>#VALUE!</v>
      </c>
      <c r="F23" s="10" t="e">
        <f>_xll.qlRateHelperRate($D23)</f>
        <v>#VALUE!</v>
      </c>
      <c r="G23" s="10" t="str">
        <f>IF(ISERROR(_xll.qlSwapRateHelperSpread($D23)),IF(ISERROR(_xll.qlFuturesRateHelperConvexityAdjustment($D23)),"--",_xll.qlFuturesRateHelperConvexityAdjustment($D23)),_xll.qlSwapRateHelperSpread($D23))</f>
        <v>--</v>
      </c>
      <c r="H23" s="9" t="e">
        <f>_xll.qlRateHelperEarliestDate($D23)</f>
        <v>#VALUE!</v>
      </c>
      <c r="I23" s="8" t="e">
        <f>_xll.qlRateHelperLatestDate($D23)</f>
        <v>#VALUE!</v>
      </c>
      <c r="J23" s="3" t="e">
        <v>#N/A</v>
      </c>
    </row>
    <row r="24" spans="4:10" x14ac:dyDescent="0.2">
      <c r="D24" s="11" t="e">
        <v>#N/A</v>
      </c>
      <c r="E24" s="11" t="e">
        <f>_xll.qlRateHelperQuoteName(D24)</f>
        <v>#VALUE!</v>
      </c>
      <c r="F24" s="10" t="e">
        <f>_xll.qlRateHelperRate($D24)</f>
        <v>#VALUE!</v>
      </c>
      <c r="G24" s="10" t="str">
        <f>IF(ISERROR(_xll.qlSwapRateHelperSpread($D24)),IF(ISERROR(_xll.qlFuturesRateHelperConvexityAdjustment($D24)),"--",_xll.qlFuturesRateHelperConvexityAdjustment($D24)),_xll.qlSwapRateHelperSpread($D24))</f>
        <v>--</v>
      </c>
      <c r="H24" s="9" t="e">
        <f>_xll.qlRateHelperEarliestDate($D24)</f>
        <v>#VALUE!</v>
      </c>
      <c r="I24" s="8" t="e">
        <f>_xll.qlRateHelperLatestDate($D24)</f>
        <v>#VALUE!</v>
      </c>
      <c r="J24" s="3" t="e">
        <v>#N/A</v>
      </c>
    </row>
    <row r="25" spans="4:10" x14ac:dyDescent="0.2">
      <c r="D25" s="11" t="e">
        <v>#N/A</v>
      </c>
      <c r="E25" s="11" t="e">
        <f>_xll.qlRateHelperQuoteName(D25)</f>
        <v>#VALUE!</v>
      </c>
      <c r="F25" s="10" t="e">
        <f>_xll.qlRateHelperRate($D25)</f>
        <v>#VALUE!</v>
      </c>
      <c r="G25" s="10" t="str">
        <f>IF(ISERROR(_xll.qlSwapRateHelperSpread($D25)),IF(ISERROR(_xll.qlFuturesRateHelperConvexityAdjustment($D25)),"--",_xll.qlFuturesRateHelperConvexityAdjustment($D25)),_xll.qlSwapRateHelperSpread($D25))</f>
        <v>--</v>
      </c>
      <c r="H25" s="9" t="e">
        <f>_xll.qlRateHelperEarliestDate($D25)</f>
        <v>#VALUE!</v>
      </c>
      <c r="I25" s="8" t="e">
        <f>_xll.qlRateHelperLatestDate($D25)</f>
        <v>#VALUE!</v>
      </c>
      <c r="J25" s="3" t="e">
        <v>#N/A</v>
      </c>
    </row>
    <row r="26" spans="4:10" x14ac:dyDescent="0.2">
      <c r="D26" s="11" t="e">
        <v>#N/A</v>
      </c>
      <c r="E26" s="11" t="e">
        <f>_xll.qlRateHelperQuoteName(D26)</f>
        <v>#VALUE!</v>
      </c>
      <c r="F26" s="10" t="e">
        <f>_xll.qlRateHelperRate($D26)</f>
        <v>#VALUE!</v>
      </c>
      <c r="G26" s="10" t="str">
        <f>IF(ISERROR(_xll.qlSwapRateHelperSpread($D26)),IF(ISERROR(_xll.qlFuturesRateHelperConvexityAdjustment($D26)),"--",_xll.qlFuturesRateHelperConvexityAdjustment($D26)),_xll.qlSwapRateHelperSpread($D26))</f>
        <v>--</v>
      </c>
      <c r="H26" s="9" t="e">
        <f>_xll.qlRateHelperEarliestDate($D26)</f>
        <v>#VALUE!</v>
      </c>
      <c r="I26" s="8" t="e">
        <f>_xll.qlRateHelperLatestDate($D26)</f>
        <v>#VALUE!</v>
      </c>
      <c r="J26" s="3" t="e">
        <v>#N/A</v>
      </c>
    </row>
    <row r="27" spans="4:10" x14ac:dyDescent="0.2">
      <c r="D27" s="11" t="e">
        <v>#N/A</v>
      </c>
      <c r="E27" s="11" t="e">
        <f>_xll.qlRateHelperQuoteName(D27)</f>
        <v>#VALUE!</v>
      </c>
      <c r="F27" s="10" t="e">
        <f>_xll.qlRateHelperRate($D27)</f>
        <v>#VALUE!</v>
      </c>
      <c r="G27" s="10" t="str">
        <f>IF(ISERROR(_xll.qlSwapRateHelperSpread($D27)),IF(ISERROR(_xll.qlFuturesRateHelperConvexityAdjustment($D27)),"--",_xll.qlFuturesRateHelperConvexityAdjustment($D27)),_xll.qlSwapRateHelperSpread($D27))</f>
        <v>--</v>
      </c>
      <c r="H27" s="9" t="e">
        <f>_xll.qlRateHelperEarliestDate($D27)</f>
        <v>#VALUE!</v>
      </c>
      <c r="I27" s="8" t="e">
        <f>_xll.qlRateHelperLatestDate($D27)</f>
        <v>#VALUE!</v>
      </c>
      <c r="J27" s="3" t="e">
        <v>#N/A</v>
      </c>
    </row>
    <row r="28" spans="4:10" x14ac:dyDescent="0.2">
      <c r="D28" s="11" t="e">
        <v>#N/A</v>
      </c>
      <c r="E28" s="11" t="e">
        <f>_xll.qlRateHelperQuoteName(D28)</f>
        <v>#VALUE!</v>
      </c>
      <c r="F28" s="10" t="e">
        <f>_xll.qlRateHelperRate($D28)</f>
        <v>#VALUE!</v>
      </c>
      <c r="G28" s="10" t="str">
        <f>IF(ISERROR(_xll.qlSwapRateHelperSpread($D28)),IF(ISERROR(_xll.qlFuturesRateHelperConvexityAdjustment($D28)),"--",_xll.qlFuturesRateHelperConvexityAdjustment($D28)),_xll.qlSwapRateHelperSpread($D28))</f>
        <v>--</v>
      </c>
      <c r="H28" s="9" t="e">
        <f>_xll.qlRateHelperEarliestDate($D28)</f>
        <v>#VALUE!</v>
      </c>
      <c r="I28" s="8" t="e">
        <f>_xll.qlRateHelperLatestDate($D28)</f>
        <v>#VALUE!</v>
      </c>
      <c r="J28" s="3" t="e">
        <v>#N/A</v>
      </c>
    </row>
    <row r="29" spans="4:10" x14ac:dyDescent="0.2">
      <c r="D29" s="11" t="e">
        <v>#N/A</v>
      </c>
      <c r="E29" s="11" t="e">
        <f>_xll.qlRateHelperQuoteName(D29)</f>
        <v>#VALUE!</v>
      </c>
      <c r="F29" s="10" t="e">
        <f>_xll.qlRateHelperRate($D29)</f>
        <v>#VALUE!</v>
      </c>
      <c r="G29" s="10" t="str">
        <f>IF(ISERROR(_xll.qlSwapRateHelperSpread($D29)),IF(ISERROR(_xll.qlFuturesRateHelperConvexityAdjustment($D29)),"--",_xll.qlFuturesRateHelperConvexityAdjustment($D29)),_xll.qlSwapRateHelperSpread($D29))</f>
        <v>--</v>
      </c>
      <c r="H29" s="9" t="e">
        <f>_xll.qlRateHelperEarliestDate($D29)</f>
        <v>#VALUE!</v>
      </c>
      <c r="I29" s="8" t="e">
        <f>_xll.qlRateHelperLatestDate($D29)</f>
        <v>#VALUE!</v>
      </c>
      <c r="J29" s="3" t="e">
        <v>#N/A</v>
      </c>
    </row>
    <row r="30" spans="4:10" x14ac:dyDescent="0.2">
      <c r="D30" s="11" t="e">
        <v>#N/A</v>
      </c>
      <c r="E30" s="11" t="e">
        <f>_xll.qlRateHelperQuoteName(D30)</f>
        <v>#VALUE!</v>
      </c>
      <c r="F30" s="10" t="e">
        <f>_xll.qlRateHelperRate($D30)</f>
        <v>#VALUE!</v>
      </c>
      <c r="G30" s="10" t="str">
        <f>IF(ISERROR(_xll.qlSwapRateHelperSpread($D30)),IF(ISERROR(_xll.qlFuturesRateHelperConvexityAdjustment($D30)),"--",_xll.qlFuturesRateHelperConvexityAdjustment($D30)),_xll.qlSwapRateHelperSpread($D30))</f>
        <v>--</v>
      </c>
      <c r="H30" s="9" t="e">
        <f>_xll.qlRateHelperEarliestDate($D30)</f>
        <v>#VALUE!</v>
      </c>
      <c r="I30" s="8" t="e">
        <f>_xll.qlRateHelperLatestDate($D30)</f>
        <v>#VALUE!</v>
      </c>
      <c r="J30" s="3" t="e">
        <v>#N/A</v>
      </c>
    </row>
    <row r="31" spans="4:10" x14ac:dyDescent="0.2">
      <c r="D31" s="11" t="e">
        <v>#N/A</v>
      </c>
      <c r="E31" s="11" t="e">
        <f>_xll.qlRateHelperQuoteName(D31)</f>
        <v>#VALUE!</v>
      </c>
      <c r="F31" s="10" t="e">
        <f>_xll.qlRateHelperRate($D31)</f>
        <v>#VALUE!</v>
      </c>
      <c r="G31" s="10" t="str">
        <f>IF(ISERROR(_xll.qlSwapRateHelperSpread($D31)),IF(ISERROR(_xll.qlFuturesRateHelperConvexityAdjustment($D31)),"--",_xll.qlFuturesRateHelperConvexityAdjustment($D31)),_xll.qlSwapRateHelperSpread($D31))</f>
        <v>--</v>
      </c>
      <c r="H31" s="9" t="e">
        <f>_xll.qlRateHelperEarliestDate($D31)</f>
        <v>#VALUE!</v>
      </c>
      <c r="I31" s="8" t="e">
        <f>_xll.qlRateHelperLatestDate($D31)</f>
        <v>#VALUE!</v>
      </c>
      <c r="J31" s="3" t="e">
        <v>#N/A</v>
      </c>
    </row>
    <row r="32" spans="4:10" x14ac:dyDescent="0.2">
      <c r="D32" s="11" t="e">
        <v>#N/A</v>
      </c>
      <c r="E32" s="11" t="e">
        <f>_xll.qlRateHelperQuoteName(D32)</f>
        <v>#VALUE!</v>
      </c>
      <c r="F32" s="10" t="e">
        <f>_xll.qlRateHelperRate($D32)</f>
        <v>#VALUE!</v>
      </c>
      <c r="G32" s="10" t="str">
        <f>IF(ISERROR(_xll.qlSwapRateHelperSpread($D32)),IF(ISERROR(_xll.qlFuturesRateHelperConvexityAdjustment($D32)),"--",_xll.qlFuturesRateHelperConvexityAdjustment($D32)),_xll.qlSwapRateHelperSpread($D32))</f>
        <v>--</v>
      </c>
      <c r="H32" s="9" t="e">
        <f>_xll.qlRateHelperEarliestDate($D32)</f>
        <v>#VALUE!</v>
      </c>
      <c r="I32" s="8" t="e">
        <f>_xll.qlRateHelperLatestDate($D32)</f>
        <v>#VALUE!</v>
      </c>
      <c r="J32" s="3" t="e">
        <v>#N/A</v>
      </c>
    </row>
    <row r="33" spans="4:10" x14ac:dyDescent="0.2">
      <c r="D33" s="11" t="e">
        <v>#N/A</v>
      </c>
      <c r="E33" s="11" t="e">
        <f>_xll.qlRateHelperQuoteName(D33)</f>
        <v>#VALUE!</v>
      </c>
      <c r="F33" s="10" t="e">
        <f>_xll.qlRateHelperRate($D33)</f>
        <v>#VALUE!</v>
      </c>
      <c r="G33" s="10" t="str">
        <f>IF(ISERROR(_xll.qlSwapRateHelperSpread($D33)),IF(ISERROR(_xll.qlFuturesRateHelperConvexityAdjustment($D33)),"--",_xll.qlFuturesRateHelperConvexityAdjustment($D33)),_xll.qlSwapRateHelperSpread($D33))</f>
        <v>--</v>
      </c>
      <c r="H33" s="9" t="e">
        <f>_xll.qlRateHelperEarliestDate($D33)</f>
        <v>#VALUE!</v>
      </c>
      <c r="I33" s="8" t="e">
        <f>_xll.qlRateHelperLatestDate($D33)</f>
        <v>#VALUE!</v>
      </c>
      <c r="J33" s="3" t="e">
        <v>#N/A</v>
      </c>
    </row>
    <row r="34" spans="4:10" x14ac:dyDescent="0.2">
      <c r="D34" s="11" t="e">
        <v>#N/A</v>
      </c>
      <c r="E34" s="11" t="e">
        <f>_xll.qlRateHelperQuoteName(D34)</f>
        <v>#VALUE!</v>
      </c>
      <c r="F34" s="10" t="e">
        <f>_xll.qlRateHelperRate($D34)</f>
        <v>#VALUE!</v>
      </c>
      <c r="G34" s="10" t="str">
        <f>IF(ISERROR(_xll.qlSwapRateHelperSpread($D34)),IF(ISERROR(_xll.qlFuturesRateHelperConvexityAdjustment($D34)),"--",_xll.qlFuturesRateHelperConvexityAdjustment($D34)),_xll.qlSwapRateHelperSpread($D34))</f>
        <v>--</v>
      </c>
      <c r="H34" s="9" t="e">
        <f>_xll.qlRateHelperEarliestDate($D34)</f>
        <v>#VALUE!</v>
      </c>
      <c r="I34" s="8" t="e">
        <f>_xll.qlRateHelperLatestDate($D34)</f>
        <v>#VALUE!</v>
      </c>
      <c r="J34" s="3" t="e">
        <v>#N/A</v>
      </c>
    </row>
    <row r="35" spans="4:10" x14ac:dyDescent="0.2">
      <c r="D35" s="11" t="e">
        <v>#N/A</v>
      </c>
      <c r="E35" s="11" t="e">
        <f>_xll.qlRateHelperQuoteName(D35)</f>
        <v>#VALUE!</v>
      </c>
      <c r="F35" s="10" t="e">
        <f>_xll.qlRateHelperRate($D35)</f>
        <v>#VALUE!</v>
      </c>
      <c r="G35" s="10" t="str">
        <f>IF(ISERROR(_xll.qlSwapRateHelperSpread($D35)),IF(ISERROR(_xll.qlFuturesRateHelperConvexityAdjustment($D35)),"--",_xll.qlFuturesRateHelperConvexityAdjustment($D35)),_xll.qlSwapRateHelperSpread($D35))</f>
        <v>--</v>
      </c>
      <c r="H35" s="9" t="e">
        <f>_xll.qlRateHelperEarliestDate($D35)</f>
        <v>#VALUE!</v>
      </c>
      <c r="I35" s="8" t="e">
        <f>_xll.qlRateHelperLatestDate($D35)</f>
        <v>#VALUE!</v>
      </c>
      <c r="J35" s="3" t="e">
        <v>#N/A</v>
      </c>
    </row>
    <row r="36" spans="4:10" x14ac:dyDescent="0.2">
      <c r="D36" s="11" t="e">
        <v>#N/A</v>
      </c>
      <c r="E36" s="11" t="e">
        <f>_xll.qlRateHelperQuoteName(D36)</f>
        <v>#VALUE!</v>
      </c>
      <c r="F36" s="10" t="e">
        <f>_xll.qlRateHelperRate($D36)</f>
        <v>#VALUE!</v>
      </c>
      <c r="G36" s="10" t="str">
        <f>IF(ISERROR(_xll.qlSwapRateHelperSpread($D36)),IF(ISERROR(_xll.qlFuturesRateHelperConvexityAdjustment($D36)),"--",_xll.qlFuturesRateHelperConvexityAdjustment($D36)),_xll.qlSwapRateHelperSpread($D36))</f>
        <v>--</v>
      </c>
      <c r="H36" s="9" t="e">
        <f>_xll.qlRateHelperEarliestDate($D36)</f>
        <v>#VALUE!</v>
      </c>
      <c r="I36" s="8" t="e">
        <f>_xll.qlRateHelperLatestDate($D36)</f>
        <v>#VALUE!</v>
      </c>
      <c r="J36" s="3" t="e">
        <v>#N/A</v>
      </c>
    </row>
    <row r="37" spans="4:10" x14ac:dyDescent="0.2">
      <c r="D37" s="11" t="e">
        <v>#N/A</v>
      </c>
      <c r="E37" s="11" t="e">
        <f>_xll.qlRateHelperQuoteName(D37)</f>
        <v>#VALUE!</v>
      </c>
      <c r="F37" s="10" t="e">
        <f>_xll.qlRateHelperRate($D37)</f>
        <v>#VALUE!</v>
      </c>
      <c r="G37" s="10" t="str">
        <f>IF(ISERROR(_xll.qlSwapRateHelperSpread($D37)),IF(ISERROR(_xll.qlFuturesRateHelperConvexityAdjustment($D37)),"--",_xll.qlFuturesRateHelperConvexityAdjustment($D37)),_xll.qlSwapRateHelperSpread($D37))</f>
        <v>--</v>
      </c>
      <c r="H37" s="9" t="e">
        <f>_xll.qlRateHelperEarliestDate($D37)</f>
        <v>#VALUE!</v>
      </c>
      <c r="I37" s="8" t="e">
        <f>_xll.qlRateHelperLatestDate($D37)</f>
        <v>#VALUE!</v>
      </c>
      <c r="J37" s="3" t="e">
        <v>#N/A</v>
      </c>
    </row>
    <row r="38" spans="4:10" x14ac:dyDescent="0.2">
      <c r="D38" s="11" t="e">
        <v>#N/A</v>
      </c>
      <c r="E38" s="11" t="e">
        <f>_xll.qlRateHelperQuoteName(D38)</f>
        <v>#VALUE!</v>
      </c>
      <c r="F38" s="10" t="e">
        <f>_xll.qlRateHelperRate($D38)</f>
        <v>#VALUE!</v>
      </c>
      <c r="G38" s="10" t="str">
        <f>IF(ISERROR(_xll.qlSwapRateHelperSpread($D38)),IF(ISERROR(_xll.qlFuturesRateHelperConvexityAdjustment($D38)),"--",_xll.qlFuturesRateHelperConvexityAdjustment($D38)),_xll.qlSwapRateHelperSpread($D38))</f>
        <v>--</v>
      </c>
      <c r="H38" s="9" t="e">
        <f>_xll.qlRateHelperEarliestDate($D38)</f>
        <v>#VALUE!</v>
      </c>
      <c r="I38" s="8" t="e">
        <f>_xll.qlRateHelperLatestDate($D38)</f>
        <v>#VALUE!</v>
      </c>
      <c r="J38" s="3" t="e">
        <v>#N/A</v>
      </c>
    </row>
    <row r="39" spans="4:10" x14ac:dyDescent="0.2">
      <c r="D39" s="11" t="e">
        <v>#N/A</v>
      </c>
      <c r="E39" s="11" t="e">
        <f>_xll.qlRateHelperQuoteName(D39)</f>
        <v>#VALUE!</v>
      </c>
      <c r="F39" s="10" t="e">
        <f>_xll.qlRateHelperRate($D39)</f>
        <v>#VALUE!</v>
      </c>
      <c r="G39" s="10" t="str">
        <f>IF(ISERROR(_xll.qlSwapRateHelperSpread($D39)),IF(ISERROR(_xll.qlFuturesRateHelperConvexityAdjustment($D39)),"--",_xll.qlFuturesRateHelperConvexityAdjustment($D39)),_xll.qlSwapRateHelperSpread($D39))</f>
        <v>--</v>
      </c>
      <c r="H39" s="9" t="e">
        <f>_xll.qlRateHelperEarliestDate($D39)</f>
        <v>#VALUE!</v>
      </c>
      <c r="I39" s="8" t="e">
        <f>_xll.qlRateHelperLatestDate($D39)</f>
        <v>#VALUE!</v>
      </c>
      <c r="J39" s="3" t="e">
        <v>#N/A</v>
      </c>
    </row>
    <row r="40" spans="4:10" x14ac:dyDescent="0.2">
      <c r="D40" s="11" t="e">
        <v>#N/A</v>
      </c>
      <c r="E40" s="11" t="e">
        <f>_xll.qlRateHelperQuoteName(D40)</f>
        <v>#VALUE!</v>
      </c>
      <c r="F40" s="10" t="e">
        <f>_xll.qlRateHelperRate($D40)</f>
        <v>#VALUE!</v>
      </c>
      <c r="G40" s="10" t="str">
        <f>IF(ISERROR(_xll.qlSwapRateHelperSpread($D40)),IF(ISERROR(_xll.qlFuturesRateHelperConvexityAdjustment($D40)),"--",_xll.qlFuturesRateHelperConvexityAdjustment($D40)),_xll.qlSwapRateHelperSpread($D40))</f>
        <v>--</v>
      </c>
      <c r="H40" s="9" t="e">
        <f>_xll.qlRateHelperEarliestDate($D40)</f>
        <v>#VALUE!</v>
      </c>
      <c r="I40" s="8" t="e">
        <f>_xll.qlRateHelperLatestDate($D40)</f>
        <v>#VALUE!</v>
      </c>
      <c r="J40" s="3" t="e">
        <v>#N/A</v>
      </c>
    </row>
    <row r="41" spans="4:10" x14ac:dyDescent="0.2">
      <c r="D41" s="11" t="e">
        <v>#N/A</v>
      </c>
      <c r="E41" s="11" t="e">
        <f>_xll.qlRateHelperQuoteName(D41)</f>
        <v>#VALUE!</v>
      </c>
      <c r="F41" s="10" t="e">
        <f>_xll.qlRateHelperRate($D41)</f>
        <v>#VALUE!</v>
      </c>
      <c r="G41" s="10" t="str">
        <f>IF(ISERROR(_xll.qlSwapRateHelperSpread($D41)),IF(ISERROR(_xll.qlFuturesRateHelperConvexityAdjustment($D41)),"--",_xll.qlFuturesRateHelperConvexityAdjustment($D41)),_xll.qlSwapRateHelperSpread($D41))</f>
        <v>--</v>
      </c>
      <c r="H41" s="9" t="e">
        <f>_xll.qlRateHelperEarliestDate($D41)</f>
        <v>#VALUE!</v>
      </c>
      <c r="I41" s="8" t="e">
        <f>_xll.qlRateHelperLatestDate($D41)</f>
        <v>#VALUE!</v>
      </c>
      <c r="J41" s="3" t="e">
        <v>#N/A</v>
      </c>
    </row>
    <row r="42" spans="4:10" x14ac:dyDescent="0.2">
      <c r="D42" s="11" t="e">
        <v>#N/A</v>
      </c>
      <c r="E42" s="11" t="e">
        <f>_xll.qlRateHelperQuoteName(D42)</f>
        <v>#VALUE!</v>
      </c>
      <c r="F42" s="10" t="e">
        <f>_xll.qlRateHelperRate($D42)</f>
        <v>#VALUE!</v>
      </c>
      <c r="G42" s="10" t="str">
        <f>IF(ISERROR(_xll.qlSwapRateHelperSpread($D42)),IF(ISERROR(_xll.qlFuturesRateHelperConvexityAdjustment($D42)),"--",_xll.qlFuturesRateHelperConvexityAdjustment($D42)),_xll.qlSwapRateHelperSpread($D42))</f>
        <v>--</v>
      </c>
      <c r="H42" s="9" t="e">
        <f>_xll.qlRateHelperEarliestDate($D42)</f>
        <v>#VALUE!</v>
      </c>
      <c r="I42" s="8" t="e">
        <f>_xll.qlRateHelperLatestDate($D42)</f>
        <v>#VALUE!</v>
      </c>
      <c r="J42" s="3" t="e">
        <v>#N/A</v>
      </c>
    </row>
    <row r="43" spans="4:10" x14ac:dyDescent="0.2">
      <c r="D43" s="11" t="e">
        <v>#N/A</v>
      </c>
      <c r="E43" s="11" t="e">
        <f>_xll.qlRateHelperQuoteName(D43)</f>
        <v>#VALUE!</v>
      </c>
      <c r="F43" s="10" t="e">
        <f>_xll.qlRateHelperRate($D43)</f>
        <v>#VALUE!</v>
      </c>
      <c r="G43" s="10" t="str">
        <f>IF(ISERROR(_xll.qlSwapRateHelperSpread($D43)),IF(ISERROR(_xll.qlFuturesRateHelperConvexityAdjustment($D43)),"--",_xll.qlFuturesRateHelperConvexityAdjustment($D43)),_xll.qlSwapRateHelperSpread($D43))</f>
        <v>--</v>
      </c>
      <c r="H43" s="9" t="e">
        <f>_xll.qlRateHelperEarliestDate($D43)</f>
        <v>#VALUE!</v>
      </c>
      <c r="I43" s="8" t="e">
        <f>_xll.qlRateHelperLatestDate($D43)</f>
        <v>#VALUE!</v>
      </c>
      <c r="J43" s="3" t="e">
        <v>#N/A</v>
      </c>
    </row>
    <row r="44" spans="4:10" x14ac:dyDescent="0.2">
      <c r="D44" s="11" t="e">
        <v>#N/A</v>
      </c>
      <c r="E44" s="11" t="e">
        <f>_xll.qlRateHelperQuoteName(D44)</f>
        <v>#VALUE!</v>
      </c>
      <c r="F44" s="10" t="e">
        <f>_xll.qlRateHelperRate($D44)</f>
        <v>#VALUE!</v>
      </c>
      <c r="G44" s="10" t="str">
        <f>IF(ISERROR(_xll.qlSwapRateHelperSpread($D44)),IF(ISERROR(_xll.qlFuturesRateHelperConvexityAdjustment($D44)),"--",_xll.qlFuturesRateHelperConvexityAdjustment($D44)),_xll.qlSwapRateHelperSpread($D44))</f>
        <v>--</v>
      </c>
      <c r="H44" s="9" t="e">
        <f>_xll.qlRateHelperEarliestDate($D44)</f>
        <v>#VALUE!</v>
      </c>
      <c r="I44" s="8" t="e">
        <f>_xll.qlRateHelperLatestDate($D44)</f>
        <v>#VALUE!</v>
      </c>
      <c r="J44" s="3" t="e">
        <v>#N/A</v>
      </c>
    </row>
    <row r="45" spans="4:10" x14ac:dyDescent="0.2">
      <c r="D45" s="11" t="e">
        <v>#N/A</v>
      </c>
      <c r="E45" s="11" t="e">
        <f>_xll.qlRateHelperQuoteName(D45)</f>
        <v>#VALUE!</v>
      </c>
      <c r="F45" s="10" t="e">
        <f>_xll.qlRateHelperRate($D45)</f>
        <v>#VALUE!</v>
      </c>
      <c r="G45" s="10" t="str">
        <f>IF(ISERROR(_xll.qlSwapRateHelperSpread($D45)),IF(ISERROR(_xll.qlFuturesRateHelperConvexityAdjustment($D45)),"--",_xll.qlFuturesRateHelperConvexityAdjustment($D45)),_xll.qlSwapRateHelperSpread($D45))</f>
        <v>--</v>
      </c>
      <c r="H45" s="9" t="e">
        <f>_xll.qlRateHelperEarliestDate($D45)</f>
        <v>#VALUE!</v>
      </c>
      <c r="I45" s="8" t="e">
        <f>_xll.qlRateHelperLatestDate($D45)</f>
        <v>#VALUE!</v>
      </c>
      <c r="J45" s="3" t="e">
        <v>#N/A</v>
      </c>
    </row>
    <row r="46" spans="4:10" x14ac:dyDescent="0.2">
      <c r="D46" s="11" t="e">
        <v>#N/A</v>
      </c>
      <c r="E46" s="11" t="e">
        <f>_xll.qlRateHelperQuoteName(D46)</f>
        <v>#VALUE!</v>
      </c>
      <c r="F46" s="10" t="e">
        <f>_xll.qlRateHelperRate($D46)</f>
        <v>#VALUE!</v>
      </c>
      <c r="G46" s="10" t="str">
        <f>IF(ISERROR(_xll.qlSwapRateHelperSpread($D46)),IF(ISERROR(_xll.qlFuturesRateHelperConvexityAdjustment($D46)),"--",_xll.qlFuturesRateHelperConvexityAdjustment($D46)),_xll.qlSwapRateHelperSpread($D46))</f>
        <v>--</v>
      </c>
      <c r="H46" s="9" t="e">
        <f>_xll.qlRateHelperEarliestDate($D46)</f>
        <v>#VALUE!</v>
      </c>
      <c r="I46" s="8" t="e">
        <f>_xll.qlRateHelperLatestDate($D46)</f>
        <v>#VALUE!</v>
      </c>
      <c r="J46" s="3" t="e">
        <v>#N/A</v>
      </c>
    </row>
    <row r="47" spans="4:10" x14ac:dyDescent="0.2">
      <c r="D47" s="11" t="e">
        <v>#N/A</v>
      </c>
      <c r="E47" s="11" t="e">
        <f>_xll.qlRateHelperQuoteName(D47)</f>
        <v>#VALUE!</v>
      </c>
      <c r="F47" s="10" t="e">
        <f>_xll.qlRateHelperRate($D47)</f>
        <v>#VALUE!</v>
      </c>
      <c r="G47" s="10" t="str">
        <f>IF(ISERROR(_xll.qlSwapRateHelperSpread($D47)),IF(ISERROR(_xll.qlFuturesRateHelperConvexityAdjustment($D47)),"--",_xll.qlFuturesRateHelperConvexityAdjustment($D47)),_xll.qlSwapRateHelperSpread($D47))</f>
        <v>--</v>
      </c>
      <c r="H47" s="9" t="e">
        <f>_xll.qlRateHelperEarliestDate($D47)</f>
        <v>#VALUE!</v>
      </c>
      <c r="I47" s="8" t="e">
        <f>_xll.qlRateHelperLatestDate($D47)</f>
        <v>#VALUE!</v>
      </c>
      <c r="J47" s="3" t="e">
        <v>#N/A</v>
      </c>
    </row>
    <row r="48" spans="4:10" x14ac:dyDescent="0.2">
      <c r="D48" s="11" t="e">
        <v>#N/A</v>
      </c>
      <c r="E48" s="11" t="e">
        <f>_xll.qlRateHelperQuoteName(D48)</f>
        <v>#VALUE!</v>
      </c>
      <c r="F48" s="10" t="e">
        <f>_xll.qlRateHelperRate($D48)</f>
        <v>#VALUE!</v>
      </c>
      <c r="G48" s="10" t="str">
        <f>IF(ISERROR(_xll.qlSwapRateHelperSpread($D48)),IF(ISERROR(_xll.qlFuturesRateHelperConvexityAdjustment($D48)),"--",_xll.qlFuturesRateHelperConvexityAdjustment($D48)),_xll.qlSwapRateHelperSpread($D48))</f>
        <v>--</v>
      </c>
      <c r="H48" s="9" t="e">
        <f>_xll.qlRateHelperEarliestDate($D48)</f>
        <v>#VALUE!</v>
      </c>
      <c r="I48" s="8" t="e">
        <f>_xll.qlRateHelperLatestDate($D48)</f>
        <v>#VALUE!</v>
      </c>
      <c r="J48" s="3" t="e">
        <v>#N/A</v>
      </c>
    </row>
    <row r="49" spans="4:10" x14ac:dyDescent="0.2">
      <c r="D49" s="11" t="e">
        <v>#N/A</v>
      </c>
      <c r="E49" s="11" t="e">
        <f>_xll.qlRateHelperQuoteName(D49)</f>
        <v>#VALUE!</v>
      </c>
      <c r="F49" s="10" t="e">
        <f>_xll.qlRateHelperRate($D49)</f>
        <v>#VALUE!</v>
      </c>
      <c r="G49" s="10" t="str">
        <f>IF(ISERROR(_xll.qlSwapRateHelperSpread($D49)),IF(ISERROR(_xll.qlFuturesRateHelperConvexityAdjustment($D49)),"--",_xll.qlFuturesRateHelperConvexityAdjustment($D49)),_xll.qlSwapRateHelperSpread($D49))</f>
        <v>--</v>
      </c>
      <c r="H49" s="9" t="e">
        <f>_xll.qlRateHelperEarliestDate($D49)</f>
        <v>#VALUE!</v>
      </c>
      <c r="I49" s="8" t="e">
        <f>_xll.qlRateHelperLatestDate($D49)</f>
        <v>#VALUE!</v>
      </c>
      <c r="J49" s="3" t="e">
        <v>#N/A</v>
      </c>
    </row>
    <row r="50" spans="4:10" x14ac:dyDescent="0.2">
      <c r="D50" s="11" t="e">
        <v>#N/A</v>
      </c>
      <c r="E50" s="11" t="e">
        <f>_xll.qlRateHelperQuoteName(D50)</f>
        <v>#VALUE!</v>
      </c>
      <c r="F50" s="10" t="e">
        <f>_xll.qlRateHelperRate($D50)</f>
        <v>#VALUE!</v>
      </c>
      <c r="G50" s="10" t="str">
        <f>IF(ISERROR(_xll.qlSwapRateHelperSpread($D50)),IF(ISERROR(_xll.qlFuturesRateHelperConvexityAdjustment($D50)),"--",_xll.qlFuturesRateHelperConvexityAdjustment($D50)),_xll.qlSwapRateHelperSpread($D50))</f>
        <v>--</v>
      </c>
      <c r="H50" s="9" t="e">
        <f>_xll.qlRateHelperEarliestDate($D50)</f>
        <v>#VALUE!</v>
      </c>
      <c r="I50" s="8" t="e">
        <f>_xll.qlRateHelperLatestDate($D50)</f>
        <v>#VALUE!</v>
      </c>
      <c r="J50" s="3" t="e">
        <v>#N/A</v>
      </c>
    </row>
    <row r="51" spans="4:10" x14ac:dyDescent="0.2">
      <c r="D51" s="11" t="e">
        <v>#N/A</v>
      </c>
      <c r="E51" s="11" t="e">
        <f>_xll.qlRateHelperQuoteName(D51)</f>
        <v>#VALUE!</v>
      </c>
      <c r="F51" s="10" t="e">
        <f>_xll.qlRateHelperRate($D51)</f>
        <v>#VALUE!</v>
      </c>
      <c r="G51" s="10" t="str">
        <f>IF(ISERROR(_xll.qlSwapRateHelperSpread($D51)),IF(ISERROR(_xll.qlFuturesRateHelperConvexityAdjustment($D51)),"--",_xll.qlFuturesRateHelperConvexityAdjustment($D51)),_xll.qlSwapRateHelperSpread($D51))</f>
        <v>--</v>
      </c>
      <c r="H51" s="9" t="e">
        <f>_xll.qlRateHelperEarliestDate($D51)</f>
        <v>#VALUE!</v>
      </c>
      <c r="I51" s="8" t="e">
        <f>_xll.qlRateHelperLatestDate($D51)</f>
        <v>#VALUE!</v>
      </c>
      <c r="J51" s="3" t="e">
        <v>#N/A</v>
      </c>
    </row>
    <row r="52" spans="4:10" x14ac:dyDescent="0.2">
      <c r="D52" s="11" t="e">
        <v>#N/A</v>
      </c>
      <c r="E52" s="11" t="e">
        <f>_xll.qlRateHelperQuoteName(D52)</f>
        <v>#VALUE!</v>
      </c>
      <c r="F52" s="10" t="e">
        <f>_xll.qlRateHelperRate($D52)</f>
        <v>#VALUE!</v>
      </c>
      <c r="G52" s="10" t="str">
        <f>IF(ISERROR(_xll.qlSwapRateHelperSpread($D52)),IF(ISERROR(_xll.qlFuturesRateHelperConvexityAdjustment($D52)),"--",_xll.qlFuturesRateHelperConvexityAdjustment($D52)),_xll.qlSwapRateHelperSpread($D52))</f>
        <v>--</v>
      </c>
      <c r="H52" s="9" t="e">
        <f>_xll.qlRateHelperEarliestDate($D52)</f>
        <v>#VALUE!</v>
      </c>
      <c r="I52" s="8" t="e">
        <f>_xll.qlRateHelperLatestDate($D52)</f>
        <v>#VALUE!</v>
      </c>
      <c r="J52" s="3" t="e">
        <v>#N/A</v>
      </c>
    </row>
    <row r="53" spans="4:10" x14ac:dyDescent="0.2">
      <c r="D53" s="11" t="e">
        <v>#N/A</v>
      </c>
      <c r="E53" s="11" t="e">
        <f>_xll.qlRateHelperQuoteName(D53)</f>
        <v>#VALUE!</v>
      </c>
      <c r="F53" s="10" t="e">
        <f>_xll.qlRateHelperRate($D53)</f>
        <v>#VALUE!</v>
      </c>
      <c r="G53" s="10" t="str">
        <f>IF(ISERROR(_xll.qlSwapRateHelperSpread($D53)),IF(ISERROR(_xll.qlFuturesRateHelperConvexityAdjustment($D53)),"--",_xll.qlFuturesRateHelperConvexityAdjustment($D53)),_xll.qlSwapRateHelperSpread($D53))</f>
        <v>--</v>
      </c>
      <c r="H53" s="9" t="e">
        <f>_xll.qlRateHelperEarliestDate($D53)</f>
        <v>#VALUE!</v>
      </c>
      <c r="I53" s="8" t="e">
        <f>_xll.qlRateHelperLatestDate($D53)</f>
        <v>#VALUE!</v>
      </c>
      <c r="J53" s="3" t="e">
        <v>#N/A</v>
      </c>
    </row>
    <row r="54" spans="4:10" x14ac:dyDescent="0.2">
      <c r="D54" s="11" t="e">
        <v>#N/A</v>
      </c>
      <c r="E54" s="11" t="e">
        <f>_xll.qlRateHelperQuoteName(D54)</f>
        <v>#VALUE!</v>
      </c>
      <c r="F54" s="10" t="e">
        <f>_xll.qlRateHelperRate($D54)</f>
        <v>#VALUE!</v>
      </c>
      <c r="G54" s="10" t="str">
        <f>IF(ISERROR(_xll.qlSwapRateHelperSpread($D54)),IF(ISERROR(_xll.qlFuturesRateHelperConvexityAdjustment($D54)),"--",_xll.qlFuturesRateHelperConvexityAdjustment($D54)),_xll.qlSwapRateHelperSpread($D54))</f>
        <v>--</v>
      </c>
      <c r="H54" s="9" t="e">
        <f>_xll.qlRateHelperEarliestDate($D54)</f>
        <v>#VALUE!</v>
      </c>
      <c r="I54" s="8" t="e">
        <f>_xll.qlRateHelperLatestDate($D54)</f>
        <v>#VALUE!</v>
      </c>
      <c r="J54" s="3" t="e">
        <v>#N/A</v>
      </c>
    </row>
    <row r="55" spans="4:10" x14ac:dyDescent="0.2">
      <c r="D55" s="11" t="e">
        <v>#N/A</v>
      </c>
      <c r="E55" s="11" t="e">
        <f>_xll.qlRateHelperQuoteName(D55)</f>
        <v>#VALUE!</v>
      </c>
      <c r="F55" s="10" t="e">
        <f>_xll.qlRateHelperRate($D55)</f>
        <v>#VALUE!</v>
      </c>
      <c r="G55" s="10" t="str">
        <f>IF(ISERROR(_xll.qlSwapRateHelperSpread($D55)),IF(ISERROR(_xll.qlFuturesRateHelperConvexityAdjustment($D55)),"--",_xll.qlFuturesRateHelperConvexityAdjustment($D55)),_xll.qlSwapRateHelperSpread($D55))</f>
        <v>--</v>
      </c>
      <c r="H55" s="9" t="e">
        <f>_xll.qlRateHelperEarliestDate($D55)</f>
        <v>#VALUE!</v>
      </c>
      <c r="I55" s="8" t="e">
        <f>_xll.qlRateHelperLatestDate($D55)</f>
        <v>#VALUE!</v>
      </c>
      <c r="J55" s="3" t="e">
        <v>#N/A</v>
      </c>
    </row>
    <row r="56" spans="4:10" x14ac:dyDescent="0.2">
      <c r="D56" s="11" t="e">
        <v>#N/A</v>
      </c>
      <c r="E56" s="11" t="e">
        <f>_xll.qlRateHelperQuoteName(D56)</f>
        <v>#VALUE!</v>
      </c>
      <c r="F56" s="10" t="e">
        <f>_xll.qlRateHelperRate($D56)</f>
        <v>#VALUE!</v>
      </c>
      <c r="G56" s="10" t="str">
        <f>IF(ISERROR(_xll.qlSwapRateHelperSpread($D56)),IF(ISERROR(_xll.qlFuturesRateHelperConvexityAdjustment($D56)),"--",_xll.qlFuturesRateHelperConvexityAdjustment($D56)),_xll.qlSwapRateHelperSpread($D56))</f>
        <v>--</v>
      </c>
      <c r="H56" s="9" t="e">
        <f>_xll.qlRateHelperEarliestDate($D56)</f>
        <v>#VALUE!</v>
      </c>
      <c r="I56" s="8" t="e">
        <f>_xll.qlRateHelperLatestDate($D56)</f>
        <v>#VALUE!</v>
      </c>
      <c r="J56" s="3" t="e">
        <v>#N/A</v>
      </c>
    </row>
    <row r="57" spans="4:10" x14ac:dyDescent="0.2">
      <c r="D57" s="11" t="e">
        <v>#N/A</v>
      </c>
      <c r="E57" s="11" t="e">
        <f>_xll.qlRateHelperQuoteName(D57)</f>
        <v>#VALUE!</v>
      </c>
      <c r="F57" s="10" t="e">
        <f>_xll.qlRateHelperRate($D57)</f>
        <v>#VALUE!</v>
      </c>
      <c r="G57" s="10" t="str">
        <f>IF(ISERROR(_xll.qlSwapRateHelperSpread($D57)),IF(ISERROR(_xll.qlFuturesRateHelperConvexityAdjustment($D57)),"--",_xll.qlFuturesRateHelperConvexityAdjustment($D57)),_xll.qlSwapRateHelperSpread($D57))</f>
        <v>--</v>
      </c>
      <c r="H57" s="9" t="e">
        <f>_xll.qlRateHelperEarliestDate($D57)</f>
        <v>#VALUE!</v>
      </c>
      <c r="I57" s="8" t="e">
        <f>_xll.qlRateHelperLatestDate($D57)</f>
        <v>#VALUE!</v>
      </c>
      <c r="J57" s="3" t="e">
        <v>#N/A</v>
      </c>
    </row>
    <row r="58" spans="4:10" x14ac:dyDescent="0.2">
      <c r="D58" s="11" t="e">
        <v>#N/A</v>
      </c>
      <c r="E58" s="11" t="e">
        <f>_xll.qlRateHelperQuoteName(D58)</f>
        <v>#VALUE!</v>
      </c>
      <c r="F58" s="10" t="e">
        <f>_xll.qlRateHelperRate($D58)</f>
        <v>#VALUE!</v>
      </c>
      <c r="G58" s="10" t="str">
        <f>IF(ISERROR(_xll.qlSwapRateHelperSpread($D58)),IF(ISERROR(_xll.qlFuturesRateHelperConvexityAdjustment($D58)),"--",_xll.qlFuturesRateHelperConvexityAdjustment($D58)),_xll.qlSwapRateHelperSpread($D58))</f>
        <v>--</v>
      </c>
      <c r="H58" s="9" t="e">
        <f>_xll.qlRateHelperEarliestDate($D58)</f>
        <v>#VALUE!</v>
      </c>
      <c r="I58" s="8" t="e">
        <f>_xll.qlRateHelperLatestDate($D58)</f>
        <v>#VALUE!</v>
      </c>
      <c r="J58" s="3" t="e">
        <v>#N/A</v>
      </c>
    </row>
    <row r="59" spans="4:10" x14ac:dyDescent="0.2">
      <c r="D59" s="11" t="e">
        <v>#N/A</v>
      </c>
      <c r="E59" s="11" t="e">
        <f>_xll.qlRateHelperQuoteName(D59)</f>
        <v>#VALUE!</v>
      </c>
      <c r="F59" s="10" t="e">
        <f>_xll.qlRateHelperRate($D59)</f>
        <v>#VALUE!</v>
      </c>
      <c r="G59" s="10" t="str">
        <f>IF(ISERROR(_xll.qlSwapRateHelperSpread($D59)),IF(ISERROR(_xll.qlFuturesRateHelperConvexityAdjustment($D59)),"--",_xll.qlFuturesRateHelperConvexityAdjustment($D59)),_xll.qlSwapRateHelperSpread($D59))</f>
        <v>--</v>
      </c>
      <c r="H59" s="9" t="e">
        <f>_xll.qlRateHelperEarliestDate($D59)</f>
        <v>#VALUE!</v>
      </c>
      <c r="I59" s="8" t="e">
        <f>_xll.qlRateHelperLatestDate($D59)</f>
        <v>#VALUE!</v>
      </c>
      <c r="J59" s="3" t="e">
        <v>#N/A</v>
      </c>
    </row>
    <row r="60" spans="4:10" x14ac:dyDescent="0.2">
      <c r="D60" s="11" t="e">
        <v>#N/A</v>
      </c>
      <c r="E60" s="11" t="e">
        <f>_xll.qlRateHelperQuoteName(D60)</f>
        <v>#VALUE!</v>
      </c>
      <c r="F60" s="10" t="e">
        <f>_xll.qlRateHelperRate($D60)</f>
        <v>#VALUE!</v>
      </c>
      <c r="G60" s="10" t="str">
        <f>IF(ISERROR(_xll.qlSwapRateHelperSpread($D60)),IF(ISERROR(_xll.qlFuturesRateHelperConvexityAdjustment($D60)),"--",_xll.qlFuturesRateHelperConvexityAdjustment($D60)),_xll.qlSwapRateHelperSpread($D60))</f>
        <v>--</v>
      </c>
      <c r="H60" s="9" t="e">
        <f>_xll.qlRateHelperEarliestDate($D60)</f>
        <v>#VALUE!</v>
      </c>
      <c r="I60" s="8" t="e">
        <f>_xll.qlRateHelperLatestDate($D60)</f>
        <v>#VALUE!</v>
      </c>
      <c r="J60" s="3" t="e">
        <v>#N/A</v>
      </c>
    </row>
    <row r="61" spans="4:10" x14ac:dyDescent="0.2">
      <c r="D61" s="11" t="e">
        <v>#N/A</v>
      </c>
      <c r="E61" s="11" t="e">
        <f>_xll.qlRateHelperQuoteName(D61)</f>
        <v>#VALUE!</v>
      </c>
      <c r="F61" s="10" t="e">
        <f>_xll.qlRateHelperRate($D61)</f>
        <v>#VALUE!</v>
      </c>
      <c r="G61" s="10" t="str">
        <f>IF(ISERROR(_xll.qlSwapRateHelperSpread($D61)),IF(ISERROR(_xll.qlFuturesRateHelperConvexityAdjustment($D61)),"--",_xll.qlFuturesRateHelperConvexityAdjustment($D61)),_xll.qlSwapRateHelperSpread($D61))</f>
        <v>--</v>
      </c>
      <c r="H61" s="9" t="e">
        <f>_xll.qlRateHelperEarliestDate($D61)</f>
        <v>#VALUE!</v>
      </c>
      <c r="I61" s="8" t="e">
        <f>_xll.qlRateHelperLatestDate($D61)</f>
        <v>#VALUE!</v>
      </c>
      <c r="J61" s="3" t="e">
        <v>#N/A</v>
      </c>
    </row>
    <row r="62" spans="4:10" x14ac:dyDescent="0.2">
      <c r="D62" s="11" t="e">
        <v>#N/A</v>
      </c>
      <c r="E62" s="11" t="e">
        <f>_xll.qlRateHelperQuoteName(D62)</f>
        <v>#VALUE!</v>
      </c>
      <c r="F62" s="10" t="e">
        <f>_xll.qlRateHelperRate($D62)</f>
        <v>#VALUE!</v>
      </c>
      <c r="G62" s="10" t="str">
        <f>IF(ISERROR(_xll.qlSwapRateHelperSpread($D62)),IF(ISERROR(_xll.qlFuturesRateHelperConvexityAdjustment($D62)),"--",_xll.qlFuturesRateHelperConvexityAdjustment($D62)),_xll.qlSwapRateHelperSpread($D62))</f>
        <v>--</v>
      </c>
      <c r="H62" s="9" t="e">
        <f>_xll.qlRateHelperEarliestDate($D62)</f>
        <v>#VALUE!</v>
      </c>
      <c r="I62" s="8" t="e">
        <f>_xll.qlRateHelperLatestDate($D62)</f>
        <v>#VALUE!</v>
      </c>
      <c r="J62" s="3" t="e">
        <v>#N/A</v>
      </c>
    </row>
    <row r="63" spans="4:10" x14ac:dyDescent="0.2">
      <c r="D63" s="11" t="e">
        <v>#N/A</v>
      </c>
      <c r="E63" s="11" t="e">
        <f>_xll.qlRateHelperQuoteName(D63)</f>
        <v>#VALUE!</v>
      </c>
      <c r="F63" s="10" t="e">
        <f>_xll.qlRateHelperRate($D63)</f>
        <v>#VALUE!</v>
      </c>
      <c r="G63" s="10" t="str">
        <f>IF(ISERROR(_xll.qlSwapRateHelperSpread($D63)),IF(ISERROR(_xll.qlFuturesRateHelperConvexityAdjustment($D63)),"--",_xll.qlFuturesRateHelperConvexityAdjustment($D63)),_xll.qlSwapRateHelperSpread($D63))</f>
        <v>--</v>
      </c>
      <c r="H63" s="9" t="e">
        <f>_xll.qlRateHelperEarliestDate($D63)</f>
        <v>#VALUE!</v>
      </c>
      <c r="I63" s="8" t="e">
        <f>_xll.qlRateHelperLatestDate($D63)</f>
        <v>#VALUE!</v>
      </c>
      <c r="J63" s="3" t="e">
        <v>#N/A</v>
      </c>
    </row>
    <row r="64" spans="4:10" x14ac:dyDescent="0.2">
      <c r="D64" s="11" t="e">
        <v>#N/A</v>
      </c>
      <c r="E64" s="11" t="e">
        <f>_xll.qlRateHelperQuoteName(D64)</f>
        <v>#VALUE!</v>
      </c>
      <c r="F64" s="10" t="e">
        <f>_xll.qlRateHelperRate($D64)</f>
        <v>#VALUE!</v>
      </c>
      <c r="G64" s="10" t="str">
        <f>IF(ISERROR(_xll.qlSwapRateHelperSpread($D64)),IF(ISERROR(_xll.qlFuturesRateHelperConvexityAdjustment($D64)),"--",_xll.qlFuturesRateHelperConvexityAdjustment($D64)),_xll.qlSwapRateHelperSpread($D64))</f>
        <v>--</v>
      </c>
      <c r="H64" s="9" t="e">
        <f>_xll.qlRateHelperEarliestDate($D64)</f>
        <v>#VALUE!</v>
      </c>
      <c r="I64" s="8" t="e">
        <f>_xll.qlRateHelperLatestDate($D64)</f>
        <v>#VALUE!</v>
      </c>
      <c r="J64" s="3" t="e">
        <v>#N/A</v>
      </c>
    </row>
    <row r="65" spans="4:10" x14ac:dyDescent="0.2">
      <c r="D65" s="11" t="e">
        <v>#N/A</v>
      </c>
      <c r="E65" s="11" t="e">
        <f>_xll.qlRateHelperQuoteName(D65)</f>
        <v>#VALUE!</v>
      </c>
      <c r="F65" s="10" t="e">
        <f>_xll.qlRateHelperRate($D65)</f>
        <v>#VALUE!</v>
      </c>
      <c r="G65" s="10" t="str">
        <f>IF(ISERROR(_xll.qlSwapRateHelperSpread($D65)),IF(ISERROR(_xll.qlFuturesRateHelperConvexityAdjustment($D65)),"--",_xll.qlFuturesRateHelperConvexityAdjustment($D65)),_xll.qlSwapRateHelperSpread($D65))</f>
        <v>--</v>
      </c>
      <c r="H65" s="9" t="e">
        <f>_xll.qlRateHelperEarliestDate($D65)</f>
        <v>#VALUE!</v>
      </c>
      <c r="I65" s="8" t="e">
        <f>_xll.qlRateHelperLatestDate($D65)</f>
        <v>#VALUE!</v>
      </c>
      <c r="J65" s="3" t="e">
        <v>#N/A</v>
      </c>
    </row>
    <row r="66" spans="4:10" x14ac:dyDescent="0.2">
      <c r="D66" s="11" t="e">
        <v>#N/A</v>
      </c>
      <c r="E66" s="11" t="e">
        <f>_xll.qlRateHelperQuoteName(D66)</f>
        <v>#VALUE!</v>
      </c>
      <c r="F66" s="10" t="e">
        <f>_xll.qlRateHelperRate($D66)</f>
        <v>#VALUE!</v>
      </c>
      <c r="G66" s="10" t="str">
        <f>IF(ISERROR(_xll.qlSwapRateHelperSpread($D66)),IF(ISERROR(_xll.qlFuturesRateHelperConvexityAdjustment($D66)),"--",_xll.qlFuturesRateHelperConvexityAdjustment($D66)),_xll.qlSwapRateHelperSpread($D66))</f>
        <v>--</v>
      </c>
      <c r="H66" s="9" t="e">
        <f>_xll.qlRateHelperEarliestDate($D66)</f>
        <v>#VALUE!</v>
      </c>
      <c r="I66" s="8" t="e">
        <f>_xll.qlRateHelperLatestDate($D66)</f>
        <v>#VALUE!</v>
      </c>
      <c r="J66" s="3" t="e">
        <v>#N/A</v>
      </c>
    </row>
    <row r="67" spans="4:10" x14ac:dyDescent="0.2">
      <c r="D67" s="11" t="e">
        <v>#N/A</v>
      </c>
      <c r="E67" s="11" t="e">
        <f>_xll.qlRateHelperQuoteName(D67)</f>
        <v>#VALUE!</v>
      </c>
      <c r="F67" s="10" t="e">
        <f>_xll.qlRateHelperRate($D67)</f>
        <v>#VALUE!</v>
      </c>
      <c r="G67" s="10" t="str">
        <f>IF(ISERROR(_xll.qlSwapRateHelperSpread($D67)),IF(ISERROR(_xll.qlFuturesRateHelperConvexityAdjustment($D67)),"--",_xll.qlFuturesRateHelperConvexityAdjustment($D67)),_xll.qlSwapRateHelperSpread($D67))</f>
        <v>--</v>
      </c>
      <c r="H67" s="9" t="e">
        <f>_xll.qlRateHelperEarliestDate($D67)</f>
        <v>#VALUE!</v>
      </c>
      <c r="I67" s="8" t="e">
        <f>_xll.qlRateHelperLatestDate($D67)</f>
        <v>#VALUE!</v>
      </c>
      <c r="J67" s="3" t="e">
        <v>#N/A</v>
      </c>
    </row>
    <row r="68" spans="4:10" x14ac:dyDescent="0.2">
      <c r="D68" s="11" t="e">
        <v>#N/A</v>
      </c>
      <c r="E68" s="11" t="e">
        <f>_xll.qlRateHelperQuoteName(D68)</f>
        <v>#VALUE!</v>
      </c>
      <c r="F68" s="10" t="e">
        <f>_xll.qlRateHelperRate($D68)</f>
        <v>#VALUE!</v>
      </c>
      <c r="G68" s="10" t="str">
        <f>IF(ISERROR(_xll.qlSwapRateHelperSpread($D68)),IF(ISERROR(_xll.qlFuturesRateHelperConvexityAdjustment($D68)),"--",_xll.qlFuturesRateHelperConvexityAdjustment($D68)),_xll.qlSwapRateHelperSpread($D68))</f>
        <v>--</v>
      </c>
      <c r="H68" s="9" t="e">
        <f>_xll.qlRateHelperEarliestDate($D68)</f>
        <v>#VALUE!</v>
      </c>
      <c r="I68" s="8" t="e">
        <f>_xll.qlRateHelperLatestDate($D68)</f>
        <v>#VALUE!</v>
      </c>
      <c r="J68" s="3" t="e">
        <v>#N/A</v>
      </c>
    </row>
    <row r="69" spans="4:10" x14ac:dyDescent="0.2">
      <c r="D69" s="11" t="e">
        <v>#N/A</v>
      </c>
      <c r="E69" s="11" t="e">
        <f>_xll.qlRateHelperQuoteName(D69)</f>
        <v>#VALUE!</v>
      </c>
      <c r="F69" s="10" t="e">
        <f>_xll.qlRateHelperRate($D69)</f>
        <v>#VALUE!</v>
      </c>
      <c r="G69" s="10" t="str">
        <f>IF(ISERROR(_xll.qlSwapRateHelperSpread($D69)),IF(ISERROR(_xll.qlFuturesRateHelperConvexityAdjustment($D69)),"--",_xll.qlFuturesRateHelperConvexityAdjustment($D69)),_xll.qlSwapRateHelperSpread($D69))</f>
        <v>--</v>
      </c>
      <c r="H69" s="9" t="e">
        <f>_xll.qlRateHelperEarliestDate($D69)</f>
        <v>#VALUE!</v>
      </c>
      <c r="I69" s="8" t="e">
        <f>_xll.qlRateHelperLatestDate($D69)</f>
        <v>#VALUE!</v>
      </c>
      <c r="J69" s="3" t="e">
        <v>#N/A</v>
      </c>
    </row>
    <row r="70" spans="4:10" x14ac:dyDescent="0.2">
      <c r="D70" s="11" t="e">
        <v>#N/A</v>
      </c>
      <c r="E70" s="11" t="e">
        <f>_xll.qlRateHelperQuoteName(D70)</f>
        <v>#VALUE!</v>
      </c>
      <c r="F70" s="10" t="e">
        <f>_xll.qlRateHelperRate($D70)</f>
        <v>#VALUE!</v>
      </c>
      <c r="G70" s="10" t="str">
        <f>IF(ISERROR(_xll.qlSwapRateHelperSpread($D70)),IF(ISERROR(_xll.qlFuturesRateHelperConvexityAdjustment($D70)),"--",_xll.qlFuturesRateHelperConvexityAdjustment($D70)),_xll.qlSwapRateHelperSpread($D70))</f>
        <v>--</v>
      </c>
      <c r="H70" s="9" t="e">
        <f>_xll.qlRateHelperEarliestDate($D70)</f>
        <v>#VALUE!</v>
      </c>
      <c r="I70" s="8" t="e">
        <f>_xll.qlRateHelperLatestDate($D70)</f>
        <v>#VALUE!</v>
      </c>
      <c r="J70" s="3" t="e">
        <v>#N/A</v>
      </c>
    </row>
    <row r="71" spans="4:10" x14ac:dyDescent="0.2">
      <c r="D71" s="11" t="e">
        <v>#N/A</v>
      </c>
      <c r="E71" s="11" t="e">
        <f>_xll.qlRateHelperQuoteName(D71)</f>
        <v>#VALUE!</v>
      </c>
      <c r="F71" s="10" t="e">
        <f>_xll.qlRateHelperRate($D71)</f>
        <v>#VALUE!</v>
      </c>
      <c r="G71" s="10" t="str">
        <f>IF(ISERROR(_xll.qlSwapRateHelperSpread($D71)),IF(ISERROR(_xll.qlFuturesRateHelperConvexityAdjustment($D71)),"--",_xll.qlFuturesRateHelperConvexityAdjustment($D71)),_xll.qlSwapRateHelperSpread($D71))</f>
        <v>--</v>
      </c>
      <c r="H71" s="9" t="e">
        <f>_xll.qlRateHelperEarliestDate($D71)</f>
        <v>#VALUE!</v>
      </c>
      <c r="I71" s="8" t="e">
        <f>_xll.qlRateHelperLatestDate($D71)</f>
        <v>#VALUE!</v>
      </c>
      <c r="J71" s="3" t="e">
        <v>#N/A</v>
      </c>
    </row>
    <row r="72" spans="4:10" x14ac:dyDescent="0.2">
      <c r="D72" s="11" t="e">
        <v>#N/A</v>
      </c>
      <c r="E72" s="11" t="e">
        <f>_xll.qlRateHelperQuoteName(D72)</f>
        <v>#VALUE!</v>
      </c>
      <c r="F72" s="10" t="e">
        <f>_xll.qlRateHelperRate($D72)</f>
        <v>#VALUE!</v>
      </c>
      <c r="G72" s="10" t="str">
        <f>IF(ISERROR(_xll.qlSwapRateHelperSpread($D72)),IF(ISERROR(_xll.qlFuturesRateHelperConvexityAdjustment($D72)),"--",_xll.qlFuturesRateHelperConvexityAdjustment($D72)),_xll.qlSwapRateHelperSpread($D72))</f>
        <v>--</v>
      </c>
      <c r="H72" s="9" t="e">
        <f>_xll.qlRateHelperEarliestDate($D72)</f>
        <v>#VALUE!</v>
      </c>
      <c r="I72" s="8" t="e">
        <f>_xll.qlRateHelperLatestDate($D72)</f>
        <v>#VALUE!</v>
      </c>
      <c r="J72" s="3" t="e">
        <v>#N/A</v>
      </c>
    </row>
    <row r="73" spans="4:10" x14ac:dyDescent="0.2">
      <c r="D73" s="11" t="e">
        <v>#N/A</v>
      </c>
      <c r="E73" s="11" t="e">
        <f>_xll.qlRateHelperQuoteName(D73)</f>
        <v>#VALUE!</v>
      </c>
      <c r="F73" s="10" t="e">
        <f>_xll.qlRateHelperRate($D73)</f>
        <v>#VALUE!</v>
      </c>
      <c r="G73" s="10" t="str">
        <f>IF(ISERROR(_xll.qlSwapRateHelperSpread($D73)),IF(ISERROR(_xll.qlFuturesRateHelperConvexityAdjustment($D73)),"--",_xll.qlFuturesRateHelperConvexityAdjustment($D73)),_xll.qlSwapRateHelperSpread($D73))</f>
        <v>--</v>
      </c>
      <c r="H73" s="9" t="e">
        <f>_xll.qlRateHelperEarliestDate($D73)</f>
        <v>#VALUE!</v>
      </c>
      <c r="I73" s="8" t="e">
        <f>_xll.qlRateHelperLatestDate($D73)</f>
        <v>#VALUE!</v>
      </c>
      <c r="J73" s="3" t="e">
        <v>#N/A</v>
      </c>
    </row>
    <row r="74" spans="4:10" x14ac:dyDescent="0.2">
      <c r="D74" s="11" t="e">
        <v>#N/A</v>
      </c>
      <c r="E74" s="11" t="e">
        <f>_xll.qlRateHelperQuoteName(D74)</f>
        <v>#VALUE!</v>
      </c>
      <c r="F74" s="10" t="e">
        <f>_xll.qlRateHelperRate($D74)</f>
        <v>#VALUE!</v>
      </c>
      <c r="G74" s="10" t="str">
        <f>IF(ISERROR(_xll.qlSwapRateHelperSpread($D74)),IF(ISERROR(_xll.qlFuturesRateHelperConvexityAdjustment($D74)),"--",_xll.qlFuturesRateHelperConvexityAdjustment($D74)),_xll.qlSwapRateHelperSpread($D74))</f>
        <v>--</v>
      </c>
      <c r="H74" s="9" t="e">
        <f>_xll.qlRateHelperEarliestDate($D74)</f>
        <v>#VALUE!</v>
      </c>
      <c r="I74" s="8" t="e">
        <f>_xll.qlRateHelperLatestDate($D74)</f>
        <v>#VALUE!</v>
      </c>
      <c r="J74" s="3" t="e">
        <v>#N/A</v>
      </c>
    </row>
    <row r="75" spans="4:10" x14ac:dyDescent="0.2">
      <c r="D75" s="11" t="e">
        <v>#N/A</v>
      </c>
      <c r="E75" s="11" t="e">
        <f>_xll.qlRateHelperQuoteName(D75)</f>
        <v>#VALUE!</v>
      </c>
      <c r="F75" s="10" t="e">
        <f>_xll.qlRateHelperRate($D75)</f>
        <v>#VALUE!</v>
      </c>
      <c r="G75" s="10" t="str">
        <f>IF(ISERROR(_xll.qlSwapRateHelperSpread($D75)),IF(ISERROR(_xll.qlFuturesRateHelperConvexityAdjustment($D75)),"--",_xll.qlFuturesRateHelperConvexityAdjustment($D75)),_xll.qlSwapRateHelperSpread($D75))</f>
        <v>--</v>
      </c>
      <c r="H75" s="9" t="e">
        <f>_xll.qlRateHelperEarliestDate($D75)</f>
        <v>#VALUE!</v>
      </c>
      <c r="I75" s="8" t="e">
        <f>_xll.qlRateHelperLatestDate($D75)</f>
        <v>#VALUE!</v>
      </c>
      <c r="J75" s="3" t="e">
        <v>#N/A</v>
      </c>
    </row>
    <row r="76" spans="4:10" x14ac:dyDescent="0.2">
      <c r="D76" s="11" t="e">
        <v>#N/A</v>
      </c>
      <c r="E76" s="11" t="e">
        <f>_xll.qlRateHelperQuoteName(D76)</f>
        <v>#VALUE!</v>
      </c>
      <c r="F76" s="10" t="e">
        <f>_xll.qlRateHelperRate($D76)</f>
        <v>#VALUE!</v>
      </c>
      <c r="G76" s="10" t="str">
        <f>IF(ISERROR(_xll.qlSwapRateHelperSpread($D76)),IF(ISERROR(_xll.qlFuturesRateHelperConvexityAdjustment($D76)),"--",_xll.qlFuturesRateHelperConvexityAdjustment($D76)),_xll.qlSwapRateHelperSpread($D76))</f>
        <v>--</v>
      </c>
      <c r="H76" s="9" t="e">
        <f>_xll.qlRateHelperEarliestDate($D76)</f>
        <v>#VALUE!</v>
      </c>
      <c r="I76" s="8" t="e">
        <f>_xll.qlRateHelperLatestDate($D76)</f>
        <v>#VALUE!</v>
      </c>
      <c r="J76" s="3" t="e">
        <v>#N/A</v>
      </c>
    </row>
    <row r="77" spans="4:10" x14ac:dyDescent="0.2">
      <c r="D77" s="11" t="e">
        <v>#N/A</v>
      </c>
      <c r="E77" s="11" t="e">
        <f>_xll.qlRateHelperQuoteName(D77)</f>
        <v>#VALUE!</v>
      </c>
      <c r="F77" s="10" t="e">
        <f>_xll.qlRateHelperRate($D77)</f>
        <v>#VALUE!</v>
      </c>
      <c r="G77" s="10" t="str">
        <f>IF(ISERROR(_xll.qlSwapRateHelperSpread($D77)),IF(ISERROR(_xll.qlFuturesRateHelperConvexityAdjustment($D77)),"--",_xll.qlFuturesRateHelperConvexityAdjustment($D77)),_xll.qlSwapRateHelperSpread($D77))</f>
        <v>--</v>
      </c>
      <c r="H77" s="9" t="e">
        <f>_xll.qlRateHelperEarliestDate($D77)</f>
        <v>#VALUE!</v>
      </c>
      <c r="I77" s="8" t="e">
        <f>_xll.qlRateHelperLatestDate($D77)</f>
        <v>#VALUE!</v>
      </c>
      <c r="J77" s="3" t="e">
        <v>#N/A</v>
      </c>
    </row>
    <row r="78" spans="4:10" x14ac:dyDescent="0.2">
      <c r="D78" s="11" t="e">
        <v>#N/A</v>
      </c>
      <c r="E78" s="11" t="e">
        <f>_xll.qlRateHelperQuoteName(D78)</f>
        <v>#VALUE!</v>
      </c>
      <c r="F78" s="10" t="e">
        <f>_xll.qlRateHelperRate($D78)</f>
        <v>#VALUE!</v>
      </c>
      <c r="G78" s="10" t="str">
        <f>IF(ISERROR(_xll.qlSwapRateHelperSpread($D78)),IF(ISERROR(_xll.qlFuturesRateHelperConvexityAdjustment($D78)),"--",_xll.qlFuturesRateHelperConvexityAdjustment($D78)),_xll.qlSwapRateHelperSpread($D78))</f>
        <v>--</v>
      </c>
      <c r="H78" s="9" t="e">
        <f>_xll.qlRateHelperEarliestDate($D78)</f>
        <v>#VALUE!</v>
      </c>
      <c r="I78" s="8" t="e">
        <f>_xll.qlRateHelperLatestDate($D78)</f>
        <v>#VALUE!</v>
      </c>
      <c r="J78" s="3" t="e">
        <v>#N/A</v>
      </c>
    </row>
    <row r="79" spans="4:10" x14ac:dyDescent="0.2">
      <c r="D79" s="11" t="e">
        <v>#N/A</v>
      </c>
      <c r="E79" s="11" t="e">
        <f>_xll.qlRateHelperQuoteName(D79)</f>
        <v>#VALUE!</v>
      </c>
      <c r="F79" s="10" t="e">
        <f>_xll.qlRateHelperRate($D79)</f>
        <v>#VALUE!</v>
      </c>
      <c r="G79" s="10" t="str">
        <f>IF(ISERROR(_xll.qlSwapRateHelperSpread($D79)),IF(ISERROR(_xll.qlFuturesRateHelperConvexityAdjustment($D79)),"--",_xll.qlFuturesRateHelperConvexityAdjustment($D79)),_xll.qlSwapRateHelperSpread($D79))</f>
        <v>--</v>
      </c>
      <c r="H79" s="9" t="e">
        <f>_xll.qlRateHelperEarliestDate($D79)</f>
        <v>#VALUE!</v>
      </c>
      <c r="I79" s="8" t="e">
        <f>_xll.qlRateHelperLatestDate($D79)</f>
        <v>#VALUE!</v>
      </c>
      <c r="J79" s="3" t="e">
        <v>#N/A</v>
      </c>
    </row>
    <row r="80" spans="4:10" x14ac:dyDescent="0.2">
      <c r="D80" s="11" t="e">
        <v>#N/A</v>
      </c>
      <c r="E80" s="11" t="e">
        <f>_xll.qlRateHelperQuoteName(D80)</f>
        <v>#VALUE!</v>
      </c>
      <c r="F80" s="10" t="e">
        <f>_xll.qlRateHelperRate($D80)</f>
        <v>#VALUE!</v>
      </c>
      <c r="G80" s="10" t="str">
        <f>IF(ISERROR(_xll.qlSwapRateHelperSpread($D80)),IF(ISERROR(_xll.qlFuturesRateHelperConvexityAdjustment($D80)),"--",_xll.qlFuturesRateHelperConvexityAdjustment($D80)),_xll.qlSwapRateHelperSpread($D80))</f>
        <v>--</v>
      </c>
      <c r="H80" s="9" t="e">
        <f>_xll.qlRateHelperEarliestDate($D80)</f>
        <v>#VALUE!</v>
      </c>
      <c r="I80" s="8" t="e">
        <f>_xll.qlRateHelperLatestDate($D80)</f>
        <v>#VALUE!</v>
      </c>
      <c r="J80" s="3" t="e">
        <v>#N/A</v>
      </c>
    </row>
    <row r="81" spans="4:10" x14ac:dyDescent="0.2">
      <c r="D81" s="11" t="e">
        <v>#N/A</v>
      </c>
      <c r="E81" s="11" t="e">
        <f>_xll.qlRateHelperQuoteName(D81)</f>
        <v>#VALUE!</v>
      </c>
      <c r="F81" s="10" t="e">
        <f>_xll.qlRateHelperRate($D81)</f>
        <v>#VALUE!</v>
      </c>
      <c r="G81" s="10" t="str">
        <f>IF(ISERROR(_xll.qlSwapRateHelperSpread($D81)),IF(ISERROR(_xll.qlFuturesRateHelperConvexityAdjustment($D81)),"--",_xll.qlFuturesRateHelperConvexityAdjustment($D81)),_xll.qlSwapRateHelperSpread($D81))</f>
        <v>--</v>
      </c>
      <c r="H81" s="9" t="e">
        <f>_xll.qlRateHelperEarliestDate($D81)</f>
        <v>#VALUE!</v>
      </c>
      <c r="I81" s="8" t="e">
        <f>_xll.qlRateHelperLatestDate($D81)</f>
        <v>#VALUE!</v>
      </c>
      <c r="J81" s="3" t="e">
        <v>#N/A</v>
      </c>
    </row>
    <row r="82" spans="4:10" x14ac:dyDescent="0.2">
      <c r="D82" s="11" t="e">
        <v>#N/A</v>
      </c>
      <c r="E82" s="11" t="e">
        <f>_xll.qlRateHelperQuoteName(D82)</f>
        <v>#VALUE!</v>
      </c>
      <c r="F82" s="10" t="e">
        <f>_xll.qlRateHelperRate($D82)</f>
        <v>#VALUE!</v>
      </c>
      <c r="G82" s="10" t="str">
        <f>IF(ISERROR(_xll.qlSwapRateHelperSpread($D82)),IF(ISERROR(_xll.qlFuturesRateHelperConvexityAdjustment($D82)),"--",_xll.qlFuturesRateHelperConvexityAdjustment($D82)),_xll.qlSwapRateHelperSpread($D82))</f>
        <v>--</v>
      </c>
      <c r="H82" s="9" t="e">
        <f>_xll.qlRateHelperEarliestDate($D82)</f>
        <v>#VALUE!</v>
      </c>
      <c r="I82" s="8" t="e">
        <f>_xll.qlRateHelperLatestDate($D82)</f>
        <v>#VALUE!</v>
      </c>
      <c r="J82" s="3" t="e">
        <v>#N/A</v>
      </c>
    </row>
    <row r="83" spans="4:10" x14ac:dyDescent="0.2">
      <c r="D83" s="11" t="e">
        <v>#N/A</v>
      </c>
      <c r="E83" s="11" t="e">
        <f>_xll.qlRateHelperQuoteName(D83)</f>
        <v>#VALUE!</v>
      </c>
      <c r="F83" s="10" t="e">
        <f>_xll.qlRateHelperRate($D83)</f>
        <v>#VALUE!</v>
      </c>
      <c r="G83" s="10" t="str">
        <f>IF(ISERROR(_xll.qlSwapRateHelperSpread($D83)),IF(ISERROR(_xll.qlFuturesRateHelperConvexityAdjustment($D83)),"--",_xll.qlFuturesRateHelperConvexityAdjustment($D83)),_xll.qlSwapRateHelperSpread($D83))</f>
        <v>--</v>
      </c>
      <c r="H83" s="9" t="e">
        <f>_xll.qlRateHelperEarliestDate($D83)</f>
        <v>#VALUE!</v>
      </c>
      <c r="I83" s="8" t="e">
        <f>_xll.qlRateHelperLatestDate($D83)</f>
        <v>#VALUE!</v>
      </c>
      <c r="J83" s="3" t="e">
        <v>#N/A</v>
      </c>
    </row>
    <row r="84" spans="4:10" x14ac:dyDescent="0.2">
      <c r="D84" s="11" t="e">
        <v>#N/A</v>
      </c>
      <c r="E84" s="11" t="e">
        <f>_xll.qlRateHelperQuoteName(D84)</f>
        <v>#VALUE!</v>
      </c>
      <c r="F84" s="10" t="e">
        <f>_xll.qlRateHelperRate($D84)</f>
        <v>#VALUE!</v>
      </c>
      <c r="G84" s="10" t="str">
        <f>IF(ISERROR(_xll.qlSwapRateHelperSpread($D84)),IF(ISERROR(_xll.qlFuturesRateHelperConvexityAdjustment($D84)),"--",_xll.qlFuturesRateHelperConvexityAdjustment($D84)),_xll.qlSwapRateHelperSpread($D84))</f>
        <v>--</v>
      </c>
      <c r="H84" s="9" t="e">
        <f>_xll.qlRateHelperEarliestDate($D84)</f>
        <v>#VALUE!</v>
      </c>
      <c r="I84" s="8" t="e">
        <f>_xll.qlRateHelperLatestDate($D84)</f>
        <v>#VALUE!</v>
      </c>
      <c r="J84" s="3" t="e">
        <v>#N/A</v>
      </c>
    </row>
    <row r="85" spans="4:10" x14ac:dyDescent="0.2">
      <c r="D85" s="11" t="e">
        <v>#N/A</v>
      </c>
      <c r="E85" s="11" t="e">
        <f>_xll.qlRateHelperQuoteName(D85)</f>
        <v>#VALUE!</v>
      </c>
      <c r="F85" s="10" t="e">
        <f>_xll.qlRateHelperRate($D85)</f>
        <v>#VALUE!</v>
      </c>
      <c r="G85" s="10" t="str">
        <f>IF(ISERROR(_xll.qlSwapRateHelperSpread($D85)),IF(ISERROR(_xll.qlFuturesRateHelperConvexityAdjustment($D85)),"--",_xll.qlFuturesRateHelperConvexityAdjustment($D85)),_xll.qlSwapRateHelperSpread($D85))</f>
        <v>--</v>
      </c>
      <c r="H85" s="9" t="e">
        <f>_xll.qlRateHelperEarliestDate($D85)</f>
        <v>#VALUE!</v>
      </c>
      <c r="I85" s="8" t="e">
        <f>_xll.qlRateHelperLatestDate($D85)</f>
        <v>#VALUE!</v>
      </c>
      <c r="J85" s="3" t="e">
        <v>#N/A</v>
      </c>
    </row>
    <row r="86" spans="4:10" x14ac:dyDescent="0.2">
      <c r="D86" s="11" t="e">
        <v>#N/A</v>
      </c>
      <c r="E86" s="11" t="e">
        <f>_xll.qlRateHelperQuoteName(D86)</f>
        <v>#VALUE!</v>
      </c>
      <c r="F86" s="10" t="e">
        <f>_xll.qlRateHelperRate($D86)</f>
        <v>#VALUE!</v>
      </c>
      <c r="G86" s="10" t="str">
        <f>IF(ISERROR(_xll.qlSwapRateHelperSpread($D86)),IF(ISERROR(_xll.qlFuturesRateHelperConvexityAdjustment($D86)),"--",_xll.qlFuturesRateHelperConvexityAdjustment($D86)),_xll.qlSwapRateHelperSpread($D86))</f>
        <v>--</v>
      </c>
      <c r="H86" s="9" t="e">
        <f>_xll.qlRateHelperEarliestDate($D86)</f>
        <v>#VALUE!</v>
      </c>
      <c r="I86" s="8" t="e">
        <f>_xll.qlRateHelperLatestDate($D86)</f>
        <v>#VALUE!</v>
      </c>
      <c r="J86" s="3" t="e">
        <v>#N/A</v>
      </c>
    </row>
    <row r="87" spans="4:10" x14ac:dyDescent="0.2">
      <c r="D87" s="11" t="e">
        <v>#N/A</v>
      </c>
      <c r="E87" s="11" t="e">
        <f>_xll.qlRateHelperQuoteName(D87)</f>
        <v>#VALUE!</v>
      </c>
      <c r="F87" s="10" t="e">
        <f>_xll.qlRateHelperRate($D87)</f>
        <v>#VALUE!</v>
      </c>
      <c r="G87" s="10" t="str">
        <f>IF(ISERROR(_xll.qlSwapRateHelperSpread($D87)),IF(ISERROR(_xll.qlFuturesRateHelperConvexityAdjustment($D87)),"--",_xll.qlFuturesRateHelperConvexityAdjustment($D87)),_xll.qlSwapRateHelperSpread($D87))</f>
        <v>--</v>
      </c>
      <c r="H87" s="9" t="e">
        <f>_xll.qlRateHelperEarliestDate($D87)</f>
        <v>#VALUE!</v>
      </c>
      <c r="I87" s="8" t="e">
        <f>_xll.qlRateHelperLatestDate($D87)</f>
        <v>#VALUE!</v>
      </c>
      <c r="J87" s="3" t="e">
        <v>#N/A</v>
      </c>
    </row>
    <row r="88" spans="4:10" x14ac:dyDescent="0.2">
      <c r="D88" s="11" t="e">
        <v>#N/A</v>
      </c>
      <c r="E88" s="11" t="e">
        <f>_xll.qlRateHelperQuoteName(D88)</f>
        <v>#VALUE!</v>
      </c>
      <c r="F88" s="10" t="e">
        <f>_xll.qlRateHelperRate($D88)</f>
        <v>#VALUE!</v>
      </c>
      <c r="G88" s="10" t="str">
        <f>IF(ISERROR(_xll.qlSwapRateHelperSpread($D88)),IF(ISERROR(_xll.qlFuturesRateHelperConvexityAdjustment($D88)),"--",_xll.qlFuturesRateHelperConvexityAdjustment($D88)),_xll.qlSwapRateHelperSpread($D88))</f>
        <v>--</v>
      </c>
      <c r="H88" s="9" t="e">
        <f>_xll.qlRateHelperEarliestDate($D88)</f>
        <v>#VALUE!</v>
      </c>
      <c r="I88" s="8" t="e">
        <f>_xll.qlRateHelperLatestDate($D88)</f>
        <v>#VALUE!</v>
      </c>
      <c r="J88" s="3" t="e">
        <v>#N/A</v>
      </c>
    </row>
    <row r="89" spans="4:10" x14ac:dyDescent="0.2">
      <c r="D89" s="11" t="e">
        <v>#N/A</v>
      </c>
      <c r="E89" s="11" t="e">
        <f>_xll.qlRateHelperQuoteName(D89)</f>
        <v>#VALUE!</v>
      </c>
      <c r="F89" s="10" t="e">
        <f>_xll.qlRateHelperRate($D89)</f>
        <v>#VALUE!</v>
      </c>
      <c r="G89" s="10" t="str">
        <f>IF(ISERROR(_xll.qlSwapRateHelperSpread($D89)),IF(ISERROR(_xll.qlFuturesRateHelperConvexityAdjustment($D89)),"--",_xll.qlFuturesRateHelperConvexityAdjustment($D89)),_xll.qlSwapRateHelperSpread($D89))</f>
        <v>--</v>
      </c>
      <c r="H89" s="9" t="e">
        <f>_xll.qlRateHelperEarliestDate($D89)</f>
        <v>#VALUE!</v>
      </c>
      <c r="I89" s="8" t="e">
        <f>_xll.qlRateHelperLatestDate($D89)</f>
        <v>#VALUE!</v>
      </c>
      <c r="J89" s="3" t="e">
        <v>#N/A</v>
      </c>
    </row>
    <row r="90" spans="4:10" x14ac:dyDescent="0.2">
      <c r="D90" s="11" t="e">
        <v>#N/A</v>
      </c>
      <c r="E90" s="11" t="e">
        <f>_xll.qlRateHelperQuoteName(D90)</f>
        <v>#VALUE!</v>
      </c>
      <c r="F90" s="10" t="e">
        <f>_xll.qlRateHelperRate($D90)</f>
        <v>#VALUE!</v>
      </c>
      <c r="G90" s="10" t="str">
        <f>IF(ISERROR(_xll.qlSwapRateHelperSpread($D90)),IF(ISERROR(_xll.qlFuturesRateHelperConvexityAdjustment($D90)),"--",_xll.qlFuturesRateHelperConvexityAdjustment($D90)),_xll.qlSwapRateHelperSpread($D90))</f>
        <v>--</v>
      </c>
      <c r="H90" s="9" t="e">
        <f>_xll.qlRateHelperEarliestDate($D90)</f>
        <v>#VALUE!</v>
      </c>
      <c r="I90" s="8" t="e">
        <f>_xll.qlRateHelperLatestDate($D90)</f>
        <v>#VALUE!</v>
      </c>
      <c r="J90" s="3" t="e">
        <v>#N/A</v>
      </c>
    </row>
    <row r="91" spans="4:10" x14ac:dyDescent="0.2">
      <c r="D91" s="11" t="e">
        <v>#N/A</v>
      </c>
      <c r="E91" s="11" t="e">
        <f>_xll.qlRateHelperQuoteName(D91)</f>
        <v>#VALUE!</v>
      </c>
      <c r="F91" s="10" t="e">
        <f>_xll.qlRateHelperRate($D91)</f>
        <v>#VALUE!</v>
      </c>
      <c r="G91" s="10" t="str">
        <f>IF(ISERROR(_xll.qlSwapRateHelperSpread($D91)),IF(ISERROR(_xll.qlFuturesRateHelperConvexityAdjustment($D91)),"--",_xll.qlFuturesRateHelperConvexityAdjustment($D91)),_xll.qlSwapRateHelperSpread($D91))</f>
        <v>--</v>
      </c>
      <c r="H91" s="9" t="e">
        <f>_xll.qlRateHelperEarliestDate($D91)</f>
        <v>#VALUE!</v>
      </c>
      <c r="I91" s="8" t="e">
        <f>_xll.qlRateHelperLatestDate($D91)</f>
        <v>#VALUE!</v>
      </c>
      <c r="J91" s="3" t="e">
        <v>#N/A</v>
      </c>
    </row>
    <row r="92" spans="4:10" x14ac:dyDescent="0.2">
      <c r="D92" s="11" t="e">
        <v>#N/A</v>
      </c>
      <c r="E92" s="11" t="e">
        <f>_xll.qlRateHelperQuoteName(D92)</f>
        <v>#VALUE!</v>
      </c>
      <c r="F92" s="10" t="e">
        <f>_xll.qlRateHelperRate($D92)</f>
        <v>#VALUE!</v>
      </c>
      <c r="G92" s="10" t="str">
        <f>IF(ISERROR(_xll.qlSwapRateHelperSpread($D92)),IF(ISERROR(_xll.qlFuturesRateHelperConvexityAdjustment($D92)),"--",_xll.qlFuturesRateHelperConvexityAdjustment($D92)),_xll.qlSwapRateHelperSpread($D92))</f>
        <v>--</v>
      </c>
      <c r="H92" s="9" t="e">
        <f>_xll.qlRateHelperEarliestDate($D92)</f>
        <v>#VALUE!</v>
      </c>
      <c r="I92" s="8" t="e">
        <f>_xll.qlRateHelperLatestDate($D92)</f>
        <v>#VALUE!</v>
      </c>
      <c r="J92" s="3" t="e">
        <v>#N/A</v>
      </c>
    </row>
    <row r="93" spans="4:10" x14ac:dyDescent="0.2">
      <c r="D93" s="11" t="e">
        <v>#N/A</v>
      </c>
      <c r="E93" s="11" t="e">
        <f>_xll.qlRateHelperQuoteName(D93)</f>
        <v>#VALUE!</v>
      </c>
      <c r="F93" s="10" t="e">
        <f>_xll.qlRateHelperRate($D93)</f>
        <v>#VALUE!</v>
      </c>
      <c r="G93" s="10" t="str">
        <f>IF(ISERROR(_xll.qlSwapRateHelperSpread($D93)),IF(ISERROR(_xll.qlFuturesRateHelperConvexityAdjustment($D93)),"--",_xll.qlFuturesRateHelperConvexityAdjustment($D93)),_xll.qlSwapRateHelperSpread($D93))</f>
        <v>--</v>
      </c>
      <c r="H93" s="9" t="e">
        <f>_xll.qlRateHelperEarliestDate($D93)</f>
        <v>#VALUE!</v>
      </c>
      <c r="I93" s="8" t="e">
        <f>_xll.qlRateHelperLatestDate($D93)</f>
        <v>#VALUE!</v>
      </c>
      <c r="J93" s="3" t="e">
        <v>#N/A</v>
      </c>
    </row>
    <row r="94" spans="4:10" x14ac:dyDescent="0.2">
      <c r="D94" s="11" t="e">
        <v>#N/A</v>
      </c>
      <c r="E94" s="11" t="e">
        <f>_xll.qlRateHelperQuoteName(D94)</f>
        <v>#VALUE!</v>
      </c>
      <c r="F94" s="10" t="e">
        <f>_xll.qlRateHelperRate($D94)</f>
        <v>#VALUE!</v>
      </c>
      <c r="G94" s="10" t="str">
        <f>IF(ISERROR(_xll.qlSwapRateHelperSpread($D94)),IF(ISERROR(_xll.qlFuturesRateHelperConvexityAdjustment($D94)),"--",_xll.qlFuturesRateHelperConvexityAdjustment($D94)),_xll.qlSwapRateHelperSpread($D94))</f>
        <v>--</v>
      </c>
      <c r="H94" s="9" t="e">
        <f>_xll.qlRateHelperEarliestDate($D94)</f>
        <v>#VALUE!</v>
      </c>
      <c r="I94" s="8" t="e">
        <f>_xll.qlRateHelperLatestDate($D94)</f>
        <v>#VALUE!</v>
      </c>
      <c r="J94" s="3" t="e">
        <v>#N/A</v>
      </c>
    </row>
    <row r="95" spans="4:10" x14ac:dyDescent="0.2">
      <c r="D95" s="11" t="e">
        <v>#N/A</v>
      </c>
      <c r="E95" s="11" t="e">
        <f>_xll.qlRateHelperQuoteName(D95)</f>
        <v>#VALUE!</v>
      </c>
      <c r="F95" s="10" t="e">
        <f>_xll.qlRateHelperRate($D95)</f>
        <v>#VALUE!</v>
      </c>
      <c r="G95" s="10" t="str">
        <f>IF(ISERROR(_xll.qlSwapRateHelperSpread($D95)),IF(ISERROR(_xll.qlFuturesRateHelperConvexityAdjustment($D95)),"--",_xll.qlFuturesRateHelperConvexityAdjustment($D95)),_xll.qlSwapRateHelperSpread($D95))</f>
        <v>--</v>
      </c>
      <c r="H95" s="9" t="e">
        <f>_xll.qlRateHelperEarliestDate($D95)</f>
        <v>#VALUE!</v>
      </c>
      <c r="I95" s="8" t="e">
        <f>_xll.qlRateHelperLatestDate($D95)</f>
        <v>#VALUE!</v>
      </c>
      <c r="J95" s="3" t="e">
        <v>#N/A</v>
      </c>
    </row>
    <row r="96" spans="4:10" x14ac:dyDescent="0.2">
      <c r="D96" s="11" t="e">
        <v>#N/A</v>
      </c>
      <c r="E96" s="11" t="e">
        <f>_xll.qlRateHelperQuoteName(D96)</f>
        <v>#VALUE!</v>
      </c>
      <c r="F96" s="10" t="e">
        <f>_xll.qlRateHelperRate($D96)</f>
        <v>#VALUE!</v>
      </c>
      <c r="G96" s="10" t="str">
        <f>IF(ISERROR(_xll.qlSwapRateHelperSpread($D96)),IF(ISERROR(_xll.qlFuturesRateHelperConvexityAdjustment($D96)),"--",_xll.qlFuturesRateHelperConvexityAdjustment($D96)),_xll.qlSwapRateHelperSpread($D96))</f>
        <v>--</v>
      </c>
      <c r="H96" s="9" t="e">
        <f>_xll.qlRateHelperEarliestDate($D96)</f>
        <v>#VALUE!</v>
      </c>
      <c r="I96" s="8" t="e">
        <f>_xll.qlRateHelperLatestDate($D96)</f>
        <v>#VALUE!</v>
      </c>
      <c r="J96" s="3" t="e">
        <v>#N/A</v>
      </c>
    </row>
    <row r="97" spans="4:10" x14ac:dyDescent="0.2">
      <c r="D97" s="11" t="e">
        <v>#N/A</v>
      </c>
      <c r="E97" s="11" t="e">
        <f>_xll.qlRateHelperQuoteName(D97)</f>
        <v>#VALUE!</v>
      </c>
      <c r="F97" s="10" t="e">
        <f>_xll.qlRateHelperRate($D97)</f>
        <v>#VALUE!</v>
      </c>
      <c r="G97" s="10" t="str">
        <f>IF(ISERROR(_xll.qlSwapRateHelperSpread($D97)),IF(ISERROR(_xll.qlFuturesRateHelperConvexityAdjustment($D97)),"--",_xll.qlFuturesRateHelperConvexityAdjustment($D97)),_xll.qlSwapRateHelperSpread($D97))</f>
        <v>--</v>
      </c>
      <c r="H97" s="9" t="e">
        <f>_xll.qlRateHelperEarliestDate($D97)</f>
        <v>#VALUE!</v>
      </c>
      <c r="I97" s="8" t="e">
        <f>_xll.qlRateHelperLatestDate($D97)</f>
        <v>#VALUE!</v>
      </c>
      <c r="J97" s="3" t="e">
        <v>#N/A</v>
      </c>
    </row>
    <row r="98" spans="4:10" x14ac:dyDescent="0.2">
      <c r="D98" s="11" t="e">
        <v>#N/A</v>
      </c>
      <c r="E98" s="11" t="e">
        <f>_xll.qlRateHelperQuoteName(D98)</f>
        <v>#VALUE!</v>
      </c>
      <c r="F98" s="10" t="e">
        <f>_xll.qlRateHelperRate($D98)</f>
        <v>#VALUE!</v>
      </c>
      <c r="G98" s="10" t="str">
        <f>IF(ISERROR(_xll.qlSwapRateHelperSpread($D98)),IF(ISERROR(_xll.qlFuturesRateHelperConvexityAdjustment($D98)),"--",_xll.qlFuturesRateHelperConvexityAdjustment($D98)),_xll.qlSwapRateHelperSpread($D98))</f>
        <v>--</v>
      </c>
      <c r="H98" s="9" t="e">
        <f>_xll.qlRateHelperEarliestDate($D98)</f>
        <v>#VALUE!</v>
      </c>
      <c r="I98" s="8" t="e">
        <f>_xll.qlRateHelperLatestDate($D98)</f>
        <v>#VALUE!</v>
      </c>
      <c r="J98" s="3" t="e">
        <v>#N/A</v>
      </c>
    </row>
    <row r="99" spans="4:10" x14ac:dyDescent="0.2">
      <c r="D99" s="11" t="e">
        <v>#N/A</v>
      </c>
      <c r="E99" s="11" t="e">
        <f>_xll.qlRateHelperQuoteName(D99)</f>
        <v>#VALUE!</v>
      </c>
      <c r="F99" s="10" t="e">
        <f>_xll.qlRateHelperRate($D99)</f>
        <v>#VALUE!</v>
      </c>
      <c r="G99" s="10" t="str">
        <f>IF(ISERROR(_xll.qlSwapRateHelperSpread($D99)),IF(ISERROR(_xll.qlFuturesRateHelperConvexityAdjustment($D99)),"--",_xll.qlFuturesRateHelperConvexityAdjustment($D99)),_xll.qlSwapRateHelperSpread($D99))</f>
        <v>--</v>
      </c>
      <c r="H99" s="9" t="e">
        <f>_xll.qlRateHelperEarliestDate($D99)</f>
        <v>#VALUE!</v>
      </c>
      <c r="I99" s="8" t="e">
        <f>_xll.qlRateHelperLatestDate($D99)</f>
        <v>#VALUE!</v>
      </c>
      <c r="J99" s="3" t="e">
        <v>#N/A</v>
      </c>
    </row>
    <row r="100" spans="4:10" x14ac:dyDescent="0.2">
      <c r="D100" s="11" t="e">
        <v>#N/A</v>
      </c>
      <c r="E100" s="11" t="e">
        <f>_xll.qlRateHelperQuoteName(D100)</f>
        <v>#VALUE!</v>
      </c>
      <c r="F100" s="10" t="e">
        <f>_xll.qlRateHelperRate($D100)</f>
        <v>#VALUE!</v>
      </c>
      <c r="G100" s="10" t="str">
        <f>IF(ISERROR(_xll.qlSwapRateHelperSpread($D100)),IF(ISERROR(_xll.qlFuturesRateHelperConvexityAdjustment($D100)),"--",_xll.qlFuturesRateHelperConvexityAdjustment($D100)),_xll.qlSwapRateHelperSpread($D100))</f>
        <v>--</v>
      </c>
      <c r="H100" s="9" t="e">
        <f>_xll.qlRateHelperEarliestDate($D100)</f>
        <v>#VALUE!</v>
      </c>
      <c r="I100" s="8" t="e">
        <f>_xll.qlRateHelperLatestDate($D100)</f>
        <v>#VALUE!</v>
      </c>
      <c r="J100" s="3" t="e">
        <v>#N/A</v>
      </c>
    </row>
    <row r="101" spans="4:10" x14ac:dyDescent="0.2">
      <c r="D101" s="11" t="e">
        <v>#N/A</v>
      </c>
      <c r="E101" s="11" t="e">
        <f>_xll.qlRateHelperQuoteName(D101)</f>
        <v>#VALUE!</v>
      </c>
      <c r="F101" s="10" t="e">
        <f>_xll.qlRateHelperRate($D101)</f>
        <v>#VALUE!</v>
      </c>
      <c r="G101" s="10" t="str">
        <f>IF(ISERROR(_xll.qlSwapRateHelperSpread($D101)),IF(ISERROR(_xll.qlFuturesRateHelperConvexityAdjustment($D101)),"--",_xll.qlFuturesRateHelperConvexityAdjustment($D101)),_xll.qlSwapRateHelperSpread($D101))</f>
        <v>--</v>
      </c>
      <c r="H101" s="9" t="e">
        <f>_xll.qlRateHelperEarliestDate($D101)</f>
        <v>#VALUE!</v>
      </c>
      <c r="I101" s="8" t="e">
        <f>_xll.qlRateHelperLatestDate($D101)</f>
        <v>#VALUE!</v>
      </c>
      <c r="J101" s="3" t="e">
        <v>#N/A</v>
      </c>
    </row>
    <row r="102" spans="4:10" x14ac:dyDescent="0.2">
      <c r="D102" s="11" t="e">
        <v>#N/A</v>
      </c>
      <c r="E102" s="11" t="e">
        <f>_xll.qlRateHelperQuoteName(D102)</f>
        <v>#VALUE!</v>
      </c>
      <c r="F102" s="10" t="e">
        <f>_xll.qlRateHelperRate($D102)</f>
        <v>#VALUE!</v>
      </c>
      <c r="G102" s="10" t="str">
        <f>IF(ISERROR(_xll.qlSwapRateHelperSpread($D102)),IF(ISERROR(_xll.qlFuturesRateHelperConvexityAdjustment($D102)),"--",_xll.qlFuturesRateHelperConvexityAdjustment($D102)),_xll.qlSwapRateHelperSpread($D102))</f>
        <v>--</v>
      </c>
      <c r="H102" s="9" t="e">
        <f>_xll.qlRateHelperEarliestDate($D102)</f>
        <v>#VALUE!</v>
      </c>
      <c r="I102" s="8" t="e">
        <f>_xll.qlRateHelperLatestDate($D102)</f>
        <v>#VALUE!</v>
      </c>
      <c r="J102" s="3" t="e">
        <v>#N/A</v>
      </c>
    </row>
    <row r="103" spans="4:10" x14ac:dyDescent="0.2">
      <c r="D103" s="11" t="e">
        <v>#N/A</v>
      </c>
      <c r="E103" s="11" t="e">
        <f>_xll.qlRateHelperQuoteName(D103)</f>
        <v>#VALUE!</v>
      </c>
      <c r="F103" s="10" t="e">
        <f>_xll.qlRateHelperRate($D103)</f>
        <v>#VALUE!</v>
      </c>
      <c r="G103" s="10" t="str">
        <f>IF(ISERROR(_xll.qlSwapRateHelperSpread($D103)),IF(ISERROR(_xll.qlFuturesRateHelperConvexityAdjustment($D103)),"--",_xll.qlFuturesRateHelperConvexityAdjustment($D103)),_xll.qlSwapRateHelperSpread($D103))</f>
        <v>--</v>
      </c>
      <c r="H103" s="9" t="e">
        <f>_xll.qlRateHelperEarliestDate($D103)</f>
        <v>#VALUE!</v>
      </c>
      <c r="I103" s="8" t="e">
        <f>_xll.qlRateHelperLatestDate($D103)</f>
        <v>#VALUE!</v>
      </c>
      <c r="J103" s="3" t="e">
        <v>#N/A</v>
      </c>
    </row>
    <row r="104" spans="4:10" x14ac:dyDescent="0.2">
      <c r="D104" s="11" t="e">
        <v>#N/A</v>
      </c>
      <c r="E104" s="11" t="e">
        <f>_xll.qlRateHelperQuoteName(D104)</f>
        <v>#VALUE!</v>
      </c>
      <c r="F104" s="10" t="e">
        <f>_xll.qlRateHelperRate($D104)</f>
        <v>#VALUE!</v>
      </c>
      <c r="G104" s="10" t="str">
        <f>IF(ISERROR(_xll.qlSwapRateHelperSpread($D104)),IF(ISERROR(_xll.qlFuturesRateHelperConvexityAdjustment($D104)),"--",_xll.qlFuturesRateHelperConvexityAdjustment($D104)),_xll.qlSwapRateHelperSpread($D104))</f>
        <v>--</v>
      </c>
      <c r="H104" s="9" t="e">
        <f>_xll.qlRateHelperEarliestDate($D104)</f>
        <v>#VALUE!</v>
      </c>
      <c r="I104" s="8" t="e">
        <f>_xll.qlRateHelperLatestDate($D104)</f>
        <v>#VALUE!</v>
      </c>
      <c r="J104" s="3" t="e">
        <v>#N/A</v>
      </c>
    </row>
    <row r="105" spans="4:10" x14ac:dyDescent="0.2">
      <c r="D105" s="11" t="e">
        <v>#N/A</v>
      </c>
      <c r="E105" s="11" t="e">
        <f>_xll.qlRateHelperQuoteName(D105)</f>
        <v>#VALUE!</v>
      </c>
      <c r="F105" s="10" t="e">
        <f>_xll.qlRateHelperRate($D105)</f>
        <v>#VALUE!</v>
      </c>
      <c r="G105" s="10" t="str">
        <f>IF(ISERROR(_xll.qlSwapRateHelperSpread($D105)),IF(ISERROR(_xll.qlFuturesRateHelperConvexityAdjustment($D105)),"--",_xll.qlFuturesRateHelperConvexityAdjustment($D105)),_xll.qlSwapRateHelperSpread($D105))</f>
        <v>--</v>
      </c>
      <c r="H105" s="9" t="e">
        <f>_xll.qlRateHelperEarliestDate($D105)</f>
        <v>#VALUE!</v>
      </c>
      <c r="I105" s="8" t="e">
        <f>_xll.qlRateHelperLatestDate($D105)</f>
        <v>#VALUE!</v>
      </c>
      <c r="J105" s="3" t="e">
        <v>#N/A</v>
      </c>
    </row>
    <row r="106" spans="4:10" x14ac:dyDescent="0.2">
      <c r="D106" s="11" t="e">
        <v>#N/A</v>
      </c>
      <c r="E106" s="11" t="e">
        <f>_xll.qlRateHelperQuoteName(D106)</f>
        <v>#VALUE!</v>
      </c>
      <c r="F106" s="10" t="e">
        <f>_xll.qlRateHelperRate($D106)</f>
        <v>#VALUE!</v>
      </c>
      <c r="G106" s="10" t="str">
        <f>IF(ISERROR(_xll.qlSwapRateHelperSpread($D106)),IF(ISERROR(_xll.qlFuturesRateHelperConvexityAdjustment($D106)),"--",_xll.qlFuturesRateHelperConvexityAdjustment($D106)),_xll.qlSwapRateHelperSpread($D106))</f>
        <v>--</v>
      </c>
      <c r="H106" s="9" t="e">
        <f>_xll.qlRateHelperEarliestDate($D106)</f>
        <v>#VALUE!</v>
      </c>
      <c r="I106" s="8" t="e">
        <f>_xll.qlRateHelperLatestDate($D106)</f>
        <v>#VALUE!</v>
      </c>
      <c r="J106" s="3" t="e">
        <v>#N/A</v>
      </c>
    </row>
    <row r="107" spans="4:10" x14ac:dyDescent="0.2">
      <c r="D107" s="11" t="e">
        <v>#N/A</v>
      </c>
      <c r="E107" s="11" t="e">
        <f>_xll.qlRateHelperQuoteName(D107)</f>
        <v>#VALUE!</v>
      </c>
      <c r="F107" s="10" t="e">
        <f>_xll.qlRateHelperRate($D107)</f>
        <v>#VALUE!</v>
      </c>
      <c r="G107" s="10" t="str">
        <f>IF(ISERROR(_xll.qlSwapRateHelperSpread($D107)),IF(ISERROR(_xll.qlFuturesRateHelperConvexityAdjustment($D107)),"--",_xll.qlFuturesRateHelperConvexityAdjustment($D107)),_xll.qlSwapRateHelperSpread($D107))</f>
        <v>--</v>
      </c>
      <c r="H107" s="9" t="e">
        <f>_xll.qlRateHelperEarliestDate($D107)</f>
        <v>#VALUE!</v>
      </c>
      <c r="I107" s="8" t="e">
        <f>_xll.qlRateHelperLatestDate($D107)</f>
        <v>#VALUE!</v>
      </c>
      <c r="J107" s="3" t="e">
        <v>#N/A</v>
      </c>
    </row>
    <row r="108" spans="4:10" x14ac:dyDescent="0.2">
      <c r="D108" s="11" t="e">
        <v>#N/A</v>
      </c>
      <c r="E108" s="11" t="e">
        <f>_xll.qlRateHelperQuoteName(D108)</f>
        <v>#VALUE!</v>
      </c>
      <c r="F108" s="10" t="e">
        <f>_xll.qlRateHelperRate($D108)</f>
        <v>#VALUE!</v>
      </c>
      <c r="G108" s="10" t="str">
        <f>IF(ISERROR(_xll.qlSwapRateHelperSpread($D108)),IF(ISERROR(_xll.qlFuturesRateHelperConvexityAdjustment($D108)),"--",_xll.qlFuturesRateHelperConvexityAdjustment($D108)),_xll.qlSwapRateHelperSpread($D108))</f>
        <v>--</v>
      </c>
      <c r="H108" s="9" t="e">
        <f>_xll.qlRateHelperEarliestDate($D108)</f>
        <v>#VALUE!</v>
      </c>
      <c r="I108" s="8" t="e">
        <f>_xll.qlRateHelperLatestDate($D108)</f>
        <v>#VALUE!</v>
      </c>
      <c r="J108" s="3" t="e">
        <v>#N/A</v>
      </c>
    </row>
    <row r="109" spans="4:10" x14ac:dyDescent="0.2">
      <c r="D109" s="11" t="e">
        <v>#N/A</v>
      </c>
      <c r="E109" s="11" t="e">
        <f>_xll.qlRateHelperQuoteName(D109)</f>
        <v>#VALUE!</v>
      </c>
      <c r="F109" s="10" t="e">
        <f>_xll.qlRateHelperRate($D109)</f>
        <v>#VALUE!</v>
      </c>
      <c r="G109" s="10" t="str">
        <f>IF(ISERROR(_xll.qlSwapRateHelperSpread($D109)),IF(ISERROR(_xll.qlFuturesRateHelperConvexityAdjustment($D109)),"--",_xll.qlFuturesRateHelperConvexityAdjustment($D109)),_xll.qlSwapRateHelperSpread($D109))</f>
        <v>--</v>
      </c>
      <c r="H109" s="9" t="e">
        <f>_xll.qlRateHelperEarliestDate($D109)</f>
        <v>#VALUE!</v>
      </c>
      <c r="I109" s="8" t="e">
        <f>_xll.qlRateHelperLatestDate($D109)</f>
        <v>#VALUE!</v>
      </c>
      <c r="J109" s="3" t="e">
        <v>#N/A</v>
      </c>
    </row>
    <row r="110" spans="4:10" x14ac:dyDescent="0.2">
      <c r="D110" s="11" t="e">
        <v>#N/A</v>
      </c>
      <c r="E110" s="11" t="e">
        <f>_xll.qlRateHelperQuoteName(D110)</f>
        <v>#VALUE!</v>
      </c>
      <c r="F110" s="10" t="e">
        <f>_xll.qlRateHelperRate($D110)</f>
        <v>#VALUE!</v>
      </c>
      <c r="G110" s="10" t="str">
        <f>IF(ISERROR(_xll.qlSwapRateHelperSpread($D110)),IF(ISERROR(_xll.qlFuturesRateHelperConvexityAdjustment($D110)),"--",_xll.qlFuturesRateHelperConvexityAdjustment($D110)),_xll.qlSwapRateHelperSpread($D110))</f>
        <v>--</v>
      </c>
      <c r="H110" s="9" t="e">
        <f>_xll.qlRateHelperEarliestDate($D110)</f>
        <v>#VALUE!</v>
      </c>
      <c r="I110" s="8" t="e">
        <f>_xll.qlRateHelperLatestDate($D110)</f>
        <v>#VALUE!</v>
      </c>
      <c r="J110" s="3" t="e">
        <v>#N/A</v>
      </c>
    </row>
    <row r="111" spans="4:10" x14ac:dyDescent="0.2">
      <c r="D111" s="11" t="e">
        <v>#N/A</v>
      </c>
      <c r="E111" s="11" t="e">
        <f>_xll.qlRateHelperQuoteName(D111)</f>
        <v>#VALUE!</v>
      </c>
      <c r="F111" s="10" t="e">
        <f>_xll.qlRateHelperRate($D111)</f>
        <v>#VALUE!</v>
      </c>
      <c r="G111" s="10" t="str">
        <f>IF(ISERROR(_xll.qlSwapRateHelperSpread($D111)),IF(ISERROR(_xll.qlFuturesRateHelperConvexityAdjustment($D111)),"--",_xll.qlFuturesRateHelperConvexityAdjustment($D111)),_xll.qlSwapRateHelperSpread($D111))</f>
        <v>--</v>
      </c>
      <c r="H111" s="9" t="e">
        <f>_xll.qlRateHelperEarliestDate($D111)</f>
        <v>#VALUE!</v>
      </c>
      <c r="I111" s="8" t="e">
        <f>_xll.qlRateHelperLatestDate($D111)</f>
        <v>#VALUE!</v>
      </c>
      <c r="J111" s="3" t="e">
        <v>#N/A</v>
      </c>
    </row>
    <row r="112" spans="4:10" x14ac:dyDescent="0.2">
      <c r="D112" s="11" t="e">
        <v>#N/A</v>
      </c>
      <c r="E112" s="11" t="e">
        <f>_xll.qlRateHelperQuoteName(D112)</f>
        <v>#VALUE!</v>
      </c>
      <c r="F112" s="10" t="e">
        <f>_xll.qlRateHelperRate($D112)</f>
        <v>#VALUE!</v>
      </c>
      <c r="G112" s="10" t="str">
        <f>IF(ISERROR(_xll.qlSwapRateHelperSpread($D112)),IF(ISERROR(_xll.qlFuturesRateHelperConvexityAdjustment($D112)),"--",_xll.qlFuturesRateHelperConvexityAdjustment($D112)),_xll.qlSwapRateHelperSpread($D112))</f>
        <v>--</v>
      </c>
      <c r="H112" s="9" t="e">
        <f>_xll.qlRateHelperEarliestDate($D112)</f>
        <v>#VALUE!</v>
      </c>
      <c r="I112" s="8" t="e">
        <f>_xll.qlRateHelperLatestDate($D112)</f>
        <v>#VALUE!</v>
      </c>
      <c r="J112" s="3" t="e">
        <v>#N/A</v>
      </c>
    </row>
    <row r="113" spans="4:10" x14ac:dyDescent="0.2">
      <c r="D113" s="11" t="e">
        <v>#N/A</v>
      </c>
      <c r="E113" s="11" t="e">
        <f>_xll.qlRateHelperQuoteName(D113)</f>
        <v>#VALUE!</v>
      </c>
      <c r="F113" s="10" t="e">
        <f>_xll.qlRateHelperRate($D113)</f>
        <v>#VALUE!</v>
      </c>
      <c r="G113" s="10" t="str">
        <f>IF(ISERROR(_xll.qlSwapRateHelperSpread($D113)),IF(ISERROR(_xll.qlFuturesRateHelperConvexityAdjustment($D113)),"--",_xll.qlFuturesRateHelperConvexityAdjustment($D113)),_xll.qlSwapRateHelperSpread($D113))</f>
        <v>--</v>
      </c>
      <c r="H113" s="9" t="e">
        <f>_xll.qlRateHelperEarliestDate($D113)</f>
        <v>#VALUE!</v>
      </c>
      <c r="I113" s="8" t="e">
        <f>_xll.qlRateHelperLatestDate($D113)</f>
        <v>#VALUE!</v>
      </c>
      <c r="J113" s="3" t="e">
        <v>#N/A</v>
      </c>
    </row>
    <row r="114" spans="4:10" x14ac:dyDescent="0.2">
      <c r="D114" s="11" t="e">
        <v>#N/A</v>
      </c>
      <c r="E114" s="11" t="e">
        <f>_xll.qlRateHelperQuoteName(D114)</f>
        <v>#VALUE!</v>
      </c>
      <c r="F114" s="10" t="e">
        <f>_xll.qlRateHelperRate($D114)</f>
        <v>#VALUE!</v>
      </c>
      <c r="G114" s="10" t="str">
        <f>IF(ISERROR(_xll.qlSwapRateHelperSpread($D114)),IF(ISERROR(_xll.qlFuturesRateHelperConvexityAdjustment($D114)),"--",_xll.qlFuturesRateHelperConvexityAdjustment($D114)),_xll.qlSwapRateHelperSpread($D114))</f>
        <v>--</v>
      </c>
      <c r="H114" s="9" t="e">
        <f>_xll.qlRateHelperEarliestDate($D114)</f>
        <v>#VALUE!</v>
      </c>
      <c r="I114" s="8" t="e">
        <f>_xll.qlRateHelperLatestDate($D114)</f>
        <v>#VALUE!</v>
      </c>
      <c r="J114" s="3" t="e">
        <v>#N/A</v>
      </c>
    </row>
    <row r="115" spans="4:10" x14ac:dyDescent="0.2">
      <c r="D115" s="11" t="e">
        <v>#N/A</v>
      </c>
      <c r="E115" s="11" t="e">
        <f>_xll.qlRateHelperQuoteName(D115)</f>
        <v>#VALUE!</v>
      </c>
      <c r="F115" s="10" t="e">
        <f>_xll.qlRateHelperRate($D115)</f>
        <v>#VALUE!</v>
      </c>
      <c r="G115" s="10" t="str">
        <f>IF(ISERROR(_xll.qlSwapRateHelperSpread($D115)),IF(ISERROR(_xll.qlFuturesRateHelperConvexityAdjustment($D115)),"--",_xll.qlFuturesRateHelperConvexityAdjustment($D115)),_xll.qlSwapRateHelperSpread($D115))</f>
        <v>--</v>
      </c>
      <c r="H115" s="9" t="e">
        <f>_xll.qlRateHelperEarliestDate($D115)</f>
        <v>#VALUE!</v>
      </c>
      <c r="I115" s="8" t="e">
        <f>_xll.qlRateHelperLatestDate($D115)</f>
        <v>#VALUE!</v>
      </c>
      <c r="J115" s="3" t="e">
        <v>#N/A</v>
      </c>
    </row>
    <row r="116" spans="4:10" x14ac:dyDescent="0.2">
      <c r="D116" s="11" t="e">
        <v>#N/A</v>
      </c>
      <c r="E116" s="11" t="e">
        <f>_xll.qlRateHelperQuoteName(D116)</f>
        <v>#VALUE!</v>
      </c>
      <c r="F116" s="10" t="e">
        <f>_xll.qlRateHelperRate($D116)</f>
        <v>#VALUE!</v>
      </c>
      <c r="G116" s="10" t="str">
        <f>IF(ISERROR(_xll.qlSwapRateHelperSpread($D116)),IF(ISERROR(_xll.qlFuturesRateHelperConvexityAdjustment($D116)),"--",_xll.qlFuturesRateHelperConvexityAdjustment($D116)),_xll.qlSwapRateHelperSpread($D116))</f>
        <v>--</v>
      </c>
      <c r="H116" s="9" t="e">
        <f>_xll.qlRateHelperEarliestDate($D116)</f>
        <v>#VALUE!</v>
      </c>
      <c r="I116" s="8" t="e">
        <f>_xll.qlRateHelperLatestDate($D116)</f>
        <v>#VALUE!</v>
      </c>
      <c r="J116" s="3" t="e">
        <v>#N/A</v>
      </c>
    </row>
    <row r="117" spans="4:10" x14ac:dyDescent="0.2">
      <c r="D117" s="11" t="e">
        <v>#N/A</v>
      </c>
      <c r="E117" s="11" t="e">
        <f>_xll.qlRateHelperQuoteName(D117)</f>
        <v>#VALUE!</v>
      </c>
      <c r="F117" s="10" t="e">
        <f>_xll.qlRateHelperRate($D117)</f>
        <v>#VALUE!</v>
      </c>
      <c r="G117" s="10" t="str">
        <f>IF(ISERROR(_xll.qlSwapRateHelperSpread($D117)),IF(ISERROR(_xll.qlFuturesRateHelperConvexityAdjustment($D117)),"--",_xll.qlFuturesRateHelperConvexityAdjustment($D117)),_xll.qlSwapRateHelperSpread($D117))</f>
        <v>--</v>
      </c>
      <c r="H117" s="9" t="e">
        <f>_xll.qlRateHelperEarliestDate($D117)</f>
        <v>#VALUE!</v>
      </c>
      <c r="I117" s="8" t="e">
        <f>_xll.qlRateHelperLatestDate($D117)</f>
        <v>#VALUE!</v>
      </c>
      <c r="J117" s="3" t="e">
        <v>#N/A</v>
      </c>
    </row>
    <row r="118" spans="4:10" x14ac:dyDescent="0.2">
      <c r="D118" s="11" t="e">
        <v>#N/A</v>
      </c>
      <c r="E118" s="11" t="e">
        <f>_xll.qlRateHelperQuoteName(D118)</f>
        <v>#VALUE!</v>
      </c>
      <c r="F118" s="10" t="e">
        <f>_xll.qlRateHelperRate($D118)</f>
        <v>#VALUE!</v>
      </c>
      <c r="G118" s="10" t="str">
        <f>IF(ISERROR(_xll.qlSwapRateHelperSpread($D118)),IF(ISERROR(_xll.qlFuturesRateHelperConvexityAdjustment($D118)),"--",_xll.qlFuturesRateHelperConvexityAdjustment($D118)),_xll.qlSwapRateHelperSpread($D118))</f>
        <v>--</v>
      </c>
      <c r="H118" s="9" t="e">
        <f>_xll.qlRateHelperEarliestDate($D118)</f>
        <v>#VALUE!</v>
      </c>
      <c r="I118" s="8" t="e">
        <f>_xll.qlRateHelperLatestDate($D118)</f>
        <v>#VALUE!</v>
      </c>
      <c r="J118" s="3" t="e">
        <v>#N/A</v>
      </c>
    </row>
    <row r="119" spans="4:10" x14ac:dyDescent="0.2">
      <c r="D119" s="11" t="e">
        <v>#N/A</v>
      </c>
      <c r="E119" s="11" t="e">
        <f>_xll.qlRateHelperQuoteName(D119)</f>
        <v>#VALUE!</v>
      </c>
      <c r="F119" s="10" t="e">
        <f>_xll.qlRateHelperRate($D119)</f>
        <v>#VALUE!</v>
      </c>
      <c r="G119" s="10" t="str">
        <f>IF(ISERROR(_xll.qlSwapRateHelperSpread($D119)),IF(ISERROR(_xll.qlFuturesRateHelperConvexityAdjustment($D119)),"--",_xll.qlFuturesRateHelperConvexityAdjustment($D119)),_xll.qlSwapRateHelperSpread($D119))</f>
        <v>--</v>
      </c>
      <c r="H119" s="9" t="e">
        <f>_xll.qlRateHelperEarliestDate($D119)</f>
        <v>#VALUE!</v>
      </c>
      <c r="I119" s="8" t="e">
        <f>_xll.qlRateHelperLatestDate($D119)</f>
        <v>#VALUE!</v>
      </c>
      <c r="J119" s="3" t="e">
        <v>#N/A</v>
      </c>
    </row>
    <row r="120" spans="4:10" x14ac:dyDescent="0.2">
      <c r="D120" s="11" t="e">
        <v>#N/A</v>
      </c>
      <c r="E120" s="11" t="e">
        <f>_xll.qlRateHelperQuoteName(D120)</f>
        <v>#VALUE!</v>
      </c>
      <c r="F120" s="10" t="e">
        <f>_xll.qlRateHelperRate($D120)</f>
        <v>#VALUE!</v>
      </c>
      <c r="G120" s="10" t="str">
        <f>IF(ISERROR(_xll.qlSwapRateHelperSpread($D120)),IF(ISERROR(_xll.qlFuturesRateHelperConvexityAdjustment($D120)),"--",_xll.qlFuturesRateHelperConvexityAdjustment($D120)),_xll.qlSwapRateHelperSpread($D120))</f>
        <v>--</v>
      </c>
      <c r="H120" s="9" t="e">
        <f>_xll.qlRateHelperEarliestDate($D120)</f>
        <v>#VALUE!</v>
      </c>
      <c r="I120" s="8" t="e">
        <f>_xll.qlRateHelperLatestDate($D120)</f>
        <v>#VALUE!</v>
      </c>
      <c r="J120" s="3" t="e">
        <v>#N/A</v>
      </c>
    </row>
    <row r="121" spans="4:10" x14ac:dyDescent="0.2">
      <c r="D121" s="11" t="e">
        <v>#N/A</v>
      </c>
      <c r="E121" s="11" t="e">
        <f>_xll.qlRateHelperQuoteName(D121)</f>
        <v>#VALUE!</v>
      </c>
      <c r="F121" s="10" t="e">
        <f>_xll.qlRateHelperRate($D121)</f>
        <v>#VALUE!</v>
      </c>
      <c r="G121" s="10" t="str">
        <f>IF(ISERROR(_xll.qlSwapRateHelperSpread($D121)),IF(ISERROR(_xll.qlFuturesRateHelperConvexityAdjustment($D121)),"--",_xll.qlFuturesRateHelperConvexityAdjustment($D121)),_xll.qlSwapRateHelperSpread($D121))</f>
        <v>--</v>
      </c>
      <c r="H121" s="9" t="e">
        <f>_xll.qlRateHelperEarliestDate($D121)</f>
        <v>#VALUE!</v>
      </c>
      <c r="I121" s="8" t="e">
        <f>_xll.qlRateHelperLatestDate($D121)</f>
        <v>#VALUE!</v>
      </c>
      <c r="J121" s="3" t="e">
        <v>#N/A</v>
      </c>
    </row>
    <row r="122" spans="4:10" x14ac:dyDescent="0.2">
      <c r="D122" s="11" t="e">
        <v>#N/A</v>
      </c>
      <c r="E122" s="11" t="e">
        <f>_xll.qlRateHelperQuoteName(D122)</f>
        <v>#VALUE!</v>
      </c>
      <c r="F122" s="10" t="e">
        <f>_xll.qlRateHelperRate($D122)</f>
        <v>#VALUE!</v>
      </c>
      <c r="G122" s="10" t="str">
        <f>IF(ISERROR(_xll.qlSwapRateHelperSpread($D122)),IF(ISERROR(_xll.qlFuturesRateHelperConvexityAdjustment($D122)),"--",_xll.qlFuturesRateHelperConvexityAdjustment($D122)),_xll.qlSwapRateHelperSpread($D122))</f>
        <v>--</v>
      </c>
      <c r="H122" s="9" t="e">
        <f>_xll.qlRateHelperEarliestDate($D122)</f>
        <v>#VALUE!</v>
      </c>
      <c r="I122" s="8" t="e">
        <f>_xll.qlRateHelperLatestDate($D122)</f>
        <v>#VALUE!</v>
      </c>
      <c r="J122" s="3" t="e">
        <v>#N/A</v>
      </c>
    </row>
    <row r="123" spans="4:10" x14ac:dyDescent="0.2">
      <c r="D123" s="11" t="e">
        <v>#N/A</v>
      </c>
      <c r="E123" s="11" t="e">
        <f>_xll.qlRateHelperQuoteName(D123)</f>
        <v>#VALUE!</v>
      </c>
      <c r="F123" s="10" t="e">
        <f>_xll.qlRateHelperRate($D123)</f>
        <v>#VALUE!</v>
      </c>
      <c r="G123" s="10" t="str">
        <f>IF(ISERROR(_xll.qlSwapRateHelperSpread($D123)),IF(ISERROR(_xll.qlFuturesRateHelperConvexityAdjustment($D123)),"--",_xll.qlFuturesRateHelperConvexityAdjustment($D123)),_xll.qlSwapRateHelperSpread($D123))</f>
        <v>--</v>
      </c>
      <c r="H123" s="9" t="e">
        <f>_xll.qlRateHelperEarliestDate($D123)</f>
        <v>#VALUE!</v>
      </c>
      <c r="I123" s="8" t="e">
        <f>_xll.qlRateHelperLatestDate($D123)</f>
        <v>#VALUE!</v>
      </c>
      <c r="J123" s="3" t="e">
        <v>#N/A</v>
      </c>
    </row>
    <row r="124" spans="4:10" x14ac:dyDescent="0.2">
      <c r="D124" s="11" t="e">
        <v>#N/A</v>
      </c>
      <c r="E124" s="11" t="e">
        <f>_xll.qlRateHelperQuoteName(D124)</f>
        <v>#VALUE!</v>
      </c>
      <c r="F124" s="10" t="e">
        <f>_xll.qlRateHelperRate($D124)</f>
        <v>#VALUE!</v>
      </c>
      <c r="G124" s="10" t="str">
        <f>IF(ISERROR(_xll.qlSwapRateHelperSpread($D124)),IF(ISERROR(_xll.qlFuturesRateHelperConvexityAdjustment($D124)),"--",_xll.qlFuturesRateHelperConvexityAdjustment($D124)),_xll.qlSwapRateHelperSpread($D124))</f>
        <v>--</v>
      </c>
      <c r="H124" s="9" t="e">
        <f>_xll.qlRateHelperEarliestDate($D124)</f>
        <v>#VALUE!</v>
      </c>
      <c r="I124" s="8" t="e">
        <f>_xll.qlRateHelperLatestDate($D124)</f>
        <v>#VALUE!</v>
      </c>
      <c r="J124" s="3" t="e">
        <v>#N/A</v>
      </c>
    </row>
    <row r="125" spans="4:10" x14ac:dyDescent="0.2">
      <c r="D125" s="11" t="e">
        <v>#N/A</v>
      </c>
      <c r="E125" s="11" t="e">
        <f>_xll.qlRateHelperQuoteName(D125)</f>
        <v>#VALUE!</v>
      </c>
      <c r="F125" s="10" t="e">
        <f>_xll.qlRateHelperRate($D125)</f>
        <v>#VALUE!</v>
      </c>
      <c r="G125" s="10" t="str">
        <f>IF(ISERROR(_xll.qlSwapRateHelperSpread($D125)),IF(ISERROR(_xll.qlFuturesRateHelperConvexityAdjustment($D125)),"--",_xll.qlFuturesRateHelperConvexityAdjustment($D125)),_xll.qlSwapRateHelperSpread($D125))</f>
        <v>--</v>
      </c>
      <c r="H125" s="9" t="e">
        <f>_xll.qlRateHelperEarliestDate($D125)</f>
        <v>#VALUE!</v>
      </c>
      <c r="I125" s="8" t="e">
        <f>_xll.qlRateHelperLatestDate($D125)</f>
        <v>#VALUE!</v>
      </c>
      <c r="J125" s="3" t="e">
        <v>#N/A</v>
      </c>
    </row>
    <row r="126" spans="4:10" ht="12" thickBot="1" x14ac:dyDescent="0.25">
      <c r="D126" s="7" t="e">
        <v>#N/A</v>
      </c>
      <c r="E126" s="7" t="e">
        <f>_xll.qlRateHelperQuoteName(D126)</f>
        <v>#VALUE!</v>
      </c>
      <c r="F126" s="6" t="e">
        <f>_xll.qlRateHelperRate($D126)</f>
        <v>#VALUE!</v>
      </c>
      <c r="G126" s="6" t="str">
        <f>IF(ISERROR(_xll.qlSwapRateHelperSpread($D126)),IF(ISERROR(_xll.qlFuturesRateHelperConvexityAdjustment($D126)),"--",_xll.qlFuturesRateHelperConvexityAdjustment($D126)),_xll.qlSwapRateHelperSpread($D126))</f>
        <v>--</v>
      </c>
      <c r="H126" s="5" t="e">
        <f>_xll.qlRateHelperEarliestDate($D126)</f>
        <v>#VALUE!</v>
      </c>
      <c r="I126" s="4" t="e">
        <f>_xll.qlRateHelperLatestDate($D126)</f>
        <v>#VALUE!</v>
      </c>
      <c r="J126" s="3" t="e">
        <v>#N/A</v>
      </c>
    </row>
  </sheetData>
  <mergeCells count="1">
    <mergeCell ref="A1:B1"/>
  </mergeCells>
  <dataValidations disablePrompts="1"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14"/>
  <sheetViews>
    <sheetView workbookViewId="0">
      <selection activeCell="K2" sqref="K2"/>
    </sheetView>
  </sheetViews>
  <sheetFormatPr defaultRowHeight="13.5" x14ac:dyDescent="0.25"/>
  <cols>
    <col min="1" max="1" width="3" style="154" customWidth="1"/>
    <col min="2" max="3" width="6" style="154" bestFit="1" customWidth="1"/>
    <col min="4" max="4" width="6" style="154" customWidth="1"/>
    <col min="5" max="5" width="9" style="154" bestFit="1" customWidth="1"/>
    <col min="6" max="6" width="19.28515625" style="154" bestFit="1" customWidth="1"/>
    <col min="7" max="7" width="5" style="154" bestFit="1" customWidth="1"/>
    <col min="8" max="8" width="11" style="154" customWidth="1"/>
    <col min="9" max="9" width="15.140625" style="154" bestFit="1" customWidth="1"/>
    <col min="10" max="11" width="26.5703125" style="154" bestFit="1" customWidth="1"/>
    <col min="12" max="12" width="35.7109375" style="154" customWidth="1"/>
    <col min="13" max="13" width="2.7109375" style="154" customWidth="1"/>
    <col min="14" max="16384" width="9.140625" style="154"/>
  </cols>
  <sheetData>
    <row r="1" spans="1:13" x14ac:dyDescent="0.25">
      <c r="A1" s="174" t="str">
        <f>PROPER(Currency)&amp;FamilyName&amp;I1</f>
        <v>Sekibor1M</v>
      </c>
      <c r="C1" s="179"/>
      <c r="D1" s="179"/>
      <c r="E1" s="179"/>
      <c r="F1" s="179"/>
      <c r="G1" s="179"/>
      <c r="H1" s="179"/>
      <c r="I1" s="80" t="str">
        <f>IndexTenor</f>
        <v>1M</v>
      </c>
      <c r="J1" s="173" t="str">
        <f>Currency&amp;"_YC"&amp;$I$1&amp;"RH"</f>
        <v>SEK_YC1MRH</v>
      </c>
      <c r="K1" s="175" t="str">
        <f>$J$1&amp;"_Deposits.xml"</f>
        <v>SEK_YC1MRH_Deposits.xml</v>
      </c>
      <c r="L1" s="56"/>
      <c r="M1" s="153"/>
    </row>
    <row r="2" spans="1:13" ht="21.75" customHeight="1" x14ac:dyDescent="0.25">
      <c r="A2" s="155"/>
      <c r="B2" s="156" t="s">
        <v>82</v>
      </c>
      <c r="C2" s="156" t="s">
        <v>114</v>
      </c>
      <c r="D2" s="156" t="s">
        <v>115</v>
      </c>
      <c r="E2" s="156" t="s">
        <v>116</v>
      </c>
      <c r="F2" s="156" t="s">
        <v>117</v>
      </c>
      <c r="G2" s="156" t="s">
        <v>118</v>
      </c>
      <c r="H2" s="156" t="s">
        <v>119</v>
      </c>
      <c r="I2" s="156" t="s">
        <v>62</v>
      </c>
      <c r="J2" s="156" t="s">
        <v>61</v>
      </c>
      <c r="K2" s="157" t="str">
        <f>IF(Serialize,_xll.ohObjectSave(#REF!,SerializationPath&amp;K1,FileOverwrite,Serialize),"---")</f>
        <v>---</v>
      </c>
      <c r="L2" s="158" t="str">
        <f>_xll.ohRangeRetrieveError(K2)</f>
        <v/>
      </c>
      <c r="M2" s="153"/>
    </row>
    <row r="3" spans="1:13" ht="11.25" customHeight="1" x14ac:dyDescent="0.25">
      <c r="A3" s="155"/>
      <c r="B3" s="166" t="s">
        <v>84</v>
      </c>
      <c r="C3" s="166" t="s">
        <v>89</v>
      </c>
      <c r="D3" s="166">
        <v>2</v>
      </c>
      <c r="E3" s="189" t="s">
        <v>111</v>
      </c>
      <c r="F3" s="224" t="s">
        <v>121</v>
      </c>
      <c r="G3" s="189" t="b">
        <v>1</v>
      </c>
      <c r="H3" s="189" t="s">
        <v>113</v>
      </c>
      <c r="I3" s="180" t="str">
        <f>_xll.qlIborIndex(,FamilyName,C3,NDays,Currency,Calendar,F3,G3,H3,,,Trigger)</f>
        <v>obj_002e1#0000</v>
      </c>
      <c r="J3" s="190" t="str">
        <f t="shared" ref="J3:J7" si="0">Currency&amp;B3&amp;"D"&amp;"_SYNTH"&amp;$I$1&amp;QuoteSuffix</f>
        <v>SEKSND_SYNTH1M_Quote</v>
      </c>
      <c r="K3" s="191" t="str">
        <f>_xll.qlDepositRateHelper2(,J3,C3,D3,E3,F3,G3,H3,,Trigger)</f>
        <v>obj_002dd#0000</v>
      </c>
      <c r="L3" s="182" t="str">
        <f>_xll.ohRangeRetrieveError(K3)</f>
        <v/>
      </c>
      <c r="M3" s="153"/>
    </row>
    <row r="4" spans="1:13" ht="11.25" customHeight="1" x14ac:dyDescent="0.25">
      <c r="A4" s="155"/>
      <c r="B4" s="183" t="s">
        <v>85</v>
      </c>
      <c r="C4" s="183" t="s">
        <v>120</v>
      </c>
      <c r="D4" s="183">
        <v>2</v>
      </c>
      <c r="E4" s="192" t="s">
        <v>111</v>
      </c>
      <c r="F4" s="225" t="s">
        <v>121</v>
      </c>
      <c r="G4" s="192" t="b">
        <v>1</v>
      </c>
      <c r="H4" s="192" t="s">
        <v>113</v>
      </c>
      <c r="I4" s="184" t="str">
        <f>_xll.qlIborIndex(,FamilyName,C4,NDays,Currency,Calendar,F4,G4,H4,,,Trigger)</f>
        <v>obj_002e4#0000</v>
      </c>
      <c r="J4" s="193" t="str">
        <f t="shared" si="0"/>
        <v>SEKSWD_SYNTH1M_Quote</v>
      </c>
      <c r="K4" s="194" t="str">
        <f>_xll.qlDepositRateHelper2(,J4,C4,D4,E4,F4,G4,H4,,Trigger)</f>
        <v>obj_002df#0000</v>
      </c>
      <c r="L4" s="186" t="str">
        <f>_xll.ohRangeRetrieveError(K4)</f>
        <v/>
      </c>
      <c r="M4" s="153"/>
    </row>
    <row r="5" spans="1:13" ht="11.25" customHeight="1" x14ac:dyDescent="0.25">
      <c r="A5" s="155"/>
      <c r="B5" s="183" t="s">
        <v>86</v>
      </c>
      <c r="C5" s="183" t="s">
        <v>86</v>
      </c>
      <c r="D5" s="183">
        <v>2</v>
      </c>
      <c r="E5" s="192" t="s">
        <v>111</v>
      </c>
      <c r="F5" s="225" t="s">
        <v>121</v>
      </c>
      <c r="G5" s="192" t="b">
        <v>1</v>
      </c>
      <c r="H5" s="192" t="s">
        <v>113</v>
      </c>
      <c r="I5" s="184" t="str">
        <f>_xll.qlIborIndex(,FamilyName,C5,NDays,Currency,Calendar,F5,G5,H5,,,Trigger)</f>
        <v>obj_002de#0000</v>
      </c>
      <c r="J5" s="193" t="str">
        <f t="shared" si="0"/>
        <v>SEK2WD_SYNTH1M_Quote</v>
      </c>
      <c r="K5" s="194" t="str">
        <f>_xll.qlDepositRateHelper2(,J5,C5,D5,E5,F5,G5,H5,,Trigger)</f>
        <v>obj_002e3#0000</v>
      </c>
      <c r="L5" s="186" t="str">
        <f>_xll.ohRangeRetrieveError(K5)</f>
        <v/>
      </c>
      <c r="M5" s="153"/>
    </row>
    <row r="6" spans="1:13" ht="11.25" customHeight="1" x14ac:dyDescent="0.25">
      <c r="A6" s="155"/>
      <c r="B6" s="183" t="s">
        <v>87</v>
      </c>
      <c r="C6" s="183" t="s">
        <v>87</v>
      </c>
      <c r="D6" s="183">
        <v>2</v>
      </c>
      <c r="E6" s="192" t="s">
        <v>111</v>
      </c>
      <c r="F6" s="225" t="s">
        <v>121</v>
      </c>
      <c r="G6" s="192" t="b">
        <v>1</v>
      </c>
      <c r="H6" s="192" t="s">
        <v>113</v>
      </c>
      <c r="I6" s="184" t="str">
        <f>_xll.qlIborIndex(,FamilyName,C6,NDays,Currency,Calendar,F6,G6,H6,,,Trigger)</f>
        <v>obj_002e0#0000</v>
      </c>
      <c r="J6" s="193" t="str">
        <f t="shared" si="0"/>
        <v>SEK3WD_SYNTH1M_Quote</v>
      </c>
      <c r="K6" s="194" t="str">
        <f>_xll.qlDepositRateHelper2(,J6,C6,D6,E6,F6,G6,H6,,Trigger)</f>
        <v>obj_002e5#0000</v>
      </c>
      <c r="L6" s="186" t="str">
        <f>_xll.ohRangeRetrieveError(K6)</f>
        <v/>
      </c>
      <c r="M6" s="153"/>
    </row>
    <row r="7" spans="1:13" ht="11.25" customHeight="1" x14ac:dyDescent="0.25">
      <c r="A7" s="155"/>
      <c r="B7" s="187" t="s">
        <v>88</v>
      </c>
      <c r="C7" s="187" t="s">
        <v>88</v>
      </c>
      <c r="D7" s="187">
        <v>2</v>
      </c>
      <c r="E7" s="195" t="s">
        <v>111</v>
      </c>
      <c r="F7" s="226" t="s">
        <v>72</v>
      </c>
      <c r="G7" s="195" t="b">
        <v>1</v>
      </c>
      <c r="H7" s="195" t="s">
        <v>113</v>
      </c>
      <c r="I7" s="152" t="str">
        <f>_xll.qlIborIndex(,FamilyName,C7,NDays,Currency,Calendar,F7,G7,H7,,,Trigger)</f>
        <v>obj_002e6#0000</v>
      </c>
      <c r="J7" s="196" t="str">
        <f t="shared" si="0"/>
        <v>SEK1MD_SYNTH1M_Quote</v>
      </c>
      <c r="K7" s="197" t="str">
        <f>_xll.qlDepositRateHelper2(,J7,C7,D7,E7,F7,G7,H7,,Trigger)</f>
        <v>obj_002e7#0000</v>
      </c>
      <c r="L7" s="227" t="str">
        <f>_xll.ohRangeRetrieveError(K7)</f>
        <v/>
      </c>
      <c r="M7" s="153"/>
    </row>
    <row r="8" spans="1:13" ht="11.25" customHeight="1" x14ac:dyDescent="0.25">
      <c r="A8" s="155"/>
      <c r="B8" s="187" t="s">
        <v>88</v>
      </c>
      <c r="C8" s="187" t="s">
        <v>88</v>
      </c>
      <c r="D8" s="187">
        <v>2</v>
      </c>
      <c r="E8" s="195" t="s">
        <v>111</v>
      </c>
      <c r="F8" s="226" t="s">
        <v>72</v>
      </c>
      <c r="G8" s="195" t="b">
        <v>1</v>
      </c>
      <c r="H8" s="195" t="s">
        <v>113</v>
      </c>
      <c r="I8" s="152" t="str">
        <f>_xll.qlIborIndex(,FamilyName,C8,NDays,Currency,Calendar,F8,G8,H8,,,Trigger)</f>
        <v>obj_002e2#0000</v>
      </c>
      <c r="J8" s="197" t="str">
        <f>PROPER(Currency)&amp;FamilyName&amp;IndexTenor&amp;"LastFixing"&amp;QuoteSuffix</f>
        <v>Sekibor1MLastFixing_Quote</v>
      </c>
      <c r="K8" s="196" t="str">
        <f>_xll.qlDepositRateHelper2(,J8,C8,D8,E8,F8,G8,H8,,Trigger)</f>
        <v>obj_002dc#0000</v>
      </c>
      <c r="L8" s="227" t="str">
        <f>_xll.ohRangeRetrieveError(J8)</f>
        <v/>
      </c>
      <c r="M8" s="153"/>
    </row>
    <row r="9" spans="1:13" ht="11.25" customHeight="1" thickBot="1" x14ac:dyDescent="0.3">
      <c r="A9" s="159"/>
      <c r="B9" s="160"/>
      <c r="C9" s="160"/>
      <c r="D9" s="160"/>
      <c r="E9" s="160"/>
      <c r="F9" s="160"/>
      <c r="G9" s="160"/>
      <c r="H9" s="160"/>
      <c r="I9" s="160"/>
      <c r="J9" s="160"/>
      <c r="K9" s="160"/>
      <c r="L9" s="160"/>
      <c r="M9" s="161"/>
    </row>
    <row r="14" spans="1:13" x14ac:dyDescent="0.25">
      <c r="K14" s="162"/>
    </row>
  </sheetData>
  <dataValidations count="3">
    <dataValidation type="list" allowBlank="1" showInputMessage="1" showErrorMessage="1" sqref="E3:E8">
      <formula1>"TARGET,UnitedKingdom::Exchange,UnitedKingdom::Metals,UnitedKingdom::Settlement,UnitedStates::GovernmentBond,UnitedStates::NERC,UnitedStates::NYSE,UnitedStates::Settlement,Switzerland,Japan,Italy::Exchange,NullCalendar,Australia,China,HongKong::HKEx,Sweden"</formula1>
    </dataValidation>
    <dataValidation type="list" allowBlank="1" showInputMessage="1" showErrorMessage="1" sqref="F3:F8">
      <formula1>"Following,Modified Following,Preceding,Modified Preceding,Unadjusted,Half-Month Modified Following"</formula1>
    </dataValidation>
    <dataValidation type="list" allowBlank="1" showInputMessage="1" showErrorMessage="1" sqref="H3:H8">
      <formula1>"Actual/Actual (ISDA),Actual/360,30/360 (Bond Basis),30E/360 (Eurobond Basis),Actual/365 (Fixed),Actual/Actual (ISMA),Actual/Actual (AFB),1/1,30/360 (Italian),Simple"</formula1>
    </dataValidation>
  </dataValidations>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N27"/>
  <sheetViews>
    <sheetView showGridLines="0" workbookViewId="0">
      <selection activeCell="L2" sqref="L2"/>
    </sheetView>
  </sheetViews>
  <sheetFormatPr defaultRowHeight="11.25" x14ac:dyDescent="0.2"/>
  <cols>
    <col min="1" max="1" width="2.7109375" style="56" customWidth="1"/>
    <col min="2" max="3" width="5.85546875" style="56" customWidth="1"/>
    <col min="4" max="4" width="4" style="101" bestFit="1" customWidth="1"/>
    <col min="5" max="5" width="3" style="56" bestFit="1" customWidth="1"/>
    <col min="6" max="6" width="4" style="56" bestFit="1" customWidth="1"/>
    <col min="7" max="7" width="7" style="56" bestFit="1" customWidth="1"/>
    <col min="8" max="9" width="19.28515625" style="56" bestFit="1" customWidth="1"/>
    <col min="10" max="10" width="17.28515625" style="56" bestFit="1" customWidth="1"/>
    <col min="11" max="11" width="22.42578125" style="56" bestFit="1" customWidth="1"/>
    <col min="12" max="12" width="22" style="2" bestFit="1" customWidth="1"/>
    <col min="13" max="13" width="35.7109375" style="56" customWidth="1"/>
    <col min="14" max="14" width="2.7109375" style="56" customWidth="1"/>
    <col min="15" max="15" width="6" style="56" bestFit="1" customWidth="1"/>
    <col min="16" max="16" width="4" style="56" customWidth="1"/>
    <col min="17" max="17" width="3.140625" style="56" customWidth="1"/>
    <col min="18" max="18" width="2.7109375" style="56" customWidth="1"/>
    <col min="19" max="16384" width="9.140625" style="56"/>
  </cols>
  <sheetData>
    <row r="1" spans="1:14" x14ac:dyDescent="0.2">
      <c r="A1" s="198"/>
      <c r="B1" s="164"/>
      <c r="C1" s="164"/>
      <c r="D1" s="199"/>
      <c r="E1" s="164"/>
      <c r="F1" s="164"/>
      <c r="G1" s="164"/>
      <c r="H1" s="164"/>
      <c r="I1" s="165"/>
      <c r="J1" s="163" t="str">
        <f>IndexTenor</f>
        <v>1M</v>
      </c>
      <c r="K1" s="163" t="str">
        <f>Currency&amp;"_YC"&amp;$J$1&amp;"RH"</f>
        <v>SEK_YC1MRH</v>
      </c>
      <c r="L1" s="163" t="str">
        <f>K1&amp;"_Swaps.xml"</f>
        <v>SEK_YC1MRH_Swaps.xml</v>
      </c>
      <c r="M1" s="164"/>
      <c r="N1" s="200"/>
    </row>
    <row r="2" spans="1:14" ht="36" customHeight="1" x14ac:dyDescent="0.2">
      <c r="A2" s="155"/>
      <c r="B2" s="156" t="s">
        <v>126</v>
      </c>
      <c r="C2" s="156" t="s">
        <v>77</v>
      </c>
      <c r="D2" s="201"/>
      <c r="E2" s="156"/>
      <c r="F2" s="156"/>
      <c r="G2" s="156" t="s">
        <v>76</v>
      </c>
      <c r="H2" s="156" t="s">
        <v>75</v>
      </c>
      <c r="I2" s="156" t="s">
        <v>74</v>
      </c>
      <c r="J2" s="156" t="s">
        <v>73</v>
      </c>
      <c r="K2" s="156" t="s">
        <v>61</v>
      </c>
      <c r="L2" s="169" t="str">
        <f>IF(Serialize,_xll.ohObjectSave(L3:L22,SerializationPath&amp;L1,FileOverwrite,Serialize),"---")</f>
        <v>---</v>
      </c>
      <c r="M2" s="170" t="str">
        <f>_xll.ohRangeRetrieveError(L2)</f>
        <v/>
      </c>
      <c r="N2" s="168"/>
    </row>
    <row r="3" spans="1:14" ht="11.25" customHeight="1" x14ac:dyDescent="0.2">
      <c r="A3" s="151"/>
      <c r="B3" s="167"/>
      <c r="C3" s="167"/>
      <c r="D3" s="202"/>
      <c r="E3" s="167"/>
      <c r="F3" s="167"/>
      <c r="G3" s="167"/>
      <c r="H3" s="167"/>
      <c r="I3" s="167"/>
      <c r="J3" s="167"/>
      <c r="K3" s="167"/>
      <c r="L3" s="171" t="str">
        <f>_xll.qlIborIndex(,FamilyName,IndexTenor,NDays,Currency,Calendar,"mf",TRUE,MoneyMarketDayCounter,,,Trigger,ObjectOverwrite)</f>
        <v>obj_002e8#0000</v>
      </c>
      <c r="M3" s="172" t="str">
        <f>_xll.ohRangeRetrieveError(L3)</f>
        <v/>
      </c>
      <c r="N3" s="168"/>
    </row>
    <row r="4" spans="1:14" ht="11.25" customHeight="1" x14ac:dyDescent="0.2">
      <c r="A4" s="151"/>
      <c r="B4" s="167"/>
      <c r="C4" s="167"/>
      <c r="D4" s="202"/>
      <c r="E4" s="167"/>
      <c r="F4" s="167"/>
      <c r="G4" s="167"/>
      <c r="H4" s="167"/>
      <c r="I4" s="167"/>
      <c r="J4" s="167"/>
      <c r="K4" s="167"/>
      <c r="L4" s="167"/>
      <c r="M4" s="167"/>
      <c r="N4" s="168"/>
    </row>
    <row r="5" spans="1:14" ht="11.25" customHeight="1" x14ac:dyDescent="0.2">
      <c r="A5" s="155"/>
      <c r="B5" s="203">
        <v>2</v>
      </c>
      <c r="C5" s="203" t="s">
        <v>71</v>
      </c>
      <c r="D5" s="204" t="s">
        <v>21</v>
      </c>
      <c r="E5" s="203" t="s">
        <v>123</v>
      </c>
      <c r="F5" s="203" t="s">
        <v>124</v>
      </c>
      <c r="G5" s="203" t="s">
        <v>122</v>
      </c>
      <c r="H5" s="205" t="s">
        <v>72</v>
      </c>
      <c r="I5" s="206" t="s">
        <v>80</v>
      </c>
      <c r="J5" s="207" t="str">
        <f t="shared" ref="J5:J26" si="0">Currency&amp;"1S"&amp;E5&amp;D5&amp;QuoteSuffix</f>
        <v>SEK1S3S1Y_Quote</v>
      </c>
      <c r="K5" s="181" t="str">
        <f t="shared" ref="K5:K26" si="1">Currency&amp;F5&amp;E5&amp;D5&amp;QuoteSuffix</f>
        <v>SEKAB3S1Y_Quote</v>
      </c>
      <c r="L5" s="191" t="str">
        <f>_xll.qlSwapRateHelper2(,$K5,B5,$D5,Calendar,$G5,$H5,$I5,$L$3,$J5,C5,Discounting,Permanent,,ObjectOverwrite)</f>
        <v>obj_002fe#0007</v>
      </c>
      <c r="M5" s="208" t="str">
        <f>_xll.ohRangeRetrieveError(L5)</f>
        <v/>
      </c>
      <c r="N5" s="168"/>
    </row>
    <row r="6" spans="1:14" ht="11.25" customHeight="1" x14ac:dyDescent="0.2">
      <c r="A6" s="155"/>
      <c r="B6" s="209">
        <v>2</v>
      </c>
      <c r="C6" s="209" t="s">
        <v>71</v>
      </c>
      <c r="D6" s="210" t="s">
        <v>20</v>
      </c>
      <c r="E6" s="209" t="s">
        <v>123</v>
      </c>
      <c r="F6" s="209" t="s">
        <v>124</v>
      </c>
      <c r="G6" s="209" t="s">
        <v>122</v>
      </c>
      <c r="H6" s="211" t="s">
        <v>72</v>
      </c>
      <c r="I6" s="212" t="s">
        <v>80</v>
      </c>
      <c r="J6" s="213" t="str">
        <f t="shared" si="0"/>
        <v>SEK1S3S15M_Quote</v>
      </c>
      <c r="K6" s="185" t="str">
        <f t="shared" si="1"/>
        <v>SEKAB3S15M_Quote</v>
      </c>
      <c r="L6" s="194" t="str">
        <f>_xll.qlSwapRateHelper2(,$K6,B6,$D6,Calendar,$G6,$H6,$I6,$L$3,$J6,C6,Discounting,Permanent,,ObjectOverwrite)</f>
        <v>obj_002e9#0001</v>
      </c>
      <c r="M6" s="214" t="str">
        <f>_xll.ohRangeRetrieveError(L6)</f>
        <v/>
      </c>
      <c r="N6" s="168"/>
    </row>
    <row r="7" spans="1:14" ht="11.25" customHeight="1" x14ac:dyDescent="0.2">
      <c r="A7" s="155"/>
      <c r="B7" s="209">
        <v>2</v>
      </c>
      <c r="C7" s="209" t="s">
        <v>71</v>
      </c>
      <c r="D7" s="210" t="s">
        <v>19</v>
      </c>
      <c r="E7" s="209" t="s">
        <v>123</v>
      </c>
      <c r="F7" s="209" t="s">
        <v>124</v>
      </c>
      <c r="G7" s="209" t="s">
        <v>122</v>
      </c>
      <c r="H7" s="211" t="s">
        <v>72</v>
      </c>
      <c r="I7" s="212" t="s">
        <v>80</v>
      </c>
      <c r="J7" s="213" t="str">
        <f t="shared" si="0"/>
        <v>SEK1S3S18M_Quote</v>
      </c>
      <c r="K7" s="185" t="str">
        <f t="shared" si="1"/>
        <v>SEKAB3S18M_Quote</v>
      </c>
      <c r="L7" s="194" t="str">
        <f>_xll.qlSwapRateHelper2(,$K7,B7,$D7,Calendar,$G7,$H7,$I7,$L$3,$J7,C7,Discounting,Permanent,,ObjectOverwrite)</f>
        <v>obj_002f7#0001</v>
      </c>
      <c r="M7" s="214" t="str">
        <f>_xll.ohRangeRetrieveError(L7)</f>
        <v/>
      </c>
      <c r="N7" s="168"/>
    </row>
    <row r="8" spans="1:14" ht="11.25" customHeight="1" x14ac:dyDescent="0.2">
      <c r="A8" s="155"/>
      <c r="B8" s="209">
        <v>2</v>
      </c>
      <c r="C8" s="209" t="s">
        <v>71</v>
      </c>
      <c r="D8" s="210" t="s">
        <v>18</v>
      </c>
      <c r="E8" s="209" t="s">
        <v>123</v>
      </c>
      <c r="F8" s="209" t="s">
        <v>124</v>
      </c>
      <c r="G8" s="209" t="s">
        <v>122</v>
      </c>
      <c r="H8" s="211" t="s">
        <v>72</v>
      </c>
      <c r="I8" s="212" t="s">
        <v>80</v>
      </c>
      <c r="J8" s="213" t="str">
        <f t="shared" si="0"/>
        <v>SEK1S3S21M_Quote</v>
      </c>
      <c r="K8" s="185" t="str">
        <f t="shared" si="1"/>
        <v>SEKAB3S21M_Quote</v>
      </c>
      <c r="L8" s="194" t="str">
        <f>_xll.qlSwapRateHelper2(,$K8,B8,$D8,Calendar,$G8,$H8,$I8,$L$3,$J8,C8,Discounting,Permanent,,ObjectOverwrite)</f>
        <v>obj_002ee#0001</v>
      </c>
      <c r="M8" s="214" t="str">
        <f>_xll.ohRangeRetrieveError(L8)</f>
        <v/>
      </c>
      <c r="N8" s="168"/>
    </row>
    <row r="9" spans="1:14" ht="11.25" customHeight="1" x14ac:dyDescent="0.2">
      <c r="A9" s="155"/>
      <c r="B9" s="209">
        <v>2</v>
      </c>
      <c r="C9" s="209" t="s">
        <v>71</v>
      </c>
      <c r="D9" s="210" t="s">
        <v>17</v>
      </c>
      <c r="E9" s="209" t="s">
        <v>123</v>
      </c>
      <c r="F9" s="209" t="s">
        <v>124</v>
      </c>
      <c r="G9" s="209" t="s">
        <v>122</v>
      </c>
      <c r="H9" s="211" t="s">
        <v>72</v>
      </c>
      <c r="I9" s="212" t="s">
        <v>80</v>
      </c>
      <c r="J9" s="213" t="str">
        <f t="shared" si="0"/>
        <v>SEK1S3S2Y_Quote</v>
      </c>
      <c r="K9" s="185" t="str">
        <f t="shared" si="1"/>
        <v>SEKAB3S2Y_Quote</v>
      </c>
      <c r="L9" s="194" t="str">
        <f>_xll.qlSwapRateHelper2(,$K9,B9,$D9,Calendar,$G9,$H9,$I9,$L$3,$J9,C9,Discounting,Permanent,,ObjectOverwrite)</f>
        <v>obj_002fc#0001</v>
      </c>
      <c r="M9" s="214" t="str">
        <f>_xll.ohRangeRetrieveError(L9)</f>
        <v/>
      </c>
      <c r="N9" s="168"/>
    </row>
    <row r="10" spans="1:14" ht="11.25" customHeight="1" x14ac:dyDescent="0.2">
      <c r="A10" s="155"/>
      <c r="B10" s="209">
        <v>2</v>
      </c>
      <c r="C10" s="209" t="s">
        <v>71</v>
      </c>
      <c r="D10" s="210" t="s">
        <v>16</v>
      </c>
      <c r="E10" s="209" t="s">
        <v>123</v>
      </c>
      <c r="F10" s="209" t="s">
        <v>124</v>
      </c>
      <c r="G10" s="209" t="s">
        <v>122</v>
      </c>
      <c r="H10" s="211" t="s">
        <v>72</v>
      </c>
      <c r="I10" s="212" t="s">
        <v>80</v>
      </c>
      <c r="J10" s="213" t="str">
        <f t="shared" si="0"/>
        <v>SEK1S3S3Y_Quote</v>
      </c>
      <c r="K10" s="185" t="str">
        <f t="shared" si="1"/>
        <v>SEKAB3S3Y_Quote</v>
      </c>
      <c r="L10" s="194" t="str">
        <f>_xll.qlSwapRateHelper2(,$K10,B10,$D10,Calendar,$G10,$H10,$I10,$L$3,$J10,C10,Discounting,Permanent,,ObjectOverwrite)</f>
        <v>obj_002f3#0001</v>
      </c>
      <c r="M10" s="214" t="str">
        <f>_xll.ohRangeRetrieveError(L10)</f>
        <v/>
      </c>
      <c r="N10" s="168"/>
    </row>
    <row r="11" spans="1:14" ht="11.25" customHeight="1" x14ac:dyDescent="0.2">
      <c r="A11" s="155"/>
      <c r="B11" s="209">
        <v>2</v>
      </c>
      <c r="C11" s="209" t="s">
        <v>71</v>
      </c>
      <c r="D11" s="210" t="s">
        <v>15</v>
      </c>
      <c r="E11" s="209" t="s">
        <v>123</v>
      </c>
      <c r="F11" s="209" t="s">
        <v>124</v>
      </c>
      <c r="G11" s="209" t="s">
        <v>122</v>
      </c>
      <c r="H11" s="211" t="s">
        <v>72</v>
      </c>
      <c r="I11" s="212" t="s">
        <v>80</v>
      </c>
      <c r="J11" s="213" t="str">
        <f t="shared" si="0"/>
        <v>SEK1S3S4Y_Quote</v>
      </c>
      <c r="K11" s="185" t="str">
        <f t="shared" si="1"/>
        <v>SEKAB3S4Y_Quote</v>
      </c>
      <c r="L11" s="194" t="str">
        <f>_xll.qlSwapRateHelper2(,$K11,B11,$D11,Calendar,$G11,$H11,$I11,$L$3,$J11,C11,Discounting,Permanent,,ObjectOverwrite)</f>
        <v>obj_002fb#0001</v>
      </c>
      <c r="M11" s="214" t="str">
        <f>_xll.ohRangeRetrieveError(L11)</f>
        <v/>
      </c>
      <c r="N11" s="168"/>
    </row>
    <row r="12" spans="1:14" ht="11.25" customHeight="1" x14ac:dyDescent="0.2">
      <c r="A12" s="155"/>
      <c r="B12" s="209">
        <v>2</v>
      </c>
      <c r="C12" s="209" t="s">
        <v>71</v>
      </c>
      <c r="D12" s="210" t="s">
        <v>14</v>
      </c>
      <c r="E12" s="209" t="s">
        <v>123</v>
      </c>
      <c r="F12" s="209" t="s">
        <v>124</v>
      </c>
      <c r="G12" s="209" t="s">
        <v>122</v>
      </c>
      <c r="H12" s="211" t="s">
        <v>72</v>
      </c>
      <c r="I12" s="212" t="s">
        <v>80</v>
      </c>
      <c r="J12" s="213" t="str">
        <f t="shared" si="0"/>
        <v>SEK1S3S5Y_Quote</v>
      </c>
      <c r="K12" s="185" t="str">
        <f t="shared" si="1"/>
        <v>SEKAB3S5Y_Quote</v>
      </c>
      <c r="L12" s="194" t="str">
        <f>_xll.qlSwapRateHelper2(,$K12,B12,$D12,Calendar,$G12,$H12,$I12,$L$3,$J12,C12,Discounting,Permanent,,ObjectOverwrite)</f>
        <v>obj_002f5#0001</v>
      </c>
      <c r="M12" s="214" t="str">
        <f>_xll.ohRangeRetrieveError(L12)</f>
        <v/>
      </c>
      <c r="N12" s="168"/>
    </row>
    <row r="13" spans="1:14" ht="11.25" customHeight="1" x14ac:dyDescent="0.2">
      <c r="A13" s="155"/>
      <c r="B13" s="209">
        <v>2</v>
      </c>
      <c r="C13" s="209" t="s">
        <v>71</v>
      </c>
      <c r="D13" s="210" t="s">
        <v>13</v>
      </c>
      <c r="E13" s="209" t="s">
        <v>123</v>
      </c>
      <c r="F13" s="209" t="s">
        <v>124</v>
      </c>
      <c r="G13" s="209" t="s">
        <v>122</v>
      </c>
      <c r="H13" s="211" t="s">
        <v>72</v>
      </c>
      <c r="I13" s="212" t="s">
        <v>80</v>
      </c>
      <c r="J13" s="213" t="str">
        <f t="shared" si="0"/>
        <v>SEK1S3S6Y_Quote</v>
      </c>
      <c r="K13" s="185" t="str">
        <f t="shared" si="1"/>
        <v>SEKAB3S6Y_Quote</v>
      </c>
      <c r="L13" s="194" t="str">
        <f>_xll.qlSwapRateHelper2(,$K13,B13,$D13,Calendar,$G13,$H13,$I13,$L$3,$J13,C13,Discounting,Permanent,,ObjectOverwrite)</f>
        <v>obj_002ef#0001</v>
      </c>
      <c r="M13" s="214" t="str">
        <f>_xll.ohRangeRetrieveError(L13)</f>
        <v/>
      </c>
      <c r="N13" s="168"/>
    </row>
    <row r="14" spans="1:14" ht="11.25" customHeight="1" x14ac:dyDescent="0.2">
      <c r="A14" s="155"/>
      <c r="B14" s="209">
        <v>2</v>
      </c>
      <c r="C14" s="209" t="s">
        <v>71</v>
      </c>
      <c r="D14" s="210" t="s">
        <v>12</v>
      </c>
      <c r="E14" s="209" t="s">
        <v>123</v>
      </c>
      <c r="F14" s="209" t="s">
        <v>124</v>
      </c>
      <c r="G14" s="209" t="s">
        <v>122</v>
      </c>
      <c r="H14" s="211" t="s">
        <v>72</v>
      </c>
      <c r="I14" s="212" t="s">
        <v>80</v>
      </c>
      <c r="J14" s="213" t="str">
        <f t="shared" si="0"/>
        <v>SEK1S3S7Y_Quote</v>
      </c>
      <c r="K14" s="185" t="str">
        <f t="shared" si="1"/>
        <v>SEKAB3S7Y_Quote</v>
      </c>
      <c r="L14" s="194" t="str">
        <f>_xll.qlSwapRateHelper2(,$K14,B14,$D14,Calendar,$G14,$H14,$I14,$L$3,$J14,C14,Discounting,Permanent,,ObjectOverwrite)</f>
        <v>obj_002fd#0001</v>
      </c>
      <c r="M14" s="214" t="str">
        <f>_xll.ohRangeRetrieveError(L14)</f>
        <v/>
      </c>
      <c r="N14" s="168"/>
    </row>
    <row r="15" spans="1:14" ht="11.25" customHeight="1" x14ac:dyDescent="0.2">
      <c r="A15" s="155"/>
      <c r="B15" s="209">
        <v>2</v>
      </c>
      <c r="C15" s="209" t="s">
        <v>71</v>
      </c>
      <c r="D15" s="210" t="s">
        <v>11</v>
      </c>
      <c r="E15" s="209" t="s">
        <v>123</v>
      </c>
      <c r="F15" s="209" t="s">
        <v>124</v>
      </c>
      <c r="G15" s="209" t="s">
        <v>122</v>
      </c>
      <c r="H15" s="211" t="s">
        <v>72</v>
      </c>
      <c r="I15" s="212" t="s">
        <v>80</v>
      </c>
      <c r="J15" s="213" t="str">
        <f t="shared" si="0"/>
        <v>SEK1S3S8Y_Quote</v>
      </c>
      <c r="K15" s="185" t="str">
        <f t="shared" si="1"/>
        <v>SEKAB3S8Y_Quote</v>
      </c>
      <c r="L15" s="194" t="str">
        <f>_xll.qlSwapRateHelper2(,$K15,B15,$D15,Calendar,$G15,$H15,$I15,$L$3,$J15,C15,Discounting,Permanent,,ObjectOverwrite)</f>
        <v>obj_002f4#0001</v>
      </c>
      <c r="M15" s="214" t="str">
        <f>_xll.ohRangeRetrieveError(L15)</f>
        <v/>
      </c>
      <c r="N15" s="168"/>
    </row>
    <row r="16" spans="1:14" ht="11.25" customHeight="1" x14ac:dyDescent="0.2">
      <c r="A16" s="155"/>
      <c r="B16" s="209">
        <v>2</v>
      </c>
      <c r="C16" s="209" t="s">
        <v>71</v>
      </c>
      <c r="D16" s="210" t="s">
        <v>10</v>
      </c>
      <c r="E16" s="209" t="s">
        <v>123</v>
      </c>
      <c r="F16" s="209" t="s">
        <v>124</v>
      </c>
      <c r="G16" s="209" t="s">
        <v>122</v>
      </c>
      <c r="H16" s="211" t="s">
        <v>72</v>
      </c>
      <c r="I16" s="212" t="s">
        <v>80</v>
      </c>
      <c r="J16" s="213" t="str">
        <f t="shared" si="0"/>
        <v>SEK1S3S9Y_Quote</v>
      </c>
      <c r="K16" s="185" t="str">
        <f t="shared" si="1"/>
        <v>SEKAB3S9Y_Quote</v>
      </c>
      <c r="L16" s="194" t="str">
        <f>_xll.qlSwapRateHelper2(,$K16,B16,$D16,Calendar,$G16,$H16,$I16,$L$3,$J16,C16,Discounting,Permanent,,ObjectOverwrite)</f>
        <v>obj_002eb#0001</v>
      </c>
      <c r="M16" s="214" t="str">
        <f>_xll.ohRangeRetrieveError(L16)</f>
        <v/>
      </c>
      <c r="N16" s="168"/>
    </row>
    <row r="17" spans="1:14" ht="11.25" customHeight="1" x14ac:dyDescent="0.2">
      <c r="A17" s="155"/>
      <c r="B17" s="209">
        <v>2</v>
      </c>
      <c r="C17" s="209" t="s">
        <v>71</v>
      </c>
      <c r="D17" s="210" t="s">
        <v>9</v>
      </c>
      <c r="E17" s="209" t="s">
        <v>123</v>
      </c>
      <c r="F17" s="209" t="s">
        <v>124</v>
      </c>
      <c r="G17" s="209" t="s">
        <v>122</v>
      </c>
      <c r="H17" s="211" t="s">
        <v>72</v>
      </c>
      <c r="I17" s="212" t="s">
        <v>80</v>
      </c>
      <c r="J17" s="213" t="str">
        <f t="shared" si="0"/>
        <v>SEK1S3S10Y_Quote</v>
      </c>
      <c r="K17" s="185" t="str">
        <f t="shared" si="1"/>
        <v>SEKAB3S10Y_Quote</v>
      </c>
      <c r="L17" s="194" t="str">
        <f>_xll.qlSwapRateHelper2(,$K17,B17,$D17,Calendar,$G17,$H17,$I17,$L$3,$J17,C17,Discounting,Permanent,,ObjectOverwrite)</f>
        <v>obj_002f9#0001</v>
      </c>
      <c r="M17" s="214" t="str">
        <f>_xll.ohRangeRetrieveError(L17)</f>
        <v/>
      </c>
      <c r="N17" s="168"/>
    </row>
    <row r="18" spans="1:14" ht="11.25" customHeight="1" x14ac:dyDescent="0.2">
      <c r="A18" s="155"/>
      <c r="B18" s="209">
        <v>2</v>
      </c>
      <c r="C18" s="209" t="s">
        <v>71</v>
      </c>
      <c r="D18" s="210" t="s">
        <v>8</v>
      </c>
      <c r="E18" s="209" t="s">
        <v>123</v>
      </c>
      <c r="F18" s="209" t="s">
        <v>124</v>
      </c>
      <c r="G18" s="209" t="s">
        <v>122</v>
      </c>
      <c r="H18" s="211" t="s">
        <v>72</v>
      </c>
      <c r="I18" s="212" t="s">
        <v>80</v>
      </c>
      <c r="J18" s="213" t="str">
        <f t="shared" si="0"/>
        <v>SEK1S3S12Y_Quote</v>
      </c>
      <c r="K18" s="185" t="str">
        <f t="shared" si="1"/>
        <v>SEKAB3S12Y_Quote</v>
      </c>
      <c r="L18" s="194" t="str">
        <f>_xll.qlSwapRateHelper2(,$K18,B18,$D18,Calendar,$G18,$H18,$I18,$L$3,$J18,C18,Discounting,Permanent,,ObjectOverwrite)</f>
        <v>obj_002f0#0001</v>
      </c>
      <c r="M18" s="214" t="str">
        <f>_xll.ohRangeRetrieveError(L18)</f>
        <v/>
      </c>
      <c r="N18" s="168"/>
    </row>
    <row r="19" spans="1:14" ht="11.25" customHeight="1" x14ac:dyDescent="0.2">
      <c r="A19" s="155"/>
      <c r="B19" s="209">
        <v>2</v>
      </c>
      <c r="C19" s="209" t="s">
        <v>71</v>
      </c>
      <c r="D19" s="210" t="s">
        <v>7</v>
      </c>
      <c r="E19" s="209" t="s">
        <v>123</v>
      </c>
      <c r="F19" s="209" t="s">
        <v>124</v>
      </c>
      <c r="G19" s="209" t="s">
        <v>122</v>
      </c>
      <c r="H19" s="211" t="s">
        <v>72</v>
      </c>
      <c r="I19" s="212" t="s">
        <v>80</v>
      </c>
      <c r="J19" s="213" t="str">
        <f t="shared" si="0"/>
        <v>SEK1S3S15Y_Quote</v>
      </c>
      <c r="K19" s="185" t="str">
        <f t="shared" si="1"/>
        <v>SEKAB3S15Y_Quote</v>
      </c>
      <c r="L19" s="194" t="str">
        <f>_xll.qlSwapRateHelper2(,$K19,B19,$D19,Calendar,$G19,$H19,$I19,$L$3,$J19,C19,Discounting,Permanent,,ObjectOverwrite)</f>
        <v>obj_002f8#0001</v>
      </c>
      <c r="M19" s="214" t="str">
        <f>_xll.ohRangeRetrieveError(L19)</f>
        <v/>
      </c>
      <c r="N19" s="168"/>
    </row>
    <row r="20" spans="1:14" ht="11.25" customHeight="1" x14ac:dyDescent="0.2">
      <c r="A20" s="155"/>
      <c r="B20" s="209">
        <v>2</v>
      </c>
      <c r="C20" s="209" t="s">
        <v>71</v>
      </c>
      <c r="D20" s="210" t="s">
        <v>6</v>
      </c>
      <c r="E20" s="209" t="s">
        <v>123</v>
      </c>
      <c r="F20" s="209" t="s">
        <v>124</v>
      </c>
      <c r="G20" s="209" t="s">
        <v>122</v>
      </c>
      <c r="H20" s="211" t="s">
        <v>72</v>
      </c>
      <c r="I20" s="212" t="s">
        <v>80</v>
      </c>
      <c r="J20" s="213" t="str">
        <f t="shared" si="0"/>
        <v>SEK1S3S20Y_Quote</v>
      </c>
      <c r="K20" s="185" t="str">
        <f t="shared" si="1"/>
        <v>SEKAB3S20Y_Quote</v>
      </c>
      <c r="L20" s="194" t="str">
        <f>_xll.qlSwapRateHelper2(,$K20,B20,$D20,Calendar,$G20,$H20,$I20,$L$3,$J20,C20,Discounting,Permanent,,ObjectOverwrite)</f>
        <v>obj_002f2#0001</v>
      </c>
      <c r="M20" s="214" t="str">
        <f>_xll.ohRangeRetrieveError(L20)</f>
        <v/>
      </c>
      <c r="N20" s="168"/>
    </row>
    <row r="21" spans="1:14" ht="11.25" customHeight="1" x14ac:dyDescent="0.2">
      <c r="A21" s="155"/>
      <c r="B21" s="209">
        <v>2</v>
      </c>
      <c r="C21" s="209" t="s">
        <v>71</v>
      </c>
      <c r="D21" s="210" t="s">
        <v>5</v>
      </c>
      <c r="E21" s="209" t="s">
        <v>123</v>
      </c>
      <c r="F21" s="209" t="s">
        <v>124</v>
      </c>
      <c r="G21" s="209" t="s">
        <v>122</v>
      </c>
      <c r="H21" s="211" t="s">
        <v>72</v>
      </c>
      <c r="I21" s="212" t="s">
        <v>80</v>
      </c>
      <c r="J21" s="213" t="str">
        <f t="shared" si="0"/>
        <v>SEK1S3S25Y_Quote</v>
      </c>
      <c r="K21" s="185" t="str">
        <f t="shared" si="1"/>
        <v>SEKAB3S25Y_Quote</v>
      </c>
      <c r="L21" s="194" t="str">
        <f>_xll.qlSwapRateHelper2(,$K21,B21,$D21,Calendar,$G21,$H21,$I21,$L$3,$J21,C21,Discounting,Permanent,,ObjectOverwrite)</f>
        <v>obj_002ec#0001</v>
      </c>
      <c r="M21" s="214" t="str">
        <f>_xll.ohRangeRetrieveError(L21)</f>
        <v/>
      </c>
      <c r="N21" s="168"/>
    </row>
    <row r="22" spans="1:14" ht="11.25" customHeight="1" x14ac:dyDescent="0.2">
      <c r="A22" s="155"/>
      <c r="B22" s="209">
        <v>2</v>
      </c>
      <c r="C22" s="209" t="s">
        <v>71</v>
      </c>
      <c r="D22" s="210" t="s">
        <v>4</v>
      </c>
      <c r="E22" s="209" t="s">
        <v>123</v>
      </c>
      <c r="F22" s="209" t="s">
        <v>124</v>
      </c>
      <c r="G22" s="209" t="s">
        <v>122</v>
      </c>
      <c r="H22" s="211" t="s">
        <v>72</v>
      </c>
      <c r="I22" s="212" t="s">
        <v>80</v>
      </c>
      <c r="J22" s="213" t="str">
        <f t="shared" si="0"/>
        <v>SEK1S3S27Y_Quote</v>
      </c>
      <c r="K22" s="185" t="str">
        <f t="shared" si="1"/>
        <v>SEKAB3S27Y_Quote</v>
      </c>
      <c r="L22" s="194" t="str">
        <f>_xll.qlSwapRateHelper2(,$K22,B22,$D22,Calendar,$G22,$H22,$I22,$L$3,$J22,C22,Discounting,Permanent,,ObjectOverwrite)</f>
        <v>obj_002fa#0001</v>
      </c>
      <c r="M22" s="214" t="str">
        <f>_xll.ohRangeRetrieveError(L22)</f>
        <v/>
      </c>
      <c r="N22" s="168"/>
    </row>
    <row r="23" spans="1:14" x14ac:dyDescent="0.2">
      <c r="A23" s="155"/>
      <c r="B23" s="209">
        <v>2</v>
      </c>
      <c r="C23" s="209" t="s">
        <v>71</v>
      </c>
      <c r="D23" s="210" t="s">
        <v>3</v>
      </c>
      <c r="E23" s="209" t="s">
        <v>123</v>
      </c>
      <c r="F23" s="209" t="s">
        <v>124</v>
      </c>
      <c r="G23" s="209" t="s">
        <v>122</v>
      </c>
      <c r="H23" s="211" t="s">
        <v>72</v>
      </c>
      <c r="I23" s="212" t="s">
        <v>80</v>
      </c>
      <c r="J23" s="213" t="str">
        <f t="shared" si="0"/>
        <v>SEK1S3S30Y_Quote</v>
      </c>
      <c r="K23" s="185" t="str">
        <f t="shared" si="1"/>
        <v>SEKAB3S30Y_Quote</v>
      </c>
      <c r="L23" s="194" t="str">
        <f>_xll.qlSwapRateHelper2(,$K23,B23,$D23,Calendar,$G23,$H23,$I23,$L$3,$J23,C23,Discounting,Permanent,,ObjectOverwrite)</f>
        <v>obj_002f1#0001</v>
      </c>
      <c r="M23" s="214" t="str">
        <f>_xll.ohRangeRetrieveError(L23)</f>
        <v/>
      </c>
      <c r="N23" s="168"/>
    </row>
    <row r="24" spans="1:14" x14ac:dyDescent="0.2">
      <c r="A24" s="155"/>
      <c r="B24" s="209">
        <v>2</v>
      </c>
      <c r="C24" s="209" t="s">
        <v>71</v>
      </c>
      <c r="D24" s="210" t="s">
        <v>2</v>
      </c>
      <c r="E24" s="209" t="s">
        <v>123</v>
      </c>
      <c r="F24" s="209" t="s">
        <v>124</v>
      </c>
      <c r="G24" s="209" t="s">
        <v>122</v>
      </c>
      <c r="H24" s="211" t="s">
        <v>72</v>
      </c>
      <c r="I24" s="212" t="s">
        <v>80</v>
      </c>
      <c r="J24" s="213" t="str">
        <f t="shared" si="0"/>
        <v>SEK1S3S35Y_Quote</v>
      </c>
      <c r="K24" s="185" t="str">
        <f t="shared" si="1"/>
        <v>SEKAB3S35Y_Quote</v>
      </c>
      <c r="L24" s="194" t="str">
        <f>_xll.qlSwapRateHelper2(,$K24,B24,$D24,Calendar,$G24,$H24,$I24,$L$3,$J24,C24,Discounting,Permanent,,ObjectOverwrite)</f>
        <v>obj_002ea#0001</v>
      </c>
      <c r="M24" s="214" t="str">
        <f>_xll.ohRangeRetrieveError(L24)</f>
        <v/>
      </c>
      <c r="N24" s="168"/>
    </row>
    <row r="25" spans="1:14" x14ac:dyDescent="0.2">
      <c r="A25" s="155"/>
      <c r="B25" s="209">
        <v>2</v>
      </c>
      <c r="C25" s="209" t="s">
        <v>71</v>
      </c>
      <c r="D25" s="210" t="s">
        <v>1</v>
      </c>
      <c r="E25" s="209" t="s">
        <v>123</v>
      </c>
      <c r="F25" s="209" t="s">
        <v>124</v>
      </c>
      <c r="G25" s="209" t="s">
        <v>122</v>
      </c>
      <c r="H25" s="211" t="s">
        <v>72</v>
      </c>
      <c r="I25" s="212" t="s">
        <v>80</v>
      </c>
      <c r="J25" s="213" t="str">
        <f t="shared" si="0"/>
        <v>SEK1S3S40Y_Quote</v>
      </c>
      <c r="K25" s="185" t="str">
        <f t="shared" si="1"/>
        <v>SEKAB3S40Y_Quote</v>
      </c>
      <c r="L25" s="194" t="str">
        <f>_xll.qlSwapRateHelper2(,$K25,B25,$D25,Calendar,$G25,$H25,$I25,$L$3,$J25,C25,Discounting,Permanent,,ObjectOverwrite)</f>
        <v>obj_002f6#0001</v>
      </c>
      <c r="M25" s="214" t="str">
        <f>_xll.ohRangeRetrieveError(L25)</f>
        <v/>
      </c>
      <c r="N25" s="168"/>
    </row>
    <row r="26" spans="1:14" x14ac:dyDescent="0.2">
      <c r="A26" s="155"/>
      <c r="B26" s="215">
        <v>2</v>
      </c>
      <c r="C26" s="215" t="s">
        <v>71</v>
      </c>
      <c r="D26" s="216" t="s">
        <v>0</v>
      </c>
      <c r="E26" s="215" t="s">
        <v>123</v>
      </c>
      <c r="F26" s="215" t="s">
        <v>124</v>
      </c>
      <c r="G26" s="215" t="s">
        <v>122</v>
      </c>
      <c r="H26" s="217" t="s">
        <v>72</v>
      </c>
      <c r="I26" s="218" t="s">
        <v>80</v>
      </c>
      <c r="J26" s="219" t="str">
        <f t="shared" si="0"/>
        <v>SEK1S3S50Y_Quote</v>
      </c>
      <c r="K26" s="188" t="str">
        <f t="shared" si="1"/>
        <v>SEKAB3S50Y_Quote</v>
      </c>
      <c r="L26" s="197" t="str">
        <f>_xll.qlSwapRateHelper2(,$K26,B26,$D26,Calendar,$G26,$H26,$I26,$L$3,$J26,C26,Discounting,Permanent,,ObjectOverwrite)</f>
        <v>obj_002ed#0001</v>
      </c>
      <c r="M26" s="220" t="str">
        <f>_xll.ohRangeRetrieveError(L26)</f>
        <v/>
      </c>
      <c r="N26" s="168"/>
    </row>
    <row r="27" spans="1:14" ht="12" thickBot="1" x14ac:dyDescent="0.25">
      <c r="A27" s="147"/>
      <c r="B27" s="149"/>
      <c r="C27" s="149"/>
      <c r="D27" s="221"/>
      <c r="E27" s="149"/>
      <c r="F27" s="149"/>
      <c r="G27" s="149"/>
      <c r="H27" s="149"/>
      <c r="I27" s="149"/>
      <c r="J27" s="149"/>
      <c r="K27" s="149"/>
      <c r="L27" s="222"/>
      <c r="M27" s="149"/>
      <c r="N27" s="223"/>
    </row>
  </sheetData>
  <dataValidations count="3">
    <dataValidation type="list" allowBlank="1" showInputMessage="1" showErrorMessage="1" sqref="I5:I26">
      <formula1>"Actual/Actual (ISDA),Actual/360,30/360 (Bond Basis),30E/360 (Eurobond Basis),Actual/365 (Fixed),Actual/Actual (ISMA),Actual/Actual (AFB),1/1,30/360 (Italian),Simple"</formula1>
    </dataValidation>
    <dataValidation type="list" allowBlank="1" showInputMessage="1" showErrorMessage="1" sqref="G5:G26">
      <formula1>"Annual,Semiannual,EveryFourthMonth,Quarterly,Bimonthly,Monthly,Biweekly,Weekly,Daily,Once,NoFrequency"</formula1>
    </dataValidation>
    <dataValidation type="list" allowBlank="1" showInputMessage="1" showErrorMessage="1" sqref="H5:H26">
      <formula1>"Following,Modified Following,Preceding,Modified Preceding,Month End Reference,Unadjusted Month End,Unadjusted"</formula1>
    </dataValidation>
  </dataValidations>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5" tint="0.39997558519241921"/>
  </sheetPr>
  <dimension ref="A1:S3553"/>
  <sheetViews>
    <sheetView topLeftCell="A17" workbookViewId="0">
      <selection activeCell="J20" sqref="J20"/>
    </sheetView>
  </sheetViews>
  <sheetFormatPr defaultRowHeight="11.25" outlineLevelRow="1" x14ac:dyDescent="0.2"/>
  <cols>
    <col min="1" max="1" width="7.5703125" style="56" customWidth="1"/>
    <col min="2" max="2" width="6" style="96" bestFit="1" customWidth="1"/>
    <col min="3" max="3" width="17.28515625" style="96" bestFit="1" customWidth="1"/>
    <col min="4" max="4" width="7" style="56" bestFit="1" customWidth="1"/>
    <col min="5" max="5" width="17.28515625" style="56" bestFit="1" customWidth="1"/>
    <col min="6" max="6" width="20.28515625" style="96" customWidth="1"/>
    <col min="7" max="8" width="7" style="96" customWidth="1"/>
    <col min="9" max="9" width="11" style="96" customWidth="1"/>
    <col min="10" max="10" width="15.7109375" style="96" customWidth="1"/>
    <col min="11" max="11" width="13.5703125" style="96" customWidth="1"/>
    <col min="12" max="12" width="14.5703125" style="96" customWidth="1"/>
    <col min="13" max="13" width="3.7109375" style="56" customWidth="1"/>
    <col min="14" max="14" width="19.28515625" style="56" customWidth="1"/>
    <col min="15" max="16" width="17.28515625" style="56" bestFit="1" customWidth="1"/>
    <col min="17" max="18" width="15.140625" style="56" bestFit="1" customWidth="1"/>
    <col min="19" max="19" width="22.42578125" style="56" bestFit="1" customWidth="1"/>
    <col min="20" max="20" width="13.140625" style="56" bestFit="1" customWidth="1"/>
    <col min="21" max="16384" width="9.140625" style="56"/>
  </cols>
  <sheetData>
    <row r="1" spans="1:19" s="96" customFormat="1" ht="11.25" hidden="1" customHeight="1" outlineLevel="1" thickBot="1" x14ac:dyDescent="0.25">
      <c r="A1" s="92"/>
      <c r="B1" s="93" t="s">
        <v>90</v>
      </c>
      <c r="C1" s="94"/>
      <c r="D1" s="94"/>
      <c r="E1" s="94"/>
      <c r="F1" s="94"/>
      <c r="G1" s="93" t="s">
        <v>91</v>
      </c>
      <c r="H1" s="94"/>
      <c r="I1" s="94"/>
      <c r="J1" s="94"/>
      <c r="K1" s="94"/>
      <c r="L1" s="95"/>
    </row>
    <row r="2" spans="1:19" ht="11.25" hidden="1" customHeight="1" outlineLevel="1" thickBot="1" x14ac:dyDescent="0.25">
      <c r="A2" s="97"/>
      <c r="B2" s="98" t="s">
        <v>92</v>
      </c>
      <c r="C2" s="98" t="s">
        <v>93</v>
      </c>
      <c r="D2" s="98" t="s">
        <v>58</v>
      </c>
      <c r="E2" s="98" t="s">
        <v>94</v>
      </c>
      <c r="F2" s="99" t="s">
        <v>95</v>
      </c>
      <c r="G2" s="98" t="s">
        <v>93</v>
      </c>
      <c r="H2" s="98" t="s">
        <v>94</v>
      </c>
      <c r="I2" s="98" t="s">
        <v>95</v>
      </c>
      <c r="J2" s="100" t="s">
        <v>96</v>
      </c>
      <c r="K2" s="98" t="s">
        <v>97</v>
      </c>
      <c r="L2" s="95"/>
    </row>
    <row r="3" spans="1:19" ht="11.25" hidden="1" customHeight="1" outlineLevel="1" x14ac:dyDescent="0.2">
      <c r="A3" s="102"/>
      <c r="B3" s="103" t="str">
        <f>_xll.qlPeriodEquivalent(D3&amp;"M")</f>
        <v>1Y</v>
      </c>
      <c r="C3" s="104">
        <f>_xll.qlDateEndOfMonth(EDATE(_xll.qlSettingsEvaluationDate(Trigger),-1))</f>
        <v>42124</v>
      </c>
      <c r="D3" s="105">
        <v>12</v>
      </c>
      <c r="E3" s="104">
        <f t="shared" ref="E3:E16" si="0">EDATE($P$19,D3)</f>
        <v>42508</v>
      </c>
      <c r="F3" s="106">
        <f>IF(D3&lt;=12,1,IF(D3&lt;=24,3,IF(D3&lt;=120,6,IF(D3&lt;=240,12,IF(D3&lt;=360,36,60)))))</f>
        <v>1</v>
      </c>
      <c r="G3" s="107">
        <f>IF(J3&gt;=0,ROUNDDOWN(J3*10,2)/10,ROUNDUP(J3*10,2)/10)</f>
        <v>-4.0000000000000001E-3</v>
      </c>
      <c r="H3" s="108">
        <f>IF(K3-J3&gt;1%,(QUOTIENT(K3*10000,50)+1)*0.5%,(QUOTIENT(K3*10000,10)+1)*0.1%)</f>
        <v>-1E-3</v>
      </c>
      <c r="I3" s="109">
        <f>IF(H3-G3&lt;0.15%,0.02%,IF(H3-G3&lt;0.5%,0.05%,IF(H3-G3&lt;1%,0.1%,IF(H3-G3&lt;2%,0.25%,0.5%))))</f>
        <v>5.0000000000000001E-4</v>
      </c>
      <c r="J3" s="108">
        <f>MIN(_xll.ohPack($Q$19:INDEX($Q$19:$Q$3552,MATCH(E3+1,$P$19:$P$3552,1),1)))</f>
        <v>-3.4233906771529549E-3</v>
      </c>
      <c r="K3" s="109">
        <f>MAX(_xll.ohPack($Q$19:INDEX($Q$19:$Q$3552,MATCH(E3+1,$P$19:$P$3552,1),1)))</f>
        <v>-2.6381676162922836E-3</v>
      </c>
      <c r="L3" s="95"/>
    </row>
    <row r="4" spans="1:19" ht="11.25" hidden="1" customHeight="1" outlineLevel="1" x14ac:dyDescent="0.2">
      <c r="A4" s="110"/>
      <c r="B4" s="111" t="str">
        <f>_xll.qlPeriodEquivalent(D4&amp;"M")</f>
        <v>2Y</v>
      </c>
      <c r="C4" s="112">
        <f>_xll.qlDateEndOfMonth(EDATE(_xll.qlIMMNextDate(_xll.qlSettingsEvaluationDate(Trigger)-1,TRUE),-3))</f>
        <v>42094</v>
      </c>
      <c r="D4" s="113">
        <v>24</v>
      </c>
      <c r="E4" s="112">
        <f t="shared" si="0"/>
        <v>42873</v>
      </c>
      <c r="F4" s="114">
        <f t="shared" ref="F4:F16" si="1">IF(D4&lt;=12,1,IF(D4&lt;=24,3,IF(D4&lt;=120,6,IF(D4&lt;=240,12,IF(D4&lt;=360,36,60)))))</f>
        <v>3</v>
      </c>
      <c r="G4" s="115">
        <f t="shared" ref="G4:G16" si="2">IF(J4&gt;=0,ROUNDDOWN(J4*10,2)/10,ROUNDUP(J4*10,2)/10)</f>
        <v>-4.0000000000000001E-3</v>
      </c>
      <c r="H4" s="116">
        <f t="shared" ref="H4:H16" si="3">IF(K4-J4&gt;1%,(QUOTIENT(K4*10000,50)+1)*0.5%,(QUOTIENT(K4*10000,10)+1)*0.1%)</f>
        <v>2E-3</v>
      </c>
      <c r="I4" s="117">
        <f t="shared" ref="I4:I16" si="4">IF(H4-G4&lt;0.15%,0.02%,IF(H4-G4&lt;0.5%,0.05%,IF(H4-G4&lt;1%,0.1%,IF(H4-G4&lt;2%,0.25%,0.5%))))</f>
        <v>1E-3</v>
      </c>
      <c r="J4" s="116">
        <f>MIN(_xll.ohPack($Q$19:INDEX($Q$19:$Q$3552,MATCH(E4+1,$P$19:$P$3552,1),1)))</f>
        <v>-3.4233906771529549E-3</v>
      </c>
      <c r="K4" s="117">
        <f>MAX(_xll.ohPack($Q$19:INDEX($Q$19:$Q$3552,MATCH(E4+1,$P$19:$P$3552,1),1)))</f>
        <v>1.2429240894674641E-3</v>
      </c>
      <c r="L4" s="95"/>
    </row>
    <row r="5" spans="1:19" ht="11.25" hidden="1" customHeight="1" outlineLevel="1" x14ac:dyDescent="0.2">
      <c r="A5" s="110"/>
      <c r="B5" s="111" t="str">
        <f>_xll.qlPeriodEquivalent(D5&amp;"M")</f>
        <v>5Y</v>
      </c>
      <c r="C5" s="112">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42004</v>
      </c>
      <c r="D5" s="113">
        <v>60</v>
      </c>
      <c r="E5" s="112">
        <f t="shared" si="0"/>
        <v>43969</v>
      </c>
      <c r="F5" s="114">
        <f t="shared" si="1"/>
        <v>6</v>
      </c>
      <c r="G5" s="115">
        <f t="shared" si="2"/>
        <v>-4.0000000000000001E-3</v>
      </c>
      <c r="H5" s="116">
        <f t="shared" si="3"/>
        <v>0.02</v>
      </c>
      <c r="I5" s="117">
        <f t="shared" si="4"/>
        <v>5.0000000000000001E-3</v>
      </c>
      <c r="J5" s="116">
        <f>MIN(_xll.ohPack($Q$19:INDEX($Q$19:$Q$3552,MATCH(E5+1,$P$19:$P$3552,1),1)))</f>
        <v>-3.4233906771529549E-3</v>
      </c>
      <c r="K5" s="117">
        <f>MAX(_xll.ohPack($Q$19:INDEX($Q$19:$Q$3552,MATCH(E5+1,$P$19:$P$3552,1),1)))</f>
        <v>1.5412358059868903E-2</v>
      </c>
      <c r="L5" s="95"/>
    </row>
    <row r="6" spans="1:19" ht="11.25" hidden="1" customHeight="1" outlineLevel="1" x14ac:dyDescent="0.2">
      <c r="A6" s="118" t="s">
        <v>98</v>
      </c>
      <c r="B6" s="111" t="str">
        <f>_xll.qlPeriodEquivalent(D6&amp;"M")</f>
        <v>10Y</v>
      </c>
      <c r="C6" s="112">
        <f t="shared" ref="C6:C9" si="5">C5</f>
        <v>42004</v>
      </c>
      <c r="D6" s="113">
        <v>120</v>
      </c>
      <c r="E6" s="112">
        <f t="shared" si="0"/>
        <v>45795</v>
      </c>
      <c r="F6" s="114">
        <f t="shared" si="1"/>
        <v>6</v>
      </c>
      <c r="G6" s="115">
        <f t="shared" si="2"/>
        <v>-4.0000000000000001E-3</v>
      </c>
      <c r="H6" s="116">
        <f t="shared" si="3"/>
        <v>2.5000000000000001E-2</v>
      </c>
      <c r="I6" s="117">
        <f t="shared" si="4"/>
        <v>5.0000000000000001E-3</v>
      </c>
      <c r="J6" s="116">
        <f>MIN(_xll.ohPack($Q$19:INDEX($Q$19:$Q$3552,MATCH(E6+1,$P$19:$P$3552,1),1)))</f>
        <v>-3.4233906771529549E-3</v>
      </c>
      <c r="K6" s="117">
        <f>MAX(_xll.ohPack($Q$19:INDEX($Q$19:$Q$3552,MATCH(E6+1,$P$19:$P$3552,1),1)))</f>
        <v>2.1256809782571103E-2</v>
      </c>
      <c r="L6" s="95"/>
    </row>
    <row r="7" spans="1:19" ht="11.25" hidden="1" customHeight="1" outlineLevel="1" x14ac:dyDescent="0.2">
      <c r="A7" s="110"/>
      <c r="B7" s="111" t="str">
        <f>_xll.qlPeriodEquivalent(D7&amp;"M")</f>
        <v>20Y</v>
      </c>
      <c r="C7" s="112">
        <f>IF(AND(MONTH(C6)=12),C6,_xll.qlDateEndOfMonth(EDATE(C6,-6)))</f>
        <v>42004</v>
      </c>
      <c r="D7" s="113">
        <v>240</v>
      </c>
      <c r="E7" s="112">
        <f t="shared" si="0"/>
        <v>49447</v>
      </c>
      <c r="F7" s="119">
        <f t="shared" si="1"/>
        <v>12</v>
      </c>
      <c r="G7" s="115">
        <f t="shared" si="2"/>
        <v>-4.0000000000000001E-3</v>
      </c>
      <c r="H7" s="116">
        <f t="shared" si="3"/>
        <v>2.5000000000000001E-2</v>
      </c>
      <c r="I7" s="117">
        <f t="shared" si="4"/>
        <v>5.0000000000000001E-3</v>
      </c>
      <c r="J7" s="120">
        <f>MIN(_xll.ohPack($Q$19:INDEX($Q$19:$Q$3552,MATCH(E7+1,$P$19:$P$3552,1),1)))</f>
        <v>-3.4233906771529549E-3</v>
      </c>
      <c r="K7" s="117">
        <f>MAX(_xll.ohPack($Q$19:INDEX($Q$19:$Q$3552,MATCH(E7+1,$P$19:$P$3552,1),1)))</f>
        <v>2.3157279359480525E-2</v>
      </c>
      <c r="L7" s="95"/>
    </row>
    <row r="8" spans="1:19" ht="11.25" hidden="1" customHeight="1" outlineLevel="1" x14ac:dyDescent="0.2">
      <c r="A8" s="110"/>
      <c r="B8" s="111" t="str">
        <f>_xll.qlPeriodEquivalent(D8&amp;"M")</f>
        <v>30Y</v>
      </c>
      <c r="C8" s="112">
        <f t="shared" si="5"/>
        <v>42004</v>
      </c>
      <c r="D8" s="113">
        <v>360</v>
      </c>
      <c r="E8" s="112">
        <f t="shared" si="0"/>
        <v>53100</v>
      </c>
      <c r="F8" s="119">
        <f t="shared" si="1"/>
        <v>36</v>
      </c>
      <c r="G8" s="115">
        <f t="shared" si="2"/>
        <v>-4.0000000000000001E-3</v>
      </c>
      <c r="H8" s="116">
        <f t="shared" si="3"/>
        <v>2.5000000000000001E-2</v>
      </c>
      <c r="I8" s="117">
        <f t="shared" si="4"/>
        <v>5.0000000000000001E-3</v>
      </c>
      <c r="J8" s="120">
        <f>MIN(_xll.ohPack($Q$19:INDEX($Q$19:$Q$3552,MATCH(E8+1,$P$19:$P$3552,1),1)))</f>
        <v>-3.4233906771529549E-3</v>
      </c>
      <c r="K8" s="117">
        <f>MAX(_xll.ohPack($Q$19:INDEX($Q$19:$Q$3552,MATCH(E8+1,$P$19:$P$3552,1),1)))</f>
        <v>2.3157279359480525E-2</v>
      </c>
      <c r="L8" s="95"/>
    </row>
    <row r="9" spans="1:19" ht="11.25" hidden="1" customHeight="1" outlineLevel="1" thickBot="1" x14ac:dyDescent="0.25">
      <c r="A9" s="110"/>
      <c r="B9" s="111" t="str">
        <f>_xll.qlPeriodEquivalent(D9&amp;"M")</f>
        <v>60Y</v>
      </c>
      <c r="C9" s="112">
        <f t="shared" si="5"/>
        <v>42004</v>
      </c>
      <c r="D9" s="113">
        <v>720</v>
      </c>
      <c r="E9" s="112">
        <f t="shared" si="0"/>
        <v>64057</v>
      </c>
      <c r="F9" s="119">
        <f t="shared" si="1"/>
        <v>60</v>
      </c>
      <c r="G9" s="115">
        <f t="shared" si="2"/>
        <v>-4.0000000000000001E-3</v>
      </c>
      <c r="H9" s="116">
        <f t="shared" si="3"/>
        <v>2.5000000000000001E-2</v>
      </c>
      <c r="I9" s="117">
        <f t="shared" si="4"/>
        <v>5.0000000000000001E-3</v>
      </c>
      <c r="J9" s="120">
        <f>MIN(_xll.ohPack($Q$19:INDEX($Q$19:$Q$3552,MATCH(E9+1,$P$19:$P$3552,1),1)))</f>
        <v>-3.4233906771529549E-3</v>
      </c>
      <c r="K9" s="117">
        <f>MAX(_xll.ohPack($Q$19:INDEX($Q$19:$Q$3552,MATCH(E9+1,$P$19:$P$3552,1),1)))</f>
        <v>2.3157279359480525E-2</v>
      </c>
      <c r="L9" s="95"/>
      <c r="S9" s="121"/>
    </row>
    <row r="10" spans="1:19" ht="11.25" hidden="1" customHeight="1" outlineLevel="1" x14ac:dyDescent="0.2">
      <c r="A10" s="102"/>
      <c r="B10" s="103" t="str">
        <f>_xll.qlPeriodEquivalent(D10&amp;"M")</f>
        <v>1Y</v>
      </c>
      <c r="C10" s="104">
        <f>C3</f>
        <v>42124</v>
      </c>
      <c r="D10" s="105">
        <v>12</v>
      </c>
      <c r="E10" s="104">
        <f t="shared" si="0"/>
        <v>42508</v>
      </c>
      <c r="F10" s="106">
        <f t="shared" si="1"/>
        <v>1</v>
      </c>
      <c r="G10" s="107">
        <f>IF(J10&gt;=0,ROUNDDOWN(J10*10,2)/10,ROUNDUP(J10*10,2)/10)</f>
        <v>-4.0000000000000001E-3</v>
      </c>
      <c r="H10" s="108">
        <f t="shared" si="3"/>
        <v>-1E-3</v>
      </c>
      <c r="I10" s="109">
        <f t="shared" si="4"/>
        <v>5.0000000000000001E-4</v>
      </c>
      <c r="J10" s="108">
        <f>MIN(_xll.ohPack($R$19:INDEX($R$19:$R$3552,MATCH(E10+1,$P$19:$P$3552,1),1)))</f>
        <v>-3.4256121748033053E-3</v>
      </c>
      <c r="K10" s="109">
        <f>MAX(_xll.ohPack($R$19:INDEX($R$19:$R$3552,MATCH(E10+1,$P$19:$P$3552,1),1)))</f>
        <v>-2.6096151259924483E-3</v>
      </c>
      <c r="L10" s="95"/>
    </row>
    <row r="11" spans="1:19" ht="11.25" hidden="1" customHeight="1" outlineLevel="1" x14ac:dyDescent="0.2">
      <c r="A11" s="110"/>
      <c r="B11" s="111" t="str">
        <f>_xll.qlPeriodEquivalent(D11&amp;"M")</f>
        <v>2Y</v>
      </c>
      <c r="C11" s="112">
        <f t="shared" ref="C11:C15" si="6">C4</f>
        <v>42094</v>
      </c>
      <c r="D11" s="113">
        <v>24</v>
      </c>
      <c r="E11" s="112">
        <f t="shared" si="0"/>
        <v>42873</v>
      </c>
      <c r="F11" s="114">
        <f t="shared" si="1"/>
        <v>3</v>
      </c>
      <c r="G11" s="115">
        <f t="shared" si="2"/>
        <v>-4.0000000000000001E-3</v>
      </c>
      <c r="H11" s="116">
        <f t="shared" si="3"/>
        <v>2E-3</v>
      </c>
      <c r="I11" s="117">
        <f t="shared" si="4"/>
        <v>1E-3</v>
      </c>
      <c r="J11" s="116">
        <f>MIN(_xll.ohPack($R$19:INDEX($R$19:$R$3552,MATCH(E11+1,$P$19:$P$3552,1),1)))</f>
        <v>-3.4256121748033053E-3</v>
      </c>
      <c r="K11" s="117">
        <f>MAX(_xll.ohPack($R$19:INDEX($R$19:$R$3552,MATCH(E11+1,$P$19:$P$3552,1),1)))</f>
        <v>1.0712424673720022E-3</v>
      </c>
      <c r="L11" s="95"/>
    </row>
    <row r="12" spans="1:19" ht="11.25" hidden="1" customHeight="1" outlineLevel="1" x14ac:dyDescent="0.2">
      <c r="A12" s="110"/>
      <c r="B12" s="111" t="str">
        <f>_xll.qlPeriodEquivalent(D12&amp;"M")</f>
        <v>5Y</v>
      </c>
      <c r="C12" s="112">
        <f t="shared" si="6"/>
        <v>42004</v>
      </c>
      <c r="D12" s="113">
        <v>60</v>
      </c>
      <c r="E12" s="112">
        <f t="shared" si="0"/>
        <v>43969</v>
      </c>
      <c r="F12" s="114">
        <f t="shared" si="1"/>
        <v>6</v>
      </c>
      <c r="G12" s="115">
        <f t="shared" si="2"/>
        <v>-4.0000000000000001E-3</v>
      </c>
      <c r="H12" s="116">
        <f t="shared" si="3"/>
        <v>0.02</v>
      </c>
      <c r="I12" s="117">
        <f t="shared" si="4"/>
        <v>5.0000000000000001E-3</v>
      </c>
      <c r="J12" s="116">
        <f>MIN(_xll.ohPack($R$19:INDEX($R$19:$R$3552,MATCH(E12+1,$P$19:$P$3552,1),1)))</f>
        <v>-3.4256121748033053E-3</v>
      </c>
      <c r="K12" s="117">
        <f>MAX(_xll.ohPack($R$19:INDEX($R$19:$R$3552,MATCH(E12+1,$P$19:$P$3552,1),1)))</f>
        <v>1.5303847405334636E-2</v>
      </c>
      <c r="L12" s="95"/>
    </row>
    <row r="13" spans="1:19" ht="11.25" hidden="1" customHeight="1" outlineLevel="1" x14ac:dyDescent="0.2">
      <c r="A13" s="118" t="s">
        <v>99</v>
      </c>
      <c r="B13" s="111" t="str">
        <f>_xll.qlPeriodEquivalent(D13&amp;"M")</f>
        <v>10Y</v>
      </c>
      <c r="C13" s="112">
        <f t="shared" si="6"/>
        <v>42004</v>
      </c>
      <c r="D13" s="113">
        <v>120</v>
      </c>
      <c r="E13" s="112">
        <f t="shared" si="0"/>
        <v>45795</v>
      </c>
      <c r="F13" s="114">
        <f t="shared" si="1"/>
        <v>6</v>
      </c>
      <c r="G13" s="115">
        <f t="shared" si="2"/>
        <v>-4.0000000000000001E-3</v>
      </c>
      <c r="H13" s="116">
        <f t="shared" si="3"/>
        <v>2.5000000000000001E-2</v>
      </c>
      <c r="I13" s="117">
        <f t="shared" si="4"/>
        <v>5.0000000000000001E-3</v>
      </c>
      <c r="J13" s="116">
        <f>MIN(_xll.ohPack($R$19:INDEX($R$19:$R$3552,MATCH(E13+1,$P$19:$P$3552,1),1)))</f>
        <v>-3.4256121748033053E-3</v>
      </c>
      <c r="K13" s="117">
        <f>MAX(_xll.ohPack($R$19:INDEX($R$19:$R$3552,MATCH(E13+1,$P$19:$P$3552,1),1)))</f>
        <v>2.1237230912252159E-2</v>
      </c>
      <c r="L13" s="95"/>
    </row>
    <row r="14" spans="1:19" ht="11.25" hidden="1" customHeight="1" outlineLevel="1" x14ac:dyDescent="0.2">
      <c r="A14" s="110"/>
      <c r="B14" s="111" t="str">
        <f>_xll.qlPeriodEquivalent(D14&amp;"M")</f>
        <v>20Y</v>
      </c>
      <c r="C14" s="112">
        <f t="shared" si="6"/>
        <v>42004</v>
      </c>
      <c r="D14" s="113">
        <v>240</v>
      </c>
      <c r="E14" s="112">
        <f t="shared" si="0"/>
        <v>49447</v>
      </c>
      <c r="F14" s="119">
        <f>IF(D14&lt;=12,1,IF(D14&lt;=24,3,IF(D14&lt;=120,6,IF(D14&lt;=240,12,IF(D14&lt;=360,36,60)))))</f>
        <v>12</v>
      </c>
      <c r="G14" s="115">
        <f t="shared" si="2"/>
        <v>-4.0000000000000001E-3</v>
      </c>
      <c r="H14" s="116">
        <f t="shared" si="3"/>
        <v>2.5000000000000001E-2</v>
      </c>
      <c r="I14" s="117">
        <f t="shared" si="4"/>
        <v>5.0000000000000001E-3</v>
      </c>
      <c r="J14" s="120">
        <f>MIN(_xll.ohPack($R$19:INDEX($R$19:$R$3552,MATCH(E14+1,$P$19:$P$3552,1),1)))</f>
        <v>-3.4256121748033053E-3</v>
      </c>
      <c r="K14" s="117">
        <f>MAX(_xll.ohPack($R$19:INDEX($R$19:$R$3552,MATCH(E14+1,$P$19:$P$3552,1),1)))</f>
        <v>2.3134999806444512E-2</v>
      </c>
      <c r="L14" s="95"/>
    </row>
    <row r="15" spans="1:19" ht="11.25" hidden="1" customHeight="1" outlineLevel="1" x14ac:dyDescent="0.2">
      <c r="A15" s="110"/>
      <c r="B15" s="111" t="str">
        <f>_xll.qlPeriodEquivalent(D15&amp;"M")</f>
        <v>30Y</v>
      </c>
      <c r="C15" s="112">
        <f t="shared" si="6"/>
        <v>42004</v>
      </c>
      <c r="D15" s="113">
        <v>360</v>
      </c>
      <c r="E15" s="112">
        <f t="shared" si="0"/>
        <v>53100</v>
      </c>
      <c r="F15" s="119">
        <f t="shared" si="1"/>
        <v>36</v>
      </c>
      <c r="G15" s="115">
        <f t="shared" si="2"/>
        <v>-4.0000000000000001E-3</v>
      </c>
      <c r="H15" s="116">
        <f t="shared" si="3"/>
        <v>2.5000000000000001E-2</v>
      </c>
      <c r="I15" s="117">
        <f t="shared" si="4"/>
        <v>5.0000000000000001E-3</v>
      </c>
      <c r="J15" s="120">
        <f>MIN(_xll.ohPack($R$19:INDEX($R$19:$R$3552,MATCH(E15+1,$P$19:$P$3552,1),1)))</f>
        <v>-3.4256121748033053E-3</v>
      </c>
      <c r="K15" s="117">
        <f>MAX(_xll.ohPack($R$19:INDEX($R$19:$R$3552,MATCH(E15+1,$P$19:$P$3552,1),1)))</f>
        <v>2.3134999806444512E-2</v>
      </c>
      <c r="L15" s="95"/>
      <c r="M15" s="96"/>
      <c r="Q15" s="122" t="s">
        <v>100</v>
      </c>
      <c r="R15" s="122" t="s">
        <v>101</v>
      </c>
    </row>
    <row r="16" spans="1:19" ht="11.25" hidden="1" customHeight="1" outlineLevel="1" thickBot="1" x14ac:dyDescent="0.25">
      <c r="A16" s="123"/>
      <c r="B16" s="124" t="str">
        <f>_xll.qlPeriodEquivalent(D16&amp;"M")</f>
        <v>60Y</v>
      </c>
      <c r="C16" s="125">
        <f>C9</f>
        <v>42004</v>
      </c>
      <c r="D16" s="126">
        <v>720</v>
      </c>
      <c r="E16" s="125">
        <f t="shared" si="0"/>
        <v>64057</v>
      </c>
      <c r="F16" s="127">
        <f t="shared" si="1"/>
        <v>60</v>
      </c>
      <c r="G16" s="128">
        <f t="shared" si="2"/>
        <v>-4.0000000000000001E-3</v>
      </c>
      <c r="H16" s="129">
        <f t="shared" si="3"/>
        <v>2.5000000000000001E-2</v>
      </c>
      <c r="I16" s="130">
        <f t="shared" si="4"/>
        <v>5.0000000000000001E-3</v>
      </c>
      <c r="J16" s="131">
        <f>MIN(_xll.ohPack($R$19:INDEX($R$19:$R$3552,MATCH(E16+1,$P$19:$P$3552,1),1)))</f>
        <v>-3.4256121748033053E-3</v>
      </c>
      <c r="K16" s="130">
        <f>MAX(_xll.ohPack($R$19:INDEX($R$19:$R$3552,MATCH(E16+1,$P$19:$P$3552,1),1)))</f>
        <v>2.3134999806444512E-2</v>
      </c>
      <c r="L16" s="95"/>
      <c r="M16" s="132"/>
      <c r="Q16" s="133" t="str">
        <f>_xll.qlIborIndex(,FamilyName,IndexTenor,NDays,Currency,Calendar,"mf",TRUE,MoneyMarketDayCounter,YieldCurve,,RecalcTrigger)</f>
        <v>obj_00301#0002</v>
      </c>
      <c r="R16" s="133" t="str">
        <f>_xll.qlOvernightIndex(,FamilyName,NDays,Currency,Calendar,MoneyMarketDayCounter,YieldCurve,,RecalcTrigger)</f>
        <v>obj_00300#0002</v>
      </c>
    </row>
    <row r="17" spans="10:18" ht="12" collapsed="1" thickBot="1" x14ac:dyDescent="0.25"/>
    <row r="18" spans="10:18" ht="12" thickBot="1" x14ac:dyDescent="0.25">
      <c r="N18" s="134" t="s">
        <v>104</v>
      </c>
      <c r="O18" s="135" t="s">
        <v>103</v>
      </c>
      <c r="P18" s="135" t="s">
        <v>102</v>
      </c>
      <c r="Q18" s="136" t="s">
        <v>125</v>
      </c>
      <c r="R18" s="137" t="s">
        <v>99</v>
      </c>
    </row>
    <row r="19" spans="10:18" ht="12" thickBot="1" x14ac:dyDescent="0.25">
      <c r="J19" s="138" t="s">
        <v>105</v>
      </c>
      <c r="N19" s="139" t="s">
        <v>89</v>
      </c>
      <c r="O19" s="140">
        <f>_xll.qlCalendarAdvance(Calendar,_xll.qlSettingsEvaluationDate(Trigger),"0D","following",FALSE,Trigger)</f>
        <v>42137</v>
      </c>
      <c r="P19" s="140">
        <f>_xll.qlInterestRateIndexValueDate(IborIndex,O19)</f>
        <v>42142</v>
      </c>
      <c r="Q19" s="141">
        <f t="array" ref="Q19:Q3552">IFERROR(_xll.qlIndexFixing(IborIndex,O19:O3552,TRUE,RecalcTrigger),NA())</f>
        <v>-2.639999999989962E-3</v>
      </c>
      <c r="R19" s="143">
        <f t="array" ref="R19:R3552">IFERROR(_xll.qlIndexFixing(OverNightIndex,P19:P3552,TRUE,RecalcTrigger),NA())</f>
        <v>-2.6622185117997077E-3</v>
      </c>
    </row>
    <row r="20" spans="10:18" ht="12" thickBot="1" x14ac:dyDescent="0.25">
      <c r="J20" s="145"/>
      <c r="N20" s="139" t="str">
        <f>N19</f>
        <v>1D</v>
      </c>
      <c r="O20" s="146">
        <f>_xll.qlCalendarAdvance(Calendar,O19,N20,"f",FALSE)</f>
        <v>42139</v>
      </c>
      <c r="P20" s="140">
        <f>_xll.qlInterestRateIndexValueDate(IborIndex,O20)</f>
        <v>42143</v>
      </c>
      <c r="Q20" s="141">
        <v>-2.6402301461055998E-3</v>
      </c>
      <c r="R20" s="143">
        <v>-2.6617586450150554E-3</v>
      </c>
    </row>
    <row r="21" spans="10:18" ht="12" thickBot="1" x14ac:dyDescent="0.25">
      <c r="N21" s="139" t="str">
        <f t="shared" ref="N21:N84" si="7">N20</f>
        <v>1D</v>
      </c>
      <c r="O21" s="146">
        <f>_xll.qlCalendarAdvance(Calendar,O20,N21,"f",FALSE)</f>
        <v>42142</v>
      </c>
      <c r="P21" s="140">
        <f>_xll.qlInterestRateIndexValueDate(IborIndex,O21)</f>
        <v>42144</v>
      </c>
      <c r="Q21" s="141">
        <v>-2.6395740637908849E-3</v>
      </c>
      <c r="R21" s="143">
        <v>-2.6598130553157073E-3</v>
      </c>
    </row>
    <row r="22" spans="10:18" ht="23.25" thickBot="1" x14ac:dyDescent="0.25">
      <c r="J22" s="177" t="s">
        <v>108</v>
      </c>
      <c r="N22" s="139" t="str">
        <f t="shared" si="7"/>
        <v>1D</v>
      </c>
      <c r="O22" s="146">
        <f>_xll.qlCalendarAdvance(Calendar,O21,N22,"f",FALSE)</f>
        <v>42143</v>
      </c>
      <c r="P22" s="140">
        <f>_xll.qlInterestRateIndexValueDate(IborIndex,O22)</f>
        <v>42145</v>
      </c>
      <c r="Q22" s="141">
        <v>-2.6388859394879671E-3</v>
      </c>
      <c r="R22" s="143">
        <v>-2.6571879175385504E-3</v>
      </c>
    </row>
    <row r="23" spans="10:18" ht="12" thickBot="1" x14ac:dyDescent="0.25">
      <c r="J23" s="176" t="str">
        <f>ROUNDDOWN((_xll.qlTermStructureMaxDate(YieldCurve,Trigger)-_xll.qlTermStructureReferenceDate(YieldCurve,Trigger))/365,)&amp;"Y"</f>
        <v>30Y</v>
      </c>
      <c r="N23" s="139" t="str">
        <f t="shared" si="7"/>
        <v>1D</v>
      </c>
      <c r="O23" s="146">
        <f>_xll.qlCalendarAdvance(Calendar,O22,N23,"f",FALSE)</f>
        <v>42144</v>
      </c>
      <c r="P23" s="140">
        <f>_xll.qlInterestRateIndexValueDate(IborIndex,O23)</f>
        <v>42146</v>
      </c>
      <c r="Q23" s="141">
        <v>-2.6381676162922836E-3</v>
      </c>
      <c r="R23" s="143">
        <v>-2.655975960124124E-3</v>
      </c>
    </row>
    <row r="24" spans="10:18" x14ac:dyDescent="0.2">
      <c r="N24" s="139" t="str">
        <f t="shared" si="7"/>
        <v>1D</v>
      </c>
      <c r="O24" s="146">
        <f>_xll.qlCalendarAdvance(Calendar,O23,N24,"f",FALSE)</f>
        <v>42145</v>
      </c>
      <c r="P24" s="140">
        <f>_xll.qlInterestRateIndexValueDate(IborIndex,O24)</f>
        <v>42150</v>
      </c>
      <c r="Q24" s="141">
        <v>-2.6408134149305271E-3</v>
      </c>
      <c r="R24" s="143">
        <v>-2.6547783568675598E-3</v>
      </c>
    </row>
    <row r="25" spans="10:18" x14ac:dyDescent="0.2">
      <c r="N25" s="139" t="str">
        <f t="shared" si="7"/>
        <v>1D</v>
      </c>
      <c r="O25" s="146">
        <f>_xll.qlCalendarAdvance(Calendar,O24,N25,"f",FALSE)</f>
        <v>42146</v>
      </c>
      <c r="P25" s="140">
        <f>_xll.qlInterestRateIndexValueDate(IborIndex,O25)</f>
        <v>42151</v>
      </c>
      <c r="Q25" s="141">
        <v>-2.6463896986510123E-3</v>
      </c>
      <c r="R25" s="143">
        <v>-2.6524114544468347E-3</v>
      </c>
    </row>
    <row r="26" spans="10:18" x14ac:dyDescent="0.2">
      <c r="N26" s="139" t="str">
        <f t="shared" si="7"/>
        <v>1D</v>
      </c>
      <c r="O26" s="146">
        <f>_xll.qlCalendarAdvance(Calendar,O25,N26,"f",FALSE)</f>
        <v>42150</v>
      </c>
      <c r="P26" s="140">
        <f>_xll.qlInterestRateIndexValueDate(IborIndex,O26)</f>
        <v>42152</v>
      </c>
      <c r="Q26" s="141">
        <v>-2.6461096502125581E-3</v>
      </c>
      <c r="R26" s="143">
        <v>-2.6499989384864975E-3</v>
      </c>
    </row>
    <row r="27" spans="10:18" x14ac:dyDescent="0.2">
      <c r="N27" s="139" t="str">
        <f t="shared" si="7"/>
        <v>1D</v>
      </c>
      <c r="O27" s="146">
        <f>_xll.qlCalendarAdvance(Calendar,O26,N27,"f",FALSE)</f>
        <v>42151</v>
      </c>
      <c r="P27" s="140">
        <f>_xll.qlInterestRateIndexValueDate(IborIndex,O27)</f>
        <v>42153</v>
      </c>
      <c r="Q27" s="141">
        <v>-2.6482605030134221E-3</v>
      </c>
      <c r="R27" s="143">
        <v>-2.6480778306536834E-3</v>
      </c>
    </row>
    <row r="28" spans="10:18" x14ac:dyDescent="0.2">
      <c r="N28" s="139" t="str">
        <f t="shared" si="7"/>
        <v>1D</v>
      </c>
      <c r="O28" s="146">
        <f>_xll.qlCalendarAdvance(Calendar,O27,N28,"f",FALSE)</f>
        <v>42152</v>
      </c>
      <c r="P28" s="140">
        <f>_xll.qlInterestRateIndexValueDate(IborIndex,O28)</f>
        <v>42156</v>
      </c>
      <c r="Q28" s="141">
        <v>-2.6506520403470901E-3</v>
      </c>
      <c r="R28" s="143">
        <v>-2.6453758017730422E-3</v>
      </c>
    </row>
    <row r="29" spans="10:18" x14ac:dyDescent="0.2">
      <c r="N29" s="139" t="str">
        <f t="shared" si="7"/>
        <v>1D</v>
      </c>
      <c r="O29" s="146">
        <f>_xll.qlCalendarAdvance(Calendar,O28,N29,"f",FALSE)</f>
        <v>42153</v>
      </c>
      <c r="P29" s="140">
        <f>_xll.qlInterestRateIndexValueDate(IborIndex,O29)</f>
        <v>42157</v>
      </c>
      <c r="Q29" s="141">
        <v>-2.6536189591790382E-3</v>
      </c>
      <c r="R29" s="143">
        <v>-2.6418928518845419E-3</v>
      </c>
    </row>
    <row r="30" spans="10:18" x14ac:dyDescent="0.2">
      <c r="N30" s="139" t="str">
        <f t="shared" si="7"/>
        <v>1D</v>
      </c>
      <c r="O30" s="146">
        <f>_xll.qlCalendarAdvance(Calendar,O29,N30,"f",FALSE)</f>
        <v>42156</v>
      </c>
      <c r="P30" s="140">
        <f>_xll.qlInterestRateIndexValueDate(IborIndex,O30)</f>
        <v>42158</v>
      </c>
      <c r="Q30" s="141">
        <v>-2.6569044463173874E-3</v>
      </c>
      <c r="R30" s="143">
        <v>-2.6323046348508683E-3</v>
      </c>
    </row>
    <row r="31" spans="10:18" x14ac:dyDescent="0.2">
      <c r="N31" s="139" t="str">
        <f t="shared" si="7"/>
        <v>1D</v>
      </c>
      <c r="O31" s="146">
        <f>_xll.qlCalendarAdvance(Calendar,O30,N31,"f",FALSE)</f>
        <v>42157</v>
      </c>
      <c r="P31" s="140">
        <f>_xll.qlInterestRateIndexValueDate(IborIndex,O31)</f>
        <v>42159</v>
      </c>
      <c r="Q31" s="141">
        <v>-2.6670586908872362E-3</v>
      </c>
      <c r="R31" s="143">
        <v>-2.6205293753367442E-3</v>
      </c>
    </row>
    <row r="32" spans="10:18" x14ac:dyDescent="0.2">
      <c r="N32" s="139" t="str">
        <f t="shared" si="7"/>
        <v>1D</v>
      </c>
      <c r="O32" s="146">
        <f>_xll.qlCalendarAdvance(Calendar,O31,N32,"f",FALSE)</f>
        <v>42158</v>
      </c>
      <c r="P32" s="140">
        <f>_xll.qlInterestRateIndexValueDate(IborIndex,O32)</f>
        <v>42160</v>
      </c>
      <c r="Q32" s="141">
        <v>-2.6678900706996493E-3</v>
      </c>
      <c r="R32" s="143">
        <v>-2.6154070167994092E-3</v>
      </c>
    </row>
    <row r="33" spans="14:18" x14ac:dyDescent="0.2">
      <c r="N33" s="139" t="str">
        <f t="shared" si="7"/>
        <v>1D</v>
      </c>
      <c r="O33" s="146">
        <f>_xll.qlCalendarAdvance(Calendar,O32,N33,"f",FALSE)</f>
        <v>42159</v>
      </c>
      <c r="P33" s="140">
        <f>_xll.qlInterestRateIndexValueDate(IborIndex,O33)</f>
        <v>42163</v>
      </c>
      <c r="Q33" s="141">
        <v>-2.678971442557021E-3</v>
      </c>
      <c r="R33" s="143">
        <v>-2.6117689336446759E-3</v>
      </c>
    </row>
    <row r="34" spans="14:18" x14ac:dyDescent="0.2">
      <c r="N34" s="139" t="str">
        <f t="shared" si="7"/>
        <v>1D</v>
      </c>
      <c r="O34" s="146">
        <f>_xll.qlCalendarAdvance(Calendar,O33,N34,"f",FALSE)</f>
        <v>42160</v>
      </c>
      <c r="P34" s="140">
        <f>_xll.qlInterestRateIndexValueDate(IborIndex,O34)</f>
        <v>42164</v>
      </c>
      <c r="Q34" s="141">
        <v>-2.6846723784137438E-3</v>
      </c>
      <c r="R34" s="143">
        <v>-2.6096151259924483E-3</v>
      </c>
    </row>
    <row r="35" spans="14:18" x14ac:dyDescent="0.2">
      <c r="N35" s="139" t="str">
        <f t="shared" si="7"/>
        <v>1D</v>
      </c>
      <c r="O35" s="146">
        <f>_xll.qlCalendarAdvance(Calendar,O34,N35,"f",FALSE)</f>
        <v>42163</v>
      </c>
      <c r="P35" s="140">
        <f>_xll.qlInterestRateIndexValueDate(IborIndex,O35)</f>
        <v>42165</v>
      </c>
      <c r="Q35" s="141">
        <v>-2.6907885985600899E-3</v>
      </c>
      <c r="R35" s="143">
        <v>-2.6102361693292053E-3</v>
      </c>
    </row>
    <row r="36" spans="14:18" x14ac:dyDescent="0.2">
      <c r="N36" s="139" t="str">
        <f t="shared" si="7"/>
        <v>1D</v>
      </c>
      <c r="O36" s="146">
        <f>_xll.qlCalendarAdvance(Calendar,O35,N36,"f",FALSE)</f>
        <v>42164</v>
      </c>
      <c r="P36" s="140">
        <f>_xll.qlInterestRateIndexValueDate(IborIndex,O36)</f>
        <v>42166</v>
      </c>
      <c r="Q36" s="141">
        <v>-2.7047176533631645E-3</v>
      </c>
      <c r="R36" s="143">
        <v>-2.6158426498890108E-3</v>
      </c>
    </row>
    <row r="37" spans="14:18" x14ac:dyDescent="0.2">
      <c r="N37" s="139" t="str">
        <f t="shared" si="7"/>
        <v>1D</v>
      </c>
      <c r="O37" s="146">
        <f>_xll.qlCalendarAdvance(Calendar,O36,N37,"f",FALSE)</f>
        <v>42165</v>
      </c>
      <c r="P37" s="140">
        <f>_xll.qlInterestRateIndexValueDate(IborIndex,O37)</f>
        <v>42167</v>
      </c>
      <c r="Q37" s="141">
        <v>-2.7078051055189562E-3</v>
      </c>
      <c r="R37" s="143">
        <v>-2.6211102194295677E-3</v>
      </c>
    </row>
    <row r="38" spans="14:18" x14ac:dyDescent="0.2">
      <c r="N38" s="139" t="str">
        <f t="shared" si="7"/>
        <v>1D</v>
      </c>
      <c r="O38" s="146">
        <f>_xll.qlCalendarAdvance(Calendar,O37,N38,"f",FALSE)</f>
        <v>42166</v>
      </c>
      <c r="P38" s="140">
        <f>_xll.qlInterestRateIndexValueDate(IborIndex,O38)</f>
        <v>42170</v>
      </c>
      <c r="Q38" s="141">
        <v>-2.7258178344973238E-3</v>
      </c>
      <c r="R38" s="143">
        <v>-2.6278620643527262E-3</v>
      </c>
    </row>
    <row r="39" spans="14:18" x14ac:dyDescent="0.2">
      <c r="N39" s="139" t="str">
        <f t="shared" si="7"/>
        <v>1D</v>
      </c>
      <c r="O39" s="146">
        <f>_xll.qlCalendarAdvance(Calendar,O38,N39,"f",FALSE)</f>
        <v>42167</v>
      </c>
      <c r="P39" s="140">
        <f>_xll.qlInterestRateIndexValueDate(IborIndex,O39)</f>
        <v>42171</v>
      </c>
      <c r="Q39" s="141">
        <v>-2.7333570842165145E-3</v>
      </c>
      <c r="R39" s="143">
        <v>-2.6480618412438872E-3</v>
      </c>
    </row>
    <row r="40" spans="14:18" x14ac:dyDescent="0.2">
      <c r="N40" s="139" t="str">
        <f t="shared" si="7"/>
        <v>1D</v>
      </c>
      <c r="O40" s="146">
        <f>_xll.qlCalendarAdvance(Calendar,O39,N40,"f",FALSE)</f>
        <v>42170</v>
      </c>
      <c r="P40" s="140">
        <f>_xll.qlInterestRateIndexValueDate(IborIndex,O40)</f>
        <v>42172</v>
      </c>
      <c r="Q40" s="141">
        <v>-2.7409553938007036E-3</v>
      </c>
      <c r="R40" s="143">
        <v>-2.6683609419642096E-3</v>
      </c>
    </row>
    <row r="41" spans="14:18" x14ac:dyDescent="0.2">
      <c r="N41" s="139" t="str">
        <f t="shared" si="7"/>
        <v>1D</v>
      </c>
      <c r="O41" s="146">
        <f>_xll.qlCalendarAdvance(Calendar,O40,N41,"f",FALSE)</f>
        <v>42171</v>
      </c>
      <c r="P41" s="140">
        <f>_xll.qlInterestRateIndexValueDate(IborIndex,O41)</f>
        <v>42173</v>
      </c>
      <c r="Q41" s="141">
        <v>-2.7558923380929801E-3</v>
      </c>
      <c r="R41" s="143">
        <v>-2.6763834502618877E-3</v>
      </c>
    </row>
    <row r="42" spans="14:18" x14ac:dyDescent="0.2">
      <c r="N42" s="139" t="str">
        <f t="shared" si="7"/>
        <v>1D</v>
      </c>
      <c r="O42" s="146">
        <f>_xll.qlCalendarAdvance(Calendar,O41,N42,"f",FALSE)</f>
        <v>42172</v>
      </c>
      <c r="P42" s="140">
        <f>_xll.qlInterestRateIndexValueDate(IborIndex,O42)</f>
        <v>42177</v>
      </c>
      <c r="Q42" s="141">
        <v>-2.7785945488147945E-3</v>
      </c>
      <c r="R42" s="143">
        <v>-2.6843632364537129E-3</v>
      </c>
    </row>
    <row r="43" spans="14:18" x14ac:dyDescent="0.2">
      <c r="N43" s="139" t="str">
        <f t="shared" si="7"/>
        <v>1D</v>
      </c>
      <c r="O43" s="146">
        <f>_xll.qlCalendarAdvance(Calendar,O42,N43,"f",FALSE)</f>
        <v>42173</v>
      </c>
      <c r="P43" s="140">
        <f>_xll.qlInterestRateIndexValueDate(IborIndex,O43)</f>
        <v>42178</v>
      </c>
      <c r="Q43" s="141">
        <v>-2.7859959242273469E-3</v>
      </c>
      <c r="R43" s="143">
        <v>-2.6923003000201007E-3</v>
      </c>
    </row>
    <row r="44" spans="14:18" x14ac:dyDescent="0.2">
      <c r="N44" s="139" t="str">
        <f t="shared" si="7"/>
        <v>1D</v>
      </c>
      <c r="O44" s="146">
        <f>_xll.qlCalendarAdvance(Calendar,O43,N44,"f",FALSE)</f>
        <v>42177</v>
      </c>
      <c r="P44" s="140">
        <f>_xll.qlInterestRateIndexValueDate(IborIndex,O44)</f>
        <v>42179</v>
      </c>
      <c r="Q44" s="141">
        <v>-2.7933545825340467E-3</v>
      </c>
      <c r="R44" s="143">
        <v>-2.7080116490951767E-3</v>
      </c>
    </row>
    <row r="45" spans="14:18" x14ac:dyDescent="0.2">
      <c r="N45" s="139" t="str">
        <f t="shared" si="7"/>
        <v>1D</v>
      </c>
      <c r="O45" s="146">
        <f>_xll.qlCalendarAdvance(Calendar,O44,N45,"f",FALSE)</f>
        <v>42178</v>
      </c>
      <c r="P45" s="140">
        <f>_xll.qlInterestRateIndexValueDate(IborIndex,O45)</f>
        <v>42180</v>
      </c>
      <c r="Q45" s="141">
        <v>-2.8077011672597574E-3</v>
      </c>
      <c r="R45" s="143">
        <v>-2.7236213314285607E-3</v>
      </c>
    </row>
    <row r="46" spans="14:18" x14ac:dyDescent="0.2">
      <c r="N46" s="139" t="str">
        <f t="shared" si="7"/>
        <v>1D</v>
      </c>
      <c r="O46" s="146">
        <f>_xll.qlCalendarAdvance(Calendar,O45,N46,"f",FALSE)</f>
        <v>42179</v>
      </c>
      <c r="P46" s="140">
        <f>_xll.qlInterestRateIndexValueDate(IborIndex,O46)</f>
        <v>42181</v>
      </c>
      <c r="Q46" s="141">
        <v>-2.8114448015841504E-3</v>
      </c>
      <c r="R46" s="143">
        <v>-2.7313447835064508E-3</v>
      </c>
    </row>
    <row r="47" spans="14:18" x14ac:dyDescent="0.2">
      <c r="N47" s="139" t="str">
        <f t="shared" si="7"/>
        <v>1D</v>
      </c>
      <c r="O47" s="146">
        <f>_xll.qlCalendarAdvance(Calendar,O46,N47,"f",FALSE)</f>
        <v>42180</v>
      </c>
      <c r="P47" s="140">
        <f>_xll.qlInterestRateIndexValueDate(IborIndex,O47)</f>
        <v>42184</v>
      </c>
      <c r="Q47" s="141">
        <v>-2.8295071201749344E-3</v>
      </c>
      <c r="R47" s="143">
        <v>-2.7390255131187757E-3</v>
      </c>
    </row>
    <row r="48" spans="14:18" x14ac:dyDescent="0.2">
      <c r="N48" s="139" t="str">
        <f t="shared" si="7"/>
        <v>1D</v>
      </c>
      <c r="O48" s="146">
        <f>_xll.qlCalendarAdvance(Calendar,O47,N48,"f",FALSE)</f>
        <v>42181</v>
      </c>
      <c r="P48" s="140">
        <f>_xll.qlInterestRateIndexValueDate(IborIndex,O48)</f>
        <v>42185</v>
      </c>
      <c r="Q48" s="141">
        <v>-2.8400248734171719E-3</v>
      </c>
      <c r="R48" s="143">
        <v>-2.7466635205053436E-3</v>
      </c>
    </row>
    <row r="49" spans="14:18" x14ac:dyDescent="0.2">
      <c r="N49" s="139" t="str">
        <f t="shared" si="7"/>
        <v>1D</v>
      </c>
      <c r="O49" s="146">
        <f>_xll.qlCalendarAdvance(Calendar,O48,N49,"f",FALSE)</f>
        <v>42184</v>
      </c>
      <c r="P49" s="140">
        <f>_xll.qlInterestRateIndexValueDate(IborIndex,O49)</f>
        <v>42186</v>
      </c>
      <c r="Q49" s="141">
        <v>-2.853808188836899E-3</v>
      </c>
      <c r="R49" s="143">
        <v>-2.761775940034461E-3</v>
      </c>
    </row>
    <row r="50" spans="14:18" x14ac:dyDescent="0.2">
      <c r="N50" s="139" t="str">
        <f t="shared" si="7"/>
        <v>1D</v>
      </c>
      <c r="O50" s="146">
        <f>_xll.qlCalendarAdvance(Calendar,O49,N50,"f",FALSE)</f>
        <v>42185</v>
      </c>
      <c r="P50" s="140">
        <f>_xll.qlInterestRateIndexValueDate(IborIndex,O50)</f>
        <v>42187</v>
      </c>
      <c r="Q50" s="141">
        <v>-2.8574168878350847E-3</v>
      </c>
      <c r="R50" s="143">
        <v>-2.7767883267149074E-3</v>
      </c>
    </row>
    <row r="51" spans="14:18" x14ac:dyDescent="0.2">
      <c r="N51" s="139" t="str">
        <f t="shared" si="7"/>
        <v>1D</v>
      </c>
      <c r="O51" s="146">
        <f>_xll.qlCalendarAdvance(Calendar,O50,N51,"f",FALSE)</f>
        <v>42186</v>
      </c>
      <c r="P51" s="140">
        <f>_xll.qlInterestRateIndexValueDate(IborIndex,O51)</f>
        <v>42188</v>
      </c>
      <c r="Q51" s="141">
        <v>-2.8610114055357514E-3</v>
      </c>
      <c r="R51" s="143">
        <v>-2.7842127225730096E-3</v>
      </c>
    </row>
    <row r="52" spans="14:18" x14ac:dyDescent="0.2">
      <c r="N52" s="139" t="str">
        <f t="shared" si="7"/>
        <v>1D</v>
      </c>
      <c r="O52" s="146">
        <f>_xll.qlCalendarAdvance(Calendar,O51,N52,"f",FALSE)</f>
        <v>42187</v>
      </c>
      <c r="P52" s="140">
        <f>_xll.qlInterestRateIndexValueDate(IborIndex,O52)</f>
        <v>42191</v>
      </c>
      <c r="Q52" s="141">
        <v>-2.8816134927564787E-3</v>
      </c>
      <c r="R52" s="143">
        <v>-2.7915943959655465E-3</v>
      </c>
    </row>
    <row r="53" spans="14:18" x14ac:dyDescent="0.2">
      <c r="N53" s="139" t="str">
        <f t="shared" si="7"/>
        <v>1D</v>
      </c>
      <c r="O53" s="146">
        <f>_xll.qlCalendarAdvance(Calendar,O52,N53,"f",FALSE)</f>
        <v>42188</v>
      </c>
      <c r="P53" s="140">
        <f>_xll.qlInterestRateIndexValueDate(IborIndex,O53)</f>
        <v>42192</v>
      </c>
      <c r="Q53" s="141">
        <v>-2.8883954233181338E-3</v>
      </c>
      <c r="R53" s="143">
        <v>-2.7989333471722944E-3</v>
      </c>
    </row>
    <row r="54" spans="14:18" x14ac:dyDescent="0.2">
      <c r="N54" s="139" t="str">
        <f t="shared" si="7"/>
        <v>1D</v>
      </c>
      <c r="O54" s="146">
        <f>_xll.qlCalendarAdvance(Calendar,O53,N54,"f",FALSE)</f>
        <v>42191</v>
      </c>
      <c r="P54" s="140">
        <f>_xll.qlInterestRateIndexValueDate(IborIndex,O54)</f>
        <v>42193</v>
      </c>
      <c r="Q54" s="141">
        <v>-2.901579952022166E-3</v>
      </c>
      <c r="R54" s="143">
        <v>-2.8134468541285429E-3</v>
      </c>
    </row>
    <row r="55" spans="14:18" x14ac:dyDescent="0.2">
      <c r="N55" s="139" t="str">
        <f t="shared" si="7"/>
        <v>1D</v>
      </c>
      <c r="O55" s="146">
        <f>_xll.qlCalendarAdvance(Calendar,O54,N55,"f",FALSE)</f>
        <v>42192</v>
      </c>
      <c r="P55" s="140">
        <f>_xll.qlInterestRateIndexValueDate(IborIndex,O55)</f>
        <v>42194</v>
      </c>
      <c r="Q55" s="141">
        <v>-2.9050395275717622E-3</v>
      </c>
      <c r="R55" s="143">
        <v>-2.8278619288224505E-3</v>
      </c>
    </row>
    <row r="56" spans="14:18" x14ac:dyDescent="0.2">
      <c r="N56" s="139" t="str">
        <f t="shared" si="7"/>
        <v>1D</v>
      </c>
      <c r="O56" s="146">
        <f>_xll.qlCalendarAdvance(Calendar,O55,N56,"f",FALSE)</f>
        <v>42193</v>
      </c>
      <c r="P56" s="140">
        <f>_xll.qlInterestRateIndexValueDate(IborIndex,O56)</f>
        <v>42195</v>
      </c>
      <c r="Q56" s="141">
        <v>-2.9084849205168201E-3</v>
      </c>
      <c r="R56" s="143">
        <v>-2.8349872685007327E-3</v>
      </c>
    </row>
    <row r="57" spans="14:18" x14ac:dyDescent="0.2">
      <c r="N57" s="139" t="str">
        <f t="shared" si="7"/>
        <v>1D</v>
      </c>
      <c r="O57" s="146">
        <f>_xll.qlCalendarAdvance(Calendar,O56,N57,"f",FALSE)</f>
        <v>42194</v>
      </c>
      <c r="P57" s="140">
        <f>_xll.qlInterestRateIndexValueDate(IborIndex,O57)</f>
        <v>42198</v>
      </c>
      <c r="Q57" s="141">
        <v>-2.9281899775338823E-3</v>
      </c>
      <c r="R57" s="143">
        <v>-2.8420698858733218E-3</v>
      </c>
    </row>
    <row r="58" spans="14:18" x14ac:dyDescent="0.2">
      <c r="N58" s="139" t="str">
        <f t="shared" si="7"/>
        <v>1D</v>
      </c>
      <c r="O58" s="146">
        <f>_xll.qlCalendarAdvance(Calendar,O57,N58,"f",FALSE)</f>
        <v>42195</v>
      </c>
      <c r="P58" s="140">
        <f>_xll.qlInterestRateIndexValueDate(IborIndex,O58)</f>
        <v>42199</v>
      </c>
      <c r="Q58" s="141">
        <v>-2.9346728990599412E-3</v>
      </c>
      <c r="R58" s="143">
        <v>-2.8491097809801857E-3</v>
      </c>
    </row>
    <row r="59" spans="14:18" x14ac:dyDescent="0.2">
      <c r="N59" s="139" t="str">
        <f t="shared" si="7"/>
        <v>1D</v>
      </c>
      <c r="O59" s="146">
        <f>_xll.qlCalendarAdvance(Calendar,O58,N59,"f",FALSE)</f>
        <v>42198</v>
      </c>
      <c r="P59" s="140">
        <f>_xll.qlInterestRateIndexValueDate(IborIndex,O59)</f>
        <v>42200</v>
      </c>
      <c r="Q59" s="141">
        <v>-2.9472586698800741E-3</v>
      </c>
      <c r="R59" s="143">
        <v>-2.8630243940686029E-3</v>
      </c>
    </row>
    <row r="60" spans="14:18" x14ac:dyDescent="0.2">
      <c r="N60" s="139" t="str">
        <f t="shared" si="7"/>
        <v>1D</v>
      </c>
      <c r="O60" s="146">
        <f>_xll.qlCalendarAdvance(Calendar,O59,N60,"f",FALSE)</f>
        <v>42199</v>
      </c>
      <c r="P60" s="140">
        <f>_xll.qlInterestRateIndexValueDate(IborIndex,O60)</f>
        <v>42201</v>
      </c>
      <c r="Q60" s="141">
        <v>-2.950569113057272E-3</v>
      </c>
      <c r="R60" s="143">
        <v>-2.8768421385505505E-3</v>
      </c>
    </row>
    <row r="61" spans="14:18" x14ac:dyDescent="0.2">
      <c r="N61" s="139" t="str">
        <f t="shared" si="7"/>
        <v>1D</v>
      </c>
      <c r="O61" s="146">
        <f>_xll.qlCalendarAdvance(Calendar,O60,N61,"f",FALSE)</f>
        <v>42200</v>
      </c>
      <c r="P61" s="140">
        <f>_xll.qlInterestRateIndexValueDate(IborIndex,O61)</f>
        <v>42202</v>
      </c>
      <c r="Q61" s="141">
        <v>-2.9538653721997246E-3</v>
      </c>
      <c r="R61" s="143">
        <v>-2.8836684222088849E-3</v>
      </c>
    </row>
    <row r="62" spans="14:18" x14ac:dyDescent="0.2">
      <c r="N62" s="139" t="str">
        <f t="shared" si="7"/>
        <v>1D</v>
      </c>
      <c r="O62" s="146">
        <f>_xll.qlCalendarAdvance(Calendar,O61,N62,"f",FALSE)</f>
        <v>42201</v>
      </c>
      <c r="P62" s="140">
        <f>_xll.qlInterestRateIndexValueDate(IborIndex,O62)</f>
        <v>42205</v>
      </c>
      <c r="Q62" s="141">
        <v>-2.9726734096704025E-3</v>
      </c>
      <c r="R62" s="143">
        <v>-2.8904519836014941E-3</v>
      </c>
    </row>
    <row r="63" spans="14:18" x14ac:dyDescent="0.2">
      <c r="N63" s="139" t="str">
        <f t="shared" si="7"/>
        <v>1D</v>
      </c>
      <c r="O63" s="146">
        <f>_xll.qlCalendarAdvance(Calendar,O62,N63,"f",FALSE)</f>
        <v>42202</v>
      </c>
      <c r="P63" s="140">
        <f>_xll.qlInterestRateIndexValueDate(IborIndex,O63)</f>
        <v>42206</v>
      </c>
      <c r="Q63" s="141">
        <v>-2.9788573256664488E-3</v>
      </c>
      <c r="R63" s="143">
        <v>-2.8971928227683463E-3</v>
      </c>
    </row>
    <row r="64" spans="14:18" x14ac:dyDescent="0.2">
      <c r="N64" s="139" t="str">
        <f t="shared" si="7"/>
        <v>1D</v>
      </c>
      <c r="O64" s="146">
        <f>_xll.qlCalendarAdvance(Calendar,O63,N64,"f",FALSE)</f>
        <v>42205</v>
      </c>
      <c r="P64" s="140">
        <f>_xll.qlInterestRateIndexValueDate(IborIndex,O64)</f>
        <v>42207</v>
      </c>
      <c r="Q64" s="141">
        <v>-2.9908443687059524E-3</v>
      </c>
      <c r="R64" s="143">
        <v>-2.9105085625191762E-3</v>
      </c>
    </row>
    <row r="65" spans="14:18" x14ac:dyDescent="0.2">
      <c r="N65" s="139" t="str">
        <f t="shared" si="7"/>
        <v>1D</v>
      </c>
      <c r="O65" s="146">
        <f>_xll.qlCalendarAdvance(Calendar,O64,N65,"f",FALSE)</f>
        <v>42206</v>
      </c>
      <c r="P65" s="140">
        <f>_xll.qlInterestRateIndexValueDate(IborIndex,O65)</f>
        <v>42208</v>
      </c>
      <c r="Q65" s="141">
        <v>-2.9940056697112805E-3</v>
      </c>
      <c r="R65" s="143">
        <v>-2.9237289567385361E-3</v>
      </c>
    </row>
    <row r="66" spans="14:18" x14ac:dyDescent="0.2">
      <c r="N66" s="139" t="str">
        <f t="shared" si="7"/>
        <v>1D</v>
      </c>
      <c r="O66" s="146">
        <f>_xll.qlCalendarAdvance(Calendar,O65,N66,"f",FALSE)</f>
        <v>42207</v>
      </c>
      <c r="P66" s="140">
        <f>_xll.qlInterestRateIndexValueDate(IborIndex,O66)</f>
        <v>42209</v>
      </c>
      <c r="Q66" s="141">
        <v>-2.9971527851325695E-3</v>
      </c>
      <c r="R66" s="143">
        <v>-2.9302561844968267E-3</v>
      </c>
    </row>
    <row r="67" spans="14:18" x14ac:dyDescent="0.2">
      <c r="N67" s="139" t="str">
        <f t="shared" si="7"/>
        <v>1D</v>
      </c>
      <c r="O67" s="146">
        <f>_xll.qlCalendarAdvance(Calendar,O66,N67,"f",FALSE)</f>
        <v>42208</v>
      </c>
      <c r="P67" s="140">
        <f>_xll.qlInterestRateIndexValueDate(IborIndex,O67)</f>
        <v>42212</v>
      </c>
      <c r="Q67" s="141">
        <v>-3.0150638132229253E-3</v>
      </c>
      <c r="R67" s="143">
        <v>-2.9367406901892323E-3</v>
      </c>
    </row>
    <row r="68" spans="14:18" x14ac:dyDescent="0.2">
      <c r="N68" s="139" t="str">
        <f t="shared" si="7"/>
        <v>1D</v>
      </c>
      <c r="O68" s="146">
        <f>_xll.qlCalendarAdvance(Calendar,O67,N68,"f",FALSE)</f>
        <v>42209</v>
      </c>
      <c r="P68" s="140">
        <f>_xll.qlInterestRateIndexValueDate(IborIndex,O68)</f>
        <v>42213</v>
      </c>
      <c r="Q68" s="141">
        <v>-3.02094872703338E-3</v>
      </c>
      <c r="R68" s="143">
        <v>-2.9431824734160728E-3</v>
      </c>
    </row>
    <row r="69" spans="14:18" x14ac:dyDescent="0.2">
      <c r="N69" s="139" t="str">
        <f t="shared" si="7"/>
        <v>1D</v>
      </c>
      <c r="O69" s="146">
        <f>_xll.qlCalendarAdvance(Calendar,O68,N69,"f",FALSE)</f>
        <v>42212</v>
      </c>
      <c r="P69" s="140">
        <f>_xll.qlInterestRateIndexValueDate(IborIndex,O69)</f>
        <v>42214</v>
      </c>
      <c r="Q69" s="141">
        <v>-3.0323370735888234E-3</v>
      </c>
      <c r="R69" s="143">
        <v>-2.95589936190499E-3</v>
      </c>
    </row>
    <row r="70" spans="14:18" x14ac:dyDescent="0.2">
      <c r="N70" s="139" t="str">
        <f t="shared" si="7"/>
        <v>1D</v>
      </c>
      <c r="O70" s="146">
        <f>_xll.qlCalendarAdvance(Calendar,O69,N70,"f",FALSE)</f>
        <v>42213</v>
      </c>
      <c r="P70" s="140">
        <f>_xll.qlInterestRateIndexValueDate(IborIndex,O70)</f>
        <v>42215</v>
      </c>
      <c r="Q70" s="141">
        <v>-3.0353492217743971E-3</v>
      </c>
      <c r="R70" s="143">
        <v>-2.9685223842257358E-3</v>
      </c>
    </row>
    <row r="71" spans="14:18" x14ac:dyDescent="0.2">
      <c r="N71" s="139" t="str">
        <f t="shared" si="7"/>
        <v>1D</v>
      </c>
      <c r="O71" s="146">
        <f>_xll.qlCalendarAdvance(Calendar,O70,N71,"f",FALSE)</f>
        <v>42214</v>
      </c>
      <c r="P71" s="140">
        <f>_xll.qlInterestRateIndexValueDate(IborIndex,O71)</f>
        <v>42216</v>
      </c>
      <c r="Q71" s="141">
        <v>-3.0383471827172808E-3</v>
      </c>
      <c r="R71" s="143">
        <v>-2.9747505562838228E-3</v>
      </c>
    </row>
    <row r="72" spans="14:18" x14ac:dyDescent="0.2">
      <c r="N72" s="139" t="str">
        <f t="shared" si="7"/>
        <v>1D</v>
      </c>
      <c r="O72" s="146">
        <f>_xll.qlCalendarAdvance(Calendar,O71,N72,"f",FALSE)</f>
        <v>42215</v>
      </c>
      <c r="P72" s="140">
        <f>_xll.qlInterestRateIndexValueDate(IborIndex,O72)</f>
        <v>42219</v>
      </c>
      <c r="Q72" s="141">
        <v>-3.0553612111163379E-3</v>
      </c>
      <c r="R72" s="143">
        <v>-2.9809360061960888E-3</v>
      </c>
    </row>
    <row r="73" spans="14:18" x14ac:dyDescent="0.2">
      <c r="N73" s="139" t="str">
        <f t="shared" si="7"/>
        <v>1D</v>
      </c>
      <c r="O73" s="146">
        <f>_xll.qlCalendarAdvance(Calendar,O72,N73,"f",FALSE)</f>
        <v>42216</v>
      </c>
      <c r="P73" s="140">
        <f>_xll.qlInterestRateIndexValueDate(IborIndex,O73)</f>
        <v>42220</v>
      </c>
      <c r="Q73" s="141">
        <v>-3.0609471259257504E-3</v>
      </c>
      <c r="R73" s="143">
        <v>-2.9870787337227256E-3</v>
      </c>
    </row>
    <row r="74" spans="14:18" x14ac:dyDescent="0.2">
      <c r="N74" s="139" t="str">
        <f t="shared" si="7"/>
        <v>1D</v>
      </c>
      <c r="O74" s="146">
        <f>_xll.qlCalendarAdvance(Calendar,O73,N74,"f",FALSE)</f>
        <v>42219</v>
      </c>
      <c r="P74" s="140">
        <f>_xll.qlInterestRateIndexValueDate(IborIndex,O74)</f>
        <v>42221</v>
      </c>
      <c r="Q74" s="141">
        <v>-3.0717368084186673E-3</v>
      </c>
      <c r="R74" s="143">
        <v>-2.9991967945974807E-3</v>
      </c>
    </row>
    <row r="75" spans="14:18" x14ac:dyDescent="0.2">
      <c r="N75" s="139" t="str">
        <f t="shared" si="7"/>
        <v>1D</v>
      </c>
      <c r="O75" s="146">
        <f>_xll.qlCalendarAdvance(Calendar,O74,N75,"f",FALSE)</f>
        <v>42220</v>
      </c>
      <c r="P75" s="140">
        <f>_xll.qlInterestRateIndexValueDate(IborIndex,O75)</f>
        <v>42222</v>
      </c>
      <c r="Q75" s="141">
        <v>-3.0745997923356527E-3</v>
      </c>
      <c r="R75" s="143">
        <v>-3.0112224218514783E-3</v>
      </c>
    </row>
    <row r="76" spans="14:18" x14ac:dyDescent="0.2">
      <c r="N76" s="139" t="str">
        <f t="shared" si="7"/>
        <v>1D</v>
      </c>
      <c r="O76" s="146">
        <f>_xll.qlCalendarAdvance(Calendar,O75,N76,"f",FALSE)</f>
        <v>42221</v>
      </c>
      <c r="P76" s="140">
        <f>_xll.qlInterestRateIndexValueDate(IborIndex,O76)</f>
        <v>42223</v>
      </c>
      <c r="Q76" s="141">
        <v>-3.0774485872392576E-3</v>
      </c>
      <c r="R76" s="143">
        <v>-3.0171515383292657E-3</v>
      </c>
    </row>
    <row r="77" spans="14:18" x14ac:dyDescent="0.2">
      <c r="N77" s="139" t="str">
        <f t="shared" si="7"/>
        <v>1D</v>
      </c>
      <c r="O77" s="146">
        <f>_xll.qlCalendarAdvance(Calendar,O76,N77,"f",FALSE)</f>
        <v>42222</v>
      </c>
      <c r="P77" s="140">
        <f>_xll.qlInterestRateIndexValueDate(IborIndex,O77)</f>
        <v>42226</v>
      </c>
      <c r="Q77" s="141">
        <v>-3.0935656251499773E-3</v>
      </c>
      <c r="R77" s="143">
        <v>-3.0230379325013601E-3</v>
      </c>
    </row>
    <row r="78" spans="14:18" x14ac:dyDescent="0.2">
      <c r="N78" s="139" t="str">
        <f t="shared" si="7"/>
        <v>1D</v>
      </c>
      <c r="O78" s="146">
        <f>_xll.qlCalendarAdvance(Calendar,O77,N78,"f",FALSE)</f>
        <v>42223</v>
      </c>
      <c r="P78" s="140">
        <f>_xll.qlInterestRateIndexValueDate(IborIndex,O78)</f>
        <v>42227</v>
      </c>
      <c r="Q78" s="141">
        <v>-3.0988525439778676E-3</v>
      </c>
      <c r="R78" s="143">
        <v>-3.0288816045276334E-3</v>
      </c>
    </row>
    <row r="79" spans="14:18" x14ac:dyDescent="0.2">
      <c r="N79" s="139" t="str">
        <f t="shared" si="7"/>
        <v>1D</v>
      </c>
      <c r="O79" s="146">
        <f>_xll.qlCalendarAdvance(Calendar,O78,N79,"f",FALSE)</f>
        <v>42226</v>
      </c>
      <c r="P79" s="140">
        <f>_xll.qlInterestRateIndexValueDate(IborIndex,O79)</f>
        <v>42228</v>
      </c>
      <c r="Q79" s="141">
        <v>-3.109043595875524E-3</v>
      </c>
      <c r="R79" s="143">
        <v>-3.0404008628748258E-3</v>
      </c>
    </row>
    <row r="80" spans="14:18" x14ac:dyDescent="0.2">
      <c r="N80" s="139" t="str">
        <f t="shared" si="7"/>
        <v>1D</v>
      </c>
      <c r="O80" s="146">
        <f>_xll.qlCalendarAdvance(Calendar,O79,N80,"f",FALSE)</f>
        <v>42227</v>
      </c>
      <c r="P80" s="140">
        <f>_xll.qlInterestRateIndexValueDate(IborIndex,O80)</f>
        <v>42229</v>
      </c>
      <c r="Q80" s="141">
        <v>-3.111757403302523E-3</v>
      </c>
      <c r="R80" s="143">
        <v>-3.05182907029522E-3</v>
      </c>
    </row>
    <row r="81" spans="14:18" x14ac:dyDescent="0.2">
      <c r="N81" s="139" t="str">
        <f t="shared" si="7"/>
        <v>1D</v>
      </c>
      <c r="O81" s="146">
        <f>_xll.qlCalendarAdvance(Calendar,O80,N81,"f",FALSE)</f>
        <v>42228</v>
      </c>
      <c r="P81" s="140">
        <f>_xll.qlInterestRateIndexValueDate(IborIndex,O81)</f>
        <v>42230</v>
      </c>
      <c r="Q81" s="141">
        <v>-3.1144570198377197E-3</v>
      </c>
      <c r="R81" s="143">
        <v>-3.057459131232676E-3</v>
      </c>
    </row>
    <row r="82" spans="14:18" x14ac:dyDescent="0.2">
      <c r="N82" s="139" t="str">
        <f t="shared" si="7"/>
        <v>1D</v>
      </c>
      <c r="O82" s="146">
        <f>_xll.qlCalendarAdvance(Calendar,O81,N82,"f",FALSE)</f>
        <v>42229</v>
      </c>
      <c r="P82" s="140">
        <f>_xll.qlInterestRateIndexValueDate(IborIndex,O82)</f>
        <v>42233</v>
      </c>
      <c r="Q82" s="141">
        <v>-3.1296770759795785E-3</v>
      </c>
      <c r="R82" s="143">
        <v>-3.0630464699443749E-3</v>
      </c>
    </row>
    <row r="83" spans="14:18" x14ac:dyDescent="0.2">
      <c r="N83" s="139" t="str">
        <f t="shared" si="7"/>
        <v>1D</v>
      </c>
      <c r="O83" s="146">
        <f>_xll.qlCalendarAdvance(Calendar,O82,N83,"f",FALSE)</f>
        <v>42230</v>
      </c>
      <c r="P83" s="140">
        <f>_xll.qlInterestRateIndexValueDate(IborIndex,O83)</f>
        <v>42234</v>
      </c>
      <c r="Q83" s="141">
        <v>-3.1346650016804379E-3</v>
      </c>
      <c r="R83" s="143">
        <v>-3.0685910864303168E-3</v>
      </c>
    </row>
    <row r="84" spans="14:18" x14ac:dyDescent="0.2">
      <c r="N84" s="139" t="str">
        <f t="shared" si="7"/>
        <v>1D</v>
      </c>
      <c r="O84" s="146">
        <f>_xll.qlCalendarAdvance(Calendar,O83,N84,"f",FALSE)</f>
        <v>42233</v>
      </c>
      <c r="P84" s="140">
        <f>_xll.qlInterestRateIndexValueDate(IborIndex,O84)</f>
        <v>42235</v>
      </c>
      <c r="Q84" s="141">
        <v>-3.1442574574440259E-3</v>
      </c>
      <c r="R84" s="143">
        <v>-3.079511568935267E-3</v>
      </c>
    </row>
    <row r="85" spans="14:18" x14ac:dyDescent="0.2">
      <c r="N85" s="139" t="str">
        <f t="shared" ref="N85:N148" si="8">N84</f>
        <v>1D</v>
      </c>
      <c r="O85" s="146">
        <f>_xll.qlCalendarAdvance(Calendar,O84,N85,"f",FALSE)</f>
        <v>42234</v>
      </c>
      <c r="P85" s="140">
        <f>_xll.qlInterestRateIndexValueDate(IborIndex,O85)</f>
        <v>42236</v>
      </c>
      <c r="Q85" s="141">
        <v>-3.1468220754209131E-3</v>
      </c>
      <c r="R85" s="143">
        <v>-3.0903423302364175E-3</v>
      </c>
    </row>
    <row r="86" spans="14:18" x14ac:dyDescent="0.2">
      <c r="N86" s="139" t="str">
        <f t="shared" si="8"/>
        <v>1D</v>
      </c>
      <c r="O86" s="146">
        <f>_xll.qlCalendarAdvance(Calendar,O85,N86,"f",FALSE)</f>
        <v>42235</v>
      </c>
      <c r="P86" s="140">
        <f>_xll.qlInterestRateIndexValueDate(IborIndex,O86)</f>
        <v>42237</v>
      </c>
      <c r="Q86" s="141">
        <v>-3.1493725005340709E-3</v>
      </c>
      <c r="R86" s="143">
        <v>-3.0956733358333821E-3</v>
      </c>
    </row>
    <row r="87" spans="14:18" x14ac:dyDescent="0.2">
      <c r="N87" s="139" t="str">
        <f t="shared" si="8"/>
        <v>1D</v>
      </c>
      <c r="O87" s="146">
        <f>_xll.qlCalendarAdvance(Calendar,O86,N87,"f",FALSE)</f>
        <v>42236</v>
      </c>
      <c r="P87" s="140">
        <f>_xll.qlInterestRateIndexValueDate(IborIndex,O87)</f>
        <v>42240</v>
      </c>
      <c r="Q87" s="141">
        <v>-3.1636955831327467E-3</v>
      </c>
      <c r="R87" s="143">
        <v>-3.1009616190846856E-3</v>
      </c>
    </row>
    <row r="88" spans="14:18" x14ac:dyDescent="0.2">
      <c r="N88" s="139" t="str">
        <f t="shared" si="8"/>
        <v>1D</v>
      </c>
      <c r="O88" s="146">
        <f>_xll.qlCalendarAdvance(Calendar,O87,N88,"f",FALSE)</f>
        <v>42237</v>
      </c>
      <c r="P88" s="140">
        <f>_xll.qlInterestRateIndexValueDate(IborIndex,O88)</f>
        <v>42241</v>
      </c>
      <c r="Q88" s="141">
        <v>-3.1683845184115079E-3</v>
      </c>
      <c r="R88" s="143">
        <v>-3.1062071801502E-3</v>
      </c>
    </row>
    <row r="89" spans="14:18" x14ac:dyDescent="0.2">
      <c r="N89" s="139" t="str">
        <f t="shared" si="8"/>
        <v>1D</v>
      </c>
      <c r="O89" s="146">
        <f>_xll.qlCalendarAdvance(Calendar,O88,N89,"f",FALSE)</f>
        <v>42240</v>
      </c>
      <c r="P89" s="140">
        <f>_xll.qlInterestRateIndexValueDate(IborIndex,O89)</f>
        <v>42242</v>
      </c>
      <c r="Q89" s="141">
        <v>-3.1773784133891751E-3</v>
      </c>
      <c r="R89" s="143">
        <v>-3.1165289147505604E-3</v>
      </c>
    </row>
    <row r="90" spans="14:18" x14ac:dyDescent="0.2">
      <c r="N90" s="139" t="str">
        <f t="shared" si="8"/>
        <v>1D</v>
      </c>
      <c r="O90" s="146">
        <f>_xll.qlCalendarAdvance(Calendar,O89,N90,"f",FALSE)</f>
        <v>42241</v>
      </c>
      <c r="P90" s="140">
        <f>_xll.qlInterestRateIndexValueDate(IborIndex,O90)</f>
        <v>42243</v>
      </c>
      <c r="Q90" s="141">
        <v>-3.179793828263916E-3</v>
      </c>
      <c r="R90" s="143">
        <v>-3.1267622025543673E-3</v>
      </c>
    </row>
    <row r="91" spans="14:18" x14ac:dyDescent="0.2">
      <c r="N91" s="139" t="str">
        <f t="shared" si="8"/>
        <v>1D</v>
      </c>
      <c r="O91" s="146">
        <f>_xll.qlCalendarAdvance(Calendar,O90,N91,"f",FALSE)</f>
        <v>42242</v>
      </c>
      <c r="P91" s="140">
        <f>_xll.qlInterestRateIndexValueDate(IborIndex,O91)</f>
        <v>42244</v>
      </c>
      <c r="Q91" s="141">
        <v>-3.1821950482086923E-3</v>
      </c>
      <c r="R91" s="143">
        <v>-3.1317941526909365E-3</v>
      </c>
    </row>
    <row r="92" spans="14:18" x14ac:dyDescent="0.2">
      <c r="N92" s="139" t="str">
        <f t="shared" si="8"/>
        <v>1D</v>
      </c>
      <c r="O92" s="146">
        <f>_xll.qlCalendarAdvance(Calendar,O91,N92,"f",FALSE)</f>
        <v>42243</v>
      </c>
      <c r="P92" s="140">
        <f>_xll.qlInterestRateIndexValueDate(IborIndex,O92)</f>
        <v>42247</v>
      </c>
      <c r="Q92" s="141">
        <v>-3.1935328966361531E-3</v>
      </c>
      <c r="R92" s="143">
        <v>-3.1367833806017487E-3</v>
      </c>
    </row>
    <row r="93" spans="14:18" x14ac:dyDescent="0.2">
      <c r="N93" s="139" t="str">
        <f t="shared" si="8"/>
        <v>1D</v>
      </c>
      <c r="O93" s="146">
        <f>_xll.qlCalendarAdvance(Calendar,O92,N93,"f",FALSE)</f>
        <v>42244</v>
      </c>
      <c r="P93" s="140">
        <f>_xll.qlInterestRateIndexValueDate(IborIndex,O93)</f>
        <v>42248</v>
      </c>
      <c r="Q93" s="141">
        <v>-3.1979442393446078E-3</v>
      </c>
      <c r="R93" s="143">
        <v>-3.1417298864067078E-3</v>
      </c>
    </row>
    <row r="94" spans="14:18" x14ac:dyDescent="0.2">
      <c r="N94" s="139" t="str">
        <f t="shared" si="8"/>
        <v>1D</v>
      </c>
      <c r="O94" s="146">
        <f>_xll.qlCalendarAdvance(Calendar,O93,N94,"f",FALSE)</f>
        <v>42247</v>
      </c>
      <c r="P94" s="140">
        <f>_xll.qlInterestRateIndexValueDate(IborIndex,O94)</f>
        <v>42249</v>
      </c>
      <c r="Q94" s="141">
        <v>-3.2023128693476899E-3</v>
      </c>
      <c r="R94" s="143">
        <v>-3.15145290233243E-3</v>
      </c>
    </row>
    <row r="95" spans="14:18" x14ac:dyDescent="0.2">
      <c r="N95" s="139" t="str">
        <f t="shared" si="8"/>
        <v>1D</v>
      </c>
      <c r="O95" s="146">
        <f>_xll.qlCalendarAdvance(Calendar,O94,N95,"f",FALSE)</f>
        <v>42248</v>
      </c>
      <c r="P95" s="140">
        <f>_xll.qlInterestRateIndexValueDate(IborIndex,O95)</f>
        <v>42250</v>
      </c>
      <c r="Q95" s="141">
        <v>-3.2106726802368091E-3</v>
      </c>
      <c r="R95" s="143">
        <v>-3.1610886876887179E-3</v>
      </c>
    </row>
    <row r="96" spans="14:18" x14ac:dyDescent="0.2">
      <c r="N96" s="139" t="str">
        <f t="shared" si="8"/>
        <v>1D</v>
      </c>
      <c r="O96" s="146">
        <f>_xll.qlCalendarAdvance(Calendar,O95,N96,"f",FALSE)</f>
        <v>42249</v>
      </c>
      <c r="P96" s="140">
        <f>_xll.qlInterestRateIndexValueDate(IborIndex,O96)</f>
        <v>42251</v>
      </c>
      <c r="Q96" s="141">
        <v>-3.2129246806099666E-3</v>
      </c>
      <c r="R96" s="143">
        <v>-3.1658215824847957E-3</v>
      </c>
    </row>
    <row r="97" spans="14:18" x14ac:dyDescent="0.2">
      <c r="N97" s="139" t="str">
        <f t="shared" si="8"/>
        <v>1D</v>
      </c>
      <c r="O97" s="146">
        <f>_xll.qlCalendarAdvance(Calendar,O96,N97,"f",FALSE)</f>
        <v>42250</v>
      </c>
      <c r="P97" s="140">
        <f>_xll.qlInterestRateIndexValueDate(IborIndex,O97)</f>
        <v>42254</v>
      </c>
      <c r="Q97" s="141">
        <v>-3.223515330358584E-3</v>
      </c>
      <c r="R97" s="143">
        <v>-3.1705117551750206E-3</v>
      </c>
    </row>
    <row r="98" spans="14:18" x14ac:dyDescent="0.2">
      <c r="N98" s="139" t="str">
        <f t="shared" si="8"/>
        <v>1D</v>
      </c>
      <c r="O98" s="146">
        <f>_xll.qlCalendarAdvance(Calendar,O97,N98,"f",FALSE)</f>
        <v>42251</v>
      </c>
      <c r="P98" s="140">
        <f>_xll.qlInterestRateIndexValueDate(IborIndex,O98)</f>
        <v>42255</v>
      </c>
      <c r="Q98" s="141">
        <v>-3.2276276850766727E-3</v>
      </c>
      <c r="R98" s="143">
        <v>-3.1751592057993605E-3</v>
      </c>
    </row>
    <row r="99" spans="14:18" x14ac:dyDescent="0.2">
      <c r="N99" s="139" t="str">
        <f t="shared" si="8"/>
        <v>1D</v>
      </c>
      <c r="O99" s="146">
        <f>_xll.qlCalendarAdvance(Calendar,O98,N99,"f",FALSE)</f>
        <v>42254</v>
      </c>
      <c r="P99" s="140">
        <f>_xll.qlInterestRateIndexValueDate(IborIndex,O99)</f>
        <v>42256</v>
      </c>
      <c r="Q99" s="141">
        <v>-3.2316973274051364E-3</v>
      </c>
      <c r="R99" s="143">
        <v>-3.1842835334394692E-3</v>
      </c>
    </row>
    <row r="100" spans="14:18" x14ac:dyDescent="0.2">
      <c r="N100" s="139" t="str">
        <f t="shared" si="8"/>
        <v>1D</v>
      </c>
      <c r="O100" s="146">
        <f>_xll.qlCalendarAdvance(Calendar,O99,N100,"f",FALSE)</f>
        <v>42255</v>
      </c>
      <c r="P100" s="140">
        <f>_xll.qlInterestRateIndexValueDate(IborIndex,O100)</f>
        <v>42257</v>
      </c>
      <c r="Q100" s="141">
        <v>-3.2394586485770538E-3</v>
      </c>
      <c r="R100" s="143">
        <v>-3.1933217861990215E-3</v>
      </c>
    </row>
    <row r="101" spans="14:18" x14ac:dyDescent="0.2">
      <c r="N101" s="139" t="str">
        <f t="shared" si="8"/>
        <v>1D</v>
      </c>
      <c r="O101" s="146">
        <f>_xll.qlCalendarAdvance(Calendar,O100,N101,"f",FALSE)</f>
        <v>42256</v>
      </c>
      <c r="P101" s="140">
        <f>_xll.qlInterestRateIndexValueDate(IborIndex,O101)</f>
        <v>42258</v>
      </c>
      <c r="Q101" s="141">
        <v>-3.2415614143555698E-3</v>
      </c>
      <c r="R101" s="143">
        <v>-3.1977556259343842E-3</v>
      </c>
    </row>
    <row r="102" spans="14:18" x14ac:dyDescent="0.2">
      <c r="N102" s="139" t="str">
        <f t="shared" si="8"/>
        <v>1D</v>
      </c>
      <c r="O102" s="146">
        <f>_xll.qlCalendarAdvance(Calendar,O101,N102,"f",FALSE)</f>
        <v>42257</v>
      </c>
      <c r="P102" s="140">
        <f>_xll.qlInterestRateIndexValueDate(IborIndex,O102)</f>
        <v>42261</v>
      </c>
      <c r="Q102" s="141">
        <v>-3.2514048546965491E-3</v>
      </c>
      <c r="R102" s="143">
        <v>-3.2021467434439899E-3</v>
      </c>
    </row>
    <row r="103" spans="14:18" x14ac:dyDescent="0.2">
      <c r="N103" s="139" t="str">
        <f t="shared" si="8"/>
        <v>1D</v>
      </c>
      <c r="O103" s="146">
        <f>_xll.qlCalendarAdvance(Calendar,O102,N103,"f",FALSE)</f>
        <v>42258</v>
      </c>
      <c r="P103" s="140">
        <f>_xll.qlInterestRateIndexValueDate(IborIndex,O103)</f>
        <v>42262</v>
      </c>
      <c r="Q103" s="141">
        <v>-3.2552182235758842E-3</v>
      </c>
      <c r="R103" s="143">
        <v>-3.2064951387678065E-3</v>
      </c>
    </row>
    <row r="104" spans="14:18" x14ac:dyDescent="0.2">
      <c r="N104" s="139" t="str">
        <f t="shared" si="8"/>
        <v>1D</v>
      </c>
      <c r="O104" s="146">
        <f>_xll.qlCalendarAdvance(Calendar,O103,N104,"f",FALSE)</f>
        <v>42261</v>
      </c>
      <c r="P104" s="140">
        <f>_xll.qlInterestRateIndexValueDate(IborIndex,O104)</f>
        <v>42263</v>
      </c>
      <c r="Q104" s="141">
        <v>-3.2589888803600253E-3</v>
      </c>
      <c r="R104" s="143">
        <v>-3.2150208098702393E-3</v>
      </c>
    </row>
    <row r="105" spans="14:18" x14ac:dyDescent="0.2">
      <c r="N105" s="139" t="str">
        <f t="shared" si="8"/>
        <v>1D</v>
      </c>
      <c r="O105" s="146">
        <f>_xll.qlCalendarAdvance(Calendar,O104,N105,"f",FALSE)</f>
        <v>42262</v>
      </c>
      <c r="P105" s="140">
        <f>_xll.qlInterestRateIndexValueDate(IborIndex,O105)</f>
        <v>42264</v>
      </c>
      <c r="Q105" s="141">
        <v>-3.2661517493580428E-3</v>
      </c>
      <c r="R105" s="143">
        <v>-3.2234614987647348E-3</v>
      </c>
    </row>
    <row r="106" spans="14:18" x14ac:dyDescent="0.2">
      <c r="N106" s="139" t="str">
        <f t="shared" si="8"/>
        <v>1D</v>
      </c>
      <c r="O106" s="146">
        <f>_xll.qlCalendarAdvance(Calendar,O105,N106,"f",FALSE)</f>
        <v>42263</v>
      </c>
      <c r="P106" s="140">
        <f>_xll.qlInterestRateIndexValueDate(IborIndex,O106)</f>
        <v>42265</v>
      </c>
      <c r="Q106" s="141">
        <v>-3.2681052649389144E-3</v>
      </c>
      <c r="R106" s="143">
        <v>-3.2275962833594463E-3</v>
      </c>
    </row>
    <row r="107" spans="14:18" x14ac:dyDescent="0.2">
      <c r="N107" s="139" t="str">
        <f t="shared" si="8"/>
        <v>1D</v>
      </c>
      <c r="O107" s="146">
        <f>_xll.qlCalendarAdvance(Calendar,O106,N107,"f",FALSE)</f>
        <v>42264</v>
      </c>
      <c r="P107" s="140">
        <f>_xll.qlInterestRateIndexValueDate(IborIndex,O107)</f>
        <v>42268</v>
      </c>
      <c r="Q107" s="141">
        <v>-3.2772014842397112E-3</v>
      </c>
      <c r="R107" s="143">
        <v>-3.2316883458483048E-3</v>
      </c>
    </row>
    <row r="108" spans="14:18" x14ac:dyDescent="0.2">
      <c r="N108" s="139" t="str">
        <f t="shared" si="8"/>
        <v>1D</v>
      </c>
      <c r="O108" s="146">
        <f>_xll.qlCalendarAdvance(Calendar,O107,N108,"f",FALSE)</f>
        <v>42265</v>
      </c>
      <c r="P108" s="140">
        <f>_xll.qlInterestRateIndexValueDate(IborIndex,O108)</f>
        <v>42269</v>
      </c>
      <c r="Q108" s="141">
        <v>-3.2807158692786942E-3</v>
      </c>
      <c r="R108" s="143">
        <v>-3.2357376860714382E-3</v>
      </c>
    </row>
    <row r="109" spans="14:18" x14ac:dyDescent="0.2">
      <c r="N109" s="139" t="str">
        <f t="shared" si="8"/>
        <v>1D</v>
      </c>
      <c r="O109" s="146">
        <f>_xll.qlCalendarAdvance(Calendar,O108,N109,"f",FALSE)</f>
        <v>42268</v>
      </c>
      <c r="P109" s="140">
        <f>_xll.qlInterestRateIndexValueDate(IborIndex,O109)</f>
        <v>42270</v>
      </c>
      <c r="Q109" s="141">
        <v>-3.284187542495598E-3</v>
      </c>
      <c r="R109" s="143">
        <v>-3.2436647331701707E-3</v>
      </c>
    </row>
    <row r="110" spans="14:18" x14ac:dyDescent="0.2">
      <c r="N110" s="139" t="str">
        <f t="shared" si="8"/>
        <v>1D</v>
      </c>
      <c r="O110" s="146">
        <f>_xll.qlCalendarAdvance(Calendar,O109,N110,"f",FALSE)</f>
        <v>42269</v>
      </c>
      <c r="P110" s="140">
        <f>_xll.qlInterestRateIndexValueDate(IborIndex,O110)</f>
        <v>42271</v>
      </c>
      <c r="Q110" s="141">
        <v>-3.2907519974803567E-3</v>
      </c>
      <c r="R110" s="143">
        <v>-3.2515078258654739E-3</v>
      </c>
    </row>
    <row r="111" spans="14:18" x14ac:dyDescent="0.2">
      <c r="N111" s="139" t="str">
        <f t="shared" si="8"/>
        <v>1D</v>
      </c>
      <c r="O111" s="146">
        <f>_xll.qlCalendarAdvance(Calendar,O110,N111,"f",FALSE)</f>
        <v>42270</v>
      </c>
      <c r="P111" s="140">
        <f>_xll.qlInterestRateIndexValueDate(IborIndex,O111)</f>
        <v>42272</v>
      </c>
      <c r="Q111" s="141">
        <v>-3.2925562467098122E-3</v>
      </c>
      <c r="R111" s="143">
        <v>-3.2553435553994703E-3</v>
      </c>
    </row>
    <row r="112" spans="14:18" x14ac:dyDescent="0.2">
      <c r="N112" s="139" t="str">
        <f t="shared" si="8"/>
        <v>1D</v>
      </c>
      <c r="O112" s="146">
        <f>_xll.qlCalendarAdvance(Calendar,O111,N112,"f",FALSE)</f>
        <v>42271</v>
      </c>
      <c r="P112" s="140">
        <f>_xll.qlInterestRateIndexValueDate(IborIndex,O112)</f>
        <v>42275</v>
      </c>
      <c r="Q112" s="141">
        <v>-3.3009052324945998E-3</v>
      </c>
      <c r="R112" s="143">
        <v>-3.2591365628675817E-3</v>
      </c>
    </row>
    <row r="113" spans="14:18" x14ac:dyDescent="0.2">
      <c r="N113" s="139" t="str">
        <f t="shared" si="8"/>
        <v>1D</v>
      </c>
      <c r="O113" s="146">
        <f>_xll.qlCalendarAdvance(Calendar,O112,N113,"f",FALSE)</f>
        <v>42272</v>
      </c>
      <c r="P113" s="140">
        <f>_xll.qlInterestRateIndexValueDate(IborIndex,O113)</f>
        <v>42276</v>
      </c>
      <c r="Q113" s="141">
        <v>-3.3041206355304276E-3</v>
      </c>
      <c r="R113" s="143">
        <v>-3.2628868482298401E-3</v>
      </c>
    </row>
    <row r="114" spans="14:18" x14ac:dyDescent="0.2">
      <c r="N114" s="139" t="str">
        <f t="shared" si="8"/>
        <v>1D</v>
      </c>
      <c r="O114" s="146">
        <f>_xll.qlCalendarAdvance(Calendar,O113,N114,"f",FALSE)</f>
        <v>42275</v>
      </c>
      <c r="P114" s="140">
        <f>_xll.qlInterestRateIndexValueDate(IborIndex,O114)</f>
        <v>42277</v>
      </c>
      <c r="Q114" s="141">
        <v>-3.3072933269933102E-3</v>
      </c>
      <c r="R114" s="143">
        <v>-3.2702153048180804E-3</v>
      </c>
    </row>
    <row r="115" spans="14:18" x14ac:dyDescent="0.2">
      <c r="N115" s="139" t="str">
        <f t="shared" si="8"/>
        <v>1D</v>
      </c>
      <c r="O115" s="146">
        <f>_xll.qlCalendarAdvance(Calendar,O114,N115,"f",FALSE)</f>
        <v>42276</v>
      </c>
      <c r="P115" s="140">
        <f>_xll.qlInterestRateIndexValueDate(IborIndex,O115)</f>
        <v>42278</v>
      </c>
      <c r="Q115" s="141">
        <v>-3.3132594066755117E-3</v>
      </c>
      <c r="R115" s="143">
        <v>-3.2774607680208234E-3</v>
      </c>
    </row>
    <row r="116" spans="14:18" x14ac:dyDescent="0.2">
      <c r="N116" s="139" t="str">
        <f t="shared" si="8"/>
        <v>1D</v>
      </c>
      <c r="O116" s="146">
        <f>_xll.qlCalendarAdvance(Calendar,O115,N116,"f",FALSE)</f>
        <v>42277</v>
      </c>
      <c r="P116" s="140">
        <f>_xll.qlInterestRateIndexValueDate(IborIndex,O116)</f>
        <v>42279</v>
      </c>
      <c r="Q116" s="141">
        <v>-3.314914372889945E-3</v>
      </c>
      <c r="R116" s="143">
        <v>-3.2809974426539767E-3</v>
      </c>
    </row>
    <row r="117" spans="14:18" x14ac:dyDescent="0.2">
      <c r="N117" s="139" t="str">
        <f t="shared" si="8"/>
        <v>1D</v>
      </c>
      <c r="O117" s="146">
        <f>_xll.qlCalendarAdvance(Calendar,O116,N117,"f",FALSE)</f>
        <v>42278</v>
      </c>
      <c r="P117" s="140">
        <f>_xll.qlInterestRateIndexValueDate(IborIndex,O117)</f>
        <v>42282</v>
      </c>
      <c r="Q117" s="141">
        <v>-3.3238557599245939E-3</v>
      </c>
      <c r="R117" s="143">
        <v>-3.2844913951812771E-3</v>
      </c>
    </row>
    <row r="118" spans="14:18" x14ac:dyDescent="0.2">
      <c r="N118" s="139" t="str">
        <f t="shared" si="8"/>
        <v>1D</v>
      </c>
      <c r="O118" s="146">
        <f>_xll.qlCalendarAdvance(Calendar,O117,N118,"f",FALSE)</f>
        <v>42279</v>
      </c>
      <c r="P118" s="140">
        <f>_xll.qlInterestRateIndexValueDate(IborIndex,O118)</f>
        <v>42283</v>
      </c>
      <c r="Q118" s="141">
        <v>-3.3267508002456135E-3</v>
      </c>
      <c r="R118" s="143">
        <v>-3.2879426254828203E-3</v>
      </c>
    </row>
    <row r="119" spans="14:18" x14ac:dyDescent="0.2">
      <c r="N119" s="139" t="str">
        <f t="shared" si="8"/>
        <v>1D</v>
      </c>
      <c r="O119" s="146">
        <f>_xll.qlCalendarAdvance(Calendar,O118,N119,"f",FALSE)</f>
        <v>42282</v>
      </c>
      <c r="P119" s="140">
        <f>_xll.qlInterestRateIndexValueDate(IborIndex,O119)</f>
        <v>42284</v>
      </c>
      <c r="Q119" s="141">
        <v>-3.3321541144629408E-3</v>
      </c>
      <c r="R119" s="143">
        <v>-3.2946725262528176E-3</v>
      </c>
    </row>
    <row r="120" spans="14:18" x14ac:dyDescent="0.2">
      <c r="N120" s="139" t="str">
        <f t="shared" si="8"/>
        <v>1D</v>
      </c>
      <c r="O120" s="146">
        <f>_xll.qlCalendarAdvance(Calendar,O119,N120,"f",FALSE)</f>
        <v>42283</v>
      </c>
      <c r="P120" s="140">
        <f>_xll.qlInterestRateIndexValueDate(IborIndex,O120)</f>
        <v>42285</v>
      </c>
      <c r="Q120" s="141">
        <v>-3.3336739895059586E-3</v>
      </c>
      <c r="R120" s="143">
        <v>-3.3013203257103996E-3</v>
      </c>
    </row>
    <row r="121" spans="14:18" x14ac:dyDescent="0.2">
      <c r="N121" s="139" t="str">
        <f t="shared" si="8"/>
        <v>1D</v>
      </c>
      <c r="O121" s="146">
        <f>_xll.qlCalendarAdvance(Calendar,O120,N121,"f",FALSE)</f>
        <v>42284</v>
      </c>
      <c r="P121" s="140">
        <f>_xll.qlInterestRateIndexValueDate(IborIndex,O121)</f>
        <v>42286</v>
      </c>
      <c r="Q121" s="141">
        <v>-3.3351796555728648E-3</v>
      </c>
      <c r="R121" s="143">
        <v>-3.3045579453627738E-3</v>
      </c>
    </row>
    <row r="122" spans="14:18" x14ac:dyDescent="0.2">
      <c r="N122" s="139" t="str">
        <f t="shared" si="8"/>
        <v>1D</v>
      </c>
      <c r="O122" s="146">
        <f>_xll.qlCalendarAdvance(Calendar,O121,N122,"f",FALSE)</f>
        <v>42285</v>
      </c>
      <c r="P122" s="140">
        <f>_xll.qlInterestRateIndexValueDate(IborIndex,O122)</f>
        <v>42289</v>
      </c>
      <c r="Q122" s="141">
        <v>-3.3432241131026524E-3</v>
      </c>
      <c r="R122" s="143">
        <v>-3.3077528429492631E-3</v>
      </c>
    </row>
    <row r="123" spans="14:18" x14ac:dyDescent="0.2">
      <c r="N123" s="139" t="str">
        <f t="shared" si="8"/>
        <v>1D</v>
      </c>
      <c r="O123" s="146">
        <f>_xll.qlCalendarAdvance(Calendar,O122,N123,"f",FALSE)</f>
        <v>42286</v>
      </c>
      <c r="P123" s="140">
        <f>_xll.qlInterestRateIndexValueDate(IborIndex,O123)</f>
        <v>42290</v>
      </c>
      <c r="Q123" s="141">
        <v>-3.3458201773513855E-3</v>
      </c>
      <c r="R123" s="143">
        <v>-3.3109050185098354E-3</v>
      </c>
    </row>
    <row r="124" spans="14:18" x14ac:dyDescent="0.2">
      <c r="N124" s="139" t="str">
        <f t="shared" si="8"/>
        <v>1D</v>
      </c>
      <c r="O124" s="146">
        <f>_xll.qlCalendarAdvance(Calendar,O123,N124,"f",FALSE)</f>
        <v>42289</v>
      </c>
      <c r="P124" s="140">
        <f>_xll.qlInterestRateIndexValueDate(IborIndex,O124)</f>
        <v>42291</v>
      </c>
      <c r="Q124" s="141">
        <v>-3.3506251974775711E-3</v>
      </c>
      <c r="R124" s="143">
        <v>-3.3170363987533591E-3</v>
      </c>
    </row>
    <row r="125" spans="14:18" x14ac:dyDescent="0.2">
      <c r="N125" s="139" t="str">
        <f t="shared" si="8"/>
        <v>1D</v>
      </c>
      <c r="O125" s="146">
        <f>_xll.qlCalendarAdvance(Calendar,O124,N125,"f",FALSE)</f>
        <v>42290</v>
      </c>
      <c r="P125" s="140">
        <f>_xll.qlInterestRateIndexValueDate(IborIndex,O125)</f>
        <v>42292</v>
      </c>
      <c r="Q125" s="141">
        <v>-3.3519957573725778E-3</v>
      </c>
      <c r="R125" s="143">
        <v>-3.3230864992539466E-3</v>
      </c>
    </row>
    <row r="126" spans="14:18" x14ac:dyDescent="0.2">
      <c r="N126" s="139" t="str">
        <f t="shared" si="8"/>
        <v>1D</v>
      </c>
      <c r="O126" s="146">
        <f>_xll.qlCalendarAdvance(Calendar,O125,N126,"f",FALSE)</f>
        <v>42291</v>
      </c>
      <c r="P126" s="140">
        <f>_xll.qlInterestRateIndexValueDate(IborIndex,O126)</f>
        <v>42293</v>
      </c>
      <c r="Q126" s="141">
        <v>-3.3533521057175471E-3</v>
      </c>
      <c r="R126" s="143">
        <v>-3.3260250640854139E-3</v>
      </c>
    </row>
    <row r="127" spans="14:18" x14ac:dyDescent="0.2">
      <c r="N127" s="139" t="str">
        <f t="shared" si="8"/>
        <v>1D</v>
      </c>
      <c r="O127" s="146">
        <f>_xll.qlCalendarAdvance(Calendar,O126,N127,"f",FALSE)</f>
        <v>42292</v>
      </c>
      <c r="P127" s="140">
        <f>_xll.qlInterestRateIndexValueDate(IborIndex,O127)</f>
        <v>42296</v>
      </c>
      <c r="Q127" s="141">
        <v>-3.3604996380912524E-3</v>
      </c>
      <c r="R127" s="143">
        <v>-3.3289209068509962E-3</v>
      </c>
    </row>
    <row r="128" spans="14:18" x14ac:dyDescent="0.2">
      <c r="N128" s="139" t="str">
        <f t="shared" si="8"/>
        <v>1D</v>
      </c>
      <c r="O128" s="146">
        <f>_xll.qlCalendarAdvance(Calendar,O127,N128,"f",FALSE)</f>
        <v>42293</v>
      </c>
      <c r="P128" s="140">
        <f>_xll.qlInterestRateIndexValueDate(IborIndex,O128)</f>
        <v>42297</v>
      </c>
      <c r="Q128" s="141">
        <v>-3.3627967276730272E-3</v>
      </c>
      <c r="R128" s="143">
        <v>-3.3317740275506935E-3</v>
      </c>
    </row>
    <row r="129" spans="14:18" x14ac:dyDescent="0.2">
      <c r="N129" s="139" t="str">
        <f t="shared" si="8"/>
        <v>1D</v>
      </c>
      <c r="O129" s="146">
        <f>_xll.qlCalendarAdvance(Calendar,O128,N129,"f",FALSE)</f>
        <v>42296</v>
      </c>
      <c r="P129" s="140">
        <f>_xll.qlInterestRateIndexValueDate(IborIndex,O129)</f>
        <v>42298</v>
      </c>
      <c r="Q129" s="141">
        <v>-3.3670034936792641E-3</v>
      </c>
      <c r="R129" s="143">
        <v>-3.3373069234921005E-3</v>
      </c>
    </row>
    <row r="130" spans="14:18" x14ac:dyDescent="0.2">
      <c r="N130" s="139" t="str">
        <f t="shared" si="8"/>
        <v>1D</v>
      </c>
      <c r="O130" s="146">
        <f>_xll.qlCalendarAdvance(Calendar,O129,N130,"f",FALSE)</f>
        <v>42297</v>
      </c>
      <c r="P130" s="140">
        <f>_xll.qlInterestRateIndexValueDate(IborIndex,O130)</f>
        <v>42299</v>
      </c>
      <c r="Q130" s="141">
        <v>-3.3682247205009397E-3</v>
      </c>
      <c r="R130" s="143">
        <v>-3.3427592890511448E-3</v>
      </c>
    </row>
    <row r="131" spans="14:18" x14ac:dyDescent="0.2">
      <c r="N131" s="139" t="str">
        <f t="shared" si="8"/>
        <v>1D</v>
      </c>
      <c r="O131" s="146">
        <f>_xll.qlCalendarAdvance(Calendar,O130,N131,"f",FALSE)</f>
        <v>42298</v>
      </c>
      <c r="P131" s="140">
        <f>_xll.qlInterestRateIndexValueDate(IborIndex,O131)</f>
        <v>42300</v>
      </c>
      <c r="Q131" s="141">
        <v>-3.3694317331535483E-3</v>
      </c>
      <c r="R131" s="143">
        <v>-3.3453987990617051E-3</v>
      </c>
    </row>
    <row r="132" spans="14:18" x14ac:dyDescent="0.2">
      <c r="N132" s="139" t="str">
        <f t="shared" si="8"/>
        <v>1D</v>
      </c>
      <c r="O132" s="146">
        <f>_xll.qlCalendarAdvance(Calendar,O131,N132,"f",FALSE)</f>
        <v>42299</v>
      </c>
      <c r="P132" s="140">
        <f>_xll.qlInterestRateIndexValueDate(IborIndex,O132)</f>
        <v>42303</v>
      </c>
      <c r="Q132" s="141">
        <v>-3.3756823442351778E-3</v>
      </c>
      <c r="R132" s="143">
        <v>-3.3479955871262845E-3</v>
      </c>
    </row>
    <row r="133" spans="14:18" x14ac:dyDescent="0.2">
      <c r="N133" s="139" t="str">
        <f t="shared" si="8"/>
        <v>1D</v>
      </c>
      <c r="O133" s="146">
        <f>_xll.qlCalendarAdvance(Calendar,O132,N133,"f",FALSE)</f>
        <v>42300</v>
      </c>
      <c r="P133" s="140">
        <f>_xll.qlInterestRateIndexValueDate(IborIndex,O133)</f>
        <v>42304</v>
      </c>
      <c r="Q133" s="141">
        <v>-3.3776804603928702E-3</v>
      </c>
      <c r="R133" s="143">
        <v>-3.3505496530050749E-3</v>
      </c>
    </row>
    <row r="134" spans="14:18" x14ac:dyDescent="0.2">
      <c r="N134" s="139" t="str">
        <f t="shared" si="8"/>
        <v>1D</v>
      </c>
      <c r="O134" s="146">
        <f>_xll.qlCalendarAdvance(Calendar,O133,N134,"f",FALSE)</f>
        <v>42303</v>
      </c>
      <c r="P134" s="140">
        <f>_xll.qlInterestRateIndexValueDate(IborIndex,O134)</f>
        <v>42305</v>
      </c>
      <c r="Q134" s="141">
        <v>-3.381289012491997E-3</v>
      </c>
      <c r="R134" s="143">
        <v>-3.3554841015215331E-3</v>
      </c>
    </row>
    <row r="135" spans="14:18" x14ac:dyDescent="0.2">
      <c r="N135" s="139" t="str">
        <f t="shared" si="8"/>
        <v>1D</v>
      </c>
      <c r="O135" s="146">
        <f>_xll.qlCalendarAdvance(Calendar,O134,N135,"f",FALSE)</f>
        <v>42304</v>
      </c>
      <c r="P135" s="140">
        <f>_xll.qlInterestRateIndexValueDate(IborIndex,O135)</f>
        <v>42306</v>
      </c>
      <c r="Q135" s="141">
        <v>-3.3823608879500477E-3</v>
      </c>
      <c r="R135" s="143">
        <v>-3.3603386954617065E-3</v>
      </c>
    </row>
    <row r="136" spans="14:18" x14ac:dyDescent="0.2">
      <c r="N136" s="139" t="str">
        <f t="shared" si="8"/>
        <v>1D</v>
      </c>
      <c r="O136" s="146">
        <f>_xll.qlCalendarAdvance(Calendar,O135,N136,"f",FALSE)</f>
        <v>42305</v>
      </c>
      <c r="P136" s="140">
        <f>_xll.qlInterestRateIndexValueDate(IborIndex,O136)</f>
        <v>42307</v>
      </c>
      <c r="Q136" s="141">
        <v>-3.3834185465745599E-3</v>
      </c>
      <c r="R136" s="143">
        <v>-3.3626791508511999E-3</v>
      </c>
    </row>
    <row r="137" spans="14:18" x14ac:dyDescent="0.2">
      <c r="N137" s="139" t="str">
        <f t="shared" si="8"/>
        <v>1D</v>
      </c>
      <c r="O137" s="146">
        <f>_xll.qlCalendarAdvance(Calendar,O136,N137,"f",FALSE)</f>
        <v>42306</v>
      </c>
      <c r="P137" s="140">
        <f>_xll.qlInterestRateIndexValueDate(IborIndex,O137)</f>
        <v>42310</v>
      </c>
      <c r="Q137" s="141">
        <v>-3.3880311502922922E-3</v>
      </c>
      <c r="R137" s="143">
        <v>-3.3649768840549044E-3</v>
      </c>
    </row>
    <row r="138" spans="14:18" x14ac:dyDescent="0.2">
      <c r="N138" s="139" t="str">
        <f t="shared" si="8"/>
        <v>1D</v>
      </c>
      <c r="O138" s="146">
        <f>_xll.qlCalendarAdvance(Calendar,O137,N138,"f",FALSE)</f>
        <v>42307</v>
      </c>
      <c r="P138" s="140">
        <f>_xll.qlInterestRateIndexValueDate(IborIndex,O138)</f>
        <v>42311</v>
      </c>
      <c r="Q138" s="141">
        <v>-3.3897516654266546E-3</v>
      </c>
      <c r="R138" s="143">
        <v>-3.3672318952726599E-3</v>
      </c>
    </row>
    <row r="139" spans="14:18" x14ac:dyDescent="0.2">
      <c r="N139" s="139" t="str">
        <f t="shared" si="8"/>
        <v>1D</v>
      </c>
      <c r="O139" s="146">
        <f>_xll.qlCalendarAdvance(Calendar,O138,N139,"f",FALSE)</f>
        <v>42310</v>
      </c>
      <c r="P139" s="140">
        <f>_xll.qlInterestRateIndexValueDate(IborIndex,O139)</f>
        <v>42312</v>
      </c>
      <c r="Q139" s="141">
        <v>-3.3914294698980108E-3</v>
      </c>
      <c r="R139" s="143">
        <v>-3.3715679337609217E-3</v>
      </c>
    </row>
    <row r="140" spans="14:18" x14ac:dyDescent="0.2">
      <c r="N140" s="139" t="str">
        <f t="shared" si="8"/>
        <v>1D</v>
      </c>
      <c r="O140" s="146">
        <f>_xll.qlCalendarAdvance(Calendar,O139,N140,"f",FALSE)</f>
        <v>42311</v>
      </c>
      <c r="P140" s="140">
        <f>_xll.qlInterestRateIndexValueDate(IborIndex,O140)</f>
        <v>42313</v>
      </c>
      <c r="Q140" s="141">
        <v>-3.3944042676123387E-3</v>
      </c>
      <c r="R140" s="143">
        <v>-3.3758247188453439E-3</v>
      </c>
    </row>
    <row r="141" spans="14:18" x14ac:dyDescent="0.2">
      <c r="N141" s="139" t="str">
        <f t="shared" si="8"/>
        <v>1D</v>
      </c>
      <c r="O141" s="146">
        <f>_xll.qlCalendarAdvance(Calendar,O140,N141,"f",FALSE)</f>
        <v>42312</v>
      </c>
      <c r="P141" s="140">
        <f>_xll.qlInterestRateIndexValueDate(IborIndex,O141)</f>
        <v>42314</v>
      </c>
      <c r="Q141" s="141">
        <v>-3.395312553543564E-3</v>
      </c>
      <c r="R141" s="143">
        <v>-3.3778661195338344E-3</v>
      </c>
    </row>
    <row r="142" spans="14:18" x14ac:dyDescent="0.2">
      <c r="N142" s="139" t="str">
        <f t="shared" si="8"/>
        <v>1D</v>
      </c>
      <c r="O142" s="146">
        <f>_xll.qlCalendarAdvance(Calendar,O141,N142,"f",FALSE)</f>
        <v>42313</v>
      </c>
      <c r="P142" s="140">
        <f>_xll.qlInterestRateIndexValueDate(IborIndex,O142)</f>
        <v>42317</v>
      </c>
      <c r="Q142" s="141">
        <v>-3.3991778329918176E-3</v>
      </c>
      <c r="R142" s="143">
        <v>-3.379864798076504E-3</v>
      </c>
    </row>
    <row r="143" spans="14:18" x14ac:dyDescent="0.2">
      <c r="N143" s="139" t="str">
        <f t="shared" si="8"/>
        <v>1D</v>
      </c>
      <c r="O143" s="146">
        <f>_xll.qlCalendarAdvance(Calendar,O142,N143,"f",FALSE)</f>
        <v>42314</v>
      </c>
      <c r="P143" s="140">
        <f>_xll.qlInterestRateIndexValueDate(IborIndex,O143)</f>
        <v>42318</v>
      </c>
      <c r="Q143" s="141">
        <v>-3.4005993738701612E-3</v>
      </c>
      <c r="R143" s="143">
        <v>-3.3818207545532886E-3</v>
      </c>
    </row>
    <row r="144" spans="14:18" x14ac:dyDescent="0.2">
      <c r="N144" s="139" t="str">
        <f t="shared" si="8"/>
        <v>1D</v>
      </c>
      <c r="O144" s="146">
        <f>_xll.qlCalendarAdvance(Calendar,O143,N144,"f",FALSE)</f>
        <v>42317</v>
      </c>
      <c r="P144" s="140">
        <f>_xll.qlInterestRateIndexValueDate(IborIndex,O144)</f>
        <v>42319</v>
      </c>
      <c r="Q144" s="141">
        <v>-3.4019782042067348E-3</v>
      </c>
      <c r="R144" s="143">
        <v>-3.3855584210762402E-3</v>
      </c>
    </row>
    <row r="145" spans="14:18" x14ac:dyDescent="0.2">
      <c r="N145" s="139" t="str">
        <f t="shared" si="8"/>
        <v>1D</v>
      </c>
      <c r="O145" s="146">
        <f>_xll.qlCalendarAdvance(Calendar,O144,N145,"f",FALSE)</f>
        <v>42318</v>
      </c>
      <c r="P145" s="140">
        <f>_xll.qlInterestRateIndexValueDate(IborIndex,O145)</f>
        <v>42320</v>
      </c>
      <c r="Q145" s="141">
        <v>-3.4043548662111844E-3</v>
      </c>
      <c r="R145" s="143">
        <v>-3.3892173594818331E-3</v>
      </c>
    </row>
    <row r="146" spans="14:18" x14ac:dyDescent="0.2">
      <c r="N146" s="139" t="str">
        <f t="shared" si="8"/>
        <v>1D</v>
      </c>
      <c r="O146" s="146">
        <f>_xll.qlCalendarAdvance(Calendar,O145,N146,"f",FALSE)</f>
        <v>42319</v>
      </c>
      <c r="P146" s="140">
        <f>_xll.qlInterestRateIndexValueDate(IborIndex,O146)</f>
        <v>42321</v>
      </c>
      <c r="Q146" s="141">
        <v>-3.4051137604954131E-3</v>
      </c>
      <c r="R146" s="143">
        <v>-3.3909597053893847E-3</v>
      </c>
    </row>
    <row r="147" spans="14:18" x14ac:dyDescent="0.2">
      <c r="N147" s="139" t="str">
        <f t="shared" si="8"/>
        <v>1D</v>
      </c>
      <c r="O147" s="146">
        <f>_xll.qlCalendarAdvance(Calendar,O146,N147,"f",FALSE)</f>
        <v>42320</v>
      </c>
      <c r="P147" s="140">
        <f>_xll.qlInterestRateIndexValueDate(IborIndex,O147)</f>
        <v>42324</v>
      </c>
      <c r="Q147" s="141">
        <v>-3.4082316982386729E-3</v>
      </c>
      <c r="R147" s="143">
        <v>-3.3926593293509555E-3</v>
      </c>
    </row>
    <row r="148" spans="14:18" x14ac:dyDescent="0.2">
      <c r="N148" s="139" t="str">
        <f t="shared" si="8"/>
        <v>1D</v>
      </c>
      <c r="O148" s="146">
        <f>_xll.qlCalendarAdvance(Calendar,O147,N148,"f",FALSE)</f>
        <v>42321</v>
      </c>
      <c r="P148" s="140">
        <f>_xll.qlInterestRateIndexValueDate(IborIndex,O148)</f>
        <v>42325</v>
      </c>
      <c r="Q148" s="141">
        <v>-3.4093542656083997E-3</v>
      </c>
      <c r="R148" s="143">
        <v>-3.3943162311667052E-3</v>
      </c>
    </row>
    <row r="149" spans="14:18" x14ac:dyDescent="0.2">
      <c r="N149" s="139" t="str">
        <f t="shared" ref="N149:N212" si="9">N148</f>
        <v>1D</v>
      </c>
      <c r="O149" s="146">
        <f>_xll.qlCalendarAdvance(Calendar,O148,N149,"f",FALSE)</f>
        <v>42324</v>
      </c>
      <c r="P149" s="140">
        <f>_xll.qlInterestRateIndexValueDate(IborIndex,O149)</f>
        <v>42326</v>
      </c>
      <c r="Q149" s="141">
        <v>-3.4104341225296153E-3</v>
      </c>
      <c r="R149" s="143">
        <v>-3.3974555642402038E-3</v>
      </c>
    </row>
    <row r="150" spans="14:18" x14ac:dyDescent="0.2">
      <c r="N150" s="139" t="str">
        <f t="shared" si="9"/>
        <v>1D</v>
      </c>
      <c r="O150" s="146">
        <f>_xll.qlCalendarAdvance(Calendar,O149,N150,"f",FALSE)</f>
        <v>42325</v>
      </c>
      <c r="P150" s="140">
        <f>_xll.qlInterestRateIndexValueDate(IborIndex,O150)</f>
        <v>42327</v>
      </c>
      <c r="Q150" s="141">
        <v>-3.4122126893021409E-3</v>
      </c>
      <c r="R150" s="143">
        <v>-3.4005166174511103E-3</v>
      </c>
    </row>
    <row r="151" spans="14:18" x14ac:dyDescent="0.2">
      <c r="N151" s="139" t="str">
        <f t="shared" si="9"/>
        <v>1D</v>
      </c>
      <c r="O151" s="146">
        <f>_xll.qlCalendarAdvance(Calendar,O150,N151,"f",FALSE)</f>
        <v>42326</v>
      </c>
      <c r="P151" s="140">
        <f>_xll.qlInterestRateIndexValueDate(IborIndex,O151)</f>
        <v>42328</v>
      </c>
      <c r="Q151" s="141">
        <v>-3.4128221727303836E-3</v>
      </c>
      <c r="R151" s="143">
        <v>-3.4019599087775632E-3</v>
      </c>
    </row>
    <row r="152" spans="14:18" x14ac:dyDescent="0.2">
      <c r="N152" s="139" t="str">
        <f t="shared" si="9"/>
        <v>1D</v>
      </c>
      <c r="O152" s="146">
        <f>_xll.qlCalendarAdvance(Calendar,O151,N152,"f",FALSE)</f>
        <v>42327</v>
      </c>
      <c r="P152" s="140">
        <f>_xll.qlInterestRateIndexValueDate(IborIndex,O152)</f>
        <v>42331</v>
      </c>
      <c r="Q152" s="141">
        <v>-3.4151927507704016E-3</v>
      </c>
      <c r="R152" s="143">
        <v>-3.4033604781580351E-3</v>
      </c>
    </row>
    <row r="153" spans="14:18" x14ac:dyDescent="0.2">
      <c r="N153" s="139" t="str">
        <f t="shared" si="9"/>
        <v>1D</v>
      </c>
      <c r="O153" s="146">
        <f>_xll.qlCalendarAdvance(Calendar,O152,N153,"f",FALSE)</f>
        <v>42328</v>
      </c>
      <c r="P153" s="140">
        <f>_xll.qlInterestRateIndexValueDate(IborIndex,O153)</f>
        <v>42332</v>
      </c>
      <c r="Q153" s="141">
        <v>-3.417014951819198E-3</v>
      </c>
      <c r="R153" s="143">
        <v>-3.404718325272782E-3</v>
      </c>
    </row>
    <row r="154" spans="14:18" x14ac:dyDescent="0.2">
      <c r="N154" s="139" t="str">
        <f t="shared" si="9"/>
        <v>1D</v>
      </c>
      <c r="O154" s="146">
        <f>_xll.qlCalendarAdvance(Calendar,O153,N154,"f",FALSE)</f>
        <v>42331</v>
      </c>
      <c r="P154" s="140">
        <f>_xll.qlInterestRateIndexValueDate(IborIndex,O154)</f>
        <v>42333</v>
      </c>
      <c r="Q154" s="141">
        <v>-3.4175034602707496E-3</v>
      </c>
      <c r="R154" s="143">
        <v>-3.4072593637990423E-3</v>
      </c>
    </row>
    <row r="155" spans="14:18" x14ac:dyDescent="0.2">
      <c r="N155" s="139" t="str">
        <f t="shared" si="9"/>
        <v>1D</v>
      </c>
      <c r="O155" s="146">
        <f>_xll.qlCalendarAdvance(Calendar,O154,N155,"f",FALSE)</f>
        <v>42332</v>
      </c>
      <c r="P155" s="140">
        <f>_xll.qlInterestRateIndexValueDate(IborIndex,O155)</f>
        <v>42334</v>
      </c>
      <c r="Q155" s="141">
        <v>-3.4179777412692014E-3</v>
      </c>
      <c r="R155" s="143">
        <v>-3.4097224931128878E-3</v>
      </c>
    </row>
    <row r="156" spans="14:18" x14ac:dyDescent="0.2">
      <c r="N156" s="139" t="str">
        <f t="shared" si="9"/>
        <v>1D</v>
      </c>
      <c r="O156" s="146">
        <f>_xll.qlCalendarAdvance(Calendar,O155,N156,"f",FALSE)</f>
        <v>42333</v>
      </c>
      <c r="P156" s="140">
        <f>_xll.qlInterestRateIndexValueDate(IborIndex,O156)</f>
        <v>42335</v>
      </c>
      <c r="Q156" s="141">
        <v>-3.4184377944154651E-3</v>
      </c>
      <c r="R156" s="143">
        <v>-3.4108667298982098E-3</v>
      </c>
    </row>
    <row r="157" spans="14:18" x14ac:dyDescent="0.2">
      <c r="N157" s="139" t="str">
        <f t="shared" si="9"/>
        <v>1D</v>
      </c>
      <c r="O157" s="146">
        <f>_xll.qlCalendarAdvance(Calendar,O156,N157,"f",FALSE)</f>
        <v>42334</v>
      </c>
      <c r="P157" s="140">
        <f>_xll.qlInterestRateIndexValueDate(IborIndex,O157)</f>
        <v>42338</v>
      </c>
      <c r="Q157" s="141">
        <v>-3.4200609942320881E-3</v>
      </c>
      <c r="R157" s="143">
        <v>-3.4119682446176469E-3</v>
      </c>
    </row>
    <row r="158" spans="14:18" x14ac:dyDescent="0.2">
      <c r="N158" s="139" t="str">
        <f t="shared" si="9"/>
        <v>1D</v>
      </c>
      <c r="O158" s="146">
        <f>_xll.qlCalendarAdvance(Calendar,O157,N158,"f",FALSE)</f>
        <v>42335</v>
      </c>
      <c r="P158" s="140">
        <f>_xll.qlInterestRateIndexValueDate(IborIndex,O158)</f>
        <v>42339</v>
      </c>
      <c r="Q158" s="141">
        <v>-3.4209861272159552E-3</v>
      </c>
      <c r="R158" s="143">
        <v>-3.4130270370713589E-3</v>
      </c>
    </row>
    <row r="159" spans="14:18" x14ac:dyDescent="0.2">
      <c r="N159" s="139" t="str">
        <f t="shared" si="9"/>
        <v>1D</v>
      </c>
      <c r="O159" s="146">
        <f>_xll.qlCalendarAdvance(Calendar,O158,N159,"f",FALSE)</f>
        <v>42338</v>
      </c>
      <c r="P159" s="140">
        <f>_xll.qlInterestRateIndexValueDate(IborIndex,O159)</f>
        <v>42340</v>
      </c>
      <c r="Q159" s="141">
        <v>-3.4213251914083647E-3</v>
      </c>
      <c r="R159" s="143">
        <v>-3.4149698203256307E-3</v>
      </c>
    </row>
    <row r="160" spans="14:18" x14ac:dyDescent="0.2">
      <c r="N160" s="139" t="str">
        <f t="shared" si="9"/>
        <v>1D</v>
      </c>
      <c r="O160" s="146">
        <f>_xll.qlCalendarAdvance(Calendar,O159,N160,"f",FALSE)</f>
        <v>42339</v>
      </c>
      <c r="P160" s="140">
        <f>_xll.qlInterestRateIndexValueDate(IborIndex,O160)</f>
        <v>42341</v>
      </c>
      <c r="Q160" s="141">
        <v>-3.4216500253335391E-3</v>
      </c>
      <c r="R160" s="143">
        <v>-3.4168349865471015E-3</v>
      </c>
    </row>
    <row r="161" spans="14:18" x14ac:dyDescent="0.2">
      <c r="N161" s="139" t="str">
        <f t="shared" si="9"/>
        <v>1D</v>
      </c>
      <c r="O161" s="146">
        <f>_xll.qlCalendarAdvance(Calendar,O160,N161,"f",FALSE)</f>
        <v>42340</v>
      </c>
      <c r="P161" s="140">
        <f>_xll.qlInterestRateIndexValueDate(IborIndex,O161)</f>
        <v>42342</v>
      </c>
      <c r="Q161" s="141">
        <v>-3.4219606285895172E-3</v>
      </c>
      <c r="R161" s="143">
        <v>-3.4176801687912928E-3</v>
      </c>
    </row>
    <row r="162" spans="14:18" x14ac:dyDescent="0.2">
      <c r="N162" s="139" t="str">
        <f t="shared" si="9"/>
        <v>1D</v>
      </c>
      <c r="O162" s="146">
        <f>_xll.qlCalendarAdvance(Calendar,O161,N162,"f",FALSE)</f>
        <v>42341</v>
      </c>
      <c r="P162" s="140">
        <f>_xll.qlInterestRateIndexValueDate(IborIndex,O162)</f>
        <v>42345</v>
      </c>
      <c r="Q162" s="141">
        <v>-3.4228297659374156E-3</v>
      </c>
      <c r="R162" s="143">
        <v>-3.4184826287697589E-3</v>
      </c>
    </row>
    <row r="163" spans="14:18" x14ac:dyDescent="0.2">
      <c r="N163" s="139" t="str">
        <f t="shared" si="9"/>
        <v>1D</v>
      </c>
      <c r="O163" s="146">
        <f>_xll.qlCalendarAdvance(Calendar,O162,N163,"f",FALSE)</f>
        <v>42342</v>
      </c>
      <c r="P163" s="140">
        <f>_xll.qlInterestRateIndexValueDate(IborIndex,O163)</f>
        <v>42346</v>
      </c>
      <c r="Q163" s="141">
        <v>-3.4230340585860199E-3</v>
      </c>
      <c r="R163" s="143">
        <v>-3.4192423668422123E-3</v>
      </c>
    </row>
    <row r="164" spans="14:18" x14ac:dyDescent="0.2">
      <c r="N164" s="139" t="str">
        <f t="shared" si="9"/>
        <v>1D</v>
      </c>
      <c r="O164" s="146">
        <f>_xll.qlCalendarAdvance(Calendar,O163,N164,"f",FALSE)</f>
        <v>42345</v>
      </c>
      <c r="P164" s="140">
        <f>_xll.qlInterestRateIndexValueDate(IborIndex,O164)</f>
        <v>42347</v>
      </c>
      <c r="Q164" s="141">
        <v>-3.4230541764265513E-3</v>
      </c>
      <c r="R164" s="143">
        <v>-3.420586934193004E-3</v>
      </c>
    </row>
    <row r="165" spans="14:18" x14ac:dyDescent="0.2">
      <c r="N165" s="139" t="str">
        <f t="shared" si="9"/>
        <v>1D</v>
      </c>
      <c r="O165" s="146">
        <f>_xll.qlCalendarAdvance(Calendar,O164,N165,"f",FALSE)</f>
        <v>42346</v>
      </c>
      <c r="P165" s="140">
        <f>_xll.qlInterestRateIndexValueDate(IborIndex,O165)</f>
        <v>42348</v>
      </c>
      <c r="Q165" s="141">
        <v>-3.4232295435435156E-3</v>
      </c>
      <c r="R165" s="143">
        <v>-3.4218540979136236E-3</v>
      </c>
    </row>
    <row r="166" spans="14:18" x14ac:dyDescent="0.2">
      <c r="N166" s="139" t="str">
        <f t="shared" si="9"/>
        <v>1D</v>
      </c>
      <c r="O166" s="146">
        <f>_xll.qlCalendarAdvance(Calendar,O165,N166,"f",FALSE)</f>
        <v>42347</v>
      </c>
      <c r="P166" s="140">
        <f>_xll.qlInterestRateIndexValueDate(IborIndex,O166)</f>
        <v>42349</v>
      </c>
      <c r="Q166" s="141">
        <v>-3.4233906771529549E-3</v>
      </c>
      <c r="R166" s="143">
        <v>-3.4224002255767161E-3</v>
      </c>
    </row>
    <row r="167" spans="14:18" x14ac:dyDescent="0.2">
      <c r="N167" s="139" t="str">
        <f t="shared" si="9"/>
        <v>1D</v>
      </c>
      <c r="O167" s="146">
        <f>_xll.qlCalendarAdvance(Calendar,O166,N167,"f",FALSE)</f>
        <v>42348</v>
      </c>
      <c r="P167" s="140">
        <f>_xll.qlInterestRateIndexValueDate(IborIndex,O167)</f>
        <v>42352</v>
      </c>
      <c r="Q167" s="141">
        <v>-3.4233629066870281E-3</v>
      </c>
      <c r="R167" s="143">
        <v>-3.4229036310939875E-3</v>
      </c>
    </row>
    <row r="168" spans="14:18" x14ac:dyDescent="0.2">
      <c r="N168" s="139" t="str">
        <f t="shared" si="9"/>
        <v>1D</v>
      </c>
      <c r="O168" s="146">
        <f>_xll.qlCalendarAdvance(Calendar,O167,N168,"f",FALSE)</f>
        <v>42349</v>
      </c>
      <c r="P168" s="140">
        <f>_xll.qlInterestRateIndexValueDate(IborIndex,O168)</f>
        <v>42353</v>
      </c>
      <c r="Q168" s="141">
        <v>-3.4232682300811179E-3</v>
      </c>
      <c r="R168" s="143">
        <v>-3.42336431442547E-3</v>
      </c>
    </row>
    <row r="169" spans="14:18" x14ac:dyDescent="0.2">
      <c r="N169" s="139" t="str">
        <f t="shared" si="9"/>
        <v>1D</v>
      </c>
      <c r="O169" s="146">
        <f>_xll.qlCalendarAdvance(Calendar,O168,N169,"f",FALSE)</f>
        <v>42352</v>
      </c>
      <c r="P169" s="140">
        <f>_xll.qlInterestRateIndexValueDate(IborIndex,O169)</f>
        <v>42354</v>
      </c>
      <c r="Q169" s="141">
        <v>-3.4226904163305672E-3</v>
      </c>
      <c r="R169" s="143">
        <v>-3.4241107057075837E-3</v>
      </c>
    </row>
    <row r="170" spans="14:18" x14ac:dyDescent="0.2">
      <c r="N170" s="139" t="str">
        <f t="shared" si="9"/>
        <v>1D</v>
      </c>
      <c r="O170" s="146">
        <f>_xll.qlCalendarAdvance(Calendar,O169,N170,"f",FALSE)</f>
        <v>42353</v>
      </c>
      <c r="P170" s="140">
        <f>_xll.qlInterestRateIndexValueDate(IborIndex,O170)</f>
        <v>42355</v>
      </c>
      <c r="Q170" s="141">
        <v>-3.4227162967809255E-3</v>
      </c>
      <c r="R170" s="143">
        <v>-3.4247798273723262E-3</v>
      </c>
    </row>
    <row r="171" spans="14:18" x14ac:dyDescent="0.2">
      <c r="N171" s="139" t="str">
        <f t="shared" si="9"/>
        <v>1D</v>
      </c>
      <c r="O171" s="146">
        <f>_xll.qlCalendarAdvance(Calendar,O170,N171,"f",FALSE)</f>
        <v>42354</v>
      </c>
      <c r="P171" s="140">
        <f>_xll.qlInterestRateIndexValueDate(IborIndex,O171)</f>
        <v>42356</v>
      </c>
      <c r="Q171" s="141">
        <v>-3.4227279408870887E-3</v>
      </c>
      <c r="R171" s="143">
        <v>-3.4250269003344158E-3</v>
      </c>
    </row>
    <row r="172" spans="14:18" x14ac:dyDescent="0.2">
      <c r="N172" s="139" t="str">
        <f t="shared" si="9"/>
        <v>1D</v>
      </c>
      <c r="O172" s="146">
        <f>_xll.qlCalendarAdvance(Calendar,O171,N172,"f",FALSE)</f>
        <v>42355</v>
      </c>
      <c r="P172" s="140">
        <f>_xll.qlInterestRateIndexValueDate(IborIndex,O172)</f>
        <v>42359</v>
      </c>
      <c r="Q172" s="141">
        <v>-3.4218032625905758E-3</v>
      </c>
      <c r="R172" s="143">
        <v>-3.4254038774799156E-3</v>
      </c>
    </row>
    <row r="173" spans="14:18" x14ac:dyDescent="0.2">
      <c r="N173" s="139" t="str">
        <f t="shared" si="9"/>
        <v>1D</v>
      </c>
      <c r="O173" s="146">
        <f>_xll.qlCalendarAdvance(Calendar,O172,N173,"f",FALSE)</f>
        <v>42356</v>
      </c>
      <c r="P173" s="140">
        <f>_xll.qlInterestRateIndexValueDate(IborIndex,O173)</f>
        <v>42360</v>
      </c>
      <c r="Q173" s="141">
        <v>-3.421409616674712E-3</v>
      </c>
      <c r="R173" s="143">
        <v>-3.4256121748033053E-3</v>
      </c>
    </row>
    <row r="174" spans="14:18" x14ac:dyDescent="0.2">
      <c r="N174" s="139" t="str">
        <f t="shared" si="9"/>
        <v>1D</v>
      </c>
      <c r="O174" s="146">
        <f>_xll.qlCalendarAdvance(Calendar,O173,N174,"f",FALSE)</f>
        <v>42359</v>
      </c>
      <c r="P174" s="140">
        <f>_xll.qlInterestRateIndexValueDate(IborIndex,O174)</f>
        <v>42361</v>
      </c>
      <c r="Q174" s="141">
        <v>-3.4202339108999817E-3</v>
      </c>
      <c r="R174" s="143">
        <v>-3.4255601932242641E-3</v>
      </c>
    </row>
    <row r="175" spans="14:18" x14ac:dyDescent="0.2">
      <c r="N175" s="139" t="str">
        <f t="shared" si="9"/>
        <v>1D</v>
      </c>
      <c r="O175" s="146">
        <f>_xll.qlCalendarAdvance(Calendar,O174,N175,"f",FALSE)</f>
        <v>42360</v>
      </c>
      <c r="P175" s="140">
        <f>_xll.qlInterestRateIndexValueDate(IborIndex,O175)</f>
        <v>42366</v>
      </c>
      <c r="Q175" s="141">
        <v>-3.4181508327997055E-3</v>
      </c>
      <c r="R175" s="143">
        <v>-3.4250400205193543E-3</v>
      </c>
    </row>
    <row r="176" spans="14:18" x14ac:dyDescent="0.2">
      <c r="N176" s="139" t="str">
        <f t="shared" si="9"/>
        <v>1D</v>
      </c>
      <c r="O176" s="146">
        <f>_xll.qlCalendarAdvance(Calendar,O175,N176,"f",FALSE)</f>
        <v>42361</v>
      </c>
      <c r="P176" s="140">
        <f>_xll.qlInterestRateIndexValueDate(IborIndex,O176)</f>
        <v>42367</v>
      </c>
      <c r="Q176" s="141">
        <v>-3.417458217366312E-3</v>
      </c>
      <c r="R176" s="143">
        <v>-3.4243511402465288E-3</v>
      </c>
    </row>
    <row r="177" spans="14:18" x14ac:dyDescent="0.2">
      <c r="N177" s="139" t="str">
        <f t="shared" si="9"/>
        <v>1D</v>
      </c>
      <c r="O177" s="146">
        <f>_xll.qlCalendarAdvance(Calendar,O176,N177,"f",FALSE)</f>
        <v>42366</v>
      </c>
      <c r="P177" s="140">
        <f>_xll.qlInterestRateIndexValueDate(IborIndex,O177)</f>
        <v>42368</v>
      </c>
      <c r="Q177" s="141">
        <v>-3.417220667879306E-3</v>
      </c>
      <c r="R177" s="143">
        <v>-3.4237869439568414E-3</v>
      </c>
    </row>
    <row r="178" spans="14:18" x14ac:dyDescent="0.2">
      <c r="N178" s="139" t="str">
        <f t="shared" si="9"/>
        <v>1D</v>
      </c>
      <c r="O178" s="146">
        <f>_xll.qlCalendarAdvance(Calendar,O177,N178,"f",FALSE)</f>
        <v>42367</v>
      </c>
      <c r="P178" s="140">
        <f>_xll.qlInterestRateIndexValueDate(IborIndex,O178)</f>
        <v>42373</v>
      </c>
      <c r="Q178" s="141">
        <v>-3.4124056153430901E-3</v>
      </c>
      <c r="R178" s="143">
        <v>-3.423169865728326E-3</v>
      </c>
    </row>
    <row r="179" spans="14:18" x14ac:dyDescent="0.2">
      <c r="N179" s="139" t="str">
        <f t="shared" si="9"/>
        <v>1D</v>
      </c>
      <c r="O179" s="146">
        <f>_xll.qlCalendarAdvance(Calendar,O178,N179,"f",FALSE)</f>
        <v>42368</v>
      </c>
      <c r="P179" s="140">
        <f>_xll.qlInterestRateIndexValueDate(IborIndex,O179)</f>
        <v>42374</v>
      </c>
      <c r="Q179" s="141">
        <v>-3.4114140300169835E-3</v>
      </c>
      <c r="R179" s="143">
        <v>-3.4221219674002157E-3</v>
      </c>
    </row>
    <row r="180" spans="14:18" x14ac:dyDescent="0.2">
      <c r="N180" s="139" t="str">
        <f t="shared" si="9"/>
        <v>1D</v>
      </c>
      <c r="O180" s="146">
        <f>_xll.qlCalendarAdvance(Calendar,O179,N180,"f",FALSE)</f>
        <v>42373</v>
      </c>
      <c r="P180" s="140">
        <f>_xll.qlInterestRateIndexValueDate(IborIndex,O180)</f>
        <v>42376</v>
      </c>
      <c r="Q180" s="141">
        <v>-3.4086199579534682E-3</v>
      </c>
      <c r="R180" s="143">
        <v>-3.4209967238618688E-3</v>
      </c>
    </row>
    <row r="181" spans="14:18" x14ac:dyDescent="0.2">
      <c r="N181" s="139" t="str">
        <f t="shared" si="9"/>
        <v>1D</v>
      </c>
      <c r="O181" s="146">
        <f>_xll.qlCalendarAdvance(Calendar,O180,N181,"f",FALSE)</f>
        <v>42374</v>
      </c>
      <c r="P181" s="140">
        <f>_xll.qlInterestRateIndexValueDate(IborIndex,O181)</f>
        <v>42377</v>
      </c>
      <c r="Q181" s="141">
        <v>-3.4081830138385058E-3</v>
      </c>
      <c r="R181" s="143">
        <v>-3.4203466332005661E-3</v>
      </c>
    </row>
    <row r="182" spans="14:18" x14ac:dyDescent="0.2">
      <c r="N182" s="139" t="str">
        <f t="shared" si="9"/>
        <v>1D</v>
      </c>
      <c r="O182" s="146">
        <f>_xll.qlCalendarAdvance(Calendar,O181,N182,"f",FALSE)</f>
        <v>42376</v>
      </c>
      <c r="P182" s="140">
        <f>_xll.qlInterestRateIndexValueDate(IborIndex,O182)</f>
        <v>42380</v>
      </c>
      <c r="Q182" s="141">
        <v>-3.4045676071135385E-3</v>
      </c>
      <c r="R182" s="143">
        <v>-3.4196538204334104E-3</v>
      </c>
    </row>
    <row r="183" spans="14:18" x14ac:dyDescent="0.2">
      <c r="N183" s="139" t="str">
        <f t="shared" si="9"/>
        <v>1D</v>
      </c>
      <c r="O183" s="146">
        <f>_xll.qlCalendarAdvance(Calendar,O182,N183,"f",FALSE)</f>
        <v>42377</v>
      </c>
      <c r="P183" s="140">
        <f>_xll.qlInterestRateIndexValueDate(IborIndex,O183)</f>
        <v>42381</v>
      </c>
      <c r="Q183" s="141">
        <v>-3.403277051354505E-3</v>
      </c>
      <c r="R183" s="143">
        <v>-3.4189182855604017E-3</v>
      </c>
    </row>
    <row r="184" spans="14:18" x14ac:dyDescent="0.2">
      <c r="N184" s="139" t="str">
        <f t="shared" si="9"/>
        <v>1D</v>
      </c>
      <c r="O184" s="146">
        <f>_xll.qlCalendarAdvance(Calendar,O183,N184,"f",FALSE)</f>
        <v>42380</v>
      </c>
      <c r="P184" s="140">
        <f>_xll.qlInterestRateIndexValueDate(IborIndex,O184)</f>
        <v>42382</v>
      </c>
      <c r="Q184" s="141">
        <v>-3.4003079024700548E-3</v>
      </c>
      <c r="R184" s="143">
        <v>-3.4172723702630137E-3</v>
      </c>
    </row>
    <row r="185" spans="14:18" x14ac:dyDescent="0.2">
      <c r="N185" s="139" t="str">
        <f t="shared" si="9"/>
        <v>1D</v>
      </c>
      <c r="O185" s="146">
        <f>_xll.qlCalendarAdvance(Calendar,O184,N185,"f",FALSE)</f>
        <v>42381</v>
      </c>
      <c r="P185" s="140">
        <f>_xll.qlInterestRateIndexValueDate(IborIndex,O185)</f>
        <v>42383</v>
      </c>
      <c r="Q185" s="141">
        <v>-3.3997356367534981E-3</v>
      </c>
      <c r="R185" s="143">
        <v>-3.4155489253295812E-3</v>
      </c>
    </row>
    <row r="186" spans="14:18" x14ac:dyDescent="0.2">
      <c r="N186" s="139" t="str">
        <f t="shared" si="9"/>
        <v>1D</v>
      </c>
      <c r="O186" s="146">
        <f>_xll.qlCalendarAdvance(Calendar,O185,N186,"f",FALSE)</f>
        <v>42382</v>
      </c>
      <c r="P186" s="140">
        <f>_xll.qlInterestRateIndexValueDate(IborIndex,O186)</f>
        <v>42384</v>
      </c>
      <c r="Q186" s="141">
        <v>-3.3991491233331672E-3</v>
      </c>
      <c r="R186" s="143">
        <v>-3.4145997801671157E-3</v>
      </c>
    </row>
    <row r="187" spans="14:18" x14ac:dyDescent="0.2">
      <c r="N187" s="139" t="str">
        <f t="shared" si="9"/>
        <v>1D</v>
      </c>
      <c r="O187" s="146">
        <f>_xll.qlCalendarAdvance(Calendar,O186,N187,"f",FALSE)</f>
        <v>42383</v>
      </c>
      <c r="P187" s="140">
        <f>_xll.qlInterestRateIndexValueDate(IborIndex,O187)</f>
        <v>42387</v>
      </c>
      <c r="Q187" s="141">
        <v>-3.3946368038667036E-3</v>
      </c>
      <c r="R187" s="143">
        <v>-3.4136079128188612E-3</v>
      </c>
    </row>
    <row r="188" spans="14:18" x14ac:dyDescent="0.2">
      <c r="N188" s="139" t="str">
        <f t="shared" si="9"/>
        <v>1D</v>
      </c>
      <c r="O188" s="146">
        <f>_xll.qlCalendarAdvance(Calendar,O187,N188,"f",FALSE)</f>
        <v>42384</v>
      </c>
      <c r="P188" s="140">
        <f>_xll.qlInterestRateIndexValueDate(IborIndex,O188)</f>
        <v>42388</v>
      </c>
      <c r="Q188" s="141">
        <v>-3.3930472769836835E-3</v>
      </c>
      <c r="R188" s="143">
        <v>-3.4125733233247857E-3</v>
      </c>
    </row>
    <row r="189" spans="14:18" x14ac:dyDescent="0.2">
      <c r="N189" s="139" t="str">
        <f t="shared" si="9"/>
        <v>1D</v>
      </c>
      <c r="O189" s="146">
        <f>_xll.qlCalendarAdvance(Calendar,O188,N189,"f",FALSE)</f>
        <v>42387</v>
      </c>
      <c r="P189" s="140">
        <f>_xll.qlInterestRateIndexValueDate(IborIndex,O189)</f>
        <v>42389</v>
      </c>
      <c r="Q189" s="141">
        <v>-3.3894803895329066E-3</v>
      </c>
      <c r="R189" s="143">
        <v>-3.4103294305598553E-3</v>
      </c>
    </row>
    <row r="190" spans="14:18" x14ac:dyDescent="0.2">
      <c r="N190" s="139" t="str">
        <f t="shared" si="9"/>
        <v>1D</v>
      </c>
      <c r="O190" s="146">
        <f>_xll.qlCalendarAdvance(Calendar,O189,N190,"f",FALSE)</f>
        <v>42388</v>
      </c>
      <c r="P190" s="140">
        <f>_xll.qlInterestRateIndexValueDate(IborIndex,O190)</f>
        <v>42390</v>
      </c>
      <c r="Q190" s="141">
        <v>-3.3887585374664519E-3</v>
      </c>
      <c r="R190" s="143">
        <v>-3.4080077448894741E-3</v>
      </c>
    </row>
    <row r="191" spans="14:18" x14ac:dyDescent="0.2">
      <c r="N191" s="139" t="str">
        <f t="shared" si="9"/>
        <v>1D</v>
      </c>
      <c r="O191" s="146">
        <f>_xll.qlCalendarAdvance(Calendar,O190,N191,"f",FALSE)</f>
        <v>42389</v>
      </c>
      <c r="P191" s="140">
        <f>_xll.qlInterestRateIndexValueDate(IborIndex,O191)</f>
        <v>42391</v>
      </c>
      <c r="Q191" s="141">
        <v>-3.3880224348877223E-3</v>
      </c>
      <c r="R191" s="143">
        <v>-3.4067595449860377E-3</v>
      </c>
    </row>
    <row r="192" spans="14:18" x14ac:dyDescent="0.2">
      <c r="N192" s="139" t="str">
        <f t="shared" si="9"/>
        <v>1D</v>
      </c>
      <c r="O192" s="146">
        <f>_xll.qlCalendarAdvance(Calendar,O191,N192,"f",FALSE)</f>
        <v>42390</v>
      </c>
      <c r="P192" s="140">
        <f>_xll.qlInterestRateIndexValueDate(IborIndex,O192)</f>
        <v>42394</v>
      </c>
      <c r="Q192" s="141">
        <v>-3.3826132002404232E-3</v>
      </c>
      <c r="R192" s="143">
        <v>-3.4054686230167164E-3</v>
      </c>
    </row>
    <row r="193" spans="14:18" x14ac:dyDescent="0.2">
      <c r="N193" s="139" t="str">
        <f t="shared" si="9"/>
        <v>1D</v>
      </c>
      <c r="O193" s="146">
        <f>_xll.qlCalendarAdvance(Calendar,O192,N193,"f",FALSE)</f>
        <v>42391</v>
      </c>
      <c r="P193" s="140">
        <f>_xll.qlInterestRateIndexValueDate(IborIndex,O193)</f>
        <v>42395</v>
      </c>
      <c r="Q193" s="141">
        <v>-3.3807247013657236E-3</v>
      </c>
      <c r="R193" s="143">
        <v>-3.4041349790614461E-3</v>
      </c>
    </row>
    <row r="194" spans="14:18" x14ac:dyDescent="0.2">
      <c r="N194" s="139" t="str">
        <f t="shared" si="9"/>
        <v>1D</v>
      </c>
      <c r="O194" s="146">
        <f>_xll.qlCalendarAdvance(Calendar,O193,N194,"f",FALSE)</f>
        <v>42394</v>
      </c>
      <c r="P194" s="140">
        <f>_xll.qlInterestRateIndexValueDate(IborIndex,O194)</f>
        <v>42396</v>
      </c>
      <c r="Q194" s="141">
        <v>-3.37656011214675E-3</v>
      </c>
      <c r="R194" s="143">
        <v>-3.4012931479709962E-3</v>
      </c>
    </row>
    <row r="195" spans="14:18" x14ac:dyDescent="0.2">
      <c r="N195" s="139" t="str">
        <f t="shared" si="9"/>
        <v>1D</v>
      </c>
      <c r="O195" s="146">
        <f>_xll.qlCalendarAdvance(Calendar,O194,N195,"f",FALSE)</f>
        <v>42395</v>
      </c>
      <c r="P195" s="140">
        <f>_xll.qlInterestRateIndexValueDate(IborIndex,O195)</f>
        <v>42397</v>
      </c>
      <c r="Q195" s="141">
        <v>-3.3756886539647313E-3</v>
      </c>
      <c r="R195" s="143">
        <v>-3.3983731820619312E-3</v>
      </c>
    </row>
    <row r="196" spans="14:18" x14ac:dyDescent="0.2">
      <c r="N196" s="139" t="str">
        <f t="shared" si="9"/>
        <v>1D</v>
      </c>
      <c r="O196" s="146">
        <f>_xll.qlCalendarAdvance(Calendar,O195,N196,"f",FALSE)</f>
        <v>42396</v>
      </c>
      <c r="P196" s="140">
        <f>_xll.qlInterestRateIndexValueDate(IborIndex,O196)</f>
        <v>42398</v>
      </c>
      <c r="Q196" s="141">
        <v>-3.3748029424773124E-3</v>
      </c>
      <c r="R196" s="143">
        <v>-3.396825927577396E-3</v>
      </c>
    </row>
    <row r="197" spans="14:18" x14ac:dyDescent="0.2">
      <c r="N197" s="139" t="str">
        <f t="shared" si="9"/>
        <v>1D</v>
      </c>
      <c r="O197" s="146">
        <f>_xll.qlCalendarAdvance(Calendar,O196,N197,"f",FALSE)</f>
        <v>42397</v>
      </c>
      <c r="P197" s="140">
        <f>_xll.qlInterestRateIndexValueDate(IborIndex,O197)</f>
        <v>42401</v>
      </c>
      <c r="Q197" s="141">
        <v>-3.3708866677476636E-3</v>
      </c>
      <c r="R197" s="143">
        <v>-3.3952359510269758E-3</v>
      </c>
    </row>
    <row r="198" spans="14:18" x14ac:dyDescent="0.2">
      <c r="N198" s="139" t="str">
        <f t="shared" si="9"/>
        <v>1D</v>
      </c>
      <c r="O198" s="146">
        <f>_xll.qlCalendarAdvance(Calendar,O197,N198,"f",FALSE)</f>
        <v>42398</v>
      </c>
      <c r="P198" s="140">
        <f>_xll.qlInterestRateIndexValueDate(IborIndex,O198)</f>
        <v>42402</v>
      </c>
      <c r="Q198" s="141">
        <v>-3.3687418662457442E-3</v>
      </c>
      <c r="R198" s="143">
        <v>-3.3936032523707027E-3</v>
      </c>
    </row>
    <row r="199" spans="14:18" x14ac:dyDescent="0.2">
      <c r="N199" s="139" t="str">
        <f t="shared" si="9"/>
        <v>1D</v>
      </c>
      <c r="O199" s="146">
        <f>_xll.qlCalendarAdvance(Calendar,O198,N199,"f",FALSE)</f>
        <v>42401</v>
      </c>
      <c r="P199" s="140">
        <f>_xll.qlInterestRateIndexValueDate(IborIndex,O199)</f>
        <v>42403</v>
      </c>
      <c r="Q199" s="141">
        <v>-3.3665543534706858E-3</v>
      </c>
      <c r="R199" s="143">
        <v>-3.3901635220301429E-3</v>
      </c>
    </row>
    <row r="200" spans="14:18" x14ac:dyDescent="0.2">
      <c r="N200" s="139" t="str">
        <f t="shared" si="9"/>
        <v>1D</v>
      </c>
      <c r="O200" s="146">
        <f>_xll.qlCalendarAdvance(Calendar,O199,N200,"f",FALSE)</f>
        <v>42402</v>
      </c>
      <c r="P200" s="140">
        <f>_xll.qlInterestRateIndexValueDate(IborIndex,O200)</f>
        <v>42404</v>
      </c>
      <c r="Q200" s="141">
        <v>-3.3643241294004375E-3</v>
      </c>
      <c r="R200" s="143">
        <v>-3.3866452368869204E-3</v>
      </c>
    </row>
    <row r="201" spans="14:18" x14ac:dyDescent="0.2">
      <c r="N201" s="139" t="str">
        <f t="shared" si="9"/>
        <v>1D</v>
      </c>
      <c r="O201" s="146">
        <f>_xll.qlCalendarAdvance(Calendar,O200,N201,"f",FALSE)</f>
        <v>42403</v>
      </c>
      <c r="P201" s="140">
        <f>_xll.qlInterestRateIndexValueDate(IborIndex,O201)</f>
        <v>42405</v>
      </c>
      <c r="Q201" s="141">
        <v>-3.3594906389592645E-3</v>
      </c>
      <c r="R201" s="143">
        <v>-3.3847989277013824E-3</v>
      </c>
    </row>
    <row r="202" spans="14:18" x14ac:dyDescent="0.2">
      <c r="N202" s="139" t="str">
        <f t="shared" si="9"/>
        <v>1D</v>
      </c>
      <c r="O202" s="146">
        <f>_xll.qlCalendarAdvance(Calendar,O201,N202,"f",FALSE)</f>
        <v>42404</v>
      </c>
      <c r="P202" s="140">
        <f>_xll.qlInterestRateIndexValueDate(IborIndex,O202)</f>
        <v>42408</v>
      </c>
      <c r="Q202" s="141">
        <v>-3.3549761197265138E-3</v>
      </c>
      <c r="R202" s="143">
        <v>-3.3829098965698634E-3</v>
      </c>
    </row>
    <row r="203" spans="14:18" x14ac:dyDescent="0.2">
      <c r="N203" s="139" t="str">
        <f t="shared" si="9"/>
        <v>1D</v>
      </c>
      <c r="O203" s="146">
        <f>_xll.qlCalendarAdvance(Calendar,O202,N203,"f",FALSE)</f>
        <v>42405</v>
      </c>
      <c r="P203" s="140">
        <f>_xll.qlInterestRateIndexValueDate(IborIndex,O203)</f>
        <v>42409</v>
      </c>
      <c r="Q203" s="141">
        <v>-3.3525323388343838E-3</v>
      </c>
      <c r="R203" s="143">
        <v>-3.3809781432125874E-3</v>
      </c>
    </row>
    <row r="204" spans="14:18" x14ac:dyDescent="0.2">
      <c r="N204" s="139" t="str">
        <f t="shared" si="9"/>
        <v>1D</v>
      </c>
      <c r="O204" s="146">
        <f>_xll.qlCalendarAdvance(Calendar,O203,N204,"f",FALSE)</f>
        <v>42408</v>
      </c>
      <c r="P204" s="140">
        <f>_xll.qlInterestRateIndexValueDate(IborIndex,O204)</f>
        <v>42410</v>
      </c>
      <c r="Q204" s="141">
        <v>-3.3500458465064863E-3</v>
      </c>
      <c r="R204" s="143">
        <v>-3.3769405521377749E-3</v>
      </c>
    </row>
    <row r="205" spans="14:18" x14ac:dyDescent="0.2">
      <c r="N205" s="139" t="str">
        <f t="shared" si="9"/>
        <v>1D</v>
      </c>
      <c r="O205" s="146">
        <f>_xll.qlCalendarAdvance(Calendar,O204,N205,"f",FALSE)</f>
        <v>42409</v>
      </c>
      <c r="P205" s="140">
        <f>_xll.qlInterestRateIndexValueDate(IborIndex,O205)</f>
        <v>42411</v>
      </c>
      <c r="Q205" s="141">
        <v>-3.3475166427125004E-3</v>
      </c>
      <c r="R205" s="143">
        <v>-3.3728239090446976E-3</v>
      </c>
    </row>
    <row r="206" spans="14:18" x14ac:dyDescent="0.2">
      <c r="N206" s="139" t="str">
        <f t="shared" si="9"/>
        <v>1D</v>
      </c>
      <c r="O206" s="146">
        <f>_xll.qlCalendarAdvance(Calendar,O205,N206,"f",FALSE)</f>
        <v>42410</v>
      </c>
      <c r="P206" s="140">
        <f>_xll.qlInterestRateIndexValueDate(IborIndex,O206)</f>
        <v>42412</v>
      </c>
      <c r="Q206" s="141">
        <v>-3.3420855160498819E-3</v>
      </c>
      <c r="R206" s="143">
        <v>-3.3706785452780608E-3</v>
      </c>
    </row>
    <row r="207" spans="14:18" x14ac:dyDescent="0.2">
      <c r="N207" s="139" t="str">
        <f t="shared" si="9"/>
        <v>1D</v>
      </c>
      <c r="O207" s="146">
        <f>_xll.qlCalendarAdvance(Calendar,O206,N207,"f",FALSE)</f>
        <v>42411</v>
      </c>
      <c r="P207" s="140">
        <f>_xll.qlInterestRateIndexValueDate(IborIndex,O207)</f>
        <v>42415</v>
      </c>
      <c r="Q207" s="141">
        <v>-3.336972712369875E-3</v>
      </c>
      <c r="R207" s="143">
        <v>-3.3684904593656029E-3</v>
      </c>
    </row>
    <row r="208" spans="14:18" x14ac:dyDescent="0.2">
      <c r="N208" s="139" t="str">
        <f t="shared" si="9"/>
        <v>1D</v>
      </c>
      <c r="O208" s="146">
        <f>_xll.qlCalendarAdvance(Calendar,O207,N208,"f",FALSE)</f>
        <v>42412</v>
      </c>
      <c r="P208" s="140">
        <f>_xll.qlInterestRateIndexValueDate(IborIndex,O208)</f>
        <v>42416</v>
      </c>
      <c r="Q208" s="141">
        <v>-3.3342299508554159E-3</v>
      </c>
      <c r="R208" s="143">
        <v>-3.3662596514671961E-3</v>
      </c>
    </row>
    <row r="209" spans="14:18" x14ac:dyDescent="0.2">
      <c r="N209" s="139" t="str">
        <f t="shared" si="9"/>
        <v>1D</v>
      </c>
      <c r="O209" s="146">
        <f>_xll.qlCalendarAdvance(Calendar,O208,N209,"f",FALSE)</f>
        <v>42415</v>
      </c>
      <c r="P209" s="140">
        <f>_xll.qlInterestRateIndexValueDate(IborIndex,O209)</f>
        <v>42417</v>
      </c>
      <c r="Q209" s="141">
        <v>-3.3314444777108624E-3</v>
      </c>
      <c r="R209" s="143">
        <v>-3.361624237601113E-3</v>
      </c>
    </row>
    <row r="210" spans="14:18" x14ac:dyDescent="0.2">
      <c r="N210" s="139" t="str">
        <f t="shared" si="9"/>
        <v>1D</v>
      </c>
      <c r="O210" s="146">
        <f>_xll.qlCalendarAdvance(Calendar,O209,N210,"f",FALSE)</f>
        <v>42416</v>
      </c>
      <c r="P210" s="140">
        <f>_xll.qlInterestRateIndexValueDate(IborIndex,O210)</f>
        <v>42418</v>
      </c>
      <c r="Q210" s="141">
        <v>-3.3286162929169194E-3</v>
      </c>
      <c r="R210" s="143">
        <v>-3.3569091983753907E-3</v>
      </c>
    </row>
    <row r="211" spans="14:18" x14ac:dyDescent="0.2">
      <c r="N211" s="139" t="str">
        <f t="shared" si="9"/>
        <v>1D</v>
      </c>
      <c r="O211" s="146">
        <f>_xll.qlCalendarAdvance(Calendar,O210,N211,"f",FALSE)</f>
        <v>42417</v>
      </c>
      <c r="P211" s="140">
        <f>_xll.qlInterestRateIndexValueDate(IborIndex,O211)</f>
        <v>42419</v>
      </c>
      <c r="Q211" s="141">
        <v>-3.3225875643373391E-3</v>
      </c>
      <c r="R211" s="143">
        <v>-3.354464779947719E-3</v>
      </c>
    </row>
    <row r="212" spans="14:18" x14ac:dyDescent="0.2">
      <c r="N212" s="139" t="str">
        <f t="shared" si="9"/>
        <v>1D</v>
      </c>
      <c r="O212" s="146">
        <f>_xll.qlCalendarAdvance(Calendar,O211,N212,"f",FALSE)</f>
        <v>42418</v>
      </c>
      <c r="P212" s="140">
        <f>_xll.qlInterestRateIndexValueDate(IborIndex,O212)</f>
        <v>42422</v>
      </c>
      <c r="Q212" s="141">
        <v>-3.3168764365677926E-3</v>
      </c>
      <c r="R212" s="143">
        <v>-3.3519776392543221E-3</v>
      </c>
    </row>
    <row r="213" spans="14:18" x14ac:dyDescent="0.2">
      <c r="N213" s="139" t="str">
        <f t="shared" ref="N213:N276" si="10">N212</f>
        <v>1D</v>
      </c>
      <c r="O213" s="146">
        <f>_xll.qlCalendarAdvance(Calendar,O212,N213,"f",FALSE)</f>
        <v>42419</v>
      </c>
      <c r="P213" s="140">
        <f>_xll.qlInterestRateIndexValueDate(IborIndex,O213)</f>
        <v>42423</v>
      </c>
      <c r="Q213" s="141">
        <v>-3.3138346930417714E-3</v>
      </c>
      <c r="R213" s="143">
        <v>-3.3494477766149444E-3</v>
      </c>
    </row>
    <row r="214" spans="14:18" x14ac:dyDescent="0.2">
      <c r="N214" s="139" t="str">
        <f t="shared" si="10"/>
        <v>1D</v>
      </c>
      <c r="O214" s="146">
        <f>_xll.qlCalendarAdvance(Calendar,O213,N214,"f",FALSE)</f>
        <v>42422</v>
      </c>
      <c r="P214" s="140">
        <f>_xll.qlInterestRateIndexValueDate(IborIndex,O214)</f>
        <v>42424</v>
      </c>
      <c r="Q214" s="141">
        <v>-3.3107502376775464E-3</v>
      </c>
      <c r="R214" s="143">
        <v>-3.3442145776074739E-3</v>
      </c>
    </row>
    <row r="215" spans="14:18" x14ac:dyDescent="0.2">
      <c r="N215" s="139" t="str">
        <f t="shared" si="10"/>
        <v>1D</v>
      </c>
      <c r="O215" s="146">
        <f>_xll.qlCalendarAdvance(Calendar,O214,N215,"f",FALSE)</f>
        <v>42423</v>
      </c>
      <c r="P215" s="140">
        <f>_xll.qlInterestRateIndexValueDate(IborIndex,O215)</f>
        <v>42425</v>
      </c>
      <c r="Q215" s="141">
        <v>-3.3007387180005281E-3</v>
      </c>
      <c r="R215" s="143">
        <v>-3.3389011046391914E-3</v>
      </c>
    </row>
    <row r="216" spans="14:18" x14ac:dyDescent="0.2">
      <c r="N216" s="139" t="str">
        <f t="shared" si="10"/>
        <v>1D</v>
      </c>
      <c r="O216" s="146">
        <f>_xll.qlCalendarAdvance(Calendar,O215,N216,"f",FALSE)</f>
        <v>42424</v>
      </c>
      <c r="P216" s="140">
        <f>_xll.qlInterestRateIndexValueDate(IborIndex,O216)</f>
        <v>42426</v>
      </c>
      <c r="Q216" s="141">
        <v>-3.2992472561868547E-3</v>
      </c>
      <c r="R216" s="143">
        <v>-3.3361576313906127E-3</v>
      </c>
    </row>
    <row r="217" spans="14:18" x14ac:dyDescent="0.2">
      <c r="N217" s="139" t="str">
        <f t="shared" si="10"/>
        <v>1D</v>
      </c>
      <c r="O217" s="146">
        <f>_xll.qlCalendarAdvance(Calendar,O216,N217,"f",FALSE)</f>
        <v>42425</v>
      </c>
      <c r="P217" s="140">
        <f>_xll.qlInterestRateIndexValueDate(IborIndex,O217)</f>
        <v>42429</v>
      </c>
      <c r="Q217" s="141">
        <v>-3.2911029091498372E-3</v>
      </c>
      <c r="R217" s="143">
        <v>-3.333371436036181E-3</v>
      </c>
    </row>
    <row r="218" spans="14:18" x14ac:dyDescent="0.2">
      <c r="N218" s="139" t="str">
        <f t="shared" si="10"/>
        <v>1D</v>
      </c>
      <c r="O218" s="146">
        <f>_xll.qlCalendarAdvance(Calendar,O217,N218,"f",FALSE)</f>
        <v>42426</v>
      </c>
      <c r="P218" s="140">
        <f>_xll.qlInterestRateIndexValueDate(IborIndex,O218)</f>
        <v>42430</v>
      </c>
      <c r="Q218" s="141">
        <v>-3.2877195317857562E-3</v>
      </c>
      <c r="R218" s="143">
        <v>-3.3305425184559923E-3</v>
      </c>
    </row>
    <row r="219" spans="14:18" x14ac:dyDescent="0.2">
      <c r="N219" s="139" t="str">
        <f t="shared" si="10"/>
        <v>1D</v>
      </c>
      <c r="O219" s="146">
        <f>_xll.qlCalendarAdvance(Calendar,O218,N219,"f",FALSE)</f>
        <v>42429</v>
      </c>
      <c r="P219" s="140">
        <f>_xll.qlInterestRateIndexValueDate(IborIndex,O219)</f>
        <v>42431</v>
      </c>
      <c r="Q219" s="141">
        <v>-3.2805669559979578E-3</v>
      </c>
      <c r="R219" s="143">
        <v>-3.3247115713042064E-3</v>
      </c>
    </row>
    <row r="220" spans="14:18" x14ac:dyDescent="0.2">
      <c r="N220" s="139" t="str">
        <f t="shared" si="10"/>
        <v>1D</v>
      </c>
      <c r="O220" s="146">
        <f>_xll.qlCalendarAdvance(Calendar,O219,N220,"f",FALSE)</f>
        <v>42430</v>
      </c>
      <c r="P220" s="140">
        <f>_xll.qlInterestRateIndexValueDate(IborIndex,O220)</f>
        <v>42432</v>
      </c>
      <c r="Q220" s="141">
        <v>-3.2789471769667511E-3</v>
      </c>
      <c r="R220" s="143">
        <v>-3.3187996274364195E-3</v>
      </c>
    </row>
    <row r="221" spans="14:18" x14ac:dyDescent="0.2">
      <c r="N221" s="139" t="str">
        <f t="shared" si="10"/>
        <v>1D</v>
      </c>
      <c r="O221" s="146">
        <f>_xll.qlCalendarAdvance(Calendar,O220,N221,"f",FALSE)</f>
        <v>42431</v>
      </c>
      <c r="P221" s="140">
        <f>_xll.qlInterestRateIndexValueDate(IborIndex,O221)</f>
        <v>42433</v>
      </c>
      <c r="Q221" s="141">
        <v>-3.277313131196767E-3</v>
      </c>
      <c r="R221" s="143">
        <v>-3.3157570993269658E-3</v>
      </c>
    </row>
    <row r="222" spans="14:18" x14ac:dyDescent="0.2">
      <c r="N222" s="139" t="str">
        <f t="shared" si="10"/>
        <v>1D</v>
      </c>
      <c r="O222" s="146">
        <f>_xll.qlCalendarAdvance(Calendar,O221,N222,"f",FALSE)</f>
        <v>42432</v>
      </c>
      <c r="P222" s="140">
        <f>_xll.qlInterestRateIndexValueDate(IborIndex,O222)</f>
        <v>42436</v>
      </c>
      <c r="Q222" s="141">
        <v>-3.2665223270587863E-3</v>
      </c>
      <c r="R222" s="143">
        <v>-3.3126718491915952E-3</v>
      </c>
    </row>
    <row r="223" spans="14:18" x14ac:dyDescent="0.2">
      <c r="N223" s="139" t="str">
        <f t="shared" si="10"/>
        <v>1D</v>
      </c>
      <c r="O223" s="146">
        <f>_xll.qlCalendarAdvance(Calendar,O222,N223,"f",FALSE)</f>
        <v>42433</v>
      </c>
      <c r="P223" s="140">
        <f>_xll.qlInterestRateIndexValueDate(IborIndex,O223)</f>
        <v>42437</v>
      </c>
      <c r="Q223" s="141">
        <v>-3.2628399691498676E-3</v>
      </c>
      <c r="R223" s="143">
        <v>-3.3095438768704355E-3</v>
      </c>
    </row>
    <row r="224" spans="14:18" x14ac:dyDescent="0.2">
      <c r="N224" s="139" t="str">
        <f t="shared" si="10"/>
        <v>1D</v>
      </c>
      <c r="O224" s="146">
        <f>_xll.qlCalendarAdvance(Calendar,O223,N224,"f",FALSE)</f>
        <v>42436</v>
      </c>
      <c r="P224" s="140">
        <f>_xll.qlInterestRateIndexValueDate(IborIndex,O224)</f>
        <v>42438</v>
      </c>
      <c r="Q224" s="141">
        <v>-3.2550898935564251E-3</v>
      </c>
      <c r="R224" s="143">
        <v>-3.3031152175855283E-3</v>
      </c>
    </row>
    <row r="225" spans="14:18" x14ac:dyDescent="0.2">
      <c r="N225" s="139" t="str">
        <f t="shared" si="10"/>
        <v>1D</v>
      </c>
      <c r="O225" s="146">
        <f>_xll.qlCalendarAdvance(Calendar,O224,N225,"f",FALSE)</f>
        <v>42437</v>
      </c>
      <c r="P225" s="140">
        <f>_xll.qlInterestRateIndexValueDate(IborIndex,O225)</f>
        <v>42439</v>
      </c>
      <c r="Q225" s="141">
        <v>-3.253320394062259E-3</v>
      </c>
      <c r="R225" s="143">
        <v>-3.2966047664473308E-3</v>
      </c>
    </row>
    <row r="226" spans="14:18" x14ac:dyDescent="0.2">
      <c r="N226" s="139" t="str">
        <f t="shared" si="10"/>
        <v>1D</v>
      </c>
      <c r="O226" s="146">
        <f>_xll.qlCalendarAdvance(Calendar,O225,N226,"f",FALSE)</f>
        <v>42438</v>
      </c>
      <c r="P226" s="140">
        <f>_xll.qlInterestRateIndexValueDate(IborIndex,O226)</f>
        <v>42440</v>
      </c>
      <c r="Q226" s="141">
        <v>-3.25153662527994E-3</v>
      </c>
      <c r="R226" s="143">
        <v>-3.2932631835169701E-3</v>
      </c>
    </row>
    <row r="227" spans="14:18" x14ac:dyDescent="0.2">
      <c r="N227" s="139" t="str">
        <f t="shared" si="10"/>
        <v>1D</v>
      </c>
      <c r="O227" s="146">
        <f>_xll.qlCalendarAdvance(Calendar,O226,N227,"f",FALSE)</f>
        <v>42439</v>
      </c>
      <c r="P227" s="140">
        <f>_xll.qlInterestRateIndexValueDate(IborIndex,O227)</f>
        <v>42443</v>
      </c>
      <c r="Q227" s="141">
        <v>-3.2398488753004884E-3</v>
      </c>
      <c r="R227" s="143">
        <v>-3.2898788784008204E-3</v>
      </c>
    </row>
    <row r="228" spans="14:18" x14ac:dyDescent="0.2">
      <c r="N228" s="139" t="str">
        <f t="shared" si="10"/>
        <v>1D</v>
      </c>
      <c r="O228" s="146">
        <f>_xll.qlCalendarAdvance(Calendar,O227,N228,"f",FALSE)</f>
        <v>42440</v>
      </c>
      <c r="P228" s="140">
        <f>_xll.qlInterestRateIndexValueDate(IborIndex,O228)</f>
        <v>42444</v>
      </c>
      <c r="Q228" s="141">
        <v>-3.235867534859934E-3</v>
      </c>
      <c r="R228" s="143">
        <v>-3.2864518513386898E-3</v>
      </c>
    </row>
    <row r="229" spans="14:18" x14ac:dyDescent="0.2">
      <c r="N229" s="139" t="str">
        <f t="shared" si="10"/>
        <v>1D</v>
      </c>
      <c r="O229" s="146">
        <f>_xll.qlCalendarAdvance(Calendar,O228,N229,"f",FALSE)</f>
        <v>42443</v>
      </c>
      <c r="P229" s="140">
        <f>_xll.qlInterestRateIndexValueDate(IborIndex,O229)</f>
        <v>42445</v>
      </c>
      <c r="Q229" s="141">
        <v>-3.2275199892986806E-3</v>
      </c>
      <c r="R229" s="143">
        <v>-3.2794255153589802E-3</v>
      </c>
    </row>
    <row r="230" spans="14:18" x14ac:dyDescent="0.2">
      <c r="N230" s="139" t="str">
        <f t="shared" si="10"/>
        <v>1D</v>
      </c>
      <c r="O230" s="146">
        <f>_xll.qlCalendarAdvance(Calendar,O229,N230,"f",FALSE)</f>
        <v>42444</v>
      </c>
      <c r="P230" s="140">
        <f>_xll.qlInterestRateIndexValueDate(IborIndex,O230)</f>
        <v>42446</v>
      </c>
      <c r="Q230" s="141">
        <v>-3.2256007513360718E-3</v>
      </c>
      <c r="R230" s="143">
        <v>-3.2723165212322769E-3</v>
      </c>
    </row>
    <row r="231" spans="14:18" x14ac:dyDescent="0.2">
      <c r="N231" s="139" t="str">
        <f t="shared" si="10"/>
        <v>1D</v>
      </c>
      <c r="O231" s="146">
        <f>_xll.qlCalendarAdvance(Calendar,O230,N231,"f",FALSE)</f>
        <v>42445</v>
      </c>
      <c r="P231" s="140">
        <f>_xll.qlInterestRateIndexValueDate(IborIndex,O231)</f>
        <v>42447</v>
      </c>
      <c r="Q231" s="141">
        <v>-3.2236672415900921E-3</v>
      </c>
      <c r="R231" s="143">
        <v>-3.2686758834010732E-3</v>
      </c>
    </row>
    <row r="232" spans="14:18" x14ac:dyDescent="0.2">
      <c r="N232" s="139" t="str">
        <f t="shared" si="10"/>
        <v>1D</v>
      </c>
      <c r="O232" s="146">
        <f>_xll.qlCalendarAdvance(Calendar,O231,N232,"f",FALSE)</f>
        <v>42446</v>
      </c>
      <c r="P232" s="140">
        <f>_xll.qlInterestRateIndexValueDate(IborIndex,O232)</f>
        <v>42450</v>
      </c>
      <c r="Q232" s="141">
        <v>-3.2110825394477747E-3</v>
      </c>
      <c r="R232" s="143">
        <v>-3.2649925234640165E-3</v>
      </c>
    </row>
    <row r="233" spans="14:18" x14ac:dyDescent="0.2">
      <c r="N233" s="139" t="str">
        <f t="shared" si="10"/>
        <v>1D</v>
      </c>
      <c r="O233" s="146">
        <f>_xll.qlCalendarAdvance(Calendar,O232,N233,"f",FALSE)</f>
        <v>42447</v>
      </c>
      <c r="P233" s="140">
        <f>_xll.qlInterestRateIndexValueDate(IborIndex,O233)</f>
        <v>42451</v>
      </c>
      <c r="Q233" s="141">
        <v>-3.2068022143250468E-3</v>
      </c>
      <c r="R233" s="143">
        <v>-3.2535845768926208E-3</v>
      </c>
    </row>
    <row r="234" spans="14:18" x14ac:dyDescent="0.2">
      <c r="N234" s="139" t="str">
        <f t="shared" si="10"/>
        <v>1D</v>
      </c>
      <c r="O234" s="146">
        <f>_xll.qlCalendarAdvance(Calendar,O233,N234,"f",FALSE)</f>
        <v>42450</v>
      </c>
      <c r="P234" s="140">
        <f>_xll.qlInterestRateIndexValueDate(IborIndex,O234)</f>
        <v>42452</v>
      </c>
      <c r="Q234" s="141">
        <v>-3.1978572273562056E-3</v>
      </c>
      <c r="R234" s="143">
        <v>-3.2419951986195628E-3</v>
      </c>
    </row>
    <row r="235" spans="14:18" x14ac:dyDescent="0.2">
      <c r="N235" s="139" t="str">
        <f t="shared" si="10"/>
        <v>1D</v>
      </c>
      <c r="O235" s="146">
        <f>_xll.qlCalendarAdvance(Calendar,O234,N235,"f",FALSE)</f>
        <v>42451</v>
      </c>
      <c r="P235" s="140">
        <f>_xll.qlInterestRateIndexValueDate(IborIndex,O235)</f>
        <v>42453</v>
      </c>
      <c r="Q235" s="141">
        <v>-3.1957882333105703E-3</v>
      </c>
      <c r="R235" s="143">
        <v>-3.2380127836217909E-3</v>
      </c>
    </row>
    <row r="236" spans="14:18" x14ac:dyDescent="0.2">
      <c r="N236" s="139" t="str">
        <f t="shared" si="10"/>
        <v>1D</v>
      </c>
      <c r="O236" s="146">
        <f>_xll.qlCalendarAdvance(Calendar,O235,N236,"f",FALSE)</f>
        <v>42452</v>
      </c>
      <c r="P236" s="140">
        <f>_xll.qlInterestRateIndexValueDate(IborIndex,O236)</f>
        <v>42458</v>
      </c>
      <c r="Q236" s="141">
        <v>-3.1756439918222985E-3</v>
      </c>
      <c r="R236" s="143">
        <v>-3.2339876465981021E-3</v>
      </c>
    </row>
    <row r="237" spans="14:18" x14ac:dyDescent="0.2">
      <c r="N237" s="139" t="str">
        <f t="shared" si="10"/>
        <v>1D</v>
      </c>
      <c r="O237" s="146">
        <f>_xll.qlCalendarAdvance(Calendar,O236,N237,"f",FALSE)</f>
        <v>42453</v>
      </c>
      <c r="P237" s="140">
        <f>_xll.qlInterestRateIndexValueDate(IborIndex,O237)</f>
        <v>42459</v>
      </c>
      <c r="Q237" s="141">
        <v>-3.1734608636644346E-3</v>
      </c>
      <c r="R237" s="143">
        <v>-3.225766060399593E-3</v>
      </c>
    </row>
    <row r="238" spans="14:18" x14ac:dyDescent="0.2">
      <c r="N238" s="139" t="str">
        <f t="shared" si="10"/>
        <v>1D</v>
      </c>
      <c r="O238" s="146">
        <f>_xll.qlCalendarAdvance(Calendar,O237,N238,"f",FALSE)</f>
        <v>42458</v>
      </c>
      <c r="P238" s="140">
        <f>_xll.qlInterestRateIndexValueDate(IborIndex,O238)</f>
        <v>42460</v>
      </c>
      <c r="Q238" s="141">
        <v>-3.1712634592560704E-3</v>
      </c>
      <c r="R238" s="143">
        <v>-3.2174598765655205E-3</v>
      </c>
    </row>
    <row r="239" spans="14:18" x14ac:dyDescent="0.2">
      <c r="N239" s="139" t="str">
        <f t="shared" si="10"/>
        <v>1D</v>
      </c>
      <c r="O239" s="146">
        <f>_xll.qlCalendarAdvance(Calendar,O238,N239,"f",FALSE)</f>
        <v>42459</v>
      </c>
      <c r="P239" s="140">
        <f>_xll.qlInterestRateIndexValueDate(IborIndex,O239)</f>
        <v>42461</v>
      </c>
      <c r="Q239" s="141">
        <v>-3.1616497794823904E-3</v>
      </c>
      <c r="R239" s="143">
        <v>-3.2132211287327905E-3</v>
      </c>
    </row>
    <row r="240" spans="14:18" x14ac:dyDescent="0.2">
      <c r="N240" s="139" t="str">
        <f t="shared" si="10"/>
        <v>1D</v>
      </c>
      <c r="O240" s="146">
        <f>_xll.qlCalendarAdvance(Calendar,O239,N240,"f",FALSE)</f>
        <v>42460</v>
      </c>
      <c r="P240" s="140">
        <f>_xll.qlInterestRateIndexValueDate(IborIndex,O240)</f>
        <v>42464</v>
      </c>
      <c r="Q240" s="141">
        <v>-3.1498166232282188E-3</v>
      </c>
      <c r="R240" s="143">
        <v>-3.2089396586743035E-3</v>
      </c>
    </row>
    <row r="241" spans="14:18" x14ac:dyDescent="0.2">
      <c r="N241" s="139" t="str">
        <f t="shared" si="10"/>
        <v>1D</v>
      </c>
      <c r="O241" s="146">
        <f>_xll.qlCalendarAdvance(Calendar,O240,N241,"f",FALSE)</f>
        <v>42461</v>
      </c>
      <c r="P241" s="140">
        <f>_xll.qlInterestRateIndexValueDate(IborIndex,O241)</f>
        <v>42465</v>
      </c>
      <c r="Q241" s="141">
        <v>-3.1423928505032316E-3</v>
      </c>
      <c r="R241" s="143">
        <v>-3.2046154665099635E-3</v>
      </c>
    </row>
    <row r="242" spans="14:18" x14ac:dyDescent="0.2">
      <c r="N242" s="139" t="str">
        <f t="shared" si="10"/>
        <v>1D</v>
      </c>
      <c r="O242" s="146">
        <f>_xll.qlCalendarAdvance(Calendar,O241,N242,"f",FALSE)</f>
        <v>42464</v>
      </c>
      <c r="P242" s="140">
        <f>_xll.qlInterestRateIndexValueDate(IborIndex,O242)</f>
        <v>42466</v>
      </c>
      <c r="Q242" s="141">
        <v>-3.1400599348589964E-3</v>
      </c>
      <c r="R242" s="143">
        <v>-3.1957963048023785E-3</v>
      </c>
    </row>
    <row r="243" spans="14:18" x14ac:dyDescent="0.2">
      <c r="N243" s="139" t="str">
        <f t="shared" si="10"/>
        <v>1D</v>
      </c>
      <c r="O243" s="146">
        <f>_xll.qlCalendarAdvance(Calendar,O242,N243,"f",FALSE)</f>
        <v>42465</v>
      </c>
      <c r="P243" s="140">
        <f>_xll.qlInterestRateIndexValueDate(IborIndex,O243)</f>
        <v>42467</v>
      </c>
      <c r="Q243" s="141">
        <v>-3.1298845036308032E-3</v>
      </c>
      <c r="R243" s="143">
        <v>-3.1868914761945533E-3</v>
      </c>
    </row>
    <row r="244" spans="14:18" x14ac:dyDescent="0.2">
      <c r="N244" s="139" t="str">
        <f t="shared" si="10"/>
        <v>1D</v>
      </c>
      <c r="O244" s="146">
        <f>_xll.qlCalendarAdvance(Calendar,O243,N244,"f",FALSE)</f>
        <v>42466</v>
      </c>
      <c r="P244" s="140">
        <f>_xll.qlInterestRateIndexValueDate(IborIndex,O244)</f>
        <v>42468</v>
      </c>
      <c r="Q244" s="141">
        <v>-3.1275016675210458E-3</v>
      </c>
      <c r="R244" s="143">
        <v>-3.1823536732211721E-3</v>
      </c>
    </row>
    <row r="245" spans="14:18" x14ac:dyDescent="0.2">
      <c r="N245" s="139" t="str">
        <f t="shared" si="10"/>
        <v>1D</v>
      </c>
      <c r="O245" s="146">
        <f>_xll.qlCalendarAdvance(Calendar,O244,N245,"f",FALSE)</f>
        <v>42467</v>
      </c>
      <c r="P245" s="140">
        <f>_xll.qlInterestRateIndexValueDate(IborIndex,O245)</f>
        <v>42471</v>
      </c>
      <c r="Q245" s="141">
        <v>-3.1149207298000192E-3</v>
      </c>
      <c r="R245" s="143">
        <v>-3.1777731479820659E-3</v>
      </c>
    </row>
    <row r="246" spans="14:18" x14ac:dyDescent="0.2">
      <c r="N246" s="139" t="str">
        <f t="shared" si="10"/>
        <v>1D</v>
      </c>
      <c r="O246" s="146">
        <f>_xll.qlCalendarAdvance(Calendar,O245,N246,"f",FALSE)</f>
        <v>42468</v>
      </c>
      <c r="P246" s="140">
        <f>_xll.qlInterestRateIndexValueDate(IborIndex,O246)</f>
        <v>42472</v>
      </c>
      <c r="Q246" s="141">
        <v>-3.109764748221E-3</v>
      </c>
      <c r="R246" s="143">
        <v>-3.1731499007170427E-3</v>
      </c>
    </row>
    <row r="247" spans="14:18" x14ac:dyDescent="0.2">
      <c r="N247" s="139" t="str">
        <f t="shared" si="10"/>
        <v>1D</v>
      </c>
      <c r="O247" s="146">
        <f>_xll.qlCalendarAdvance(Calendar,O246,N247,"f",FALSE)</f>
        <v>42471</v>
      </c>
      <c r="P247" s="140">
        <f>_xll.qlInterestRateIndexValueDate(IborIndex,O247)</f>
        <v>42473</v>
      </c>
      <c r="Q247" s="141">
        <v>-3.104566052994695E-3</v>
      </c>
      <c r="R247" s="143">
        <v>-3.1637331950884473E-3</v>
      </c>
    </row>
    <row r="248" spans="14:18" x14ac:dyDescent="0.2">
      <c r="N248" s="139" t="str">
        <f t="shared" si="10"/>
        <v>1D</v>
      </c>
      <c r="O248" s="146">
        <f>_xll.qlCalendarAdvance(Calendar,O247,N248,"f",FALSE)</f>
        <v>42472</v>
      </c>
      <c r="P248" s="140">
        <f>_xll.qlInterestRateIndexValueDate(IborIndex,O248)</f>
        <v>42474</v>
      </c>
      <c r="Q248" s="141">
        <v>-3.0910062756586954E-3</v>
      </c>
      <c r="R248" s="143">
        <v>-3.1542296896791555E-3</v>
      </c>
    </row>
    <row r="249" spans="14:18" x14ac:dyDescent="0.2">
      <c r="N249" s="139" t="str">
        <f t="shared" si="10"/>
        <v>1D</v>
      </c>
      <c r="O249" s="146">
        <f>_xll.qlCalendarAdvance(Calendar,O248,N249,"f",FALSE)</f>
        <v>42473</v>
      </c>
      <c r="P249" s="140">
        <f>_xll.qlInterestRateIndexValueDate(IborIndex,O249)</f>
        <v>42475</v>
      </c>
      <c r="Q249" s="141">
        <v>-3.0884665100622266E-3</v>
      </c>
      <c r="R249" s="143">
        <v>-3.1493928315251551E-3</v>
      </c>
    </row>
    <row r="250" spans="14:18" x14ac:dyDescent="0.2">
      <c r="N250" s="139" t="str">
        <f t="shared" si="10"/>
        <v>1D</v>
      </c>
      <c r="O250" s="146">
        <f>_xll.qlCalendarAdvance(Calendar,O249,N250,"f",FALSE)</f>
        <v>42474</v>
      </c>
      <c r="P250" s="140">
        <f>_xll.qlInterestRateIndexValueDate(IborIndex,O250)</f>
        <v>42478</v>
      </c>
      <c r="Q250" s="141">
        <v>-3.0779318701514846E-3</v>
      </c>
      <c r="R250" s="143">
        <v>-3.1445132511054297E-3</v>
      </c>
    </row>
    <row r="251" spans="14:18" x14ac:dyDescent="0.2">
      <c r="N251" s="139" t="str">
        <f t="shared" si="10"/>
        <v>1D</v>
      </c>
      <c r="O251" s="146">
        <f>_xll.qlCalendarAdvance(Calendar,O250,N251,"f",FALSE)</f>
        <v>42475</v>
      </c>
      <c r="P251" s="140">
        <f>_xll.qlInterestRateIndexValueDate(IborIndex,O251)</f>
        <v>42479</v>
      </c>
      <c r="Q251" s="141">
        <v>-3.0724769823167186E-3</v>
      </c>
      <c r="R251" s="143">
        <v>-3.1395909486198192E-3</v>
      </c>
    </row>
    <row r="252" spans="14:18" x14ac:dyDescent="0.2">
      <c r="N252" s="139" t="str">
        <f t="shared" si="10"/>
        <v>1D</v>
      </c>
      <c r="O252" s="146">
        <f>_xll.qlCalendarAdvance(Calendar,O251,N252,"f",FALSE)</f>
        <v>42478</v>
      </c>
      <c r="P252" s="140">
        <f>_xll.qlInterestRateIndexValueDate(IborIndex,O252)</f>
        <v>42480</v>
      </c>
      <c r="Q252" s="141">
        <v>-3.0669799232607708E-3</v>
      </c>
      <c r="R252" s="143">
        <v>-3.1295767295524968E-3</v>
      </c>
    </row>
    <row r="253" spans="14:18" x14ac:dyDescent="0.2">
      <c r="N253" s="139" t="str">
        <f t="shared" si="10"/>
        <v>1D</v>
      </c>
      <c r="O253" s="146">
        <f>_xll.qlCalendarAdvance(Calendar,O252,N253,"f",FALSE)</f>
        <v>42479</v>
      </c>
      <c r="P253" s="140">
        <f>_xll.qlInterestRateIndexValueDate(IborIndex,O253)</f>
        <v>42481</v>
      </c>
      <c r="Q253" s="141">
        <v>-3.0556196598349739E-3</v>
      </c>
      <c r="R253" s="143">
        <v>-3.1194745164997428E-3</v>
      </c>
    </row>
    <row r="254" spans="14:18" x14ac:dyDescent="0.2">
      <c r="N254" s="139" t="str">
        <f t="shared" si="10"/>
        <v>1D</v>
      </c>
      <c r="O254" s="146">
        <f>_xll.qlCalendarAdvance(Calendar,O253,N254,"f",FALSE)</f>
        <v>42480</v>
      </c>
      <c r="P254" s="140">
        <f>_xll.qlInterestRateIndexValueDate(IborIndex,O254)</f>
        <v>42482</v>
      </c>
      <c r="Q254" s="141">
        <v>-3.0529375335144973E-3</v>
      </c>
      <c r="R254" s="143">
        <v>-3.1143386030452191E-3</v>
      </c>
    </row>
    <row r="255" spans="14:18" x14ac:dyDescent="0.2">
      <c r="N255" s="139" t="str">
        <f t="shared" si="10"/>
        <v>1D</v>
      </c>
      <c r="O255" s="146">
        <f>_xll.qlCalendarAdvance(Calendar,O254,N255,"f",FALSE)</f>
        <v>42481</v>
      </c>
      <c r="P255" s="140">
        <f>_xll.qlInterestRateIndexValueDate(IborIndex,O255)</f>
        <v>42485</v>
      </c>
      <c r="Q255" s="141">
        <v>-3.0388810567738567E-3</v>
      </c>
      <c r="R255" s="143">
        <v>-3.1091599673649384E-3</v>
      </c>
    </row>
    <row r="256" spans="14:18" x14ac:dyDescent="0.2">
      <c r="N256" s="139" t="str">
        <f t="shared" si="10"/>
        <v>1D</v>
      </c>
      <c r="O256" s="146">
        <f>_xll.qlCalendarAdvance(Calendar,O255,N256,"f",FALSE)</f>
        <v>42482</v>
      </c>
      <c r="P256" s="140">
        <f>_xll.qlInterestRateIndexValueDate(IborIndex,O256)</f>
        <v>42486</v>
      </c>
      <c r="Q256" s="141">
        <v>-3.0331423686504877E-3</v>
      </c>
      <c r="R256" s="143">
        <v>-3.1039386095788046E-3</v>
      </c>
    </row>
    <row r="257" spans="14:18" x14ac:dyDescent="0.2">
      <c r="N257" s="139" t="str">
        <f t="shared" si="10"/>
        <v>1D</v>
      </c>
      <c r="O257" s="146">
        <f>_xll.qlCalendarAdvance(Calendar,O256,N257,"f",FALSE)</f>
        <v>42485</v>
      </c>
      <c r="P257" s="140">
        <f>_xll.qlInterestRateIndexValueDate(IborIndex,O257)</f>
        <v>42487</v>
      </c>
      <c r="Q257" s="141">
        <v>-3.0273653087253827E-3</v>
      </c>
      <c r="R257" s="143">
        <v>-3.093326906462579E-3</v>
      </c>
    </row>
    <row r="258" spans="14:18" x14ac:dyDescent="0.2">
      <c r="N258" s="139" t="str">
        <f t="shared" si="10"/>
        <v>1D</v>
      </c>
      <c r="O258" s="146">
        <f>_xll.qlCalendarAdvance(Calendar,O257,N258,"f",FALSE)</f>
        <v>42486</v>
      </c>
      <c r="P258" s="140">
        <f>_xll.qlInterestRateIndexValueDate(IborIndex,O258)</f>
        <v>42488</v>
      </c>
      <c r="Q258" s="141">
        <v>-3.0154784525880662E-3</v>
      </c>
      <c r="R258" s="143">
        <v>-3.0826259560567948E-3</v>
      </c>
    </row>
    <row r="259" spans="14:18" x14ac:dyDescent="0.2">
      <c r="N259" s="139" t="str">
        <f t="shared" si="10"/>
        <v>1D</v>
      </c>
      <c r="O259" s="146">
        <f>_xll.qlCalendarAdvance(Calendar,O258,N259,"f",FALSE)</f>
        <v>42487</v>
      </c>
      <c r="P259" s="140">
        <f>_xll.qlInterestRateIndexValueDate(IborIndex,O259)</f>
        <v>42489</v>
      </c>
      <c r="Q259" s="141">
        <v>-3.0095934943623337E-3</v>
      </c>
      <c r="R259" s="143">
        <v>-3.0771909872218117E-3</v>
      </c>
    </row>
    <row r="260" spans="14:18" x14ac:dyDescent="0.2">
      <c r="N260" s="139" t="str">
        <f t="shared" si="10"/>
        <v>1D</v>
      </c>
      <c r="O260" s="146">
        <f>_xll.qlCalendarAdvance(Calendar,O259,N260,"f",FALSE)</f>
        <v>42488</v>
      </c>
      <c r="P260" s="140">
        <f>_xll.qlInterestRateIndexValueDate(IborIndex,O260)</f>
        <v>42492</v>
      </c>
      <c r="Q260" s="141">
        <v>-2.9948284993777394E-3</v>
      </c>
      <c r="R260" s="143">
        <v>-3.0689400083416807E-3</v>
      </c>
    </row>
    <row r="261" spans="14:18" x14ac:dyDescent="0.2">
      <c r="N261" s="139" t="str">
        <f t="shared" si="10"/>
        <v>1D</v>
      </c>
      <c r="O261" s="146">
        <f>_xll.qlCalendarAdvance(Calendar,O260,N261,"f",FALSE)</f>
        <v>42489</v>
      </c>
      <c r="P261" s="140">
        <f>_xll.qlInterestRateIndexValueDate(IborIndex,O261)</f>
        <v>42493</v>
      </c>
      <c r="Q261" s="141">
        <v>-2.9888173377795768E-3</v>
      </c>
      <c r="R261" s="143">
        <v>-3.0549837239002287E-3</v>
      </c>
    </row>
    <row r="262" spans="14:18" x14ac:dyDescent="0.2">
      <c r="N262" s="139" t="str">
        <f t="shared" si="10"/>
        <v>1D</v>
      </c>
      <c r="O262" s="146">
        <f>_xll.qlCalendarAdvance(Calendar,O261,N262,"f",FALSE)</f>
        <v>42492</v>
      </c>
      <c r="P262" s="140">
        <f>_xll.qlInterestRateIndexValueDate(IborIndex,O262)</f>
        <v>42494</v>
      </c>
      <c r="Q262" s="141">
        <v>-2.9764937257713668E-3</v>
      </c>
      <c r="R262" s="143">
        <v>-3.043684007750791E-3</v>
      </c>
    </row>
    <row r="263" spans="14:18" x14ac:dyDescent="0.2">
      <c r="N263" s="139" t="str">
        <f t="shared" si="10"/>
        <v>1D</v>
      </c>
      <c r="O263" s="146">
        <f>_xll.qlCalendarAdvance(Calendar,O262,N263,"f",FALSE)</f>
        <v>42493</v>
      </c>
      <c r="P263" s="140">
        <f>_xll.qlInterestRateIndexValueDate(IborIndex,O263)</f>
        <v>42496</v>
      </c>
      <c r="Q263" s="141">
        <v>-2.9705800968776192E-3</v>
      </c>
      <c r="R263" s="143">
        <v>-3.0379499834154444E-3</v>
      </c>
    </row>
    <row r="264" spans="14:18" x14ac:dyDescent="0.2">
      <c r="N264" s="139" t="str">
        <f t="shared" si="10"/>
        <v>1D</v>
      </c>
      <c r="O264" s="146">
        <f>_xll.qlCalendarAdvance(Calendar,O263,N264,"f",FALSE)</f>
        <v>42494</v>
      </c>
      <c r="P264" s="140">
        <f>_xll.qlInterestRateIndexValueDate(IborIndex,O264)</f>
        <v>42499</v>
      </c>
      <c r="Q264" s="141">
        <v>-2.9520482524070246E-3</v>
      </c>
      <c r="R264" s="143">
        <v>-3.0321732368543408E-3</v>
      </c>
    </row>
    <row r="265" spans="14:18" x14ac:dyDescent="0.2">
      <c r="N265" s="139" t="str">
        <f t="shared" si="10"/>
        <v>1D</v>
      </c>
      <c r="O265" s="146">
        <f>_xll.qlCalendarAdvance(Calendar,O264,N265,"f",FALSE)</f>
        <v>42496</v>
      </c>
      <c r="P265" s="140">
        <f>_xll.qlInterestRateIndexValueDate(IborIndex,O265)</f>
        <v>42500</v>
      </c>
      <c r="Q265" s="141">
        <v>-2.945807954711669E-3</v>
      </c>
      <c r="R265" s="143">
        <v>-3.0263537681873842E-3</v>
      </c>
    </row>
    <row r="266" spans="14:18" x14ac:dyDescent="0.2">
      <c r="N266" s="139" t="str">
        <f t="shared" si="10"/>
        <v>1D</v>
      </c>
      <c r="O266" s="146">
        <f>_xll.qlCalendarAdvance(Calendar,O265,N266,"f",FALSE)</f>
        <v>42499</v>
      </c>
      <c r="P266" s="140">
        <f>_xll.qlInterestRateIndexValueDate(IborIndex,O266)</f>
        <v>42501</v>
      </c>
      <c r="Q266" s="141">
        <v>-2.9330618456450837E-3</v>
      </c>
      <c r="R266" s="143">
        <v>-3.0115536950003907E-3</v>
      </c>
    </row>
    <row r="267" spans="14:18" x14ac:dyDescent="0.2">
      <c r="N267" s="139" t="str">
        <f t="shared" si="10"/>
        <v>1D</v>
      </c>
      <c r="O267" s="146">
        <f>_xll.qlCalendarAdvance(Calendar,O266,N267,"f",FALSE)</f>
        <v>42500</v>
      </c>
      <c r="P267" s="140">
        <f>_xll.qlInterestRateIndexValueDate(IborIndex,O267)</f>
        <v>42502</v>
      </c>
      <c r="Q267" s="141">
        <v>-2.9299892931003435E-3</v>
      </c>
      <c r="R267" s="143">
        <v>-2.9966155909466607E-3</v>
      </c>
    </row>
    <row r="268" spans="14:18" x14ac:dyDescent="0.2">
      <c r="N268" s="139" t="str">
        <f t="shared" si="10"/>
        <v>1D</v>
      </c>
      <c r="O268" s="146">
        <f>_xll.qlCalendarAdvance(Calendar,O267,N268,"f",FALSE)</f>
        <v>42501</v>
      </c>
      <c r="P268" s="140">
        <f>_xll.qlInterestRateIndexValueDate(IborIndex,O268)</f>
        <v>42503</v>
      </c>
      <c r="Q268" s="141">
        <v>-2.9269053667883623E-3</v>
      </c>
      <c r="R268" s="143">
        <v>-2.9905425036336197E-3</v>
      </c>
    </row>
    <row r="269" spans="14:18" x14ac:dyDescent="0.2">
      <c r="N269" s="139" t="str">
        <f t="shared" si="10"/>
        <v>1D</v>
      </c>
      <c r="O269" s="146">
        <f>_xll.qlCalendarAdvance(Calendar,O268,N269,"f",FALSE)</f>
        <v>42502</v>
      </c>
      <c r="P269" s="140">
        <f>_xll.qlInterestRateIndexValueDate(IborIndex,O269)</f>
        <v>42507</v>
      </c>
      <c r="Q269" s="141">
        <v>-2.9012975717903192E-3</v>
      </c>
      <c r="R269" s="143">
        <v>-2.9844402681566962E-3</v>
      </c>
    </row>
    <row r="270" spans="14:18" x14ac:dyDescent="0.2">
      <c r="N270" s="139" t="str">
        <f t="shared" si="10"/>
        <v>1D</v>
      </c>
      <c r="O270" s="146">
        <f>_xll.qlCalendarAdvance(Calendar,O269,N270,"f",FALSE)</f>
        <v>42503</v>
      </c>
      <c r="P270" s="140">
        <f>_xll.qlInterestRateIndexValueDate(IborIndex,O270)</f>
        <v>42508</v>
      </c>
      <c r="Q270" s="141">
        <v>-2.8881656350061976E-3</v>
      </c>
      <c r="R270" s="143">
        <v>-2.9721231484192145E-3</v>
      </c>
    </row>
    <row r="271" spans="14:18" x14ac:dyDescent="0.2">
      <c r="N271" s="139" t="str">
        <f t="shared" si="10"/>
        <v>1D</v>
      </c>
      <c r="O271" s="146">
        <f>_xll.qlCalendarAdvance(Calendar,O270,N271,"f",FALSE)</f>
        <v>42507</v>
      </c>
      <c r="P271" s="140">
        <f>_xll.qlInterestRateIndexValueDate(IborIndex,O271)</f>
        <v>42509</v>
      </c>
      <c r="Q271" s="141">
        <v>-2.8849903236571883E-3</v>
      </c>
      <c r="R271" s="143">
        <v>-2.9597669933334458E-3</v>
      </c>
    </row>
    <row r="272" spans="14:18" x14ac:dyDescent="0.2">
      <c r="N272" s="139" t="str">
        <f t="shared" si="10"/>
        <v>1D</v>
      </c>
      <c r="O272" s="146">
        <f>_xll.qlCalendarAdvance(Calendar,O271,N272,"f",FALSE)</f>
        <v>42508</v>
      </c>
      <c r="P272" s="140">
        <f>_xll.qlInterestRateIndexValueDate(IborIndex,O272)</f>
        <v>42510</v>
      </c>
      <c r="Q272" s="141">
        <v>-2.8818061514274307E-3</v>
      </c>
      <c r="R272" s="143">
        <v>-2.9535325912588561E-3</v>
      </c>
    </row>
    <row r="273" spans="14:18" x14ac:dyDescent="0.2">
      <c r="N273" s="139" t="str">
        <f t="shared" si="10"/>
        <v>1D</v>
      </c>
      <c r="O273" s="146">
        <f>_xll.qlCalendarAdvance(Calendar,O272,N273,"f",FALSE)</f>
        <v>42509</v>
      </c>
      <c r="P273" s="140">
        <f>_xll.qlInterestRateIndexValueDate(IborIndex,O273)</f>
        <v>42513</v>
      </c>
      <c r="Q273" s="141">
        <v>-2.8620767685851437E-3</v>
      </c>
      <c r="R273" s="143">
        <v>-2.9472717559686501E-3</v>
      </c>
    </row>
    <row r="274" spans="14:18" x14ac:dyDescent="0.2">
      <c r="N274" s="139" t="str">
        <f t="shared" si="10"/>
        <v>1D</v>
      </c>
      <c r="O274" s="146">
        <f>_xll.qlCalendarAdvance(Calendar,O273,N274,"f",FALSE)</f>
        <v>42510</v>
      </c>
      <c r="P274" s="140">
        <f>_xll.qlInterestRateIndexValueDate(IborIndex,O274)</f>
        <v>42514</v>
      </c>
      <c r="Q274" s="141">
        <v>-2.8452054531027133E-3</v>
      </c>
      <c r="R274" s="143">
        <v>-2.9409844873029556E-3</v>
      </c>
    </row>
    <row r="275" spans="14:18" x14ac:dyDescent="0.2">
      <c r="N275" s="139" t="str">
        <f t="shared" si="10"/>
        <v>1D</v>
      </c>
      <c r="O275" s="146">
        <f>_xll.qlCalendarAdvance(Calendar,O274,N275,"f",FALSE)</f>
        <v>42513</v>
      </c>
      <c r="P275" s="140">
        <f>_xll.qlInterestRateIndexValueDate(IborIndex,O275)</f>
        <v>42515</v>
      </c>
      <c r="Q275" s="141">
        <v>-2.8419461286094913E-3</v>
      </c>
      <c r="R275" s="143">
        <v>-2.9282980194267338E-3</v>
      </c>
    </row>
    <row r="276" spans="14:18" x14ac:dyDescent="0.2">
      <c r="N276" s="139" t="str">
        <f t="shared" si="10"/>
        <v>1D</v>
      </c>
      <c r="O276" s="146">
        <f>_xll.qlCalendarAdvance(Calendar,O275,N276,"f",FALSE)</f>
        <v>42514</v>
      </c>
      <c r="P276" s="140">
        <f>_xll.qlInterestRateIndexValueDate(IborIndex,O276)</f>
        <v>42516</v>
      </c>
      <c r="Q276" s="141">
        <v>-2.8386779426307907E-3</v>
      </c>
      <c r="R276" s="143">
        <v>-2.9155710795247813E-3</v>
      </c>
    </row>
    <row r="277" spans="14:18" x14ac:dyDescent="0.2">
      <c r="N277" s="139" t="str">
        <f t="shared" ref="N277:N340" si="11">N276</f>
        <v>1D</v>
      </c>
      <c r="O277" s="146">
        <f>_xll.qlCalendarAdvance(Calendar,O276,N277,"f",FALSE)</f>
        <v>42515</v>
      </c>
      <c r="P277" s="140">
        <f>_xll.qlInterestRateIndexValueDate(IborIndex,O277)</f>
        <v>42517</v>
      </c>
      <c r="Q277" s="141">
        <v>-2.8354008950402039E-3</v>
      </c>
      <c r="R277" s="143">
        <v>-2.9091516442614207E-3</v>
      </c>
    </row>
    <row r="278" spans="14:18" x14ac:dyDescent="0.2">
      <c r="N278" s="139" t="str">
        <f t="shared" si="11"/>
        <v>1D</v>
      </c>
      <c r="O278" s="146">
        <f>_xll.qlCalendarAdvance(Calendar,O277,N278,"f",FALSE)</f>
        <v>42516</v>
      </c>
      <c r="P278" s="140">
        <f>_xll.qlInterestRateIndexValueDate(IborIndex,O278)</f>
        <v>42520</v>
      </c>
      <c r="Q278" s="141">
        <v>-2.8151164659695831E-3</v>
      </c>
      <c r="R278" s="143">
        <v>-2.9027057756225716E-3</v>
      </c>
    </row>
    <row r="279" spans="14:18" x14ac:dyDescent="0.2">
      <c r="N279" s="139" t="str">
        <f t="shared" si="11"/>
        <v>1D</v>
      </c>
      <c r="O279" s="146">
        <f>_xll.qlCalendarAdvance(Calendar,O278,N279,"f",FALSE)</f>
        <v>42517</v>
      </c>
      <c r="P279" s="140">
        <f>_xll.qlInterestRateIndexValueDate(IborIndex,O279)</f>
        <v>42521</v>
      </c>
      <c r="Q279" s="141">
        <v>-2.8117907510059048E-3</v>
      </c>
      <c r="R279" s="143">
        <v>-2.8962334737681061E-3</v>
      </c>
    </row>
    <row r="280" spans="14:18" x14ac:dyDescent="0.2">
      <c r="N280" s="139" t="str">
        <f t="shared" si="11"/>
        <v>1D</v>
      </c>
      <c r="O280" s="146">
        <f>_xll.qlCalendarAdvance(Calendar,O279,N280,"f",FALSE)</f>
        <v>42520</v>
      </c>
      <c r="P280" s="140">
        <f>_xll.qlInterestRateIndexValueDate(IborIndex,O280)</f>
        <v>42522</v>
      </c>
      <c r="Q280" s="141">
        <v>-2.8049631439581724E-3</v>
      </c>
      <c r="R280" s="143">
        <v>-2.8831776677185061E-3</v>
      </c>
    </row>
    <row r="281" spans="14:18" x14ac:dyDescent="0.2">
      <c r="N281" s="139" t="str">
        <f t="shared" si="11"/>
        <v>1D</v>
      </c>
      <c r="O281" s="146">
        <f>_xll.qlCalendarAdvance(Calendar,O280,N281,"f",FALSE)</f>
        <v>42521</v>
      </c>
      <c r="P281" s="140">
        <f>_xll.qlInterestRateIndexValueDate(IborIndex,O281)</f>
        <v>42523</v>
      </c>
      <c r="Q281" s="141">
        <v>-2.7910704544441278E-3</v>
      </c>
      <c r="R281" s="143">
        <v>-2.8700799327552318E-3</v>
      </c>
    </row>
    <row r="282" spans="14:18" x14ac:dyDescent="0.2">
      <c r="N282" s="139" t="str">
        <f t="shared" si="11"/>
        <v>1D</v>
      </c>
      <c r="O282" s="146">
        <f>_xll.qlCalendarAdvance(Calendar,O281,N282,"f",FALSE)</f>
        <v>42522</v>
      </c>
      <c r="P282" s="140">
        <f>_xll.qlInterestRateIndexValueDate(IborIndex,O282)</f>
        <v>42524</v>
      </c>
      <c r="Q282" s="141">
        <v>-2.7877005262911063E-3</v>
      </c>
      <c r="R282" s="143">
        <v>-2.8634754642231641E-3</v>
      </c>
    </row>
    <row r="283" spans="14:18" x14ac:dyDescent="0.2">
      <c r="N283" s="139" t="str">
        <f t="shared" si="11"/>
        <v>1D</v>
      </c>
      <c r="O283" s="146">
        <f>_xll.qlCalendarAdvance(Calendar,O282,N283,"f",FALSE)</f>
        <v>42523</v>
      </c>
      <c r="P283" s="140">
        <f>_xll.qlInterestRateIndexValueDate(IborIndex,O283)</f>
        <v>42527</v>
      </c>
      <c r="Q283" s="141">
        <v>-2.7704286405918488E-3</v>
      </c>
      <c r="R283" s="143">
        <v>-2.85684456227564E-3</v>
      </c>
    </row>
    <row r="284" spans="14:18" x14ac:dyDescent="0.2">
      <c r="N284" s="139" t="str">
        <f t="shared" si="11"/>
        <v>1D</v>
      </c>
      <c r="O284" s="146">
        <f>_xll.qlCalendarAdvance(Calendar,O283,N284,"f",FALSE)</f>
        <v>42524</v>
      </c>
      <c r="P284" s="140">
        <f>_xll.qlInterestRateIndexValueDate(IborIndex,O284)</f>
        <v>42528</v>
      </c>
      <c r="Q284" s="141">
        <v>-2.7634424459770379E-3</v>
      </c>
      <c r="R284" s="143">
        <v>-2.8501872270325634E-3</v>
      </c>
    </row>
    <row r="285" spans="14:18" x14ac:dyDescent="0.2">
      <c r="N285" s="139" t="str">
        <f t="shared" si="11"/>
        <v>1D</v>
      </c>
      <c r="O285" s="146">
        <f>_xll.qlCalendarAdvance(Calendar,O284,N285,"f",FALSE)</f>
        <v>42527</v>
      </c>
      <c r="P285" s="140">
        <f>_xll.qlInterestRateIndexValueDate(IborIndex,O285)</f>
        <v>42529</v>
      </c>
      <c r="Q285" s="141">
        <v>-2.7564298199345139E-3</v>
      </c>
      <c r="R285" s="143">
        <v>-2.8367620917757463E-3</v>
      </c>
    </row>
    <row r="286" spans="14:18" x14ac:dyDescent="0.2">
      <c r="N286" s="139" t="str">
        <f t="shared" si="11"/>
        <v>1D</v>
      </c>
      <c r="O286" s="146">
        <f>_xll.qlCalendarAdvance(Calendar,O285,N286,"f",FALSE)</f>
        <v>42528</v>
      </c>
      <c r="P286" s="140">
        <f>_xll.qlInterestRateIndexValueDate(IborIndex,O286)</f>
        <v>42530</v>
      </c>
      <c r="Q286" s="141">
        <v>-2.742167842649107E-3</v>
      </c>
      <c r="R286" s="143">
        <v>-2.8232935525851488E-3</v>
      </c>
    </row>
    <row r="287" spans="14:18" x14ac:dyDescent="0.2">
      <c r="N287" s="139" t="str">
        <f t="shared" si="11"/>
        <v>1D</v>
      </c>
      <c r="O287" s="146">
        <f>_xll.qlCalendarAdvance(Calendar,O286,N287,"f",FALSE)</f>
        <v>42529</v>
      </c>
      <c r="P287" s="140">
        <f>_xll.qlInterestRateIndexValueDate(IborIndex,O287)</f>
        <v>42531</v>
      </c>
      <c r="Q287" s="141">
        <v>-2.7387050292187127E-3</v>
      </c>
      <c r="R287" s="143">
        <v>-2.816504050584534E-3</v>
      </c>
    </row>
    <row r="288" spans="14:18" x14ac:dyDescent="0.2">
      <c r="N288" s="139" t="str">
        <f t="shared" si="11"/>
        <v>1D</v>
      </c>
      <c r="O288" s="146">
        <f>_xll.qlCalendarAdvance(Calendar,O287,N288,"f",FALSE)</f>
        <v>42530</v>
      </c>
      <c r="P288" s="140">
        <f>_xll.qlInterestRateIndexValueDate(IborIndex,O288)</f>
        <v>42534</v>
      </c>
      <c r="Q288" s="141">
        <v>-2.7209702167674266E-3</v>
      </c>
      <c r="R288" s="143">
        <v>-2.8096881153283348E-3</v>
      </c>
    </row>
    <row r="289" spans="14:18" x14ac:dyDescent="0.2">
      <c r="N289" s="139" t="str">
        <f t="shared" si="11"/>
        <v>1D</v>
      </c>
      <c r="O289" s="146">
        <f>_xll.qlCalendarAdvance(Calendar,O288,N289,"f",FALSE)</f>
        <v>42531</v>
      </c>
      <c r="P289" s="140">
        <f>_xll.qlInterestRateIndexValueDate(IborIndex,O289)</f>
        <v>42535</v>
      </c>
      <c r="Q289" s="141">
        <v>-2.7137990012140456E-3</v>
      </c>
      <c r="R289" s="143">
        <v>-2.8028457465367751E-3</v>
      </c>
    </row>
    <row r="290" spans="14:18" x14ac:dyDescent="0.2">
      <c r="N290" s="139" t="str">
        <f t="shared" si="11"/>
        <v>1D</v>
      </c>
      <c r="O290" s="146">
        <f>_xll.qlCalendarAdvance(Calendar,O289,N290,"f",FALSE)</f>
        <v>42534</v>
      </c>
      <c r="P290" s="140">
        <f>_xll.qlInterestRateIndexValueDate(IborIndex,O290)</f>
        <v>42536</v>
      </c>
      <c r="Q290" s="141">
        <v>-2.7066013539092104E-3</v>
      </c>
      <c r="R290" s="143">
        <v>-2.789051290092992E-3</v>
      </c>
    </row>
    <row r="291" spans="14:18" x14ac:dyDescent="0.2">
      <c r="N291" s="139" t="str">
        <f t="shared" si="11"/>
        <v>1D</v>
      </c>
      <c r="O291" s="146">
        <f>_xll.qlCalendarAdvance(Calendar,O290,N291,"f",FALSE)</f>
        <v>42535</v>
      </c>
      <c r="P291" s="140">
        <f>_xll.qlInterestRateIndexValueDate(IborIndex,O291)</f>
        <v>42537</v>
      </c>
      <c r="Q291" s="141">
        <v>-2.6919700903567378E-3</v>
      </c>
      <c r="R291" s="143">
        <v>-2.775211938415012E-3</v>
      </c>
    </row>
    <row r="292" spans="14:18" x14ac:dyDescent="0.2">
      <c r="N292" s="139" t="str">
        <f t="shared" si="11"/>
        <v>1D</v>
      </c>
      <c r="O292" s="146">
        <f>_xll.qlCalendarAdvance(Calendar,O291,N292,"f",FALSE)</f>
        <v>42536</v>
      </c>
      <c r="P292" s="140">
        <f>_xll.qlInterestRateIndexValueDate(IborIndex,O292)</f>
        <v>42538</v>
      </c>
      <c r="Q292" s="141">
        <v>-2.6884143874271057E-3</v>
      </c>
      <c r="R292" s="143">
        <v>-2.7682374029458501E-3</v>
      </c>
    </row>
    <row r="293" spans="14:18" x14ac:dyDescent="0.2">
      <c r="N293" s="139" t="str">
        <f t="shared" si="11"/>
        <v>1D</v>
      </c>
      <c r="O293" s="146">
        <f>_xll.qlCalendarAdvance(Calendar,O292,N293,"f",FALSE)</f>
        <v>42537</v>
      </c>
      <c r="P293" s="140">
        <f>_xll.qlInterestRateIndexValueDate(IborIndex,O293)</f>
        <v>42541</v>
      </c>
      <c r="Q293" s="141">
        <v>-2.6702166394572124E-3</v>
      </c>
      <c r="R293" s="143">
        <v>-2.7612364342211038E-3</v>
      </c>
    </row>
    <row r="294" spans="14:18" x14ac:dyDescent="0.2">
      <c r="N294" s="139" t="str">
        <f t="shared" si="11"/>
        <v>1D</v>
      </c>
      <c r="O294" s="146">
        <f>_xll.qlCalendarAdvance(Calendar,O293,N294,"f",FALSE)</f>
        <v>42538</v>
      </c>
      <c r="P294" s="140">
        <f>_xll.qlInterestRateIndexValueDate(IborIndex,O294)</f>
        <v>42542</v>
      </c>
      <c r="Q294" s="141">
        <v>-2.6628604006457834E-3</v>
      </c>
      <c r="R294" s="143">
        <v>-2.7435704816602957E-3</v>
      </c>
    </row>
    <row r="295" spans="14:18" x14ac:dyDescent="0.2">
      <c r="N295" s="139" t="str">
        <f t="shared" si="11"/>
        <v>1D</v>
      </c>
      <c r="O295" s="146">
        <f>_xll.qlCalendarAdvance(Calendar,O294,N295,"f",FALSE)</f>
        <v>42541</v>
      </c>
      <c r="P295" s="140">
        <f>_xll.qlInterestRateIndexValueDate(IborIndex,O295)</f>
        <v>42543</v>
      </c>
      <c r="Q295" s="141">
        <v>-2.6554777297445042E-3</v>
      </c>
      <c r="R295" s="143">
        <v>-2.7258350897652051E-3</v>
      </c>
    </row>
    <row r="296" spans="14:18" x14ac:dyDescent="0.2">
      <c r="N296" s="139" t="str">
        <f t="shared" si="11"/>
        <v>1D</v>
      </c>
      <c r="O296" s="146">
        <f>_xll.qlCalendarAdvance(Calendar,O295,N296,"f",FALSE)</f>
        <v>42542</v>
      </c>
      <c r="P296" s="140">
        <f>_xll.qlInterestRateIndexValueDate(IborIndex,O296)</f>
        <v>42544</v>
      </c>
      <c r="Q296" s="141">
        <v>-2.640477180230888E-3</v>
      </c>
      <c r="R296" s="143">
        <v>-2.7186755207075919E-3</v>
      </c>
    </row>
    <row r="297" spans="14:18" x14ac:dyDescent="0.2">
      <c r="N297" s="139" t="str">
        <f t="shared" si="11"/>
        <v>1D</v>
      </c>
      <c r="O297" s="146">
        <f>_xll.qlCalendarAdvance(Calendar,O296,N297,"f",FALSE)</f>
        <v>42543</v>
      </c>
      <c r="P297" s="140">
        <f>_xll.qlInterestRateIndexValueDate(IborIndex,O297)</f>
        <v>42548</v>
      </c>
      <c r="Q297" s="141">
        <v>-2.6181678922236884E-3</v>
      </c>
      <c r="R297" s="143">
        <v>-2.7114895184743304E-3</v>
      </c>
    </row>
    <row r="298" spans="14:18" x14ac:dyDescent="0.2">
      <c r="N298" s="139" t="str">
        <f t="shared" si="11"/>
        <v>1D</v>
      </c>
      <c r="O298" s="146">
        <f>_xll.qlCalendarAdvance(Calendar,O297,N298,"f",FALSE)</f>
        <v>42544</v>
      </c>
      <c r="P298" s="140">
        <f>_xll.qlInterestRateIndexValueDate(IborIndex,O298)</f>
        <v>42549</v>
      </c>
      <c r="Q298" s="141">
        <v>-2.6106266277707846E-3</v>
      </c>
      <c r="R298" s="143">
        <v>-2.7042770827057083E-3</v>
      </c>
    </row>
    <row r="299" spans="14:18" x14ac:dyDescent="0.2">
      <c r="N299" s="139" t="str">
        <f t="shared" si="11"/>
        <v>1D</v>
      </c>
      <c r="O299" s="146">
        <f>_xll.qlCalendarAdvance(Calendar,O298,N299,"f",FALSE)</f>
        <v>42548</v>
      </c>
      <c r="P299" s="140">
        <f>_xll.qlInterestRateIndexValueDate(IborIndex,O299)</f>
        <v>42550</v>
      </c>
      <c r="Q299" s="141">
        <v>-2.60305893088697E-3</v>
      </c>
      <c r="R299" s="143">
        <v>-2.6897440033524234E-3</v>
      </c>
    </row>
    <row r="300" spans="14:18" x14ac:dyDescent="0.2">
      <c r="N300" s="139" t="str">
        <f t="shared" si="11"/>
        <v>1D</v>
      </c>
      <c r="O300" s="146">
        <f>_xll.qlCalendarAdvance(Calendar,O299,N300,"f",FALSE)</f>
        <v>42549</v>
      </c>
      <c r="P300" s="140">
        <f>_xll.qlInterestRateIndexValueDate(IborIndex,O300)</f>
        <v>42551</v>
      </c>
      <c r="Q300" s="141">
        <v>-2.5993395231135191E-3</v>
      </c>
      <c r="R300" s="143">
        <v>-2.6751630060362075E-3</v>
      </c>
    </row>
    <row r="301" spans="14:18" x14ac:dyDescent="0.2">
      <c r="N301" s="139" t="str">
        <f t="shared" si="11"/>
        <v>1D</v>
      </c>
      <c r="O301" s="146">
        <f>_xll.qlCalendarAdvance(Calendar,O300,N301,"f",FALSE)</f>
        <v>42550</v>
      </c>
      <c r="P301" s="140">
        <f>_xll.qlInterestRateIndexValueDate(IborIndex,O301)</f>
        <v>42552</v>
      </c>
      <c r="Q301" s="141">
        <v>-2.5839476019365762E-3</v>
      </c>
      <c r="R301" s="143">
        <v>-2.6678184035100472E-3</v>
      </c>
    </row>
    <row r="302" spans="14:18" x14ac:dyDescent="0.2">
      <c r="N302" s="139" t="str">
        <f t="shared" si="11"/>
        <v>1D</v>
      </c>
      <c r="O302" s="146">
        <f>_xll.qlCalendarAdvance(Calendar,O301,N302,"f",FALSE)</f>
        <v>42551</v>
      </c>
      <c r="P302" s="140">
        <f>_xll.qlInterestRateIndexValueDate(IborIndex,O302)</f>
        <v>42555</v>
      </c>
      <c r="Q302" s="141">
        <v>-2.5608878361983766E-3</v>
      </c>
      <c r="R302" s="143">
        <v>-2.6604473675284623E-3</v>
      </c>
    </row>
    <row r="303" spans="14:18" x14ac:dyDescent="0.2">
      <c r="N303" s="139" t="str">
        <f t="shared" si="11"/>
        <v>1D</v>
      </c>
      <c r="O303" s="146">
        <f>_xll.qlCalendarAdvance(Calendar,O302,N303,"f",FALSE)</f>
        <v>42552</v>
      </c>
      <c r="P303" s="140">
        <f>_xll.qlInterestRateIndexValueDate(IborIndex,O303)</f>
        <v>42556</v>
      </c>
      <c r="Q303" s="141">
        <v>-2.5531483822110118E-3</v>
      </c>
      <c r="R303" s="143">
        <v>-2.653049898091453E-3</v>
      </c>
    </row>
    <row r="304" spans="14:18" x14ac:dyDescent="0.2">
      <c r="N304" s="139" t="str">
        <f t="shared" si="11"/>
        <v>1D</v>
      </c>
      <c r="O304" s="146">
        <f>_xll.qlCalendarAdvance(Calendar,O303,N304,"f",FALSE)</f>
        <v>42555</v>
      </c>
      <c r="P304" s="140">
        <f>_xll.qlInterestRateIndexValueDate(IborIndex,O304)</f>
        <v>42557</v>
      </c>
      <c r="Q304" s="141">
        <v>-2.537431341986605E-3</v>
      </c>
      <c r="R304" s="143">
        <v>-2.638147515083844E-3</v>
      </c>
    </row>
    <row r="305" spans="14:18" x14ac:dyDescent="0.2">
      <c r="N305" s="139" t="str">
        <f t="shared" si="11"/>
        <v>1D</v>
      </c>
      <c r="O305" s="146">
        <f>_xll.qlCalendarAdvance(Calendar,O304,N305,"f",FALSE)</f>
        <v>42556</v>
      </c>
      <c r="P305" s="140">
        <f>_xll.qlInterestRateIndexValueDate(IborIndex,O305)</f>
        <v>42558</v>
      </c>
      <c r="Q305" s="141">
        <v>-2.5336058148697771E-3</v>
      </c>
      <c r="R305" s="143">
        <v>-2.623195686828339E-3</v>
      </c>
    </row>
    <row r="306" spans="14:18" x14ac:dyDescent="0.2">
      <c r="N306" s="139" t="str">
        <f t="shared" si="11"/>
        <v>1D</v>
      </c>
      <c r="O306" s="146">
        <f>_xll.qlCalendarAdvance(Calendar,O305,N306,"f",FALSE)</f>
        <v>42557</v>
      </c>
      <c r="P306" s="140">
        <f>_xll.qlInterestRateIndexValueDate(IborIndex,O306)</f>
        <v>42559</v>
      </c>
      <c r="Q306" s="141">
        <v>-2.5297714232875462E-3</v>
      </c>
      <c r="R306" s="143">
        <v>-2.6156660505538554E-3</v>
      </c>
    </row>
    <row r="307" spans="14:18" x14ac:dyDescent="0.2">
      <c r="N307" s="139" t="str">
        <f t="shared" si="11"/>
        <v>1D</v>
      </c>
      <c r="O307" s="146">
        <f>_xll.qlCalendarAdvance(Calendar,O306,N307,"f",FALSE)</f>
        <v>42558</v>
      </c>
      <c r="P307" s="140">
        <f>_xll.qlInterestRateIndexValueDate(IborIndex,O307)</f>
        <v>42562</v>
      </c>
      <c r="Q307" s="141">
        <v>-2.5061565678048546E-3</v>
      </c>
      <c r="R307" s="143">
        <v>-2.6081099808639152E-3</v>
      </c>
    </row>
    <row r="308" spans="14:18" x14ac:dyDescent="0.2">
      <c r="N308" s="139" t="str">
        <f t="shared" si="11"/>
        <v>1D</v>
      </c>
      <c r="O308" s="146">
        <f>_xll.qlCalendarAdvance(Calendar,O307,N308,"f",FALSE)</f>
        <v>42559</v>
      </c>
      <c r="P308" s="140">
        <f>_xll.qlInterestRateIndexValueDate(IborIndex,O308)</f>
        <v>42563</v>
      </c>
      <c r="Q308" s="141">
        <v>-2.4982320831583079E-3</v>
      </c>
      <c r="R308" s="143">
        <v>-2.6005274777185505E-3</v>
      </c>
    </row>
    <row r="309" spans="14:18" x14ac:dyDescent="0.2">
      <c r="N309" s="139" t="str">
        <f t="shared" si="11"/>
        <v>1D</v>
      </c>
      <c r="O309" s="146">
        <f>_xll.qlCalendarAdvance(Calendar,O308,N309,"f",FALSE)</f>
        <v>42562</v>
      </c>
      <c r="P309" s="140">
        <f>_xll.qlInterestRateIndexValueDate(IborIndex,O309)</f>
        <v>42564</v>
      </c>
      <c r="Q309" s="141">
        <v>-2.4821457507748983E-3</v>
      </c>
      <c r="R309" s="143">
        <v>-2.5852557946670629E-3</v>
      </c>
    </row>
    <row r="310" spans="14:18" x14ac:dyDescent="0.2">
      <c r="N310" s="139" t="str">
        <f t="shared" si="11"/>
        <v>1D</v>
      </c>
      <c r="O310" s="146">
        <f>_xll.qlCalendarAdvance(Calendar,O309,N310,"f",FALSE)</f>
        <v>42563</v>
      </c>
      <c r="P310" s="140">
        <f>_xll.qlInterestRateIndexValueDate(IborIndex,O310)</f>
        <v>42565</v>
      </c>
      <c r="Q310" s="141">
        <v>-2.4782273227227924E-3</v>
      </c>
      <c r="R310" s="143">
        <v>-2.5699331314221752E-3</v>
      </c>
    </row>
    <row r="311" spans="14:18" x14ac:dyDescent="0.2">
      <c r="N311" s="139" t="str">
        <f t="shared" si="11"/>
        <v>1D</v>
      </c>
      <c r="O311" s="146">
        <f>_xll.qlCalendarAdvance(Calendar,O310,N311,"f",FALSE)</f>
        <v>42564</v>
      </c>
      <c r="P311" s="140">
        <f>_xll.qlInterestRateIndexValueDate(IborIndex,O311)</f>
        <v>42566</v>
      </c>
      <c r="Q311" s="141">
        <v>-2.4743000300023279E-3</v>
      </c>
      <c r="R311" s="143">
        <v>-2.5622184613993682E-3</v>
      </c>
    </row>
    <row r="312" spans="14:18" x14ac:dyDescent="0.2">
      <c r="N312" s="139" t="str">
        <f t="shared" si="11"/>
        <v>1D</v>
      </c>
      <c r="O312" s="146">
        <f>_xll.qlCalendarAdvance(Calendar,O311,N312,"f",FALSE)</f>
        <v>42565</v>
      </c>
      <c r="P312" s="140">
        <f>_xll.qlInterestRateIndexValueDate(IborIndex,O312)</f>
        <v>42569</v>
      </c>
      <c r="Q312" s="141">
        <v>-2.4501300768782351E-3</v>
      </c>
      <c r="R312" s="143">
        <v>-2.5544773578811686E-3</v>
      </c>
    </row>
    <row r="313" spans="14:18" x14ac:dyDescent="0.2">
      <c r="N313" s="139" t="str">
        <f t="shared" si="11"/>
        <v>1D</v>
      </c>
      <c r="O313" s="146">
        <f>_xll.qlCalendarAdvance(Calendar,O312,N313,"f",FALSE)</f>
        <v>42566</v>
      </c>
      <c r="P313" s="140">
        <f>_xll.qlInterestRateIndexValueDate(IborIndex,O313)</f>
        <v>42570</v>
      </c>
      <c r="Q313" s="141">
        <v>-2.4420205589191458E-3</v>
      </c>
      <c r="R313" s="143">
        <v>-2.5467098209475125E-3</v>
      </c>
    </row>
    <row r="314" spans="14:18" x14ac:dyDescent="0.2">
      <c r="N314" s="139" t="str">
        <f t="shared" si="11"/>
        <v>1D</v>
      </c>
      <c r="O314" s="146">
        <f>_xll.qlCalendarAdvance(Calendar,O313,N314,"f",FALSE)</f>
        <v>42569</v>
      </c>
      <c r="P314" s="140">
        <f>_xll.qlInterestRateIndexValueDate(IborIndex,O314)</f>
        <v>42571</v>
      </c>
      <c r="Q314" s="141">
        <v>-2.4255649295066499E-3</v>
      </c>
      <c r="R314" s="143">
        <v>-2.5310688404101001E-3</v>
      </c>
    </row>
    <row r="315" spans="14:18" x14ac:dyDescent="0.2">
      <c r="N315" s="139" t="str">
        <f t="shared" si="11"/>
        <v>1D</v>
      </c>
      <c r="O315" s="146">
        <f>_xll.qlCalendarAdvance(Calendar,O314,N315,"f",FALSE)</f>
        <v>42570</v>
      </c>
      <c r="P315" s="140">
        <f>_xll.qlInterestRateIndexValueDate(IborIndex,O315)</f>
        <v>42572</v>
      </c>
      <c r="Q315" s="141">
        <v>-2.4215535989076387E-3</v>
      </c>
      <c r="R315" s="143">
        <v>-2.5153753392981315E-3</v>
      </c>
    </row>
    <row r="316" spans="14:18" x14ac:dyDescent="0.2">
      <c r="N316" s="139" t="str">
        <f t="shared" si="11"/>
        <v>1D</v>
      </c>
      <c r="O316" s="146">
        <f>_xll.qlCalendarAdvance(Calendar,O315,N316,"f",FALSE)</f>
        <v>42571</v>
      </c>
      <c r="P316" s="140">
        <f>_xll.qlInterestRateIndexValueDate(IborIndex,O316)</f>
        <v>42573</v>
      </c>
      <c r="Q316" s="141">
        <v>-2.4175334035228626E-3</v>
      </c>
      <c r="R316" s="143">
        <v>-2.5074756354070971E-3</v>
      </c>
    </row>
    <row r="317" spans="14:18" x14ac:dyDescent="0.2">
      <c r="N317" s="139" t="str">
        <f t="shared" si="11"/>
        <v>1D</v>
      </c>
      <c r="O317" s="146">
        <f>_xll.qlCalendarAdvance(Calendar,O316,N317,"f",FALSE)</f>
        <v>42572</v>
      </c>
      <c r="P317" s="140">
        <f>_xll.qlInterestRateIndexValueDate(IborIndex,O317)</f>
        <v>42576</v>
      </c>
      <c r="Q317" s="141">
        <v>-2.3928083446683557E-3</v>
      </c>
      <c r="R317" s="143">
        <v>-2.4995494980606381E-3</v>
      </c>
    </row>
    <row r="318" spans="14:18" x14ac:dyDescent="0.2">
      <c r="N318" s="139" t="str">
        <f t="shared" si="11"/>
        <v>1D</v>
      </c>
      <c r="O318" s="146">
        <f>_xll.qlCalendarAdvance(Calendar,O317,N318,"f",FALSE)</f>
        <v>42573</v>
      </c>
      <c r="P318" s="140">
        <f>_xll.qlInterestRateIndexValueDate(IborIndex,O318)</f>
        <v>42577</v>
      </c>
      <c r="Q318" s="141">
        <v>-2.3845137906866329E-3</v>
      </c>
      <c r="R318" s="143">
        <v>-2.4915969272587546E-3</v>
      </c>
    </row>
    <row r="319" spans="14:18" x14ac:dyDescent="0.2">
      <c r="N319" s="139" t="str">
        <f t="shared" si="11"/>
        <v>1D</v>
      </c>
      <c r="O319" s="146">
        <f>_xll.qlCalendarAdvance(Calendar,O318,N319,"f",FALSE)</f>
        <v>42576</v>
      </c>
      <c r="P319" s="140">
        <f>_xll.qlInterestRateIndexValueDate(IborIndex,O319)</f>
        <v>42578</v>
      </c>
      <c r="Q319" s="141">
        <v>-2.3676888580294953E-3</v>
      </c>
      <c r="R319" s="143">
        <v>-2.4755866504877488E-3</v>
      </c>
    </row>
    <row r="320" spans="14:18" x14ac:dyDescent="0.2">
      <c r="N320" s="139" t="str">
        <f t="shared" si="11"/>
        <v>1D</v>
      </c>
      <c r="O320" s="146">
        <f>_xll.qlCalendarAdvance(Calendar,O319,N320,"f",FALSE)</f>
        <v>42577</v>
      </c>
      <c r="P320" s="140">
        <f>_xll.qlInterestRateIndexValueDate(IborIndex,O320)</f>
        <v>42579</v>
      </c>
      <c r="Q320" s="141">
        <v>-2.3635846238524716E-3</v>
      </c>
      <c r="R320" s="143">
        <v>-2.4595223099765917E-3</v>
      </c>
    </row>
    <row r="321" spans="14:18" x14ac:dyDescent="0.2">
      <c r="N321" s="139" t="str">
        <f t="shared" si="11"/>
        <v>1D</v>
      </c>
      <c r="O321" s="146">
        <f>_xll.qlCalendarAdvance(Calendar,O320,N321,"f",FALSE)</f>
        <v>42578</v>
      </c>
      <c r="P321" s="140">
        <f>_xll.qlInterestRateIndexValueDate(IborIndex,O321)</f>
        <v>42580</v>
      </c>
      <c r="Q321" s="141">
        <v>-2.3509149316313198E-3</v>
      </c>
      <c r="R321" s="143">
        <v>-2.4514375720974257E-3</v>
      </c>
    </row>
    <row r="322" spans="14:18" x14ac:dyDescent="0.2">
      <c r="N322" s="139" t="str">
        <f t="shared" si="11"/>
        <v>1D</v>
      </c>
      <c r="O322" s="146">
        <f>_xll.qlCalendarAdvance(Calendar,O321,N322,"f",FALSE)</f>
        <v>42579</v>
      </c>
      <c r="P322" s="140">
        <f>_xll.qlInterestRateIndexValueDate(IborIndex,O322)</f>
        <v>42583</v>
      </c>
      <c r="Q322" s="141">
        <v>-2.3341913519957192E-3</v>
      </c>
      <c r="R322" s="143">
        <v>-2.4433264007628352E-3</v>
      </c>
    </row>
    <row r="323" spans="14:18" x14ac:dyDescent="0.2">
      <c r="N323" s="139" t="str">
        <f t="shared" si="11"/>
        <v>1D</v>
      </c>
      <c r="O323" s="146">
        <f>_xll.qlCalendarAdvance(Calendar,O322,N323,"f",FALSE)</f>
        <v>42580</v>
      </c>
      <c r="P323" s="140">
        <f>_xll.qlInterestRateIndexValueDate(IborIndex,O323)</f>
        <v>42584</v>
      </c>
      <c r="Q323" s="141">
        <v>-2.3257117592116513E-3</v>
      </c>
      <c r="R323" s="143">
        <v>-2.4351887959728202E-3</v>
      </c>
    </row>
    <row r="324" spans="14:18" x14ac:dyDescent="0.2">
      <c r="N324" s="139" t="str">
        <f t="shared" si="11"/>
        <v>1D</v>
      </c>
      <c r="O324" s="146">
        <f>_xll.qlCalendarAdvance(Calendar,O323,N324,"f",FALSE)</f>
        <v>42583</v>
      </c>
      <c r="P324" s="140">
        <f>_xll.qlInterestRateIndexValueDate(IborIndex,O324)</f>
        <v>42585</v>
      </c>
      <c r="Q324" s="141">
        <v>-2.3085175157187203E-3</v>
      </c>
      <c r="R324" s="143">
        <v>-2.4188092231680614E-3</v>
      </c>
    </row>
    <row r="325" spans="14:18" x14ac:dyDescent="0.2">
      <c r="N325" s="139" t="str">
        <f t="shared" si="11"/>
        <v>1D</v>
      </c>
      <c r="O325" s="146">
        <f>_xll.qlCalendarAdvance(Calendar,O324,N325,"f",FALSE)</f>
        <v>42584</v>
      </c>
      <c r="P325" s="140">
        <f>_xll.qlInterestRateIndexValueDate(IborIndex,O325)</f>
        <v>42586</v>
      </c>
      <c r="Q325" s="141">
        <v>-2.3043203775233168E-3</v>
      </c>
      <c r="R325" s="143">
        <v>-2.4023740426981632E-3</v>
      </c>
    </row>
    <row r="326" spans="14:18" x14ac:dyDescent="0.2">
      <c r="N326" s="139" t="str">
        <f t="shared" si="11"/>
        <v>1D</v>
      </c>
      <c r="O326" s="146">
        <f>_xll.qlCalendarAdvance(Calendar,O325,N326,"f",FALSE)</f>
        <v>42585</v>
      </c>
      <c r="P326" s="140">
        <f>_xll.qlInterestRateIndexValueDate(IborIndex,O326)</f>
        <v>42587</v>
      </c>
      <c r="Q326" s="141">
        <v>-2.3001143745623202E-3</v>
      </c>
      <c r="R326" s="143">
        <v>-2.3941042707908977E-3</v>
      </c>
    </row>
    <row r="327" spans="14:18" x14ac:dyDescent="0.2">
      <c r="N327" s="139" t="str">
        <f t="shared" si="11"/>
        <v>1D</v>
      </c>
      <c r="O327" s="146">
        <f>_xll.qlCalendarAdvance(Calendar,O326,N327,"f",FALSE)</f>
        <v>42586</v>
      </c>
      <c r="P327" s="140">
        <f>_xll.qlInterestRateIndexValueDate(IborIndex,O327)</f>
        <v>42590</v>
      </c>
      <c r="Q327" s="141">
        <v>-2.2742790792398917E-3</v>
      </c>
      <c r="R327" s="143">
        <v>-2.3858080653482716E-3</v>
      </c>
    </row>
    <row r="328" spans="14:18" x14ac:dyDescent="0.2">
      <c r="N328" s="139" t="str">
        <f t="shared" si="11"/>
        <v>1D</v>
      </c>
      <c r="O328" s="146">
        <f>_xll.qlCalendarAdvance(Calendar,O327,N328,"f",FALSE)</f>
        <v>42587</v>
      </c>
      <c r="P328" s="140">
        <f>_xll.qlInterestRateIndexValueDate(IborIndex,O328)</f>
        <v>42591</v>
      </c>
      <c r="Q328" s="141">
        <v>-2.2656144448196165E-3</v>
      </c>
      <c r="R328" s="143">
        <v>-2.3774854265701251E-3</v>
      </c>
    </row>
    <row r="329" spans="14:18" x14ac:dyDescent="0.2">
      <c r="N329" s="139" t="str">
        <f t="shared" si="11"/>
        <v>1D</v>
      </c>
      <c r="O329" s="146">
        <f>_xll.qlCalendarAdvance(Calendar,O328,N329,"f",FALSE)</f>
        <v>42590</v>
      </c>
      <c r="P329" s="140">
        <f>_xll.qlInterestRateIndexValueDate(IborIndex,O329)</f>
        <v>42592</v>
      </c>
      <c r="Q329" s="141">
        <v>-2.2480508815026956E-3</v>
      </c>
      <c r="R329" s="143">
        <v>-2.3607365566125083E-3</v>
      </c>
    </row>
    <row r="330" spans="14:18" x14ac:dyDescent="0.2">
      <c r="N330" s="139" t="str">
        <f t="shared" si="11"/>
        <v>1D</v>
      </c>
      <c r="O330" s="146">
        <f>_xll.qlCalendarAdvance(Calendar,O329,N330,"f",FALSE)</f>
        <v>42591</v>
      </c>
      <c r="P330" s="140">
        <f>_xll.qlInterestRateIndexValueDate(IborIndex,O330)</f>
        <v>42593</v>
      </c>
      <c r="Q330" s="141">
        <v>-2.2437608394590414E-3</v>
      </c>
      <c r="R330" s="143">
        <v>-2.3439305369032937E-3</v>
      </c>
    </row>
    <row r="331" spans="14:18" x14ac:dyDescent="0.2">
      <c r="N331" s="139" t="str">
        <f t="shared" si="11"/>
        <v>1D</v>
      </c>
      <c r="O331" s="146">
        <f>_xll.qlCalendarAdvance(Calendar,O330,N331,"f",FALSE)</f>
        <v>42592</v>
      </c>
      <c r="P331" s="140">
        <f>_xll.qlInterestRateIndexValueDate(IborIndex,O331)</f>
        <v>42594</v>
      </c>
      <c r="Q331" s="141">
        <v>-2.2394619327900924E-3</v>
      </c>
      <c r="R331" s="143">
        <v>-2.3354757308480245E-3</v>
      </c>
    </row>
    <row r="332" spans="14:18" x14ac:dyDescent="0.2">
      <c r="N332" s="139" t="str">
        <f t="shared" si="11"/>
        <v>1D</v>
      </c>
      <c r="O332" s="146">
        <f>_xll.qlCalendarAdvance(Calendar,O331,N332,"f",FALSE)</f>
        <v>42593</v>
      </c>
      <c r="P332" s="140">
        <f>_xll.qlInterestRateIndexValueDate(IborIndex,O332)</f>
        <v>42597</v>
      </c>
      <c r="Q332" s="141">
        <v>-2.2130715063588403E-3</v>
      </c>
      <c r="R332" s="143">
        <v>-2.3269944912973628E-3</v>
      </c>
    </row>
    <row r="333" spans="14:18" x14ac:dyDescent="0.2">
      <c r="N333" s="139" t="str">
        <f t="shared" si="11"/>
        <v>1D</v>
      </c>
      <c r="O333" s="146">
        <f>_xll.qlCalendarAdvance(Calendar,O332,N333,"f",FALSE)</f>
        <v>42594</v>
      </c>
      <c r="P333" s="140">
        <f>_xll.qlInterestRateIndexValueDate(IborIndex,O333)</f>
        <v>42598</v>
      </c>
      <c r="Q333" s="141">
        <v>-2.2042218273988744E-3</v>
      </c>
      <c r="R333" s="143">
        <v>-2.3184868183312446E-3</v>
      </c>
    </row>
    <row r="334" spans="14:18" x14ac:dyDescent="0.2">
      <c r="N334" s="139" t="str">
        <f t="shared" si="11"/>
        <v>1D</v>
      </c>
      <c r="O334" s="146">
        <f>_xll.qlCalendarAdvance(Calendar,O333,N334,"f",FALSE)</f>
        <v>42597</v>
      </c>
      <c r="P334" s="140">
        <f>_xll.qlInterestRateIndexValueDate(IborIndex,O334)</f>
        <v>42599</v>
      </c>
      <c r="Q334" s="141">
        <v>-2.1862889338434984E-3</v>
      </c>
      <c r="R334" s="143">
        <v>-2.3013686489026242E-3</v>
      </c>
    </row>
    <row r="335" spans="14:18" x14ac:dyDescent="0.2">
      <c r="N335" s="139" t="str">
        <f t="shared" si="11"/>
        <v>1D</v>
      </c>
      <c r="O335" s="146">
        <f>_xll.qlCalendarAdvance(Calendar,O334,N335,"f",FALSE)</f>
        <v>42598</v>
      </c>
      <c r="P335" s="140">
        <f>_xll.qlInterestRateIndexValueDate(IborIndex,O335)</f>
        <v>42600</v>
      </c>
      <c r="Q335" s="141">
        <v>-2.1819059887388803E-3</v>
      </c>
      <c r="R335" s="143">
        <v>-2.2841917919924626E-3</v>
      </c>
    </row>
    <row r="336" spans="14:18" x14ac:dyDescent="0.2">
      <c r="N336" s="139" t="str">
        <f t="shared" si="11"/>
        <v>1D</v>
      </c>
      <c r="O336" s="146">
        <f>_xll.qlCalendarAdvance(Calendar,O335,N336,"f",FALSE)</f>
        <v>42599</v>
      </c>
      <c r="P336" s="140">
        <f>_xll.qlInterestRateIndexValueDate(IborIndex,O336)</f>
        <v>42601</v>
      </c>
      <c r="Q336" s="141">
        <v>-2.177514179241316E-3</v>
      </c>
      <c r="R336" s="143">
        <v>-2.2755519516293177E-3</v>
      </c>
    </row>
    <row r="337" spans="14:18" x14ac:dyDescent="0.2">
      <c r="N337" s="139" t="str">
        <f t="shared" si="11"/>
        <v>1D</v>
      </c>
      <c r="O337" s="146">
        <f>_xll.qlCalendarAdvance(Calendar,O336,N337,"f",FALSE)</f>
        <v>42600</v>
      </c>
      <c r="P337" s="140">
        <f>_xll.qlInterestRateIndexValueDate(IborIndex,O337)</f>
        <v>42604</v>
      </c>
      <c r="Q337" s="141">
        <v>-2.1505686128683059E-3</v>
      </c>
      <c r="R337" s="143">
        <v>-2.2668856780105884E-3</v>
      </c>
    </row>
    <row r="338" spans="14:18" x14ac:dyDescent="0.2">
      <c r="N338" s="139" t="str">
        <f t="shared" si="11"/>
        <v>1D</v>
      </c>
      <c r="O338" s="146">
        <f>_xll.qlCalendarAdvance(Calendar,O337,N338,"f",FALSE)</f>
        <v>42601</v>
      </c>
      <c r="P338" s="140">
        <f>_xll.qlInterestRateIndexValueDate(IborIndex,O338)</f>
        <v>42605</v>
      </c>
      <c r="Q338" s="141">
        <v>-2.1415338864110146E-3</v>
      </c>
      <c r="R338" s="143">
        <v>-2.2581929707365944E-3</v>
      </c>
    </row>
    <row r="339" spans="14:18" x14ac:dyDescent="0.2">
      <c r="N339" s="139" t="str">
        <f t="shared" si="11"/>
        <v>1D</v>
      </c>
      <c r="O339" s="146">
        <f>_xll.qlCalendarAdvance(Calendar,O338,N339,"f",FALSE)</f>
        <v>42604</v>
      </c>
      <c r="P339" s="140">
        <f>_xll.qlInterestRateIndexValueDate(IborIndex,O339)</f>
        <v>42606</v>
      </c>
      <c r="Q339" s="141">
        <v>-2.123231650736912E-3</v>
      </c>
      <c r="R339" s="143">
        <v>-2.240705498146589E-3</v>
      </c>
    </row>
    <row r="340" spans="14:18" x14ac:dyDescent="0.2">
      <c r="N340" s="139" t="str">
        <f t="shared" si="11"/>
        <v>1D</v>
      </c>
      <c r="O340" s="146">
        <f>_xll.qlCalendarAdvance(Calendar,O339,N340,"f",FALSE)</f>
        <v>42605</v>
      </c>
      <c r="P340" s="140">
        <f>_xll.qlInterestRateIndexValueDate(IborIndex,O340)</f>
        <v>42607</v>
      </c>
      <c r="Q340" s="141">
        <v>-2.1187558039874321E-3</v>
      </c>
      <c r="R340" s="143">
        <v>-2.2231578071663094E-3</v>
      </c>
    </row>
    <row r="341" spans="14:18" x14ac:dyDescent="0.2">
      <c r="N341" s="139" t="str">
        <f t="shared" ref="N341:N404" si="12">N340</f>
        <v>1D</v>
      </c>
      <c r="O341" s="146">
        <f>_xll.qlCalendarAdvance(Calendar,O340,N341,"f",FALSE)</f>
        <v>42606</v>
      </c>
      <c r="P341" s="140">
        <f>_xll.qlInterestRateIndexValueDate(IborIndex,O341)</f>
        <v>42608</v>
      </c>
      <c r="Q341" s="141">
        <v>-2.1142710931790301E-3</v>
      </c>
      <c r="R341" s="143">
        <v>-2.2143329326151928E-3</v>
      </c>
    </row>
    <row r="342" spans="14:18" x14ac:dyDescent="0.2">
      <c r="N342" s="139" t="str">
        <f t="shared" si="12"/>
        <v>1D</v>
      </c>
      <c r="O342" s="146">
        <f>_xll.qlCalendarAdvance(Calendar,O341,N342,"f",FALSE)</f>
        <v>42607</v>
      </c>
      <c r="P342" s="140">
        <f>_xll.qlInterestRateIndexValueDate(IborIndex,O342)</f>
        <v>42611</v>
      </c>
      <c r="Q342" s="141">
        <v>-2.0867703778495381E-3</v>
      </c>
      <c r="R342" s="143">
        <v>-2.2054816246086517E-3</v>
      </c>
    </row>
    <row r="343" spans="14:18" x14ac:dyDescent="0.2">
      <c r="N343" s="139" t="str">
        <f t="shared" si="12"/>
        <v>1D</v>
      </c>
      <c r="O343" s="146">
        <f>_xll.qlCalendarAdvance(Calendar,O342,N343,"f",FALSE)</f>
        <v>42608</v>
      </c>
      <c r="P343" s="140">
        <f>_xll.qlInterestRateIndexValueDate(IborIndex,O343)</f>
        <v>42612</v>
      </c>
      <c r="Q343" s="141">
        <v>-2.0775506008715331E-3</v>
      </c>
      <c r="R343" s="143">
        <v>-2.196603882986814E-3</v>
      </c>
    </row>
    <row r="344" spans="14:18" x14ac:dyDescent="0.2">
      <c r="N344" s="139" t="str">
        <f t="shared" si="12"/>
        <v>1D</v>
      </c>
      <c r="O344" s="146">
        <f>_xll.qlCalendarAdvance(Calendar,O343,N344,"f",FALSE)</f>
        <v>42611</v>
      </c>
      <c r="P344" s="140">
        <f>_xll.qlInterestRateIndexValueDate(IborIndex,O344)</f>
        <v>42613</v>
      </c>
      <c r="Q344" s="141">
        <v>-2.073003940704421E-3</v>
      </c>
      <c r="R344" s="143">
        <v>-2.1787471023593241E-3</v>
      </c>
    </row>
    <row r="345" spans="14:18" x14ac:dyDescent="0.2">
      <c r="N345" s="139" t="str">
        <f t="shared" si="12"/>
        <v>1D</v>
      </c>
      <c r="O345" s="146">
        <f>_xll.qlCalendarAdvance(Calendar,O344,N345,"f",FALSE)</f>
        <v>42612</v>
      </c>
      <c r="P345" s="140">
        <f>_xll.qlInterestRateIndexValueDate(IborIndex,O345)</f>
        <v>42614</v>
      </c>
      <c r="Q345" s="141">
        <v>-2.0543102634033861E-3</v>
      </c>
      <c r="R345" s="143">
        <v>-2.1608285820651219E-3</v>
      </c>
    </row>
    <row r="346" spans="14:18" x14ac:dyDescent="0.2">
      <c r="N346" s="139" t="str">
        <f t="shared" si="12"/>
        <v>1D</v>
      </c>
      <c r="O346" s="146">
        <f>_xll.qlCalendarAdvance(Calendar,O345,N346,"f",FALSE)</f>
        <v>42613</v>
      </c>
      <c r="P346" s="140">
        <f>_xll.qlInterestRateIndexValueDate(IborIndex,O346)</f>
        <v>42615</v>
      </c>
      <c r="Q346" s="141">
        <v>-2.0497326534498332E-3</v>
      </c>
      <c r="R346" s="143">
        <v>-2.1518186730062894E-3</v>
      </c>
    </row>
    <row r="347" spans="14:18" x14ac:dyDescent="0.2">
      <c r="N347" s="139" t="str">
        <f t="shared" si="12"/>
        <v>1D</v>
      </c>
      <c r="O347" s="146">
        <f>_xll.qlCalendarAdvance(Calendar,O346,N347,"f",FALSE)</f>
        <v>42614</v>
      </c>
      <c r="P347" s="140">
        <f>_xll.qlInterestRateIndexValueDate(IborIndex,O347)</f>
        <v>42618</v>
      </c>
      <c r="Q347" s="141">
        <v>-2.0264421585651782E-3</v>
      </c>
      <c r="R347" s="143">
        <v>-2.1427823306119365E-3</v>
      </c>
    </row>
    <row r="348" spans="14:18" x14ac:dyDescent="0.2">
      <c r="N348" s="139" t="str">
        <f t="shared" si="12"/>
        <v>1D</v>
      </c>
      <c r="O348" s="146">
        <f>_xll.qlCalendarAdvance(Calendar,O347,N348,"f",FALSE)</f>
        <v>42615</v>
      </c>
      <c r="P348" s="140">
        <f>_xll.qlInterestRateIndexValueDate(IborIndex,O348)</f>
        <v>42619</v>
      </c>
      <c r="Q348" s="141">
        <v>-2.0170504935022038E-3</v>
      </c>
      <c r="R348" s="143">
        <v>-2.1337195546422549E-3</v>
      </c>
    </row>
    <row r="349" spans="14:18" x14ac:dyDescent="0.2">
      <c r="N349" s="139" t="str">
        <f t="shared" si="12"/>
        <v>1D</v>
      </c>
      <c r="O349" s="146">
        <f>_xll.qlCalendarAdvance(Calendar,O348,N349,"f",FALSE)</f>
        <v>42618</v>
      </c>
      <c r="P349" s="140">
        <f>_xll.qlInterestRateIndexValueDate(IborIndex,O349)</f>
        <v>42620</v>
      </c>
      <c r="Q349" s="141">
        <v>-2.0076323920901196E-3</v>
      </c>
      <c r="R349" s="143">
        <v>-2.1154934595291053E-3</v>
      </c>
    </row>
    <row r="350" spans="14:18" x14ac:dyDescent="0.2">
      <c r="N350" s="139" t="str">
        <f t="shared" si="12"/>
        <v>1D</v>
      </c>
      <c r="O350" s="146">
        <f>_xll.qlCalendarAdvance(Calendar,O349,N350,"f",FALSE)</f>
        <v>42619</v>
      </c>
      <c r="P350" s="140">
        <f>_xll.qlInterestRateIndexValueDate(IborIndex,O350)</f>
        <v>42621</v>
      </c>
      <c r="Q350" s="141">
        <v>-1.988569344719554E-3</v>
      </c>
      <c r="R350" s="143">
        <v>-2.0972041157696353E-3</v>
      </c>
    </row>
    <row r="351" spans="14:18" x14ac:dyDescent="0.2">
      <c r="N351" s="139" t="str">
        <f t="shared" si="12"/>
        <v>1D</v>
      </c>
      <c r="O351" s="146">
        <f>_xll.qlCalendarAdvance(Calendar,O350,N351,"f",FALSE)</f>
        <v>42620</v>
      </c>
      <c r="P351" s="140">
        <f>_xll.qlInterestRateIndexValueDate(IborIndex,O351)</f>
        <v>42622</v>
      </c>
      <c r="Q351" s="141">
        <v>-1.9838988384490719E-3</v>
      </c>
      <c r="R351" s="143">
        <v>-2.0880091722030869E-3</v>
      </c>
    </row>
    <row r="352" spans="14:18" x14ac:dyDescent="0.2">
      <c r="N352" s="139" t="str">
        <f t="shared" si="12"/>
        <v>1D</v>
      </c>
      <c r="O352" s="146">
        <f>_xll.qlCalendarAdvance(Calendar,O351,N352,"f",FALSE)</f>
        <v>42621</v>
      </c>
      <c r="P352" s="140">
        <f>_xll.qlInterestRateIndexValueDate(IborIndex,O352)</f>
        <v>42625</v>
      </c>
      <c r="Q352" s="141">
        <v>-1.9601453374975542E-3</v>
      </c>
      <c r="R352" s="143">
        <v>-2.0787877953010181E-3</v>
      </c>
    </row>
    <row r="353" spans="14:18" x14ac:dyDescent="0.2">
      <c r="N353" s="139" t="str">
        <f t="shared" si="12"/>
        <v>1D</v>
      </c>
      <c r="O353" s="146">
        <f>_xll.qlCalendarAdvance(Calendar,O352,N353,"f",FALSE)</f>
        <v>42622</v>
      </c>
      <c r="P353" s="140">
        <f>_xll.qlInterestRateIndexValueDate(IborIndex,O353)</f>
        <v>42626</v>
      </c>
      <c r="Q353" s="141">
        <v>-1.9505686166385594E-3</v>
      </c>
      <c r="R353" s="143">
        <v>-2.0695399847836526E-3</v>
      </c>
    </row>
    <row r="354" spans="14:18" x14ac:dyDescent="0.2">
      <c r="N354" s="139" t="str">
        <f t="shared" si="12"/>
        <v>1D</v>
      </c>
      <c r="O354" s="146">
        <f>_xll.qlCalendarAdvance(Calendar,O353,N354,"f",FALSE)</f>
        <v>42625</v>
      </c>
      <c r="P354" s="140">
        <f>_xll.qlInterestRateIndexValueDate(IborIndex,O354)</f>
        <v>42627</v>
      </c>
      <c r="Q354" s="141">
        <v>-1.9409654589841452E-3</v>
      </c>
      <c r="R354" s="143">
        <v>-2.0509445676841764E-3</v>
      </c>
    </row>
    <row r="355" spans="14:18" x14ac:dyDescent="0.2">
      <c r="N355" s="139" t="str">
        <f t="shared" si="12"/>
        <v>1D</v>
      </c>
      <c r="O355" s="146">
        <f>_xll.qlCalendarAdvance(Calendar,O354,N355,"f",FALSE)</f>
        <v>42626</v>
      </c>
      <c r="P355" s="140">
        <f>_xll.qlInterestRateIndexValueDate(IborIndex,O355)</f>
        <v>42628</v>
      </c>
      <c r="Q355" s="141">
        <v>-1.9215330252266016E-3</v>
      </c>
      <c r="R355" s="143">
        <v>-2.0322844076003932E-3</v>
      </c>
    </row>
    <row r="356" spans="14:18" x14ac:dyDescent="0.2">
      <c r="N356" s="139" t="str">
        <f t="shared" si="12"/>
        <v>1D</v>
      </c>
      <c r="O356" s="146">
        <f>_xll.qlCalendarAdvance(Calendar,O355,N356,"f",FALSE)</f>
        <v>42627</v>
      </c>
      <c r="P356" s="140">
        <f>_xll.qlInterestRateIndexValueDate(IborIndex,O356)</f>
        <v>42629</v>
      </c>
      <c r="Q356" s="141">
        <v>-1.9167696261517837E-3</v>
      </c>
      <c r="R356" s="143">
        <v>-2.022904429566097E-3</v>
      </c>
    </row>
    <row r="357" spans="14:18" x14ac:dyDescent="0.2">
      <c r="N357" s="139" t="str">
        <f t="shared" si="12"/>
        <v>1D</v>
      </c>
      <c r="O357" s="146">
        <f>_xll.qlCalendarAdvance(Calendar,O356,N357,"f",FALSE)</f>
        <v>42628</v>
      </c>
      <c r="P357" s="140">
        <f>_xll.qlInterestRateIndexValueDate(IborIndex,O357)</f>
        <v>42632</v>
      </c>
      <c r="Q357" s="141">
        <v>-1.8925531165638887E-3</v>
      </c>
      <c r="R357" s="143">
        <v>-2.0134980179165041E-3</v>
      </c>
    </row>
    <row r="358" spans="14:18" x14ac:dyDescent="0.2">
      <c r="N358" s="139" t="str">
        <f t="shared" si="12"/>
        <v>1D</v>
      </c>
      <c r="O358" s="146">
        <f>_xll.qlCalendarAdvance(Calendar,O357,N358,"f",FALSE)</f>
        <v>42629</v>
      </c>
      <c r="P358" s="140">
        <f>_xll.qlInterestRateIndexValueDate(IborIndex,O358)</f>
        <v>42633</v>
      </c>
      <c r="Q358" s="141">
        <v>-1.88279133680469E-3</v>
      </c>
      <c r="R358" s="143">
        <v>-2.0040651728514547E-3</v>
      </c>
    </row>
    <row r="359" spans="14:18" x14ac:dyDescent="0.2">
      <c r="N359" s="139" t="str">
        <f t="shared" si="12"/>
        <v>1D</v>
      </c>
      <c r="O359" s="146">
        <f>_xll.qlCalendarAdvance(Calendar,O358,N359,"f",FALSE)</f>
        <v>42632</v>
      </c>
      <c r="P359" s="140">
        <f>_xll.qlInterestRateIndexValueDate(IborIndex,O359)</f>
        <v>42634</v>
      </c>
      <c r="Q359" s="141">
        <v>-1.8730031198010977E-3</v>
      </c>
      <c r="R359" s="143">
        <v>-1.985100424586328E-3</v>
      </c>
    </row>
    <row r="360" spans="14:18" x14ac:dyDescent="0.2">
      <c r="N360" s="139" t="str">
        <f t="shared" si="12"/>
        <v>1D</v>
      </c>
      <c r="O360" s="146">
        <f>_xll.qlCalendarAdvance(Calendar,O359,N360,"f",FALSE)</f>
        <v>42633</v>
      </c>
      <c r="P360" s="140">
        <f>_xll.qlInterestRateIndexValueDate(IborIndex,O360)</f>
        <v>42635</v>
      </c>
      <c r="Q360" s="141">
        <v>-1.8532012817668031E-3</v>
      </c>
      <c r="R360" s="143">
        <v>-1.9660694569978432E-3</v>
      </c>
    </row>
    <row r="361" spans="14:18" x14ac:dyDescent="0.2">
      <c r="N361" s="139" t="str">
        <f t="shared" si="12"/>
        <v>1D</v>
      </c>
      <c r="O361" s="146">
        <f>_xll.qlCalendarAdvance(Calendar,O360,N361,"f",FALSE)</f>
        <v>42634</v>
      </c>
      <c r="P361" s="140">
        <f>_xll.qlInterestRateIndexValueDate(IborIndex,O361)</f>
        <v>42636</v>
      </c>
      <c r="Q361" s="141">
        <v>-1.8483449940907791E-3</v>
      </c>
      <c r="R361" s="143">
        <v>-1.9565044442959589E-3</v>
      </c>
    </row>
    <row r="362" spans="14:18" x14ac:dyDescent="0.2">
      <c r="N362" s="139" t="str">
        <f t="shared" si="12"/>
        <v>1D</v>
      </c>
      <c r="O362" s="146">
        <f>_xll.qlCalendarAdvance(Calendar,O361,N362,"f",FALSE)</f>
        <v>42635</v>
      </c>
      <c r="P362" s="140">
        <f>_xll.qlInterestRateIndexValueDate(IborIndex,O362)</f>
        <v>42639</v>
      </c>
      <c r="Q362" s="141">
        <v>-1.8236654738790214E-3</v>
      </c>
      <c r="R362" s="143">
        <v>-1.946912997898842E-3</v>
      </c>
    </row>
    <row r="363" spans="14:18" x14ac:dyDescent="0.2">
      <c r="N363" s="139" t="str">
        <f t="shared" si="12"/>
        <v>1D</v>
      </c>
      <c r="O363" s="146">
        <f>_xll.qlCalendarAdvance(Calendar,O362,N363,"f",FALSE)</f>
        <v>42636</v>
      </c>
      <c r="P363" s="140">
        <f>_xll.qlInterestRateIndexValueDate(IborIndex,O363)</f>
        <v>42640</v>
      </c>
      <c r="Q363" s="141">
        <v>-1.8137186320554832E-3</v>
      </c>
      <c r="R363" s="143">
        <v>-1.9372951180463005E-3</v>
      </c>
    </row>
    <row r="364" spans="14:18" x14ac:dyDescent="0.2">
      <c r="N364" s="139" t="str">
        <f t="shared" si="12"/>
        <v>1D</v>
      </c>
      <c r="O364" s="146">
        <f>_xll.qlCalendarAdvance(Calendar,O363,N364,"f",FALSE)</f>
        <v>42639</v>
      </c>
      <c r="P364" s="140">
        <f>_xll.qlInterestRateIndexValueDate(IborIndex,O364)</f>
        <v>42641</v>
      </c>
      <c r="Q364" s="141">
        <v>-1.8037453525319158E-3</v>
      </c>
      <c r="R364" s="143">
        <v>-1.9179610282771264E-3</v>
      </c>
    </row>
    <row r="365" spans="14:18" x14ac:dyDescent="0.2">
      <c r="N365" s="139" t="str">
        <f t="shared" si="12"/>
        <v>1D</v>
      </c>
      <c r="O365" s="146">
        <f>_xll.qlCalendarAdvance(Calendar,O364,N365,"f",FALSE)</f>
        <v>42640</v>
      </c>
      <c r="P365" s="140">
        <f>_xll.qlInterestRateIndexValueDate(IborIndex,O365)</f>
        <v>42642</v>
      </c>
      <c r="Q365" s="141">
        <v>-1.7835740907402864E-3</v>
      </c>
      <c r="R365" s="143">
        <v>-1.8985592631626247E-3</v>
      </c>
    </row>
    <row r="366" spans="14:18" x14ac:dyDescent="0.2">
      <c r="N366" s="139" t="str">
        <f t="shared" si="12"/>
        <v>1D</v>
      </c>
      <c r="O366" s="146">
        <f>_xll.qlCalendarAdvance(Calendar,O365,N366,"f",FALSE)</f>
        <v>42641</v>
      </c>
      <c r="P366" s="140">
        <f>_xll.qlInterestRateIndexValueDate(IborIndex,O366)</f>
        <v>42643</v>
      </c>
      <c r="Q366" s="141">
        <v>-1.7786249193721135E-3</v>
      </c>
      <c r="R366" s="143">
        <v>-1.8888092156332803E-3</v>
      </c>
    </row>
    <row r="367" spans="14:18" x14ac:dyDescent="0.2">
      <c r="N367" s="139" t="str">
        <f t="shared" si="12"/>
        <v>1D</v>
      </c>
      <c r="O367" s="146">
        <f>_xll.qlCalendarAdvance(Calendar,O366,N367,"f",FALSE)</f>
        <v>42642</v>
      </c>
      <c r="P367" s="140">
        <f>_xll.qlInterestRateIndexValueDate(IborIndex,O367)</f>
        <v>42646</v>
      </c>
      <c r="Q367" s="141">
        <v>-1.7483483175039264E-3</v>
      </c>
      <c r="R367" s="143">
        <v>-1.8790327344087032E-3</v>
      </c>
    </row>
    <row r="368" spans="14:18" x14ac:dyDescent="0.2">
      <c r="N368" s="139" t="str">
        <f t="shared" si="12"/>
        <v>1D</v>
      </c>
      <c r="O368" s="146">
        <f>_xll.qlCalendarAdvance(Calendar,O367,N368,"f",FALSE)</f>
        <v>42643</v>
      </c>
      <c r="P368" s="140">
        <f>_xll.qlInterestRateIndexValueDate(IborIndex,O368)</f>
        <v>42647</v>
      </c>
      <c r="Q368" s="141">
        <v>-1.7382032403990798E-3</v>
      </c>
      <c r="R368" s="143">
        <v>-1.8692298198486057E-3</v>
      </c>
    </row>
    <row r="369" spans="14:18" x14ac:dyDescent="0.2">
      <c r="N369" s="139" t="str">
        <f t="shared" si="12"/>
        <v>1D</v>
      </c>
      <c r="O369" s="146">
        <f>_xll.qlCalendarAdvance(Calendar,O368,N369,"f",FALSE)</f>
        <v>42646</v>
      </c>
      <c r="P369" s="140">
        <f>_xll.qlInterestRateIndexValueDate(IborIndex,O369)</f>
        <v>42648</v>
      </c>
      <c r="Q369" s="141">
        <v>-1.7176846175027583E-3</v>
      </c>
      <c r="R369" s="143">
        <v>-1.8495263764384262E-3</v>
      </c>
    </row>
    <row r="370" spans="14:18" x14ac:dyDescent="0.2">
      <c r="N370" s="139" t="str">
        <f t="shared" si="12"/>
        <v>1D</v>
      </c>
      <c r="O370" s="146">
        <f>_xll.qlCalendarAdvance(Calendar,O369,N370,"f",FALSE)</f>
        <v>42647</v>
      </c>
      <c r="P370" s="140">
        <f>_xll.qlInterestRateIndexValueDate(IborIndex,O370)</f>
        <v>42649</v>
      </c>
      <c r="Q370" s="141">
        <v>-1.7126514280950411E-3</v>
      </c>
      <c r="R370" s="143">
        <v>-1.8297538254152812E-3</v>
      </c>
    </row>
    <row r="371" spans="14:18" x14ac:dyDescent="0.2">
      <c r="N371" s="139" t="str">
        <f t="shared" si="12"/>
        <v>1D</v>
      </c>
      <c r="O371" s="146">
        <f>_xll.qlCalendarAdvance(Calendar,O370,N371,"f",FALSE)</f>
        <v>42648</v>
      </c>
      <c r="P371" s="140">
        <f>_xll.qlInterestRateIndexValueDate(IborIndex,O371)</f>
        <v>42650</v>
      </c>
      <c r="Q371" s="141">
        <v>-1.7076093786609044E-3</v>
      </c>
      <c r="R371" s="143">
        <v>-1.8198187428186685E-3</v>
      </c>
    </row>
    <row r="372" spans="14:18" x14ac:dyDescent="0.2">
      <c r="N372" s="139" t="str">
        <f t="shared" si="12"/>
        <v>1D</v>
      </c>
      <c r="O372" s="146">
        <f>_xll.qlCalendarAdvance(Calendar,O371,N372,"f",FALSE)</f>
        <v>42649</v>
      </c>
      <c r="P372" s="140">
        <f>_xll.qlInterestRateIndexValueDate(IborIndex,O372)</f>
        <v>42653</v>
      </c>
      <c r="Q372" s="141">
        <v>-1.6767775698323106E-3</v>
      </c>
      <c r="R372" s="143">
        <v>-1.8098572268865354E-3</v>
      </c>
    </row>
    <row r="373" spans="14:18" x14ac:dyDescent="0.2">
      <c r="N373" s="139" t="str">
        <f t="shared" si="12"/>
        <v>1D</v>
      </c>
      <c r="O373" s="146">
        <f>_xll.qlCalendarAdvance(Calendar,O372,N373,"f",FALSE)</f>
        <v>42650</v>
      </c>
      <c r="P373" s="140">
        <f>_xll.qlInterestRateIndexValueDate(IborIndex,O373)</f>
        <v>42654</v>
      </c>
      <c r="Q373" s="141">
        <v>-1.6664474227629494E-3</v>
      </c>
      <c r="R373" s="143">
        <v>-1.7998692771392655E-3</v>
      </c>
    </row>
    <row r="374" spans="14:18" x14ac:dyDescent="0.2">
      <c r="N374" s="139" t="str">
        <f t="shared" si="12"/>
        <v>1D</v>
      </c>
      <c r="O374" s="146">
        <f>_xll.qlCalendarAdvance(Calendar,O373,N374,"f",FALSE)</f>
        <v>42653</v>
      </c>
      <c r="P374" s="140">
        <f>_xll.qlInterestRateIndexValueDate(IborIndex,O374)</f>
        <v>42655</v>
      </c>
      <c r="Q374" s="141">
        <v>-1.645559331474286E-3</v>
      </c>
      <c r="R374" s="143">
        <v>-1.7797964669385991E-3</v>
      </c>
    </row>
    <row r="375" spans="14:18" x14ac:dyDescent="0.2">
      <c r="N375" s="139" t="str">
        <f t="shared" si="12"/>
        <v>1D</v>
      </c>
      <c r="O375" s="146">
        <f>_xll.qlCalendarAdvance(Calendar,O374,N375,"f",FALSE)</f>
        <v>42654</v>
      </c>
      <c r="P375" s="140">
        <f>_xll.qlInterestRateIndexValueDate(IborIndex,O375)</f>
        <v>42656</v>
      </c>
      <c r="Q375" s="141">
        <v>-1.6404332693256696E-3</v>
      </c>
      <c r="R375" s="143">
        <v>-1.7596531429564521E-3</v>
      </c>
    </row>
    <row r="376" spans="14:18" x14ac:dyDescent="0.2">
      <c r="N376" s="139" t="str">
        <f t="shared" si="12"/>
        <v>1D</v>
      </c>
      <c r="O376" s="146">
        <f>_xll.qlCalendarAdvance(Calendar,O375,N376,"f",FALSE)</f>
        <v>42655</v>
      </c>
      <c r="P376" s="140">
        <f>_xll.qlInterestRateIndexValueDate(IborIndex,O376)</f>
        <v>42657</v>
      </c>
      <c r="Q376" s="141">
        <v>-1.6352983481968031E-3</v>
      </c>
      <c r="R376" s="143">
        <v>-1.7495330253725072E-3</v>
      </c>
    </row>
    <row r="377" spans="14:18" x14ac:dyDescent="0.2">
      <c r="N377" s="139" t="str">
        <f t="shared" si="12"/>
        <v>1D</v>
      </c>
      <c r="O377" s="146">
        <f>_xll.qlCalendarAdvance(Calendar,O376,N377,"f",FALSE)</f>
        <v>42656</v>
      </c>
      <c r="P377" s="140">
        <f>_xll.qlInterestRateIndexValueDate(IborIndex,O377)</f>
        <v>42660</v>
      </c>
      <c r="Q377" s="141">
        <v>-1.603911322089605E-3</v>
      </c>
      <c r="R377" s="143">
        <v>-1.7393864742931697E-3</v>
      </c>
    </row>
    <row r="378" spans="14:18" x14ac:dyDescent="0.2">
      <c r="N378" s="139" t="str">
        <f t="shared" si="12"/>
        <v>1D</v>
      </c>
      <c r="O378" s="146">
        <f>_xll.qlCalendarAdvance(Calendar,O377,N378,"f",FALSE)</f>
        <v>42657</v>
      </c>
      <c r="P378" s="140">
        <f>_xll.qlInterestRateIndexValueDate(IborIndex,O378)</f>
        <v>42661</v>
      </c>
      <c r="Q378" s="141">
        <v>-1.5933961016004283E-3</v>
      </c>
      <c r="R378" s="143">
        <v>-1.7292134896385036E-3</v>
      </c>
    </row>
    <row r="379" spans="14:18" x14ac:dyDescent="0.2">
      <c r="N379" s="139" t="str">
        <f t="shared" si="12"/>
        <v>1D</v>
      </c>
      <c r="O379" s="146">
        <f>_xll.qlCalendarAdvance(Calendar,O378,N379,"f",FALSE)</f>
        <v>42660</v>
      </c>
      <c r="P379" s="140">
        <f>_xll.qlInterestRateIndexValueDate(IborIndex,O379)</f>
        <v>42662</v>
      </c>
      <c r="Q379" s="141">
        <v>-1.5721385173706926E-3</v>
      </c>
      <c r="R379" s="143">
        <v>-1.708771297472822E-3</v>
      </c>
    </row>
    <row r="380" spans="14:18" x14ac:dyDescent="0.2">
      <c r="N380" s="139" t="str">
        <f t="shared" si="12"/>
        <v>1D</v>
      </c>
      <c r="O380" s="146">
        <f>_xll.qlCalendarAdvance(Calendar,O379,N380,"f",FALSE)</f>
        <v>42661</v>
      </c>
      <c r="P380" s="140">
        <f>_xll.qlInterestRateIndexValueDate(IborIndex,O380)</f>
        <v>42663</v>
      </c>
      <c r="Q380" s="141">
        <v>-1.5669195894896237E-3</v>
      </c>
      <c r="R380" s="143">
        <v>-1.6882572149867769E-3</v>
      </c>
    </row>
    <row r="381" spans="14:18" x14ac:dyDescent="0.2">
      <c r="N381" s="139" t="str">
        <f t="shared" si="12"/>
        <v>1D</v>
      </c>
      <c r="O381" s="146">
        <f>_xll.qlCalendarAdvance(Calendar,O380,N381,"f",FALSE)</f>
        <v>42662</v>
      </c>
      <c r="P381" s="140">
        <f>_xll.qlInterestRateIndexValueDate(IborIndex,O381)</f>
        <v>42664</v>
      </c>
      <c r="Q381" s="141">
        <v>-1.5616918037733663E-3</v>
      </c>
      <c r="R381" s="143">
        <v>-1.6779520623755317E-3</v>
      </c>
    </row>
    <row r="382" spans="14:18" x14ac:dyDescent="0.2">
      <c r="N382" s="139" t="str">
        <f t="shared" si="12"/>
        <v>1D</v>
      </c>
      <c r="O382" s="146">
        <f>_xll.qlCalendarAdvance(Calendar,O381,N382,"f",FALSE)</f>
        <v>42663</v>
      </c>
      <c r="P382" s="140">
        <f>_xll.qlInterestRateIndexValueDate(IborIndex,O382)</f>
        <v>42667</v>
      </c>
      <c r="Q382" s="141">
        <v>-1.529749549887576E-3</v>
      </c>
      <c r="R382" s="143">
        <v>-1.6676204760690538E-3</v>
      </c>
    </row>
    <row r="383" spans="14:18" x14ac:dyDescent="0.2">
      <c r="N383" s="139" t="str">
        <f t="shared" si="12"/>
        <v>1D</v>
      </c>
      <c r="O383" s="146">
        <f>_xll.qlCalendarAdvance(Calendar,O382,N383,"f",FALSE)</f>
        <v>42664</v>
      </c>
      <c r="P383" s="140">
        <f>_xll.qlInterestRateIndexValueDate(IborIndex,O383)</f>
        <v>42668</v>
      </c>
      <c r="Q383" s="141">
        <v>-1.5190492524613977E-3</v>
      </c>
      <c r="R383" s="143">
        <v>-1.6572624562272154E-3</v>
      </c>
    </row>
    <row r="384" spans="14:18" x14ac:dyDescent="0.2">
      <c r="N384" s="139" t="str">
        <f t="shared" si="12"/>
        <v>1D</v>
      </c>
      <c r="O384" s="146">
        <f>_xll.qlCalendarAdvance(Calendar,O383,N384,"f",FALSE)</f>
        <v>42667</v>
      </c>
      <c r="P384" s="140">
        <f>_xll.qlInterestRateIndexValueDate(IborIndex,O384)</f>
        <v>42669</v>
      </c>
      <c r="Q384" s="141">
        <v>-1.4974221490419866E-3</v>
      </c>
      <c r="R384" s="143">
        <v>-1.6364508657895627E-3</v>
      </c>
    </row>
    <row r="385" spans="14:18" x14ac:dyDescent="0.2">
      <c r="N385" s="139" t="str">
        <f t="shared" si="12"/>
        <v>1D</v>
      </c>
      <c r="O385" s="146">
        <f>_xll.qlCalendarAdvance(Calendar,O384,N385,"f",FALSE)</f>
        <v>42668</v>
      </c>
      <c r="P385" s="140">
        <f>_xll.qlInterestRateIndexValueDate(IborIndex,O385)</f>
        <v>42670</v>
      </c>
      <c r="Q385" s="141">
        <v>-1.4921103631947152E-3</v>
      </c>
      <c r="R385" s="143">
        <v>-1.6155660408267991E-3</v>
      </c>
    </row>
    <row r="386" spans="14:18" x14ac:dyDescent="0.2">
      <c r="N386" s="139" t="str">
        <f t="shared" si="12"/>
        <v>1D</v>
      </c>
      <c r="O386" s="146">
        <f>_xll.qlCalendarAdvance(Calendar,O385,N386,"f",FALSE)</f>
        <v>42669</v>
      </c>
      <c r="P386" s="140">
        <f>_xll.qlInterestRateIndexValueDate(IborIndex,O386)</f>
        <v>42671</v>
      </c>
      <c r="Q386" s="141">
        <v>-1.4867897207689993E-3</v>
      </c>
      <c r="R386" s="143">
        <v>-1.6050758529484455E-3</v>
      </c>
    </row>
    <row r="387" spans="14:18" x14ac:dyDescent="0.2">
      <c r="N387" s="139" t="str">
        <f t="shared" si="12"/>
        <v>1D</v>
      </c>
      <c r="O387" s="146">
        <f>_xll.qlCalendarAdvance(Calendar,O386,N387,"f",FALSE)</f>
        <v>42670</v>
      </c>
      <c r="P387" s="140">
        <f>_xll.qlInterestRateIndexValueDate(IborIndex,O387)</f>
        <v>42674</v>
      </c>
      <c r="Q387" s="141">
        <v>-1.4597951386203789E-3</v>
      </c>
      <c r="R387" s="143">
        <v>-1.5945592314947632E-3</v>
      </c>
    </row>
    <row r="388" spans="14:18" x14ac:dyDescent="0.2">
      <c r="N388" s="139" t="str">
        <f t="shared" si="12"/>
        <v>1D</v>
      </c>
      <c r="O388" s="146">
        <f>_xll.qlCalendarAdvance(Calendar,O387,N388,"f",FALSE)</f>
        <v>42671</v>
      </c>
      <c r="P388" s="140">
        <f>_xll.qlInterestRateIndexValueDate(IborIndex,O388)</f>
        <v>42675</v>
      </c>
      <c r="Q388" s="141">
        <v>-1.4489229369720746E-3</v>
      </c>
      <c r="R388" s="143">
        <v>-1.5840161763058802E-3</v>
      </c>
    </row>
    <row r="389" spans="14:18" x14ac:dyDescent="0.2">
      <c r="N389" s="139" t="str">
        <f t="shared" si="12"/>
        <v>1D</v>
      </c>
      <c r="O389" s="146">
        <f>_xll.qlCalendarAdvance(Calendar,O388,N389,"f",FALSE)</f>
        <v>42674</v>
      </c>
      <c r="P389" s="140">
        <f>_xll.qlInterestRateIndexValueDate(IborIndex,O389)</f>
        <v>42676</v>
      </c>
      <c r="Q389" s="141">
        <v>-1.4380242952110045E-3</v>
      </c>
      <c r="R389" s="143">
        <v>-1.5628351695040621E-3</v>
      </c>
    </row>
    <row r="390" spans="14:18" x14ac:dyDescent="0.2">
      <c r="N390" s="139" t="str">
        <f t="shared" si="12"/>
        <v>1D</v>
      </c>
      <c r="O390" s="146">
        <f>_xll.qlCalendarAdvance(Calendar,O389,N390,"f",FALSE)</f>
        <v>42675</v>
      </c>
      <c r="P390" s="140">
        <f>_xll.qlInterestRateIndexValueDate(IborIndex,O390)</f>
        <v>42677</v>
      </c>
      <c r="Q390" s="141">
        <v>-1.4160055645928704E-3</v>
      </c>
      <c r="R390" s="143">
        <v>-1.5415796196771581E-3</v>
      </c>
    </row>
    <row r="391" spans="14:18" x14ac:dyDescent="0.2">
      <c r="N391" s="139" t="str">
        <f t="shared" si="12"/>
        <v>1D</v>
      </c>
      <c r="O391" s="146">
        <f>_xll.qlCalendarAdvance(Calendar,O390,N391,"f",FALSE)</f>
        <v>42676</v>
      </c>
      <c r="P391" s="140">
        <f>_xll.qlInterestRateIndexValueDate(IborIndex,O391)</f>
        <v>42678</v>
      </c>
      <c r="Q391" s="141">
        <v>-1.4105920741095653E-3</v>
      </c>
      <c r="R391" s="143">
        <v>-1.5309043964117919E-3</v>
      </c>
    </row>
    <row r="392" spans="14:18" x14ac:dyDescent="0.2">
      <c r="N392" s="139" t="str">
        <f t="shared" si="12"/>
        <v>1D</v>
      </c>
      <c r="O392" s="146">
        <f>_xll.qlCalendarAdvance(Calendar,O391,N392,"f",FALSE)</f>
        <v>42677</v>
      </c>
      <c r="P392" s="140">
        <f>_xll.qlInterestRateIndexValueDate(IborIndex,O392)</f>
        <v>42681</v>
      </c>
      <c r="Q392" s="141">
        <v>-1.3831344822321512E-3</v>
      </c>
      <c r="R392" s="143">
        <v>-1.5202027395311291E-3</v>
      </c>
    </row>
    <row r="393" spans="14:18" x14ac:dyDescent="0.2">
      <c r="N393" s="139" t="str">
        <f t="shared" si="12"/>
        <v>1D</v>
      </c>
      <c r="O393" s="146">
        <f>_xll.qlCalendarAdvance(Calendar,O392,N393,"f",FALSE)</f>
        <v>42678</v>
      </c>
      <c r="P393" s="140">
        <f>_xll.qlInterestRateIndexValueDate(IborIndex,O393)</f>
        <v>42682</v>
      </c>
      <c r="Q393" s="141">
        <v>-1.3720771982930202E-3</v>
      </c>
      <c r="R393" s="143">
        <v>-1.5094746491151056E-3</v>
      </c>
    </row>
    <row r="394" spans="14:18" x14ac:dyDescent="0.2">
      <c r="N394" s="139" t="str">
        <f t="shared" si="12"/>
        <v>1D</v>
      </c>
      <c r="O394" s="146">
        <f>_xll.qlCalendarAdvance(Calendar,O393,N394,"f",FALSE)</f>
        <v>42681</v>
      </c>
      <c r="P394" s="140">
        <f>_xll.qlInterestRateIndexValueDate(IborIndex,O394)</f>
        <v>42683</v>
      </c>
      <c r="Q394" s="141">
        <v>-1.3609934737375262E-3</v>
      </c>
      <c r="R394" s="143">
        <v>-1.4879242062582065E-3</v>
      </c>
    </row>
    <row r="395" spans="14:18" x14ac:dyDescent="0.2">
      <c r="N395" s="139" t="str">
        <f t="shared" si="12"/>
        <v>1D</v>
      </c>
      <c r="O395" s="146">
        <f>_xll.qlCalendarAdvance(Calendar,O394,N395,"f",FALSE)</f>
        <v>42682</v>
      </c>
      <c r="P395" s="140">
        <f>_xll.qlInterestRateIndexValueDate(IborIndex,O395)</f>
        <v>42684</v>
      </c>
      <c r="Q395" s="141">
        <v>-1.3386051674026123E-3</v>
      </c>
      <c r="R395" s="143">
        <v>-1.4662979506185891E-3</v>
      </c>
    </row>
    <row r="396" spans="14:18" x14ac:dyDescent="0.2">
      <c r="N396" s="139" t="str">
        <f t="shared" si="12"/>
        <v>1D</v>
      </c>
      <c r="O396" s="146">
        <f>_xll.qlCalendarAdvance(Calendar,O395,N396,"f",FALSE)</f>
        <v>42683</v>
      </c>
      <c r="P396" s="140">
        <f>_xll.qlInterestRateIndexValueDate(IborIndex,O396)</f>
        <v>42685</v>
      </c>
      <c r="Q396" s="141">
        <v>-1.3330988383019086E-3</v>
      </c>
      <c r="R396" s="143">
        <v>-1.4554376920461465E-3</v>
      </c>
    </row>
    <row r="397" spans="14:18" x14ac:dyDescent="0.2">
      <c r="N397" s="139" t="str">
        <f t="shared" si="12"/>
        <v>1D</v>
      </c>
      <c r="O397" s="146">
        <f>_xll.qlCalendarAdvance(Calendar,O396,N397,"f",FALSE)</f>
        <v>42684</v>
      </c>
      <c r="P397" s="140">
        <f>_xll.qlInterestRateIndexValueDate(IborIndex,O397)</f>
        <v>42688</v>
      </c>
      <c r="Q397" s="141">
        <v>-1.305178239112692E-3</v>
      </c>
      <c r="R397" s="143">
        <v>-1.444550999658567E-3</v>
      </c>
    </row>
    <row r="398" spans="14:18" x14ac:dyDescent="0.2">
      <c r="N398" s="139" t="str">
        <f t="shared" si="12"/>
        <v>1D</v>
      </c>
      <c r="O398" s="146">
        <f>_xll.qlCalendarAdvance(Calendar,O397,N398,"f",FALSE)</f>
        <v>42685</v>
      </c>
      <c r="P398" s="140">
        <f>_xll.qlInterestRateIndexValueDate(IborIndex,O398)</f>
        <v>42689</v>
      </c>
      <c r="Q398" s="141">
        <v>-1.2939358693069281E-3</v>
      </c>
      <c r="R398" s="143">
        <v>-1.433637873655691E-3</v>
      </c>
    </row>
    <row r="399" spans="14:18" x14ac:dyDescent="0.2">
      <c r="N399" s="139" t="str">
        <f t="shared" si="12"/>
        <v>1D</v>
      </c>
      <c r="O399" s="146">
        <f>_xll.qlCalendarAdvance(Calendar,O398,N399,"f",FALSE)</f>
        <v>42688</v>
      </c>
      <c r="P399" s="140">
        <f>_xll.qlInterestRateIndexValueDate(IborIndex,O399)</f>
        <v>42690</v>
      </c>
      <c r="Q399" s="141">
        <v>-1.2826670583638844E-3</v>
      </c>
      <c r="R399" s="143">
        <v>-1.4117179735873009E-3</v>
      </c>
    </row>
    <row r="400" spans="14:18" x14ac:dyDescent="0.2">
      <c r="N400" s="139" t="str">
        <f t="shared" si="12"/>
        <v>1D</v>
      </c>
      <c r="O400" s="146">
        <f>_xll.qlCalendarAdvance(Calendar,O399,N400,"f",FALSE)</f>
        <v>42689</v>
      </c>
      <c r="P400" s="140">
        <f>_xll.qlInterestRateIndexValueDate(IborIndex,O400)</f>
        <v>42691</v>
      </c>
      <c r="Q400" s="141">
        <v>-1.2599091448765865E-3</v>
      </c>
      <c r="R400" s="143">
        <v>-1.3897210330915399E-3</v>
      </c>
    </row>
    <row r="401" spans="14:18" x14ac:dyDescent="0.2">
      <c r="N401" s="139" t="str">
        <f t="shared" si="12"/>
        <v>1D</v>
      </c>
      <c r="O401" s="146">
        <f>_xll.qlCalendarAdvance(Calendar,O400,N401,"f",FALSE)</f>
        <v>42690</v>
      </c>
      <c r="P401" s="140">
        <f>_xll.qlInterestRateIndexValueDate(IborIndex,O401)</f>
        <v>42692</v>
      </c>
      <c r="Q401" s="141">
        <v>-1.2543099874080675E-3</v>
      </c>
      <c r="R401" s="143">
        <v>-1.3786757388123405E-3</v>
      </c>
    </row>
    <row r="402" spans="14:18" x14ac:dyDescent="0.2">
      <c r="N402" s="139" t="str">
        <f t="shared" si="12"/>
        <v>1D</v>
      </c>
      <c r="O402" s="146">
        <f>_xll.qlCalendarAdvance(Calendar,O401,N402,"f",FALSE)</f>
        <v>42691</v>
      </c>
      <c r="P402" s="140">
        <f>_xll.qlInterestRateIndexValueDate(IborIndex,O402)</f>
        <v>42695</v>
      </c>
      <c r="Q402" s="141">
        <v>-1.2259263840235235E-3</v>
      </c>
      <c r="R402" s="143">
        <v>-1.3676040109178444E-3</v>
      </c>
    </row>
    <row r="403" spans="14:18" x14ac:dyDescent="0.2">
      <c r="N403" s="139" t="str">
        <f t="shared" si="12"/>
        <v>1D</v>
      </c>
      <c r="O403" s="146">
        <f>_xll.qlCalendarAdvance(Calendar,O402,N403,"f",FALSE)</f>
        <v>42692</v>
      </c>
      <c r="P403" s="140">
        <f>_xll.qlInterestRateIndexValueDate(IborIndex,O403)</f>
        <v>42696</v>
      </c>
      <c r="Q403" s="141">
        <v>-1.21449892470471E-3</v>
      </c>
      <c r="R403" s="143">
        <v>-1.3565058492481796E-3</v>
      </c>
    </row>
    <row r="404" spans="14:18" x14ac:dyDescent="0.2">
      <c r="N404" s="139" t="str">
        <f t="shared" si="12"/>
        <v>1D</v>
      </c>
      <c r="O404" s="146">
        <f>_xll.qlCalendarAdvance(Calendar,O403,N404,"f",FALSE)</f>
        <v>42695</v>
      </c>
      <c r="P404" s="140">
        <f>_xll.qlInterestRateIndexValueDate(IborIndex,O404)</f>
        <v>42697</v>
      </c>
      <c r="Q404" s="141">
        <v>-1.2030450237277002E-3</v>
      </c>
      <c r="R404" s="143">
        <v>-1.3342164690666181E-3</v>
      </c>
    </row>
    <row r="405" spans="14:18" x14ac:dyDescent="0.2">
      <c r="N405" s="139" t="str">
        <f t="shared" ref="N405:N468" si="13">N404</f>
        <v>1D</v>
      </c>
      <c r="O405" s="146">
        <f>_xll.qlCalendarAdvance(Calendar,O404,N405,"f",FALSE)</f>
        <v>42696</v>
      </c>
      <c r="P405" s="140">
        <f>_xll.qlInterestRateIndexValueDate(IborIndex,O405)</f>
        <v>42698</v>
      </c>
      <c r="Q405" s="141">
        <v>-1.1740807018298131E-3</v>
      </c>
      <c r="R405" s="143">
        <v>-1.3118488660968097E-3</v>
      </c>
    </row>
    <row r="406" spans="14:18" x14ac:dyDescent="0.2">
      <c r="N406" s="139" t="str">
        <f t="shared" si="13"/>
        <v>1D</v>
      </c>
      <c r="O406" s="146">
        <f>_xll.qlCalendarAdvance(Calendar,O405,N406,"f",FALSE)</f>
        <v>42697</v>
      </c>
      <c r="P406" s="140">
        <f>_xll.qlInterestRateIndexValueDate(IborIndex,O406)</f>
        <v>42699</v>
      </c>
      <c r="Q406" s="141">
        <v>-1.168384318528809E-3</v>
      </c>
      <c r="R406" s="143">
        <v>-1.3006185360708855E-3</v>
      </c>
    </row>
    <row r="407" spans="14:18" x14ac:dyDescent="0.2">
      <c r="N407" s="139" t="str">
        <f t="shared" si="13"/>
        <v>1D</v>
      </c>
      <c r="O407" s="146">
        <f>_xll.qlCalendarAdvance(Calendar,O406,N407,"f",FALSE)</f>
        <v>42698</v>
      </c>
      <c r="P407" s="140">
        <f>_xll.qlInterestRateIndexValueDate(IborIndex,O407)</f>
        <v>42702</v>
      </c>
      <c r="Q407" s="141">
        <v>-1.1453788912905161E-3</v>
      </c>
      <c r="R407" s="143">
        <v>-1.2893617725096007E-3</v>
      </c>
    </row>
    <row r="408" spans="14:18" x14ac:dyDescent="0.2">
      <c r="N408" s="139" t="str">
        <f t="shared" si="13"/>
        <v>1D</v>
      </c>
      <c r="O408" s="146">
        <f>_xll.qlCalendarAdvance(Calendar,O407,N408,"f",FALSE)</f>
        <v>42699</v>
      </c>
      <c r="P408" s="140">
        <f>_xll.qlInterestRateIndexValueDate(IborIndex,O408)</f>
        <v>42703</v>
      </c>
      <c r="Q408" s="141">
        <v>-1.1337663387602781E-3</v>
      </c>
      <c r="R408" s="143">
        <v>-1.278078575013275E-3</v>
      </c>
    </row>
    <row r="409" spans="14:18" x14ac:dyDescent="0.2">
      <c r="N409" s="139" t="str">
        <f t="shared" si="13"/>
        <v>1D</v>
      </c>
      <c r="O409" s="146">
        <f>_xll.qlCalendarAdvance(Calendar,O408,N409,"f",FALSE)</f>
        <v>42702</v>
      </c>
      <c r="P409" s="140">
        <f>_xll.qlInterestRateIndexValueDate(IborIndex,O409)</f>
        <v>42704</v>
      </c>
      <c r="Q409" s="141">
        <v>-1.1221273440376045E-3</v>
      </c>
      <c r="R409" s="143">
        <v>-1.2554196901781722E-3</v>
      </c>
    </row>
    <row r="410" spans="14:18" x14ac:dyDescent="0.2">
      <c r="N410" s="139" t="str">
        <f t="shared" si="13"/>
        <v>1D</v>
      </c>
      <c r="O410" s="146">
        <f>_xll.qlCalendarAdvance(Calendar,O409,N410,"f",FALSE)</f>
        <v>42703</v>
      </c>
      <c r="P410" s="140">
        <f>_xll.qlInterestRateIndexValueDate(IborIndex,O410)</f>
        <v>42705</v>
      </c>
      <c r="Q410" s="141">
        <v>-1.098630114644561E-3</v>
      </c>
      <c r="R410" s="143">
        <v>-1.2326814487950699E-3</v>
      </c>
    </row>
    <row r="411" spans="14:18" x14ac:dyDescent="0.2">
      <c r="N411" s="139" t="str">
        <f t="shared" si="13"/>
        <v>1D</v>
      </c>
      <c r="O411" s="146">
        <f>_xll.qlCalendarAdvance(Calendar,O410,N411,"f",FALSE)</f>
        <v>42704</v>
      </c>
      <c r="P411" s="140">
        <f>_xll.qlInterestRateIndexValueDate(IborIndex,O411)</f>
        <v>42706</v>
      </c>
      <c r="Q411" s="141">
        <v>-1.0928453344723422E-3</v>
      </c>
      <c r="R411" s="143">
        <v>-1.2212660829824529E-3</v>
      </c>
    </row>
    <row r="412" spans="14:18" x14ac:dyDescent="0.2">
      <c r="N412" s="139" t="str">
        <f t="shared" si="13"/>
        <v>1D</v>
      </c>
      <c r="O412" s="146">
        <f>_xll.qlCalendarAdvance(Calendar,O411,N412,"f",FALSE)</f>
        <v>42705</v>
      </c>
      <c r="P412" s="140">
        <f>_xll.qlInterestRateIndexValueDate(IborIndex,O412)</f>
        <v>42709</v>
      </c>
      <c r="Q412" s="141">
        <v>-1.0575714829191302E-3</v>
      </c>
      <c r="R412" s="143">
        <v>-1.2098242834346351E-3</v>
      </c>
    </row>
    <row r="413" spans="14:18" x14ac:dyDescent="0.2">
      <c r="N413" s="139" t="str">
        <f t="shared" si="13"/>
        <v>1D</v>
      </c>
      <c r="O413" s="146">
        <f>_xll.qlCalendarAdvance(Calendar,O412,N413,"f",FALSE)</f>
        <v>42706</v>
      </c>
      <c r="P413" s="140">
        <f>_xll.qlInterestRateIndexValueDate(IborIndex,O413)</f>
        <v>42710</v>
      </c>
      <c r="Q413" s="141">
        <v>-1.0277756569774517E-3</v>
      </c>
      <c r="R413" s="143">
        <v>-1.1983560502715207E-3</v>
      </c>
    </row>
    <row r="414" spans="14:18" x14ac:dyDescent="0.2">
      <c r="N414" s="139" t="str">
        <f t="shared" si="13"/>
        <v>1D</v>
      </c>
      <c r="O414" s="146">
        <f>_xll.qlCalendarAdvance(Calendar,O413,N414,"f",FALSE)</f>
        <v>42709</v>
      </c>
      <c r="P414" s="140">
        <f>_xll.qlInterestRateIndexValueDate(IborIndex,O414)</f>
        <v>42711</v>
      </c>
      <c r="Q414" s="141">
        <v>-1.02191577748661E-3</v>
      </c>
      <c r="R414" s="143">
        <v>-1.1753276343506869E-3</v>
      </c>
    </row>
    <row r="415" spans="14:18" x14ac:dyDescent="0.2">
      <c r="N415" s="139" t="str">
        <f t="shared" si="13"/>
        <v>1D</v>
      </c>
      <c r="O415" s="146">
        <f>_xll.qlCalendarAdvance(Calendar,O414,N415,"f",FALSE)</f>
        <v>42710</v>
      </c>
      <c r="P415" s="140">
        <f>_xll.qlInterestRateIndexValueDate(IborIndex,O415)</f>
        <v>42712</v>
      </c>
      <c r="Q415" s="141">
        <v>-1.016047051226876E-3</v>
      </c>
      <c r="R415" s="143">
        <v>-1.1522187803070238E-3</v>
      </c>
    </row>
    <row r="416" spans="14:18" x14ac:dyDescent="0.2">
      <c r="N416" s="139" t="str">
        <f t="shared" si="13"/>
        <v>1D</v>
      </c>
      <c r="O416" s="146">
        <f>_xll.qlCalendarAdvance(Calendar,O415,N416,"f",FALSE)</f>
        <v>42711</v>
      </c>
      <c r="P416" s="140">
        <f>_xll.qlInterestRateIndexValueDate(IborIndex,O416)</f>
        <v>42713</v>
      </c>
      <c r="Q416" s="141">
        <v>-1.010169478393683E-3</v>
      </c>
      <c r="R416" s="143">
        <v>-1.1406183785078738E-3</v>
      </c>
    </row>
    <row r="417" spans="14:18" x14ac:dyDescent="0.2">
      <c r="N417" s="139" t="str">
        <f t="shared" si="13"/>
        <v>1D</v>
      </c>
      <c r="O417" s="146">
        <f>_xll.qlCalendarAdvance(Calendar,O416,N417,"f",FALSE)</f>
        <v>42712</v>
      </c>
      <c r="P417" s="140">
        <f>_xll.qlInterestRateIndexValueDate(IborIndex,O417)</f>
        <v>42716</v>
      </c>
      <c r="Q417" s="141">
        <v>-9.7434032033001888E-4</v>
      </c>
      <c r="R417" s="143">
        <v>-1.1289915431333952E-3</v>
      </c>
    </row>
    <row r="418" spans="14:18" x14ac:dyDescent="0.2">
      <c r="N418" s="139" t="str">
        <f t="shared" si="13"/>
        <v>1D</v>
      </c>
      <c r="O418" s="146">
        <f>_xll.qlCalendarAdvance(Calendar,O417,N418,"f",FALSE)</f>
        <v>42713</v>
      </c>
      <c r="P418" s="140">
        <f>_xll.qlInterestRateIndexValueDate(IborIndex,O418)</f>
        <v>42717</v>
      </c>
      <c r="Q418" s="141">
        <v>-9.6234438060329645E-4</v>
      </c>
      <c r="R418" s="143">
        <v>-1.1173382739038118E-3</v>
      </c>
    </row>
    <row r="419" spans="14:18" x14ac:dyDescent="0.2">
      <c r="N419" s="139" t="str">
        <f t="shared" si="13"/>
        <v>1D</v>
      </c>
      <c r="O419" s="146">
        <f>_xll.qlCalendarAdvance(Calendar,O418,N419,"f",FALSE)</f>
        <v>42716</v>
      </c>
      <c r="P419" s="140">
        <f>_xll.qlInterestRateIndexValueDate(IborIndex,O419)</f>
        <v>42718</v>
      </c>
      <c r="Q419" s="141">
        <v>-9.3812975845955753E-4</v>
      </c>
      <c r="R419" s="143">
        <v>-1.0939402990128855E-3</v>
      </c>
    </row>
    <row r="420" spans="14:18" x14ac:dyDescent="0.2">
      <c r="N420" s="139" t="str">
        <f t="shared" si="13"/>
        <v>1D</v>
      </c>
      <c r="O420" s="146">
        <f>_xll.qlCalendarAdvance(Calendar,O419,N420,"f",FALSE)</f>
        <v>42717</v>
      </c>
      <c r="P420" s="140">
        <f>_xll.qlInterestRateIndexValueDate(IborIndex,O420)</f>
        <v>42719</v>
      </c>
      <c r="Q420" s="141">
        <v>-9.3216825104880385E-4</v>
      </c>
      <c r="R420" s="143">
        <v>-1.070460859873279E-3</v>
      </c>
    </row>
    <row r="421" spans="14:18" x14ac:dyDescent="0.2">
      <c r="N421" s="139" t="str">
        <f t="shared" si="13"/>
        <v>1D</v>
      </c>
      <c r="O421" s="146">
        <f>_xll.qlCalendarAdvance(Calendar,O420,N421,"f",FALSE)</f>
        <v>42718</v>
      </c>
      <c r="P421" s="140">
        <f>_xll.qlInterestRateIndexValueDate(IborIndex,O421)</f>
        <v>42720</v>
      </c>
      <c r="Q421" s="141">
        <v>-9.2619789916173565E-4</v>
      </c>
      <c r="R421" s="143">
        <v>-1.058675422047628E-3</v>
      </c>
    </row>
    <row r="422" spans="14:18" x14ac:dyDescent="0.2">
      <c r="N422" s="139" t="str">
        <f t="shared" si="13"/>
        <v>1D</v>
      </c>
      <c r="O422" s="146">
        <f>_xll.qlCalendarAdvance(Calendar,O421,N422,"f",FALSE)</f>
        <v>42719</v>
      </c>
      <c r="P422" s="140">
        <f>_xll.qlInterestRateIndexValueDate(IborIndex,O422)</f>
        <v>42723</v>
      </c>
      <c r="Q422" s="141">
        <v>-8.898134225997894E-4</v>
      </c>
      <c r="R422" s="143">
        <v>-1.0468635504468082E-3</v>
      </c>
    </row>
    <row r="423" spans="14:18" x14ac:dyDescent="0.2">
      <c r="N423" s="139" t="str">
        <f t="shared" si="13"/>
        <v>1D</v>
      </c>
      <c r="O423" s="146">
        <f>_xll.qlCalendarAdvance(Calendar,O422,N423,"f",FALSE)</f>
        <v>42720</v>
      </c>
      <c r="P423" s="140">
        <f>_xll.qlInterestRateIndexValueDate(IborIndex,O423)</f>
        <v>42724</v>
      </c>
      <c r="Q423" s="141">
        <v>-8.7763237555391689E-4</v>
      </c>
      <c r="R423" s="143">
        <v>-1.0350252451907238E-3</v>
      </c>
    </row>
    <row r="424" spans="14:18" x14ac:dyDescent="0.2">
      <c r="N424" s="139" t="str">
        <f t="shared" si="13"/>
        <v>1D</v>
      </c>
      <c r="O424" s="146">
        <f>_xll.qlCalendarAdvance(Calendar,O423,N424,"f",FALSE)</f>
        <v>42723</v>
      </c>
      <c r="P424" s="140">
        <f>_xll.qlInterestRateIndexValueDate(IborIndex,O424)</f>
        <v>42725</v>
      </c>
      <c r="Q424" s="141">
        <v>-8.5304795934200558E-4</v>
      </c>
      <c r="R424" s="143">
        <v>-1.0052931025028577E-3</v>
      </c>
    </row>
    <row r="425" spans="14:18" x14ac:dyDescent="0.2">
      <c r="N425" s="139" t="str">
        <f t="shared" si="13"/>
        <v>1D</v>
      </c>
      <c r="O425" s="146">
        <f>_xll.qlCalendarAdvance(Calendar,O424,N425,"f",FALSE)</f>
        <v>42724</v>
      </c>
      <c r="P425" s="140">
        <f>_xll.qlInterestRateIndexValueDate(IborIndex,O425)</f>
        <v>42726</v>
      </c>
      <c r="Q425" s="141">
        <v>-8.4699368513851958E-4</v>
      </c>
      <c r="R425" s="143">
        <v>-9.7543721252257853E-4</v>
      </c>
    </row>
    <row r="426" spans="14:18" x14ac:dyDescent="0.2">
      <c r="N426" s="139" t="str">
        <f t="shared" si="13"/>
        <v>1D</v>
      </c>
      <c r="O426" s="146">
        <f>_xll.qlCalendarAdvance(Calendar,O425,N426,"f",FALSE)</f>
        <v>42725</v>
      </c>
      <c r="P426" s="140">
        <f>_xll.qlInterestRateIndexValueDate(IborIndex,O426)</f>
        <v>42727</v>
      </c>
      <c r="Q426" s="141">
        <v>-8.4093056867768701E-4</v>
      </c>
      <c r="R426" s="143">
        <v>-9.6344030469541764E-4</v>
      </c>
    </row>
    <row r="427" spans="14:18" x14ac:dyDescent="0.2">
      <c r="N427" s="139" t="str">
        <f t="shared" si="13"/>
        <v>1D</v>
      </c>
      <c r="O427" s="146">
        <f>_xll.qlCalendarAdvance(Calendar,O426,N427,"f",FALSE)</f>
        <v>42726</v>
      </c>
      <c r="P427" s="140">
        <f>_xll.qlInterestRateIndexValueDate(IborIndex,O427)</f>
        <v>42731</v>
      </c>
      <c r="Q427" s="141">
        <v>-7.9162460299834092E-4</v>
      </c>
      <c r="R427" s="143">
        <v>-9.5141696313305602E-4</v>
      </c>
    </row>
    <row r="428" spans="14:18" x14ac:dyDescent="0.2">
      <c r="N428" s="139" t="str">
        <f t="shared" si="13"/>
        <v>1D</v>
      </c>
      <c r="O428" s="146">
        <f>_xll.qlCalendarAdvance(Calendar,O427,N428,"f",FALSE)</f>
        <v>42727</v>
      </c>
      <c r="P428" s="140">
        <f>_xll.qlInterestRateIndexValueDate(IborIndex,O428)</f>
        <v>42732</v>
      </c>
      <c r="Q428" s="141">
        <v>-7.6667034982728802E-4</v>
      </c>
      <c r="R428" s="143">
        <v>-9.2727977918816151E-4</v>
      </c>
    </row>
    <row r="429" spans="14:18" x14ac:dyDescent="0.2">
      <c r="N429" s="139" t="str">
        <f t="shared" si="13"/>
        <v>1D</v>
      </c>
      <c r="O429" s="146">
        <f>_xll.qlCalendarAdvance(Calendar,O428,N429,"f",FALSE)</f>
        <v>42731</v>
      </c>
      <c r="P429" s="140">
        <f>_xll.qlInterestRateIndexValueDate(IborIndex,O429)</f>
        <v>42733</v>
      </c>
      <c r="Q429" s="141">
        <v>-7.6052332406831291E-4</v>
      </c>
      <c r="R429" s="143">
        <v>-9.0305925937173015E-4</v>
      </c>
    </row>
    <row r="430" spans="14:18" x14ac:dyDescent="0.2">
      <c r="N430" s="139" t="str">
        <f t="shared" si="13"/>
        <v>1D</v>
      </c>
      <c r="O430" s="146">
        <f>_xll.qlCalendarAdvance(Calendar,O429,N430,"f",FALSE)</f>
        <v>42732</v>
      </c>
      <c r="P430" s="140">
        <f>_xll.qlInterestRateIndexValueDate(IborIndex,O430)</f>
        <v>42734</v>
      </c>
      <c r="Q430" s="141">
        <v>-7.4806463441212667E-4</v>
      </c>
      <c r="R430" s="143">
        <v>-8.9090374901346081E-4</v>
      </c>
    </row>
    <row r="431" spans="14:18" x14ac:dyDescent="0.2">
      <c r="N431" s="139" t="str">
        <f t="shared" si="13"/>
        <v>1D</v>
      </c>
      <c r="O431" s="146">
        <f>_xll.qlCalendarAdvance(Calendar,O430,N431,"f",FALSE)</f>
        <v>42733</v>
      </c>
      <c r="P431" s="140">
        <f>_xll.qlInterestRateIndexValueDate(IborIndex,O431)</f>
        <v>42737</v>
      </c>
      <c r="Q431" s="141">
        <v>-7.1687230812941729E-4</v>
      </c>
      <c r="R431" s="143">
        <v>-8.7872180491999075E-4</v>
      </c>
    </row>
    <row r="432" spans="14:18" x14ac:dyDescent="0.2">
      <c r="N432" s="139" t="str">
        <f t="shared" si="13"/>
        <v>1D</v>
      </c>
      <c r="O432" s="146">
        <f>_xll.qlCalendarAdvance(Calendar,O431,N432,"f",FALSE)</f>
        <v>42734</v>
      </c>
      <c r="P432" s="140">
        <f>_xll.qlInterestRateIndexValueDate(IborIndex,O432)</f>
        <v>42738</v>
      </c>
      <c r="Q432" s="141">
        <v>-7.0432103415185218E-4</v>
      </c>
      <c r="R432" s="143">
        <v>-8.4813177870790568E-4</v>
      </c>
    </row>
    <row r="433" spans="14:18" x14ac:dyDescent="0.2">
      <c r="N433" s="139" t="str">
        <f t="shared" si="13"/>
        <v>1D</v>
      </c>
      <c r="O433" s="146">
        <f>_xll.qlCalendarAdvance(Calendar,O432,N433,"f",FALSE)</f>
        <v>42737</v>
      </c>
      <c r="P433" s="140">
        <f>_xll.qlInterestRateIndexValueDate(IborIndex,O433)</f>
        <v>42739</v>
      </c>
      <c r="Q433" s="141">
        <v>-6.7899689914850052E-4</v>
      </c>
      <c r="R433" s="143">
        <v>-8.1741557758530092E-4</v>
      </c>
    </row>
    <row r="434" spans="14:18" x14ac:dyDescent="0.2">
      <c r="N434" s="139" t="str">
        <f t="shared" si="13"/>
        <v>1D</v>
      </c>
      <c r="O434" s="146">
        <f>_xll.qlCalendarAdvance(Calendar,O433,N434,"f",FALSE)</f>
        <v>42738</v>
      </c>
      <c r="P434" s="140">
        <f>_xll.qlInterestRateIndexValueDate(IborIndex,O434)</f>
        <v>42740</v>
      </c>
      <c r="Q434" s="141">
        <v>-6.7275713797082526E-4</v>
      </c>
      <c r="R434" s="143">
        <v>-8.0507503072091424E-4</v>
      </c>
    </row>
    <row r="435" spans="14:18" x14ac:dyDescent="0.2">
      <c r="N435" s="139" t="str">
        <f t="shared" si="13"/>
        <v>1D</v>
      </c>
      <c r="O435" s="146">
        <f>_xll.qlCalendarAdvance(Calendar,O434,N435,"f",FALSE)</f>
        <v>42739</v>
      </c>
      <c r="P435" s="140">
        <f>_xll.qlInterestRateIndexValueDate(IborIndex,O435)</f>
        <v>42744</v>
      </c>
      <c r="Q435" s="141">
        <v>-6.2845803350912216E-4</v>
      </c>
      <c r="R435" s="143">
        <v>-7.9270805008135881E-4</v>
      </c>
    </row>
    <row r="436" spans="14:18" x14ac:dyDescent="0.2">
      <c r="N436" s="139" t="str">
        <f t="shared" si="13"/>
        <v>1D</v>
      </c>
      <c r="O436" s="146">
        <f>_xll.qlCalendarAdvance(Calendar,O435,N436,"f",FALSE)</f>
        <v>42740</v>
      </c>
      <c r="P436" s="140">
        <f>_xll.qlInterestRateIndexValueDate(IborIndex,O436)</f>
        <v>42745</v>
      </c>
      <c r="Q436" s="141">
        <v>-6.1572163979782145E-4</v>
      </c>
      <c r="R436" s="143">
        <v>-7.8031463566663462E-4</v>
      </c>
    </row>
    <row r="437" spans="14:18" x14ac:dyDescent="0.2">
      <c r="N437" s="139" t="str">
        <f t="shared" si="13"/>
        <v>1D</v>
      </c>
      <c r="O437" s="146">
        <f>_xll.qlCalendarAdvance(Calendar,O436,N437,"f",FALSE)</f>
        <v>42744</v>
      </c>
      <c r="P437" s="140">
        <f>_xll.qlInterestRateIndexValueDate(IborIndex,O437)</f>
        <v>42746</v>
      </c>
      <c r="Q437" s="141">
        <v>-5.9002757605912273E-4</v>
      </c>
      <c r="R437" s="143">
        <v>-7.5543810913458742E-4</v>
      </c>
    </row>
    <row r="438" spans="14:18" x14ac:dyDescent="0.2">
      <c r="N438" s="139" t="str">
        <f t="shared" si="13"/>
        <v>1D</v>
      </c>
      <c r="O438" s="146">
        <f>_xll.qlCalendarAdvance(Calendar,O437,N438,"f",FALSE)</f>
        <v>42745</v>
      </c>
      <c r="P438" s="140">
        <f>_xll.qlInterestRateIndexValueDate(IborIndex,O438)</f>
        <v>42747</v>
      </c>
      <c r="Q438" s="141">
        <v>-5.8369509652281271E-4</v>
      </c>
      <c r="R438" s="143">
        <v>-7.3047664013614622E-4</v>
      </c>
    </row>
    <row r="439" spans="14:18" x14ac:dyDescent="0.2">
      <c r="N439" s="139" t="str">
        <f t="shared" si="13"/>
        <v>1D</v>
      </c>
      <c r="O439" s="146">
        <f>_xll.qlCalendarAdvance(Calendar,O438,N439,"f",FALSE)</f>
        <v>42746</v>
      </c>
      <c r="P439" s="140">
        <f>_xll.qlInterestRateIndexValueDate(IborIndex,O439)</f>
        <v>42748</v>
      </c>
      <c r="Q439" s="141">
        <v>-5.7735378218164287E-4</v>
      </c>
      <c r="R439" s="143">
        <v>-7.1795105668570613E-4</v>
      </c>
    </row>
    <row r="440" spans="14:18" x14ac:dyDescent="0.2">
      <c r="N440" s="139" t="str">
        <f t="shared" si="13"/>
        <v>1D</v>
      </c>
      <c r="O440" s="146">
        <f>_xll.qlCalendarAdvance(Calendar,O439,N440,"f",FALSE)</f>
        <v>42747</v>
      </c>
      <c r="P440" s="140">
        <f>_xll.qlInterestRateIndexValueDate(IborIndex,O440)</f>
        <v>42751</v>
      </c>
      <c r="Q440" s="141">
        <v>-5.3874790799771891E-4</v>
      </c>
      <c r="R440" s="143">
        <v>-7.0539903942012927E-4</v>
      </c>
    </row>
    <row r="441" spans="14:18" x14ac:dyDescent="0.2">
      <c r="N441" s="139" t="str">
        <f t="shared" si="13"/>
        <v>1D</v>
      </c>
      <c r="O441" s="146">
        <f>_xll.qlCalendarAdvance(Calendar,O440,N441,"f",FALSE)</f>
        <v>42748</v>
      </c>
      <c r="P441" s="140">
        <f>_xll.qlInterestRateIndexValueDate(IborIndex,O441)</f>
        <v>42752</v>
      </c>
      <c r="Q441" s="141">
        <v>-5.2582639028641773E-4</v>
      </c>
      <c r="R441" s="143">
        <v>-6.9282058841935168E-4</v>
      </c>
    </row>
    <row r="442" spans="14:18" x14ac:dyDescent="0.2">
      <c r="N442" s="139" t="str">
        <f t="shared" si="13"/>
        <v>1D</v>
      </c>
      <c r="O442" s="146">
        <f>_xll.qlCalendarAdvance(Calendar,O441,N442,"f",FALSE)</f>
        <v>42751</v>
      </c>
      <c r="P442" s="140">
        <f>_xll.qlInterestRateIndexValueDate(IborIndex,O442)</f>
        <v>42753</v>
      </c>
      <c r="Q442" s="141">
        <v>-4.9976234887177452E-4</v>
      </c>
      <c r="R442" s="143">
        <v>-6.6757433582420589E-4</v>
      </c>
    </row>
    <row r="443" spans="14:18" x14ac:dyDescent="0.2">
      <c r="N443" s="139" t="str">
        <f t="shared" si="13"/>
        <v>1D</v>
      </c>
      <c r="O443" s="146">
        <f>_xll.qlCalendarAdvance(Calendar,O442,N443,"f",FALSE)</f>
        <v>42752</v>
      </c>
      <c r="P443" s="140">
        <f>_xll.qlInterestRateIndexValueDate(IborIndex,O443)</f>
        <v>42754</v>
      </c>
      <c r="Q443" s="141">
        <v>-4.9333716895763602E-4</v>
      </c>
      <c r="R443" s="143">
        <v>-6.4224244614496939E-4</v>
      </c>
    </row>
    <row r="444" spans="14:18" x14ac:dyDescent="0.2">
      <c r="N444" s="139" t="str">
        <f t="shared" si="13"/>
        <v>1D</v>
      </c>
      <c r="O444" s="146">
        <f>_xll.qlCalendarAdvance(Calendar,O443,N444,"f",FALSE)</f>
        <v>42753</v>
      </c>
      <c r="P444" s="140">
        <f>_xll.qlInterestRateIndexValueDate(IborIndex,O444)</f>
        <v>42755</v>
      </c>
      <c r="Q444" s="141">
        <v>-4.8690315698931132E-4</v>
      </c>
      <c r="R444" s="143">
        <v>-6.295318259486038E-4</v>
      </c>
    </row>
    <row r="445" spans="14:18" x14ac:dyDescent="0.2">
      <c r="N445" s="139" t="str">
        <f t="shared" si="13"/>
        <v>1D</v>
      </c>
      <c r="O445" s="146">
        <f>_xll.qlCalendarAdvance(Calendar,O444,N445,"f",FALSE)</f>
        <v>42754</v>
      </c>
      <c r="P445" s="140">
        <f>_xll.qlInterestRateIndexValueDate(IborIndex,O445)</f>
        <v>42758</v>
      </c>
      <c r="Q445" s="141">
        <v>-4.4774190156503561E-4</v>
      </c>
      <c r="R445" s="143">
        <v>-6.1679477197706944E-4</v>
      </c>
    </row>
    <row r="446" spans="14:18" x14ac:dyDescent="0.2">
      <c r="N446" s="139" t="str">
        <f t="shared" si="13"/>
        <v>1D</v>
      </c>
      <c r="O446" s="146">
        <f>_xll.qlCalendarAdvance(Calendar,O445,N446,"f",FALSE)</f>
        <v>42755</v>
      </c>
      <c r="P446" s="140">
        <f>_xll.qlInterestRateIndexValueDate(IborIndex,O446)</f>
        <v>42759</v>
      </c>
      <c r="Q446" s="141">
        <v>-4.3463525553331895E-4</v>
      </c>
      <c r="R446" s="143">
        <v>-6.0403128411046225E-4</v>
      </c>
    </row>
    <row r="447" spans="14:18" x14ac:dyDescent="0.2">
      <c r="N447" s="139" t="str">
        <f t="shared" si="13"/>
        <v>1D</v>
      </c>
      <c r="O447" s="146">
        <f>_xll.qlCalendarAdvance(Calendar,O446,N447,"f",FALSE)</f>
        <v>42758</v>
      </c>
      <c r="P447" s="140">
        <f>_xll.qlInterestRateIndexValueDate(IborIndex,O447)</f>
        <v>42760</v>
      </c>
      <c r="Q447" s="141">
        <v>-4.0820118542793762E-4</v>
      </c>
      <c r="R447" s="143">
        <v>-5.7841526656332576E-4</v>
      </c>
    </row>
    <row r="448" spans="14:18" x14ac:dyDescent="0.2">
      <c r="N448" s="139" t="str">
        <f t="shared" si="13"/>
        <v>1D</v>
      </c>
      <c r="O448" s="146">
        <f>_xll.qlCalendarAdvance(Calendar,O447,N448,"f",FALSE)</f>
        <v>42759</v>
      </c>
      <c r="P448" s="140">
        <f>_xll.qlInterestRateIndexValueDate(IborIndex,O448)</f>
        <v>42761</v>
      </c>
      <c r="Q448" s="141">
        <v>-4.0168332406026463E-4</v>
      </c>
      <c r="R448" s="143">
        <v>-5.527129945726017E-4</v>
      </c>
    </row>
    <row r="449" spans="14:18" x14ac:dyDescent="0.2">
      <c r="N449" s="139" t="str">
        <f t="shared" si="13"/>
        <v>1D</v>
      </c>
      <c r="O449" s="146">
        <f>_xll.qlCalendarAdvance(Calendar,O448,N449,"f",FALSE)</f>
        <v>42760</v>
      </c>
      <c r="P449" s="140">
        <f>_xll.qlInterestRateIndexValueDate(IborIndex,O449)</f>
        <v>42762</v>
      </c>
      <c r="Q449" s="141">
        <v>-3.951566335308644E-4</v>
      </c>
      <c r="R449" s="143">
        <v>-5.3981733755037453E-4</v>
      </c>
    </row>
    <row r="450" spans="14:18" x14ac:dyDescent="0.2">
      <c r="N450" s="139" t="str">
        <f t="shared" si="13"/>
        <v>1D</v>
      </c>
      <c r="O450" s="146">
        <f>_xll.qlCalendarAdvance(Calendar,O449,N450,"f",FALSE)</f>
        <v>42761</v>
      </c>
      <c r="P450" s="140">
        <f>_xll.qlInterestRateIndexValueDate(IborIndex,O450)</f>
        <v>42765</v>
      </c>
      <c r="Q450" s="141">
        <v>-3.6883785552535862E-4</v>
      </c>
      <c r="R450" s="143">
        <v>-5.2689524667304255E-4</v>
      </c>
    </row>
    <row r="451" spans="14:18" x14ac:dyDescent="0.2">
      <c r="N451" s="139" t="str">
        <f t="shared" si="13"/>
        <v>1D</v>
      </c>
      <c r="O451" s="146">
        <f>_xll.qlCalendarAdvance(Calendar,O450,N451,"f",FALSE)</f>
        <v>42762</v>
      </c>
      <c r="P451" s="140">
        <f>_xll.qlInterestRateIndexValueDate(IborIndex,O451)</f>
        <v>42766</v>
      </c>
      <c r="Q451" s="141">
        <v>-3.6227144247447107E-4</v>
      </c>
      <c r="R451" s="143">
        <v>-5.1394672194060576E-4</v>
      </c>
    </row>
    <row r="452" spans="14:18" x14ac:dyDescent="0.2">
      <c r="N452" s="139" t="str">
        <f t="shared" si="13"/>
        <v>1D</v>
      </c>
      <c r="O452" s="146">
        <f>_xll.qlCalendarAdvance(Calendar,O451,N452,"f",FALSE)</f>
        <v>42765</v>
      </c>
      <c r="P452" s="140">
        <f>_xll.qlInterestRateIndexValueDate(IborIndex,O452)</f>
        <v>42767</v>
      </c>
      <c r="Q452" s="141">
        <v>-3.4899284851722508E-4</v>
      </c>
      <c r="R452" s="143">
        <v>-4.8796089846092627E-4</v>
      </c>
    </row>
    <row r="453" spans="14:18" x14ac:dyDescent="0.2">
      <c r="N453" s="139" t="str">
        <f t="shared" si="13"/>
        <v>1D</v>
      </c>
      <c r="O453" s="146">
        <f>_xll.qlCalendarAdvance(Calendar,O452,N453,"f",FALSE)</f>
        <v>42766</v>
      </c>
      <c r="P453" s="140">
        <f>_xll.qlInterestRateIndexValueDate(IborIndex,O453)</f>
        <v>42768</v>
      </c>
      <c r="Q453" s="141">
        <v>-3.356878081106629E-4</v>
      </c>
      <c r="R453" s="143">
        <v>-4.6188828453974651E-4</v>
      </c>
    </row>
    <row r="454" spans="14:18" x14ac:dyDescent="0.2">
      <c r="N454" s="139" t="str">
        <f t="shared" si="13"/>
        <v>1D</v>
      </c>
      <c r="O454" s="146">
        <f>_xll.qlCalendarAdvance(Calendar,O453,N454,"f",FALSE)</f>
        <v>42767</v>
      </c>
      <c r="P454" s="140">
        <f>_xll.qlInterestRateIndexValueDate(IborIndex,O454)</f>
        <v>42769</v>
      </c>
      <c r="Q454" s="141">
        <v>-3.2235632117342102E-4</v>
      </c>
      <c r="R454" s="143">
        <v>-4.4880759057175368E-4</v>
      </c>
    </row>
    <row r="455" spans="14:18" x14ac:dyDescent="0.2">
      <c r="N455" s="139" t="str">
        <f t="shared" si="13"/>
        <v>1D</v>
      </c>
      <c r="O455" s="146">
        <f>_xll.qlCalendarAdvance(Calendar,O454,N455,"f",FALSE)</f>
        <v>42768</v>
      </c>
      <c r="P455" s="140">
        <f>_xll.qlInterestRateIndexValueDate(IborIndex,O455)</f>
        <v>42772</v>
      </c>
      <c r="Q455" s="141">
        <v>-2.8220318033971611E-4</v>
      </c>
      <c r="R455" s="143">
        <v>-4.3570046258878392E-4</v>
      </c>
    </row>
    <row r="456" spans="14:18" x14ac:dyDescent="0.2">
      <c r="N456" s="139" t="str">
        <f t="shared" si="13"/>
        <v>1D</v>
      </c>
      <c r="O456" s="146">
        <f>_xll.qlCalendarAdvance(Calendar,O455,N456,"f",FALSE)</f>
        <v>42769</v>
      </c>
      <c r="P456" s="140">
        <f>_xll.qlInterestRateIndexValueDate(IborIndex,O456)</f>
        <v>42773</v>
      </c>
      <c r="Q456" s="141">
        <v>-2.6876590644899141E-4</v>
      </c>
      <c r="R456" s="143">
        <v>-4.2256690091058147E-4</v>
      </c>
    </row>
    <row r="457" spans="14:18" x14ac:dyDescent="0.2">
      <c r="N457" s="139" t="str">
        <f t="shared" si="13"/>
        <v>1D</v>
      </c>
      <c r="O457" s="146">
        <f>_xll.qlCalendarAdvance(Calendar,O456,N457,"f",FALSE)</f>
        <v>42772</v>
      </c>
      <c r="P457" s="140">
        <f>_xll.qlInterestRateIndexValueDate(IborIndex,O457)</f>
        <v>42774</v>
      </c>
      <c r="Q457" s="141">
        <v>-2.5530218561220508E-4</v>
      </c>
      <c r="R457" s="143">
        <v>-3.9621122857269597E-4</v>
      </c>
    </row>
    <row r="458" spans="14:18" x14ac:dyDescent="0.2">
      <c r="N458" s="139" t="str">
        <f t="shared" si="13"/>
        <v>1D</v>
      </c>
      <c r="O458" s="146">
        <f>_xll.qlCalendarAdvance(Calendar,O457,N458,"f",FALSE)</f>
        <v>42773</v>
      </c>
      <c r="P458" s="140">
        <f>_xll.qlInterestRateIndexValueDate(IborIndex,O458)</f>
        <v>42775</v>
      </c>
      <c r="Q458" s="141">
        <v>-2.4181201775227583E-4</v>
      </c>
      <c r="R458" s="143">
        <v>-3.6976831504720309E-4</v>
      </c>
    </row>
    <row r="459" spans="14:18" x14ac:dyDescent="0.2">
      <c r="N459" s="139" t="str">
        <f t="shared" si="13"/>
        <v>1D</v>
      </c>
      <c r="O459" s="146">
        <f>_xll.qlCalendarAdvance(Calendar,O458,N459,"f",FALSE)</f>
        <v>42774</v>
      </c>
      <c r="P459" s="140">
        <f>_xll.qlInterestRateIndexValueDate(IborIndex,O459)</f>
        <v>42776</v>
      </c>
      <c r="Q459" s="141">
        <v>-2.2829540277356588E-4</v>
      </c>
      <c r="R459" s="143">
        <v>-3.5650258393360446E-4</v>
      </c>
    </row>
    <row r="460" spans="14:18" x14ac:dyDescent="0.2">
      <c r="N460" s="139" t="str">
        <f t="shared" si="13"/>
        <v>1D</v>
      </c>
      <c r="O460" s="146">
        <f>_xll.qlCalendarAdvance(Calendar,O459,N460,"f",FALSE)</f>
        <v>42775</v>
      </c>
      <c r="P460" s="140">
        <f>_xll.qlInterestRateIndexValueDate(IborIndex,O460)</f>
        <v>42779</v>
      </c>
      <c r="Q460" s="141">
        <v>-1.8758687434537537E-4</v>
      </c>
      <c r="R460" s="143">
        <v>-3.4321041892493298E-4</v>
      </c>
    </row>
    <row r="461" spans="14:18" x14ac:dyDescent="0.2">
      <c r="N461" s="139" t="str">
        <f t="shared" si="13"/>
        <v>1D</v>
      </c>
      <c r="O461" s="146">
        <f>_xll.qlCalendarAdvance(Calendar,O460,N461,"f",FALSE)</f>
        <v>42776</v>
      </c>
      <c r="P461" s="140">
        <f>_xll.qlInterestRateIndexValueDate(IborIndex,O461)</f>
        <v>42780</v>
      </c>
      <c r="Q461" s="141">
        <v>-1.7396447008789982E-4</v>
      </c>
      <c r="R461" s="143">
        <v>-3.2989181986131655E-4</v>
      </c>
    </row>
    <row r="462" spans="14:18" x14ac:dyDescent="0.2">
      <c r="N462" s="139" t="str">
        <f t="shared" si="13"/>
        <v>1D</v>
      </c>
      <c r="O462" s="146">
        <f>_xll.qlCalendarAdvance(Calendar,O461,N462,"f",FALSE)</f>
        <v>42779</v>
      </c>
      <c r="P462" s="140">
        <f>_xll.qlInterestRateIndexValueDate(IborIndex,O462)</f>
        <v>42781</v>
      </c>
      <c r="Q462" s="141">
        <v>-1.6031561830339873E-4</v>
      </c>
      <c r="R462" s="143">
        <v>-3.0316625392767804E-4</v>
      </c>
    </row>
    <row r="463" spans="14:18" x14ac:dyDescent="0.2">
      <c r="N463" s="139" t="str">
        <f t="shared" si="13"/>
        <v>1D</v>
      </c>
      <c r="O463" s="146">
        <f>_xll.qlCalendarAdvance(Calendar,O462,N463,"f",FALSE)</f>
        <v>42780</v>
      </c>
      <c r="P463" s="140">
        <f>_xll.qlInterestRateIndexValueDate(IborIndex,O463)</f>
        <v>42782</v>
      </c>
      <c r="Q463" s="141">
        <v>-1.4664031890194399E-4</v>
      </c>
      <c r="R463" s="143">
        <v>-2.7635308517570678E-4</v>
      </c>
    </row>
    <row r="464" spans="14:18" x14ac:dyDescent="0.2">
      <c r="N464" s="139" t="str">
        <f t="shared" si="13"/>
        <v>1D</v>
      </c>
      <c r="O464" s="146">
        <f>_xll.qlCalendarAdvance(Calendar,O463,N464,"f",FALSE)</f>
        <v>42781</v>
      </c>
      <c r="P464" s="140">
        <f>_xll.qlInterestRateIndexValueDate(IborIndex,O464)</f>
        <v>42783</v>
      </c>
      <c r="Q464" s="141">
        <v>-1.3293857180502703E-4</v>
      </c>
      <c r="R464" s="143">
        <v>-2.6290231667669417E-4</v>
      </c>
    </row>
    <row r="465" spans="14:18" x14ac:dyDescent="0.2">
      <c r="N465" s="139" t="str">
        <f t="shared" si="13"/>
        <v>1D</v>
      </c>
      <c r="O465" s="146">
        <f>_xll.qlCalendarAdvance(Calendar,O464,N465,"f",FALSE)</f>
        <v>42782</v>
      </c>
      <c r="P465" s="140">
        <f>_xll.qlInterestRateIndexValueDate(IborIndex,O465)</f>
        <v>42786</v>
      </c>
      <c r="Q465" s="141">
        <v>-9.1674643472198068E-5</v>
      </c>
      <c r="R465" s="143">
        <v>-2.494251144025128E-4</v>
      </c>
    </row>
    <row r="466" spans="14:18" x14ac:dyDescent="0.2">
      <c r="N466" s="139" t="str">
        <f t="shared" si="13"/>
        <v>1D</v>
      </c>
      <c r="O466" s="146">
        <f>_xll.qlCalendarAdvance(Calendar,O465,N466,"f",FALSE)</f>
        <v>42783</v>
      </c>
      <c r="P466" s="140">
        <f>_xll.qlInterestRateIndexValueDate(IborIndex,O466)</f>
        <v>42787</v>
      </c>
      <c r="Q466" s="141">
        <v>-7.7867104731264641E-5</v>
      </c>
      <c r="R466" s="143">
        <v>-2.3592147803341845E-4</v>
      </c>
    </row>
    <row r="467" spans="14:18" x14ac:dyDescent="0.2">
      <c r="N467" s="139" t="str">
        <f t="shared" si="13"/>
        <v>1D</v>
      </c>
      <c r="O467" s="146">
        <f>_xll.qlCalendarAdvance(Calendar,O466,N467,"f",FALSE)</f>
        <v>42786</v>
      </c>
      <c r="P467" s="140">
        <f>_xll.qlInterestRateIndexValueDate(IborIndex,O467)</f>
        <v>42788</v>
      </c>
      <c r="Q467" s="141">
        <v>-6.4033117869494969E-5</v>
      </c>
      <c r="R467" s="143">
        <v>-2.0882597152827032E-4</v>
      </c>
    </row>
    <row r="468" spans="14:18" x14ac:dyDescent="0.2">
      <c r="N468" s="139" t="str">
        <f t="shared" si="13"/>
        <v>1D</v>
      </c>
      <c r="O468" s="146">
        <f>_xll.qlCalendarAdvance(Calendar,O467,N468,"f",FALSE)</f>
        <v>42787</v>
      </c>
      <c r="P468" s="140">
        <f>_xll.qlInterestRateIndexValueDate(IborIndex,O468)</f>
        <v>42789</v>
      </c>
      <c r="Q468" s="141">
        <v>-5.0172682798388379E-5</v>
      </c>
      <c r="R468" s="143">
        <v>-1.8164259376618475E-4</v>
      </c>
    </row>
    <row r="469" spans="14:18" x14ac:dyDescent="0.2">
      <c r="N469" s="139" t="str">
        <f t="shared" ref="N469:N532" si="14">N468</f>
        <v>1D</v>
      </c>
      <c r="O469" s="146">
        <f>_xll.qlCalendarAdvance(Calendar,O468,N469,"f",FALSE)</f>
        <v>42788</v>
      </c>
      <c r="P469" s="140">
        <f>_xll.qlInterestRateIndexValueDate(IborIndex,O469)</f>
        <v>42790</v>
      </c>
      <c r="Q469" s="141">
        <v>-3.6285799438008836E-5</v>
      </c>
      <c r="R469" s="143">
        <v>-1.6800678788175816E-4</v>
      </c>
    </row>
    <row r="470" spans="14:18" x14ac:dyDescent="0.2">
      <c r="N470" s="139" t="str">
        <f t="shared" si="14"/>
        <v>1D</v>
      </c>
      <c r="O470" s="146">
        <f>_xll.qlCalendarAdvance(Calendar,O469,N470,"f",FALSE)</f>
        <v>42789</v>
      </c>
      <c r="P470" s="140">
        <f>_xll.qlInterestRateIndexValueDate(IborIndex,O470)</f>
        <v>42793</v>
      </c>
      <c r="Q470" s="141">
        <v>5.5335412737659132E-6</v>
      </c>
      <c r="R470" s="143">
        <v>-1.5434454810225873E-4</v>
      </c>
    </row>
    <row r="471" spans="14:18" x14ac:dyDescent="0.2">
      <c r="N471" s="139" t="str">
        <f t="shared" si="14"/>
        <v>1D</v>
      </c>
      <c r="O471" s="146">
        <f>_xll.qlCalendarAdvance(Calendar,O470,N471,"f",FALSE)</f>
        <v>42790</v>
      </c>
      <c r="P471" s="140">
        <f>_xll.qlInterestRateIndexValueDate(IborIndex,O471)</f>
        <v>42794</v>
      </c>
      <c r="Q471" s="141">
        <v>4.0759780201338547E-5</v>
      </c>
      <c r="R471" s="143">
        <v>-1.406558743477504E-4</v>
      </c>
    </row>
    <row r="472" spans="14:18" x14ac:dyDescent="0.2">
      <c r="N472" s="139" t="str">
        <f t="shared" si="14"/>
        <v>1D</v>
      </c>
      <c r="O472" s="146">
        <f>_xll.qlCalendarAdvance(Calendar,O471,N472,"f",FALSE)</f>
        <v>42793</v>
      </c>
      <c r="P472" s="140">
        <f>_xll.qlInterestRateIndexValueDate(IborIndex,O472)</f>
        <v>42795</v>
      </c>
      <c r="Q472" s="141">
        <v>6.904483351358435E-5</v>
      </c>
      <c r="R472" s="143">
        <v>-1.1319037828361189E-4</v>
      </c>
    </row>
    <row r="473" spans="14:18" x14ac:dyDescent="0.2">
      <c r="N473" s="139" t="str">
        <f t="shared" si="14"/>
        <v>1D</v>
      </c>
      <c r="O473" s="146">
        <f>_xll.qlCalendarAdvance(Calendar,O472,N473,"f",FALSE)</f>
        <v>42794</v>
      </c>
      <c r="P473" s="140">
        <f>_xll.qlInterestRateIndexValueDate(IborIndex,O473)</f>
        <v>42796</v>
      </c>
      <c r="Q473" s="141">
        <v>7.6025784285504994E-5</v>
      </c>
      <c r="R473" s="143">
        <v>-8.5636839939340348E-5</v>
      </c>
    </row>
    <row r="474" spans="14:18" x14ac:dyDescent="0.2">
      <c r="N474" s="139" t="str">
        <f t="shared" si="14"/>
        <v>1D</v>
      </c>
      <c r="O474" s="146">
        <f>_xll.qlCalendarAdvance(Calendar,O473,N474,"f",FALSE)</f>
        <v>42795</v>
      </c>
      <c r="P474" s="140">
        <f>_xll.qlInterestRateIndexValueDate(IborIndex,O474)</f>
        <v>42797</v>
      </c>
      <c r="Q474" s="141">
        <v>8.3015547643858475E-5</v>
      </c>
      <c r="R474" s="143">
        <v>-7.1815996469659638E-5</v>
      </c>
    </row>
    <row r="475" spans="14:18" x14ac:dyDescent="0.2">
      <c r="N475" s="139" t="str">
        <f t="shared" si="14"/>
        <v>1D</v>
      </c>
      <c r="O475" s="146">
        <f>_xll.qlCalendarAdvance(Calendar,O474,N475,"f",FALSE)</f>
        <v>42796</v>
      </c>
      <c r="P475" s="140">
        <f>_xll.qlInterestRateIndexValueDate(IborIndex,O475)</f>
        <v>42800</v>
      </c>
      <c r="Q475" s="141">
        <v>1.2550937223972328E-4</v>
      </c>
      <c r="R475" s="143">
        <v>-5.7968719104906086E-5</v>
      </c>
    </row>
    <row r="476" spans="14:18" x14ac:dyDescent="0.2">
      <c r="N476" s="139" t="str">
        <f t="shared" si="14"/>
        <v>1D</v>
      </c>
      <c r="O476" s="146">
        <f>_xll.qlCalendarAdvance(Calendar,O475,N476,"f",FALSE)</f>
        <v>42797</v>
      </c>
      <c r="P476" s="140">
        <f>_xll.qlInterestRateIndexValueDate(IborIndex,O476)</f>
        <v>42801</v>
      </c>
      <c r="Q476" s="141">
        <v>1.3972688248238058E-4</v>
      </c>
      <c r="R476" s="143">
        <v>-4.4095007605271519E-5</v>
      </c>
    </row>
    <row r="477" spans="14:18" x14ac:dyDescent="0.2">
      <c r="N477" s="139" t="str">
        <f t="shared" si="14"/>
        <v>1D</v>
      </c>
      <c r="O477" s="146">
        <f>_xll.qlCalendarAdvance(Calendar,O476,N477,"f",FALSE)</f>
        <v>42800</v>
      </c>
      <c r="P477" s="140">
        <f>_xll.qlInterestRateIndexValueDate(IborIndex,O477)</f>
        <v>42802</v>
      </c>
      <c r="Q477" s="141">
        <v>1.6838231568334035E-4</v>
      </c>
      <c r="R477" s="143">
        <v>-1.6259471182777929E-5</v>
      </c>
    </row>
    <row r="478" spans="14:18" x14ac:dyDescent="0.2">
      <c r="N478" s="139" t="str">
        <f t="shared" si="14"/>
        <v>1D</v>
      </c>
      <c r="O478" s="146">
        <f>_xll.qlCalendarAdvance(Calendar,O477,N478,"f",FALSE)</f>
        <v>42801</v>
      </c>
      <c r="P478" s="140">
        <f>_xll.qlInterestRateIndexValueDate(IborIndex,O478)</f>
        <v>42803</v>
      </c>
      <c r="Q478" s="141">
        <v>1.7545581377287345E-4</v>
      </c>
      <c r="R478" s="143">
        <v>1.166417746389925E-5</v>
      </c>
    </row>
    <row r="479" spans="14:18" x14ac:dyDescent="0.2">
      <c r="N479" s="139" t="str">
        <f t="shared" si="14"/>
        <v>1D</v>
      </c>
      <c r="O479" s="146">
        <f>_xll.qlCalendarAdvance(Calendar,O478,N479,"f",FALSE)</f>
        <v>42802</v>
      </c>
      <c r="P479" s="140">
        <f>_xll.qlInterestRateIndexValueDate(IborIndex,O479)</f>
        <v>42804</v>
      </c>
      <c r="Q479" s="141">
        <v>1.825381206910584E-4</v>
      </c>
      <c r="R479" s="143">
        <v>2.5670058638738169E-5</v>
      </c>
    </row>
    <row r="480" spans="14:18" x14ac:dyDescent="0.2">
      <c r="N480" s="139" t="str">
        <f t="shared" si="14"/>
        <v>1D</v>
      </c>
      <c r="O480" s="146">
        <f>_xll.qlCalendarAdvance(Calendar,O479,N480,"f",FALSE)</f>
        <v>42803</v>
      </c>
      <c r="P480" s="140">
        <f>_xll.qlInterestRateIndexValueDate(IborIndex,O480)</f>
        <v>42807</v>
      </c>
      <c r="Q480" s="141">
        <v>2.2558742217721454E-4</v>
      </c>
      <c r="R480" s="143">
        <v>3.9702373788585987E-5</v>
      </c>
    </row>
    <row r="481" spans="14:18" x14ac:dyDescent="0.2">
      <c r="N481" s="139" t="str">
        <f t="shared" si="14"/>
        <v>1D</v>
      </c>
      <c r="O481" s="146">
        <f>_xll.qlCalendarAdvance(Calendar,O480,N481,"f",FALSE)</f>
        <v>42804</v>
      </c>
      <c r="P481" s="140">
        <f>_xll.qlInterestRateIndexValueDate(IborIndex,O481)</f>
        <v>42808</v>
      </c>
      <c r="Q481" s="141">
        <v>2.6916596650521693E-4</v>
      </c>
      <c r="R481" s="143">
        <v>5.3761122993378763E-5</v>
      </c>
    </row>
    <row r="482" spans="14:18" x14ac:dyDescent="0.2">
      <c r="N482" s="139" t="str">
        <f t="shared" si="14"/>
        <v>1D</v>
      </c>
      <c r="O482" s="146">
        <f>_xll.qlCalendarAdvance(Calendar,O481,N482,"f",FALSE)</f>
        <v>42807</v>
      </c>
      <c r="P482" s="140">
        <f>_xll.qlInterestRateIndexValueDate(IborIndex,O482)</f>
        <v>42809</v>
      </c>
      <c r="Q482" s="141">
        <v>2.763275911523438E-4</v>
      </c>
      <c r="R482" s="143">
        <v>8.1966753011641913E-5</v>
      </c>
    </row>
    <row r="483" spans="14:18" x14ac:dyDescent="0.2">
      <c r="N483" s="139" t="str">
        <f t="shared" si="14"/>
        <v>1D</v>
      </c>
      <c r="O483" s="146">
        <f>_xll.qlCalendarAdvance(Calendar,O482,N483,"f",FALSE)</f>
        <v>42808</v>
      </c>
      <c r="P483" s="140">
        <f>_xll.qlInterestRateIndexValueDate(IborIndex,O483)</f>
        <v>42810</v>
      </c>
      <c r="Q483" s="141">
        <v>2.8349802101746883E-4</v>
      </c>
      <c r="R483" s="143">
        <v>1.1026045940276674E-4</v>
      </c>
    </row>
    <row r="484" spans="14:18" x14ac:dyDescent="0.2">
      <c r="N484" s="139" t="str">
        <f t="shared" si="14"/>
        <v>1D</v>
      </c>
      <c r="O484" s="146">
        <f>_xll.qlCalendarAdvance(Calendar,O483,N484,"f",FALSE)</f>
        <v>42809</v>
      </c>
      <c r="P484" s="140">
        <f>_xll.qlInterestRateIndexValueDate(IborIndex,O484)</f>
        <v>42811</v>
      </c>
      <c r="Q484" s="141">
        <v>2.9067725567294422E-4</v>
      </c>
      <c r="R484" s="143">
        <v>1.2445137856254007E-4</v>
      </c>
    </row>
    <row r="485" spans="14:18" x14ac:dyDescent="0.2">
      <c r="N485" s="139" t="str">
        <f t="shared" si="14"/>
        <v>1D</v>
      </c>
      <c r="O485" s="146">
        <f>_xll.qlCalendarAdvance(Calendar,O484,N485,"f",FALSE)</f>
        <v>42810</v>
      </c>
      <c r="P485" s="140">
        <f>_xll.qlInterestRateIndexValueDate(IborIndex,O485)</f>
        <v>42814</v>
      </c>
      <c r="Q485" s="141">
        <v>3.2696160883523864E-4</v>
      </c>
      <c r="R485" s="143">
        <v>1.3866873153745018E-4</v>
      </c>
    </row>
    <row r="486" spans="14:18" x14ac:dyDescent="0.2">
      <c r="N486" s="139" t="str">
        <f t="shared" si="14"/>
        <v>1D</v>
      </c>
      <c r="O486" s="146">
        <f>_xll.qlCalendarAdvance(Calendar,O485,N486,"f",FALSE)</f>
        <v>42811</v>
      </c>
      <c r="P486" s="140">
        <f>_xll.qlInterestRateIndexValueDate(IborIndex,O486)</f>
        <v>42815</v>
      </c>
      <c r="Q486" s="141">
        <v>3.4154944455398696E-4</v>
      </c>
      <c r="R486" s="143">
        <v>1.5291251856730526E-4</v>
      </c>
    </row>
    <row r="487" spans="14:18" x14ac:dyDescent="0.2">
      <c r="N487" s="139" t="str">
        <f t="shared" si="14"/>
        <v>1D</v>
      </c>
      <c r="O487" s="146">
        <f>_xll.qlCalendarAdvance(Calendar,O486,N487,"f",FALSE)</f>
        <v>42814</v>
      </c>
      <c r="P487" s="140">
        <f>_xll.qlInterestRateIndexValueDate(IborIndex,O487)</f>
        <v>42816</v>
      </c>
      <c r="Q487" s="141">
        <v>3.7094583876331268E-4</v>
      </c>
      <c r="R487" s="143">
        <v>1.8148829745712192E-4</v>
      </c>
    </row>
    <row r="488" spans="14:18" x14ac:dyDescent="0.2">
      <c r="N488" s="139" t="str">
        <f t="shared" si="14"/>
        <v>1D</v>
      </c>
      <c r="O488" s="146">
        <f>_xll.qlCalendarAdvance(Calendar,O487,N488,"f",FALSE)</f>
        <v>42815</v>
      </c>
      <c r="P488" s="140">
        <f>_xll.qlInterestRateIndexValueDate(IborIndex,O488)</f>
        <v>42817</v>
      </c>
      <c r="Q488" s="141">
        <v>3.7820435268315356E-4</v>
      </c>
      <c r="R488" s="143">
        <v>2.1015200691643088E-4</v>
      </c>
    </row>
    <row r="489" spans="14:18" x14ac:dyDescent="0.2">
      <c r="N489" s="139" t="str">
        <f t="shared" si="14"/>
        <v>1D</v>
      </c>
      <c r="O489" s="146">
        <f>_xll.qlCalendarAdvance(Calendar,O488,N489,"f",FALSE)</f>
        <v>42816</v>
      </c>
      <c r="P489" s="140">
        <f>_xll.qlInterestRateIndexValueDate(IborIndex,O489)</f>
        <v>42818</v>
      </c>
      <c r="Q489" s="141">
        <v>3.8547166747076607E-4</v>
      </c>
      <c r="R489" s="143">
        <v>2.2452796406113862E-4</v>
      </c>
    </row>
    <row r="490" spans="14:18" x14ac:dyDescent="0.2">
      <c r="N490" s="139" t="str">
        <f t="shared" si="14"/>
        <v>1D</v>
      </c>
      <c r="O490" s="146">
        <f>_xll.qlCalendarAdvance(Calendar,O489,N490,"f",FALSE)</f>
        <v>42817</v>
      </c>
      <c r="P490" s="140">
        <f>_xll.qlInterestRateIndexValueDate(IborIndex,O490)</f>
        <v>42821</v>
      </c>
      <c r="Q490" s="141">
        <v>4.2963196613504852E-4</v>
      </c>
      <c r="R490" s="143">
        <v>2.3893035526079132E-4</v>
      </c>
    </row>
    <row r="491" spans="14:18" x14ac:dyDescent="0.2">
      <c r="N491" s="139" t="str">
        <f t="shared" si="14"/>
        <v>1D</v>
      </c>
      <c r="O491" s="146">
        <f>_xll.qlCalendarAdvance(Calendar,O490,N491,"f",FALSE)</f>
        <v>42818</v>
      </c>
      <c r="P491" s="140">
        <f>_xll.qlInterestRateIndexValueDate(IborIndex,O491)</f>
        <v>42822</v>
      </c>
      <c r="Q491" s="141">
        <v>4.444049718853629E-4</v>
      </c>
      <c r="R491" s="143">
        <v>2.5335918035551686E-4</v>
      </c>
    </row>
    <row r="492" spans="14:18" x14ac:dyDescent="0.2">
      <c r="N492" s="139" t="str">
        <f t="shared" si="14"/>
        <v>1D</v>
      </c>
      <c r="O492" s="146">
        <f>_xll.qlCalendarAdvance(Calendar,O491,N492,"f",FALSE)</f>
        <v>42821</v>
      </c>
      <c r="P492" s="140">
        <f>_xll.qlInterestRateIndexValueDate(IborIndex,O492)</f>
        <v>42823</v>
      </c>
      <c r="Q492" s="141">
        <v>4.5173392373687449E-4</v>
      </c>
      <c r="R492" s="143">
        <v>2.8230516532445904E-4</v>
      </c>
    </row>
    <row r="493" spans="14:18" x14ac:dyDescent="0.2">
      <c r="N493" s="139" t="str">
        <f t="shared" si="14"/>
        <v>1D</v>
      </c>
      <c r="O493" s="146">
        <f>_xll.qlCalendarAdvance(Calendar,O492,N493,"f",FALSE)</f>
        <v>42822</v>
      </c>
      <c r="P493" s="140">
        <f>_xll.qlInterestRateIndexValueDate(IborIndex,O493)</f>
        <v>42824</v>
      </c>
      <c r="Q493" s="141">
        <v>4.5907167313908139E-4</v>
      </c>
      <c r="R493" s="143">
        <v>3.1133882120393253E-4</v>
      </c>
    </row>
    <row r="494" spans="14:18" x14ac:dyDescent="0.2">
      <c r="N494" s="139" t="str">
        <f t="shared" si="14"/>
        <v>1D</v>
      </c>
      <c r="O494" s="146">
        <f>_xll.qlCalendarAdvance(Calendar,O493,N494,"f",FALSE)</f>
        <v>42823</v>
      </c>
      <c r="P494" s="140">
        <f>_xll.qlInterestRateIndexValueDate(IborIndex,O494)</f>
        <v>42825</v>
      </c>
      <c r="Q494" s="141">
        <v>4.664182196267852E-4</v>
      </c>
      <c r="R494" s="143">
        <v>3.2589981657338285E-4</v>
      </c>
    </row>
    <row r="495" spans="14:18" x14ac:dyDescent="0.2">
      <c r="N495" s="139" t="str">
        <f t="shared" si="14"/>
        <v>1D</v>
      </c>
      <c r="O495" s="146">
        <f>_xll.qlCalendarAdvance(Calendar,O494,N495,"f",FALSE)</f>
        <v>42824</v>
      </c>
      <c r="P495" s="140">
        <f>_xll.qlInterestRateIndexValueDate(IborIndex,O495)</f>
        <v>42828</v>
      </c>
      <c r="Q495" s="141">
        <v>5.2606178593794795E-4</v>
      </c>
      <c r="R495" s="143">
        <v>3.4048724591784207E-4</v>
      </c>
    </row>
    <row r="496" spans="14:18" x14ac:dyDescent="0.2">
      <c r="N496" s="139" t="str">
        <f t="shared" si="14"/>
        <v>1D</v>
      </c>
      <c r="O496" s="146">
        <f>_xll.qlCalendarAdvance(Calendar,O495,N496,"f",FALSE)</f>
        <v>42825</v>
      </c>
      <c r="P496" s="140">
        <f>_xll.qlInterestRateIndexValueDate(IborIndex,O496)</f>
        <v>42829</v>
      </c>
      <c r="Q496" s="141">
        <v>5.4100671747558948E-4</v>
      </c>
      <c r="R496" s="143">
        <v>3.5510110931724626E-4</v>
      </c>
    </row>
    <row r="497" spans="14:18" x14ac:dyDescent="0.2">
      <c r="N497" s="139" t="str">
        <f t="shared" si="14"/>
        <v>1D</v>
      </c>
      <c r="O497" s="146">
        <f>_xll.qlCalendarAdvance(Calendar,O496,N497,"f",FALSE)</f>
        <v>42828</v>
      </c>
      <c r="P497" s="140">
        <f>_xll.qlInterestRateIndexValueDate(IborIndex,O497)</f>
        <v>42830</v>
      </c>
      <c r="Q497" s="141">
        <v>5.5597810227414612E-4</v>
      </c>
      <c r="R497" s="143">
        <v>3.8441735989103165E-4</v>
      </c>
    </row>
    <row r="498" spans="14:18" x14ac:dyDescent="0.2">
      <c r="N498" s="139" t="str">
        <f t="shared" si="14"/>
        <v>1D</v>
      </c>
      <c r="O498" s="146">
        <f>_xll.qlCalendarAdvance(Calendar,O497,N498,"f",FALSE)</f>
        <v>42829</v>
      </c>
      <c r="P498" s="140">
        <f>_xll.qlInterestRateIndexValueDate(IborIndex,O498)</f>
        <v>42831</v>
      </c>
      <c r="Q498" s="141">
        <v>5.8613776573845922E-4</v>
      </c>
      <c r="R498" s="143">
        <v>4.1382090338437649E-4</v>
      </c>
    </row>
    <row r="499" spans="14:18" x14ac:dyDescent="0.2">
      <c r="N499" s="139" t="str">
        <f t="shared" si="14"/>
        <v>1D</v>
      </c>
      <c r="O499" s="146">
        <f>_xll.qlCalendarAdvance(Calendar,O498,N499,"f",FALSE)</f>
        <v>42830</v>
      </c>
      <c r="P499" s="140">
        <f>_xll.qlInterestRateIndexValueDate(IborIndex,O499)</f>
        <v>42832</v>
      </c>
      <c r="Q499" s="141">
        <v>5.9358997559331235E-4</v>
      </c>
      <c r="R499" s="143">
        <v>4.2856693705850546E-4</v>
      </c>
    </row>
    <row r="500" spans="14:18" x14ac:dyDescent="0.2">
      <c r="N500" s="139" t="str">
        <f t="shared" si="14"/>
        <v>1D</v>
      </c>
      <c r="O500" s="146">
        <f>_xll.qlCalendarAdvance(Calendar,O499,N500,"f",FALSE)</f>
        <v>42831</v>
      </c>
      <c r="P500" s="140">
        <f>_xll.qlInterestRateIndexValueDate(IborIndex,O500)</f>
        <v>42835</v>
      </c>
      <c r="Q500" s="141">
        <v>6.3123182868185523E-4</v>
      </c>
      <c r="R500" s="143">
        <v>4.4333940470764333E-4</v>
      </c>
    </row>
    <row r="501" spans="14:18" x14ac:dyDescent="0.2">
      <c r="N501" s="139" t="str">
        <f t="shared" si="14"/>
        <v>1D</v>
      </c>
      <c r="O501" s="146">
        <f>_xll.qlCalendarAdvance(Calendar,O500,N501,"f",FALSE)</f>
        <v>42832</v>
      </c>
      <c r="P501" s="140">
        <f>_xll.qlInterestRateIndexValueDate(IborIndex,O501)</f>
        <v>42836</v>
      </c>
      <c r="Q501" s="141">
        <v>6.4636193514289175E-4</v>
      </c>
      <c r="R501" s="143">
        <v>4.8784316794225902E-4</v>
      </c>
    </row>
    <row r="502" spans="14:18" x14ac:dyDescent="0.2">
      <c r="N502" s="139" t="str">
        <f t="shared" si="14"/>
        <v>1D</v>
      </c>
      <c r="O502" s="146">
        <f>_xll.qlCalendarAdvance(Calendar,O501,N502,"f",FALSE)</f>
        <v>42835</v>
      </c>
      <c r="P502" s="140">
        <f>_xll.qlInterestRateIndexValueDate(IborIndex,O502)</f>
        <v>42837</v>
      </c>
      <c r="Q502" s="141">
        <v>6.6151849556028708E-4</v>
      </c>
      <c r="R502" s="143">
        <v>5.325293265556752E-4</v>
      </c>
    </row>
    <row r="503" spans="14:18" x14ac:dyDescent="0.2">
      <c r="N503" s="139" t="str">
        <f t="shared" si="14"/>
        <v>1D</v>
      </c>
      <c r="O503" s="146">
        <f>_xll.qlCalendarAdvance(Calendar,O502,N503,"f",FALSE)</f>
        <v>42836</v>
      </c>
      <c r="P503" s="140">
        <f>_xll.qlInterestRateIndexValueDate(IborIndex,O503)</f>
        <v>42838</v>
      </c>
      <c r="Q503" s="141">
        <v>6.9204888958951383E-4</v>
      </c>
      <c r="R503" s="143">
        <v>5.4748683282923594E-4</v>
      </c>
    </row>
    <row r="504" spans="14:18" x14ac:dyDescent="0.2">
      <c r="N504" s="139" t="str">
        <f t="shared" si="14"/>
        <v>1D</v>
      </c>
      <c r="O504" s="146">
        <f>_xll.qlCalendarAdvance(Calendar,O503,N504,"f",FALSE)</f>
        <v>42837</v>
      </c>
      <c r="P504" s="140">
        <f>_xll.qlInterestRateIndexValueDate(IborIndex,O504)</f>
        <v>42843</v>
      </c>
      <c r="Q504" s="141">
        <v>7.5301339682898316E-4</v>
      </c>
      <c r="R504" s="143">
        <v>5.6247077315774163E-4</v>
      </c>
    </row>
    <row r="505" spans="14:18" x14ac:dyDescent="0.2">
      <c r="N505" s="139" t="str">
        <f t="shared" si="14"/>
        <v>1D</v>
      </c>
      <c r="O505" s="146">
        <f>_xll.qlCalendarAdvance(Calendar,O504,N505,"f",FALSE)</f>
        <v>42838</v>
      </c>
      <c r="P505" s="140">
        <f>_xll.qlInterestRateIndexValueDate(IborIndex,O505)</f>
        <v>42844</v>
      </c>
      <c r="Q505" s="141">
        <v>7.6835494439997376E-4</v>
      </c>
      <c r="R505" s="143">
        <v>5.9252774249785034E-4</v>
      </c>
    </row>
    <row r="506" spans="14:18" x14ac:dyDescent="0.2">
      <c r="N506" s="139" t="str">
        <f t="shared" si="14"/>
        <v>1D</v>
      </c>
      <c r="O506" s="146">
        <f>_xll.qlCalendarAdvance(Calendar,O505,N506,"f",FALSE)</f>
        <v>42843</v>
      </c>
      <c r="P506" s="140">
        <f>_xll.qlInterestRateIndexValueDate(IborIndex,O506)</f>
        <v>42845</v>
      </c>
      <c r="Q506" s="141">
        <v>7.9924473768255844E-4</v>
      </c>
      <c r="R506" s="143">
        <v>6.2267087542089428E-4</v>
      </c>
    </row>
    <row r="507" spans="14:18" x14ac:dyDescent="0.2">
      <c r="N507" s="139" t="str">
        <f t="shared" si="14"/>
        <v>1D</v>
      </c>
      <c r="O507" s="146">
        <f>_xll.qlCalendarAdvance(Calendar,O506,N507,"f",FALSE)</f>
        <v>42844</v>
      </c>
      <c r="P507" s="140">
        <f>_xll.qlInterestRateIndexValueDate(IborIndex,O507)</f>
        <v>42846</v>
      </c>
      <c r="Q507" s="141">
        <v>8.0688134681890103E-4</v>
      </c>
      <c r="R507" s="143">
        <v>6.3778698626393293E-4</v>
      </c>
    </row>
    <row r="508" spans="14:18" x14ac:dyDescent="0.2">
      <c r="N508" s="139" t="str">
        <f t="shared" si="14"/>
        <v>1D</v>
      </c>
      <c r="O508" s="146">
        <f>_xll.qlCalendarAdvance(Calendar,O507,N508,"f",FALSE)</f>
        <v>42845</v>
      </c>
      <c r="P508" s="140">
        <f>_xll.qlInterestRateIndexValueDate(IborIndex,O508)</f>
        <v>42849</v>
      </c>
      <c r="Q508" s="141">
        <v>8.4541889665690206E-4</v>
      </c>
      <c r="R508" s="143">
        <v>6.529295312418526E-4</v>
      </c>
    </row>
    <row r="509" spans="14:18" x14ac:dyDescent="0.2">
      <c r="N509" s="139" t="str">
        <f t="shared" si="14"/>
        <v>1D</v>
      </c>
      <c r="O509" s="146">
        <f>_xll.qlCalendarAdvance(Calendar,O508,N509,"f",FALSE)</f>
        <v>42846</v>
      </c>
      <c r="P509" s="140">
        <f>_xll.qlInterestRateIndexValueDate(IborIndex,O509)</f>
        <v>42850</v>
      </c>
      <c r="Q509" s="141">
        <v>8.6869371606519924E-4</v>
      </c>
      <c r="R509" s="143">
        <v>6.6809851027471723E-4</v>
      </c>
    </row>
    <row r="510" spans="14:18" x14ac:dyDescent="0.2">
      <c r="N510" s="139" t="str">
        <f t="shared" si="14"/>
        <v>1D</v>
      </c>
      <c r="O510" s="146">
        <f>_xll.qlCalendarAdvance(Calendar,O509,N510,"f",FALSE)</f>
        <v>42849</v>
      </c>
      <c r="P510" s="140">
        <f>_xll.qlInterestRateIndexValueDate(IborIndex,O510)</f>
        <v>42851</v>
      </c>
      <c r="Q510" s="141">
        <v>8.7638905442055659E-4</v>
      </c>
      <c r="R510" s="143">
        <v>7.0615520576966517E-4</v>
      </c>
    </row>
    <row r="511" spans="14:18" x14ac:dyDescent="0.2">
      <c r="N511" s="139" t="str">
        <f t="shared" si="14"/>
        <v>1D</v>
      </c>
      <c r="O511" s="146">
        <f>_xll.qlCalendarAdvance(Calendar,O510,N511,"f",FALSE)</f>
        <v>42850</v>
      </c>
      <c r="P511" s="140">
        <f>_xll.qlInterestRateIndexValueDate(IborIndex,O511)</f>
        <v>42852</v>
      </c>
      <c r="Q511" s="141">
        <v>9.075188546123214E-4</v>
      </c>
      <c r="R511" s="143">
        <v>7.4433991738231953E-4</v>
      </c>
    </row>
    <row r="512" spans="14:18" x14ac:dyDescent="0.2">
      <c r="N512" s="139" t="str">
        <f t="shared" si="14"/>
        <v>1D</v>
      </c>
      <c r="O512" s="146">
        <f>_xll.qlCalendarAdvance(Calendar,O511,N512,"f",FALSE)</f>
        <v>42851</v>
      </c>
      <c r="P512" s="140">
        <f>_xll.qlInterestRateIndexValueDate(IborIndex,O512)</f>
        <v>42853</v>
      </c>
      <c r="Q512" s="141">
        <v>9.3086620471683943E-4</v>
      </c>
      <c r="R512" s="143">
        <v>7.5966750106459813E-4</v>
      </c>
    </row>
    <row r="513" spans="14:18" x14ac:dyDescent="0.2">
      <c r="N513" s="139" t="str">
        <f t="shared" si="14"/>
        <v>1D</v>
      </c>
      <c r="O513" s="146">
        <f>_xll.qlCalendarAdvance(Calendar,O512,N513,"f",FALSE)</f>
        <v>42852</v>
      </c>
      <c r="P513" s="140">
        <f>_xll.qlInterestRateIndexValueDate(IborIndex,O513)</f>
        <v>42857</v>
      </c>
      <c r="Q513" s="141">
        <v>9.7749485973648445E-4</v>
      </c>
      <c r="R513" s="143">
        <v>7.750215189616938E-4</v>
      </c>
    </row>
    <row r="514" spans="14:18" x14ac:dyDescent="0.2">
      <c r="N514" s="139" t="str">
        <f t="shared" si="14"/>
        <v>1D</v>
      </c>
      <c r="O514" s="146">
        <f>_xll.qlCalendarAdvance(Calendar,O513,N514,"f",FALSE)</f>
        <v>42853</v>
      </c>
      <c r="P514" s="140">
        <f>_xll.qlInterestRateIndexValueDate(IborIndex,O514)</f>
        <v>42858</v>
      </c>
      <c r="Q514" s="141">
        <v>1.0165382879456786E-3</v>
      </c>
      <c r="R514" s="143">
        <v>8.0581947221602945E-4</v>
      </c>
    </row>
    <row r="515" spans="14:18" x14ac:dyDescent="0.2">
      <c r="N515" s="139" t="str">
        <f t="shared" si="14"/>
        <v>1D</v>
      </c>
      <c r="O515" s="146">
        <f>_xll.qlCalendarAdvance(Calendar,O514,N515,"f",FALSE)</f>
        <v>42857</v>
      </c>
      <c r="P515" s="140">
        <f>_xll.qlInterestRateIndexValueDate(IborIndex,O515)</f>
        <v>42859</v>
      </c>
      <c r="Q515" s="141">
        <v>1.0243200896771626E-3</v>
      </c>
      <c r="R515" s="143">
        <v>8.3670193221863087E-4</v>
      </c>
    </row>
    <row r="516" spans="14:18" x14ac:dyDescent="0.2">
      <c r="N516" s="139" t="str">
        <f t="shared" si="14"/>
        <v>1D</v>
      </c>
      <c r="O516" s="146">
        <f>_xll.qlCalendarAdvance(Calendar,O515,N516,"f",FALSE)</f>
        <v>42858</v>
      </c>
      <c r="P516" s="140">
        <f>_xll.qlInterestRateIndexValueDate(IborIndex,O516)</f>
        <v>42860</v>
      </c>
      <c r="Q516" s="141">
        <v>1.0321084480494069E-3</v>
      </c>
      <c r="R516" s="143">
        <v>8.5218812079013162E-4</v>
      </c>
    </row>
    <row r="517" spans="14:18" x14ac:dyDescent="0.2">
      <c r="N517" s="139" t="str">
        <f t="shared" si="14"/>
        <v>1D</v>
      </c>
      <c r="O517" s="146">
        <f>_xll.qlCalendarAdvance(Calendar,O516,N517,"f",FALSE)</f>
        <v>42859</v>
      </c>
      <c r="P517" s="140">
        <f>_xll.qlInterestRateIndexValueDate(IborIndex,O517)</f>
        <v>42863</v>
      </c>
      <c r="Q517" s="141">
        <v>1.0711425188528636E-3</v>
      </c>
      <c r="R517" s="143">
        <v>8.6770074373632156E-4</v>
      </c>
    </row>
    <row r="518" spans="14:18" x14ac:dyDescent="0.2">
      <c r="N518" s="139" t="str">
        <f t="shared" si="14"/>
        <v>1D</v>
      </c>
      <c r="O518" s="146">
        <f>_xll.qlCalendarAdvance(Calendar,O517,N518,"f",FALSE)</f>
        <v>42860</v>
      </c>
      <c r="P518" s="140">
        <f>_xll.qlInterestRateIndexValueDate(IborIndex,O518)</f>
        <v>42864</v>
      </c>
      <c r="Q518" s="141">
        <v>1.0867670810362881E-3</v>
      </c>
      <c r="R518" s="143">
        <v>8.8323980057758433E-4</v>
      </c>
    </row>
    <row r="519" spans="14:18" x14ac:dyDescent="0.2">
      <c r="N519" s="139" t="str">
        <f t="shared" si="14"/>
        <v>1D</v>
      </c>
      <c r="O519" s="146">
        <f>_xll.qlCalendarAdvance(Calendar,O518,N519,"f",FALSE)</f>
        <v>42863</v>
      </c>
      <c r="P519" s="140">
        <f>_xll.qlInterestRateIndexValueDate(IborIndex,O519)</f>
        <v>42865</v>
      </c>
      <c r="Q519" s="141">
        <v>1.1180049821996557E-3</v>
      </c>
      <c r="R519" s="143">
        <v>9.1440835082501337E-4</v>
      </c>
    </row>
    <row r="520" spans="14:18" x14ac:dyDescent="0.2">
      <c r="N520" s="139" t="str">
        <f t="shared" si="14"/>
        <v>1D</v>
      </c>
      <c r="O520" s="146">
        <f>_xll.qlCalendarAdvance(Calendar,O519,N520,"f",FALSE)</f>
        <v>42864</v>
      </c>
      <c r="P520" s="140">
        <f>_xll.qlInterestRateIndexValueDate(IborIndex,O520)</f>
        <v>42866</v>
      </c>
      <c r="Q520" s="141">
        <v>1.1258242760997517E-3</v>
      </c>
      <c r="R520" s="143">
        <v>9.4566037009080617E-4</v>
      </c>
    </row>
    <row r="521" spans="14:18" x14ac:dyDescent="0.2">
      <c r="N521" s="139" t="str">
        <f t="shared" si="14"/>
        <v>1D</v>
      </c>
      <c r="O521" s="146">
        <f>_xll.qlCalendarAdvance(Calendar,O520,N521,"f",FALSE)</f>
        <v>42865</v>
      </c>
      <c r="P521" s="140">
        <f>_xll.qlInterestRateIndexValueDate(IborIndex,O521)</f>
        <v>42867</v>
      </c>
      <c r="Q521" s="141">
        <v>1.1336468004227271E-3</v>
      </c>
      <c r="R521" s="143">
        <v>9.6133159800615431E-4</v>
      </c>
    </row>
    <row r="522" spans="14:18" x14ac:dyDescent="0.2">
      <c r="N522" s="139" t="str">
        <f t="shared" si="14"/>
        <v>1D</v>
      </c>
      <c r="O522" s="146">
        <f>_xll.qlCalendarAdvance(Calendar,O521,N522,"f",FALSE)</f>
        <v>42866</v>
      </c>
      <c r="P522" s="140">
        <f>_xll.qlInterestRateIndexValueDate(IborIndex,O522)</f>
        <v>42870</v>
      </c>
      <c r="Q522" s="141">
        <v>1.1805119889371765E-3</v>
      </c>
      <c r="R522" s="143">
        <v>9.7702925997644741E-4</v>
      </c>
    </row>
    <row r="523" spans="14:18" x14ac:dyDescent="0.2">
      <c r="N523" s="139" t="str">
        <f t="shared" si="14"/>
        <v>1D</v>
      </c>
      <c r="O523" s="146">
        <f>_xll.qlCalendarAdvance(Calendar,O522,N523,"f",FALSE)</f>
        <v>42867</v>
      </c>
      <c r="P523" s="140">
        <f>_xll.qlInterestRateIndexValueDate(IborIndex,O523)</f>
        <v>42871</v>
      </c>
      <c r="Q523" s="141">
        <v>1.1961252492759793E-3</v>
      </c>
      <c r="R523" s="143">
        <v>9.9274755520184499E-4</v>
      </c>
    </row>
    <row r="524" spans="14:18" x14ac:dyDescent="0.2">
      <c r="N524" s="139" t="str">
        <f t="shared" si="14"/>
        <v>1D</v>
      </c>
      <c r="O524" s="146">
        <f>_xll.qlCalendarAdvance(Calendar,O523,N524,"f",FALSE)</f>
        <v>42870</v>
      </c>
      <c r="P524" s="140">
        <f>_xll.qlInterestRateIndexValueDate(IborIndex,O524)</f>
        <v>42872</v>
      </c>
      <c r="Q524" s="141">
        <v>1.2272920335646119E-3</v>
      </c>
      <c r="R524" s="143">
        <v>1.0241707568958702E-3</v>
      </c>
    </row>
    <row r="525" spans="14:18" x14ac:dyDescent="0.2">
      <c r="N525" s="139" t="str">
        <f t="shared" si="14"/>
        <v>1D</v>
      </c>
      <c r="O525" s="146">
        <f>_xll.qlCalendarAdvance(Calendar,O524,N525,"f",FALSE)</f>
        <v>42871</v>
      </c>
      <c r="P525" s="140">
        <f>_xll.qlInterestRateIndexValueDate(IborIndex,O525)</f>
        <v>42873</v>
      </c>
      <c r="Q525" s="141">
        <v>1.2351093931881052E-3</v>
      </c>
      <c r="R525" s="143">
        <v>1.0555602273853992E-3</v>
      </c>
    </row>
    <row r="526" spans="14:18" x14ac:dyDescent="0.2">
      <c r="N526" s="139" t="str">
        <f t="shared" si="14"/>
        <v>1D</v>
      </c>
      <c r="O526" s="146">
        <f>_xll.qlCalendarAdvance(Calendar,O525,N526,"f",FALSE)</f>
        <v>42872</v>
      </c>
      <c r="P526" s="140">
        <f>_xll.qlInterestRateIndexValueDate(IborIndex,O526)</f>
        <v>42874</v>
      </c>
      <c r="Q526" s="141">
        <v>1.2429240894674641E-3</v>
      </c>
      <c r="R526" s="143">
        <v>1.0712424673720022E-3</v>
      </c>
    </row>
    <row r="527" spans="14:18" x14ac:dyDescent="0.2">
      <c r="N527" s="139" t="str">
        <f t="shared" si="14"/>
        <v>1D</v>
      </c>
      <c r="O527" s="146">
        <f>_xll.qlCalendarAdvance(Calendar,O526,N527,"f",FALSE)</f>
        <v>42873</v>
      </c>
      <c r="P527" s="140">
        <f>_xll.qlInterestRateIndexValueDate(IborIndex,O527)</f>
        <v>42877</v>
      </c>
      <c r="Q527" s="141">
        <v>1.2896492597681158E-3</v>
      </c>
      <c r="R527" s="143">
        <v>1.0947507491332331E-3</v>
      </c>
    </row>
    <row r="528" spans="14:18" x14ac:dyDescent="0.2">
      <c r="N528" s="139" t="str">
        <f t="shared" si="14"/>
        <v>1D</v>
      </c>
      <c r="O528" s="146">
        <f>_xll.qlCalendarAdvance(Calendar,O527,N528,"f",FALSE)</f>
        <v>42874</v>
      </c>
      <c r="P528" s="140">
        <f>_xll.qlInterestRateIndexValueDate(IborIndex,O528)</f>
        <v>42878</v>
      </c>
      <c r="Q528" s="141">
        <v>1.3284688052511381E-3</v>
      </c>
      <c r="R528" s="143">
        <v>1.1338884950173878E-3</v>
      </c>
    </row>
    <row r="529" spans="14:18" x14ac:dyDescent="0.2">
      <c r="N529" s="139" t="str">
        <f t="shared" si="14"/>
        <v>1D</v>
      </c>
      <c r="O529" s="146">
        <f>_xll.qlCalendarAdvance(Calendar,O528,N529,"f",FALSE)</f>
        <v>42877</v>
      </c>
      <c r="P529" s="140">
        <f>_xll.qlInterestRateIndexValueDate(IborIndex,O529)</f>
        <v>42879</v>
      </c>
      <c r="Q529" s="141">
        <v>1.3362595664911936E-3</v>
      </c>
      <c r="R529" s="143">
        <v>1.1651601102347087E-3</v>
      </c>
    </row>
    <row r="530" spans="14:18" x14ac:dyDescent="0.2">
      <c r="N530" s="139" t="str">
        <f t="shared" si="14"/>
        <v>1D</v>
      </c>
      <c r="O530" s="146">
        <f>_xll.qlCalendarAdvance(Calendar,O529,N530,"f",FALSE)</f>
        <v>42878</v>
      </c>
      <c r="P530" s="140">
        <f>_xll.qlInterestRateIndexValueDate(IborIndex,O530)</f>
        <v>42881</v>
      </c>
      <c r="Q530" s="141">
        <v>1.3518325587400586E-3</v>
      </c>
      <c r="R530" s="143">
        <v>1.1807837512556318E-3</v>
      </c>
    </row>
    <row r="531" spans="14:18" x14ac:dyDescent="0.2">
      <c r="N531" s="139" t="str">
        <f t="shared" si="14"/>
        <v>1D</v>
      </c>
      <c r="O531" s="146">
        <f>_xll.qlCalendarAdvance(Calendar,O530,N531,"f",FALSE)</f>
        <v>42879</v>
      </c>
      <c r="P531" s="140">
        <f>_xll.qlInterestRateIndexValueDate(IborIndex,O531)</f>
        <v>42884</v>
      </c>
      <c r="Q531" s="141">
        <v>1.3983823357227767E-3</v>
      </c>
      <c r="R531" s="143">
        <v>1.1963990210528408E-3</v>
      </c>
    </row>
    <row r="532" spans="14:18" x14ac:dyDescent="0.2">
      <c r="N532" s="139" t="str">
        <f t="shared" si="14"/>
        <v>1D</v>
      </c>
      <c r="O532" s="146">
        <f>_xll.qlCalendarAdvance(Calendar,O531,N532,"f",FALSE)</f>
        <v>42881</v>
      </c>
      <c r="P532" s="140">
        <f>_xll.qlInterestRateIndexValueDate(IborIndex,O532)</f>
        <v>42885</v>
      </c>
      <c r="Q532" s="141">
        <v>1.4138822236327152E-3</v>
      </c>
      <c r="R532" s="143">
        <v>1.2120059195463995E-3</v>
      </c>
    </row>
    <row r="533" spans="14:18" x14ac:dyDescent="0.2">
      <c r="N533" s="139" t="str">
        <f t="shared" ref="N533:N596" si="15">N532</f>
        <v>1D</v>
      </c>
      <c r="O533" s="146">
        <f>_xll.qlCalendarAdvance(Calendar,O532,N533,"f",FALSE)</f>
        <v>42884</v>
      </c>
      <c r="P533" s="140">
        <f>_xll.qlInterestRateIndexValueDate(IborIndex,O533)</f>
        <v>42886</v>
      </c>
      <c r="Q533" s="141">
        <v>1.4216475097752479E-3</v>
      </c>
      <c r="R533" s="143">
        <v>1.2509878296662613E-3</v>
      </c>
    </row>
    <row r="534" spans="14:18" x14ac:dyDescent="0.2">
      <c r="N534" s="139" t="str">
        <f t="shared" si="15"/>
        <v>1D</v>
      </c>
      <c r="O534" s="146">
        <f>_xll.qlCalendarAdvance(Calendar,O533,N534,"f",FALSE)</f>
        <v>42885</v>
      </c>
      <c r="P534" s="140">
        <f>_xll.qlInterestRateIndexValueDate(IborIndex,O534)</f>
        <v>42887</v>
      </c>
      <c r="Q534" s="141">
        <v>1.4525763535425118E-3</v>
      </c>
      <c r="R534" s="143">
        <v>1.289914842939055E-3</v>
      </c>
    </row>
    <row r="535" spans="14:18" x14ac:dyDescent="0.2">
      <c r="N535" s="139" t="str">
        <f t="shared" si="15"/>
        <v>1D</v>
      </c>
      <c r="O535" s="146">
        <f>_xll.qlCalendarAdvance(Calendar,O534,N535,"f",FALSE)</f>
        <v>42886</v>
      </c>
      <c r="P535" s="140">
        <f>_xll.qlInterestRateIndexValueDate(IborIndex,O535)</f>
        <v>42888</v>
      </c>
      <c r="Q535" s="141">
        <v>1.460331773650641E-3</v>
      </c>
      <c r="R535" s="143">
        <v>1.3054715138505202E-3</v>
      </c>
    </row>
    <row r="536" spans="14:18" x14ac:dyDescent="0.2">
      <c r="N536" s="139" t="str">
        <f t="shared" si="15"/>
        <v>1D</v>
      </c>
      <c r="O536" s="146">
        <f>_xll.qlCalendarAdvance(Calendar,O535,N536,"f",FALSE)</f>
        <v>42887</v>
      </c>
      <c r="P536" s="140">
        <f>_xll.qlInterestRateIndexValueDate(IborIndex,O536)</f>
        <v>42892</v>
      </c>
      <c r="Q536" s="141">
        <v>1.5144460031795148E-3</v>
      </c>
      <c r="R536" s="143">
        <v>1.3210198134583351E-3</v>
      </c>
    </row>
    <row r="537" spans="14:18" x14ac:dyDescent="0.2">
      <c r="N537" s="139" t="s">
        <v>106</v>
      </c>
      <c r="O537" s="146">
        <f>_xll.qlCalendarAdvance(Calendar,O536,N537,"f",FALSE)</f>
        <v>42894</v>
      </c>
      <c r="P537" s="140">
        <f>_xll.qlInterestRateIndexValueDate(IborIndex,O537)</f>
        <v>42898</v>
      </c>
      <c r="Q537" s="141">
        <v>1.6069437846883972E-3</v>
      </c>
      <c r="R537" s="143">
        <v>1.4141338140483128E-3</v>
      </c>
    </row>
    <row r="538" spans="14:18" x14ac:dyDescent="0.2">
      <c r="N538" s="139" t="str">
        <f t="shared" si="15"/>
        <v>1w</v>
      </c>
      <c r="O538" s="146">
        <f>_xll.qlCalendarAdvance(Calendar,O537,N538,"f",FALSE)</f>
        <v>42901</v>
      </c>
      <c r="P538" s="140">
        <f>_xll.qlInterestRateIndexValueDate(IborIndex,O538)</f>
        <v>42905</v>
      </c>
      <c r="Q538" s="141">
        <v>1.7144777873960848E-3</v>
      </c>
      <c r="R538" s="143">
        <v>1.5223859213264745E-3</v>
      </c>
    </row>
    <row r="539" spans="14:18" x14ac:dyDescent="0.2">
      <c r="N539" s="139" t="str">
        <f t="shared" si="15"/>
        <v>1w</v>
      </c>
      <c r="O539" s="146">
        <f>_xll.qlCalendarAdvance(Calendar,O538,N539,"f",FALSE)</f>
        <v>42908</v>
      </c>
      <c r="P539" s="140">
        <f>_xll.qlInterestRateIndexValueDate(IborIndex,O539)</f>
        <v>42913</v>
      </c>
      <c r="Q539" s="141">
        <v>1.8368725782504924E-3</v>
      </c>
      <c r="R539" s="143">
        <v>1.6456003377562922E-3</v>
      </c>
    </row>
    <row r="540" spans="14:18" x14ac:dyDescent="0.2">
      <c r="N540" s="139" t="str">
        <f t="shared" si="15"/>
        <v>1w</v>
      </c>
      <c r="O540" s="146">
        <f>_xll.qlCalendarAdvance(Calendar,O539,N540,"f",FALSE)</f>
        <v>42915</v>
      </c>
      <c r="P540" s="140">
        <f>_xll.qlInterestRateIndexValueDate(IborIndex,O540)</f>
        <v>42919</v>
      </c>
      <c r="Q540" s="141">
        <v>1.9359085974099321E-3</v>
      </c>
      <c r="R540" s="143">
        <v>1.73765955560512E-3</v>
      </c>
    </row>
    <row r="541" spans="14:18" x14ac:dyDescent="0.2">
      <c r="N541" s="139" t="str">
        <f t="shared" si="15"/>
        <v>1w</v>
      </c>
      <c r="O541" s="146">
        <f>_xll.qlCalendarAdvance(Calendar,O540,N541,"f",FALSE)</f>
        <v>42922</v>
      </c>
      <c r="P541" s="140">
        <f>_xll.qlInterestRateIndexValueDate(IborIndex,O541)</f>
        <v>42926</v>
      </c>
      <c r="Q541" s="141">
        <v>2.0421859464472927E-3</v>
      </c>
      <c r="R541" s="143">
        <v>1.8446810817263071E-3</v>
      </c>
    </row>
    <row r="542" spans="14:18" x14ac:dyDescent="0.2">
      <c r="N542" s="139" t="str">
        <f t="shared" si="15"/>
        <v>1w</v>
      </c>
      <c r="O542" s="146">
        <f>_xll.qlCalendarAdvance(Calendar,O541,N542,"f",FALSE)</f>
        <v>42929</v>
      </c>
      <c r="P542" s="140">
        <f>_xll.qlInterestRateIndexValueDate(IborIndex,O542)</f>
        <v>42933</v>
      </c>
      <c r="Q542" s="141">
        <v>2.1480539680198267E-3</v>
      </c>
      <c r="R542" s="143">
        <v>1.9512924134090781E-3</v>
      </c>
    </row>
    <row r="543" spans="14:18" x14ac:dyDescent="0.2">
      <c r="N543" s="139" t="str">
        <f t="shared" si="15"/>
        <v>1w</v>
      </c>
      <c r="O543" s="146">
        <f>_xll.qlCalendarAdvance(Calendar,O542,N543,"f",FALSE)</f>
        <v>42936</v>
      </c>
      <c r="P543" s="140">
        <f>_xll.qlInterestRateIndexValueDate(IborIndex,O543)</f>
        <v>42940</v>
      </c>
      <c r="Q543" s="141">
        <v>2.2535126509235933E-3</v>
      </c>
      <c r="R543" s="143">
        <v>2.0574935503336889E-3</v>
      </c>
    </row>
    <row r="544" spans="14:18" x14ac:dyDescent="0.2">
      <c r="N544" s="139" t="str">
        <f t="shared" si="15"/>
        <v>1w</v>
      </c>
      <c r="O544" s="146">
        <f>_xll.qlCalendarAdvance(Calendar,O543,N544,"f",FALSE)</f>
        <v>42943</v>
      </c>
      <c r="P544" s="140">
        <f>_xll.qlInterestRateIndexValueDate(IborIndex,O544)</f>
        <v>42947</v>
      </c>
      <c r="Q544" s="141">
        <v>2.3585619839881734E-3</v>
      </c>
      <c r="R544" s="143">
        <v>2.163284492100459E-3</v>
      </c>
    </row>
    <row r="545" spans="14:18" x14ac:dyDescent="0.2">
      <c r="N545" s="139" t="str">
        <f t="shared" si="15"/>
        <v>1w</v>
      </c>
      <c r="O545" s="146">
        <f>_xll.qlCalendarAdvance(Calendar,O544,N545,"f",FALSE)</f>
        <v>42950</v>
      </c>
      <c r="P545" s="140">
        <f>_xll.qlInterestRateIndexValueDate(IborIndex,O545)</f>
        <v>42954</v>
      </c>
      <c r="Q545" s="141">
        <v>2.4632019560895616E-3</v>
      </c>
      <c r="R545" s="143">
        <v>2.2686652383896444E-3</v>
      </c>
    </row>
    <row r="546" spans="14:18" x14ac:dyDescent="0.2">
      <c r="N546" s="139" t="str">
        <f t="shared" si="15"/>
        <v>1w</v>
      </c>
      <c r="O546" s="146">
        <f>_xll.qlCalendarAdvance(Calendar,O545,N546,"f",FALSE)</f>
        <v>42957</v>
      </c>
      <c r="P546" s="140">
        <f>_xll.qlInterestRateIndexValueDate(IborIndex,O546)</f>
        <v>42961</v>
      </c>
      <c r="Q546" s="141">
        <v>2.5674325561450104E-3</v>
      </c>
      <c r="R546" s="143">
        <v>2.3736357887216286E-3</v>
      </c>
    </row>
    <row r="547" spans="14:18" x14ac:dyDescent="0.2">
      <c r="N547" s="139" t="str">
        <f t="shared" si="15"/>
        <v>1w</v>
      </c>
      <c r="O547" s="146">
        <f>_xll.qlCalendarAdvance(Calendar,O546,N547,"f",FALSE)</f>
        <v>42964</v>
      </c>
      <c r="P547" s="140">
        <f>_xll.qlInterestRateIndexValueDate(IborIndex,O547)</f>
        <v>42968</v>
      </c>
      <c r="Q547" s="141">
        <v>2.6712537731285011E-3</v>
      </c>
      <c r="R547" s="143">
        <v>2.4781961428566035E-3</v>
      </c>
    </row>
    <row r="548" spans="14:18" x14ac:dyDescent="0.2">
      <c r="N548" s="139" t="str">
        <f t="shared" si="15"/>
        <v>1w</v>
      </c>
      <c r="O548" s="146">
        <f>_xll.qlCalendarAdvance(Calendar,O547,N548,"f",FALSE)</f>
        <v>42971</v>
      </c>
      <c r="P548" s="140">
        <f>_xll.qlInterestRateIndexValueDate(IborIndex,O548)</f>
        <v>42975</v>
      </c>
      <c r="Q548" s="141">
        <v>2.7746655960294861E-3</v>
      </c>
      <c r="R548" s="143">
        <v>2.5823463003948888E-3</v>
      </c>
    </row>
    <row r="549" spans="14:18" x14ac:dyDescent="0.2">
      <c r="N549" s="139" t="str">
        <f t="shared" si="15"/>
        <v>1w</v>
      </c>
      <c r="O549" s="146">
        <f>_xll.qlCalendarAdvance(Calendar,O548,N549,"f",FALSE)</f>
        <v>42978</v>
      </c>
      <c r="P549" s="140">
        <f>_xll.qlInterestRateIndexValueDate(IborIndex,O549)</f>
        <v>42982</v>
      </c>
      <c r="Q549" s="141">
        <v>2.8703341177482855E-3</v>
      </c>
      <c r="R549" s="143">
        <v>2.6860862609368041E-3</v>
      </c>
    </row>
    <row r="550" spans="14:18" x14ac:dyDescent="0.2">
      <c r="N550" s="139" t="str">
        <f t="shared" si="15"/>
        <v>1w</v>
      </c>
      <c r="O550" s="146">
        <f>_xll.qlCalendarAdvance(Calendar,O549,N550,"f",FALSE)</f>
        <v>42985</v>
      </c>
      <c r="P550" s="140">
        <f>_xll.qlInterestRateIndexValueDate(IborIndex,O550)</f>
        <v>42989</v>
      </c>
      <c r="Q550" s="141">
        <v>2.9729555314936817E-3</v>
      </c>
      <c r="R550" s="143">
        <v>2.7894160241626054E-3</v>
      </c>
    </row>
    <row r="551" spans="14:18" x14ac:dyDescent="0.2">
      <c r="N551" s="139" t="str">
        <f t="shared" si="15"/>
        <v>1w</v>
      </c>
      <c r="O551" s="146">
        <f>_xll.qlCalendarAdvance(Calendar,O550,N551,"f",FALSE)</f>
        <v>42992</v>
      </c>
      <c r="P551" s="140">
        <f>_xll.qlInterestRateIndexValueDate(IborIndex,O551)</f>
        <v>42996</v>
      </c>
      <c r="Q551" s="141">
        <v>3.0751674934652584E-3</v>
      </c>
      <c r="R551" s="143">
        <v>2.8923355898324843E-3</v>
      </c>
    </row>
    <row r="552" spans="14:18" x14ac:dyDescent="0.2">
      <c r="N552" s="139" t="str">
        <f t="shared" si="15"/>
        <v>1w</v>
      </c>
      <c r="O552" s="146">
        <f>_xll.qlCalendarAdvance(Calendar,O551,N552,"f",FALSE)</f>
        <v>42999</v>
      </c>
      <c r="P552" s="140">
        <f>_xll.qlInterestRateIndexValueDate(IborIndex,O552)</f>
        <v>43003</v>
      </c>
      <c r="Q552" s="141">
        <v>3.1769699931887274E-3</v>
      </c>
      <c r="R552" s="143">
        <v>2.9948449573868885E-3</v>
      </c>
    </row>
    <row r="553" spans="14:18" x14ac:dyDescent="0.2">
      <c r="N553" s="139" t="str">
        <f t="shared" si="15"/>
        <v>1w</v>
      </c>
      <c r="O553" s="146">
        <f>_xll.qlCalendarAdvance(Calendar,O552,N553,"f",FALSE)</f>
        <v>43006</v>
      </c>
      <c r="P553" s="140">
        <f>_xll.qlInterestRateIndexValueDate(IborIndex,O553)</f>
        <v>43010</v>
      </c>
      <c r="Q553" s="141">
        <v>3.2855834176588831E-3</v>
      </c>
      <c r="R553" s="143">
        <v>3.0969441265860098E-3</v>
      </c>
    </row>
    <row r="554" spans="14:18" x14ac:dyDescent="0.2">
      <c r="N554" s="139" t="str">
        <f t="shared" si="15"/>
        <v>1w</v>
      </c>
      <c r="O554" s="146">
        <f>_xll.qlCalendarAdvance(Calendar,O553,N554,"f",FALSE)</f>
        <v>43013</v>
      </c>
      <c r="P554" s="140">
        <f>_xll.qlInterestRateIndexValueDate(IborIndex,O554)</f>
        <v>43017</v>
      </c>
      <c r="Q554" s="141">
        <v>3.3865386476591539E-3</v>
      </c>
      <c r="R554" s="143">
        <v>3.198633097030168E-3</v>
      </c>
    </row>
    <row r="555" spans="14:18" x14ac:dyDescent="0.2">
      <c r="N555" s="139" t="str">
        <f t="shared" si="15"/>
        <v>1w</v>
      </c>
      <c r="O555" s="146">
        <f>_xll.qlCalendarAdvance(Calendar,O554,N555,"f",FALSE)</f>
        <v>43020</v>
      </c>
      <c r="P555" s="140">
        <f>_xll.qlInterestRateIndexValueDate(IborIndex,O555)</f>
        <v>43024</v>
      </c>
      <c r="Q555" s="141">
        <v>3.4870844078413723E-3</v>
      </c>
      <c r="R555" s="143">
        <v>3.2999118685594908E-3</v>
      </c>
    </row>
    <row r="556" spans="14:18" x14ac:dyDescent="0.2">
      <c r="N556" s="139" t="str">
        <f t="shared" si="15"/>
        <v>1w</v>
      </c>
      <c r="O556" s="146">
        <f>_xll.qlCalendarAdvance(Calendar,O555,N556,"f",FALSE)</f>
        <v>43027</v>
      </c>
      <c r="P556" s="140">
        <f>_xll.qlInterestRateIndexValueDate(IborIndex,O556)</f>
        <v>43031</v>
      </c>
      <c r="Q556" s="141">
        <v>3.5872206875534143E-3</v>
      </c>
      <c r="R556" s="143">
        <v>3.4007804405344899E-3</v>
      </c>
    </row>
    <row r="557" spans="14:18" x14ac:dyDescent="0.2">
      <c r="N557" s="139" t="str">
        <f t="shared" si="15"/>
        <v>1w</v>
      </c>
      <c r="O557" s="146">
        <f>_xll.qlCalendarAdvance(Calendar,O556,N557,"f",FALSE)</f>
        <v>43034</v>
      </c>
      <c r="P557" s="140">
        <f>_xll.qlInterestRateIndexValueDate(IborIndex,O557)</f>
        <v>43038</v>
      </c>
      <c r="Q557" s="141">
        <v>3.6869474761895694E-3</v>
      </c>
      <c r="R557" s="143">
        <v>3.5012388128752292E-3</v>
      </c>
    </row>
    <row r="558" spans="14:18" x14ac:dyDescent="0.2">
      <c r="N558" s="139" t="str">
        <f t="shared" si="15"/>
        <v>1w</v>
      </c>
      <c r="O558" s="146">
        <f>_xll.qlCalendarAdvance(Calendar,O557,N558,"f",FALSE)</f>
        <v>43041</v>
      </c>
      <c r="P558" s="140">
        <f>_xll.qlInterestRateIndexValueDate(IborIndex,O558)</f>
        <v>43045</v>
      </c>
      <c r="Q558" s="141">
        <v>3.7791857030162745E-3</v>
      </c>
      <c r="R558" s="143">
        <v>3.6012869849422202E-3</v>
      </c>
    </row>
    <row r="559" spans="14:18" x14ac:dyDescent="0.2">
      <c r="N559" s="139" t="str">
        <f t="shared" si="15"/>
        <v>1w</v>
      </c>
      <c r="O559" s="146">
        <f>_xll.qlCalendarAdvance(Calendar,O558,N559,"f",FALSE)</f>
        <v>43048</v>
      </c>
      <c r="P559" s="140">
        <f>_xll.qlInterestRateIndexValueDate(IborIndex,O559)</f>
        <v>43052</v>
      </c>
      <c r="Q559" s="141">
        <v>3.8781216772241223E-3</v>
      </c>
      <c r="R559" s="143">
        <v>3.700924956735463E-3</v>
      </c>
    </row>
    <row r="560" spans="14:18" x14ac:dyDescent="0.2">
      <c r="N560" s="139" t="str">
        <f t="shared" si="15"/>
        <v>1w</v>
      </c>
      <c r="O560" s="146">
        <f>_xll.qlCalendarAdvance(Calendar,O559,N560,"f",FALSE)</f>
        <v>43055</v>
      </c>
      <c r="P560" s="140">
        <f>_xll.qlInterestRateIndexValueDate(IborIndex,O560)</f>
        <v>43059</v>
      </c>
      <c r="Q560" s="141">
        <v>3.9766481068976844E-3</v>
      </c>
      <c r="R560" s="143">
        <v>3.800152727695405E-3</v>
      </c>
    </row>
    <row r="561" spans="14:18" x14ac:dyDescent="0.2">
      <c r="N561" s="139" t="str">
        <f t="shared" si="15"/>
        <v>1w</v>
      </c>
      <c r="O561" s="146">
        <f>_xll.qlCalendarAdvance(Calendar,O560,N561,"f",FALSE)</f>
        <v>43062</v>
      </c>
      <c r="P561" s="140">
        <f>_xll.qlInterestRateIndexValueDate(IborIndex,O561)</f>
        <v>43066</v>
      </c>
      <c r="Q561" s="141">
        <v>4.0747649819357079E-3</v>
      </c>
      <c r="R561" s="143">
        <v>3.8989702975023022E-3</v>
      </c>
    </row>
    <row r="562" spans="14:18" x14ac:dyDescent="0.2">
      <c r="N562" s="139" t="str">
        <f t="shared" si="15"/>
        <v>1w</v>
      </c>
      <c r="O562" s="146">
        <f>_xll.qlCalendarAdvance(Calendar,O561,N562,"f",FALSE)</f>
        <v>43069</v>
      </c>
      <c r="P562" s="140">
        <f>_xll.qlInterestRateIndexValueDate(IborIndex,O562)</f>
        <v>43073</v>
      </c>
      <c r="Q562" s="141">
        <v>4.1794386851548657E-3</v>
      </c>
      <c r="R562" s="143">
        <v>3.9973776658364102E-3</v>
      </c>
    </row>
    <row r="563" spans="14:18" x14ac:dyDescent="0.2">
      <c r="N563" s="139" t="str">
        <f t="shared" si="15"/>
        <v>1w</v>
      </c>
      <c r="O563" s="146">
        <f>_xll.qlCalendarAdvance(Calendar,O562,N563,"f",FALSE)</f>
        <v>43076</v>
      </c>
      <c r="P563" s="140">
        <f>_xll.qlInterestRateIndexValueDate(IborIndex,O563)</f>
        <v>43080</v>
      </c>
      <c r="Q563" s="141">
        <v>4.2767083070834981E-3</v>
      </c>
      <c r="R563" s="143">
        <v>4.0953748324579209E-3</v>
      </c>
    </row>
    <row r="564" spans="14:18" x14ac:dyDescent="0.2">
      <c r="N564" s="139" t="str">
        <f t="shared" si="15"/>
        <v>1w</v>
      </c>
      <c r="O564" s="146">
        <f>_xll.qlCalendarAdvance(Calendar,O563,N564,"f",FALSE)</f>
        <v>43083</v>
      </c>
      <c r="P564" s="140">
        <f>_xll.qlInterestRateIndexValueDate(IborIndex,O564)</f>
        <v>43087</v>
      </c>
      <c r="Q564" s="141">
        <v>4.3735683649185238E-3</v>
      </c>
      <c r="R564" s="143">
        <v>4.1929617968872179E-3</v>
      </c>
    </row>
    <row r="565" spans="14:18" x14ac:dyDescent="0.2">
      <c r="N565" s="139" t="str">
        <f t="shared" si="15"/>
        <v>1w</v>
      </c>
      <c r="O565" s="146">
        <f>_xll.qlCalendarAdvance(Calendar,O564,N565,"f",FALSE)</f>
        <v>43090</v>
      </c>
      <c r="P565" s="140">
        <f>_xll.qlInterestRateIndexValueDate(IborIndex,O565)</f>
        <v>43096</v>
      </c>
      <c r="Q565" s="141">
        <v>4.5112412430023145E-3</v>
      </c>
      <c r="R565" s="143">
        <v>4.3386463118788576E-3</v>
      </c>
    </row>
    <row r="566" spans="14:18" x14ac:dyDescent="0.2">
      <c r="N566" s="139" t="str">
        <f t="shared" si="15"/>
        <v>1w</v>
      </c>
      <c r="O566" s="146">
        <f>_xll.qlCalendarAdvance(Calendar,O565,N566,"f",FALSE)</f>
        <v>43097</v>
      </c>
      <c r="P566" s="140">
        <f>_xll.qlInterestRateIndexValueDate(IborIndex,O566)</f>
        <v>43102</v>
      </c>
      <c r="Q566" s="141">
        <v>4.579746439673551E-3</v>
      </c>
      <c r="R566" s="143">
        <v>4.400695426385326E-3</v>
      </c>
    </row>
    <row r="567" spans="14:18" x14ac:dyDescent="0.2">
      <c r="N567" s="139" t="str">
        <f t="shared" si="15"/>
        <v>1w</v>
      </c>
      <c r="O567" s="146">
        <f>_xll.qlCalendarAdvance(Calendar,O566,N567,"f",FALSE)</f>
        <v>43104</v>
      </c>
      <c r="P567" s="140">
        <f>_xll.qlInterestRateIndexValueDate(IborIndex,O567)</f>
        <v>43108</v>
      </c>
      <c r="Q567" s="141">
        <v>4.6616910515102786E-3</v>
      </c>
      <c r="R567" s="143">
        <v>4.4832614742240651E-3</v>
      </c>
    </row>
    <row r="568" spans="14:18" x14ac:dyDescent="0.2">
      <c r="N568" s="139" t="str">
        <f t="shared" si="15"/>
        <v>1w</v>
      </c>
      <c r="O568" s="146">
        <f>_xll.qlCalendarAdvance(Calendar,O567,N568,"f",FALSE)</f>
        <v>43111</v>
      </c>
      <c r="P568" s="140">
        <f>_xll.qlInterestRateIndexValueDate(IborIndex,O568)</f>
        <v>43115</v>
      </c>
      <c r="Q568" s="141">
        <v>4.7569127508306419E-3</v>
      </c>
      <c r="R568" s="143">
        <v>4.5792076267670012E-3</v>
      </c>
    </row>
    <row r="569" spans="14:18" x14ac:dyDescent="0.2">
      <c r="N569" s="139" t="str">
        <f t="shared" si="15"/>
        <v>1w</v>
      </c>
      <c r="O569" s="146">
        <f>_xll.qlCalendarAdvance(Calendar,O568,N569,"f",FALSE)</f>
        <v>43118</v>
      </c>
      <c r="P569" s="140">
        <f>_xll.qlInterestRateIndexValueDate(IborIndex,O569)</f>
        <v>43122</v>
      </c>
      <c r="Q569" s="141">
        <v>4.8517248352025937E-3</v>
      </c>
      <c r="R569" s="143">
        <v>4.6747435755989386E-3</v>
      </c>
    </row>
    <row r="570" spans="14:18" x14ac:dyDescent="0.2">
      <c r="N570" s="139" t="str">
        <f t="shared" si="15"/>
        <v>1w</v>
      </c>
      <c r="O570" s="146">
        <f>_xll.qlCalendarAdvance(Calendar,O569,N570,"f",FALSE)</f>
        <v>43125</v>
      </c>
      <c r="P570" s="140">
        <f>_xll.qlInterestRateIndexValueDate(IborIndex,O570)</f>
        <v>43129</v>
      </c>
      <c r="Q570" s="141">
        <v>4.939385253205586E-3</v>
      </c>
      <c r="R570" s="143">
        <v>4.7698693203201969E-3</v>
      </c>
    </row>
    <row r="571" spans="14:18" x14ac:dyDescent="0.2">
      <c r="N571" s="139" t="str">
        <f t="shared" si="15"/>
        <v>1w</v>
      </c>
      <c r="O571" s="146">
        <f>_xll.qlCalendarAdvance(Calendar,O570,N571,"f",FALSE)</f>
        <v>43132</v>
      </c>
      <c r="P571" s="140">
        <f>_xll.qlInterestRateIndexValueDate(IborIndex,O571)</f>
        <v>43136</v>
      </c>
      <c r="Q571" s="141">
        <v>5.019970065922268E-3</v>
      </c>
      <c r="R571" s="143">
        <v>4.8645848606909681E-3</v>
      </c>
    </row>
    <row r="572" spans="14:18" x14ac:dyDescent="0.2">
      <c r="N572" s="139" t="str">
        <f t="shared" si="15"/>
        <v>1w</v>
      </c>
      <c r="O572" s="146">
        <f>_xll.qlCalendarAdvance(Calendar,O571,N572,"f",FALSE)</f>
        <v>43139</v>
      </c>
      <c r="P572" s="140">
        <f>_xll.qlInterestRateIndexValueDate(IborIndex,O572)</f>
        <v>43143</v>
      </c>
      <c r="Q572" s="141">
        <v>5.1136370735238579E-3</v>
      </c>
      <c r="R572" s="143">
        <v>4.9588901962316356E-3</v>
      </c>
    </row>
    <row r="573" spans="14:18" x14ac:dyDescent="0.2">
      <c r="N573" s="139" t="str">
        <f t="shared" si="15"/>
        <v>1w</v>
      </c>
      <c r="O573" s="146">
        <f>_xll.qlCalendarAdvance(Calendar,O572,N573,"f",FALSE)</f>
        <v>43146</v>
      </c>
      <c r="P573" s="140">
        <f>_xll.qlInterestRateIndexValueDate(IborIndex,O573)</f>
        <v>43150</v>
      </c>
      <c r="Q573" s="141">
        <v>5.2068943730808137E-3</v>
      </c>
      <c r="R573" s="143">
        <v>5.0527853266224554E-3</v>
      </c>
    </row>
    <row r="574" spans="14:18" x14ac:dyDescent="0.2">
      <c r="N574" s="139" t="str">
        <f t="shared" si="15"/>
        <v>1w</v>
      </c>
      <c r="O574" s="146">
        <f>_xll.qlCalendarAdvance(Calendar,O573,N574,"f",FALSE)</f>
        <v>43153</v>
      </c>
      <c r="P574" s="140">
        <f>_xll.qlInterestRateIndexValueDate(IborIndex,O574)</f>
        <v>43157</v>
      </c>
      <c r="Q574" s="141">
        <v>5.2997419556688463E-3</v>
      </c>
      <c r="R574" s="143">
        <v>5.1462702517035552E-3</v>
      </c>
    </row>
    <row r="575" spans="14:18" x14ac:dyDescent="0.2">
      <c r="N575" s="139" t="str">
        <f t="shared" si="15"/>
        <v>1w</v>
      </c>
      <c r="O575" s="146">
        <f>_xll.qlCalendarAdvance(Calendar,O574,N575,"f",FALSE)</f>
        <v>43160</v>
      </c>
      <c r="P575" s="140">
        <f>_xll.qlInterestRateIndexValueDate(IborIndex,O575)</f>
        <v>43164</v>
      </c>
      <c r="Q575" s="141">
        <v>5.4119948682282695E-3</v>
      </c>
      <c r="R575" s="143">
        <v>5.2393449709953188E-3</v>
      </c>
    </row>
    <row r="576" spans="14:18" x14ac:dyDescent="0.2">
      <c r="N576" s="139" t="str">
        <f t="shared" si="15"/>
        <v>1w</v>
      </c>
      <c r="O576" s="146">
        <f>_xll.qlCalendarAdvance(Calendar,O575,N576,"f",FALSE)</f>
        <v>43167</v>
      </c>
      <c r="P576" s="140">
        <f>_xll.qlInterestRateIndexValueDate(IborIndex,O576)</f>
        <v>43171</v>
      </c>
      <c r="Q576" s="141">
        <v>5.5039393692320419E-3</v>
      </c>
      <c r="R576" s="143">
        <v>5.332009484337874E-3</v>
      </c>
    </row>
    <row r="577" spans="14:18" x14ac:dyDescent="0.2">
      <c r="N577" s="139" t="str">
        <f t="shared" si="15"/>
        <v>1w</v>
      </c>
      <c r="O577" s="146">
        <f>_xll.qlCalendarAdvance(Calendar,O576,N577,"f",FALSE)</f>
        <v>43174</v>
      </c>
      <c r="P577" s="140">
        <f>_xll.qlInterestRateIndexValueDate(IborIndex,O577)</f>
        <v>43178</v>
      </c>
      <c r="Q577" s="141">
        <v>5.5954741761661767E-3</v>
      </c>
      <c r="R577" s="143">
        <v>5.4242637912516045E-3</v>
      </c>
    </row>
    <row r="578" spans="14:18" x14ac:dyDescent="0.2">
      <c r="N578" s="139" t="str">
        <f t="shared" si="15"/>
        <v>1w</v>
      </c>
      <c r="O578" s="146">
        <f>_xll.qlCalendarAdvance(Calendar,O577,N578,"f",FALSE)</f>
        <v>43181</v>
      </c>
      <c r="P578" s="140">
        <f>_xll.qlInterestRateIndexValueDate(IborIndex,O578)</f>
        <v>43185</v>
      </c>
      <c r="Q578" s="141">
        <v>5.6865992793352039E-3</v>
      </c>
      <c r="R578" s="143">
        <v>5.5161078914967021E-3</v>
      </c>
    </row>
    <row r="579" spans="14:18" x14ac:dyDescent="0.2">
      <c r="N579" s="139" t="str">
        <f t="shared" si="15"/>
        <v>1w</v>
      </c>
      <c r="O579" s="146">
        <f>_xll.qlCalendarAdvance(Calendar,O578,N579,"f",FALSE)</f>
        <v>43188</v>
      </c>
      <c r="P579" s="140">
        <f>_xll.qlInterestRateIndexValueDate(IborIndex,O579)</f>
        <v>43194</v>
      </c>
      <c r="Q579" s="141">
        <v>5.7966750035545189E-3</v>
      </c>
      <c r="R579" s="143">
        <v>5.6466879421357419E-3</v>
      </c>
    </row>
    <row r="580" spans="14:18" x14ac:dyDescent="0.2">
      <c r="N580" s="139" t="str">
        <f t="shared" si="15"/>
        <v>1w</v>
      </c>
      <c r="O580" s="146">
        <f>_xll.qlCalendarAdvance(Calendar,O579,N580,"f",FALSE)</f>
        <v>43195</v>
      </c>
      <c r="P580" s="140">
        <f>_xll.qlInterestRateIndexValueDate(IborIndex,O580)</f>
        <v>43199</v>
      </c>
      <c r="Q580" s="141">
        <v>5.8611571031743637E-3</v>
      </c>
      <c r="R580" s="143">
        <v>5.6985654707819577E-3</v>
      </c>
    </row>
    <row r="581" spans="14:18" x14ac:dyDescent="0.2">
      <c r="N581" s="139" t="str">
        <f t="shared" si="15"/>
        <v>1w</v>
      </c>
      <c r="O581" s="146">
        <f>_xll.qlCalendarAdvance(Calendar,O580,N581,"f",FALSE)</f>
        <v>43202</v>
      </c>
      <c r="P581" s="140">
        <f>_xll.qlInterestRateIndexValueDate(IborIndex,O581)</f>
        <v>43206</v>
      </c>
      <c r="Q581" s="141">
        <v>5.9510808294955808E-3</v>
      </c>
      <c r="R581" s="143">
        <v>5.7891789492625634E-3</v>
      </c>
    </row>
    <row r="582" spans="14:18" x14ac:dyDescent="0.2">
      <c r="N582" s="139" t="str">
        <f t="shared" si="15"/>
        <v>1w</v>
      </c>
      <c r="O582" s="146">
        <f>_xll.qlCalendarAdvance(Calendar,O581,N582,"f",FALSE)</f>
        <v>43209</v>
      </c>
      <c r="P582" s="140">
        <f>_xll.qlInterestRateIndexValueDate(IborIndex,O582)</f>
        <v>43213</v>
      </c>
      <c r="Q582" s="141">
        <v>6.0406038283895569E-3</v>
      </c>
      <c r="R582" s="143">
        <v>5.8793822197156231E-3</v>
      </c>
    </row>
    <row r="583" spans="14:18" x14ac:dyDescent="0.2">
      <c r="N583" s="139" t="str">
        <f t="shared" si="15"/>
        <v>1w</v>
      </c>
      <c r="O583" s="146">
        <f>_xll.qlCalendarAdvance(Calendar,O582,N583,"f",FALSE)</f>
        <v>43216</v>
      </c>
      <c r="P583" s="140">
        <f>_xll.qlInterestRateIndexValueDate(IborIndex,O583)</f>
        <v>43220</v>
      </c>
      <c r="Q583" s="141">
        <v>6.1362324907341462E-3</v>
      </c>
      <c r="R583" s="143">
        <v>5.9819693757656722E-3</v>
      </c>
    </row>
    <row r="584" spans="14:18" x14ac:dyDescent="0.2">
      <c r="N584" s="139" t="str">
        <f t="shared" si="15"/>
        <v>1w</v>
      </c>
      <c r="O584" s="146">
        <f>_xll.qlCalendarAdvance(Calendar,O583,N584,"f",FALSE)</f>
        <v>43223</v>
      </c>
      <c r="P584" s="140">
        <f>_xll.qlInterestRateIndexValueDate(IborIndex,O584)</f>
        <v>43227</v>
      </c>
      <c r="Q584" s="141">
        <v>6.2253048515167799E-3</v>
      </c>
      <c r="R584" s="143">
        <v>6.0649769698439826E-3</v>
      </c>
    </row>
    <row r="585" spans="14:18" x14ac:dyDescent="0.2">
      <c r="N585" s="139" t="str">
        <f t="shared" si="15"/>
        <v>1w</v>
      </c>
      <c r="O585" s="146">
        <f>_xll.qlCalendarAdvance(Calendar,O584,N585,"f",FALSE)</f>
        <v>43231</v>
      </c>
      <c r="P585" s="140">
        <f>_xll.qlInterestRateIndexValueDate(IborIndex,O585)</f>
        <v>43235</v>
      </c>
      <c r="Q585" s="141">
        <v>6.3271118187294226E-3</v>
      </c>
      <c r="R585" s="143">
        <v>6.1602076718880738E-3</v>
      </c>
    </row>
    <row r="586" spans="14:18" x14ac:dyDescent="0.2">
      <c r="N586" s="139" t="str">
        <f t="shared" si="15"/>
        <v>1w</v>
      </c>
      <c r="O586" s="146">
        <f>_xll.qlCalendarAdvance(Calendar,O585,N586,"f",FALSE)</f>
        <v>43238</v>
      </c>
      <c r="P586" s="140">
        <f>_xll.qlInterestRateIndexValueDate(IborIndex,O586)</f>
        <v>43243</v>
      </c>
      <c r="Q586" s="141">
        <v>6.4420389240977217E-3</v>
      </c>
      <c r="R586" s="143">
        <v>6.2745039011691262E-3</v>
      </c>
    </row>
    <row r="587" spans="14:18" x14ac:dyDescent="0.2">
      <c r="N587" s="139" t="str">
        <f t="shared" si="15"/>
        <v>1w</v>
      </c>
      <c r="O587" s="146">
        <f>_xll.qlCalendarAdvance(Calendar,O586,N587,"f",FALSE)</f>
        <v>43245</v>
      </c>
      <c r="P587" s="140">
        <f>_xll.qlInterestRateIndexValueDate(IborIndex,O587)</f>
        <v>43249</v>
      </c>
      <c r="Q587" s="141">
        <v>6.5058310251646873E-3</v>
      </c>
      <c r="R587" s="143">
        <v>6.3379899586202271E-3</v>
      </c>
    </row>
    <row r="588" spans="14:18" x14ac:dyDescent="0.2">
      <c r="N588" s="139" t="str">
        <f t="shared" si="15"/>
        <v>1w</v>
      </c>
      <c r="O588" s="146">
        <f>_xll.qlCalendarAdvance(Calendar,O587,N588,"f",FALSE)</f>
        <v>43252</v>
      </c>
      <c r="P588" s="140">
        <f>_xll.qlInterestRateIndexValueDate(IborIndex,O588)</f>
        <v>43256</v>
      </c>
      <c r="Q588" s="141">
        <v>6.5890440669145178E-3</v>
      </c>
      <c r="R588" s="143">
        <v>6.4272199316306455E-3</v>
      </c>
    </row>
    <row r="589" spans="14:18" x14ac:dyDescent="0.2">
      <c r="N589" s="139" t="str">
        <f t="shared" si="15"/>
        <v>1w</v>
      </c>
      <c r="O589" s="146">
        <f>_xll.qlCalendarAdvance(Calendar,O588,N589,"f",FALSE)</f>
        <v>43259</v>
      </c>
      <c r="P589" s="140">
        <f>_xll.qlInterestRateIndexValueDate(IborIndex,O589)</f>
        <v>43263</v>
      </c>
      <c r="Q589" s="141">
        <v>6.6789533294029368E-3</v>
      </c>
      <c r="R589" s="143">
        <v>6.5166765134527793E-3</v>
      </c>
    </row>
    <row r="590" spans="14:18" x14ac:dyDescent="0.2">
      <c r="N590" s="139" t="str">
        <f t="shared" si="15"/>
        <v>1w</v>
      </c>
      <c r="O590" s="146">
        <f>_xll.qlCalendarAdvance(Calendar,O589,N590,"f",FALSE)</f>
        <v>43266</v>
      </c>
      <c r="P590" s="140">
        <f>_xll.qlInterestRateIndexValueDate(IborIndex,O590)</f>
        <v>43270</v>
      </c>
      <c r="Q590" s="141">
        <v>6.7690899754486722E-3</v>
      </c>
      <c r="R590" s="143">
        <v>6.6257928165858182E-3</v>
      </c>
    </row>
    <row r="591" spans="14:18" x14ac:dyDescent="0.2">
      <c r="N591" s="139" t="str">
        <f t="shared" si="15"/>
        <v>1w</v>
      </c>
      <c r="O591" s="146">
        <f>_xll.qlCalendarAdvance(Calendar,O590,N591,"f",FALSE)</f>
        <v>43276</v>
      </c>
      <c r="P591" s="140">
        <f>_xll.qlInterestRateIndexValueDate(IborIndex,O591)</f>
        <v>43278</v>
      </c>
      <c r="Q591" s="141">
        <v>6.8723817206057802E-3</v>
      </c>
      <c r="R591" s="143">
        <v>6.7221266968786608E-3</v>
      </c>
    </row>
    <row r="592" spans="14:18" x14ac:dyDescent="0.2">
      <c r="N592" s="139" t="str">
        <f t="shared" si="15"/>
        <v>1w</v>
      </c>
      <c r="O592" s="146">
        <f>_xll.qlCalendarAdvance(Calendar,O591,N592,"f",FALSE)</f>
        <v>43283</v>
      </c>
      <c r="P592" s="140">
        <f>_xll.qlInterestRateIndexValueDate(IborIndex,O592)</f>
        <v>43285</v>
      </c>
      <c r="Q592" s="141">
        <v>6.9826941767817379E-3</v>
      </c>
      <c r="R592" s="143">
        <v>6.8123312423917781E-3</v>
      </c>
    </row>
    <row r="593" spans="14:18" x14ac:dyDescent="0.2">
      <c r="N593" s="139" t="str">
        <f t="shared" si="15"/>
        <v>1w</v>
      </c>
      <c r="O593" s="146">
        <f>_xll.qlCalendarAdvance(Calendar,O592,N593,"f",FALSE)</f>
        <v>43290</v>
      </c>
      <c r="P593" s="140">
        <f>_xll.qlInterestRateIndexValueDate(IborIndex,O593)</f>
        <v>43292</v>
      </c>
      <c r="Q593" s="141">
        <v>7.0735995418911499E-3</v>
      </c>
      <c r="R593" s="143">
        <v>6.9027624512063568E-3</v>
      </c>
    </row>
    <row r="594" spans="14:18" x14ac:dyDescent="0.2">
      <c r="N594" s="139" t="str">
        <f t="shared" si="15"/>
        <v>1w</v>
      </c>
      <c r="O594" s="146">
        <f>_xll.qlCalendarAdvance(Calendar,O593,N594,"f",FALSE)</f>
        <v>43297</v>
      </c>
      <c r="P594" s="140">
        <f>_xll.qlInterestRateIndexValueDate(IborIndex,O594)</f>
        <v>43299</v>
      </c>
      <c r="Q594" s="141">
        <v>7.164732395307542E-3</v>
      </c>
      <c r="R594" s="143">
        <v>6.9934203238553039E-3</v>
      </c>
    </row>
    <row r="595" spans="14:18" x14ac:dyDescent="0.2">
      <c r="N595" s="139" t="str">
        <f t="shared" si="15"/>
        <v>1w</v>
      </c>
      <c r="O595" s="146">
        <f>_xll.qlCalendarAdvance(Calendar,O594,N595,"f",FALSE)</f>
        <v>43304</v>
      </c>
      <c r="P595" s="140">
        <f>_xll.qlInterestRateIndexValueDate(IborIndex,O595)</f>
        <v>43306</v>
      </c>
      <c r="Q595" s="141">
        <v>7.2560927427233295E-3</v>
      </c>
      <c r="R595" s="143">
        <v>7.0843048608182357E-3</v>
      </c>
    </row>
    <row r="596" spans="14:18" x14ac:dyDescent="0.2">
      <c r="N596" s="139" t="str">
        <f t="shared" si="15"/>
        <v>1w</v>
      </c>
      <c r="O596" s="146">
        <f>_xll.qlCalendarAdvance(Calendar,O595,N596,"f",FALSE)</f>
        <v>43311</v>
      </c>
      <c r="P596" s="140">
        <f>_xll.qlInterestRateIndexValueDate(IborIndex,O596)</f>
        <v>43313</v>
      </c>
      <c r="Q596" s="141">
        <v>7.3476805898309303E-3</v>
      </c>
      <c r="R596" s="143">
        <v>7.1754160626280594E-3</v>
      </c>
    </row>
    <row r="597" spans="14:18" x14ac:dyDescent="0.2">
      <c r="N597" s="139" t="str">
        <f t="shared" ref="N597:N660" si="16">N596</f>
        <v>1w</v>
      </c>
      <c r="O597" s="146">
        <f>_xll.qlCalendarAdvance(Calendar,O596,N597,"f",FALSE)</f>
        <v>43318</v>
      </c>
      <c r="P597" s="140">
        <f>_xll.qlInterestRateIndexValueDate(IborIndex,O597)</f>
        <v>43320</v>
      </c>
      <c r="Q597" s="141">
        <v>7.4394959423469817E-3</v>
      </c>
      <c r="R597" s="143">
        <v>7.266753929817682E-3</v>
      </c>
    </row>
    <row r="598" spans="14:18" x14ac:dyDescent="0.2">
      <c r="N598" s="139" t="str">
        <f t="shared" si="16"/>
        <v>1w</v>
      </c>
      <c r="O598" s="146">
        <f>_xll.qlCalendarAdvance(Calendar,O597,N598,"f",FALSE)</f>
        <v>43325</v>
      </c>
      <c r="P598" s="140">
        <f>_xll.qlInterestRateIndexValueDate(IborIndex,O598)</f>
        <v>43327</v>
      </c>
      <c r="Q598" s="141">
        <v>7.5315388059978136E-3</v>
      </c>
      <c r="R598" s="143">
        <v>7.3583184628667198E-3</v>
      </c>
    </row>
    <row r="599" spans="14:18" x14ac:dyDescent="0.2">
      <c r="N599" s="139" t="str">
        <f t="shared" si="16"/>
        <v>1w</v>
      </c>
      <c r="O599" s="146">
        <f>_xll.qlCalendarAdvance(Calendar,O598,N599,"f",FALSE)</f>
        <v>43332</v>
      </c>
      <c r="P599" s="140">
        <f>_xll.qlInterestRateIndexValueDate(IborIndex,O599)</f>
        <v>43334</v>
      </c>
      <c r="Q599" s="141">
        <v>7.6238091865242878E-3</v>
      </c>
      <c r="R599" s="143">
        <v>7.4501096623347252E-3</v>
      </c>
    </row>
    <row r="600" spans="14:18" x14ac:dyDescent="0.2">
      <c r="N600" s="139" t="str">
        <f t="shared" si="16"/>
        <v>1w</v>
      </c>
      <c r="O600" s="146">
        <f>_xll.qlCalendarAdvance(Calendar,O599,N600,"f",FALSE)</f>
        <v>43339</v>
      </c>
      <c r="P600" s="140">
        <f>_xll.qlInterestRateIndexValueDate(IborIndex,O600)</f>
        <v>43341</v>
      </c>
      <c r="Q600" s="141">
        <v>7.6961837663427346E-3</v>
      </c>
      <c r="R600" s="143">
        <v>7.5421275287279599E-3</v>
      </c>
    </row>
    <row r="601" spans="14:18" x14ac:dyDescent="0.2">
      <c r="N601" s="139" t="str">
        <f t="shared" si="16"/>
        <v>1w</v>
      </c>
      <c r="O601" s="146">
        <f>_xll.qlCalendarAdvance(Calendar,O600,N601,"f",FALSE)</f>
        <v>43346</v>
      </c>
      <c r="P601" s="140">
        <f>_xll.qlInterestRateIndexValueDate(IborIndex,O601)</f>
        <v>43348</v>
      </c>
      <c r="Q601" s="141">
        <v>7.7888544635547063E-3</v>
      </c>
      <c r="R601" s="143">
        <v>7.634372062579331E-3</v>
      </c>
    </row>
    <row r="602" spans="14:18" x14ac:dyDescent="0.2">
      <c r="N602" s="139" t="str">
        <f t="shared" si="16"/>
        <v>1w</v>
      </c>
      <c r="O602" s="146">
        <f>_xll.qlCalendarAdvance(Calendar,O601,N602,"f",FALSE)</f>
        <v>43353</v>
      </c>
      <c r="P602" s="140">
        <f>_xll.qlInterestRateIndexValueDate(IborIndex,O602)</f>
        <v>43355</v>
      </c>
      <c r="Q602" s="141">
        <v>7.8817526072576527E-3</v>
      </c>
      <c r="R602" s="143">
        <v>7.7268432643418095E-3</v>
      </c>
    </row>
    <row r="603" spans="14:18" x14ac:dyDescent="0.2">
      <c r="N603" s="139" t="str">
        <f t="shared" si="16"/>
        <v>1w</v>
      </c>
      <c r="O603" s="146">
        <f>_xll.qlCalendarAdvance(Calendar,O602,N603,"f",FALSE)</f>
        <v>43360</v>
      </c>
      <c r="P603" s="140">
        <f>_xll.qlInterestRateIndexValueDate(IborIndex,O603)</f>
        <v>43362</v>
      </c>
      <c r="Q603" s="141">
        <v>7.9748782027113663E-3</v>
      </c>
      <c r="R603" s="143">
        <v>7.8195411346548838E-3</v>
      </c>
    </row>
    <row r="604" spans="14:18" x14ac:dyDescent="0.2">
      <c r="N604" s="139" t="str">
        <f t="shared" si="16"/>
        <v>1w</v>
      </c>
      <c r="O604" s="146">
        <f>_xll.qlCalendarAdvance(Calendar,O603,N604,"f",FALSE)</f>
        <v>43367</v>
      </c>
      <c r="P604" s="140">
        <f>_xll.qlInterestRateIndexValueDate(IborIndex,O604)</f>
        <v>43369</v>
      </c>
      <c r="Q604" s="141">
        <v>8.0682312552049495E-3</v>
      </c>
      <c r="R604" s="143">
        <v>7.9124656739448795E-3</v>
      </c>
    </row>
    <row r="605" spans="14:18" x14ac:dyDescent="0.2">
      <c r="N605" s="139" t="str">
        <f t="shared" si="16"/>
        <v>1w</v>
      </c>
      <c r="O605" s="146">
        <f>_xll.qlCalendarAdvance(Calendar,O604,N605,"f",FALSE)</f>
        <v>43374</v>
      </c>
      <c r="P605" s="140">
        <f>_xll.qlInterestRateIndexValueDate(IborIndex,O605)</f>
        <v>43376</v>
      </c>
      <c r="Q605" s="141">
        <v>8.1822096474396238E-3</v>
      </c>
      <c r="R605" s="143">
        <v>8.0056168827979945E-3</v>
      </c>
    </row>
    <row r="606" spans="14:18" x14ac:dyDescent="0.2">
      <c r="N606" s="139" t="str">
        <f t="shared" si="16"/>
        <v>1w</v>
      </c>
      <c r="O606" s="146">
        <f>_xll.qlCalendarAdvance(Calendar,O605,N606,"f",FALSE)</f>
        <v>43381</v>
      </c>
      <c r="P606" s="140">
        <f>_xll.qlInterestRateIndexValueDate(IborIndex,O606)</f>
        <v>43383</v>
      </c>
      <c r="Q606" s="141">
        <v>8.2760728080702711E-3</v>
      </c>
      <c r="R606" s="143">
        <v>8.0989947616938451E-3</v>
      </c>
    </row>
    <row r="607" spans="14:18" x14ac:dyDescent="0.2">
      <c r="N607" s="139" t="str">
        <f t="shared" si="16"/>
        <v>1w</v>
      </c>
      <c r="O607" s="146">
        <f>_xll.qlCalendarAdvance(Calendar,O606,N607,"f",FALSE)</f>
        <v>43388</v>
      </c>
      <c r="P607" s="140">
        <f>_xll.qlInterestRateIndexValueDate(IborIndex,O607)</f>
        <v>43390</v>
      </c>
      <c r="Q607" s="141">
        <v>8.3701635320242544E-3</v>
      </c>
      <c r="R607" s="143">
        <v>8.1925993112186291E-3</v>
      </c>
    </row>
    <row r="608" spans="14:18" x14ac:dyDescent="0.2">
      <c r="N608" s="139" t="str">
        <f t="shared" si="16"/>
        <v>1w</v>
      </c>
      <c r="O608" s="146">
        <f>_xll.qlCalendarAdvance(Calendar,O607,N608,"f",FALSE)</f>
        <v>43395</v>
      </c>
      <c r="P608" s="140">
        <f>_xll.qlInterestRateIndexValueDate(IborIndex,O608)</f>
        <v>43397</v>
      </c>
      <c r="Q608" s="141">
        <v>8.46448182517082E-3</v>
      </c>
      <c r="R608" s="143">
        <v>8.2864305318519627E-3</v>
      </c>
    </row>
    <row r="609" spans="14:18" x14ac:dyDescent="0.2">
      <c r="N609" s="139" t="str">
        <f t="shared" si="16"/>
        <v>1w</v>
      </c>
      <c r="O609" s="146">
        <f>_xll.qlCalendarAdvance(Calendar,O608,N609,"f",FALSE)</f>
        <v>43402</v>
      </c>
      <c r="P609" s="140">
        <f>_xll.qlInterestRateIndexValueDate(IborIndex,O609)</f>
        <v>43404</v>
      </c>
      <c r="Q609" s="141">
        <v>8.538408558949051E-3</v>
      </c>
      <c r="R609" s="143">
        <v>8.3804884241533983E-3</v>
      </c>
    </row>
    <row r="610" spans="14:18" x14ac:dyDescent="0.2">
      <c r="N610" s="139" t="str">
        <f t="shared" si="16"/>
        <v>1w</v>
      </c>
      <c r="O610" s="146">
        <f>_xll.qlCalendarAdvance(Calendar,O609,N610,"f",FALSE)</f>
        <v>43409</v>
      </c>
      <c r="P610" s="140">
        <f>_xll.qlInterestRateIndexValueDate(IborIndex,O610)</f>
        <v>43411</v>
      </c>
      <c r="Q610" s="141">
        <v>8.6331264652779183E-3</v>
      </c>
      <c r="R610" s="143">
        <v>8.4747729886291978E-3</v>
      </c>
    </row>
    <row r="611" spans="14:18" x14ac:dyDescent="0.2">
      <c r="N611" s="139" t="str">
        <f t="shared" si="16"/>
        <v>1w</v>
      </c>
      <c r="O611" s="146">
        <f>_xll.qlCalendarAdvance(Calendar,O610,N611,"f",FALSE)</f>
        <v>43416</v>
      </c>
      <c r="P611" s="140">
        <f>_xll.qlInterestRateIndexValueDate(IborIndex,O611)</f>
        <v>43418</v>
      </c>
      <c r="Q611" s="141">
        <v>8.7280718659767942E-3</v>
      </c>
      <c r="R611" s="143">
        <v>8.5692842258655588E-3</v>
      </c>
    </row>
    <row r="612" spans="14:18" x14ac:dyDescent="0.2">
      <c r="N612" s="139" t="str">
        <f t="shared" si="16"/>
        <v>1w</v>
      </c>
      <c r="O612" s="146">
        <f>_xll.qlCalendarAdvance(Calendar,O611,N612,"f",FALSE)</f>
        <v>43423</v>
      </c>
      <c r="P612" s="140">
        <f>_xll.qlInterestRateIndexValueDate(IborIndex,O612)</f>
        <v>43425</v>
      </c>
      <c r="Q612" s="141">
        <v>8.8232447664200464E-3</v>
      </c>
      <c r="R612" s="143">
        <v>8.6640221363154524E-3</v>
      </c>
    </row>
    <row r="613" spans="14:18" x14ac:dyDescent="0.2">
      <c r="N613" s="139" t="str">
        <f t="shared" si="16"/>
        <v>1w</v>
      </c>
      <c r="O613" s="146">
        <f>_xll.qlCalendarAdvance(Calendar,O612,N613,"f",FALSE)</f>
        <v>43430</v>
      </c>
      <c r="P613" s="140">
        <f>_xll.qlInterestRateIndexValueDate(IborIndex,O613)</f>
        <v>43432</v>
      </c>
      <c r="Q613" s="141">
        <v>8.9186451720086879E-3</v>
      </c>
      <c r="R613" s="143">
        <v>8.7589867206183669E-3</v>
      </c>
    </row>
    <row r="614" spans="14:18" x14ac:dyDescent="0.2">
      <c r="N614" s="139" t="str">
        <f t="shared" si="16"/>
        <v>1w</v>
      </c>
      <c r="O614" s="146">
        <f>_xll.qlCalendarAdvance(Calendar,O613,N614,"f",FALSE)</f>
        <v>43437</v>
      </c>
      <c r="P614" s="140">
        <f>_xll.qlInterestRateIndexValueDate(IborIndex,O614)</f>
        <v>43439</v>
      </c>
      <c r="Q614" s="141">
        <v>9.0351708676082096E-3</v>
      </c>
      <c r="R614" s="143">
        <v>8.8541779792272735E-3</v>
      </c>
    </row>
    <row r="615" spans="14:18" x14ac:dyDescent="0.2">
      <c r="N615" s="139" t="str">
        <f t="shared" si="16"/>
        <v>1w</v>
      </c>
      <c r="O615" s="146">
        <f>_xll.qlCalendarAdvance(Calendar,O614,N615,"f",FALSE)</f>
        <v>43444</v>
      </c>
      <c r="P615" s="140">
        <f>_xll.qlInterestRateIndexValueDate(IborIndex,O615)</f>
        <v>43446</v>
      </c>
      <c r="Q615" s="141">
        <v>9.1310823106552624E-3</v>
      </c>
      <c r="R615" s="143">
        <v>8.9495959127283697E-3</v>
      </c>
    </row>
    <row r="616" spans="14:18" x14ac:dyDescent="0.2">
      <c r="N616" s="139" t="str">
        <f t="shared" si="16"/>
        <v>1w</v>
      </c>
      <c r="O616" s="146">
        <f>_xll.qlCalendarAdvance(Calendar,O615,N616,"f",FALSE)</f>
        <v>43451</v>
      </c>
      <c r="P616" s="140">
        <f>_xll.qlInterestRateIndexValueDate(IborIndex,O616)</f>
        <v>43453</v>
      </c>
      <c r="Q616" s="141">
        <v>9.2272213703672255E-3</v>
      </c>
      <c r="R616" s="143">
        <v>9.0661129393021511E-3</v>
      </c>
    </row>
    <row r="617" spans="14:18" x14ac:dyDescent="0.2">
      <c r="N617" s="139" t="str">
        <f t="shared" si="16"/>
        <v>1w</v>
      </c>
      <c r="O617" s="146">
        <f>_xll.qlCalendarAdvance(Calendar,O616,N617,"f",FALSE)</f>
        <v>43461</v>
      </c>
      <c r="P617" s="140">
        <f>_xll.qlInterestRateIndexValueDate(IborIndex,O617)</f>
        <v>43467</v>
      </c>
      <c r="Q617" s="141">
        <v>9.4201823637860768E-3</v>
      </c>
      <c r="R617" s="143">
        <v>9.2372097678605769E-3</v>
      </c>
    </row>
    <row r="618" spans="14:18" x14ac:dyDescent="0.2">
      <c r="N618" s="139" t="str">
        <f t="shared" si="16"/>
        <v>1w</v>
      </c>
      <c r="O618" s="146">
        <f>_xll.qlCalendarAdvance(Calendar,O617,N618,"f",FALSE)</f>
        <v>43468</v>
      </c>
      <c r="P618" s="140">
        <f>_xll.qlInterestRateIndexValueDate(IborIndex,O618)</f>
        <v>43472</v>
      </c>
      <c r="Q618" s="141">
        <v>9.4752073082233559E-3</v>
      </c>
      <c r="R618" s="143">
        <v>9.2919832824112092E-3</v>
      </c>
    </row>
    <row r="619" spans="14:18" x14ac:dyDescent="0.2">
      <c r="N619" s="139" t="str">
        <f t="shared" si="16"/>
        <v>1w</v>
      </c>
      <c r="O619" s="146">
        <f>_xll.qlCalendarAdvance(Calendar,O618,N619,"f",FALSE)</f>
        <v>43475</v>
      </c>
      <c r="P619" s="140">
        <f>_xll.qlInterestRateIndexValueDate(IborIndex,O619)</f>
        <v>43479</v>
      </c>
      <c r="Q619" s="141">
        <v>9.5721542060026484E-3</v>
      </c>
      <c r="R619" s="143">
        <v>9.3884324460269397E-3</v>
      </c>
    </row>
    <row r="620" spans="14:18" x14ac:dyDescent="0.2">
      <c r="N620" s="139" t="str">
        <f t="shared" si="16"/>
        <v>1w</v>
      </c>
      <c r="O620" s="146">
        <f>_xll.qlCalendarAdvance(Calendar,O619,N620,"f",FALSE)</f>
        <v>43482</v>
      </c>
      <c r="P620" s="140">
        <f>_xll.qlInterestRateIndexValueDate(IborIndex,O620)</f>
        <v>43486</v>
      </c>
      <c r="Q620" s="141">
        <v>9.6693286835872645E-3</v>
      </c>
      <c r="R620" s="143">
        <v>9.4851082238900375E-3</v>
      </c>
    </row>
    <row r="621" spans="14:18" x14ac:dyDescent="0.2">
      <c r="N621" s="139" t="str">
        <f t="shared" si="16"/>
        <v>1w</v>
      </c>
      <c r="O621" s="146">
        <f>_xll.qlCalendarAdvance(Calendar,O620,N621,"f",FALSE)</f>
        <v>43489</v>
      </c>
      <c r="P621" s="140">
        <f>_xll.qlInterestRateIndexValueDate(IborIndex,O621)</f>
        <v>43493</v>
      </c>
      <c r="Q621" s="141">
        <v>9.7667307466681348E-3</v>
      </c>
      <c r="R621" s="143">
        <v>9.5820106162403107E-3</v>
      </c>
    </row>
    <row r="622" spans="14:18" x14ac:dyDescent="0.2">
      <c r="N622" s="139" t="str">
        <f t="shared" si="16"/>
        <v>1w</v>
      </c>
      <c r="O622" s="146">
        <f>_xll.qlCalendarAdvance(Calendar,O621,N622,"f",FALSE)</f>
        <v>43496</v>
      </c>
      <c r="P622" s="140">
        <f>_xll.qlInterestRateIndexValueDate(IborIndex,O622)</f>
        <v>43500</v>
      </c>
      <c r="Q622" s="141">
        <v>9.8429828764309436E-3</v>
      </c>
      <c r="R622" s="143">
        <v>9.6791396231576954E-3</v>
      </c>
    </row>
    <row r="623" spans="14:18" x14ac:dyDescent="0.2">
      <c r="N623" s="139" t="str">
        <f t="shared" si="16"/>
        <v>1w</v>
      </c>
      <c r="O623" s="146">
        <f>_xll.qlCalendarAdvance(Calendar,O622,N623,"f",FALSE)</f>
        <v>43503</v>
      </c>
      <c r="P623" s="140">
        <f>_xll.qlInterestRateIndexValueDate(IborIndex,O623)</f>
        <v>43507</v>
      </c>
      <c r="Q623" s="141">
        <v>9.9407832969587509E-3</v>
      </c>
      <c r="R623" s="143">
        <v>9.7764952449619358E-3</v>
      </c>
    </row>
    <row r="624" spans="14:18" x14ac:dyDescent="0.2">
      <c r="N624" s="139" t="str">
        <f t="shared" si="16"/>
        <v>1w</v>
      </c>
      <c r="O624" s="146">
        <f>_xll.qlCalendarAdvance(Calendar,O623,N624,"f",FALSE)</f>
        <v>43510</v>
      </c>
      <c r="P624" s="140">
        <f>_xll.qlInterestRateIndexValueDate(IborIndex,O624)</f>
        <v>43514</v>
      </c>
      <c r="Q624" s="141">
        <v>1.0038811220234629E-2</v>
      </c>
      <c r="R624" s="143">
        <v>9.874077481812904E-3</v>
      </c>
    </row>
    <row r="625" spans="14:18" x14ac:dyDescent="0.2">
      <c r="N625" s="139" t="str">
        <f t="shared" si="16"/>
        <v>1w</v>
      </c>
      <c r="O625" s="146">
        <f>_xll.qlCalendarAdvance(Calendar,O624,N625,"f",FALSE)</f>
        <v>43517</v>
      </c>
      <c r="P625" s="140">
        <f>_xll.qlInterestRateIndexValueDate(IborIndex,O625)</f>
        <v>43521</v>
      </c>
      <c r="Q625" s="141">
        <v>1.0137066651457274E-2</v>
      </c>
      <c r="R625" s="143">
        <v>9.9718863337905361E-3</v>
      </c>
    </row>
    <row r="626" spans="14:18" x14ac:dyDescent="0.2">
      <c r="N626" s="139" t="str">
        <f t="shared" si="16"/>
        <v>1w</v>
      </c>
      <c r="O626" s="146">
        <f>_xll.qlCalendarAdvance(Calendar,O625,N626,"f",FALSE)</f>
        <v>43524</v>
      </c>
      <c r="P626" s="140">
        <f>_xll.qlInterestRateIndexValueDate(IborIndex,O626)</f>
        <v>43528</v>
      </c>
      <c r="Q626" s="141">
        <v>1.0257155044802556E-2</v>
      </c>
      <c r="R626" s="143">
        <v>1.0069921801214576E-2</v>
      </c>
    </row>
    <row r="627" spans="14:18" x14ac:dyDescent="0.2">
      <c r="N627" s="139" t="str">
        <f t="shared" si="16"/>
        <v>1w</v>
      </c>
      <c r="O627" s="146">
        <f>_xll.qlCalendarAdvance(Calendar,O626,N627,"f",FALSE)</f>
        <v>43531</v>
      </c>
      <c r="P627" s="140">
        <f>_xll.qlInterestRateIndexValueDate(IborIndex,O627)</f>
        <v>43535</v>
      </c>
      <c r="Q627" s="141">
        <v>1.0355922741211139E-2</v>
      </c>
      <c r="R627" s="143">
        <v>1.0168183884164961E-2</v>
      </c>
    </row>
    <row r="628" spans="14:18" x14ac:dyDescent="0.2">
      <c r="N628" s="139" t="str">
        <f t="shared" si="16"/>
        <v>1w</v>
      </c>
      <c r="O628" s="146">
        <f>_xll.qlCalendarAdvance(Calendar,O627,N628,"f",FALSE)</f>
        <v>43538</v>
      </c>
      <c r="P628" s="140">
        <f>_xll.qlInterestRateIndexValueDate(IborIndex,O628)</f>
        <v>43542</v>
      </c>
      <c r="Q628" s="141">
        <v>1.0454918063354756E-2</v>
      </c>
      <c r="R628" s="143">
        <v>1.0266672582881498E-2</v>
      </c>
    </row>
    <row r="629" spans="14:18" x14ac:dyDescent="0.2">
      <c r="N629" s="139" t="str">
        <f t="shared" si="16"/>
        <v>1w</v>
      </c>
      <c r="O629" s="146">
        <f>_xll.qlCalendarAdvance(Calendar,O628,N629,"f",FALSE)</f>
        <v>43545</v>
      </c>
      <c r="P629" s="140">
        <f>_xll.qlInterestRateIndexValueDate(IborIndex,O629)</f>
        <v>43549</v>
      </c>
      <c r="Q629" s="141">
        <v>1.0554141017040377E-2</v>
      </c>
      <c r="R629" s="143">
        <v>1.0365387897603995E-2</v>
      </c>
    </row>
    <row r="630" spans="14:18" x14ac:dyDescent="0.2">
      <c r="N630" s="139" t="str">
        <f t="shared" si="16"/>
        <v>1w</v>
      </c>
      <c r="O630" s="146">
        <f>_xll.qlCalendarAdvance(Calendar,O629,N630,"f",FALSE)</f>
        <v>43552</v>
      </c>
      <c r="P630" s="140">
        <f>_xll.qlInterestRateIndexValueDate(IborIndex,O630)</f>
        <v>43556</v>
      </c>
      <c r="Q630" s="141">
        <v>1.0653591608074969E-2</v>
      </c>
      <c r="R630" s="143">
        <v>1.0464329828332453E-2</v>
      </c>
    </row>
    <row r="631" spans="14:18" x14ac:dyDescent="0.2">
      <c r="N631" s="139" t="str">
        <f t="shared" si="16"/>
        <v>1w</v>
      </c>
      <c r="O631" s="146">
        <f>_xll.qlCalendarAdvance(Calendar,O630,N631,"f",FALSE)</f>
        <v>43559</v>
      </c>
      <c r="P631" s="140">
        <f>_xll.qlInterestRateIndexValueDate(IborIndex,O631)</f>
        <v>43563</v>
      </c>
      <c r="Q631" s="141">
        <v>1.0745970318118303E-2</v>
      </c>
      <c r="R631" s="143">
        <v>1.0563498375466551E-2</v>
      </c>
    </row>
    <row r="632" spans="14:18" x14ac:dyDescent="0.2">
      <c r="N632" s="139" t="str">
        <f t="shared" si="16"/>
        <v>1w</v>
      </c>
      <c r="O632" s="146">
        <f>_xll.qlCalendarAdvance(Calendar,O631,N632,"f",FALSE)</f>
        <v>43566</v>
      </c>
      <c r="P632" s="140">
        <f>_xll.qlInterestRateIndexValueDate(IborIndex,O632)</f>
        <v>43570</v>
      </c>
      <c r="Q632" s="141">
        <v>1.0845856946257726E-2</v>
      </c>
      <c r="R632" s="143">
        <v>1.0662893539006291E-2</v>
      </c>
    </row>
    <row r="633" spans="14:18" x14ac:dyDescent="0.2">
      <c r="N633" s="139" t="str">
        <f t="shared" si="16"/>
        <v>1w</v>
      </c>
      <c r="O633" s="146">
        <f>_xll.qlCalendarAdvance(Calendar,O632,N633,"f",FALSE)</f>
        <v>43573</v>
      </c>
      <c r="P633" s="140">
        <f>_xll.qlInterestRateIndexValueDate(IborIndex,O633)</f>
        <v>43579</v>
      </c>
      <c r="Q633" s="141">
        <v>1.097460975028941E-2</v>
      </c>
      <c r="R633" s="143">
        <v>1.0805605602133284E-2</v>
      </c>
    </row>
    <row r="634" spans="14:18" x14ac:dyDescent="0.2">
      <c r="N634" s="139" t="str">
        <f t="shared" si="16"/>
        <v>1w</v>
      </c>
      <c r="O634" s="146">
        <f>_xll.qlCalendarAdvance(Calendar,O633,N634,"f",FALSE)</f>
        <v>43580</v>
      </c>
      <c r="P634" s="140">
        <f>_xll.qlInterestRateIndexValueDate(IborIndex,O634)</f>
        <v>43584</v>
      </c>
      <c r="Q634" s="141">
        <v>1.1046229649950945E-2</v>
      </c>
      <c r="R634" s="143">
        <v>1.0876646272519608E-2</v>
      </c>
    </row>
    <row r="635" spans="14:18" x14ac:dyDescent="0.2">
      <c r="N635" s="139" t="str">
        <f t="shared" si="16"/>
        <v>1w</v>
      </c>
      <c r="O635" s="146">
        <f>_xll.qlCalendarAdvance(Calendar,O634,N635,"f",FALSE)</f>
        <v>43587</v>
      </c>
      <c r="P635" s="140">
        <f>_xll.qlInterestRateIndexValueDate(IborIndex,O635)</f>
        <v>43591</v>
      </c>
      <c r="Q635" s="141">
        <v>1.1153715257828038E-2</v>
      </c>
      <c r="R635" s="143">
        <v>1.0962438730697244E-2</v>
      </c>
    </row>
    <row r="636" spans="14:18" x14ac:dyDescent="0.2">
      <c r="N636" s="139" t="str">
        <f t="shared" si="16"/>
        <v>1w</v>
      </c>
      <c r="O636" s="146">
        <f>_xll.qlCalendarAdvance(Calendar,O635,N636,"f",FALSE)</f>
        <v>43594</v>
      </c>
      <c r="P636" s="140">
        <f>_xll.qlInterestRateIndexValueDate(IborIndex,O636)</f>
        <v>43598</v>
      </c>
      <c r="Q636" s="141">
        <v>1.1253544970216295E-2</v>
      </c>
      <c r="R636" s="143">
        <v>1.1062740362177692E-2</v>
      </c>
    </row>
    <row r="637" spans="14:18" x14ac:dyDescent="0.2">
      <c r="N637" s="139" t="str">
        <f t="shared" si="16"/>
        <v>1w</v>
      </c>
      <c r="O637" s="146">
        <f>_xll.qlCalendarAdvance(Calendar,O636,N637,"f",FALSE)</f>
        <v>43601</v>
      </c>
      <c r="P637" s="140">
        <f>_xll.qlInterestRateIndexValueDate(IborIndex,O637)</f>
        <v>43605</v>
      </c>
      <c r="Q637" s="141">
        <v>1.1352820942575238E-2</v>
      </c>
      <c r="R637" s="143">
        <v>1.1163203445230252E-2</v>
      </c>
    </row>
    <row r="638" spans="14:18" x14ac:dyDescent="0.2">
      <c r="N638" s="139" t="str">
        <f t="shared" si="16"/>
        <v>1w</v>
      </c>
      <c r="O638" s="146">
        <f>_xll.qlCalendarAdvance(Calendar,O637,N638,"f",FALSE)</f>
        <v>43608</v>
      </c>
      <c r="P638" s="140">
        <f>_xll.qlInterestRateIndexValueDate(IborIndex,O638)</f>
        <v>43612</v>
      </c>
      <c r="Q638" s="141">
        <v>1.1451353235140306E-2</v>
      </c>
      <c r="R638" s="143">
        <v>1.1270373552059176E-2</v>
      </c>
    </row>
    <row r="639" spans="14:18" x14ac:dyDescent="0.2">
      <c r="N639" s="139" t="str">
        <f t="shared" si="16"/>
        <v>1w</v>
      </c>
      <c r="O639" s="146">
        <f>_xll.qlCalendarAdvance(Calendar,O638,N639,"f",FALSE)</f>
        <v>43616</v>
      </c>
      <c r="P639" s="140">
        <f>_xll.qlInterestRateIndexValueDate(IborIndex,O639)</f>
        <v>43620</v>
      </c>
      <c r="Q639" s="141">
        <v>1.1555911294429677E-2</v>
      </c>
      <c r="R639" s="143">
        <v>1.1376297417138304E-2</v>
      </c>
    </row>
    <row r="640" spans="14:18" x14ac:dyDescent="0.2">
      <c r="N640" s="139" t="str">
        <f t="shared" si="16"/>
        <v>1w</v>
      </c>
      <c r="O640" s="146">
        <f>_xll.qlCalendarAdvance(Calendar,O639,N640,"f",FALSE)</f>
        <v>43623</v>
      </c>
      <c r="P640" s="140">
        <f>_xll.qlInterestRateIndexValueDate(IborIndex,O640)</f>
        <v>43628</v>
      </c>
      <c r="Q640" s="141">
        <v>1.166660170428635E-2</v>
      </c>
      <c r="R640" s="143">
        <v>1.1502792984758869E-2</v>
      </c>
    </row>
    <row r="641" spans="14:18" x14ac:dyDescent="0.2">
      <c r="N641" s="139" t="str">
        <f t="shared" si="16"/>
        <v>1w</v>
      </c>
      <c r="O641" s="146">
        <f>_xll.qlCalendarAdvance(Calendar,O640,N641,"f",FALSE)</f>
        <v>43630</v>
      </c>
      <c r="P641" s="140">
        <f>_xll.qlInterestRateIndexValueDate(IborIndex,O641)</f>
        <v>43634</v>
      </c>
      <c r="Q641" s="141">
        <v>1.1748949460556268E-2</v>
      </c>
      <c r="R641" s="143">
        <v>1.1593273428696094E-2</v>
      </c>
    </row>
    <row r="642" spans="14:18" x14ac:dyDescent="0.2">
      <c r="N642" s="139" t="str">
        <f t="shared" si="16"/>
        <v>1w</v>
      </c>
      <c r="O642" s="146">
        <f>_xll.qlCalendarAdvance(Calendar,O641,N642,"f",FALSE)</f>
        <v>43640</v>
      </c>
      <c r="P642" s="140">
        <f>_xll.qlInterestRateIndexValueDate(IborIndex,O642)</f>
        <v>43642</v>
      </c>
      <c r="Q642" s="141">
        <v>1.1857853044946687E-2</v>
      </c>
      <c r="R642" s="143">
        <v>1.1696444344826418E-2</v>
      </c>
    </row>
    <row r="643" spans="14:18" x14ac:dyDescent="0.2">
      <c r="N643" s="139" t="str">
        <f t="shared" si="16"/>
        <v>1w</v>
      </c>
      <c r="O643" s="146">
        <f>_xll.qlCalendarAdvance(Calendar,O642,N643,"f",FALSE)</f>
        <v>43647</v>
      </c>
      <c r="P643" s="140">
        <f>_xll.qlInterestRateIndexValueDate(IborIndex,O643)</f>
        <v>43649</v>
      </c>
      <c r="Q643" s="141">
        <v>1.1972915594562686E-2</v>
      </c>
      <c r="R643" s="143">
        <v>1.1792097413998448E-2</v>
      </c>
    </row>
    <row r="644" spans="14:18" x14ac:dyDescent="0.2">
      <c r="N644" s="139" t="str">
        <f t="shared" si="16"/>
        <v>1w</v>
      </c>
      <c r="O644" s="146">
        <f>_xll.qlCalendarAdvance(Calendar,O643,N644,"f",FALSE)</f>
        <v>43654</v>
      </c>
      <c r="P644" s="140">
        <f>_xll.qlInterestRateIndexValueDate(IborIndex,O644)</f>
        <v>43656</v>
      </c>
      <c r="Q644" s="141">
        <v>1.2066428674588828E-2</v>
      </c>
      <c r="R644" s="143">
        <v>1.1886968740100201E-2</v>
      </c>
    </row>
    <row r="645" spans="14:18" x14ac:dyDescent="0.2">
      <c r="N645" s="139" t="str">
        <f t="shared" si="16"/>
        <v>1w</v>
      </c>
      <c r="O645" s="146">
        <f>_xll.qlCalendarAdvance(Calendar,O644,N645,"f",FALSE)</f>
        <v>43661</v>
      </c>
      <c r="P645" s="140">
        <f>_xll.qlInterestRateIndexValueDate(IborIndex,O645)</f>
        <v>43663</v>
      </c>
      <c r="Q645" s="141">
        <v>1.2159159942109326E-2</v>
      </c>
      <c r="R645" s="143">
        <v>1.1981058321239857E-2</v>
      </c>
    </row>
    <row r="646" spans="14:18" x14ac:dyDescent="0.2">
      <c r="N646" s="139" t="str">
        <f t="shared" si="16"/>
        <v>1w</v>
      </c>
      <c r="O646" s="146">
        <f>_xll.qlCalendarAdvance(Calendar,O645,N646,"f",FALSE)</f>
        <v>43668</v>
      </c>
      <c r="P646" s="140">
        <f>_xll.qlInterestRateIndexValueDate(IborIndex,O646)</f>
        <v>43670</v>
      </c>
      <c r="Q646" s="141">
        <v>1.2251109377198302E-2</v>
      </c>
      <c r="R646" s="143">
        <v>1.2074366155632177E-2</v>
      </c>
    </row>
    <row r="647" spans="14:18" x14ac:dyDescent="0.2">
      <c r="N647" s="139" t="str">
        <f t="shared" si="16"/>
        <v>1w</v>
      </c>
      <c r="O647" s="146">
        <f>_xll.qlCalendarAdvance(Calendar,O646,N647,"f",FALSE)</f>
        <v>43675</v>
      </c>
      <c r="P647" s="140">
        <f>_xll.qlInterestRateIndexValueDate(IborIndex,O647)</f>
        <v>43677</v>
      </c>
      <c r="Q647" s="141">
        <v>1.2322300180612089E-2</v>
      </c>
      <c r="R647" s="143">
        <v>1.2166892241438632E-2</v>
      </c>
    </row>
    <row r="648" spans="14:18" x14ac:dyDescent="0.2">
      <c r="N648" s="139" t="str">
        <f t="shared" si="16"/>
        <v>1w</v>
      </c>
      <c r="O648" s="146">
        <f>_xll.qlCalendarAdvance(Calendar,O647,N648,"f",FALSE)</f>
        <v>43682</v>
      </c>
      <c r="P648" s="140">
        <f>_xll.qlInterestRateIndexValueDate(IborIndex,O648)</f>
        <v>43684</v>
      </c>
      <c r="Q648" s="141">
        <v>1.2432662671194483E-2</v>
      </c>
      <c r="R648" s="143">
        <v>1.2258636576820692E-2</v>
      </c>
    </row>
    <row r="649" spans="14:18" x14ac:dyDescent="0.2">
      <c r="N649" s="139" t="str">
        <f t="shared" si="16"/>
        <v>1w</v>
      </c>
      <c r="O649" s="146">
        <f>_xll.qlCalendarAdvance(Calendar,O648,N649,"f",FALSE)</f>
        <v>43689</v>
      </c>
      <c r="P649" s="140">
        <f>_xll.qlInterestRateIndexValueDate(IborIndex,O649)</f>
        <v>43691</v>
      </c>
      <c r="Q649" s="141">
        <v>1.2522266491088049E-2</v>
      </c>
      <c r="R649" s="143">
        <v>1.2349599160019764E-2</v>
      </c>
    </row>
    <row r="650" spans="14:18" x14ac:dyDescent="0.2">
      <c r="N650" s="139" t="str">
        <f t="shared" si="16"/>
        <v>1w</v>
      </c>
      <c r="O650" s="146">
        <f>_xll.qlCalendarAdvance(Calendar,O649,N650,"f",FALSE)</f>
        <v>43696</v>
      </c>
      <c r="P650" s="140">
        <f>_xll.qlInterestRateIndexValueDate(IborIndex,O650)</f>
        <v>43698</v>
      </c>
      <c r="Q650" s="141">
        <v>1.2611088400510699E-2</v>
      </c>
      <c r="R650" s="143">
        <v>1.243977998925061E-2</v>
      </c>
    </row>
    <row r="651" spans="14:18" x14ac:dyDescent="0.2">
      <c r="N651" s="139" t="str">
        <f t="shared" si="16"/>
        <v>1w</v>
      </c>
      <c r="O651" s="146">
        <f>_xll.qlCalendarAdvance(Calendar,O650,N651,"f",FALSE)</f>
        <v>43703</v>
      </c>
      <c r="P651" s="140">
        <f>_xll.qlInterestRateIndexValueDate(IborIndex,O651)</f>
        <v>43705</v>
      </c>
      <c r="Q651" s="141">
        <v>1.2699128380374671E-2</v>
      </c>
      <c r="R651" s="143">
        <v>1.2529179062754636E-2</v>
      </c>
    </row>
    <row r="652" spans="14:18" x14ac:dyDescent="0.2">
      <c r="N652" s="139" t="str">
        <f t="shared" si="16"/>
        <v>1w</v>
      </c>
      <c r="O652" s="146">
        <f>_xll.qlCalendarAdvance(Calendar,O651,N652,"f",FALSE)</f>
        <v>43710</v>
      </c>
      <c r="P652" s="140">
        <f>_xll.qlInterestRateIndexValueDate(IborIndex,O652)</f>
        <v>43712</v>
      </c>
      <c r="Q652" s="141">
        <v>1.2767200918635702E-2</v>
      </c>
      <c r="R652" s="143">
        <v>1.2617796378773249E-2</v>
      </c>
    </row>
    <row r="653" spans="14:18" x14ac:dyDescent="0.2">
      <c r="N653" s="139" t="str">
        <f t="shared" si="16"/>
        <v>1w</v>
      </c>
      <c r="O653" s="146">
        <f>_xll.qlCalendarAdvance(Calendar,O652,N653,"f",FALSE)</f>
        <v>43717</v>
      </c>
      <c r="P653" s="140">
        <f>_xll.qlInterestRateIndexValueDate(IborIndex,O653)</f>
        <v>43719</v>
      </c>
      <c r="Q653" s="141">
        <v>1.2853835305606687E-2</v>
      </c>
      <c r="R653" s="143">
        <v>1.2705631935574502E-2</v>
      </c>
    </row>
    <row r="654" spans="14:18" x14ac:dyDescent="0.2">
      <c r="N654" s="139" t="str">
        <f t="shared" si="16"/>
        <v>1w</v>
      </c>
      <c r="O654" s="146">
        <f>_xll.qlCalendarAdvance(Calendar,O653,N654,"f",FALSE)</f>
        <v>43724</v>
      </c>
      <c r="P654" s="140">
        <f>_xll.qlInterestRateIndexValueDate(IborIndex,O654)</f>
        <v>43726</v>
      </c>
      <c r="Q654" s="141">
        <v>1.2939687732518301E-2</v>
      </c>
      <c r="R654" s="143">
        <v>1.2792685731453091E-2</v>
      </c>
    </row>
    <row r="655" spans="14:18" x14ac:dyDescent="0.2">
      <c r="N655" s="139" t="str">
        <f t="shared" si="16"/>
        <v>1w</v>
      </c>
      <c r="O655" s="146">
        <f>_xll.qlCalendarAdvance(Calendar,O654,N655,"f",FALSE)</f>
        <v>43731</v>
      </c>
      <c r="P655" s="140">
        <f>_xll.qlInterestRateIndexValueDate(IborIndex,O655)</f>
        <v>43733</v>
      </c>
      <c r="Q655" s="141">
        <v>1.3024758182589302E-2</v>
      </c>
      <c r="R655" s="143">
        <v>1.2878957764677068E-2</v>
      </c>
    </row>
    <row r="656" spans="14:18" x14ac:dyDescent="0.2">
      <c r="N656" s="139" t="str">
        <f t="shared" si="16"/>
        <v>1w</v>
      </c>
      <c r="O656" s="146">
        <f>_xll.qlCalendarAdvance(Calendar,O655,N656,"f",FALSE)</f>
        <v>43738</v>
      </c>
      <c r="P656" s="140">
        <f>_xll.qlInterestRateIndexValueDate(IborIndex,O656)</f>
        <v>43740</v>
      </c>
      <c r="Q656" s="141">
        <v>1.312759867996424E-2</v>
      </c>
      <c r="R656" s="143">
        <v>1.2964448033621068E-2</v>
      </c>
    </row>
    <row r="657" spans="14:18" x14ac:dyDescent="0.2">
      <c r="N657" s="139" t="str">
        <f t="shared" si="16"/>
        <v>1w</v>
      </c>
      <c r="O657" s="146">
        <f>_xll.qlCalendarAdvance(Calendar,O656,N657,"f",FALSE)</f>
        <v>43745</v>
      </c>
      <c r="P657" s="140">
        <f>_xll.qlInterestRateIndexValueDate(IborIndex,O657)</f>
        <v>43747</v>
      </c>
      <c r="Q657" s="141">
        <v>1.321094669101716E-2</v>
      </c>
      <c r="R657" s="143">
        <v>1.3049156536553141E-2</v>
      </c>
    </row>
    <row r="658" spans="14:18" x14ac:dyDescent="0.2">
      <c r="N658" s="139" t="str">
        <f t="shared" si="16"/>
        <v>1w</v>
      </c>
      <c r="O658" s="146">
        <f>_xll.qlCalendarAdvance(Calendar,O657,N658,"f",FALSE)</f>
        <v>43752</v>
      </c>
      <c r="P658" s="140">
        <f>_xll.qlInterestRateIndexValueDate(IborIndex,O658)</f>
        <v>43754</v>
      </c>
      <c r="Q658" s="141">
        <v>1.3293512643589075E-2</v>
      </c>
      <c r="R658" s="143">
        <v>1.3133083271847923E-2</v>
      </c>
    </row>
    <row r="659" spans="14:18" x14ac:dyDescent="0.2">
      <c r="N659" s="139" t="str">
        <f t="shared" si="16"/>
        <v>1w</v>
      </c>
      <c r="O659" s="146">
        <f>_xll.qlCalendarAdvance(Calendar,O658,N659,"f",FALSE)</f>
        <v>43759</v>
      </c>
      <c r="P659" s="140">
        <f>_xll.qlInterestRateIndexValueDate(IborIndex,O659)</f>
        <v>43761</v>
      </c>
      <c r="Q659" s="141">
        <v>1.3375296519939022E-2</v>
      </c>
      <c r="R659" s="143">
        <v>1.3216228237880046E-2</v>
      </c>
    </row>
    <row r="660" spans="14:18" x14ac:dyDescent="0.2">
      <c r="N660" s="139" t="str">
        <f t="shared" si="16"/>
        <v>1w</v>
      </c>
      <c r="O660" s="146">
        <f>_xll.qlCalendarAdvance(Calendar,O659,N660,"f",FALSE)</f>
        <v>43766</v>
      </c>
      <c r="P660" s="140">
        <f>_xll.qlInterestRateIndexValueDate(IborIndex,O660)</f>
        <v>43768</v>
      </c>
      <c r="Q660" s="141">
        <v>1.3438380203990796E-2</v>
      </c>
      <c r="R660" s="143">
        <v>1.3298591432970852E-2</v>
      </c>
    </row>
    <row r="661" spans="14:18" x14ac:dyDescent="0.2">
      <c r="N661" s="139" t="str">
        <f t="shared" ref="N661:N724" si="17">N660</f>
        <v>1w</v>
      </c>
      <c r="O661" s="146">
        <f>_xll.qlCalendarAdvance(Calendar,O660,N661,"f",FALSE)</f>
        <v>43773</v>
      </c>
      <c r="P661" s="140">
        <f>_xll.qlInterestRateIndexValueDate(IborIndex,O661)</f>
        <v>43775</v>
      </c>
      <c r="Q661" s="141">
        <v>1.351875844933037E-2</v>
      </c>
      <c r="R661" s="143">
        <v>1.3380172855548267E-2</v>
      </c>
    </row>
    <row r="662" spans="14:18" x14ac:dyDescent="0.2">
      <c r="N662" s="139" t="str">
        <f t="shared" si="17"/>
        <v>1w</v>
      </c>
      <c r="O662" s="146">
        <f>_xll.qlCalendarAdvance(Calendar,O661,N662,"f",FALSE)</f>
        <v>43780</v>
      </c>
      <c r="P662" s="140">
        <f>_xll.qlInterestRateIndexValueDate(IborIndex,O662)</f>
        <v>43782</v>
      </c>
      <c r="Q662" s="141">
        <v>1.3598354604693164E-2</v>
      </c>
      <c r="R662" s="143">
        <v>1.3460972504013569E-2</v>
      </c>
    </row>
    <row r="663" spans="14:18" x14ac:dyDescent="0.2">
      <c r="N663" s="139" t="str">
        <f t="shared" si="17"/>
        <v>1w</v>
      </c>
      <c r="O663" s="146">
        <f>_xll.qlCalendarAdvance(Calendar,O662,N663,"f",FALSE)</f>
        <v>43787</v>
      </c>
      <c r="P663" s="140">
        <f>_xll.qlInterestRateIndexValueDate(IborIndex,O663)</f>
        <v>43789</v>
      </c>
      <c r="Q663" s="141">
        <v>1.3677168654523619E-2</v>
      </c>
      <c r="R663" s="143">
        <v>1.3540990376794682E-2</v>
      </c>
    </row>
    <row r="664" spans="14:18" x14ac:dyDescent="0.2">
      <c r="N664" s="139" t="str">
        <f t="shared" si="17"/>
        <v>1w</v>
      </c>
      <c r="O664" s="146">
        <f>_xll.qlCalendarAdvance(Calendar,O663,N664,"f",FALSE)</f>
        <v>43794</v>
      </c>
      <c r="P664" s="140">
        <f>_xll.qlInterestRateIndexValueDate(IborIndex,O664)</f>
        <v>43796</v>
      </c>
      <c r="Q664" s="141">
        <v>1.3755200583418059E-2</v>
      </c>
      <c r="R664" s="143">
        <v>1.362022647231953E-2</v>
      </c>
    </row>
    <row r="665" spans="14:18" x14ac:dyDescent="0.2">
      <c r="N665" s="139" t="str">
        <f t="shared" si="17"/>
        <v>1w</v>
      </c>
      <c r="O665" s="146">
        <f>_xll.qlCalendarAdvance(Calendar,O664,N665,"f",FALSE)</f>
        <v>43801</v>
      </c>
      <c r="P665" s="140">
        <f>_xll.qlInterestRateIndexValueDate(IborIndex,O665)</f>
        <v>43803</v>
      </c>
      <c r="Q665" s="141">
        <v>1.3855273686845086E-2</v>
      </c>
      <c r="R665" s="143">
        <v>1.3698680789069329E-2</v>
      </c>
    </row>
    <row r="666" spans="14:18" x14ac:dyDescent="0.2">
      <c r="N666" s="139" t="str">
        <f t="shared" si="17"/>
        <v>1w</v>
      </c>
      <c r="O666" s="146">
        <f>_xll.qlCalendarAdvance(Calendar,O665,N666,"f",FALSE)</f>
        <v>43808</v>
      </c>
      <c r="P666" s="140">
        <f>_xll.qlInterestRateIndexValueDate(IborIndex,O666)</f>
        <v>43810</v>
      </c>
      <c r="Q666" s="141">
        <v>1.3925884064806902E-2</v>
      </c>
      <c r="R666" s="143">
        <v>1.3776353325445356E-2</v>
      </c>
    </row>
    <row r="667" spans="14:18" x14ac:dyDescent="0.2">
      <c r="N667" s="139" t="str">
        <f t="shared" si="17"/>
        <v>1w</v>
      </c>
      <c r="O667" s="146">
        <f>_xll.qlCalendarAdvance(Calendar,O666,N667,"f",FALSE)</f>
        <v>43815</v>
      </c>
      <c r="P667" s="140">
        <f>_xll.qlInterestRateIndexValueDate(IborIndex,O667)</f>
        <v>43817</v>
      </c>
      <c r="Q667" s="141">
        <v>1.4001410712700266E-2</v>
      </c>
      <c r="R667" s="143">
        <v>1.3853244079955473E-2</v>
      </c>
    </row>
    <row r="668" spans="14:18" x14ac:dyDescent="0.2">
      <c r="N668" s="139" t="str">
        <f t="shared" si="17"/>
        <v>1w</v>
      </c>
      <c r="O668" s="146">
        <f>_xll.qlCalendarAdvance(Calendar,O667,N668,"f",FALSE)</f>
        <v>43822</v>
      </c>
      <c r="P668" s="140">
        <f>_xll.qlInterestRateIndexValueDate(IborIndex,O668)</f>
        <v>43829</v>
      </c>
      <c r="Q668" s="141">
        <v>1.4123558372487743E-2</v>
      </c>
      <c r="R668" s="143">
        <v>1.4010298786935049E-2</v>
      </c>
    </row>
    <row r="669" spans="14:18" x14ac:dyDescent="0.2">
      <c r="N669" s="139" t="str">
        <f t="shared" si="17"/>
        <v>1w</v>
      </c>
      <c r="O669" s="146">
        <f>_xll.qlCalendarAdvance(Calendar,O668,N669,"f",FALSE)</f>
        <v>43829</v>
      </c>
      <c r="P669" s="140">
        <f>_xll.qlInterestRateIndexValueDate(IborIndex,O669)</f>
        <v>43833</v>
      </c>
      <c r="Q669" s="141">
        <v>1.4160147912723554E-2</v>
      </c>
      <c r="R669" s="143">
        <v>1.404683055648448E-2</v>
      </c>
    </row>
    <row r="670" spans="14:18" x14ac:dyDescent="0.2">
      <c r="N670" s="139" t="str">
        <f t="shared" si="17"/>
        <v>1w</v>
      </c>
      <c r="O670" s="146">
        <f>_xll.qlCalendarAdvance(Calendar,O669,N670,"f",FALSE)</f>
        <v>43837</v>
      </c>
      <c r="P670" s="140">
        <f>_xll.qlInterestRateIndexValueDate(IborIndex,O670)</f>
        <v>43839</v>
      </c>
      <c r="Q670" s="141">
        <v>1.4228256633396219E-2</v>
      </c>
      <c r="R670" s="143">
        <v>1.4099833803955519E-2</v>
      </c>
    </row>
    <row r="671" spans="14:18" x14ac:dyDescent="0.2">
      <c r="N671" s="139" t="str">
        <f t="shared" si="17"/>
        <v>1w</v>
      </c>
      <c r="O671" s="146">
        <f>_xll.qlCalendarAdvance(Calendar,O670,N671,"f",FALSE)</f>
        <v>43844</v>
      </c>
      <c r="P671" s="140">
        <f>_xll.qlInterestRateIndexValueDate(IborIndex,O671)</f>
        <v>43846</v>
      </c>
      <c r="Q671" s="141">
        <v>1.430059553036378E-2</v>
      </c>
      <c r="R671" s="143">
        <v>1.4173368272789588E-2</v>
      </c>
    </row>
    <row r="672" spans="14:18" x14ac:dyDescent="0.2">
      <c r="N672" s="139" t="str">
        <f t="shared" si="17"/>
        <v>1w</v>
      </c>
      <c r="O672" s="146">
        <f>_xll.qlCalendarAdvance(Calendar,O671,N672,"f",FALSE)</f>
        <v>43851</v>
      </c>
      <c r="P672" s="140">
        <f>_xll.qlInterestRateIndexValueDate(IborIndex,O672)</f>
        <v>43853</v>
      </c>
      <c r="Q672" s="141">
        <v>1.4372152151299888E-2</v>
      </c>
      <c r="R672" s="143">
        <v>1.4246120983765209E-2</v>
      </c>
    </row>
    <row r="673" spans="14:18" x14ac:dyDescent="0.2">
      <c r="N673" s="139" t="str">
        <f t="shared" si="17"/>
        <v>1w</v>
      </c>
      <c r="O673" s="146">
        <f>_xll.qlCalendarAdvance(Calendar,O672,N673,"f",FALSE)</f>
        <v>43858</v>
      </c>
      <c r="P673" s="140">
        <f>_xll.qlInterestRateIndexValueDate(IborIndex,O673)</f>
        <v>43860</v>
      </c>
      <c r="Q673" s="141">
        <v>1.442708126315536E-2</v>
      </c>
      <c r="R673" s="143">
        <v>1.4318091936482702E-2</v>
      </c>
    </row>
    <row r="674" spans="14:18" x14ac:dyDescent="0.2">
      <c r="N674" s="139" t="str">
        <f t="shared" si="17"/>
        <v>1w</v>
      </c>
      <c r="O674" s="146">
        <f>_xll.qlCalendarAdvance(Calendar,O673,N674,"f",FALSE)</f>
        <v>43865</v>
      </c>
      <c r="P674" s="140">
        <f>_xll.qlInterestRateIndexValueDate(IborIndex,O674)</f>
        <v>43867</v>
      </c>
      <c r="Q674" s="141">
        <v>1.4497232476294518E-2</v>
      </c>
      <c r="R674" s="143">
        <v>1.438928113046245E-2</v>
      </c>
    </row>
    <row r="675" spans="14:18" x14ac:dyDescent="0.2">
      <c r="N675" s="139" t="str">
        <f t="shared" si="17"/>
        <v>1w</v>
      </c>
      <c r="O675" s="146">
        <f>_xll.qlCalendarAdvance(Calendar,O674,N675,"f",FALSE)</f>
        <v>43872</v>
      </c>
      <c r="P675" s="140">
        <f>_xll.qlInterestRateIndexValueDate(IborIndex,O675)</f>
        <v>43874</v>
      </c>
      <c r="Q675" s="141">
        <v>1.4566601426194663E-2</v>
      </c>
      <c r="R675" s="143">
        <v>1.4459688565304774E-2</v>
      </c>
    </row>
    <row r="676" spans="14:18" x14ac:dyDescent="0.2">
      <c r="N676" s="139" t="str">
        <f t="shared" si="17"/>
        <v>1w</v>
      </c>
      <c r="O676" s="146">
        <f>_xll.qlCalendarAdvance(Calendar,O675,N676,"f",FALSE)</f>
        <v>43879</v>
      </c>
      <c r="P676" s="140">
        <f>_xll.qlInterestRateIndexValueDate(IborIndex,O676)</f>
        <v>43881</v>
      </c>
      <c r="Q676" s="141">
        <v>1.4635188099749039E-2</v>
      </c>
      <c r="R676" s="143">
        <v>1.4529314240370184E-2</v>
      </c>
    </row>
    <row r="677" spans="14:18" x14ac:dyDescent="0.2">
      <c r="N677" s="139" t="str">
        <f t="shared" si="17"/>
        <v>1w</v>
      </c>
      <c r="O677" s="146">
        <f>_xll.qlCalendarAdvance(Calendar,O676,N677,"f",FALSE)</f>
        <v>43886</v>
      </c>
      <c r="P677" s="140">
        <f>_xll.qlInterestRateIndexValueDate(IborIndex,O677)</f>
        <v>43888</v>
      </c>
      <c r="Q677" s="141">
        <v>1.4702992484002491E-2</v>
      </c>
      <c r="R677" s="143">
        <v>1.4598158155418872E-2</v>
      </c>
    </row>
    <row r="678" spans="14:18" x14ac:dyDescent="0.2">
      <c r="N678" s="139" t="str">
        <f t="shared" si="17"/>
        <v>1w</v>
      </c>
      <c r="O678" s="146">
        <f>_xll.qlCalendarAdvance(Calendar,O677,N678,"f",FALSE)</f>
        <v>43893</v>
      </c>
      <c r="P678" s="140">
        <f>_xll.qlInterestRateIndexValueDate(IborIndex,O678)</f>
        <v>43895</v>
      </c>
      <c r="Q678" s="141">
        <v>1.4785063256367581E-2</v>
      </c>
      <c r="R678" s="143">
        <v>1.4666220309891287E-2</v>
      </c>
    </row>
    <row r="679" spans="14:18" x14ac:dyDescent="0.2">
      <c r="N679" s="139" t="str">
        <f t="shared" si="17"/>
        <v>1w</v>
      </c>
      <c r="O679" s="146">
        <f>_xll.qlCalendarAdvance(Calendar,O678,N679,"f",FALSE)</f>
        <v>43900</v>
      </c>
      <c r="P679" s="140">
        <f>_xll.qlInterestRateIndexValueDate(IborIndex,O679)</f>
        <v>43902</v>
      </c>
      <c r="Q679" s="141">
        <v>1.4856096742286566E-2</v>
      </c>
      <c r="R679" s="143">
        <v>1.4733500703307811E-2</v>
      </c>
    </row>
    <row r="680" spans="14:18" x14ac:dyDescent="0.2">
      <c r="N680" s="139" t="str">
        <f t="shared" si="17"/>
        <v>1w</v>
      </c>
      <c r="O680" s="146">
        <f>_xll.qlCalendarAdvance(Calendar,O679,N680,"f",FALSE)</f>
        <v>43907</v>
      </c>
      <c r="P680" s="140">
        <f>_xll.qlInterestRateIndexValueDate(IborIndex,O680)</f>
        <v>43909</v>
      </c>
      <c r="Q680" s="141">
        <v>1.4916441426015836E-2</v>
      </c>
      <c r="R680" s="143">
        <v>1.4799999335348701E-2</v>
      </c>
    </row>
    <row r="681" spans="14:18" x14ac:dyDescent="0.2">
      <c r="N681" s="139" t="str">
        <f t="shared" si="17"/>
        <v>1w</v>
      </c>
      <c r="O681" s="146">
        <f>_xll.qlCalendarAdvance(Calendar,O680,N681,"f",FALSE)</f>
        <v>43914</v>
      </c>
      <c r="P681" s="140">
        <f>_xll.qlInterestRateIndexValueDate(IborIndex,O681)</f>
        <v>43916</v>
      </c>
      <c r="Q681" s="141">
        <v>1.4980956911050114E-2</v>
      </c>
      <c r="R681" s="143">
        <v>1.4865716205534341E-2</v>
      </c>
    </row>
    <row r="682" spans="14:18" x14ac:dyDescent="0.2">
      <c r="N682" s="139" t="str">
        <f t="shared" si="17"/>
        <v>1w</v>
      </c>
      <c r="O682" s="146">
        <f>_xll.qlCalendarAdvance(Calendar,O681,N682,"f",FALSE)</f>
        <v>43921</v>
      </c>
      <c r="P682" s="140">
        <f>_xll.qlInterestRateIndexValueDate(IborIndex,O682)</f>
        <v>43923</v>
      </c>
      <c r="Q682" s="141">
        <v>1.5044689978243875E-2</v>
      </c>
      <c r="R682" s="143">
        <v>1.4930651313385113E-2</v>
      </c>
    </row>
    <row r="683" spans="14:18" x14ac:dyDescent="0.2">
      <c r="N683" s="139" t="str">
        <f t="shared" si="17"/>
        <v>1w</v>
      </c>
      <c r="O683" s="146">
        <f>_xll.qlCalendarAdvance(Calendar,O682,N683,"f",FALSE)</f>
        <v>43928</v>
      </c>
      <c r="P683" s="140">
        <f>_xll.qlInterestRateIndexValueDate(IborIndex,O683)</f>
        <v>43930</v>
      </c>
      <c r="Q683" s="141">
        <v>1.5107640614312745E-2</v>
      </c>
      <c r="R683" s="143">
        <v>1.5012990596536824E-2</v>
      </c>
    </row>
    <row r="684" spans="14:18" x14ac:dyDescent="0.2">
      <c r="N684" s="139" t="str">
        <f t="shared" si="17"/>
        <v>1w</v>
      </c>
      <c r="O684" s="146">
        <f>_xll.qlCalendarAdvance(Calendar,O683,N684,"f",FALSE)</f>
        <v>43935</v>
      </c>
      <c r="P684" s="140">
        <f>_xll.qlInterestRateIndexValueDate(IborIndex,O684)</f>
        <v>43937</v>
      </c>
      <c r="Q684" s="141">
        <v>1.5169808806134721E-2</v>
      </c>
      <c r="R684" s="143">
        <v>1.5058176240403398E-2</v>
      </c>
    </row>
    <row r="685" spans="14:18" x14ac:dyDescent="0.2">
      <c r="N685" s="139" t="str">
        <f t="shared" si="17"/>
        <v>1w</v>
      </c>
      <c r="O685" s="146">
        <f>_xll.qlCalendarAdvance(Calendar,O684,N685,"f",FALSE)</f>
        <v>43942</v>
      </c>
      <c r="P685" s="140">
        <f>_xll.qlInterestRateIndexValueDate(IborIndex,O685)</f>
        <v>43944</v>
      </c>
      <c r="Q685" s="141">
        <v>1.5231221121350391E-2</v>
      </c>
      <c r="R685" s="143">
        <v>1.5120766058851487E-2</v>
      </c>
    </row>
    <row r="686" spans="14:18" x14ac:dyDescent="0.2">
      <c r="N686" s="139" t="str">
        <f t="shared" si="17"/>
        <v>1w</v>
      </c>
      <c r="O686" s="146">
        <f>_xll.qlCalendarAdvance(Calendar,O685,N686,"f",FALSE)</f>
        <v>43949</v>
      </c>
      <c r="P686" s="140">
        <f>_xll.qlInterestRateIndexValueDate(IborIndex,O686)</f>
        <v>43951</v>
      </c>
      <c r="Q686" s="141">
        <v>1.5278140660565901E-2</v>
      </c>
      <c r="R686" s="143">
        <v>1.5191340017928212E-2</v>
      </c>
    </row>
    <row r="687" spans="14:18" x14ac:dyDescent="0.2">
      <c r="N687" s="139" t="str">
        <f t="shared" si="17"/>
        <v>1w</v>
      </c>
      <c r="O687" s="146">
        <f>_xll.qlCalendarAdvance(Calendar,O686,N687,"f",FALSE)</f>
        <v>43956</v>
      </c>
      <c r="P687" s="140">
        <f>_xll.qlInterestRateIndexValueDate(IborIndex,O687)</f>
        <v>43958</v>
      </c>
      <c r="Q687" s="141">
        <v>1.53523362712496E-2</v>
      </c>
      <c r="R687" s="143">
        <v>1.5243600403467283E-2</v>
      </c>
    </row>
    <row r="688" spans="14:18" x14ac:dyDescent="0.2">
      <c r="N688" s="139" t="str">
        <f t="shared" si="17"/>
        <v>1w</v>
      </c>
      <c r="O688" s="146">
        <f>_xll.qlCalendarAdvance(Calendar,O687,N688,"f",FALSE)</f>
        <v>43963</v>
      </c>
      <c r="P688" s="140">
        <f>_xll.qlInterestRateIndexValueDate(IborIndex,O688)</f>
        <v>43965</v>
      </c>
      <c r="Q688" s="141">
        <v>1.5412358059868903E-2</v>
      </c>
      <c r="R688" s="143">
        <v>1.5303847405334636E-2</v>
      </c>
    </row>
    <row r="689" spans="14:18" x14ac:dyDescent="0.2">
      <c r="N689" s="139" t="str">
        <f t="shared" si="17"/>
        <v>1w</v>
      </c>
      <c r="O689" s="146">
        <f>_xll.qlCalendarAdvance(Calendar,O688,N689,"f",FALSE)</f>
        <v>43970</v>
      </c>
      <c r="P689" s="140">
        <f>_xll.qlInterestRateIndexValueDate(IborIndex,O689)</f>
        <v>43973</v>
      </c>
      <c r="Q689" s="141">
        <v>1.5476177970752403E-2</v>
      </c>
      <c r="R689" s="143">
        <v>1.5372275968310589E-2</v>
      </c>
    </row>
    <row r="690" spans="14:18" x14ac:dyDescent="0.2">
      <c r="N690" s="139" t="str">
        <f t="shared" si="17"/>
        <v>1w</v>
      </c>
      <c r="O690" s="146">
        <f>_xll.qlCalendarAdvance(Calendar,O689,N690,"f",FALSE)</f>
        <v>43977</v>
      </c>
      <c r="P690" s="140">
        <f>_xll.qlInterestRateIndexValueDate(IborIndex,O690)</f>
        <v>43979</v>
      </c>
      <c r="Q690" s="141">
        <v>1.5532049978640161E-2</v>
      </c>
      <c r="R690" s="143">
        <v>1.543209347653729E-2</v>
      </c>
    </row>
    <row r="691" spans="14:18" x14ac:dyDescent="0.2">
      <c r="N691" s="139" t="str">
        <f t="shared" si="17"/>
        <v>1w</v>
      </c>
      <c r="O691" s="146">
        <f>_xll.qlCalendarAdvance(Calendar,O690,N691,"f",FALSE)</f>
        <v>43984</v>
      </c>
      <c r="P691" s="140">
        <f>_xll.qlInterestRateIndexValueDate(IborIndex,O691)</f>
        <v>43986</v>
      </c>
      <c r="Q691" s="141">
        <v>1.5591813333864779E-2</v>
      </c>
      <c r="R691" s="143">
        <v>1.5483322923701692E-2</v>
      </c>
    </row>
    <row r="692" spans="14:18" x14ac:dyDescent="0.2">
      <c r="N692" s="139" t="str">
        <f t="shared" si="17"/>
        <v>1w</v>
      </c>
      <c r="O692" s="146">
        <f>_xll.qlCalendarAdvance(Calendar,O691,N692,"f",FALSE)</f>
        <v>43991</v>
      </c>
      <c r="P692" s="140">
        <f>_xll.qlInterestRateIndexValueDate(IborIndex,O692)</f>
        <v>43993</v>
      </c>
      <c r="Q692" s="141">
        <v>1.565152327175634E-2</v>
      </c>
      <c r="R692" s="143">
        <v>1.5543040792351803E-2</v>
      </c>
    </row>
    <row r="693" spans="14:18" x14ac:dyDescent="0.2">
      <c r="N693" s="139" t="str">
        <f t="shared" si="17"/>
        <v>1w</v>
      </c>
      <c r="O693" s="146">
        <f>_xll.qlCalendarAdvance(Calendar,O692,N693,"f",FALSE)</f>
        <v>43998</v>
      </c>
      <c r="P693" s="140">
        <f>_xll.qlInterestRateIndexValueDate(IborIndex,O693)</f>
        <v>44000</v>
      </c>
      <c r="Q693" s="141">
        <v>1.5711179791455532E-2</v>
      </c>
      <c r="R693" s="143">
        <v>1.561122408856086E-2</v>
      </c>
    </row>
    <row r="694" spans="14:18" x14ac:dyDescent="0.2">
      <c r="N694" s="139" t="str">
        <f t="shared" si="17"/>
        <v>1w</v>
      </c>
      <c r="O694" s="146">
        <f>_xll.qlCalendarAdvance(Calendar,O693,N694,"f",FALSE)</f>
        <v>44005</v>
      </c>
      <c r="P694" s="140">
        <f>_xll.qlInterestRateIndexValueDate(IborIndex,O694)</f>
        <v>44007</v>
      </c>
      <c r="Q694" s="141">
        <v>1.5770782892115531E-2</v>
      </c>
      <c r="R694" s="143">
        <v>1.5662315573043983E-2</v>
      </c>
    </row>
    <row r="695" spans="14:18" x14ac:dyDescent="0.2">
      <c r="N695" s="139" t="str">
        <f t="shared" si="17"/>
        <v>1w</v>
      </c>
      <c r="O695" s="146">
        <f>_xll.qlCalendarAdvance(Calendar,O694,N695,"f",FALSE)</f>
        <v>44012</v>
      </c>
      <c r="P695" s="140">
        <f>_xll.qlInterestRateIndexValueDate(IborIndex,O695)</f>
        <v>44014</v>
      </c>
      <c r="Q695" s="141">
        <v>1.5830332572882022E-2</v>
      </c>
      <c r="R695" s="143">
        <v>1.5721872485165989E-2</v>
      </c>
    </row>
    <row r="696" spans="14:18" x14ac:dyDescent="0.2">
      <c r="N696" s="139" t="str">
        <f t="shared" si="17"/>
        <v>1w</v>
      </c>
      <c r="O696" s="146">
        <f>_xll.qlCalendarAdvance(Calendar,O695,N696,"f",FALSE)</f>
        <v>44019</v>
      </c>
      <c r="P696" s="140">
        <f>_xll.qlInterestRateIndexValueDate(IborIndex,O696)</f>
        <v>44021</v>
      </c>
      <c r="Q696" s="141">
        <v>1.5889828832908182E-2</v>
      </c>
      <c r="R696" s="143">
        <v>1.5781375745005377E-2</v>
      </c>
    </row>
    <row r="697" spans="14:18" x14ac:dyDescent="0.2">
      <c r="N697" s="139" t="str">
        <f t="shared" si="17"/>
        <v>1w</v>
      </c>
      <c r="O697" s="146">
        <f>_xll.qlCalendarAdvance(Calendar,O696,N697,"f",FALSE)</f>
        <v>44026</v>
      </c>
      <c r="P697" s="140">
        <f>_xll.qlInterestRateIndexValueDate(IborIndex,O697)</f>
        <v>44028</v>
      </c>
      <c r="Q697" s="141">
        <v>1.5949271671342191E-2</v>
      </c>
      <c r="R697" s="143">
        <v>1.5840825352642085E-2</v>
      </c>
    </row>
    <row r="698" spans="14:18" x14ac:dyDescent="0.2">
      <c r="N698" s="139" t="str">
        <f t="shared" si="17"/>
        <v>1w</v>
      </c>
      <c r="O698" s="146">
        <f>_xll.qlCalendarAdvance(Calendar,O697,N698,"f",FALSE)</f>
        <v>44033</v>
      </c>
      <c r="P698" s="140">
        <f>_xll.qlInterestRateIndexValueDate(IborIndex,O698)</f>
        <v>44035</v>
      </c>
      <c r="Q698" s="141">
        <v>1.600866108733473E-2</v>
      </c>
      <c r="R698" s="143">
        <v>1.5900221307996176E-2</v>
      </c>
    </row>
    <row r="699" spans="14:18" x14ac:dyDescent="0.2">
      <c r="N699" s="139" t="str">
        <f t="shared" si="17"/>
        <v>1w</v>
      </c>
      <c r="O699" s="146">
        <f>_xll.qlCalendarAdvance(Calendar,O698,N699,"f",FALSE)</f>
        <v>44040</v>
      </c>
      <c r="P699" s="140">
        <f>_xll.qlInterestRateIndexValueDate(IborIndex,O699)</f>
        <v>44042</v>
      </c>
      <c r="Q699" s="141">
        <v>1.6067997080036478E-2</v>
      </c>
      <c r="R699" s="143">
        <v>1.5959563610987715E-2</v>
      </c>
    </row>
    <row r="700" spans="14:18" x14ac:dyDescent="0.2">
      <c r="N700" s="139" t="str">
        <f t="shared" si="17"/>
        <v>1w</v>
      </c>
      <c r="O700" s="146">
        <f>_xll.qlCalendarAdvance(Calendar,O699,N700,"f",FALSE)</f>
        <v>44047</v>
      </c>
      <c r="P700" s="140">
        <f>_xll.qlInterestRateIndexValueDate(IborIndex,O700)</f>
        <v>44049</v>
      </c>
      <c r="Q700" s="141">
        <v>1.612727964860311E-2</v>
      </c>
      <c r="R700" s="143">
        <v>1.6018852261696637E-2</v>
      </c>
    </row>
    <row r="701" spans="14:18" x14ac:dyDescent="0.2">
      <c r="N701" s="139" t="str">
        <f t="shared" si="17"/>
        <v>1w</v>
      </c>
      <c r="O701" s="146">
        <f>_xll.qlCalendarAdvance(Calendar,O700,N701,"f",FALSE)</f>
        <v>44054</v>
      </c>
      <c r="P701" s="140">
        <f>_xll.qlInterestRateIndexValueDate(IborIndex,O701)</f>
        <v>44056</v>
      </c>
      <c r="Q701" s="141">
        <v>1.6186508792187804E-2</v>
      </c>
      <c r="R701" s="143">
        <v>1.6078087260043006E-2</v>
      </c>
    </row>
    <row r="702" spans="14:18" x14ac:dyDescent="0.2">
      <c r="N702" s="139" t="str">
        <f t="shared" si="17"/>
        <v>1w</v>
      </c>
      <c r="O702" s="146">
        <f>_xll.qlCalendarAdvance(Calendar,O701,N702,"f",FALSE)</f>
        <v>44061</v>
      </c>
      <c r="P702" s="140">
        <f>_xll.qlInterestRateIndexValueDate(IborIndex,O702)</f>
        <v>44063</v>
      </c>
      <c r="Q702" s="141">
        <v>1.6245684509941238E-2</v>
      </c>
      <c r="R702" s="143">
        <v>1.6137268606026822E-2</v>
      </c>
    </row>
    <row r="703" spans="14:18" x14ac:dyDescent="0.2">
      <c r="N703" s="139" t="str">
        <f t="shared" si="17"/>
        <v>1w</v>
      </c>
      <c r="O703" s="146">
        <f>_xll.qlCalendarAdvance(Calendar,O702,N703,"f",FALSE)</f>
        <v>44068</v>
      </c>
      <c r="P703" s="140">
        <f>_xll.qlInterestRateIndexValueDate(IborIndex,O703)</f>
        <v>44070</v>
      </c>
      <c r="Q703" s="141">
        <v>1.6304806801024085E-2</v>
      </c>
      <c r="R703" s="143">
        <v>1.6196396299488214E-2</v>
      </c>
    </row>
    <row r="704" spans="14:18" x14ac:dyDescent="0.2">
      <c r="N704" s="139" t="str">
        <f t="shared" si="17"/>
        <v>1w</v>
      </c>
      <c r="O704" s="146">
        <f>_xll.qlCalendarAdvance(Calendar,O703,N704,"f",FALSE)</f>
        <v>44075</v>
      </c>
      <c r="P704" s="140">
        <f>_xll.qlInterestRateIndexValueDate(IborIndex,O704)</f>
        <v>44077</v>
      </c>
      <c r="Q704" s="141">
        <v>1.6363875664582028E-2</v>
      </c>
      <c r="R704" s="143">
        <v>1.6255470340666989E-2</v>
      </c>
    </row>
    <row r="705" spans="14:18" x14ac:dyDescent="0.2">
      <c r="N705" s="139" t="str">
        <f t="shared" si="17"/>
        <v>1w</v>
      </c>
      <c r="O705" s="146">
        <f>_xll.qlCalendarAdvance(Calendar,O704,N705,"f",FALSE)</f>
        <v>44082</v>
      </c>
      <c r="P705" s="140">
        <f>_xll.qlInterestRateIndexValueDate(IborIndex,O705)</f>
        <v>44084</v>
      </c>
      <c r="Q705" s="141">
        <v>1.6422891099783232E-2</v>
      </c>
      <c r="R705" s="143">
        <v>1.6314490729243403E-2</v>
      </c>
    </row>
    <row r="706" spans="14:18" x14ac:dyDescent="0.2">
      <c r="N706" s="139" t="str">
        <f t="shared" si="17"/>
        <v>1w</v>
      </c>
      <c r="O706" s="146">
        <f>_xll.qlCalendarAdvance(Calendar,O705,N706,"f",FALSE)</f>
        <v>44089</v>
      </c>
      <c r="P706" s="140">
        <f>_xll.qlInterestRateIndexValueDate(IborIndex,O706)</f>
        <v>44091</v>
      </c>
      <c r="Q706" s="141">
        <v>1.6481853105778377E-2</v>
      </c>
      <c r="R706" s="143">
        <v>1.6373457465457264E-2</v>
      </c>
    </row>
    <row r="707" spans="14:18" x14ac:dyDescent="0.2">
      <c r="N707" s="139" t="str">
        <f t="shared" si="17"/>
        <v>1w</v>
      </c>
      <c r="O707" s="146">
        <f>_xll.qlCalendarAdvance(Calendar,O706,N707,"f",FALSE)</f>
        <v>44096</v>
      </c>
      <c r="P707" s="140">
        <f>_xll.qlInterestRateIndexValueDate(IborIndex,O707)</f>
        <v>44098</v>
      </c>
      <c r="Q707" s="141">
        <v>1.6540761681723137E-2</v>
      </c>
      <c r="R707" s="143">
        <v>1.6432370549068764E-2</v>
      </c>
    </row>
    <row r="708" spans="14:18" x14ac:dyDescent="0.2">
      <c r="N708" s="139" t="str">
        <f t="shared" si="17"/>
        <v>1w</v>
      </c>
      <c r="O708" s="146">
        <f>_xll.qlCalendarAdvance(Calendar,O707,N708,"f",FALSE)</f>
        <v>44103</v>
      </c>
      <c r="P708" s="140">
        <f>_xll.qlInterestRateIndexValueDate(IborIndex,O708)</f>
        <v>44105</v>
      </c>
      <c r="Q708" s="141">
        <v>1.6599616826783181E-2</v>
      </c>
      <c r="R708" s="143">
        <v>1.649122998015784E-2</v>
      </c>
    </row>
    <row r="709" spans="14:18" x14ac:dyDescent="0.2">
      <c r="N709" s="139" t="str">
        <f t="shared" si="17"/>
        <v>1w</v>
      </c>
      <c r="O709" s="146">
        <f>_xll.qlCalendarAdvance(Calendar,O708,N709,"f",FALSE)</f>
        <v>44110</v>
      </c>
      <c r="P709" s="140">
        <f>_xll.qlInterestRateIndexValueDate(IborIndex,O709)</f>
        <v>44112</v>
      </c>
      <c r="Q709" s="141">
        <v>1.6658418540111686E-2</v>
      </c>
      <c r="R709" s="143">
        <v>1.6550035758644555E-2</v>
      </c>
    </row>
    <row r="710" spans="14:18" x14ac:dyDescent="0.2">
      <c r="N710" s="139" t="str">
        <f t="shared" si="17"/>
        <v>1w</v>
      </c>
      <c r="O710" s="146">
        <f>_xll.qlCalendarAdvance(Calendar,O709,N710,"f",FALSE)</f>
        <v>44117</v>
      </c>
      <c r="P710" s="140">
        <f>_xll.qlInterestRateIndexValueDate(IborIndex,O710)</f>
        <v>44119</v>
      </c>
      <c r="Q710" s="141">
        <v>1.671716682087182E-2</v>
      </c>
      <c r="R710" s="143">
        <v>1.6608787884608844E-2</v>
      </c>
    </row>
    <row r="711" spans="14:18" x14ac:dyDescent="0.2">
      <c r="N711" s="139" t="str">
        <f t="shared" si="17"/>
        <v>1w</v>
      </c>
      <c r="O711" s="146">
        <f>_xll.qlCalendarAdvance(Calendar,O710,N711,"f",FALSE)</f>
        <v>44124</v>
      </c>
      <c r="P711" s="140">
        <f>_xll.qlInterestRateIndexValueDate(IborIndex,O711)</f>
        <v>44126</v>
      </c>
      <c r="Q711" s="141">
        <v>1.6775861668224257E-2</v>
      </c>
      <c r="R711" s="143">
        <v>1.6667486357890837E-2</v>
      </c>
    </row>
    <row r="712" spans="14:18" x14ac:dyDescent="0.2">
      <c r="N712" s="139" t="str">
        <f t="shared" si="17"/>
        <v>1w</v>
      </c>
      <c r="O712" s="146">
        <f>_xll.qlCalendarAdvance(Calendar,O711,N712,"f",FALSE)</f>
        <v>44131</v>
      </c>
      <c r="P712" s="140">
        <f>_xll.qlInterestRateIndexValueDate(IborIndex,O712)</f>
        <v>44133</v>
      </c>
      <c r="Q712" s="141">
        <v>1.6834503081329666E-2</v>
      </c>
      <c r="R712" s="143">
        <v>1.6726131178490533E-2</v>
      </c>
    </row>
    <row r="713" spans="14:18" x14ac:dyDescent="0.2">
      <c r="N713" s="139" t="str">
        <f t="shared" si="17"/>
        <v>1w</v>
      </c>
      <c r="O713" s="146">
        <f>_xll.qlCalendarAdvance(Calendar,O712,N713,"f",FALSE)</f>
        <v>44138</v>
      </c>
      <c r="P713" s="140">
        <f>_xll.qlInterestRateIndexValueDate(IborIndex,O713)</f>
        <v>44140</v>
      </c>
      <c r="Q713" s="141">
        <v>1.6893091059353715E-2</v>
      </c>
      <c r="R713" s="143">
        <v>1.6784722346487868E-2</v>
      </c>
    </row>
    <row r="714" spans="14:18" x14ac:dyDescent="0.2">
      <c r="N714" s="139" t="str">
        <f t="shared" si="17"/>
        <v>1w</v>
      </c>
      <c r="O714" s="146">
        <f>_xll.qlCalendarAdvance(Calendar,O713,N714,"f",FALSE)</f>
        <v>44145</v>
      </c>
      <c r="P714" s="140">
        <f>_xll.qlInterestRateIndexValueDate(IborIndex,O714)</f>
        <v>44147</v>
      </c>
      <c r="Q714" s="141">
        <v>1.6951625601454579E-2</v>
      </c>
      <c r="R714" s="143">
        <v>1.6843259861802906E-2</v>
      </c>
    </row>
    <row r="715" spans="14:18" x14ac:dyDescent="0.2">
      <c r="N715" s="139" t="str">
        <f t="shared" si="17"/>
        <v>1w</v>
      </c>
      <c r="O715" s="146">
        <f>_xll.qlCalendarAdvance(Calendar,O714,N715,"f",FALSE)</f>
        <v>44152</v>
      </c>
      <c r="P715" s="140">
        <f>_xll.qlInterestRateIndexValueDate(IborIndex,O715)</f>
        <v>44154</v>
      </c>
      <c r="Q715" s="141">
        <v>1.7010106706800421E-2</v>
      </c>
      <c r="R715" s="143">
        <v>1.6901743724355711E-2</v>
      </c>
    </row>
    <row r="716" spans="14:18" x14ac:dyDescent="0.2">
      <c r="N716" s="139" t="str">
        <f t="shared" si="17"/>
        <v>1w</v>
      </c>
      <c r="O716" s="146">
        <f>_xll.qlCalendarAdvance(Calendar,O715,N716,"f",FALSE)</f>
        <v>44159</v>
      </c>
      <c r="P716" s="140">
        <f>_xll.qlInterestRateIndexValueDate(IborIndex,O716)</f>
        <v>44161</v>
      </c>
      <c r="Q716" s="141">
        <v>1.7068534374554412E-2</v>
      </c>
      <c r="R716" s="143">
        <v>1.6960173934226219E-2</v>
      </c>
    </row>
    <row r="717" spans="14:18" x14ac:dyDescent="0.2">
      <c r="N717" s="139" t="str">
        <f t="shared" si="17"/>
        <v>1w</v>
      </c>
      <c r="O717" s="146">
        <f>_xll.qlCalendarAdvance(Calendar,O716,N717,"f",FALSE)</f>
        <v>44166</v>
      </c>
      <c r="P717" s="140">
        <f>_xll.qlInterestRateIndexValueDate(IborIndex,O717)</f>
        <v>44168</v>
      </c>
      <c r="Q717" s="141">
        <v>1.7126908603882218E-2</v>
      </c>
      <c r="R717" s="143">
        <v>1.7018550491174622E-2</v>
      </c>
    </row>
    <row r="718" spans="14:18" x14ac:dyDescent="0.2">
      <c r="N718" s="139" t="str">
        <f t="shared" si="17"/>
        <v>1w</v>
      </c>
      <c r="O718" s="146">
        <f>_xll.qlCalendarAdvance(Calendar,O717,N718,"f",FALSE)</f>
        <v>44173</v>
      </c>
      <c r="P718" s="140">
        <f>_xll.qlInterestRateIndexValueDate(IborIndex,O718)</f>
        <v>44175</v>
      </c>
      <c r="Q718" s="141">
        <v>1.7185229393949508E-2</v>
      </c>
      <c r="R718" s="143">
        <v>1.7076873395440728E-2</v>
      </c>
    </row>
    <row r="719" spans="14:18" x14ac:dyDescent="0.2">
      <c r="N719" s="139" t="str">
        <f t="shared" si="17"/>
        <v>1w</v>
      </c>
      <c r="O719" s="146">
        <f>_xll.qlCalendarAdvance(Calendar,O718,N719,"f",FALSE)</f>
        <v>44180</v>
      </c>
      <c r="P719" s="140">
        <f>_xll.qlInterestRateIndexValueDate(IborIndex,O719)</f>
        <v>44182</v>
      </c>
      <c r="Q719" s="141">
        <v>1.7243496743924447E-2</v>
      </c>
      <c r="R719" s="143">
        <v>1.7135142646784729E-2</v>
      </c>
    </row>
    <row r="720" spans="14:18" x14ac:dyDescent="0.2">
      <c r="N720" s="139" t="str">
        <f t="shared" si="17"/>
        <v>1w</v>
      </c>
      <c r="O720" s="146">
        <f>_xll.qlCalendarAdvance(Calendar,O719,N720,"f",FALSE)</f>
        <v>44187</v>
      </c>
      <c r="P720" s="140">
        <f>_xll.qlInterestRateIndexValueDate(IborIndex,O720)</f>
        <v>44193</v>
      </c>
      <c r="Q720" s="141">
        <v>1.733038350467854E-2</v>
      </c>
      <c r="R720" s="143">
        <v>1.7228247839236488E-2</v>
      </c>
    </row>
    <row r="721" spans="14:18" x14ac:dyDescent="0.2">
      <c r="N721" s="139" t="str">
        <f t="shared" si="17"/>
        <v>1w</v>
      </c>
      <c r="O721" s="146">
        <f>_xll.qlCalendarAdvance(Calendar,O720,N721,"f",FALSE)</f>
        <v>44194</v>
      </c>
      <c r="P721" s="140">
        <f>_xll.qlInterestRateIndexValueDate(IborIndex,O721)</f>
        <v>44200</v>
      </c>
      <c r="Q721" s="141">
        <v>1.7388514449709042E-2</v>
      </c>
      <c r="R721" s="143">
        <v>1.7276430314749902E-2</v>
      </c>
    </row>
    <row r="722" spans="14:18" x14ac:dyDescent="0.2">
      <c r="N722" s="139" t="str">
        <f t="shared" si="17"/>
        <v>1w</v>
      </c>
      <c r="O722" s="146">
        <f>_xll.qlCalendarAdvance(Calendar,O721,N722,"f",FALSE)</f>
        <v>44201</v>
      </c>
      <c r="P722" s="140">
        <f>_xll.qlInterestRateIndexValueDate(IborIndex,O722)</f>
        <v>44204</v>
      </c>
      <c r="Q722" s="141">
        <v>1.7421708134769003E-2</v>
      </c>
      <c r="R722" s="143">
        <v>1.7317925288606872E-2</v>
      </c>
    </row>
    <row r="723" spans="14:18" x14ac:dyDescent="0.2">
      <c r="N723" s="139" t="str">
        <f t="shared" si="17"/>
        <v>1w</v>
      </c>
      <c r="O723" s="146">
        <f>_xll.qlCalendarAdvance(Calendar,O722,N723,"f",FALSE)</f>
        <v>44208</v>
      </c>
      <c r="P723" s="140">
        <f>_xll.qlInterestRateIndexValueDate(IborIndex,O723)</f>
        <v>44210</v>
      </c>
      <c r="Q723" s="141">
        <v>1.7476031726261498E-2</v>
      </c>
      <c r="R723" s="143">
        <v>1.736768312357917E-2</v>
      </c>
    </row>
    <row r="724" spans="14:18" x14ac:dyDescent="0.2">
      <c r="N724" s="139" t="str">
        <f t="shared" si="17"/>
        <v>1w</v>
      </c>
      <c r="O724" s="146">
        <f>_xll.qlCalendarAdvance(Calendar,O723,N724,"f",FALSE)</f>
        <v>44215</v>
      </c>
      <c r="P724" s="140">
        <f>_xll.qlInterestRateIndexValueDate(IborIndex,O724)</f>
        <v>44217</v>
      </c>
      <c r="Q724" s="141">
        <v>1.7534031863302157E-2</v>
      </c>
      <c r="R724" s="143">
        <v>1.7425684110392581E-2</v>
      </c>
    </row>
    <row r="725" spans="14:18" x14ac:dyDescent="0.2">
      <c r="N725" s="139" t="str">
        <f t="shared" ref="N725:N788" si="18">N724</f>
        <v>1w</v>
      </c>
      <c r="O725" s="146">
        <f>_xll.qlCalendarAdvance(Calendar,O724,N725,"f",FALSE)</f>
        <v>44222</v>
      </c>
      <c r="P725" s="140">
        <f>_xll.qlInterestRateIndexValueDate(IborIndex,O725)</f>
        <v>44224</v>
      </c>
      <c r="Q725" s="141">
        <v>1.7578287329761216E-2</v>
      </c>
      <c r="R725" s="143">
        <v>1.7483631444283887E-2</v>
      </c>
    </row>
    <row r="726" spans="14:18" x14ac:dyDescent="0.2">
      <c r="N726" s="139" t="str">
        <f t="shared" si="18"/>
        <v>1w</v>
      </c>
      <c r="O726" s="146">
        <f>_xll.qlCalendarAdvance(Calendar,O725,N726,"f",FALSE)</f>
        <v>44229</v>
      </c>
      <c r="P726" s="140">
        <f>_xll.qlInterestRateIndexValueDate(IborIndex,O726)</f>
        <v>44231</v>
      </c>
      <c r="Q726" s="141">
        <v>1.7631620893904403E-2</v>
      </c>
      <c r="R726" s="143">
        <v>1.7541525125173152E-2</v>
      </c>
    </row>
    <row r="727" spans="14:18" x14ac:dyDescent="0.2">
      <c r="N727" s="139" t="str">
        <f t="shared" si="18"/>
        <v>1w</v>
      </c>
      <c r="O727" s="146">
        <f>_xll.qlCalendarAdvance(Calendar,O726,N727,"f",FALSE)</f>
        <v>44236</v>
      </c>
      <c r="P727" s="140">
        <f>_xll.qlInterestRateIndexValueDate(IborIndex,O727)</f>
        <v>44238</v>
      </c>
      <c r="Q727" s="141">
        <v>1.7689464619979094E-2</v>
      </c>
      <c r="R727" s="143">
        <v>1.759936515298044E-2</v>
      </c>
    </row>
    <row r="728" spans="14:18" x14ac:dyDescent="0.2">
      <c r="N728" s="139" t="str">
        <f t="shared" si="18"/>
        <v>1w</v>
      </c>
      <c r="O728" s="146">
        <f>_xll.qlCalendarAdvance(Calendar,O727,N728,"f",FALSE)</f>
        <v>44243</v>
      </c>
      <c r="P728" s="140">
        <f>_xll.qlInterestRateIndexValueDate(IborIndex,O728)</f>
        <v>44245</v>
      </c>
      <c r="Q728" s="141">
        <v>1.774725487213992E-2</v>
      </c>
      <c r="R728" s="143">
        <v>1.765715152770575E-2</v>
      </c>
    </row>
    <row r="729" spans="14:18" x14ac:dyDescent="0.2">
      <c r="N729" s="139" t="str">
        <f t="shared" si="18"/>
        <v>1w</v>
      </c>
      <c r="O729" s="146">
        <f>_xll.qlCalendarAdvance(Calendar,O728,N729,"f",FALSE)</f>
        <v>44250</v>
      </c>
      <c r="P729" s="140">
        <f>_xll.qlInterestRateIndexValueDate(IborIndex,O729)</f>
        <v>44252</v>
      </c>
      <c r="Q729" s="141">
        <v>1.7804991649661744E-2</v>
      </c>
      <c r="R729" s="143">
        <v>1.7714884249349083E-2</v>
      </c>
    </row>
    <row r="730" spans="14:18" x14ac:dyDescent="0.2">
      <c r="N730" s="139" t="str">
        <f t="shared" si="18"/>
        <v>1w</v>
      </c>
      <c r="O730" s="146">
        <f>_xll.qlCalendarAdvance(Calendar,O729,N730,"f",FALSE)</f>
        <v>44257</v>
      </c>
      <c r="P730" s="140">
        <f>_xll.qlInterestRateIndexValueDate(IborIndex,O730)</f>
        <v>44259</v>
      </c>
      <c r="Q730" s="141">
        <v>1.7885469296912957E-2</v>
      </c>
      <c r="R730" s="143">
        <v>1.7772563317910439E-2</v>
      </c>
    </row>
    <row r="731" spans="14:18" x14ac:dyDescent="0.2">
      <c r="N731" s="139" t="str">
        <f t="shared" si="18"/>
        <v>1w</v>
      </c>
      <c r="O731" s="146">
        <f>_xll.qlCalendarAdvance(Calendar,O730,N731,"f",FALSE)</f>
        <v>44264</v>
      </c>
      <c r="P731" s="140">
        <f>_xll.qlInterestRateIndexValueDate(IborIndex,O731)</f>
        <v>44266</v>
      </c>
      <c r="Q731" s="141">
        <v>1.7938536314209552E-2</v>
      </c>
      <c r="R731" s="143">
        <v>1.7830188733309882E-2</v>
      </c>
    </row>
    <row r="732" spans="14:18" x14ac:dyDescent="0.2">
      <c r="N732" s="139" t="str">
        <f t="shared" si="18"/>
        <v>1w</v>
      </c>
      <c r="O732" s="146">
        <f>_xll.qlCalendarAdvance(Calendar,O731,N732,"f",FALSE)</f>
        <v>44271</v>
      </c>
      <c r="P732" s="140">
        <f>_xll.qlInterestRateIndexValueDate(IborIndex,O732)</f>
        <v>44273</v>
      </c>
      <c r="Q732" s="141">
        <v>1.7996108867521787E-2</v>
      </c>
      <c r="R732" s="143">
        <v>1.7887760495467475E-2</v>
      </c>
    </row>
    <row r="733" spans="14:18" x14ac:dyDescent="0.2">
      <c r="N733" s="139" t="str">
        <f t="shared" si="18"/>
        <v>1w</v>
      </c>
      <c r="O733" s="146">
        <f>_xll.qlCalendarAdvance(Calendar,O732,N733,"f",FALSE)</f>
        <v>44278</v>
      </c>
      <c r="P733" s="140">
        <f>_xll.qlInterestRateIndexValueDate(IborIndex,O733)</f>
        <v>44280</v>
      </c>
      <c r="Q733" s="141">
        <v>1.8053627969160935E-2</v>
      </c>
      <c r="R733" s="143">
        <v>1.7945278604543091E-2</v>
      </c>
    </row>
    <row r="734" spans="14:18" x14ac:dyDescent="0.2">
      <c r="N734" s="139" t="str">
        <f t="shared" si="18"/>
        <v>1w</v>
      </c>
      <c r="O734" s="146">
        <f>_xll.qlCalendarAdvance(Calendar,O733,N734,"f",FALSE)</f>
        <v>44285</v>
      </c>
      <c r="P734" s="140">
        <f>_xll.qlInterestRateIndexValueDate(IborIndex,O734)</f>
        <v>44287</v>
      </c>
      <c r="Q734" s="141">
        <v>1.8111093618302654E-2</v>
      </c>
      <c r="R734" s="143">
        <v>1.8019151621606611E-2</v>
      </c>
    </row>
    <row r="735" spans="14:18" x14ac:dyDescent="0.2">
      <c r="N735" s="139" t="str">
        <f t="shared" si="18"/>
        <v>1w</v>
      </c>
      <c r="O735" s="146">
        <f>_xll.qlCalendarAdvance(Calendar,O734,N735,"f",FALSE)</f>
        <v>44292</v>
      </c>
      <c r="P735" s="140">
        <f>_xll.qlInterestRateIndexValueDate(IborIndex,O735)</f>
        <v>44294</v>
      </c>
      <c r="Q735" s="141">
        <v>1.81685058141276E-2</v>
      </c>
      <c r="R735" s="143">
        <v>1.8060153862968775E-2</v>
      </c>
    </row>
    <row r="736" spans="14:18" x14ac:dyDescent="0.2">
      <c r="N736" s="139" t="str">
        <f t="shared" si="18"/>
        <v>1w</v>
      </c>
      <c r="O736" s="146">
        <f>_xll.qlCalendarAdvance(Calendar,O735,N736,"f",FALSE)</f>
        <v>44299</v>
      </c>
      <c r="P736" s="140">
        <f>_xll.qlInterestRateIndexValueDate(IborIndex,O736)</f>
        <v>44301</v>
      </c>
      <c r="Q736" s="141">
        <v>1.8225864555816429E-2</v>
      </c>
      <c r="R736" s="143">
        <v>1.8117511012238907E-2</v>
      </c>
    </row>
    <row r="737" spans="14:18" x14ac:dyDescent="0.2">
      <c r="N737" s="139" t="str">
        <f t="shared" si="18"/>
        <v>1w</v>
      </c>
      <c r="O737" s="146">
        <f>_xll.qlCalendarAdvance(Calendar,O736,N737,"f",FALSE)</f>
        <v>44306</v>
      </c>
      <c r="P737" s="140">
        <f>_xll.qlInterestRateIndexValueDate(IborIndex,O737)</f>
        <v>44308</v>
      </c>
      <c r="Q737" s="141">
        <v>1.8287703620269789E-2</v>
      </c>
      <c r="R737" s="143">
        <v>1.817481450826719E-2</v>
      </c>
    </row>
    <row r="738" spans="14:18" x14ac:dyDescent="0.2">
      <c r="N738" s="139" t="str">
        <f t="shared" si="18"/>
        <v>1w</v>
      </c>
      <c r="O738" s="146">
        <f>_xll.qlCalendarAdvance(Calendar,O737,N738,"f",FALSE)</f>
        <v>44313</v>
      </c>
      <c r="P738" s="140">
        <f>_xll.qlInterestRateIndexValueDate(IborIndex,O738)</f>
        <v>44315</v>
      </c>
      <c r="Q738" s="141">
        <v>1.8340298324822091E-2</v>
      </c>
      <c r="R738" s="143">
        <v>1.8232064350893751E-2</v>
      </c>
    </row>
    <row r="739" spans="14:18" x14ac:dyDescent="0.2">
      <c r="N739" s="139" t="str">
        <f t="shared" si="18"/>
        <v>1w</v>
      </c>
      <c r="O739" s="146">
        <f>_xll.qlCalendarAdvance(Calendar,O738,N739,"f",FALSE)</f>
        <v>44320</v>
      </c>
      <c r="P739" s="140">
        <f>_xll.qlInterestRateIndexValueDate(IborIndex,O739)</f>
        <v>44322</v>
      </c>
      <c r="Q739" s="141">
        <v>1.8397170892444914E-2</v>
      </c>
      <c r="R739" s="143">
        <v>1.8289260540278462E-2</v>
      </c>
    </row>
    <row r="740" spans="14:18" x14ac:dyDescent="0.2">
      <c r="N740" s="139" t="str">
        <f t="shared" si="18"/>
        <v>1w</v>
      </c>
      <c r="O740" s="146">
        <f>_xll.qlCalendarAdvance(Calendar,O739,N740,"f",FALSE)</f>
        <v>44327</v>
      </c>
      <c r="P740" s="140">
        <f>_xll.qlInterestRateIndexValueDate(IborIndex,O740)</f>
        <v>44330</v>
      </c>
      <c r="Q740" s="141">
        <v>1.8457233923669436E-2</v>
      </c>
      <c r="R740" s="143">
        <v>1.8354560122020303E-2</v>
      </c>
    </row>
    <row r="741" spans="14:18" x14ac:dyDescent="0.2">
      <c r="N741" s="139" t="str">
        <f t="shared" si="18"/>
        <v>1w</v>
      </c>
      <c r="O741" s="146">
        <f>_xll.qlCalendarAdvance(Calendar,O740,N741,"f",FALSE)</f>
        <v>44334</v>
      </c>
      <c r="P741" s="140">
        <f>_xll.qlInterestRateIndexValueDate(IborIndex,O741)</f>
        <v>44336</v>
      </c>
      <c r="Q741" s="141">
        <v>1.850965014991296E-2</v>
      </c>
      <c r="R741" s="143">
        <v>1.8411339984671926E-2</v>
      </c>
    </row>
    <row r="742" spans="14:18" x14ac:dyDescent="0.2">
      <c r="N742" s="139" t="str">
        <f t="shared" si="18"/>
        <v>1w</v>
      </c>
      <c r="O742" s="146">
        <f>_xll.qlCalendarAdvance(Calendar,O741,N742,"f",FALSE)</f>
        <v>44341</v>
      </c>
      <c r="P742" s="140">
        <f>_xll.qlInterestRateIndexValueDate(IborIndex,O742)</f>
        <v>44343</v>
      </c>
      <c r="Q742" s="141">
        <v>1.8565065764784838E-2</v>
      </c>
      <c r="R742" s="143">
        <v>1.8459545990019421E-2</v>
      </c>
    </row>
    <row r="743" spans="14:18" x14ac:dyDescent="0.2">
      <c r="N743" s="139" t="str">
        <f t="shared" si="18"/>
        <v>1w</v>
      </c>
      <c r="O743" s="146">
        <f>_xll.qlCalendarAdvance(Calendar,O742,N743,"f",FALSE)</f>
        <v>44348</v>
      </c>
      <c r="P743" s="140">
        <f>_xll.qlInterestRateIndexValueDate(IborIndex,O743)</f>
        <v>44350</v>
      </c>
      <c r="Q743" s="141">
        <v>1.8619899686413144E-2</v>
      </c>
      <c r="R743" s="143">
        <v>1.8515246806138919E-2</v>
      </c>
    </row>
    <row r="744" spans="14:18" x14ac:dyDescent="0.2">
      <c r="N744" s="139" t="str">
        <f t="shared" si="18"/>
        <v>1w</v>
      </c>
      <c r="O744" s="146">
        <f>_xll.qlCalendarAdvance(Calendar,O743,N744,"f",FALSE)</f>
        <v>44355</v>
      </c>
      <c r="P744" s="140">
        <f>_xll.qlInterestRateIndexValueDate(IborIndex,O744)</f>
        <v>44357</v>
      </c>
      <c r="Q744" s="141">
        <v>1.8674151906302172E-2</v>
      </c>
      <c r="R744" s="143">
        <v>1.8570366596790677E-2</v>
      </c>
    </row>
    <row r="745" spans="14:18" x14ac:dyDescent="0.2">
      <c r="N745" s="139" t="str">
        <f t="shared" si="18"/>
        <v>1w</v>
      </c>
      <c r="O745" s="146">
        <f>_xll.qlCalendarAdvance(Calendar,O744,N745,"f",FALSE)</f>
        <v>44362</v>
      </c>
      <c r="P745" s="140">
        <f>_xll.qlInterestRateIndexValueDate(IborIndex,O745)</f>
        <v>44364</v>
      </c>
      <c r="Q745" s="141">
        <v>1.8727822416053641E-2</v>
      </c>
      <c r="R745" s="143">
        <v>1.8624905361654953E-2</v>
      </c>
    </row>
    <row r="746" spans="14:18" x14ac:dyDescent="0.2">
      <c r="N746" s="139" t="str">
        <f t="shared" si="18"/>
        <v>1w</v>
      </c>
      <c r="O746" s="146">
        <f>_xll.qlCalendarAdvance(Calendar,O745,N746,"f",FALSE)</f>
        <v>44369</v>
      </c>
      <c r="P746" s="140">
        <f>_xll.qlInterestRateIndexValueDate(IborIndex,O746)</f>
        <v>44371</v>
      </c>
      <c r="Q746" s="141">
        <v>1.8780911207349205E-2</v>
      </c>
      <c r="R746" s="143">
        <v>1.8686523918312048E-2</v>
      </c>
    </row>
    <row r="747" spans="14:18" x14ac:dyDescent="0.2">
      <c r="N747" s="139" t="str">
        <f t="shared" si="18"/>
        <v>1w</v>
      </c>
      <c r="O747" s="146">
        <f>_xll.qlCalendarAdvance(Calendar,O746,N747,"f",FALSE)</f>
        <v>44376</v>
      </c>
      <c r="P747" s="140">
        <f>_xll.qlInterestRateIndexValueDate(IborIndex,O747)</f>
        <v>44378</v>
      </c>
      <c r="Q747" s="141">
        <v>1.8833418271967939E-2</v>
      </c>
      <c r="R747" s="143">
        <v>1.8732239813221696E-2</v>
      </c>
    </row>
    <row r="748" spans="14:18" x14ac:dyDescent="0.2">
      <c r="N748" s="139" t="str">
        <f t="shared" si="18"/>
        <v>1w</v>
      </c>
      <c r="O748" s="146">
        <f>_xll.qlCalendarAdvance(Calendar,O747,N748,"f",FALSE)</f>
        <v>44383</v>
      </c>
      <c r="P748" s="140">
        <f>_xll.qlInterestRateIndexValueDate(IborIndex,O748)</f>
        <v>44385</v>
      </c>
      <c r="Q748" s="141">
        <v>1.8885343601771354E-2</v>
      </c>
      <c r="R748" s="143">
        <v>1.8785035499284675E-2</v>
      </c>
    </row>
    <row r="749" spans="14:18" x14ac:dyDescent="0.2">
      <c r="N749" s="139" t="str">
        <f t="shared" si="18"/>
        <v>1w</v>
      </c>
      <c r="O749" s="146">
        <f>_xll.qlCalendarAdvance(Calendar,O748,N749,"f",FALSE)</f>
        <v>44390</v>
      </c>
      <c r="P749" s="140">
        <f>_xll.qlInterestRateIndexValueDate(IborIndex,O749)</f>
        <v>44392</v>
      </c>
      <c r="Q749" s="141">
        <v>1.8936687188718382E-2</v>
      </c>
      <c r="R749" s="143">
        <v>1.8837250158600938E-2</v>
      </c>
    </row>
    <row r="750" spans="14:18" x14ac:dyDescent="0.2">
      <c r="N750" s="139" t="str">
        <f t="shared" si="18"/>
        <v>1w</v>
      </c>
      <c r="O750" s="146">
        <f>_xll.qlCalendarAdvance(Calendar,O749,N750,"f",FALSE)</f>
        <v>44397</v>
      </c>
      <c r="P750" s="140">
        <f>_xll.qlInterestRateIndexValueDate(IborIndex,O750)</f>
        <v>44399</v>
      </c>
      <c r="Q750" s="141">
        <v>1.8987449024852887E-2</v>
      </c>
      <c r="R750" s="143">
        <v>1.8888883790850741E-2</v>
      </c>
    </row>
    <row r="751" spans="14:18" x14ac:dyDescent="0.2">
      <c r="N751" s="139" t="str">
        <f t="shared" si="18"/>
        <v>1w</v>
      </c>
      <c r="O751" s="146">
        <f>_xll.qlCalendarAdvance(Calendar,O750,N751,"f",FALSE)</f>
        <v>44404</v>
      </c>
      <c r="P751" s="140">
        <f>_xll.qlInterestRateIndexValueDate(IborIndex,O751)</f>
        <v>44406</v>
      </c>
      <c r="Q751" s="141">
        <v>1.9037629102316156E-2</v>
      </c>
      <c r="R751" s="143">
        <v>1.8939936395874213E-2</v>
      </c>
    </row>
    <row r="752" spans="14:18" x14ac:dyDescent="0.2">
      <c r="N752" s="139" t="str">
        <f t="shared" si="18"/>
        <v>1w</v>
      </c>
      <c r="O752" s="146">
        <f>_xll.qlCalendarAdvance(Calendar,O751,N752,"f",FALSE)</f>
        <v>44411</v>
      </c>
      <c r="P752" s="140">
        <f>_xll.qlInterestRateIndexValueDate(IborIndex,O752)</f>
        <v>44413</v>
      </c>
      <c r="Q752" s="141">
        <v>1.9087227413329411E-2</v>
      </c>
      <c r="R752" s="143">
        <v>1.8990407973271672E-2</v>
      </c>
    </row>
    <row r="753" spans="14:18" x14ac:dyDescent="0.2">
      <c r="N753" s="139" t="str">
        <f t="shared" si="18"/>
        <v>1w</v>
      </c>
      <c r="O753" s="146">
        <f>_xll.qlCalendarAdvance(Calendar,O752,N753,"f",FALSE)</f>
        <v>44418</v>
      </c>
      <c r="P753" s="140">
        <f>_xll.qlInterestRateIndexValueDate(IborIndex,O753)</f>
        <v>44420</v>
      </c>
      <c r="Q753" s="141">
        <v>1.9136243950211296E-2</v>
      </c>
      <c r="R753" s="143">
        <v>1.9040298522883248E-2</v>
      </c>
    </row>
    <row r="754" spans="14:18" x14ac:dyDescent="0.2">
      <c r="N754" s="139" t="str">
        <f t="shared" si="18"/>
        <v>1w</v>
      </c>
      <c r="O754" s="146">
        <f>_xll.qlCalendarAdvance(Calendar,O753,N754,"f",FALSE)</f>
        <v>44425</v>
      </c>
      <c r="P754" s="140">
        <f>_xll.qlInterestRateIndexValueDate(IborIndex,O754)</f>
        <v>44427</v>
      </c>
      <c r="Q754" s="141">
        <v>1.9184678705367886E-2</v>
      </c>
      <c r="R754" s="143">
        <v>1.9089608044629003E-2</v>
      </c>
    </row>
    <row r="755" spans="14:18" x14ac:dyDescent="0.2">
      <c r="N755" s="139" t="str">
        <f t="shared" si="18"/>
        <v>1w</v>
      </c>
      <c r="O755" s="146">
        <f>_xll.qlCalendarAdvance(Calendar,O754,N755,"f",FALSE)</f>
        <v>44432</v>
      </c>
      <c r="P755" s="140">
        <f>_xll.qlInterestRateIndexValueDate(IborIndex,O755)</f>
        <v>44434</v>
      </c>
      <c r="Q755" s="141">
        <v>1.9232531671297681E-2</v>
      </c>
      <c r="R755" s="143">
        <v>1.9138336537949385E-2</v>
      </c>
    </row>
    <row r="756" spans="14:18" x14ac:dyDescent="0.2">
      <c r="N756" s="139" t="str">
        <f t="shared" si="18"/>
        <v>1w</v>
      </c>
      <c r="O756" s="146">
        <f>_xll.qlCalendarAdvance(Calendar,O755,N756,"f",FALSE)</f>
        <v>44439</v>
      </c>
      <c r="P756" s="140">
        <f>_xll.qlInterestRateIndexValueDate(IborIndex,O756)</f>
        <v>44441</v>
      </c>
      <c r="Q756" s="141">
        <v>1.9279802840584115E-2</v>
      </c>
      <c r="R756" s="143">
        <v>1.9186484002844395E-2</v>
      </c>
    </row>
    <row r="757" spans="14:18" x14ac:dyDescent="0.2">
      <c r="N757" s="139" t="str">
        <f t="shared" si="18"/>
        <v>1w</v>
      </c>
      <c r="O757" s="146">
        <f>_xll.qlCalendarAdvance(Calendar,O756,N757,"f",FALSE)</f>
        <v>44446</v>
      </c>
      <c r="P757" s="140">
        <f>_xll.qlInterestRateIndexValueDate(IborIndex,O757)</f>
        <v>44448</v>
      </c>
      <c r="Q757" s="141">
        <v>1.9326492205908041E-2</v>
      </c>
      <c r="R757" s="143">
        <v>1.9234050438994288E-2</v>
      </c>
    </row>
    <row r="758" spans="14:18" x14ac:dyDescent="0.2">
      <c r="N758" s="139" t="str">
        <f t="shared" si="18"/>
        <v>1w</v>
      </c>
      <c r="O758" s="146">
        <f>_xll.qlCalendarAdvance(Calendar,O757,N758,"f",FALSE)</f>
        <v>44453</v>
      </c>
      <c r="P758" s="140">
        <f>_xll.qlInterestRateIndexValueDate(IborIndex,O758)</f>
        <v>44455</v>
      </c>
      <c r="Q758" s="141">
        <v>1.9372599760030251E-2</v>
      </c>
      <c r="R758" s="143">
        <v>1.9281035846159256E-2</v>
      </c>
    </row>
    <row r="759" spans="14:18" x14ac:dyDescent="0.2">
      <c r="N759" s="139" t="str">
        <f t="shared" si="18"/>
        <v>1w</v>
      </c>
      <c r="O759" s="146">
        <f>_xll.qlCalendarAdvance(Calendar,O758,N759,"f",FALSE)</f>
        <v>44460</v>
      </c>
      <c r="P759" s="140">
        <f>_xll.qlInterestRateIndexValueDate(IborIndex,O759)</f>
        <v>44462</v>
      </c>
      <c r="Q759" s="141">
        <v>1.9418125495816452E-2</v>
      </c>
      <c r="R759" s="143">
        <v>1.9327440224259362E-2</v>
      </c>
    </row>
    <row r="760" spans="14:18" x14ac:dyDescent="0.2">
      <c r="N760" s="139" t="str">
        <f t="shared" si="18"/>
        <v>1w</v>
      </c>
      <c r="O760" s="146">
        <f>_xll.qlCalendarAdvance(Calendar,O759,N760,"f",FALSE)</f>
        <v>44467</v>
      </c>
      <c r="P760" s="140">
        <f>_xll.qlInterestRateIndexValueDate(IborIndex,O760)</f>
        <v>44469</v>
      </c>
      <c r="Q760" s="141">
        <v>1.9452002269290992E-2</v>
      </c>
      <c r="R760" s="143">
        <v>1.9373263572814992E-2</v>
      </c>
    </row>
    <row r="761" spans="14:18" x14ac:dyDescent="0.2">
      <c r="N761" s="139" t="str">
        <f t="shared" si="18"/>
        <v>1w</v>
      </c>
      <c r="O761" s="146">
        <f>_xll.qlCalendarAdvance(Calendar,O760,N761,"f",FALSE)</f>
        <v>44474</v>
      </c>
      <c r="P761" s="140">
        <f>_xll.qlInterestRateIndexValueDate(IborIndex,O761)</f>
        <v>44476</v>
      </c>
      <c r="Q761" s="141">
        <v>1.9507431484240834E-2</v>
      </c>
      <c r="R761" s="143">
        <v>1.9418505891826143E-2</v>
      </c>
    </row>
    <row r="762" spans="14:18" x14ac:dyDescent="0.2">
      <c r="N762" s="139" t="str">
        <f t="shared" si="18"/>
        <v>1w</v>
      </c>
      <c r="O762" s="146">
        <f>_xll.qlCalendarAdvance(Calendar,O761,N762,"f",FALSE)</f>
        <v>44481</v>
      </c>
      <c r="P762" s="140">
        <f>_xll.qlInterestRateIndexValueDate(IborIndex,O762)</f>
        <v>44483</v>
      </c>
      <c r="Q762" s="141">
        <v>1.9551211723047579E-2</v>
      </c>
      <c r="R762" s="143">
        <v>1.9463167180893137E-2</v>
      </c>
    </row>
    <row r="763" spans="14:18" x14ac:dyDescent="0.2">
      <c r="N763" s="139" t="str">
        <f t="shared" si="18"/>
        <v>1w</v>
      </c>
      <c r="O763" s="146">
        <f>_xll.qlCalendarAdvance(Calendar,O762,N763,"f",FALSE)</f>
        <v>44488</v>
      </c>
      <c r="P763" s="140">
        <f>_xll.qlInterestRateIndexValueDate(IborIndex,O763)</f>
        <v>44490</v>
      </c>
      <c r="Q763" s="141">
        <v>1.9594410115842953E-2</v>
      </c>
      <c r="R763" s="143">
        <v>1.9507247439936037E-2</v>
      </c>
    </row>
    <row r="764" spans="14:18" x14ac:dyDescent="0.2">
      <c r="N764" s="139" t="str">
        <f t="shared" si="18"/>
        <v>1w</v>
      </c>
      <c r="O764" s="146">
        <f>_xll.qlCalendarAdvance(Calendar,O763,N764,"f",FALSE)</f>
        <v>44495</v>
      </c>
      <c r="P764" s="140">
        <f>_xll.qlInterestRateIndexValueDate(IborIndex,O764)</f>
        <v>44497</v>
      </c>
      <c r="Q764" s="141">
        <v>1.9637026655934808E-2</v>
      </c>
      <c r="R764" s="143">
        <v>1.9550746668715036E-2</v>
      </c>
    </row>
    <row r="765" spans="14:18" x14ac:dyDescent="0.2">
      <c r="N765" s="139" t="str">
        <f t="shared" si="18"/>
        <v>1w</v>
      </c>
      <c r="O765" s="146">
        <f>_xll.qlCalendarAdvance(Calendar,O764,N765,"f",FALSE)</f>
        <v>44502</v>
      </c>
      <c r="P765" s="140">
        <f>_xll.qlInterestRateIndexValueDate(IborIndex,O765)</f>
        <v>44504</v>
      </c>
      <c r="Q765" s="141">
        <v>1.9679061336720927E-2</v>
      </c>
      <c r="R765" s="143">
        <v>1.9593664866990324E-2</v>
      </c>
    </row>
    <row r="766" spans="14:18" x14ac:dyDescent="0.2">
      <c r="N766" s="139" t="str">
        <f t="shared" si="18"/>
        <v>1w</v>
      </c>
      <c r="O766" s="146">
        <f>_xll.qlCalendarAdvance(Calendar,O765,N766,"f",FALSE)</f>
        <v>44509</v>
      </c>
      <c r="P766" s="140">
        <f>_xll.qlInterestRateIndexValueDate(IborIndex,O766)</f>
        <v>44511</v>
      </c>
      <c r="Q766" s="141">
        <v>1.9720514151691515E-2</v>
      </c>
      <c r="R766" s="143">
        <v>1.9636002034602029E-2</v>
      </c>
    </row>
    <row r="767" spans="14:18" x14ac:dyDescent="0.2">
      <c r="N767" s="139" t="str">
        <f t="shared" si="18"/>
        <v>1w</v>
      </c>
      <c r="O767" s="146">
        <f>_xll.qlCalendarAdvance(Calendar,O766,N767,"f",FALSE)</f>
        <v>44516</v>
      </c>
      <c r="P767" s="140">
        <f>_xll.qlInterestRateIndexValueDate(IborIndex,O767)</f>
        <v>44518</v>
      </c>
      <c r="Q767" s="141">
        <v>1.9761385094421713E-2</v>
      </c>
      <c r="R767" s="143">
        <v>1.9677758171230408E-2</v>
      </c>
    </row>
    <row r="768" spans="14:18" x14ac:dyDescent="0.2">
      <c r="N768" s="139" t="str">
        <f t="shared" si="18"/>
        <v>1w</v>
      </c>
      <c r="O768" s="146">
        <f>_xll.qlCalendarAdvance(Calendar,O767,N768,"f",FALSE)</f>
        <v>44523</v>
      </c>
      <c r="P768" s="140">
        <f>_xll.qlInterestRateIndexValueDate(IborIndex,O768)</f>
        <v>44525</v>
      </c>
      <c r="Q768" s="141">
        <v>1.9801674158581584E-2</v>
      </c>
      <c r="R768" s="143">
        <v>1.9718933276795525E-2</v>
      </c>
    </row>
    <row r="769" spans="14:18" x14ac:dyDescent="0.2">
      <c r="N769" s="139" t="str">
        <f t="shared" si="18"/>
        <v>1w</v>
      </c>
      <c r="O769" s="146">
        <f>_xll.qlCalendarAdvance(Calendar,O768,N769,"f",FALSE)</f>
        <v>44530</v>
      </c>
      <c r="P769" s="140">
        <f>_xll.qlInterestRateIndexValueDate(IborIndex,O769)</f>
        <v>44532</v>
      </c>
      <c r="Q769" s="141">
        <v>1.9841381337928621E-2</v>
      </c>
      <c r="R769" s="143">
        <v>1.9759527351057571E-2</v>
      </c>
    </row>
    <row r="770" spans="14:18" x14ac:dyDescent="0.2">
      <c r="N770" s="139" t="str">
        <f t="shared" si="18"/>
        <v>1w</v>
      </c>
      <c r="O770" s="146">
        <f>_xll.qlCalendarAdvance(Calendar,O769,N770,"f",FALSE)</f>
        <v>44537</v>
      </c>
      <c r="P770" s="140">
        <f>_xll.qlInterestRateIndexValueDate(IborIndex,O770)</f>
        <v>44539</v>
      </c>
      <c r="Q770" s="141">
        <v>1.9880506626310246E-2</v>
      </c>
      <c r="R770" s="143">
        <v>1.9799540393856674E-2</v>
      </c>
    </row>
    <row r="771" spans="14:18" x14ac:dyDescent="0.2">
      <c r="N771" s="139" t="str">
        <f t="shared" si="18"/>
        <v>1w</v>
      </c>
      <c r="O771" s="146">
        <f>_xll.qlCalendarAdvance(Calendar,O770,N771,"f",FALSE)</f>
        <v>44544</v>
      </c>
      <c r="P771" s="140">
        <f>_xll.qlInterestRateIndexValueDate(IborIndex,O771)</f>
        <v>44546</v>
      </c>
      <c r="Q771" s="141">
        <v>1.9919050017668805E-2</v>
      </c>
      <c r="R771" s="143">
        <v>1.983897240487309E-2</v>
      </c>
    </row>
    <row r="772" spans="14:18" x14ac:dyDescent="0.2">
      <c r="N772" s="139" t="str">
        <f t="shared" si="18"/>
        <v>1w</v>
      </c>
      <c r="O772" s="146">
        <f>_xll.qlCalendarAdvance(Calendar,O771,N772,"f",FALSE)</f>
        <v>44551</v>
      </c>
      <c r="P772" s="140">
        <f>_xll.qlInterestRateIndexValueDate(IborIndex,O772)</f>
        <v>44553</v>
      </c>
      <c r="Q772" s="141">
        <v>1.9957011506029076E-2</v>
      </c>
      <c r="R772" s="143">
        <v>1.9883326092715592E-2</v>
      </c>
    </row>
    <row r="773" spans="14:18" x14ac:dyDescent="0.2">
      <c r="N773" s="139" t="str">
        <f t="shared" si="18"/>
        <v>1w</v>
      </c>
      <c r="O773" s="146">
        <f>_xll.qlCalendarAdvance(Calendar,O772,N773,"f",FALSE)</f>
        <v>44558</v>
      </c>
      <c r="P773" s="140">
        <f>_xll.qlInterestRateIndexValueDate(IborIndex,O773)</f>
        <v>44560</v>
      </c>
      <c r="Q773" s="141">
        <v>1.9994391085510765E-2</v>
      </c>
      <c r="R773" s="143">
        <v>1.9921513035203731E-2</v>
      </c>
    </row>
    <row r="774" spans="14:18" x14ac:dyDescent="0.2">
      <c r="N774" s="139" t="str">
        <f t="shared" si="18"/>
        <v>1w</v>
      </c>
      <c r="O774" s="146">
        <f>_xll.qlCalendarAdvance(Calendar,O773,N774,"f",FALSE)</f>
        <v>44565</v>
      </c>
      <c r="P774" s="140">
        <f>_xll.qlInterestRateIndexValueDate(IborIndex,O774)</f>
        <v>44568</v>
      </c>
      <c r="Q774" s="141">
        <v>2.0033268972861278E-2</v>
      </c>
      <c r="R774" s="143">
        <v>1.9959118945429566E-2</v>
      </c>
    </row>
    <row r="775" spans="14:18" x14ac:dyDescent="0.2">
      <c r="N775" s="139" t="str">
        <f t="shared" si="18"/>
        <v>1w</v>
      </c>
      <c r="O775" s="146">
        <f>_xll.qlCalendarAdvance(Calendar,O774,N775,"f",FALSE)</f>
        <v>44572</v>
      </c>
      <c r="P775" s="140">
        <f>_xll.qlInterestRateIndexValueDate(IborIndex,O775)</f>
        <v>44574</v>
      </c>
      <c r="Q775" s="141">
        <v>2.006740449476685E-2</v>
      </c>
      <c r="R775" s="143">
        <v>1.999089012831412E-2</v>
      </c>
    </row>
    <row r="776" spans="14:18" x14ac:dyDescent="0.2">
      <c r="N776" s="139" t="str">
        <f t="shared" si="18"/>
        <v>1w</v>
      </c>
      <c r="O776" s="146">
        <f>_xll.qlCalendarAdvance(Calendar,O775,N776,"f",FALSE)</f>
        <v>44579</v>
      </c>
      <c r="P776" s="140">
        <f>_xll.qlInterestRateIndexValueDate(IborIndex,O776)</f>
        <v>44581</v>
      </c>
      <c r="Q776" s="141">
        <v>2.0103038313230293E-2</v>
      </c>
      <c r="R776" s="143">
        <v>2.0027416978098955E-2</v>
      </c>
    </row>
    <row r="777" spans="14:18" x14ac:dyDescent="0.2">
      <c r="N777" s="139" t="str">
        <f t="shared" si="18"/>
        <v>1w</v>
      </c>
      <c r="O777" s="146">
        <f>_xll.qlCalendarAdvance(Calendar,O776,N777,"f",FALSE)</f>
        <v>44586</v>
      </c>
      <c r="P777" s="140">
        <f>_xll.qlInterestRateIndexValueDate(IborIndex,O777)</f>
        <v>44588</v>
      </c>
      <c r="Q777" s="141">
        <v>2.0138090200193248E-2</v>
      </c>
      <c r="R777" s="143">
        <v>2.0063362794981998E-2</v>
      </c>
    </row>
    <row r="778" spans="14:18" x14ac:dyDescent="0.2">
      <c r="N778" s="139" t="str">
        <f t="shared" si="18"/>
        <v>1w</v>
      </c>
      <c r="O778" s="146">
        <f>_xll.qlCalendarAdvance(Calendar,O777,N778,"f",FALSE)</f>
        <v>44593</v>
      </c>
      <c r="P778" s="140">
        <f>_xll.qlInterestRateIndexValueDate(IborIndex,O778)</f>
        <v>44595</v>
      </c>
      <c r="Q778" s="141">
        <v>2.0160632708665638E-2</v>
      </c>
      <c r="R778" s="143">
        <v>2.0098727579043185E-2</v>
      </c>
    </row>
    <row r="779" spans="14:18" x14ac:dyDescent="0.2">
      <c r="N779" s="139" t="str">
        <f t="shared" si="18"/>
        <v>1w</v>
      </c>
      <c r="O779" s="146">
        <f>_xll.qlCalendarAdvance(Calendar,O778,N779,"f",FALSE)</f>
        <v>44600</v>
      </c>
      <c r="P779" s="140">
        <f>_xll.qlInterestRateIndexValueDate(IborIndex,O779)</f>
        <v>44602</v>
      </c>
      <c r="Q779" s="141">
        <v>2.019467935854502E-2</v>
      </c>
      <c r="R779" s="143">
        <v>2.0133511329882836E-2</v>
      </c>
    </row>
    <row r="780" spans="14:18" x14ac:dyDescent="0.2">
      <c r="N780" s="139" t="str">
        <f t="shared" si="18"/>
        <v>1w</v>
      </c>
      <c r="O780" s="146">
        <f>_xll.qlCalendarAdvance(Calendar,O779,N780,"f",FALSE)</f>
        <v>44607</v>
      </c>
      <c r="P780" s="140">
        <f>_xll.qlInterestRateIndexValueDate(IborIndex,O780)</f>
        <v>44609</v>
      </c>
      <c r="Q780" s="141">
        <v>2.0228144180207366E-2</v>
      </c>
      <c r="R780" s="143">
        <v>2.0167714047341079E-2</v>
      </c>
    </row>
    <row r="781" spans="14:18" x14ac:dyDescent="0.2">
      <c r="N781" s="139" t="str">
        <f t="shared" si="18"/>
        <v>1w</v>
      </c>
      <c r="O781" s="146">
        <f>_xll.qlCalendarAdvance(Calendar,O780,N781,"f",FALSE)</f>
        <v>44614</v>
      </c>
      <c r="P781" s="140">
        <f>_xll.qlInterestRateIndexValueDate(IborIndex,O781)</f>
        <v>44616</v>
      </c>
      <c r="Q781" s="141">
        <v>2.0261027169116312E-2</v>
      </c>
      <c r="R781" s="143">
        <v>2.0201335731417913E-2</v>
      </c>
    </row>
    <row r="782" spans="14:18" x14ac:dyDescent="0.2">
      <c r="N782" s="139" t="str">
        <f t="shared" si="18"/>
        <v>1w</v>
      </c>
      <c r="O782" s="146">
        <f>_xll.qlCalendarAdvance(Calendar,O781,N782,"f",FALSE)</f>
        <v>44621</v>
      </c>
      <c r="P782" s="140">
        <f>_xll.qlInterestRateIndexValueDate(IborIndex,O782)</f>
        <v>44623</v>
      </c>
      <c r="Q782" s="141">
        <v>2.0304620475580237E-2</v>
      </c>
      <c r="R782" s="143">
        <v>2.0234376381873531E-2</v>
      </c>
    </row>
    <row r="783" spans="14:18" x14ac:dyDescent="0.2">
      <c r="N783" s="139" t="str">
        <f t="shared" si="18"/>
        <v>1w</v>
      </c>
      <c r="O783" s="146">
        <f>_xll.qlCalendarAdvance(Calendar,O782,N783,"f",FALSE)</f>
        <v>44628</v>
      </c>
      <c r="P783" s="140">
        <f>_xll.qlInterestRateIndexValueDate(IborIndex,O783)</f>
        <v>44630</v>
      </c>
      <c r="Q783" s="141">
        <v>2.0336180662651471E-2</v>
      </c>
      <c r="R783" s="143">
        <v>2.0266835998468125E-2</v>
      </c>
    </row>
    <row r="784" spans="14:18" x14ac:dyDescent="0.2">
      <c r="N784" s="139" t="str">
        <f t="shared" si="18"/>
        <v>1w</v>
      </c>
      <c r="O784" s="146">
        <f>_xll.qlCalendarAdvance(Calendar,O783,N784,"f",FALSE)</f>
        <v>44635</v>
      </c>
      <c r="P784" s="140">
        <f>_xll.qlInterestRateIndexValueDate(IborIndex,O784)</f>
        <v>44637</v>
      </c>
      <c r="Q784" s="141">
        <v>2.0369893097288934E-2</v>
      </c>
      <c r="R784" s="143">
        <v>2.0298714581041821E-2</v>
      </c>
    </row>
    <row r="785" spans="14:18" x14ac:dyDescent="0.2">
      <c r="N785" s="139" t="str">
        <f t="shared" si="18"/>
        <v>1w</v>
      </c>
      <c r="O785" s="146">
        <f>_xll.qlCalendarAdvance(Calendar,O784,N785,"f",FALSE)</f>
        <v>44642</v>
      </c>
      <c r="P785" s="140">
        <f>_xll.qlInterestRateIndexValueDate(IborIndex,O785)</f>
        <v>44644</v>
      </c>
      <c r="Q785" s="141">
        <v>2.039755512913799E-2</v>
      </c>
      <c r="R785" s="143">
        <v>2.0330012129594621E-2</v>
      </c>
    </row>
    <row r="786" spans="14:18" x14ac:dyDescent="0.2">
      <c r="N786" s="139" t="str">
        <f t="shared" si="18"/>
        <v>1w</v>
      </c>
      <c r="O786" s="146">
        <f>_xll.qlCalendarAdvance(Calendar,O785,N786,"f",FALSE)</f>
        <v>44649</v>
      </c>
      <c r="P786" s="140">
        <f>_xll.qlInterestRateIndexValueDate(IborIndex,O786)</f>
        <v>44651</v>
      </c>
      <c r="Q786" s="141">
        <v>2.0419383752141276E-2</v>
      </c>
      <c r="R786" s="143">
        <v>2.0360728643886716E-2</v>
      </c>
    </row>
    <row r="787" spans="14:18" x14ac:dyDescent="0.2">
      <c r="N787" s="139" t="str">
        <f t="shared" si="18"/>
        <v>1w</v>
      </c>
      <c r="O787" s="146">
        <f>_xll.qlCalendarAdvance(Calendar,O786,N787,"f",FALSE)</f>
        <v>44656</v>
      </c>
      <c r="P787" s="140">
        <f>_xll.qlInterestRateIndexValueDate(IborIndex,O787)</f>
        <v>44658</v>
      </c>
      <c r="Q787" s="141">
        <v>2.0456601687193487E-2</v>
      </c>
      <c r="R787" s="143">
        <v>2.0390864123758234E-2</v>
      </c>
    </row>
    <row r="788" spans="14:18" x14ac:dyDescent="0.2">
      <c r="N788" s="139" t="str">
        <f t="shared" si="18"/>
        <v>1w</v>
      </c>
      <c r="O788" s="146">
        <f>_xll.qlCalendarAdvance(Calendar,O787,N788,"f",FALSE)</f>
        <v>44663</v>
      </c>
      <c r="P788" s="140">
        <f>_xll.qlInterestRateIndexValueDate(IborIndex,O788)</f>
        <v>44665</v>
      </c>
      <c r="Q788" s="141">
        <v>2.0485251989071918E-2</v>
      </c>
      <c r="R788" s="143">
        <v>2.0428755975574475E-2</v>
      </c>
    </row>
    <row r="789" spans="14:18" x14ac:dyDescent="0.2">
      <c r="N789" s="139" t="str">
        <f t="shared" ref="N789:N852" si="19">N788</f>
        <v>1w</v>
      </c>
      <c r="O789" s="146">
        <f>_xll.qlCalendarAdvance(Calendar,O788,N789,"f",FALSE)</f>
        <v>44670</v>
      </c>
      <c r="P789" s="140">
        <f>_xll.qlInterestRateIndexValueDate(IborIndex,O789)</f>
        <v>44672</v>
      </c>
      <c r="Q789" s="141">
        <v>2.0513321184644773E-2</v>
      </c>
      <c r="R789" s="143">
        <v>2.0449391979600051E-2</v>
      </c>
    </row>
    <row r="790" spans="14:18" x14ac:dyDescent="0.2">
      <c r="N790" s="139" t="str">
        <f t="shared" si="19"/>
        <v>1w</v>
      </c>
      <c r="O790" s="146">
        <f>_xll.qlCalendarAdvance(Calendar,O789,N790,"f",FALSE)</f>
        <v>44677</v>
      </c>
      <c r="P790" s="140">
        <f>_xll.qlInterestRateIndexValueDate(IborIndex,O790)</f>
        <v>44679</v>
      </c>
      <c r="Q790" s="141">
        <v>2.0540818842480491E-2</v>
      </c>
      <c r="R790" s="143">
        <v>2.0477784355330542E-2</v>
      </c>
    </row>
    <row r="791" spans="14:18" x14ac:dyDescent="0.2">
      <c r="N791" s="139" t="str">
        <f t="shared" si="19"/>
        <v>1w</v>
      </c>
      <c r="O791" s="146">
        <f>_xll.qlCalendarAdvance(Calendar,O790,N791,"f",FALSE)</f>
        <v>44684</v>
      </c>
      <c r="P791" s="140">
        <f>_xll.qlInterestRateIndexValueDate(IborIndex,O791)</f>
        <v>44686</v>
      </c>
      <c r="Q791" s="141">
        <v>2.0570220420806414E-2</v>
      </c>
      <c r="R791" s="143">
        <v>2.0505595696080903E-2</v>
      </c>
    </row>
    <row r="792" spans="14:18" x14ac:dyDescent="0.2">
      <c r="N792" s="139" t="str">
        <f t="shared" si="19"/>
        <v>1w</v>
      </c>
      <c r="O792" s="146">
        <f>_xll.qlCalendarAdvance(Calendar,O791,N792,"f",FALSE)</f>
        <v>44691</v>
      </c>
      <c r="P792" s="140">
        <f>_xll.qlInterestRateIndexValueDate(IborIndex,O792)</f>
        <v>44693</v>
      </c>
      <c r="Q792" s="141">
        <v>2.0594157602789043E-2</v>
      </c>
      <c r="R792" s="143">
        <v>2.0532826001691262E-2</v>
      </c>
    </row>
    <row r="793" spans="14:18" x14ac:dyDescent="0.2">
      <c r="N793" s="139" t="str">
        <f t="shared" si="19"/>
        <v>1w</v>
      </c>
      <c r="O793" s="146">
        <f>_xll.qlCalendarAdvance(Calendar,O792,N793,"f",FALSE)</f>
        <v>44698</v>
      </c>
      <c r="P793" s="140">
        <f>_xll.qlInterestRateIndexValueDate(IborIndex,O793)</f>
        <v>44700</v>
      </c>
      <c r="Q793" s="141">
        <v>2.0620027812563446E-2</v>
      </c>
      <c r="R793" s="143">
        <v>2.0559495839069797E-2</v>
      </c>
    </row>
    <row r="794" spans="14:18" x14ac:dyDescent="0.2">
      <c r="N794" s="139" t="str">
        <f t="shared" si="19"/>
        <v>1w</v>
      </c>
      <c r="O794" s="146">
        <f>_xll.qlCalendarAdvance(Calendar,O793,N794,"f",FALSE)</f>
        <v>44705</v>
      </c>
      <c r="P794" s="140">
        <f>_xll.qlInterestRateIndexValueDate(IborIndex,O794)</f>
        <v>44708</v>
      </c>
      <c r="Q794" s="141">
        <v>2.0646608166601889E-2</v>
      </c>
      <c r="R794" s="143">
        <v>2.0589343737063004E-2</v>
      </c>
    </row>
    <row r="795" spans="14:18" x14ac:dyDescent="0.2">
      <c r="N795" s="139" t="str">
        <f t="shared" si="19"/>
        <v>1w</v>
      </c>
      <c r="O795" s="146">
        <f>_xll.qlCalendarAdvance(Calendar,O794,N795,"f",FALSE)</f>
        <v>44712</v>
      </c>
      <c r="P795" s="140">
        <f>_xll.qlInterestRateIndexValueDate(IborIndex,O795)</f>
        <v>44714</v>
      </c>
      <c r="Q795" s="141">
        <v>2.0670218834779319E-2</v>
      </c>
      <c r="R795" s="143">
        <v>2.0614909302967277E-2</v>
      </c>
    </row>
    <row r="796" spans="14:18" x14ac:dyDescent="0.2">
      <c r="N796" s="139" t="str">
        <f t="shared" si="19"/>
        <v>1w</v>
      </c>
      <c r="O796" s="146">
        <f>_xll.qlCalendarAdvance(Calendar,O795,N796,"f",FALSE)</f>
        <v>44719</v>
      </c>
      <c r="P796" s="140">
        <f>_xll.qlInterestRateIndexValueDate(IborIndex,O796)</f>
        <v>44721</v>
      </c>
      <c r="Q796" s="141">
        <v>2.06945411686138E-2</v>
      </c>
      <c r="R796" s="143">
        <v>2.0636413074770488E-2</v>
      </c>
    </row>
    <row r="797" spans="14:18" x14ac:dyDescent="0.2">
      <c r="N797" s="139" t="str">
        <f t="shared" si="19"/>
        <v>1w</v>
      </c>
      <c r="O797" s="146">
        <f>_xll.qlCalendarAdvance(Calendar,O796,N797,"f",FALSE)</f>
        <v>44726</v>
      </c>
      <c r="P797" s="140">
        <f>_xll.qlInterestRateIndexValueDate(IborIndex,O797)</f>
        <v>44728</v>
      </c>
      <c r="Q797" s="141">
        <v>2.0718348046455393E-2</v>
      </c>
      <c r="R797" s="143">
        <v>2.0661022976247168E-2</v>
      </c>
    </row>
    <row r="798" spans="14:18" x14ac:dyDescent="0.2">
      <c r="N798" s="139" t="str">
        <f t="shared" si="19"/>
        <v>1w</v>
      </c>
      <c r="O798" s="146">
        <f>_xll.qlCalendarAdvance(Calendar,O797,N798,"f",FALSE)</f>
        <v>44733</v>
      </c>
      <c r="P798" s="140">
        <f>_xll.qlInterestRateIndexValueDate(IborIndex,O798)</f>
        <v>44735</v>
      </c>
      <c r="Q798" s="141">
        <v>2.0741639465041706E-2</v>
      </c>
      <c r="R798" s="143">
        <v>2.0688518469329509E-2</v>
      </c>
    </row>
    <row r="799" spans="14:18" x14ac:dyDescent="0.2">
      <c r="N799" s="139" t="str">
        <f t="shared" si="19"/>
        <v>1w</v>
      </c>
      <c r="O799" s="146">
        <f>_xll.qlCalendarAdvance(Calendar,O798,N799,"f",FALSE)</f>
        <v>44740</v>
      </c>
      <c r="P799" s="140">
        <f>_xll.qlInterestRateIndexValueDate(IborIndex,O799)</f>
        <v>44742</v>
      </c>
      <c r="Q799" s="141">
        <v>2.0757863998543572E-2</v>
      </c>
      <c r="R799" s="143">
        <v>2.0708699012965681E-2</v>
      </c>
    </row>
    <row r="800" spans="14:18" x14ac:dyDescent="0.2">
      <c r="N800" s="139" t="str">
        <f t="shared" si="19"/>
        <v>1w</v>
      </c>
      <c r="O800" s="146">
        <f>_xll.qlCalendarAdvance(Calendar,O799,N800,"f",FALSE)</f>
        <v>44747</v>
      </c>
      <c r="P800" s="140">
        <f>_xll.qlInterestRateIndexValueDate(IborIndex,O800)</f>
        <v>44749</v>
      </c>
      <c r="Q800" s="141">
        <v>2.0786675911728669E-2</v>
      </c>
      <c r="R800" s="143">
        <v>2.0731765147967707E-2</v>
      </c>
    </row>
    <row r="801" spans="14:18" x14ac:dyDescent="0.2">
      <c r="N801" s="139" t="str">
        <f t="shared" si="19"/>
        <v>1w</v>
      </c>
      <c r="O801" s="146">
        <f>_xll.qlCalendarAdvance(Calendar,O800,N801,"f",FALSE)</f>
        <v>44754</v>
      </c>
      <c r="P801" s="140">
        <f>_xll.qlInterestRateIndexValueDate(IborIndex,O801)</f>
        <v>44756</v>
      </c>
      <c r="Q801" s="141">
        <v>2.0808420933651761E-2</v>
      </c>
      <c r="R801" s="143">
        <v>2.075431669395833E-2</v>
      </c>
    </row>
    <row r="802" spans="14:18" x14ac:dyDescent="0.2">
      <c r="N802" s="139" t="str">
        <f t="shared" si="19"/>
        <v>1w</v>
      </c>
      <c r="O802" s="146">
        <f>_xll.qlCalendarAdvance(Calendar,O801,N802,"f",FALSE)</f>
        <v>44761</v>
      </c>
      <c r="P802" s="140">
        <f>_xll.qlInterestRateIndexValueDate(IborIndex,O802)</f>
        <v>44763</v>
      </c>
      <c r="Q802" s="141">
        <v>2.0829650483956963E-2</v>
      </c>
      <c r="R802" s="143">
        <v>2.0776353650857615E-2</v>
      </c>
    </row>
    <row r="803" spans="14:18" x14ac:dyDescent="0.2">
      <c r="N803" s="139" t="str">
        <f t="shared" si="19"/>
        <v>1w</v>
      </c>
      <c r="O803" s="146">
        <f>_xll.qlCalendarAdvance(Calendar,O802,N803,"f",FALSE)</f>
        <v>44768</v>
      </c>
      <c r="P803" s="140">
        <f>_xll.qlInterestRateIndexValueDate(IborIndex,O803)</f>
        <v>44770</v>
      </c>
      <c r="Q803" s="141">
        <v>2.0850364559731605E-2</v>
      </c>
      <c r="R803" s="143">
        <v>2.079787601850569E-2</v>
      </c>
    </row>
    <row r="804" spans="14:18" x14ac:dyDescent="0.2">
      <c r="N804" s="139" t="str">
        <f t="shared" si="19"/>
        <v>1w</v>
      </c>
      <c r="O804" s="146">
        <f>_xll.qlCalendarAdvance(Calendar,O803,N804,"f",FALSE)</f>
        <v>44775</v>
      </c>
      <c r="P804" s="140">
        <f>_xll.qlInterestRateIndexValueDate(IborIndex,O804)</f>
        <v>44777</v>
      </c>
      <c r="Q804" s="141">
        <v>2.0870563158135458E-2</v>
      </c>
      <c r="R804" s="143">
        <v>2.0818883796822618E-2</v>
      </c>
    </row>
    <row r="805" spans="14:18" x14ac:dyDescent="0.2">
      <c r="N805" s="139" t="str">
        <f t="shared" si="19"/>
        <v>1w</v>
      </c>
      <c r="O805" s="146">
        <f>_xll.qlCalendarAdvance(Calendar,O804,N805,"f",FALSE)</f>
        <v>44782</v>
      </c>
      <c r="P805" s="140">
        <f>_xll.qlInterestRateIndexValueDate(IborIndex,O805)</f>
        <v>44784</v>
      </c>
      <c r="Q805" s="141">
        <v>2.0890246276398239E-2</v>
      </c>
      <c r="R805" s="143">
        <v>2.08393769858084E-2</v>
      </c>
    </row>
    <row r="806" spans="14:18" x14ac:dyDescent="0.2">
      <c r="N806" s="139" t="str">
        <f t="shared" si="19"/>
        <v>1w</v>
      </c>
      <c r="O806" s="146">
        <f>_xll.qlCalendarAdvance(Calendar,O805,N806,"f",FALSE)</f>
        <v>44789</v>
      </c>
      <c r="P806" s="140">
        <f>_xll.qlInterestRateIndexValueDate(IborIndex,O806)</f>
        <v>44791</v>
      </c>
      <c r="Q806" s="141">
        <v>2.090941391181711E-2</v>
      </c>
      <c r="R806" s="143">
        <v>2.0859355585223227E-2</v>
      </c>
    </row>
    <row r="807" spans="14:18" x14ac:dyDescent="0.2">
      <c r="N807" s="139" t="str">
        <f t="shared" si="19"/>
        <v>1w</v>
      </c>
      <c r="O807" s="146">
        <f>_xll.qlCalendarAdvance(Calendar,O806,N807,"f",FALSE)</f>
        <v>44796</v>
      </c>
      <c r="P807" s="140">
        <f>_xll.qlInterestRateIndexValueDate(IborIndex,O807)</f>
        <v>44798</v>
      </c>
      <c r="Q807" s="141">
        <v>2.0928066061761674E-2</v>
      </c>
      <c r="R807" s="143">
        <v>2.0878819595147036E-2</v>
      </c>
    </row>
    <row r="808" spans="14:18" x14ac:dyDescent="0.2">
      <c r="N808" s="139" t="str">
        <f t="shared" si="19"/>
        <v>1w</v>
      </c>
      <c r="O808" s="146">
        <f>_xll.qlCalendarAdvance(Calendar,O807,N808,"f",FALSE)</f>
        <v>44803</v>
      </c>
      <c r="P808" s="140">
        <f>_xll.qlInterestRateIndexValueDate(IborIndex,O808)</f>
        <v>44805</v>
      </c>
      <c r="Q808" s="141">
        <v>2.0946202723673979E-2</v>
      </c>
      <c r="R808" s="143">
        <v>2.0897769015419954E-2</v>
      </c>
    </row>
    <row r="809" spans="14:18" x14ac:dyDescent="0.2">
      <c r="N809" s="139" t="str">
        <f t="shared" si="19"/>
        <v>1w</v>
      </c>
      <c r="O809" s="146">
        <f>_xll.qlCalendarAdvance(Calendar,O808,N809,"f",FALSE)</f>
        <v>44810</v>
      </c>
      <c r="P809" s="140">
        <f>_xll.qlInterestRateIndexValueDate(IborIndex,O809)</f>
        <v>44812</v>
      </c>
      <c r="Q809" s="141">
        <v>2.0963823895061018E-2</v>
      </c>
      <c r="R809" s="143">
        <v>2.0916203845962045E-2</v>
      </c>
    </row>
    <row r="810" spans="14:18" x14ac:dyDescent="0.2">
      <c r="N810" s="139" t="str">
        <f t="shared" si="19"/>
        <v>1w</v>
      </c>
      <c r="O810" s="146">
        <f>_xll.qlCalendarAdvance(Calendar,O809,N810,"f",FALSE)</f>
        <v>44817</v>
      </c>
      <c r="P810" s="140">
        <f>_xll.qlInterestRateIndexValueDate(IborIndex,O810)</f>
        <v>44819</v>
      </c>
      <c r="Q810" s="141">
        <v>2.0980929573512219E-2</v>
      </c>
      <c r="R810" s="143">
        <v>2.0934124086613437E-2</v>
      </c>
    </row>
    <row r="811" spans="14:18" x14ac:dyDescent="0.2">
      <c r="N811" s="139" t="str">
        <f t="shared" si="19"/>
        <v>1w</v>
      </c>
      <c r="O811" s="146">
        <f>_xll.qlCalendarAdvance(Calendar,O810,N811,"f",FALSE)</f>
        <v>44824</v>
      </c>
      <c r="P811" s="140">
        <f>_xll.qlInterestRateIndexValueDate(IborIndex,O811)</f>
        <v>44826</v>
      </c>
      <c r="Q811" s="141">
        <v>2.0997519756674465E-2</v>
      </c>
      <c r="R811" s="143">
        <v>2.095152973737413E-2</v>
      </c>
    </row>
    <row r="812" spans="14:18" x14ac:dyDescent="0.2">
      <c r="N812" s="139" t="str">
        <f t="shared" si="19"/>
        <v>1w</v>
      </c>
      <c r="O812" s="146">
        <f>_xll.qlCalendarAdvance(Calendar,O811,N812,"f",FALSE)</f>
        <v>44831</v>
      </c>
      <c r="P812" s="140">
        <f>_xll.qlInterestRateIndexValueDate(IborIndex,O812)</f>
        <v>44833</v>
      </c>
      <c r="Q812" s="141">
        <v>2.1013594442274575E-2</v>
      </c>
      <c r="R812" s="143">
        <v>2.0968420798244125E-2</v>
      </c>
    </row>
    <row r="813" spans="14:18" x14ac:dyDescent="0.2">
      <c r="N813" s="139" t="str">
        <f t="shared" si="19"/>
        <v>1w</v>
      </c>
      <c r="O813" s="146">
        <f>_xll.qlCalendarAdvance(Calendar,O812,N813,"f",FALSE)</f>
        <v>44838</v>
      </c>
      <c r="P813" s="140">
        <f>_xll.qlInterestRateIndexValueDate(IborIndex,O813)</f>
        <v>44840</v>
      </c>
      <c r="Q813" s="141">
        <v>2.1029153628106811E-2</v>
      </c>
      <c r="R813" s="143">
        <v>2.0984797268983613E-2</v>
      </c>
    </row>
    <row r="814" spans="14:18" x14ac:dyDescent="0.2">
      <c r="N814" s="139" t="str">
        <f t="shared" si="19"/>
        <v>1w</v>
      </c>
      <c r="O814" s="146">
        <f>_xll.qlCalendarAdvance(Calendar,O813,N814,"f",FALSE)</f>
        <v>44845</v>
      </c>
      <c r="P814" s="140">
        <f>_xll.qlInterestRateIndexValueDate(IborIndex,O814)</f>
        <v>44847</v>
      </c>
      <c r="Q814" s="141">
        <v>2.1044197312035384E-2</v>
      </c>
      <c r="R814" s="143">
        <v>2.1000659149752465E-2</v>
      </c>
    </row>
    <row r="815" spans="14:18" x14ac:dyDescent="0.2">
      <c r="N815" s="139" t="str">
        <f t="shared" si="19"/>
        <v>1w</v>
      </c>
      <c r="O815" s="146">
        <f>_xll.qlCalendarAdvance(Calendar,O814,N815,"f",FALSE)</f>
        <v>44852</v>
      </c>
      <c r="P815" s="140">
        <f>_xll.qlInterestRateIndexValueDate(IborIndex,O815)</f>
        <v>44854</v>
      </c>
      <c r="Q815" s="141">
        <v>2.1058725491994446E-2</v>
      </c>
      <c r="R815" s="143">
        <v>2.1016006440230939E-2</v>
      </c>
    </row>
    <row r="816" spans="14:18" x14ac:dyDescent="0.2">
      <c r="N816" s="139" t="str">
        <f t="shared" si="19"/>
        <v>1w</v>
      </c>
      <c r="O816" s="146">
        <f>_xll.qlCalendarAdvance(Calendar,O815,N816,"f",FALSE)</f>
        <v>44859</v>
      </c>
      <c r="P816" s="140">
        <f>_xll.qlInterestRateIndexValueDate(IborIndex,O816)</f>
        <v>44861</v>
      </c>
      <c r="Q816" s="141">
        <v>2.107273816599059E-2</v>
      </c>
      <c r="R816" s="143">
        <v>2.1030839140498969E-2</v>
      </c>
    </row>
    <row r="817" spans="14:18" x14ac:dyDescent="0.2">
      <c r="N817" s="139" t="str">
        <f t="shared" si="19"/>
        <v>1w</v>
      </c>
      <c r="O817" s="146">
        <f>_xll.qlCalendarAdvance(Calendar,O816,N817,"f",FALSE)</f>
        <v>44866</v>
      </c>
      <c r="P817" s="140">
        <f>_xll.qlInterestRateIndexValueDate(IborIndex,O817)</f>
        <v>44868</v>
      </c>
      <c r="Q817" s="141">
        <v>2.108623533210785E-2</v>
      </c>
      <c r="R817" s="143">
        <v>2.104515725047662E-2</v>
      </c>
    </row>
    <row r="818" spans="14:18" x14ac:dyDescent="0.2">
      <c r="N818" s="139" t="str">
        <f t="shared" si="19"/>
        <v>1w</v>
      </c>
      <c r="O818" s="146">
        <f>_xll.qlCalendarAdvance(Calendar,O817,N818,"f",FALSE)</f>
        <v>44873</v>
      </c>
      <c r="P818" s="140">
        <f>_xll.qlInterestRateIndexValueDate(IborIndex,O818)</f>
        <v>44875</v>
      </c>
      <c r="Q818" s="141">
        <v>2.1099216988485214E-2</v>
      </c>
      <c r="R818" s="143">
        <v>2.1058960770083957E-2</v>
      </c>
    </row>
    <row r="819" spans="14:18" x14ac:dyDescent="0.2">
      <c r="N819" s="139" t="str">
        <f t="shared" si="19"/>
        <v>1w</v>
      </c>
      <c r="O819" s="146">
        <f>_xll.qlCalendarAdvance(Calendar,O818,N819,"f",FALSE)</f>
        <v>44880</v>
      </c>
      <c r="P819" s="140">
        <f>_xll.qlInterestRateIndexValueDate(IborIndex,O819)</f>
        <v>44882</v>
      </c>
      <c r="Q819" s="141">
        <v>2.1111683133344106E-2</v>
      </c>
      <c r="R819" s="143">
        <v>2.1072249699241041E-2</v>
      </c>
    </row>
    <row r="820" spans="14:18" x14ac:dyDescent="0.2">
      <c r="N820" s="139" t="str">
        <f t="shared" si="19"/>
        <v>1w</v>
      </c>
      <c r="O820" s="146">
        <f>_xll.qlCalendarAdvance(Calendar,O819,N820,"f",FALSE)</f>
        <v>44887</v>
      </c>
      <c r="P820" s="140">
        <f>_xll.qlInterestRateIndexValueDate(IborIndex,O820)</f>
        <v>44889</v>
      </c>
      <c r="Q820" s="141">
        <v>2.1125058565941209E-2</v>
      </c>
      <c r="R820" s="143">
        <v>2.1085024037947875E-2</v>
      </c>
    </row>
    <row r="821" spans="14:18" x14ac:dyDescent="0.2">
      <c r="N821" s="139" t="str">
        <f t="shared" si="19"/>
        <v>1w</v>
      </c>
      <c r="O821" s="146">
        <f>_xll.qlCalendarAdvance(Calendar,O820,N821,"f",FALSE)</f>
        <v>44894</v>
      </c>
      <c r="P821" s="140">
        <f>_xll.qlInterestRateIndexValueDate(IborIndex,O821)</f>
        <v>44896</v>
      </c>
      <c r="Q821" s="141">
        <v>2.1135068881741881E-2</v>
      </c>
      <c r="R821" s="143">
        <v>2.1097283786124521E-2</v>
      </c>
    </row>
    <row r="822" spans="14:18" x14ac:dyDescent="0.2">
      <c r="N822" s="139" t="str">
        <f t="shared" si="19"/>
        <v>1w</v>
      </c>
      <c r="O822" s="146">
        <f>_xll.qlCalendarAdvance(Calendar,O821,N822,"f",FALSE)</f>
        <v>44901</v>
      </c>
      <c r="P822" s="140">
        <f>_xll.qlInterestRateIndexValueDate(IborIndex,O822)</f>
        <v>44903</v>
      </c>
      <c r="Q822" s="141">
        <v>2.1145988482068334E-2</v>
      </c>
      <c r="R822" s="143">
        <v>2.1109028943691044E-2</v>
      </c>
    </row>
    <row r="823" spans="14:18" x14ac:dyDescent="0.2">
      <c r="N823" s="139" t="str">
        <f t="shared" si="19"/>
        <v>1w</v>
      </c>
      <c r="O823" s="146">
        <f>_xll.qlCalendarAdvance(Calendar,O822,N823,"f",FALSE)</f>
        <v>44908</v>
      </c>
      <c r="P823" s="140">
        <f>_xll.qlInterestRateIndexValueDate(IborIndex,O823)</f>
        <v>44910</v>
      </c>
      <c r="Q823" s="141">
        <v>2.1156392564461446E-2</v>
      </c>
      <c r="R823" s="143">
        <v>2.1120259510567507E-2</v>
      </c>
    </row>
    <row r="824" spans="14:18" x14ac:dyDescent="0.2">
      <c r="N824" s="139" t="str">
        <f t="shared" si="19"/>
        <v>1w</v>
      </c>
      <c r="O824" s="146">
        <f>_xll.qlCalendarAdvance(Calendar,O823,N824,"f",FALSE)</f>
        <v>44915</v>
      </c>
      <c r="P824" s="140">
        <f>_xll.qlInterestRateIndexValueDate(IborIndex,O824)</f>
        <v>44917</v>
      </c>
      <c r="Q824" s="141">
        <v>2.1166281127492359E-2</v>
      </c>
      <c r="R824" s="143">
        <v>2.1132464333160073E-2</v>
      </c>
    </row>
    <row r="825" spans="14:18" x14ac:dyDescent="0.2">
      <c r="N825" s="139" t="str">
        <f t="shared" si="19"/>
        <v>1w</v>
      </c>
      <c r="O825" s="146">
        <f>_xll.qlCalendarAdvance(Calendar,O824,N825,"f",FALSE)</f>
        <v>44922</v>
      </c>
      <c r="P825" s="140">
        <f>_xll.qlInterestRateIndexValueDate(IborIndex,O825)</f>
        <v>44924</v>
      </c>
      <c r="Q825" s="141">
        <v>2.1175654169802161E-2</v>
      </c>
      <c r="R825" s="143">
        <v>2.1141176872330192E-2</v>
      </c>
    </row>
    <row r="826" spans="14:18" x14ac:dyDescent="0.2">
      <c r="N826" s="139" t="str">
        <f t="shared" si="19"/>
        <v>1w</v>
      </c>
      <c r="O826" s="146">
        <f>_xll.qlCalendarAdvance(Calendar,O825,N826,"f",FALSE)</f>
        <v>44929</v>
      </c>
      <c r="P826" s="140">
        <f>_xll.qlInterestRateIndexValueDate(IborIndex,O826)</f>
        <v>44931</v>
      </c>
      <c r="Q826" s="141">
        <v>2.1184511690106878E-2</v>
      </c>
      <c r="R826" s="143">
        <v>2.1152205487471321E-2</v>
      </c>
    </row>
    <row r="827" spans="14:18" x14ac:dyDescent="0.2">
      <c r="N827" s="139" t="str">
        <f t="shared" si="19"/>
        <v>1w</v>
      </c>
      <c r="O827" s="146">
        <f>_xll.qlCalendarAdvance(Calendar,O826,N827,"f",FALSE)</f>
        <v>44936</v>
      </c>
      <c r="P827" s="140">
        <f>_xll.qlInterestRateIndexValueDate(IborIndex,O827)</f>
        <v>44938</v>
      </c>
      <c r="Q827" s="141">
        <v>2.1192853687187485E-2</v>
      </c>
      <c r="R827" s="143">
        <v>2.1160035870932958E-2</v>
      </c>
    </row>
    <row r="828" spans="14:18" x14ac:dyDescent="0.2">
      <c r="N828" s="139" t="str">
        <f t="shared" si="19"/>
        <v>1w</v>
      </c>
      <c r="O828" s="146">
        <f>_xll.qlCalendarAdvance(Calendar,O827,N828,"f",FALSE)</f>
        <v>44943</v>
      </c>
      <c r="P828" s="140">
        <f>_xll.qlInterestRateIndexValueDate(IborIndex,O828)</f>
        <v>44945</v>
      </c>
      <c r="Q828" s="141">
        <v>2.1200680159904894E-2</v>
      </c>
      <c r="R828" s="143">
        <v>2.1168693483959444E-2</v>
      </c>
    </row>
    <row r="829" spans="14:18" x14ac:dyDescent="0.2">
      <c r="N829" s="139" t="str">
        <f t="shared" si="19"/>
        <v>1w</v>
      </c>
      <c r="O829" s="146">
        <f>_xll.qlCalendarAdvance(Calendar,O828,N829,"f",FALSE)</f>
        <v>44950</v>
      </c>
      <c r="P829" s="140">
        <f>_xll.qlInterestRateIndexValueDate(IborIndex,O829)</f>
        <v>44952</v>
      </c>
      <c r="Q829" s="141">
        <v>2.1207991107182467E-2</v>
      </c>
      <c r="R829" s="143">
        <v>2.1176836506135999E-2</v>
      </c>
    </row>
    <row r="830" spans="14:18" x14ac:dyDescent="0.2">
      <c r="N830" s="139" t="str">
        <f t="shared" si="19"/>
        <v>1w</v>
      </c>
      <c r="O830" s="146">
        <f>_xll.qlCalendarAdvance(Calendar,O829,N830,"f",FALSE)</f>
        <v>44957</v>
      </c>
      <c r="P830" s="140">
        <f>_xll.qlInterestRateIndexValueDate(IborIndex,O830)</f>
        <v>44959</v>
      </c>
      <c r="Q830" s="141">
        <v>2.1210504607665572E-2</v>
      </c>
      <c r="R830" s="143">
        <v>2.1184464937302749E-2</v>
      </c>
    </row>
    <row r="831" spans="14:18" x14ac:dyDescent="0.2">
      <c r="N831" s="139" t="str">
        <f t="shared" si="19"/>
        <v>1w</v>
      </c>
      <c r="O831" s="146">
        <f>_xll.qlCalendarAdvance(Calendar,O830,N831,"f",FALSE)</f>
        <v>44964</v>
      </c>
      <c r="P831" s="140">
        <f>_xll.qlInterestRateIndexValueDate(IborIndex,O831)</f>
        <v>44966</v>
      </c>
      <c r="Q831" s="141">
        <v>2.1216930281301609E-2</v>
      </c>
      <c r="R831" s="143">
        <v>2.1191578777539632E-2</v>
      </c>
    </row>
    <row r="832" spans="14:18" x14ac:dyDescent="0.2">
      <c r="N832" s="139" t="str">
        <f t="shared" si="19"/>
        <v>1w</v>
      </c>
      <c r="O832" s="146">
        <f>_xll.qlCalendarAdvance(Calendar,O831,N832,"f",FALSE)</f>
        <v>44971</v>
      </c>
      <c r="P832" s="140">
        <f>_xll.qlInterestRateIndexValueDate(IborIndex,O832)</f>
        <v>44973</v>
      </c>
      <c r="Q832" s="141">
        <v>2.1222840547926287E-2</v>
      </c>
      <c r="R832" s="143">
        <v>2.1198178026846648E-2</v>
      </c>
    </row>
    <row r="833" spans="14:18" x14ac:dyDescent="0.2">
      <c r="N833" s="139" t="str">
        <f t="shared" si="19"/>
        <v>1w</v>
      </c>
      <c r="O833" s="146">
        <f>_xll.qlCalendarAdvance(Calendar,O832,N833,"f",FALSE)</f>
        <v>44978</v>
      </c>
      <c r="P833" s="140">
        <f>_xll.qlInterestRateIndexValueDate(IborIndex,O833)</f>
        <v>44980</v>
      </c>
      <c r="Q833" s="141">
        <v>2.1228235406834464E-2</v>
      </c>
      <c r="R833" s="143">
        <v>2.1204262685063924E-2</v>
      </c>
    </row>
    <row r="834" spans="14:18" x14ac:dyDescent="0.2">
      <c r="N834" s="139" t="str">
        <f t="shared" si="19"/>
        <v>1w</v>
      </c>
      <c r="O834" s="146">
        <f>_xll.qlCalendarAdvance(Calendar,O833,N834,"f",FALSE)</f>
        <v>44985</v>
      </c>
      <c r="P834" s="140">
        <f>_xll.qlInterestRateIndexValueDate(IborIndex,O834)</f>
        <v>44987</v>
      </c>
      <c r="Q834" s="141">
        <v>2.1236812929336379E-2</v>
      </c>
      <c r="R834" s="143">
        <v>2.120983275219146E-2</v>
      </c>
    </row>
    <row r="835" spans="14:18" x14ac:dyDescent="0.2">
      <c r="N835" s="139" t="str">
        <f t="shared" si="19"/>
        <v>1w</v>
      </c>
      <c r="O835" s="146">
        <f>_xll.qlCalendarAdvance(Calendar,O834,N835,"f",FALSE)</f>
        <v>44992</v>
      </c>
      <c r="P835" s="140">
        <f>_xll.qlInterestRateIndexValueDate(IborIndex,O835)</f>
        <v>44994</v>
      </c>
      <c r="Q835" s="141">
        <v>2.1241910027618844E-2</v>
      </c>
      <c r="R835" s="143">
        <v>2.1214888228389128E-2</v>
      </c>
    </row>
    <row r="836" spans="14:18" x14ac:dyDescent="0.2">
      <c r="N836" s="139" t="str">
        <f t="shared" si="19"/>
        <v>1w</v>
      </c>
      <c r="O836" s="146">
        <f>_xll.qlCalendarAdvance(Calendar,O835,N836,"f",FALSE)</f>
        <v>44999</v>
      </c>
      <c r="P836" s="140">
        <f>_xll.qlInterestRateIndexValueDate(IborIndex,O836)</f>
        <v>45001</v>
      </c>
      <c r="Q836" s="141">
        <v>2.1244732950455314E-2</v>
      </c>
      <c r="R836" s="143">
        <v>2.1219429113337185E-2</v>
      </c>
    </row>
    <row r="837" spans="14:18" x14ac:dyDescent="0.2">
      <c r="N837" s="139" t="str">
        <f t="shared" si="19"/>
        <v>1w</v>
      </c>
      <c r="O837" s="146">
        <f>_xll.qlCalendarAdvance(Calendar,O836,N837,"f",FALSE)</f>
        <v>45006</v>
      </c>
      <c r="P837" s="140">
        <f>_xll.qlInterestRateIndexValueDate(IborIndex,O837)</f>
        <v>45008</v>
      </c>
      <c r="Q837" s="141">
        <v>2.1247919664040826E-2</v>
      </c>
      <c r="R837" s="143">
        <v>2.1223455407275438E-2</v>
      </c>
    </row>
    <row r="838" spans="14:18" x14ac:dyDescent="0.2">
      <c r="N838" s="139" t="str">
        <f t="shared" si="19"/>
        <v>1w</v>
      </c>
      <c r="O838" s="146">
        <f>_xll.qlCalendarAdvance(Calendar,O837,N838,"f",FALSE)</f>
        <v>45013</v>
      </c>
      <c r="P838" s="140">
        <f>_xll.qlInterestRateIndexValueDate(IborIndex,O838)</f>
        <v>45015</v>
      </c>
      <c r="Q838" s="141">
        <v>2.124826183112842E-2</v>
      </c>
      <c r="R838" s="143">
        <v>2.1226967110044015E-2</v>
      </c>
    </row>
    <row r="839" spans="14:18" x14ac:dyDescent="0.2">
      <c r="N839" s="139" t="str">
        <f t="shared" si="19"/>
        <v>1w</v>
      </c>
      <c r="O839" s="146">
        <f>_xll.qlCalendarAdvance(Calendar,O838,N839,"f",FALSE)</f>
        <v>45020</v>
      </c>
      <c r="P839" s="140">
        <f>_xll.qlInterestRateIndexValueDate(IborIndex,O839)</f>
        <v>45022</v>
      </c>
      <c r="Q839" s="141">
        <v>2.1252746495083186E-2</v>
      </c>
      <c r="R839" s="143">
        <v>2.1230726022585245E-2</v>
      </c>
    </row>
    <row r="840" spans="14:18" x14ac:dyDescent="0.2">
      <c r="N840" s="139" t="str">
        <f t="shared" si="19"/>
        <v>1w</v>
      </c>
      <c r="O840" s="146">
        <f>_xll.qlCalendarAdvance(Calendar,O839,N840,"f",FALSE)</f>
        <v>45027</v>
      </c>
      <c r="P840" s="140">
        <f>_xll.qlInterestRateIndexValueDate(IborIndex,O840)</f>
        <v>45029</v>
      </c>
      <c r="Q840" s="141">
        <v>2.1254386611875564E-2</v>
      </c>
      <c r="R840" s="143">
        <v>2.1232446742152078E-2</v>
      </c>
    </row>
    <row r="841" spans="14:18" x14ac:dyDescent="0.2">
      <c r="N841" s="139" t="str">
        <f t="shared" si="19"/>
        <v>1w</v>
      </c>
      <c r="O841" s="146">
        <f>_xll.qlCalendarAdvance(Calendar,O840,N841,"f",FALSE)</f>
        <v>45034</v>
      </c>
      <c r="P841" s="140">
        <f>_xll.qlInterestRateIndexValueDate(IborIndex,O841)</f>
        <v>45036</v>
      </c>
      <c r="Q841" s="141">
        <v>2.1255512599573645E-2</v>
      </c>
      <c r="R841" s="143">
        <v>2.1234414671411628E-2</v>
      </c>
    </row>
    <row r="842" spans="14:18" x14ac:dyDescent="0.2">
      <c r="N842" s="139" t="str">
        <f t="shared" si="19"/>
        <v>1w</v>
      </c>
      <c r="O842" s="146">
        <f>_xll.qlCalendarAdvance(Calendar,O841,N842,"f",FALSE)</f>
        <v>45041</v>
      </c>
      <c r="P842" s="140">
        <f>_xll.qlInterestRateIndexValueDate(IborIndex,O842)</f>
        <v>45043</v>
      </c>
      <c r="Q842" s="141">
        <v>2.1256809782571103E-2</v>
      </c>
      <c r="R842" s="143">
        <v>2.1236033621825356E-2</v>
      </c>
    </row>
    <row r="843" spans="14:18" x14ac:dyDescent="0.2">
      <c r="N843" s="139" t="str">
        <f t="shared" si="19"/>
        <v>1w</v>
      </c>
      <c r="O843" s="146">
        <f>_xll.qlCalendarAdvance(Calendar,O842,N843,"f",FALSE)</f>
        <v>45048</v>
      </c>
      <c r="P843" s="140">
        <f>_xll.qlInterestRateIndexValueDate(IborIndex,O843)</f>
        <v>45050</v>
      </c>
      <c r="Q843" s="141">
        <v>2.1256469189068761E-2</v>
      </c>
      <c r="R843" s="143">
        <v>2.12368067564217E-2</v>
      </c>
    </row>
    <row r="844" spans="14:18" x14ac:dyDescent="0.2">
      <c r="N844" s="139" t="str">
        <f t="shared" si="19"/>
        <v>1w</v>
      </c>
      <c r="O844" s="146">
        <f>_xll.qlCalendarAdvance(Calendar,O843,N844,"f",FALSE)</f>
        <v>45055</v>
      </c>
      <c r="P844" s="140">
        <f>_xll.qlInterestRateIndexValueDate(IborIndex,O844)</f>
        <v>45057</v>
      </c>
      <c r="Q844" s="141">
        <v>2.1256510452046795E-2</v>
      </c>
      <c r="R844" s="143">
        <v>2.1237230912252159E-2</v>
      </c>
    </row>
    <row r="845" spans="14:18" x14ac:dyDescent="0.2">
      <c r="N845" s="139" t="str">
        <f t="shared" si="19"/>
        <v>1w</v>
      </c>
      <c r="O845" s="146">
        <f>_xll.qlCalendarAdvance(Calendar,O844,N845,"f",FALSE)</f>
        <v>45062</v>
      </c>
      <c r="P845" s="140">
        <f>_xll.qlInterestRateIndexValueDate(IborIndex,O845)</f>
        <v>45065</v>
      </c>
      <c r="Q845" s="141">
        <v>2.1255766764124905E-2</v>
      </c>
      <c r="R845" s="143">
        <v>2.1237186847979928E-2</v>
      </c>
    </row>
    <row r="846" spans="14:18" x14ac:dyDescent="0.2">
      <c r="N846" s="139" t="str">
        <f t="shared" si="19"/>
        <v>1w</v>
      </c>
      <c r="O846" s="146">
        <f>_xll.qlCalendarAdvance(Calendar,O845,N846,"f",FALSE)</f>
        <v>45069</v>
      </c>
      <c r="P846" s="140">
        <f>_xll.qlInterestRateIndexValueDate(IborIndex,O846)</f>
        <v>45071</v>
      </c>
      <c r="Q846" s="141">
        <v>2.1256242656256252E-2</v>
      </c>
      <c r="R846" s="143">
        <v>2.1237066277706163E-2</v>
      </c>
    </row>
    <row r="847" spans="14:18" x14ac:dyDescent="0.2">
      <c r="N847" s="139" t="str">
        <f t="shared" si="19"/>
        <v>1w</v>
      </c>
      <c r="O847" s="146">
        <f>_xll.qlCalendarAdvance(Calendar,O846,N847,"f",FALSE)</f>
        <v>45076</v>
      </c>
      <c r="P847" s="140">
        <f>_xll.qlInterestRateIndexValueDate(IborIndex,O847)</f>
        <v>45078</v>
      </c>
      <c r="Q847" s="141">
        <v>2.1256055824713516E-2</v>
      </c>
      <c r="R847" s="143">
        <v>2.123694194500203E-2</v>
      </c>
    </row>
    <row r="848" spans="14:18" x14ac:dyDescent="0.2">
      <c r="N848" s="139" t="str">
        <f t="shared" si="19"/>
        <v>1w</v>
      </c>
      <c r="O848" s="146">
        <f>_xll.qlCalendarAdvance(Calendar,O847,N848,"f",FALSE)</f>
        <v>45083</v>
      </c>
      <c r="P848" s="140">
        <f>_xll.qlInterestRateIndexValueDate(IborIndex,O848)</f>
        <v>45085</v>
      </c>
      <c r="Q848" s="141">
        <v>2.1255842576936579E-2</v>
      </c>
      <c r="R848" s="143">
        <v>2.1236772405579529E-2</v>
      </c>
    </row>
    <row r="849" spans="14:18" x14ac:dyDescent="0.2">
      <c r="N849" s="139" t="str">
        <f t="shared" si="19"/>
        <v>1w</v>
      </c>
      <c r="O849" s="146">
        <f>_xll.qlCalendarAdvance(Calendar,O848,N849,"f",FALSE)</f>
        <v>45090</v>
      </c>
      <c r="P849" s="140">
        <f>_xll.qlInterestRateIndexValueDate(IborIndex,O849)</f>
        <v>45092</v>
      </c>
      <c r="Q849" s="141">
        <v>2.1255602912935434E-2</v>
      </c>
      <c r="R849" s="143">
        <v>2.1236576498289139E-2</v>
      </c>
    </row>
    <row r="850" spans="14:18" x14ac:dyDescent="0.2">
      <c r="N850" s="139" t="str">
        <f t="shared" si="19"/>
        <v>1w</v>
      </c>
      <c r="O850" s="146">
        <f>_xll.qlCalendarAdvance(Calendar,O849,N850,"f",FALSE)</f>
        <v>45097</v>
      </c>
      <c r="P850" s="140">
        <f>_xll.qlInterestRateIndexValueDate(IborIndex,O850)</f>
        <v>45099</v>
      </c>
      <c r="Q850" s="141">
        <v>2.1255336832705085E-2</v>
      </c>
      <c r="R850" s="143">
        <v>2.1236320316893043E-2</v>
      </c>
    </row>
    <row r="851" spans="14:18" x14ac:dyDescent="0.2">
      <c r="N851" s="139" t="str">
        <f t="shared" si="19"/>
        <v>1w</v>
      </c>
      <c r="O851" s="146">
        <f>_xll.qlCalendarAdvance(Calendar,O850,N851,"f",FALSE)</f>
        <v>45104</v>
      </c>
      <c r="P851" s="140">
        <f>_xll.qlInterestRateIndexValueDate(IborIndex,O851)</f>
        <v>45106</v>
      </c>
      <c r="Q851" s="141">
        <v>2.1255044336250528E-2</v>
      </c>
      <c r="R851" s="143">
        <v>2.1236105579705011E-2</v>
      </c>
    </row>
    <row r="852" spans="14:18" x14ac:dyDescent="0.2">
      <c r="N852" s="139" t="str">
        <f t="shared" si="19"/>
        <v>1w</v>
      </c>
      <c r="O852" s="146">
        <f>_xll.qlCalendarAdvance(Calendar,O851,N852,"f",FALSE)</f>
        <v>45111</v>
      </c>
      <c r="P852" s="140">
        <f>_xll.qlInterestRateIndexValueDate(IborIndex,O852)</f>
        <v>45113</v>
      </c>
      <c r="Q852" s="141">
        <v>2.1254725423574261E-2</v>
      </c>
      <c r="R852" s="143">
        <v>2.123583056849121E-2</v>
      </c>
    </row>
    <row r="853" spans="14:18" x14ac:dyDescent="0.2">
      <c r="N853" s="139" t="str">
        <f t="shared" ref="N853:N916" si="20">N852</f>
        <v>1w</v>
      </c>
      <c r="O853" s="146">
        <f>_xll.qlCalendarAdvance(Calendar,O852,N853,"f",FALSE)</f>
        <v>45118</v>
      </c>
      <c r="P853" s="140">
        <f>_xll.qlInterestRateIndexValueDate(IborIndex,O853)</f>
        <v>45120</v>
      </c>
      <c r="Q853" s="141">
        <v>2.1254380094676284E-2</v>
      </c>
      <c r="R853" s="143">
        <v>2.1235529189169711E-2</v>
      </c>
    </row>
    <row r="854" spans="14:18" x14ac:dyDescent="0.2">
      <c r="N854" s="139" t="str">
        <f t="shared" si="20"/>
        <v>1w</v>
      </c>
      <c r="O854" s="146">
        <f>_xll.qlCalendarAdvance(Calendar,O853,N854,"f",FALSE)</f>
        <v>45125</v>
      </c>
      <c r="P854" s="140">
        <f>_xll.qlInterestRateIndexValueDate(IborIndex,O854)</f>
        <v>45127</v>
      </c>
      <c r="Q854" s="141">
        <v>2.1254008349559095E-2</v>
      </c>
      <c r="R854" s="143">
        <v>2.1235201441980323E-2</v>
      </c>
    </row>
    <row r="855" spans="14:18" x14ac:dyDescent="0.2">
      <c r="N855" s="139" t="str">
        <f t="shared" si="20"/>
        <v>1w</v>
      </c>
      <c r="O855" s="146">
        <f>_xll.qlCalendarAdvance(Calendar,O854,N855,"f",FALSE)</f>
        <v>45132</v>
      </c>
      <c r="P855" s="140">
        <f>_xll.qlInterestRateIndexValueDate(IborIndex,O855)</f>
        <v>45134</v>
      </c>
      <c r="Q855" s="141">
        <v>2.125361018822769E-2</v>
      </c>
      <c r="R855" s="143">
        <v>2.1234847326843109E-2</v>
      </c>
    </row>
    <row r="856" spans="14:18" x14ac:dyDescent="0.2">
      <c r="N856" s="139" t="str">
        <f t="shared" si="20"/>
        <v>1w</v>
      </c>
      <c r="O856" s="146">
        <f>_xll.qlCalendarAdvance(Calendar,O855,N856,"f",FALSE)</f>
        <v>45139</v>
      </c>
      <c r="P856" s="140">
        <f>_xll.qlInterestRateIndexValueDate(IborIndex,O856)</f>
        <v>45141</v>
      </c>
      <c r="Q856" s="141">
        <v>2.1253185610684566E-2</v>
      </c>
      <c r="R856" s="143">
        <v>2.1234466843678135E-2</v>
      </c>
    </row>
    <row r="857" spans="14:18" x14ac:dyDescent="0.2">
      <c r="N857" s="139" t="str">
        <f t="shared" si="20"/>
        <v>1w</v>
      </c>
      <c r="O857" s="146">
        <f>_xll.qlCalendarAdvance(Calendar,O856,N857,"f",FALSE)</f>
        <v>45146</v>
      </c>
      <c r="P857" s="140">
        <f>_xll.qlInterestRateIndexValueDate(IborIndex,O857)</f>
        <v>45148</v>
      </c>
      <c r="Q857" s="141">
        <v>2.1252734616929725E-2</v>
      </c>
      <c r="R857" s="143">
        <v>2.1234059992565335E-2</v>
      </c>
    </row>
    <row r="858" spans="14:18" x14ac:dyDescent="0.2">
      <c r="N858" s="139" t="str">
        <f t="shared" si="20"/>
        <v>1w</v>
      </c>
      <c r="O858" s="146">
        <f>_xll.qlCalendarAdvance(Calendar,O857,N858,"f",FALSE)</f>
        <v>45153</v>
      </c>
      <c r="P858" s="140">
        <f>_xll.qlInterestRateIndexValueDate(IborIndex,O858)</f>
        <v>45155</v>
      </c>
      <c r="Q858" s="141">
        <v>2.1252257206968161E-2</v>
      </c>
      <c r="R858" s="143">
        <v>2.123362677350471E-2</v>
      </c>
    </row>
    <row r="859" spans="14:18" x14ac:dyDescent="0.2">
      <c r="N859" s="139" t="str">
        <f t="shared" si="20"/>
        <v>1w</v>
      </c>
      <c r="O859" s="146">
        <f>_xll.qlCalendarAdvance(Calendar,O858,N859,"f",FALSE)</f>
        <v>45160</v>
      </c>
      <c r="P859" s="140">
        <f>_xll.qlInterestRateIndexValueDate(IborIndex,O859)</f>
        <v>45162</v>
      </c>
      <c r="Q859" s="141">
        <v>2.1251753380804872E-2</v>
      </c>
      <c r="R859" s="143">
        <v>2.123316718649626E-2</v>
      </c>
    </row>
    <row r="860" spans="14:18" x14ac:dyDescent="0.2">
      <c r="N860" s="139" t="str">
        <f t="shared" si="20"/>
        <v>1w</v>
      </c>
      <c r="O860" s="146">
        <f>_xll.qlCalendarAdvance(Calendar,O859,N860,"f",FALSE)</f>
        <v>45167</v>
      </c>
      <c r="P860" s="140">
        <f>_xll.qlInterestRateIndexValueDate(IborIndex,O860)</f>
        <v>45169</v>
      </c>
      <c r="Q860" s="141">
        <v>2.1249462642722029E-2</v>
      </c>
      <c r="R860" s="143">
        <v>2.1232681231460049E-2</v>
      </c>
    </row>
    <row r="861" spans="14:18" x14ac:dyDescent="0.2">
      <c r="N861" s="139" t="str">
        <f t="shared" si="20"/>
        <v>1w</v>
      </c>
      <c r="O861" s="146">
        <f>_xll.qlCalendarAdvance(Calendar,O860,N861,"f",FALSE)</f>
        <v>45174</v>
      </c>
      <c r="P861" s="140">
        <f>_xll.qlInterestRateIndexValueDate(IborIndex,O861)</f>
        <v>45176</v>
      </c>
      <c r="Q861" s="141">
        <v>2.1250666479880609E-2</v>
      </c>
      <c r="R861" s="143">
        <v>2.1232168908476012E-2</v>
      </c>
    </row>
    <row r="862" spans="14:18" x14ac:dyDescent="0.2">
      <c r="N862" s="139" t="str">
        <f t="shared" si="20"/>
        <v>1w</v>
      </c>
      <c r="O862" s="146">
        <f>_xll.qlCalendarAdvance(Calendar,O861,N862,"f",FALSE)</f>
        <v>45181</v>
      </c>
      <c r="P862" s="140">
        <f>_xll.qlInterestRateIndexValueDate(IborIndex,O862)</f>
        <v>45183</v>
      </c>
      <c r="Q862" s="141">
        <v>2.1250083405132125E-2</v>
      </c>
      <c r="R862" s="143">
        <v>2.1231630217544151E-2</v>
      </c>
    </row>
    <row r="863" spans="14:18" x14ac:dyDescent="0.2">
      <c r="N863" s="139" t="str">
        <f t="shared" si="20"/>
        <v>1w</v>
      </c>
      <c r="O863" s="146">
        <f>_xll.qlCalendarAdvance(Calendar,O862,N863,"f",FALSE)</f>
        <v>45188</v>
      </c>
      <c r="P863" s="140">
        <f>_xll.qlInterestRateIndexValueDate(IborIndex,O863)</f>
        <v>45190</v>
      </c>
      <c r="Q863" s="141">
        <v>2.1249473914191908E-2</v>
      </c>
      <c r="R863" s="143">
        <v>2.1231065158584528E-2</v>
      </c>
    </row>
    <row r="864" spans="14:18" x14ac:dyDescent="0.2">
      <c r="N864" s="139" t="str">
        <f t="shared" si="20"/>
        <v>1w</v>
      </c>
      <c r="O864" s="146">
        <f>_xll.qlCalendarAdvance(Calendar,O863,N864,"f",FALSE)</f>
        <v>45195</v>
      </c>
      <c r="P864" s="140">
        <f>_xll.qlInterestRateIndexValueDate(IborIndex,O864)</f>
        <v>45197</v>
      </c>
      <c r="Q864" s="141">
        <v>2.124883800706745E-2</v>
      </c>
      <c r="R864" s="143">
        <v>2.123047373167708E-2</v>
      </c>
    </row>
    <row r="865" spans="14:18" x14ac:dyDescent="0.2">
      <c r="N865" s="139" t="str">
        <f t="shared" si="20"/>
        <v>1w</v>
      </c>
      <c r="O865" s="146">
        <f>_xll.qlCalendarAdvance(Calendar,O864,N865,"f",FALSE)</f>
        <v>45202</v>
      </c>
      <c r="P865" s="140">
        <f>_xll.qlInterestRateIndexValueDate(IborIndex,O865)</f>
        <v>45204</v>
      </c>
      <c r="Q865" s="141">
        <v>2.1248175683768744E-2</v>
      </c>
      <c r="R865" s="143">
        <v>2.1229855936821806E-2</v>
      </c>
    </row>
    <row r="866" spans="14:18" x14ac:dyDescent="0.2">
      <c r="N866" s="139" t="str">
        <f t="shared" si="20"/>
        <v>1w</v>
      </c>
      <c r="O866" s="146">
        <f>_xll.qlCalendarAdvance(Calendar,O865,N866,"f",FALSE)</f>
        <v>45209</v>
      </c>
      <c r="P866" s="140">
        <f>_xll.qlInterestRateIndexValueDate(IborIndex,O866)</f>
        <v>45211</v>
      </c>
      <c r="Q866" s="141">
        <v>2.1247486944290794E-2</v>
      </c>
      <c r="R866" s="143">
        <v>2.1229211773938772E-2</v>
      </c>
    </row>
    <row r="867" spans="14:18" x14ac:dyDescent="0.2">
      <c r="N867" s="139" t="str">
        <f t="shared" si="20"/>
        <v>1w</v>
      </c>
      <c r="O867" s="146">
        <f>_xll.qlCalendarAdvance(Calendar,O866,N867,"f",FALSE)</f>
        <v>45216</v>
      </c>
      <c r="P867" s="140">
        <f>_xll.qlInterestRateIndexValueDate(IborIndex,O867)</f>
        <v>45218</v>
      </c>
      <c r="Q867" s="141">
        <v>2.1246771788643593E-2</v>
      </c>
      <c r="R867" s="143">
        <v>2.1228541243187848E-2</v>
      </c>
    </row>
    <row r="868" spans="14:18" x14ac:dyDescent="0.2">
      <c r="N868" s="139" t="str">
        <f t="shared" si="20"/>
        <v>1w</v>
      </c>
      <c r="O868" s="146">
        <f>_xll.qlCalendarAdvance(Calendar,O867,N868,"f",FALSE)</f>
        <v>45223</v>
      </c>
      <c r="P868" s="140">
        <f>_xll.qlInterestRateIndexValueDate(IborIndex,O868)</f>
        <v>45225</v>
      </c>
      <c r="Q868" s="141">
        <v>2.1246030216834633E-2</v>
      </c>
      <c r="R868" s="143">
        <v>2.1227844344409164E-2</v>
      </c>
    </row>
    <row r="869" spans="14:18" x14ac:dyDescent="0.2">
      <c r="N869" s="139" t="str">
        <f t="shared" si="20"/>
        <v>1w</v>
      </c>
      <c r="O869" s="146">
        <f>_xll.qlCalendarAdvance(Calendar,O868,N869,"f",FALSE)</f>
        <v>45230</v>
      </c>
      <c r="P869" s="140">
        <f>_xll.qlInterestRateIndexValueDate(IborIndex,O869)</f>
        <v>45232</v>
      </c>
      <c r="Q869" s="141">
        <v>2.1245262228863915E-2</v>
      </c>
      <c r="R869" s="143">
        <v>2.1227121077682654E-2</v>
      </c>
    </row>
    <row r="870" spans="14:18" x14ac:dyDescent="0.2">
      <c r="N870" s="139" t="str">
        <f t="shared" si="20"/>
        <v>1w</v>
      </c>
      <c r="O870" s="146">
        <f>_xll.qlCalendarAdvance(Calendar,O869,N870,"f",FALSE)</f>
        <v>45237</v>
      </c>
      <c r="P870" s="140">
        <f>_xll.qlInterestRateIndexValueDate(IborIndex,O870)</f>
        <v>45239</v>
      </c>
      <c r="Q870" s="141">
        <v>2.1244467824738933E-2</v>
      </c>
      <c r="R870" s="143">
        <v>2.1226371442928382E-2</v>
      </c>
    </row>
    <row r="871" spans="14:18" x14ac:dyDescent="0.2">
      <c r="N871" s="139" t="str">
        <f t="shared" si="20"/>
        <v>1w</v>
      </c>
      <c r="O871" s="146">
        <f>_xll.qlCalendarAdvance(Calendar,O870,N871,"f",FALSE)</f>
        <v>45244</v>
      </c>
      <c r="P871" s="140">
        <f>_xll.qlInterestRateIndexValueDate(IborIndex,O871)</f>
        <v>45246</v>
      </c>
      <c r="Q871" s="141">
        <v>2.1243647004467181E-2</v>
      </c>
      <c r="R871" s="143">
        <v>2.1225595440226286E-2</v>
      </c>
    </row>
    <row r="872" spans="14:18" x14ac:dyDescent="0.2">
      <c r="N872" s="139" t="str">
        <f t="shared" si="20"/>
        <v>1w</v>
      </c>
      <c r="O872" s="146">
        <f>_xll.qlCalendarAdvance(Calendar,O871,N872,"f",FALSE)</f>
        <v>45251</v>
      </c>
      <c r="P872" s="140">
        <f>_xll.qlInterestRateIndexValueDate(IborIndex,O872)</f>
        <v>45253</v>
      </c>
      <c r="Q872" s="141">
        <v>2.1243926349313408E-2</v>
      </c>
      <c r="R872" s="143">
        <v>2.1224793069576364E-2</v>
      </c>
    </row>
    <row r="873" spans="14:18" x14ac:dyDescent="0.2">
      <c r="N873" s="139" t="str">
        <f t="shared" si="20"/>
        <v>1w</v>
      </c>
      <c r="O873" s="146">
        <f>_xll.qlCalendarAdvance(Calendar,O872,N873,"f",FALSE)</f>
        <v>45258</v>
      </c>
      <c r="P873" s="140">
        <f>_xll.qlInterestRateIndexValueDate(IborIndex,O873)</f>
        <v>45260</v>
      </c>
      <c r="Q873" s="141">
        <v>2.1240240839050996E-2</v>
      </c>
      <c r="R873" s="143">
        <v>2.1223964330978617E-2</v>
      </c>
    </row>
    <row r="874" spans="14:18" x14ac:dyDescent="0.2">
      <c r="N874" s="139" t="str">
        <f t="shared" si="20"/>
        <v>1w</v>
      </c>
      <c r="O874" s="146">
        <f>_xll.qlCalendarAdvance(Calendar,O873,N874,"f",FALSE)</f>
        <v>45265</v>
      </c>
      <c r="P874" s="140">
        <f>_xll.qlInterestRateIndexValueDate(IborIndex,O874)</f>
        <v>45267</v>
      </c>
      <c r="Q874" s="141">
        <v>2.1241026046816269E-2</v>
      </c>
      <c r="R874" s="143">
        <v>2.1223109224353109E-2</v>
      </c>
    </row>
    <row r="875" spans="14:18" x14ac:dyDescent="0.2">
      <c r="N875" s="139" t="str">
        <f t="shared" si="20"/>
        <v>1w</v>
      </c>
      <c r="O875" s="146">
        <f>_xll.qlCalendarAdvance(Calendar,O874,N875,"f",FALSE)</f>
        <v>45272</v>
      </c>
      <c r="P875" s="140">
        <f>_xll.qlInterestRateIndexValueDate(IborIndex,O875)</f>
        <v>45274</v>
      </c>
      <c r="Q875" s="141">
        <v>2.1240099562009895E-2</v>
      </c>
      <c r="R875" s="143">
        <v>2.1222227749779776E-2</v>
      </c>
    </row>
    <row r="876" spans="14:18" x14ac:dyDescent="0.2">
      <c r="N876" s="139" t="str">
        <f t="shared" si="20"/>
        <v>1w</v>
      </c>
      <c r="O876" s="146">
        <f>_xll.qlCalendarAdvance(Calendar,O875,N876,"f",FALSE)</f>
        <v>45279</v>
      </c>
      <c r="P876" s="140">
        <f>_xll.qlInterestRateIndexValueDate(IborIndex,O876)</f>
        <v>45281</v>
      </c>
      <c r="Q876" s="141">
        <v>2.1239146661086727E-2</v>
      </c>
      <c r="R876" s="143">
        <v>2.1221055680538115E-2</v>
      </c>
    </row>
    <row r="877" spans="14:18" x14ac:dyDescent="0.2">
      <c r="N877" s="139" t="str">
        <f t="shared" si="20"/>
        <v>1w</v>
      </c>
      <c r="O877" s="146">
        <f>_xll.qlCalendarAdvance(Calendar,O876,N877,"f",FALSE)</f>
        <v>45287</v>
      </c>
      <c r="P877" s="140">
        <f>_xll.qlInterestRateIndexValueDate(IborIndex,O877)</f>
        <v>45289</v>
      </c>
      <c r="Q877" s="141">
        <v>2.1238578671199031E-2</v>
      </c>
      <c r="R877" s="143">
        <v>2.122011393641543E-2</v>
      </c>
    </row>
    <row r="878" spans="14:18" x14ac:dyDescent="0.2">
      <c r="N878" s="139" t="str">
        <f t="shared" si="20"/>
        <v>1w</v>
      </c>
      <c r="O878" s="146">
        <f>_xll.qlCalendarAdvance(Calendar,O877,N878,"f",FALSE)</f>
        <v>45294</v>
      </c>
      <c r="P878" s="140">
        <f>_xll.qlInterestRateIndexValueDate(IborIndex,O878)</f>
        <v>45296</v>
      </c>
      <c r="Q878" s="141">
        <v>2.1236464174923048E-2</v>
      </c>
      <c r="R878" s="143">
        <v>2.1219285740343707E-2</v>
      </c>
    </row>
    <row r="879" spans="14:18" x14ac:dyDescent="0.2">
      <c r="N879" s="139" t="str">
        <f t="shared" si="20"/>
        <v>1w</v>
      </c>
      <c r="O879" s="146">
        <f>_xll.qlCalendarAdvance(Calendar,O878,N879,"f",FALSE)</f>
        <v>45301</v>
      </c>
      <c r="P879" s="140">
        <f>_xll.qlInterestRateIndexValueDate(IborIndex,O879)</f>
        <v>45303</v>
      </c>
      <c r="Q879" s="141">
        <v>2.1235430199762071E-2</v>
      </c>
      <c r="R879" s="143">
        <v>2.1218295027072287E-2</v>
      </c>
    </row>
    <row r="880" spans="14:18" x14ac:dyDescent="0.2">
      <c r="N880" s="139" t="str">
        <f t="shared" si="20"/>
        <v>1w</v>
      </c>
      <c r="O880" s="146">
        <f>_xll.qlCalendarAdvance(Calendar,O879,N880,"f",FALSE)</f>
        <v>45308</v>
      </c>
      <c r="P880" s="140">
        <f>_xll.qlInterestRateIndexValueDate(IborIndex,O880)</f>
        <v>45310</v>
      </c>
      <c r="Q880" s="141">
        <v>2.1234369810066021E-2</v>
      </c>
      <c r="R880" s="143">
        <v>2.1217277945853041E-2</v>
      </c>
    </row>
    <row r="881" spans="14:18" x14ac:dyDescent="0.2">
      <c r="N881" s="139" t="str">
        <f t="shared" si="20"/>
        <v>1w</v>
      </c>
      <c r="O881" s="146">
        <f>_xll.qlCalendarAdvance(Calendar,O880,N881,"f",FALSE)</f>
        <v>45315</v>
      </c>
      <c r="P881" s="140">
        <f>_xll.qlInterestRateIndexValueDate(IborIndex,O881)</f>
        <v>45317</v>
      </c>
      <c r="Q881" s="141">
        <v>2.1233283005840053E-2</v>
      </c>
      <c r="R881" s="143">
        <v>2.1216234496606035E-2</v>
      </c>
    </row>
    <row r="882" spans="14:18" x14ac:dyDescent="0.2">
      <c r="N882" s="139" t="str">
        <f t="shared" si="20"/>
        <v>1w</v>
      </c>
      <c r="O882" s="146">
        <f>_xll.qlCalendarAdvance(Calendar,O881,N882,"f",FALSE)</f>
        <v>45322</v>
      </c>
      <c r="P882" s="140">
        <f>_xll.qlInterestRateIndexValueDate(IborIndex,O882)</f>
        <v>45324</v>
      </c>
      <c r="Q882" s="141">
        <v>2.1232169787094482E-2</v>
      </c>
      <c r="R882" s="143">
        <v>2.1215164679411203E-2</v>
      </c>
    </row>
    <row r="883" spans="14:18" x14ac:dyDescent="0.2">
      <c r="N883" s="139" t="str">
        <f t="shared" si="20"/>
        <v>1w</v>
      </c>
      <c r="O883" s="146">
        <f>_xll.qlCalendarAdvance(Calendar,O882,N883,"f",FALSE)</f>
        <v>45329</v>
      </c>
      <c r="P883" s="140">
        <f>_xll.qlInterestRateIndexValueDate(IborIndex,O883)</f>
        <v>45331</v>
      </c>
      <c r="Q883" s="141">
        <v>2.123103015383446E-2</v>
      </c>
      <c r="R883" s="143">
        <v>2.1214068494268545E-2</v>
      </c>
    </row>
    <row r="884" spans="14:18" x14ac:dyDescent="0.2">
      <c r="N884" s="139" t="str">
        <f t="shared" si="20"/>
        <v>1w</v>
      </c>
      <c r="O884" s="146">
        <f>_xll.qlCalendarAdvance(Calendar,O883,N884,"f",FALSE)</f>
        <v>45336</v>
      </c>
      <c r="P884" s="140">
        <f>_xll.qlInterestRateIndexValueDate(IborIndex,O884)</f>
        <v>45338</v>
      </c>
      <c r="Q884" s="141">
        <v>2.1229864106067732E-2</v>
      </c>
      <c r="R884" s="143">
        <v>2.1212945941098127E-2</v>
      </c>
    </row>
    <row r="885" spans="14:18" x14ac:dyDescent="0.2">
      <c r="N885" s="139" t="str">
        <f t="shared" si="20"/>
        <v>1w</v>
      </c>
      <c r="O885" s="146">
        <f>_xll.qlCalendarAdvance(Calendar,O884,N885,"f",FALSE)</f>
        <v>45343</v>
      </c>
      <c r="P885" s="140">
        <f>_xll.qlInterestRateIndexValueDate(IborIndex,O885)</f>
        <v>45345</v>
      </c>
      <c r="Q885" s="141">
        <v>2.1228671643804604E-2</v>
      </c>
      <c r="R885" s="143">
        <v>2.1211797020059819E-2</v>
      </c>
    </row>
    <row r="886" spans="14:18" x14ac:dyDescent="0.2">
      <c r="N886" s="139" t="str">
        <f t="shared" si="20"/>
        <v>1w</v>
      </c>
      <c r="O886" s="146">
        <f>_xll.qlCalendarAdvance(Calendar,O885,N886,"f",FALSE)</f>
        <v>45350</v>
      </c>
      <c r="P886" s="140">
        <f>_xll.qlInterestRateIndexValueDate(IborIndex,O886)</f>
        <v>45352</v>
      </c>
      <c r="Q886" s="141">
        <v>2.1227988744563497E-2</v>
      </c>
      <c r="R886" s="143">
        <v>2.1210621730993751E-2</v>
      </c>
    </row>
    <row r="887" spans="14:18" x14ac:dyDescent="0.2">
      <c r="N887" s="139" t="str">
        <f t="shared" si="20"/>
        <v>1w</v>
      </c>
      <c r="O887" s="146">
        <f>_xll.qlCalendarAdvance(Calendar,O886,N887,"f",FALSE)</f>
        <v>45357</v>
      </c>
      <c r="P887" s="140">
        <f>_xll.qlInterestRateIndexValueDate(IborIndex,O887)</f>
        <v>45359</v>
      </c>
      <c r="Q887" s="141">
        <v>2.1226207475820106E-2</v>
      </c>
      <c r="R887" s="143">
        <v>2.1209420073979857E-2</v>
      </c>
    </row>
    <row r="888" spans="14:18" x14ac:dyDescent="0.2">
      <c r="N888" s="139" t="str">
        <f t="shared" si="20"/>
        <v>1w</v>
      </c>
      <c r="O888" s="146">
        <f>_xll.qlCalendarAdvance(Calendar,O887,N888,"f",FALSE)</f>
        <v>45364</v>
      </c>
      <c r="P888" s="140">
        <f>_xll.qlInterestRateIndexValueDate(IborIndex,O888)</f>
        <v>45366</v>
      </c>
      <c r="Q888" s="141">
        <v>2.1224935770114202E-2</v>
      </c>
      <c r="R888" s="143">
        <v>2.1208192049018137E-2</v>
      </c>
    </row>
    <row r="889" spans="14:18" x14ac:dyDescent="0.2">
      <c r="N889" s="139" t="str">
        <f t="shared" si="20"/>
        <v>1w</v>
      </c>
      <c r="O889" s="146">
        <f>_xll.qlCalendarAdvance(Calendar,O888,N889,"f",FALSE)</f>
        <v>45371</v>
      </c>
      <c r="P889" s="140">
        <f>_xll.qlInterestRateIndexValueDate(IborIndex,O889)</f>
        <v>45373</v>
      </c>
      <c r="Q889" s="141">
        <v>2.1223637649942846E-2</v>
      </c>
      <c r="R889" s="143">
        <v>2.1206937656028657E-2</v>
      </c>
    </row>
    <row r="890" spans="14:18" x14ac:dyDescent="0.2">
      <c r="N890" s="139" t="str">
        <f t="shared" si="20"/>
        <v>1w</v>
      </c>
      <c r="O890" s="146">
        <f>_xll.qlCalendarAdvance(Calendar,O889,N890,"f",FALSE)</f>
        <v>45378</v>
      </c>
      <c r="P890" s="140">
        <f>_xll.qlInterestRateIndexValueDate(IborIndex,O890)</f>
        <v>45384</v>
      </c>
      <c r="Q890" s="141">
        <v>2.122101720830738E-2</v>
      </c>
      <c r="R890" s="143">
        <v>2.1205286120400402E-2</v>
      </c>
    </row>
    <row r="891" spans="14:18" x14ac:dyDescent="0.2">
      <c r="N891" s="139" t="str">
        <f t="shared" si="20"/>
        <v>1w</v>
      </c>
      <c r="O891" s="146">
        <f>_xll.qlCalendarAdvance(Calendar,O890,N891,"f",FALSE)</f>
        <v>45385</v>
      </c>
      <c r="P891" s="140">
        <f>_xll.qlInterestRateIndexValueDate(IborIndex,O891)</f>
        <v>45387</v>
      </c>
      <c r="Q891" s="141">
        <v>2.1220962166242453E-2</v>
      </c>
      <c r="R891" s="143">
        <v>2.1204349766286157E-2</v>
      </c>
    </row>
    <row r="892" spans="14:18" x14ac:dyDescent="0.2">
      <c r="N892" s="139" t="str">
        <f t="shared" si="20"/>
        <v>1w</v>
      </c>
      <c r="O892" s="146">
        <f>_xll.qlCalendarAdvance(Calendar,O891,N892,"f",FALSE)</f>
        <v>45392</v>
      </c>
      <c r="P892" s="140">
        <f>_xll.qlInterestRateIndexValueDate(IborIndex,O892)</f>
        <v>45394</v>
      </c>
      <c r="Q892" s="141">
        <v>2.1219584802734042E-2</v>
      </c>
      <c r="R892" s="143">
        <v>2.1203016269453201E-2</v>
      </c>
    </row>
    <row r="893" spans="14:18" x14ac:dyDescent="0.2">
      <c r="N893" s="139" t="str">
        <f t="shared" si="20"/>
        <v>1w</v>
      </c>
      <c r="O893" s="146">
        <f>_xll.qlCalendarAdvance(Calendar,O892,N893,"f",FALSE)</f>
        <v>45399</v>
      </c>
      <c r="P893" s="140">
        <f>_xll.qlInterestRateIndexValueDate(IborIndex,O893)</f>
        <v>45401</v>
      </c>
      <c r="Q893" s="141">
        <v>2.1218703248201687E-2</v>
      </c>
      <c r="R893" s="143">
        <v>2.120165640467242E-2</v>
      </c>
    </row>
    <row r="894" spans="14:18" x14ac:dyDescent="0.2">
      <c r="N894" s="139" t="str">
        <f t="shared" si="20"/>
        <v>1w</v>
      </c>
      <c r="O894" s="146">
        <f>_xll.qlCalendarAdvance(Calendar,O893,N894,"f",FALSE)</f>
        <v>45406</v>
      </c>
      <c r="P894" s="140">
        <f>_xll.qlInterestRateIndexValueDate(IborIndex,O894)</f>
        <v>45408</v>
      </c>
      <c r="Q894" s="141">
        <v>2.121675296435219E-2</v>
      </c>
      <c r="R894" s="143">
        <v>2.1200794311235782E-2</v>
      </c>
    </row>
    <row r="895" spans="14:18" x14ac:dyDescent="0.2">
      <c r="N895" s="139" t="str">
        <f t="shared" si="20"/>
        <v>1w</v>
      </c>
      <c r="O895" s="146">
        <f>_xll.qlCalendarAdvance(Calendar,O894,N895,"f",FALSE)</f>
        <v>45414</v>
      </c>
      <c r="P895" s="140">
        <f>_xll.qlInterestRateIndexValueDate(IborIndex,O895)</f>
        <v>45418</v>
      </c>
      <c r="Q895" s="141">
        <v>2.1214702306899313E-2</v>
      </c>
      <c r="R895" s="143">
        <v>2.1199175510102641E-2</v>
      </c>
    </row>
    <row r="896" spans="14:18" x14ac:dyDescent="0.2">
      <c r="N896" s="139" t="str">
        <f t="shared" si="20"/>
        <v>1w</v>
      </c>
      <c r="O896" s="146">
        <f>_xll.qlCalendarAdvance(Calendar,O895,N896,"f",FALSE)</f>
        <v>45422</v>
      </c>
      <c r="P896" s="140">
        <f>_xll.qlInterestRateIndexValueDate(IborIndex,O896)</f>
        <v>45426</v>
      </c>
      <c r="Q896" s="141">
        <v>2.1213088346450155E-2</v>
      </c>
      <c r="R896" s="143">
        <v>2.1197002625470418E-2</v>
      </c>
    </row>
    <row r="897" spans="14:18" x14ac:dyDescent="0.2">
      <c r="N897" s="139" t="str">
        <f t="shared" si="20"/>
        <v>1w</v>
      </c>
      <c r="O897" s="146">
        <f>_xll.qlCalendarAdvance(Calendar,O896,N897,"f",FALSE)</f>
        <v>45429</v>
      </c>
      <c r="P897" s="140">
        <f>_xll.qlInterestRateIndexValueDate(IborIndex,O897)</f>
        <v>45434</v>
      </c>
      <c r="Q897" s="141">
        <v>2.121259754670116E-2</v>
      </c>
      <c r="R897" s="143">
        <v>2.1196371049105878E-2</v>
      </c>
    </row>
    <row r="898" spans="14:18" x14ac:dyDescent="0.2">
      <c r="N898" s="139" t="str">
        <f t="shared" si="20"/>
        <v>1w</v>
      </c>
      <c r="O898" s="146">
        <f>_xll.qlCalendarAdvance(Calendar,O897,N898,"f",FALSE)</f>
        <v>45436</v>
      </c>
      <c r="P898" s="140">
        <f>_xll.qlInterestRateIndexValueDate(IborIndex,O898)</f>
        <v>45440</v>
      </c>
      <c r="Q898" s="141">
        <v>2.1210414629091671E-2</v>
      </c>
      <c r="R898" s="143">
        <v>2.1194113287821281E-2</v>
      </c>
    </row>
    <row r="899" spans="14:18" x14ac:dyDescent="0.2">
      <c r="N899" s="139" t="str">
        <f t="shared" si="20"/>
        <v>1w</v>
      </c>
      <c r="O899" s="146">
        <f>_xll.qlCalendarAdvance(Calendar,O898,N899,"f",FALSE)</f>
        <v>45443</v>
      </c>
      <c r="P899" s="140">
        <f>_xll.qlInterestRateIndexValueDate(IborIndex,O899)</f>
        <v>45447</v>
      </c>
      <c r="Q899" s="141">
        <v>2.1208630412827389E-2</v>
      </c>
      <c r="R899" s="143">
        <v>2.1192754445422679E-2</v>
      </c>
    </row>
    <row r="900" spans="14:18" x14ac:dyDescent="0.2">
      <c r="N900" s="139" t="str">
        <f t="shared" si="20"/>
        <v>1w</v>
      </c>
      <c r="O900" s="146">
        <f>_xll.qlCalendarAdvance(Calendar,O899,N900,"f",FALSE)</f>
        <v>45450</v>
      </c>
      <c r="P900" s="140">
        <f>_xll.qlInterestRateIndexValueDate(IborIndex,O900)</f>
        <v>45454</v>
      </c>
      <c r="Q900" s="141">
        <v>2.1207446243123762E-2</v>
      </c>
      <c r="R900" s="143">
        <v>2.1191459031006943E-2</v>
      </c>
    </row>
    <row r="901" spans="14:18" x14ac:dyDescent="0.2">
      <c r="N901" s="139" t="str">
        <f t="shared" si="20"/>
        <v>1w</v>
      </c>
      <c r="O901" s="146">
        <f>_xll.qlCalendarAdvance(Calendar,O900,N901,"f",FALSE)</f>
        <v>45457</v>
      </c>
      <c r="P901" s="140">
        <f>_xll.qlInterestRateIndexValueDate(IborIndex,O901)</f>
        <v>45461</v>
      </c>
      <c r="Q901" s="141">
        <v>2.1206325609857579E-2</v>
      </c>
      <c r="R901" s="143">
        <v>2.1191843077601469E-2</v>
      </c>
    </row>
    <row r="902" spans="14:18" x14ac:dyDescent="0.2">
      <c r="N902" s="139" t="str">
        <f t="shared" si="20"/>
        <v>1w</v>
      </c>
      <c r="O902" s="146">
        <f>_xll.qlCalendarAdvance(Calendar,O901,N902,"f",FALSE)</f>
        <v>45467</v>
      </c>
      <c r="P902" s="140">
        <f>_xll.qlInterestRateIndexValueDate(IborIndex,O902)</f>
        <v>45469</v>
      </c>
      <c r="Q902" s="141">
        <v>2.1205122685833189E-2</v>
      </c>
      <c r="R902" s="143">
        <v>2.1189983836560344E-2</v>
      </c>
    </row>
    <row r="903" spans="14:18" x14ac:dyDescent="0.2">
      <c r="N903" s="139" t="str">
        <f t="shared" si="20"/>
        <v>1w</v>
      </c>
      <c r="O903" s="146">
        <f>_xll.qlCalendarAdvance(Calendar,O902,N903,"f",FALSE)</f>
        <v>45474</v>
      </c>
      <c r="P903" s="140">
        <f>_xll.qlInterestRateIndexValueDate(IborIndex,O903)</f>
        <v>45476</v>
      </c>
      <c r="Q903" s="141">
        <v>2.1205818090197101E-2</v>
      </c>
      <c r="R903" s="143">
        <v>2.1188896700445881E-2</v>
      </c>
    </row>
    <row r="904" spans="14:18" x14ac:dyDescent="0.2">
      <c r="N904" s="139" t="str">
        <f t="shared" si="20"/>
        <v>1w</v>
      </c>
      <c r="O904" s="146">
        <f>_xll.qlCalendarAdvance(Calendar,O903,N904,"f",FALSE)</f>
        <v>45481</v>
      </c>
      <c r="P904" s="140">
        <f>_xll.qlInterestRateIndexValueDate(IborIndex,O904)</f>
        <v>45483</v>
      </c>
      <c r="Q904" s="141">
        <v>2.1204910597527001E-2</v>
      </c>
      <c r="R904" s="143">
        <v>2.1187872999748336E-2</v>
      </c>
    </row>
    <row r="905" spans="14:18" x14ac:dyDescent="0.2">
      <c r="N905" s="139" t="str">
        <f t="shared" si="20"/>
        <v>1w</v>
      </c>
      <c r="O905" s="146">
        <f>_xll.qlCalendarAdvance(Calendar,O904,N905,"f",FALSE)</f>
        <v>45488</v>
      </c>
      <c r="P905" s="140">
        <f>_xll.qlInterestRateIndexValueDate(IborIndex,O905)</f>
        <v>45490</v>
      </c>
      <c r="Q905" s="141">
        <v>2.1204066652458019E-2</v>
      </c>
      <c r="R905" s="143">
        <v>2.1186912734494356E-2</v>
      </c>
    </row>
    <row r="906" spans="14:18" x14ac:dyDescent="0.2">
      <c r="N906" s="139" t="str">
        <f t="shared" si="20"/>
        <v>1w</v>
      </c>
      <c r="O906" s="146">
        <f>_xll.qlCalendarAdvance(Calendar,O905,N906,"f",FALSE)</f>
        <v>45495</v>
      </c>
      <c r="P906" s="140">
        <f>_xll.qlInterestRateIndexValueDate(IborIndex,O906)</f>
        <v>45497</v>
      </c>
      <c r="Q906" s="141">
        <v>2.1203286254968361E-2</v>
      </c>
      <c r="R906" s="143">
        <v>2.1186015904710587E-2</v>
      </c>
    </row>
    <row r="907" spans="14:18" x14ac:dyDescent="0.2">
      <c r="N907" s="139" t="str">
        <f t="shared" si="20"/>
        <v>1w</v>
      </c>
      <c r="O907" s="146">
        <f>_xll.qlCalendarAdvance(Calendar,O906,N907,"f",FALSE)</f>
        <v>45502</v>
      </c>
      <c r="P907" s="140">
        <f>_xll.qlInterestRateIndexValueDate(IborIndex,O907)</f>
        <v>45504</v>
      </c>
      <c r="Q907" s="141">
        <v>2.120083563058639E-2</v>
      </c>
      <c r="R907" s="143">
        <v>2.1185182510370382E-2</v>
      </c>
    </row>
    <row r="908" spans="14:18" x14ac:dyDescent="0.2">
      <c r="N908" s="139" t="str">
        <f t="shared" si="20"/>
        <v>1w</v>
      </c>
      <c r="O908" s="146">
        <f>_xll.qlCalendarAdvance(Calendar,O907,N908,"f",FALSE)</f>
        <v>45509</v>
      </c>
      <c r="P908" s="140">
        <f>_xll.qlInterestRateIndexValueDate(IborIndex,O908)</f>
        <v>45511</v>
      </c>
      <c r="Q908" s="141">
        <v>2.1201916102683398E-2</v>
      </c>
      <c r="R908" s="143">
        <v>2.1184412551473741E-2</v>
      </c>
    </row>
    <row r="909" spans="14:18" x14ac:dyDescent="0.2">
      <c r="N909" s="139" t="str">
        <f t="shared" si="20"/>
        <v>1w</v>
      </c>
      <c r="O909" s="146">
        <f>_xll.qlCalendarAdvance(Calendar,O908,N909,"f",FALSE)</f>
        <v>45516</v>
      </c>
      <c r="P909" s="140">
        <f>_xll.qlInterestRateIndexValueDate(IborIndex,O909)</f>
        <v>45518</v>
      </c>
      <c r="Q909" s="141">
        <v>2.1201326347863869E-2</v>
      </c>
      <c r="R909" s="143">
        <v>2.1183706028047311E-2</v>
      </c>
    </row>
    <row r="910" spans="14:18" x14ac:dyDescent="0.2">
      <c r="N910" s="139" t="str">
        <f t="shared" si="20"/>
        <v>1w</v>
      </c>
      <c r="O910" s="146">
        <f>_xll.qlCalendarAdvance(Calendar,O909,N910,"f",FALSE)</f>
        <v>45523</v>
      </c>
      <c r="P910" s="140">
        <f>_xll.qlInterestRateIndexValueDate(IborIndex,O910)</f>
        <v>45525</v>
      </c>
      <c r="Q910" s="141">
        <v>2.1200800140577642E-2</v>
      </c>
      <c r="R910" s="143">
        <v>2.11830629400378E-2</v>
      </c>
    </row>
    <row r="911" spans="14:18" x14ac:dyDescent="0.2">
      <c r="N911" s="139" t="str">
        <f t="shared" si="20"/>
        <v>1w</v>
      </c>
      <c r="O911" s="146">
        <f>_xll.qlCalendarAdvance(Calendar,O910,N911,"f",FALSE)</f>
        <v>45530</v>
      </c>
      <c r="P911" s="140">
        <f>_xll.qlInterestRateIndexValueDate(IborIndex,O911)</f>
        <v>45532</v>
      </c>
      <c r="Q911" s="141">
        <v>2.1200337480817441E-2</v>
      </c>
      <c r="R911" s="143">
        <v>2.1182483287471854E-2</v>
      </c>
    </row>
    <row r="912" spans="14:18" x14ac:dyDescent="0.2">
      <c r="N912" s="139" t="str">
        <f t="shared" si="20"/>
        <v>1w</v>
      </c>
      <c r="O912" s="146">
        <f>_xll.qlCalendarAdvance(Calendar,O911,N912,"f",FALSE)</f>
        <v>45537</v>
      </c>
      <c r="P912" s="140">
        <f>_xll.qlInterestRateIndexValueDate(IborIndex,O912)</f>
        <v>45539</v>
      </c>
      <c r="Q912" s="141">
        <v>2.1198136983842986E-2</v>
      </c>
      <c r="R912" s="143">
        <v>2.1181967070349472E-2</v>
      </c>
    </row>
    <row r="913" spans="14:18" x14ac:dyDescent="0.2">
      <c r="N913" s="139" t="str">
        <f t="shared" si="20"/>
        <v>1w</v>
      </c>
      <c r="O913" s="146">
        <f>_xll.qlCalendarAdvance(Calendar,O912,N913,"f",FALSE)</f>
        <v>45544</v>
      </c>
      <c r="P913" s="140">
        <f>_xll.qlInterestRateIndexValueDate(IborIndex,O913)</f>
        <v>45546</v>
      </c>
      <c r="Q913" s="141">
        <v>2.1197787863411754E-2</v>
      </c>
      <c r="R913" s="143">
        <v>2.1181514288670655E-2</v>
      </c>
    </row>
    <row r="914" spans="14:18" x14ac:dyDescent="0.2">
      <c r="N914" s="139" t="str">
        <f t="shared" si="20"/>
        <v>1w</v>
      </c>
      <c r="O914" s="146">
        <f>_xll.qlCalendarAdvance(Calendar,O913,N914,"f",FALSE)</f>
        <v>45551</v>
      </c>
      <c r="P914" s="140">
        <f>_xll.qlInterestRateIndexValueDate(IborIndex,O914)</f>
        <v>45553</v>
      </c>
      <c r="Q914" s="141">
        <v>2.1197502279268754E-2</v>
      </c>
      <c r="R914" s="143">
        <v>2.1181124942435403E-2</v>
      </c>
    </row>
    <row r="915" spans="14:18" x14ac:dyDescent="0.2">
      <c r="N915" s="139" t="str">
        <f t="shared" si="20"/>
        <v>1w</v>
      </c>
      <c r="O915" s="146">
        <f>_xll.qlCalendarAdvance(Calendar,O914,N915,"f",FALSE)</f>
        <v>45558</v>
      </c>
      <c r="P915" s="140">
        <f>_xll.qlInterestRateIndexValueDate(IborIndex,O915)</f>
        <v>45560</v>
      </c>
      <c r="Q915" s="141">
        <v>2.1197280231408655E-2</v>
      </c>
      <c r="R915" s="143">
        <v>2.118079903161707E-2</v>
      </c>
    </row>
    <row r="916" spans="14:18" x14ac:dyDescent="0.2">
      <c r="N916" s="139" t="str">
        <f t="shared" si="20"/>
        <v>1w</v>
      </c>
      <c r="O916" s="146">
        <f>_xll.qlCalendarAdvance(Calendar,O915,N916,"f",FALSE)</f>
        <v>45565</v>
      </c>
      <c r="P916" s="140">
        <f>_xll.qlInterestRateIndexValueDate(IborIndex,O916)</f>
        <v>45567</v>
      </c>
      <c r="Q916" s="141">
        <v>2.1198977394645269E-2</v>
      </c>
      <c r="R916" s="143">
        <v>2.1180536556268947E-2</v>
      </c>
    </row>
    <row r="917" spans="14:18" x14ac:dyDescent="0.2">
      <c r="N917" s="139" t="str">
        <f t="shared" ref="N917:N980" si="21">N916</f>
        <v>1w</v>
      </c>
      <c r="O917" s="146">
        <f>_xll.qlCalendarAdvance(Calendar,O916,N917,"f",FALSE)</f>
        <v>45572</v>
      </c>
      <c r="P917" s="140">
        <f>_xll.qlInterestRateIndexValueDate(IborIndex,O917)</f>
        <v>45574</v>
      </c>
      <c r="Q917" s="141">
        <v>2.1198896019905596E-2</v>
      </c>
      <c r="R917" s="143">
        <v>2.1180337516337744E-2</v>
      </c>
    </row>
    <row r="918" spans="14:18" x14ac:dyDescent="0.2">
      <c r="N918" s="139" t="str">
        <f t="shared" si="21"/>
        <v>1w</v>
      </c>
      <c r="O918" s="146">
        <f>_xll.qlCalendarAdvance(Calendar,O917,N918,"f",FALSE)</f>
        <v>45579</v>
      </c>
      <c r="P918" s="140">
        <f>_xll.qlInterestRateIndexValueDate(IborIndex,O918)</f>
        <v>45581</v>
      </c>
      <c r="Q918" s="141">
        <v>2.119887819265804E-2</v>
      </c>
      <c r="R918" s="143">
        <v>2.1180201911850105E-2</v>
      </c>
    </row>
    <row r="919" spans="14:18" x14ac:dyDescent="0.2">
      <c r="N919" s="139" t="str">
        <f t="shared" si="21"/>
        <v>1w</v>
      </c>
      <c r="O919" s="146">
        <f>_xll.qlCalendarAdvance(Calendar,O918,N919,"f",FALSE)</f>
        <v>45586</v>
      </c>
      <c r="P919" s="140">
        <f>_xll.qlInterestRateIndexValueDate(IborIndex,O919)</f>
        <v>45588</v>
      </c>
      <c r="Q919" s="141">
        <v>2.1198923912900177E-2</v>
      </c>
      <c r="R919" s="143">
        <v>2.1180129742806031E-2</v>
      </c>
    </row>
    <row r="920" spans="14:18" x14ac:dyDescent="0.2">
      <c r="N920" s="139" t="str">
        <f t="shared" si="21"/>
        <v>1w</v>
      </c>
      <c r="O920" s="146">
        <f>_xll.qlCalendarAdvance(Calendar,O919,N920,"f",FALSE)</f>
        <v>45593</v>
      </c>
      <c r="P920" s="140">
        <f>_xll.qlInterestRateIndexValueDate(IborIndex,O920)</f>
        <v>45595</v>
      </c>
      <c r="Q920" s="141">
        <v>2.1197123036309051E-2</v>
      </c>
      <c r="R920" s="143">
        <v>2.1180121009205521E-2</v>
      </c>
    </row>
    <row r="921" spans="14:18" x14ac:dyDescent="0.2">
      <c r="N921" s="139" t="str">
        <f t="shared" si="21"/>
        <v>1w</v>
      </c>
      <c r="O921" s="146">
        <f>_xll.qlCalendarAdvance(Calendar,O920,N921,"f",FALSE)</f>
        <v>45600</v>
      </c>
      <c r="P921" s="140">
        <f>_xll.qlInterestRateIndexValueDate(IborIndex,O921)</f>
        <v>45602</v>
      </c>
      <c r="Q921" s="141">
        <v>2.1197282206122381E-2</v>
      </c>
      <c r="R921" s="143">
        <v>2.1180175711021931E-2</v>
      </c>
    </row>
    <row r="922" spans="14:18" x14ac:dyDescent="0.2">
      <c r="N922" s="139" t="str">
        <f t="shared" si="21"/>
        <v>1w</v>
      </c>
      <c r="O922" s="146">
        <f>_xll.qlCalendarAdvance(Calendar,O921,N922,"f",FALSE)</f>
        <v>45607</v>
      </c>
      <c r="P922" s="140">
        <f>_xll.qlInterestRateIndexValueDate(IborIndex,O922)</f>
        <v>45609</v>
      </c>
      <c r="Q922" s="141">
        <v>2.1197504912221277E-2</v>
      </c>
      <c r="R922" s="143">
        <v>2.1180293848308551E-2</v>
      </c>
    </row>
    <row r="923" spans="14:18" x14ac:dyDescent="0.2">
      <c r="N923" s="139" t="str">
        <f t="shared" si="21"/>
        <v>1w</v>
      </c>
      <c r="O923" s="146">
        <f>_xll.qlCalendarAdvance(Calendar,O922,N923,"f",FALSE)</f>
        <v>45614</v>
      </c>
      <c r="P923" s="140">
        <f>_xll.qlInterestRateIndexValueDate(IborIndex,O923)</f>
        <v>45616</v>
      </c>
      <c r="Q923" s="141">
        <v>2.1197791154603074E-2</v>
      </c>
      <c r="R923" s="143">
        <v>2.118047542101209E-2</v>
      </c>
    </row>
    <row r="924" spans="14:18" x14ac:dyDescent="0.2">
      <c r="N924" s="139" t="str">
        <f t="shared" si="21"/>
        <v>1w</v>
      </c>
      <c r="O924" s="146">
        <f>_xll.qlCalendarAdvance(Calendar,O923,N924,"f",FALSE)</f>
        <v>45621</v>
      </c>
      <c r="P924" s="140">
        <f>_xll.qlInterestRateIndexValueDate(IborIndex,O924)</f>
        <v>45623</v>
      </c>
      <c r="Q924" s="141">
        <v>2.1198140933275766E-2</v>
      </c>
      <c r="R924" s="143">
        <v>2.1180720429132549E-2</v>
      </c>
    </row>
    <row r="925" spans="14:18" x14ac:dyDescent="0.2">
      <c r="N925" s="139" t="str">
        <f t="shared" si="21"/>
        <v>1w</v>
      </c>
      <c r="O925" s="146">
        <f>_xll.qlCalendarAdvance(Calendar,O924,N925,"f",FALSE)</f>
        <v>45628</v>
      </c>
      <c r="P925" s="140">
        <f>_xll.qlInterestRateIndexValueDate(IborIndex,O925)</f>
        <v>45630</v>
      </c>
      <c r="Q925" s="141">
        <v>2.1201193148307387E-2</v>
      </c>
      <c r="R925" s="143">
        <v>2.1181028872723218E-2</v>
      </c>
    </row>
    <row r="926" spans="14:18" x14ac:dyDescent="0.2">
      <c r="N926" s="139" t="str">
        <f t="shared" si="21"/>
        <v>1w</v>
      </c>
      <c r="O926" s="146">
        <f>_xll.qlCalendarAdvance(Calendar,O925,N926,"f",FALSE)</f>
        <v>45635</v>
      </c>
      <c r="P926" s="140">
        <f>_xll.qlInterestRateIndexValueDate(IborIndex,O926)</f>
        <v>45637</v>
      </c>
      <c r="Q926" s="141">
        <v>2.1201023284570623E-2</v>
      </c>
      <c r="R926" s="143">
        <v>2.1181400751757451E-2</v>
      </c>
    </row>
    <row r="927" spans="14:18" x14ac:dyDescent="0.2">
      <c r="N927" s="139" t="str">
        <f t="shared" si="21"/>
        <v>1w</v>
      </c>
      <c r="O927" s="146">
        <f>_xll.qlCalendarAdvance(Calendar,O926,N927,"f",FALSE)</f>
        <v>45642</v>
      </c>
      <c r="P927" s="140">
        <f>_xll.qlInterestRateIndexValueDate(IborIndex,O927)</f>
        <v>45644</v>
      </c>
      <c r="Q927" s="141">
        <v>2.1201577384868386E-2</v>
      </c>
      <c r="R927" s="143">
        <v>2.1181836066208604E-2</v>
      </c>
    </row>
    <row r="928" spans="14:18" x14ac:dyDescent="0.2">
      <c r="N928" s="139" t="str">
        <f t="shared" si="21"/>
        <v>1w</v>
      </c>
      <c r="O928" s="146">
        <f>_xll.qlCalendarAdvance(Calendar,O927,N928,"f",FALSE)</f>
        <v>45649</v>
      </c>
      <c r="P928" s="140">
        <f>_xll.qlInterestRateIndexValueDate(IborIndex,O928)</f>
        <v>45656</v>
      </c>
      <c r="Q928" s="141">
        <v>2.1201998176325898E-2</v>
      </c>
      <c r="R928" s="143">
        <v>2.1183563156053076E-2</v>
      </c>
    </row>
    <row r="929" spans="14:18" x14ac:dyDescent="0.2">
      <c r="N929" s="139" t="str">
        <f t="shared" si="21"/>
        <v>1w</v>
      </c>
      <c r="O929" s="146">
        <f>_xll.qlCalendarAdvance(Calendar,O928,N929,"f",FALSE)</f>
        <v>45656</v>
      </c>
      <c r="P929" s="140">
        <f>_xll.qlInterestRateIndexValueDate(IborIndex,O929)</f>
        <v>45660</v>
      </c>
      <c r="Q929" s="141">
        <v>2.1201723875282165E-2</v>
      </c>
      <c r="R929" s="143">
        <v>2.1181999950128372E-2</v>
      </c>
    </row>
    <row r="930" spans="14:18" x14ac:dyDescent="0.2">
      <c r="N930" s="139" t="str">
        <f t="shared" si="21"/>
        <v>1w</v>
      </c>
      <c r="O930" s="146">
        <f>_xll.qlCalendarAdvance(Calendar,O929,N930,"f",FALSE)</f>
        <v>45664</v>
      </c>
      <c r="P930" s="140">
        <f>_xll.qlInterestRateIndexValueDate(IborIndex,O930)</f>
        <v>45666</v>
      </c>
      <c r="Q930" s="141">
        <v>2.1203049064092705E-2</v>
      </c>
      <c r="R930" s="143">
        <v>2.1182466186298043E-2</v>
      </c>
    </row>
    <row r="931" spans="14:18" x14ac:dyDescent="0.2">
      <c r="N931" s="139" t="str">
        <f t="shared" si="21"/>
        <v>1w</v>
      </c>
      <c r="O931" s="146">
        <f>_xll.qlCalendarAdvance(Calendar,O930,N931,"f",FALSE)</f>
        <v>45671</v>
      </c>
      <c r="P931" s="140">
        <f>_xll.qlInterestRateIndexValueDate(IborIndex,O931)</f>
        <v>45673</v>
      </c>
      <c r="Q931" s="141">
        <v>2.1203861845897065E-2</v>
      </c>
      <c r="R931" s="143">
        <v>2.1183173283638723E-2</v>
      </c>
    </row>
    <row r="932" spans="14:18" x14ac:dyDescent="0.2">
      <c r="N932" s="139" t="str">
        <f t="shared" si="21"/>
        <v>1w</v>
      </c>
      <c r="O932" s="146">
        <f>_xll.qlCalendarAdvance(Calendar,O931,N932,"f",FALSE)</f>
        <v>45678</v>
      </c>
      <c r="P932" s="140">
        <f>_xll.qlInterestRateIndexValueDate(IborIndex,O932)</f>
        <v>45680</v>
      </c>
      <c r="Q932" s="141">
        <v>2.1204738171551607E-2</v>
      </c>
      <c r="R932" s="143">
        <v>2.1183943809122141E-2</v>
      </c>
    </row>
    <row r="933" spans="14:18" x14ac:dyDescent="0.2">
      <c r="N933" s="139" t="str">
        <f t="shared" si="21"/>
        <v>1w</v>
      </c>
      <c r="O933" s="146">
        <f>_xll.qlCalendarAdvance(Calendar,O932,N933,"f",FALSE)</f>
        <v>45685</v>
      </c>
      <c r="P933" s="140">
        <f>_xll.qlInterestRateIndexValueDate(IborIndex,O933)</f>
        <v>45687</v>
      </c>
      <c r="Q933" s="141">
        <v>2.1203589057587364E-2</v>
      </c>
      <c r="R933" s="143">
        <v>2.1184777762508489E-2</v>
      </c>
    </row>
    <row r="934" spans="14:18" x14ac:dyDescent="0.2">
      <c r="N934" s="139" t="str">
        <f t="shared" si="21"/>
        <v>1w</v>
      </c>
      <c r="O934" s="146">
        <f>_xll.qlCalendarAdvance(Calendar,O933,N934,"f",FALSE)</f>
        <v>45692</v>
      </c>
      <c r="P934" s="140">
        <f>_xll.qlInterestRateIndexValueDate(IborIndex,O934)</f>
        <v>45694</v>
      </c>
      <c r="Q934" s="141">
        <v>2.1203878686168385E-2</v>
      </c>
      <c r="R934" s="143">
        <v>2.1185675143877702E-2</v>
      </c>
    </row>
    <row r="935" spans="14:18" x14ac:dyDescent="0.2">
      <c r="N935" s="139" t="str">
        <f t="shared" si="21"/>
        <v>1w</v>
      </c>
      <c r="O935" s="146">
        <f>_xll.qlCalendarAdvance(Calendar,O934,N935,"f",FALSE)</f>
        <v>45699</v>
      </c>
      <c r="P935" s="140">
        <f>_xll.qlInterestRateIndexValueDate(IborIndex,O935)</f>
        <v>45701</v>
      </c>
      <c r="Q935" s="141">
        <v>2.1204927241188339E-2</v>
      </c>
      <c r="R935" s="143">
        <v>2.1186635953229782E-2</v>
      </c>
    </row>
    <row r="936" spans="14:18" x14ac:dyDescent="0.2">
      <c r="N936" s="139" t="str">
        <f t="shared" si="21"/>
        <v>1w</v>
      </c>
      <c r="O936" s="146">
        <f>_xll.qlCalendarAdvance(Calendar,O935,N936,"f",FALSE)</f>
        <v>45706</v>
      </c>
      <c r="P936" s="140">
        <f>_xll.qlInterestRateIndexValueDate(IborIndex,O936)</f>
        <v>45708</v>
      </c>
      <c r="Q936" s="141">
        <v>2.1206039325147544E-2</v>
      </c>
      <c r="R936" s="143">
        <v>2.1187660190484792E-2</v>
      </c>
    </row>
    <row r="937" spans="14:18" x14ac:dyDescent="0.2">
      <c r="N937" s="139" t="str">
        <f t="shared" si="21"/>
        <v>1w</v>
      </c>
      <c r="O937" s="146">
        <f>_xll.qlCalendarAdvance(Calendar,O936,N937,"f",FALSE)</f>
        <v>45713</v>
      </c>
      <c r="P937" s="140">
        <f>_xll.qlInterestRateIndexValueDate(IborIndex,O937)</f>
        <v>45715</v>
      </c>
      <c r="Q937" s="141">
        <v>2.1207214938060277E-2</v>
      </c>
      <c r="R937" s="143">
        <v>2.1188747855802603E-2</v>
      </c>
    </row>
    <row r="938" spans="14:18" x14ac:dyDescent="0.2">
      <c r="N938" s="139" t="str">
        <f t="shared" si="21"/>
        <v>1w</v>
      </c>
      <c r="O938" s="146">
        <f>_xll.qlCalendarAdvance(Calendar,O937,N938,"f",FALSE)</f>
        <v>45720</v>
      </c>
      <c r="P938" s="140">
        <f>_xll.qlInterestRateIndexValueDate(IborIndex,O938)</f>
        <v>45722</v>
      </c>
      <c r="Q938" s="141">
        <v>2.1211330547191987E-2</v>
      </c>
      <c r="R938" s="143">
        <v>2.1189898949023345E-2</v>
      </c>
    </row>
    <row r="939" spans="14:18" x14ac:dyDescent="0.2">
      <c r="N939" s="139" t="str">
        <f t="shared" si="21"/>
        <v>1w</v>
      </c>
      <c r="O939" s="146">
        <f>_xll.qlCalendarAdvance(Calendar,O938,N939,"f",FALSE)</f>
        <v>45727</v>
      </c>
      <c r="P939" s="140">
        <f>_xll.qlInterestRateIndexValueDate(IborIndex,O939)</f>
        <v>45729</v>
      </c>
      <c r="Q939" s="141">
        <v>2.1212651680257433E-2</v>
      </c>
      <c r="R939" s="143">
        <v>2.1191113470306888E-2</v>
      </c>
    </row>
    <row r="940" spans="14:18" x14ac:dyDescent="0.2">
      <c r="N940" s="139" t="str">
        <f t="shared" si="21"/>
        <v>1w</v>
      </c>
      <c r="O940" s="146">
        <f>_xll.qlCalendarAdvance(Calendar,O939,N940,"f",FALSE)</f>
        <v>45734</v>
      </c>
      <c r="P940" s="140">
        <f>_xll.qlInterestRateIndexValueDate(IborIndex,O940)</f>
        <v>45736</v>
      </c>
      <c r="Q940" s="141">
        <v>2.1214765881558281E-2</v>
      </c>
      <c r="R940" s="143">
        <v>2.1192391419573298E-2</v>
      </c>
    </row>
    <row r="941" spans="14:18" x14ac:dyDescent="0.2">
      <c r="N941" s="139" t="str">
        <f t="shared" si="21"/>
        <v>1w</v>
      </c>
      <c r="O941" s="146">
        <f>_xll.qlCalendarAdvance(Calendar,O940,N941,"f",FALSE)</f>
        <v>45741</v>
      </c>
      <c r="P941" s="140">
        <f>_xll.qlInterestRateIndexValueDate(IborIndex,O941)</f>
        <v>45743</v>
      </c>
      <c r="Q941" s="141">
        <v>2.1215484578403498E-2</v>
      </c>
      <c r="R941" s="143">
        <v>2.1193732796822573E-2</v>
      </c>
    </row>
    <row r="942" spans="14:18" x14ac:dyDescent="0.2">
      <c r="N942" s="139" t="str">
        <f t="shared" si="21"/>
        <v>1w</v>
      </c>
      <c r="O942" s="146">
        <f>_xll.qlCalendarAdvance(Calendar,O941,N942,"f",FALSE)</f>
        <v>45748</v>
      </c>
      <c r="P942" s="140">
        <f>_xll.qlInterestRateIndexValueDate(IborIndex,O942)</f>
        <v>45750</v>
      </c>
      <c r="Q942" s="141">
        <v>2.121699634353158E-2</v>
      </c>
      <c r="R942" s="143">
        <v>2.1195137601974778E-2</v>
      </c>
    </row>
    <row r="943" spans="14:18" x14ac:dyDescent="0.2">
      <c r="N943" s="139" t="str">
        <f t="shared" si="21"/>
        <v>1w</v>
      </c>
      <c r="O943" s="146">
        <f>_xll.qlCalendarAdvance(Calendar,O942,N943,"f",FALSE)</f>
        <v>45755</v>
      </c>
      <c r="P943" s="140">
        <f>_xll.qlInterestRateIndexValueDate(IborIndex,O943)</f>
        <v>45757</v>
      </c>
      <c r="Q943" s="141">
        <v>2.1218571652729667E-2</v>
      </c>
      <c r="R943" s="143">
        <v>2.1196605835189786E-2</v>
      </c>
    </row>
    <row r="944" spans="14:18" x14ac:dyDescent="0.2">
      <c r="N944" s="139" t="str">
        <f t="shared" si="21"/>
        <v>1w</v>
      </c>
      <c r="O944" s="146">
        <f>_xll.qlCalendarAdvance(Calendar,O943,N944,"f",FALSE)</f>
        <v>45762</v>
      </c>
      <c r="P944" s="140">
        <f>_xll.qlInterestRateIndexValueDate(IborIndex,O944)</f>
        <v>45764</v>
      </c>
      <c r="Q944" s="141">
        <v>2.1220210506025239E-2</v>
      </c>
      <c r="R944" s="143">
        <v>2.1198586763890859E-2</v>
      </c>
    </row>
    <row r="945" spans="14:18" x14ac:dyDescent="0.2">
      <c r="N945" s="139" t="str">
        <f t="shared" si="21"/>
        <v>1w</v>
      </c>
      <c r="O945" s="146">
        <f>_xll.qlCalendarAdvance(Calendar,O944,N945,"f",FALSE)</f>
        <v>45769</v>
      </c>
      <c r="P945" s="140">
        <f>_xll.qlInterestRateIndexValueDate(IborIndex,O945)</f>
        <v>45771</v>
      </c>
      <c r="Q945" s="141">
        <v>2.1221913226902034E-2</v>
      </c>
      <c r="R945" s="143">
        <v>2.1199732585568398E-2</v>
      </c>
    </row>
    <row r="946" spans="14:18" x14ac:dyDescent="0.2">
      <c r="N946" s="139" t="str">
        <f t="shared" si="21"/>
        <v>1w</v>
      </c>
      <c r="O946" s="146">
        <f>_xll.qlCalendarAdvance(Calendar,O945,N946,"f",FALSE)</f>
        <v>45776</v>
      </c>
      <c r="P946" s="140">
        <f>_xll.qlInterestRateIndexValueDate(IborIndex,O946)</f>
        <v>45779</v>
      </c>
      <c r="Q946" s="141">
        <v>2.1223181462596885E-2</v>
      </c>
      <c r="R946" s="143">
        <v>2.1201633211465065E-2</v>
      </c>
    </row>
    <row r="947" spans="14:18" x14ac:dyDescent="0.2">
      <c r="N947" s="139" t="str">
        <f t="shared" si="21"/>
        <v>1w</v>
      </c>
      <c r="O947" s="146">
        <f>_xll.qlCalendarAdvance(Calendar,O946,N947,"f",FALSE)</f>
        <v>45783</v>
      </c>
      <c r="P947" s="140">
        <f>_xll.qlInterestRateIndexValueDate(IborIndex,O947)</f>
        <v>45785</v>
      </c>
      <c r="Q947" s="141">
        <v>2.1226280042119038E-2</v>
      </c>
      <c r="R947" s="143">
        <v>2.1203113047798539E-2</v>
      </c>
    </row>
    <row r="948" spans="14:18" x14ac:dyDescent="0.2">
      <c r="N948" s="139" t="str">
        <f t="shared" si="21"/>
        <v>1w</v>
      </c>
      <c r="O948" s="146">
        <f>_xll.qlCalendarAdvance(Calendar,O947,N948,"f",FALSE)</f>
        <v>45790</v>
      </c>
      <c r="P948" s="140">
        <f>_xll.qlInterestRateIndexValueDate(IborIndex,O948)</f>
        <v>45792</v>
      </c>
      <c r="Q948" s="141">
        <v>2.1227422061957657E-2</v>
      </c>
      <c r="R948" s="143">
        <v>2.1204898450983833E-2</v>
      </c>
    </row>
    <row r="949" spans="14:18" x14ac:dyDescent="0.2">
      <c r="N949" s="139" t="str">
        <f t="shared" si="21"/>
        <v>1w</v>
      </c>
      <c r="O949" s="146">
        <f>_xll.qlCalendarAdvance(Calendar,O948,N949,"f",FALSE)</f>
        <v>45797</v>
      </c>
      <c r="P949" s="140">
        <f>_xll.qlInterestRateIndexValueDate(IborIndex,O949)</f>
        <v>45799</v>
      </c>
      <c r="Q949" s="141">
        <v>2.122939834156512E-2</v>
      </c>
      <c r="R949" s="143">
        <v>2.120675231252811E-2</v>
      </c>
    </row>
    <row r="950" spans="14:18" x14ac:dyDescent="0.2">
      <c r="N950" s="139" t="str">
        <f t="shared" si="21"/>
        <v>1w</v>
      </c>
      <c r="O950" s="146">
        <f>_xll.qlCalendarAdvance(Calendar,O949,N950,"f",FALSE)</f>
        <v>45804</v>
      </c>
      <c r="P950" s="140">
        <f>_xll.qlInterestRateIndexValueDate(IborIndex,O950)</f>
        <v>45807</v>
      </c>
      <c r="Q950" s="141">
        <v>2.1230966521511824E-2</v>
      </c>
      <c r="R950" s="143">
        <v>2.1208959522143189E-2</v>
      </c>
    </row>
    <row r="951" spans="14:18" x14ac:dyDescent="0.2">
      <c r="N951" s="139" t="str">
        <f t="shared" si="21"/>
        <v>1w</v>
      </c>
      <c r="O951" s="146">
        <f>_xll.qlCalendarAdvance(Calendar,O950,N951,"f",FALSE)</f>
        <v>45811</v>
      </c>
      <c r="P951" s="140">
        <f>_xll.qlInterestRateIndexValueDate(IborIndex,O951)</f>
        <v>45813</v>
      </c>
      <c r="Q951" s="141">
        <v>2.1233568028828087E-2</v>
      </c>
      <c r="R951" s="143">
        <v>2.121096827746527E-2</v>
      </c>
    </row>
    <row r="952" spans="14:18" x14ac:dyDescent="0.2">
      <c r="N952" s="139" t="str">
        <f t="shared" si="21"/>
        <v>1w</v>
      </c>
      <c r="O952" s="146">
        <f>_xll.qlCalendarAdvance(Calendar,O951,N952,"f",FALSE)</f>
        <v>45818</v>
      </c>
      <c r="P952" s="140">
        <f>_xll.qlInterestRateIndexValueDate(IborIndex,O952)</f>
        <v>45820</v>
      </c>
      <c r="Q952" s="141">
        <v>2.1235761496915251E-2</v>
      </c>
      <c r="R952" s="143">
        <v>2.1212747599674842E-2</v>
      </c>
    </row>
    <row r="953" spans="14:18" x14ac:dyDescent="0.2">
      <c r="N953" s="139" t="str">
        <f t="shared" si="21"/>
        <v>1w</v>
      </c>
      <c r="O953" s="146">
        <f>_xll.qlCalendarAdvance(Calendar,O952,N953,"f",FALSE)</f>
        <v>45825</v>
      </c>
      <c r="P953" s="140">
        <f>_xll.qlInterestRateIndexValueDate(IborIndex,O953)</f>
        <v>45827</v>
      </c>
      <c r="Q953" s="141">
        <v>2.1238027381365321E-2</v>
      </c>
      <c r="R953" s="143">
        <v>2.1215202639366382E-2</v>
      </c>
    </row>
    <row r="954" spans="14:18" x14ac:dyDescent="0.2">
      <c r="N954" s="139" t="str">
        <f t="shared" si="21"/>
        <v>1w</v>
      </c>
      <c r="O954" s="146">
        <f>_xll.qlCalendarAdvance(Calendar,O953,N954,"f",FALSE)</f>
        <v>45832</v>
      </c>
      <c r="P954" s="140">
        <f>_xll.qlInterestRateIndexValueDate(IborIndex,O954)</f>
        <v>45834</v>
      </c>
      <c r="Q954" s="141">
        <v>2.1240365682218265E-2</v>
      </c>
      <c r="R954" s="143">
        <v>2.1217105876534248E-2</v>
      </c>
    </row>
    <row r="955" spans="14:18" x14ac:dyDescent="0.2">
      <c r="N955" s="139" t="str">
        <f t="shared" si="21"/>
        <v>1w</v>
      </c>
      <c r="O955" s="146">
        <f>_xll.qlCalendarAdvance(Calendar,O954,N955,"f",FALSE)</f>
        <v>45839</v>
      </c>
      <c r="P955" s="140">
        <f>_xll.qlInterestRateIndexValueDate(IborIndex,O955)</f>
        <v>45841</v>
      </c>
      <c r="Q955" s="141">
        <v>2.1242776399521546E-2</v>
      </c>
      <c r="R955" s="143">
        <v>2.1219393440592427E-2</v>
      </c>
    </row>
    <row r="956" spans="14:18" x14ac:dyDescent="0.2">
      <c r="N956" s="139" t="str">
        <f t="shared" si="21"/>
        <v>1w</v>
      </c>
      <c r="O956" s="146">
        <f>_xll.qlCalendarAdvance(Calendar,O955,N956,"f",FALSE)</f>
        <v>45846</v>
      </c>
      <c r="P956" s="140">
        <f>_xll.qlInterestRateIndexValueDate(IborIndex,O956)</f>
        <v>45848</v>
      </c>
      <c r="Q956" s="141">
        <v>2.1245259533322625E-2</v>
      </c>
      <c r="R956" s="143">
        <v>2.1221753288429568E-2</v>
      </c>
    </row>
    <row r="957" spans="14:18" x14ac:dyDescent="0.2">
      <c r="N957" s="139" t="str">
        <f t="shared" si="21"/>
        <v>1w</v>
      </c>
      <c r="O957" s="146">
        <f>_xll.qlCalendarAdvance(Calendar,O956,N957,"f",FALSE)</f>
        <v>45853</v>
      </c>
      <c r="P957" s="140">
        <f>_xll.qlInterestRateIndexValueDate(IborIndex,O957)</f>
        <v>45855</v>
      </c>
      <c r="Q957" s="141">
        <v>2.1247815083668964E-2</v>
      </c>
      <c r="R957" s="143">
        <v>2.1224185420045671E-2</v>
      </c>
    </row>
    <row r="958" spans="14:18" x14ac:dyDescent="0.2">
      <c r="N958" s="139" t="str">
        <f t="shared" si="21"/>
        <v>1w</v>
      </c>
      <c r="O958" s="146">
        <f>_xll.qlCalendarAdvance(Calendar,O957,N958,"f",FALSE)</f>
        <v>45860</v>
      </c>
      <c r="P958" s="140">
        <f>_xll.qlInterestRateIndexValueDate(IborIndex,O958)</f>
        <v>45862</v>
      </c>
      <c r="Q958" s="141">
        <v>2.1250443050605528E-2</v>
      </c>
      <c r="R958" s="143">
        <v>2.1226689835360801E-2</v>
      </c>
    </row>
    <row r="959" spans="14:18" x14ac:dyDescent="0.2">
      <c r="N959" s="139" t="str">
        <f t="shared" si="21"/>
        <v>1w</v>
      </c>
      <c r="O959" s="146">
        <f>_xll.qlCalendarAdvance(Calendar,O958,N959,"f",FALSE)</f>
        <v>45867</v>
      </c>
      <c r="P959" s="140">
        <f>_xll.qlInterestRateIndexValueDate(IborIndex,O959)</f>
        <v>45869</v>
      </c>
      <c r="Q959" s="141">
        <v>2.1250666748794809E-2</v>
      </c>
      <c r="R959" s="143">
        <v>2.122926653453483E-2</v>
      </c>
    </row>
    <row r="960" spans="14:18" x14ac:dyDescent="0.2">
      <c r="N960" s="139" t="str">
        <f t="shared" si="21"/>
        <v>1w</v>
      </c>
      <c r="O960" s="146">
        <f>_xll.qlCalendarAdvance(Calendar,O959,N960,"f",FALSE)</f>
        <v>45874</v>
      </c>
      <c r="P960" s="140">
        <f>_xll.qlInterestRateIndexValueDate(IborIndex,O960)</f>
        <v>45876</v>
      </c>
      <c r="Q960" s="141">
        <v>2.1255916234466654E-2</v>
      </c>
      <c r="R960" s="143">
        <v>2.1231915517407884E-2</v>
      </c>
    </row>
    <row r="961" spans="14:18" x14ac:dyDescent="0.2">
      <c r="N961" s="139" t="str">
        <f t="shared" si="21"/>
        <v>1w</v>
      </c>
      <c r="O961" s="146">
        <f>_xll.qlCalendarAdvance(Calendar,O960,N961,"f",FALSE)</f>
        <v>45881</v>
      </c>
      <c r="P961" s="140">
        <f>_xll.qlInterestRateIndexValueDate(IborIndex,O961)</f>
        <v>45883</v>
      </c>
      <c r="Q961" s="141">
        <v>2.1258761451493635E-2</v>
      </c>
      <c r="R961" s="143">
        <v>2.1234636783979965E-2</v>
      </c>
    </row>
    <row r="962" spans="14:18" x14ac:dyDescent="0.2">
      <c r="N962" s="139" t="str">
        <f t="shared" si="21"/>
        <v>1w</v>
      </c>
      <c r="O962" s="146">
        <f>_xll.qlCalendarAdvance(Calendar,O961,N962,"f",FALSE)</f>
        <v>45888</v>
      </c>
      <c r="P962" s="140">
        <f>_xll.qlInterestRateIndexValueDate(IborIndex,O962)</f>
        <v>45890</v>
      </c>
      <c r="Q962" s="141">
        <v>2.1261679085325669E-2</v>
      </c>
      <c r="R962" s="143">
        <v>2.1237430334410945E-2</v>
      </c>
    </row>
    <row r="963" spans="14:18" x14ac:dyDescent="0.2">
      <c r="N963" s="139" t="str">
        <f t="shared" si="21"/>
        <v>1w</v>
      </c>
      <c r="O963" s="146">
        <f>_xll.qlCalendarAdvance(Calendar,O962,N963,"f",FALSE)</f>
        <v>45895</v>
      </c>
      <c r="P963" s="140">
        <f>_xll.qlInterestRateIndexValueDate(IborIndex,O963)</f>
        <v>45897</v>
      </c>
      <c r="Q963" s="141">
        <v>2.1264669136017711E-2</v>
      </c>
      <c r="R963" s="143">
        <v>2.1240296168620887E-2</v>
      </c>
    </row>
    <row r="964" spans="14:18" x14ac:dyDescent="0.2">
      <c r="N964" s="139" t="str">
        <f t="shared" si="21"/>
        <v>1w</v>
      </c>
      <c r="O964" s="146">
        <f>_xll.qlCalendarAdvance(Calendar,O963,N964,"f",FALSE)</f>
        <v>45902</v>
      </c>
      <c r="P964" s="140">
        <f>_xll.qlInterestRateIndexValueDate(IborIndex,O964)</f>
        <v>45904</v>
      </c>
      <c r="Q964" s="141">
        <v>2.1267731603629714E-2</v>
      </c>
      <c r="R964" s="143">
        <v>2.1243234286529855E-2</v>
      </c>
    </row>
    <row r="965" spans="14:18" x14ac:dyDescent="0.2">
      <c r="N965" s="139" t="str">
        <f t="shared" si="21"/>
        <v>1w</v>
      </c>
      <c r="O965" s="146">
        <f>_xll.qlCalendarAdvance(Calendar,O964,N965,"f",FALSE)</f>
        <v>45909</v>
      </c>
      <c r="P965" s="140">
        <f>_xll.qlInterestRateIndexValueDate(IborIndex,O965)</f>
        <v>45911</v>
      </c>
      <c r="Q965" s="141">
        <v>2.1270866488216633E-2</v>
      </c>
      <c r="R965" s="143">
        <v>2.1246244688217786E-2</v>
      </c>
    </row>
    <row r="966" spans="14:18" x14ac:dyDescent="0.2">
      <c r="N966" s="139" t="str">
        <f t="shared" si="21"/>
        <v>1w</v>
      </c>
      <c r="O966" s="146">
        <f>_xll.qlCalendarAdvance(Calendar,O965,N966,"f",FALSE)</f>
        <v>45916</v>
      </c>
      <c r="P966" s="140">
        <f>_xll.qlInterestRateIndexValueDate(IborIndex,O966)</f>
        <v>45918</v>
      </c>
      <c r="Q966" s="141">
        <v>2.1274073789843417E-2</v>
      </c>
      <c r="R966" s="143">
        <v>2.1249327373764615E-2</v>
      </c>
    </row>
    <row r="967" spans="14:18" x14ac:dyDescent="0.2">
      <c r="N967" s="139" t="str">
        <f t="shared" si="21"/>
        <v>1w</v>
      </c>
      <c r="O967" s="146">
        <f>_xll.qlCalendarAdvance(Calendar,O966,N967,"f",FALSE)</f>
        <v>45923</v>
      </c>
      <c r="P967" s="140">
        <f>_xll.qlInterestRateIndexValueDate(IborIndex,O967)</f>
        <v>45925</v>
      </c>
      <c r="Q967" s="141">
        <v>2.127735350856752E-2</v>
      </c>
      <c r="R967" s="143">
        <v>2.1252482343090406E-2</v>
      </c>
    </row>
    <row r="968" spans="14:18" x14ac:dyDescent="0.2">
      <c r="N968" s="139" t="str">
        <f t="shared" si="21"/>
        <v>1w</v>
      </c>
      <c r="O968" s="146">
        <f>_xll.qlCalendarAdvance(Calendar,O967,N968,"f",FALSE)</f>
        <v>45930</v>
      </c>
      <c r="P968" s="140">
        <f>_xll.qlInterestRateIndexValueDate(IborIndex,O968)</f>
        <v>45932</v>
      </c>
      <c r="Q968" s="141">
        <v>2.1280705644456388E-2</v>
      </c>
      <c r="R968" s="143">
        <v>2.1255709596035288E-2</v>
      </c>
    </row>
    <row r="969" spans="14:18" x14ac:dyDescent="0.2">
      <c r="N969" s="139" t="str">
        <f t="shared" si="21"/>
        <v>1w</v>
      </c>
      <c r="O969" s="146">
        <f>_xll.qlCalendarAdvance(Calendar,O968,N969,"f",FALSE)</f>
        <v>45937</v>
      </c>
      <c r="P969" s="140">
        <f>_xll.qlInterestRateIndexValueDate(IborIndex,O969)</f>
        <v>45939</v>
      </c>
      <c r="Q969" s="141">
        <v>2.1284130197572471E-2</v>
      </c>
      <c r="R969" s="143">
        <v>2.1259009132919005E-2</v>
      </c>
    </row>
    <row r="970" spans="14:18" x14ac:dyDescent="0.2">
      <c r="N970" s="139" t="str">
        <f t="shared" si="21"/>
        <v>1w</v>
      </c>
      <c r="O970" s="146">
        <f>_xll.qlCalendarAdvance(Calendar,O969,N970,"f",FALSE)</f>
        <v>45944</v>
      </c>
      <c r="P970" s="140">
        <f>_xll.qlInterestRateIndexValueDate(IborIndex,O970)</f>
        <v>45946</v>
      </c>
      <c r="Q970" s="141">
        <v>2.1287627167983214E-2</v>
      </c>
      <c r="R970" s="143">
        <v>2.1262380953581683E-2</v>
      </c>
    </row>
    <row r="971" spans="14:18" x14ac:dyDescent="0.2">
      <c r="N971" s="139" t="str">
        <f t="shared" si="21"/>
        <v>1w</v>
      </c>
      <c r="O971" s="146">
        <f>_xll.qlCalendarAdvance(Calendar,O970,N971,"f",FALSE)</f>
        <v>45951</v>
      </c>
      <c r="P971" s="140">
        <f>_xll.qlInterestRateIndexValueDate(IborIndex,O971)</f>
        <v>45953</v>
      </c>
      <c r="Q971" s="141">
        <v>2.1291196555753567E-2</v>
      </c>
      <c r="R971" s="143">
        <v>2.1265825057943388E-2</v>
      </c>
    </row>
    <row r="972" spans="14:18" x14ac:dyDescent="0.2">
      <c r="N972" s="139" t="str">
        <f t="shared" si="21"/>
        <v>1w</v>
      </c>
      <c r="O972" s="146">
        <f>_xll.qlCalendarAdvance(Calendar,O971,N972,"f",FALSE)</f>
        <v>45958</v>
      </c>
      <c r="P972" s="140">
        <f>_xll.qlInterestRateIndexValueDate(IborIndex,O972)</f>
        <v>45960</v>
      </c>
      <c r="Q972" s="141">
        <v>2.1292152594033917E-2</v>
      </c>
      <c r="R972" s="143">
        <v>2.1269341446163992E-2</v>
      </c>
    </row>
    <row r="973" spans="14:18" x14ac:dyDescent="0.2">
      <c r="N973" s="139" t="str">
        <f t="shared" si="21"/>
        <v>1w</v>
      </c>
      <c r="O973" s="146">
        <f>_xll.qlCalendarAdvance(Calendar,O972,N973,"f",FALSE)</f>
        <v>45965</v>
      </c>
      <c r="P973" s="140">
        <f>_xll.qlInterestRateIndexValueDate(IborIndex,O973)</f>
        <v>45967</v>
      </c>
      <c r="Q973" s="141">
        <v>2.1298552583650376E-2</v>
      </c>
      <c r="R973" s="143">
        <v>2.1272930118163558E-2</v>
      </c>
    </row>
    <row r="974" spans="14:18" x14ac:dyDescent="0.2">
      <c r="N974" s="139" t="str">
        <f t="shared" si="21"/>
        <v>1w</v>
      </c>
      <c r="O974" s="146">
        <f>_xll.qlCalendarAdvance(Calendar,O973,N974,"f",FALSE)</f>
        <v>45972</v>
      </c>
      <c r="P974" s="140">
        <f>_xll.qlInterestRateIndexValueDate(IborIndex,O974)</f>
        <v>45974</v>
      </c>
      <c r="Q974" s="141">
        <v>2.130233922391922E-2</v>
      </c>
      <c r="R974" s="143">
        <v>2.127659107386215E-2</v>
      </c>
    </row>
    <row r="975" spans="14:18" x14ac:dyDescent="0.2">
      <c r="N975" s="139" t="str">
        <f t="shared" si="21"/>
        <v>1w</v>
      </c>
      <c r="O975" s="146">
        <f>_xll.qlCalendarAdvance(Calendar,O974,N975,"f",FALSE)</f>
        <v>45979</v>
      </c>
      <c r="P975" s="140">
        <f>_xll.qlInterestRateIndexValueDate(IborIndex,O975)</f>
        <v>45981</v>
      </c>
      <c r="Q975" s="141">
        <v>2.1306198281834943E-2</v>
      </c>
      <c r="R975" s="143">
        <v>2.1280324313419641E-2</v>
      </c>
    </row>
    <row r="976" spans="14:18" x14ac:dyDescent="0.2">
      <c r="N976" s="139" t="str">
        <f t="shared" si="21"/>
        <v>1w</v>
      </c>
      <c r="O976" s="146">
        <f>_xll.qlCalendarAdvance(Calendar,O975,N976,"f",FALSE)</f>
        <v>45986</v>
      </c>
      <c r="P976" s="140">
        <f>_xll.qlInterestRateIndexValueDate(IborIndex,O976)</f>
        <v>45988</v>
      </c>
      <c r="Q976" s="141">
        <v>2.1310129757469987E-2</v>
      </c>
      <c r="R976" s="143">
        <v>2.1284129836756094E-2</v>
      </c>
    </row>
    <row r="977" spans="14:18" x14ac:dyDescent="0.2">
      <c r="N977" s="139" t="str">
        <f t="shared" si="21"/>
        <v>1w</v>
      </c>
      <c r="O977" s="146">
        <f>_xll.qlCalendarAdvance(Calendar,O976,N977,"f",FALSE)</f>
        <v>45993</v>
      </c>
      <c r="P977" s="140">
        <f>_xll.qlInterestRateIndexValueDate(IborIndex,O977)</f>
        <v>45995</v>
      </c>
      <c r="Q977" s="141">
        <v>2.1314133650896794E-2</v>
      </c>
      <c r="R977" s="143">
        <v>2.1288007643951445E-2</v>
      </c>
    </row>
    <row r="978" spans="14:18" x14ac:dyDescent="0.2">
      <c r="N978" s="139" t="str">
        <f t="shared" si="21"/>
        <v>1w</v>
      </c>
      <c r="O978" s="146">
        <f>_xll.qlCalendarAdvance(Calendar,O977,N978,"f",FALSE)</f>
        <v>46000</v>
      </c>
      <c r="P978" s="140">
        <f>_xll.qlInterestRateIndexValueDate(IborIndex,O978)</f>
        <v>46002</v>
      </c>
      <c r="Q978" s="141">
        <v>2.1318209962197798E-2</v>
      </c>
      <c r="R978" s="143">
        <v>2.1291957734925759E-2</v>
      </c>
    </row>
    <row r="979" spans="14:18" x14ac:dyDescent="0.2">
      <c r="N979" s="139" t="str">
        <f t="shared" si="21"/>
        <v>1w</v>
      </c>
      <c r="O979" s="146">
        <f>_xll.qlCalendarAdvance(Calendar,O978,N979,"f",FALSE)</f>
        <v>46007</v>
      </c>
      <c r="P979" s="140">
        <f>_xll.qlInterestRateIndexValueDate(IborIndex,O979)</f>
        <v>46009</v>
      </c>
      <c r="Q979" s="141">
        <v>2.1322358691445442E-2</v>
      </c>
      <c r="R979" s="143">
        <v>2.1295980109679036E-2</v>
      </c>
    </row>
    <row r="980" spans="14:18" x14ac:dyDescent="0.2">
      <c r="N980" s="139" t="str">
        <f t="shared" si="21"/>
        <v>1w</v>
      </c>
      <c r="O980" s="146">
        <f>_xll.qlCalendarAdvance(Calendar,O979,N980,"f",FALSE)</f>
        <v>46014</v>
      </c>
      <c r="P980" s="140">
        <f>_xll.qlInterestRateIndexValueDate(IborIndex,O980)</f>
        <v>46021</v>
      </c>
      <c r="Q980" s="141">
        <v>2.1328696345126248E-2</v>
      </c>
      <c r="R980" s="143">
        <v>2.1305172693493191E-2</v>
      </c>
    </row>
    <row r="981" spans="14:18" x14ac:dyDescent="0.2">
      <c r="N981" s="139" t="str">
        <f t="shared" ref="N981:N1044" si="22">N980</f>
        <v>1w</v>
      </c>
      <c r="O981" s="146">
        <f>_xll.qlCalendarAdvance(Calendar,O980,N981,"f",FALSE)</f>
        <v>46021</v>
      </c>
      <c r="P981" s="140">
        <f>_xll.qlInterestRateIndexValueDate(IborIndex,O981)</f>
        <v>46027</v>
      </c>
      <c r="Q981" s="141">
        <v>2.1332411794207549E-2</v>
      </c>
      <c r="R981" s="143">
        <v>2.1306049670704041E-2</v>
      </c>
    </row>
    <row r="982" spans="14:18" x14ac:dyDescent="0.2">
      <c r="N982" s="139" t="str">
        <f t="shared" si="22"/>
        <v>1w</v>
      </c>
      <c r="O982" s="146">
        <f>_xll.qlCalendarAdvance(Calendar,O981,N982,"f",FALSE)</f>
        <v>46029</v>
      </c>
      <c r="P982" s="140">
        <f>_xll.qlInterestRateIndexValueDate(IborIndex,O982)</f>
        <v>46031</v>
      </c>
      <c r="Q982" s="141">
        <v>2.1334918316951751E-2</v>
      </c>
      <c r="R982" s="143">
        <v>2.130909244121959E-2</v>
      </c>
    </row>
    <row r="983" spans="14:18" x14ac:dyDescent="0.2">
      <c r="N983" s="139" t="str">
        <f t="shared" si="22"/>
        <v>1w</v>
      </c>
      <c r="O983" s="146">
        <f>_xll.qlCalendarAdvance(Calendar,O982,N983,"f",FALSE)</f>
        <v>46036</v>
      </c>
      <c r="P983" s="140">
        <f>_xll.qlInterestRateIndexValueDate(IborIndex,O983)</f>
        <v>46038</v>
      </c>
      <c r="Q983" s="141">
        <v>2.1339361628430503E-2</v>
      </c>
      <c r="R983" s="143">
        <v>2.1313414277468468E-2</v>
      </c>
    </row>
    <row r="984" spans="14:18" x14ac:dyDescent="0.2">
      <c r="N984" s="139" t="str">
        <f t="shared" si="22"/>
        <v>1w</v>
      </c>
      <c r="O984" s="146">
        <f>_xll.qlCalendarAdvance(Calendar,O983,N984,"f",FALSE)</f>
        <v>46043</v>
      </c>
      <c r="P984" s="140">
        <f>_xll.qlInterestRateIndexValueDate(IborIndex,O984)</f>
        <v>46045</v>
      </c>
      <c r="Q984" s="141">
        <v>2.1343877353937578E-2</v>
      </c>
      <c r="R984" s="143">
        <v>2.1317808397576243E-2</v>
      </c>
    </row>
    <row r="985" spans="14:18" x14ac:dyDescent="0.2">
      <c r="N985" s="139" t="str">
        <f t="shared" si="22"/>
        <v>1w</v>
      </c>
      <c r="O985" s="146">
        <f>_xll.qlCalendarAdvance(Calendar,O984,N985,"f",FALSE)</f>
        <v>46050</v>
      </c>
      <c r="P985" s="140">
        <f>_xll.qlInterestRateIndexValueDate(IborIndex,O985)</f>
        <v>46052</v>
      </c>
      <c r="Q985" s="141">
        <v>2.1345567791274229E-2</v>
      </c>
      <c r="R985" s="143">
        <v>2.1322274801462981E-2</v>
      </c>
    </row>
    <row r="986" spans="14:18" x14ac:dyDescent="0.2">
      <c r="N986" s="139" t="str">
        <f t="shared" si="22"/>
        <v>1w</v>
      </c>
      <c r="O986" s="146">
        <f>_xll.qlCalendarAdvance(Calendar,O985,N986,"f",FALSE)</f>
        <v>46057</v>
      </c>
      <c r="P986" s="140">
        <f>_xll.qlInterestRateIndexValueDate(IborIndex,O986)</f>
        <v>46059</v>
      </c>
      <c r="Q986" s="141">
        <v>2.1350212002155811E-2</v>
      </c>
      <c r="R986" s="143">
        <v>2.1326813489128682E-2</v>
      </c>
    </row>
    <row r="987" spans="14:18" x14ac:dyDescent="0.2">
      <c r="N987" s="139" t="str">
        <f t="shared" si="22"/>
        <v>1w</v>
      </c>
      <c r="O987" s="146">
        <f>_xll.qlCalendarAdvance(Calendar,O986,N987,"f",FALSE)</f>
        <v>46064</v>
      </c>
      <c r="P987" s="140">
        <f>_xll.qlInterestRateIndexValueDate(IborIndex,O987)</f>
        <v>46066</v>
      </c>
      <c r="Q987" s="141">
        <v>2.1354928614250986E-2</v>
      </c>
      <c r="R987" s="143">
        <v>2.1331424460733217E-2</v>
      </c>
    </row>
    <row r="988" spans="14:18" x14ac:dyDescent="0.2">
      <c r="N988" s="139" t="str">
        <f t="shared" si="22"/>
        <v>1w</v>
      </c>
      <c r="O988" s="146">
        <f>_xll.qlCalendarAdvance(Calendar,O987,N988,"f",FALSE)</f>
        <v>46071</v>
      </c>
      <c r="P988" s="140">
        <f>_xll.qlInterestRateIndexValueDate(IborIndex,O988)</f>
        <v>46073</v>
      </c>
      <c r="Q988" s="141">
        <v>2.1359717627631128E-2</v>
      </c>
      <c r="R988" s="143">
        <v>2.1336107716036778E-2</v>
      </c>
    </row>
    <row r="989" spans="14:18" x14ac:dyDescent="0.2">
      <c r="N989" s="139" t="str">
        <f t="shared" si="22"/>
        <v>1w</v>
      </c>
      <c r="O989" s="146">
        <f>_xll.qlCalendarAdvance(Calendar,O988,N989,"f",FALSE)</f>
        <v>46078</v>
      </c>
      <c r="P989" s="140">
        <f>_xll.qlInterestRateIndexValueDate(IborIndex,O989)</f>
        <v>46080</v>
      </c>
      <c r="Q989" s="141">
        <v>2.1368531031719096E-2</v>
      </c>
      <c r="R989" s="143">
        <v>2.1340863255279174E-2</v>
      </c>
    </row>
    <row r="990" spans="14:18" x14ac:dyDescent="0.2">
      <c r="N990" s="139" t="str">
        <f t="shared" si="22"/>
        <v>1w</v>
      </c>
      <c r="O990" s="146">
        <f>_xll.qlCalendarAdvance(Calendar,O989,N990,"f",FALSE)</f>
        <v>46085</v>
      </c>
      <c r="P990" s="140">
        <f>_xll.qlInterestRateIndexValueDate(IborIndex,O990)</f>
        <v>46087</v>
      </c>
      <c r="Q990" s="141">
        <v>2.1373486709574674E-2</v>
      </c>
      <c r="R990" s="143">
        <v>2.1345691078220597E-2</v>
      </c>
    </row>
    <row r="991" spans="14:18" x14ac:dyDescent="0.2">
      <c r="N991" s="139" t="str">
        <f t="shared" si="22"/>
        <v>1w</v>
      </c>
      <c r="O991" s="146">
        <f>_xll.qlCalendarAdvance(Calendar,O990,N991,"f",FALSE)</f>
        <v>46092</v>
      </c>
      <c r="P991" s="140">
        <f>_xll.qlInterestRateIndexValueDate(IborIndex,O991)</f>
        <v>46094</v>
      </c>
      <c r="Q991" s="141">
        <v>2.1377515032456312E-2</v>
      </c>
      <c r="R991" s="143">
        <v>2.1350591185020917E-2</v>
      </c>
    </row>
    <row r="992" spans="14:18" x14ac:dyDescent="0.2">
      <c r="N992" s="139" t="str">
        <f t="shared" si="22"/>
        <v>1w</v>
      </c>
      <c r="O992" s="146">
        <f>_xll.qlCalendarAdvance(Calendar,O991,N992,"f",FALSE)</f>
        <v>46099</v>
      </c>
      <c r="P992" s="140">
        <f>_xll.qlInterestRateIndexValueDate(IborIndex,O992)</f>
        <v>46101</v>
      </c>
      <c r="Q992" s="141">
        <v>2.1382610073317782E-2</v>
      </c>
      <c r="R992" s="143">
        <v>2.1355563575760073E-2</v>
      </c>
    </row>
    <row r="993" spans="14:18" x14ac:dyDescent="0.2">
      <c r="N993" s="139" t="str">
        <f t="shared" si="22"/>
        <v>1w</v>
      </c>
      <c r="O993" s="146">
        <f>_xll.qlCalendarAdvance(Calendar,O992,N993,"f",FALSE)</f>
        <v>46106</v>
      </c>
      <c r="P993" s="140">
        <f>_xll.qlInterestRateIndexValueDate(IborIndex,O993)</f>
        <v>46108</v>
      </c>
      <c r="Q993" s="141">
        <v>2.1387777529014673E-2</v>
      </c>
      <c r="R993" s="143">
        <v>2.136060825027819E-2</v>
      </c>
    </row>
    <row r="994" spans="14:18" x14ac:dyDescent="0.2">
      <c r="N994" s="139" t="str">
        <f t="shared" si="22"/>
        <v>1w</v>
      </c>
      <c r="O994" s="146">
        <f>_xll.qlCalendarAdvance(Calendar,O993,N994,"f",FALSE)</f>
        <v>46113</v>
      </c>
      <c r="P994" s="140">
        <f>_xll.qlInterestRateIndexValueDate(IborIndex,O994)</f>
        <v>46119</v>
      </c>
      <c r="Q994" s="141">
        <v>2.1395025339531415E-2</v>
      </c>
      <c r="R994" s="143">
        <v>2.13672004733656E-2</v>
      </c>
    </row>
    <row r="995" spans="14:18" x14ac:dyDescent="0.2">
      <c r="N995" s="139" t="str">
        <f t="shared" si="22"/>
        <v>1w</v>
      </c>
      <c r="O995" s="146">
        <f>_xll.qlCalendarAdvance(Calendar,O994,N995,"f",FALSE)</f>
        <v>46120</v>
      </c>
      <c r="P995" s="140">
        <f>_xll.qlInterestRateIndexValueDate(IborIndex,O995)</f>
        <v>46122</v>
      </c>
      <c r="Q995" s="141">
        <v>2.139832968529376E-2</v>
      </c>
      <c r="R995" s="143">
        <v>2.1370914450891121E-2</v>
      </c>
    </row>
    <row r="996" spans="14:18" x14ac:dyDescent="0.2">
      <c r="N996" s="139" t="str">
        <f t="shared" si="22"/>
        <v>1w</v>
      </c>
      <c r="O996" s="146">
        <f>_xll.qlCalendarAdvance(Calendar,O995,N996,"f",FALSE)</f>
        <v>46127</v>
      </c>
      <c r="P996" s="140">
        <f>_xll.qlInterestRateIndexValueDate(IborIndex,O996)</f>
        <v>46129</v>
      </c>
      <c r="Q996" s="141">
        <v>2.1403714386074506E-2</v>
      </c>
      <c r="R996" s="143">
        <v>2.1376175976985934E-2</v>
      </c>
    </row>
    <row r="997" spans="14:18" x14ac:dyDescent="0.2">
      <c r="N997" s="139" t="str">
        <f t="shared" si="22"/>
        <v>1w</v>
      </c>
      <c r="O997" s="146">
        <f>_xll.qlCalendarAdvance(Calendar,O996,N997,"f",FALSE)</f>
        <v>46134</v>
      </c>
      <c r="P997" s="140">
        <f>_xll.qlInterestRateIndexValueDate(IborIndex,O997)</f>
        <v>46136</v>
      </c>
      <c r="Q997" s="141">
        <v>2.1410204192508775E-2</v>
      </c>
      <c r="R997" s="143">
        <v>2.1381509786939645E-2</v>
      </c>
    </row>
    <row r="998" spans="14:18" x14ac:dyDescent="0.2">
      <c r="N998" s="139" t="str">
        <f t="shared" si="22"/>
        <v>1w</v>
      </c>
      <c r="O998" s="146">
        <f>_xll.qlCalendarAdvance(Calendar,O997,N998,"f",FALSE)</f>
        <v>46141</v>
      </c>
      <c r="P998" s="140">
        <f>_xll.qlInterestRateIndexValueDate(IborIndex,O998)</f>
        <v>46146</v>
      </c>
      <c r="Q998" s="141">
        <v>2.141709300054883E-2</v>
      </c>
      <c r="R998" s="143">
        <v>2.13876940804969E-2</v>
      </c>
    </row>
    <row r="999" spans="14:18" x14ac:dyDescent="0.2">
      <c r="N999" s="139" t="str">
        <f t="shared" si="22"/>
        <v>1w</v>
      </c>
      <c r="O999" s="146">
        <f>_xll.qlCalendarAdvance(Calendar,O998,N999,"f",FALSE)</f>
        <v>46148</v>
      </c>
      <c r="P999" s="140">
        <f>_xll.qlInterestRateIndexValueDate(IborIndex,O999)</f>
        <v>46150</v>
      </c>
      <c r="Q999" s="141">
        <v>2.1420302980188346E-2</v>
      </c>
      <c r="R999" s="143">
        <v>2.1392394258343828E-2</v>
      </c>
    </row>
    <row r="1000" spans="14:18" x14ac:dyDescent="0.2">
      <c r="N1000" s="139" t="str">
        <f t="shared" si="22"/>
        <v>1w</v>
      </c>
      <c r="O1000" s="146">
        <f>_xll.qlCalendarAdvance(Calendar,O999,N1000,"f",FALSE)</f>
        <v>46155</v>
      </c>
      <c r="P1000" s="140">
        <f>_xll.qlInterestRateIndexValueDate(IborIndex,O1000)</f>
        <v>46160</v>
      </c>
      <c r="Q1000" s="141">
        <v>2.1428431380105369E-2</v>
      </c>
      <c r="R1000" s="143">
        <v>2.1398743772218509E-2</v>
      </c>
    </row>
    <row r="1001" spans="14:18" x14ac:dyDescent="0.2">
      <c r="N1001" s="139" t="str">
        <f t="shared" si="22"/>
        <v>1w</v>
      </c>
      <c r="O1001" s="146">
        <f>_xll.qlCalendarAdvance(Calendar,O1000,N1001,"f",FALSE)</f>
        <v>46162</v>
      </c>
      <c r="P1001" s="140">
        <f>_xll.qlInterestRateIndexValueDate(IborIndex,O1001)</f>
        <v>46164</v>
      </c>
      <c r="Q1001" s="141">
        <v>2.1431724120446399E-2</v>
      </c>
      <c r="R1001" s="143">
        <v>2.1404377043827694E-2</v>
      </c>
    </row>
    <row r="1002" spans="14:18" x14ac:dyDescent="0.2">
      <c r="N1002" s="139" t="str">
        <f t="shared" si="22"/>
        <v>1w</v>
      </c>
      <c r="O1002" s="146">
        <f>_xll.qlCalendarAdvance(Calendar,O1001,N1002,"f",FALSE)</f>
        <v>46169</v>
      </c>
      <c r="P1002" s="140">
        <f>_xll.qlInterestRateIndexValueDate(IborIndex,O1002)</f>
        <v>46171</v>
      </c>
      <c r="Q1002" s="141">
        <v>2.1438603555749836E-2</v>
      </c>
      <c r="R1002" s="143">
        <v>2.1409263094431807E-2</v>
      </c>
    </row>
    <row r="1003" spans="14:18" x14ac:dyDescent="0.2">
      <c r="N1003" s="139" t="str">
        <f t="shared" si="22"/>
        <v>1w</v>
      </c>
      <c r="O1003" s="146">
        <f>_xll.qlCalendarAdvance(Calendar,O1002,N1003,"f",FALSE)</f>
        <v>46176</v>
      </c>
      <c r="P1003" s="140">
        <f>_xll.qlInterestRateIndexValueDate(IborIndex,O1003)</f>
        <v>46178</v>
      </c>
      <c r="Q1003" s="141">
        <v>2.1443434923710293E-2</v>
      </c>
      <c r="R1003" s="143">
        <v>2.141503060753891E-2</v>
      </c>
    </row>
    <row r="1004" spans="14:18" x14ac:dyDescent="0.2">
      <c r="N1004" s="139" t="str">
        <f t="shared" si="22"/>
        <v>1w</v>
      </c>
      <c r="O1004" s="146">
        <f>_xll.qlCalendarAdvance(Calendar,O1003,N1004,"f",FALSE)</f>
        <v>46183</v>
      </c>
      <c r="P1004" s="140">
        <f>_xll.qlInterestRateIndexValueDate(IborIndex,O1004)</f>
        <v>46185</v>
      </c>
      <c r="Q1004" s="141">
        <v>2.1449398949239216E-2</v>
      </c>
      <c r="R1004" s="143">
        <v>2.142087040450491E-2</v>
      </c>
    </row>
    <row r="1005" spans="14:18" x14ac:dyDescent="0.2">
      <c r="N1005" s="139" t="str">
        <f t="shared" si="22"/>
        <v>1w</v>
      </c>
      <c r="O1005" s="146">
        <f>_xll.qlCalendarAdvance(Calendar,O1004,N1005,"f",FALSE)</f>
        <v>46190</v>
      </c>
      <c r="P1005" s="140">
        <f>_xll.qlInterestRateIndexValueDate(IborIndex,O1005)</f>
        <v>46195</v>
      </c>
      <c r="Q1005" s="141">
        <v>2.1456965978296161E-2</v>
      </c>
      <c r="R1005" s="143">
        <v>2.142763296917316E-2</v>
      </c>
    </row>
    <row r="1006" spans="14:18" x14ac:dyDescent="0.2">
      <c r="N1006" s="139" t="str">
        <f t="shared" si="22"/>
        <v>1w</v>
      </c>
      <c r="O1006" s="146">
        <f>_xll.qlCalendarAdvance(Calendar,O1005,N1006,"f",FALSE)</f>
        <v>46197</v>
      </c>
      <c r="P1006" s="140">
        <f>_xll.qlInterestRateIndexValueDate(IborIndex,O1006)</f>
        <v>46199</v>
      </c>
      <c r="Q1006" s="141">
        <v>2.1461544248653135E-2</v>
      </c>
      <c r="R1006" s="143">
        <v>2.1432766850173479E-2</v>
      </c>
    </row>
    <row r="1007" spans="14:18" x14ac:dyDescent="0.2">
      <c r="N1007" s="139" t="str">
        <f t="shared" si="22"/>
        <v>1w</v>
      </c>
      <c r="O1007" s="146">
        <f>_xll.qlCalendarAdvance(Calendar,O1006,N1007,"f",FALSE)</f>
        <v>46204</v>
      </c>
      <c r="P1007" s="140">
        <f>_xll.qlInterestRateIndexValueDate(IborIndex,O1007)</f>
        <v>46206</v>
      </c>
      <c r="Q1007" s="141">
        <v>2.1467725522765053E-2</v>
      </c>
      <c r="R1007" s="143">
        <v>2.1438823498796111E-2</v>
      </c>
    </row>
    <row r="1008" spans="14:18" x14ac:dyDescent="0.2">
      <c r="N1008" s="139" t="str">
        <f t="shared" si="22"/>
        <v>1w</v>
      </c>
      <c r="O1008" s="146">
        <f>_xll.qlCalendarAdvance(Calendar,O1007,N1008,"f",FALSE)</f>
        <v>46211</v>
      </c>
      <c r="P1008" s="140">
        <f>_xll.qlInterestRateIndexValueDate(IborIndex,O1008)</f>
        <v>46213</v>
      </c>
      <c r="Q1008" s="141">
        <v>2.1473979213295635E-2</v>
      </c>
      <c r="R1008" s="143">
        <v>2.1444952431277642E-2</v>
      </c>
    </row>
    <row r="1009" spans="14:18" x14ac:dyDescent="0.2">
      <c r="N1009" s="139" t="str">
        <f t="shared" si="22"/>
        <v>1w</v>
      </c>
      <c r="O1009" s="146">
        <f>_xll.qlCalendarAdvance(Calendar,O1008,N1009,"f",FALSE)</f>
        <v>46218</v>
      </c>
      <c r="P1009" s="140">
        <f>_xll.qlInterestRateIndexValueDate(IborIndex,O1009)</f>
        <v>46220</v>
      </c>
      <c r="Q1009" s="141">
        <v>2.148030532036866E-2</v>
      </c>
      <c r="R1009" s="143">
        <v>2.1451153647777943E-2</v>
      </c>
    </row>
    <row r="1010" spans="14:18" x14ac:dyDescent="0.2">
      <c r="N1010" s="139" t="str">
        <f t="shared" si="22"/>
        <v>1w</v>
      </c>
      <c r="O1010" s="146">
        <f>_xll.qlCalendarAdvance(Calendar,O1009,N1010,"f",FALSE)</f>
        <v>46225</v>
      </c>
      <c r="P1010" s="140">
        <f>_xll.qlInterestRateIndexValueDate(IborIndex,O1010)</f>
        <v>46227</v>
      </c>
      <c r="Q1010" s="141">
        <v>2.1486703844100157E-2</v>
      </c>
      <c r="R1010" s="143">
        <v>2.1457427148137143E-2</v>
      </c>
    </row>
    <row r="1011" spans="14:18" x14ac:dyDescent="0.2">
      <c r="N1011" s="139" t="str">
        <f t="shared" si="22"/>
        <v>1w</v>
      </c>
      <c r="O1011" s="146">
        <f>_xll.qlCalendarAdvance(Calendar,O1010,N1011,"f",FALSE)</f>
        <v>46232</v>
      </c>
      <c r="P1011" s="140">
        <f>_xll.qlInterestRateIndexValueDate(IborIndex,O1011)</f>
        <v>46234</v>
      </c>
      <c r="Q1011" s="141">
        <v>2.149317478460875E-2</v>
      </c>
      <c r="R1011" s="143">
        <v>2.1463772932275305E-2</v>
      </c>
    </row>
    <row r="1012" spans="14:18" x14ac:dyDescent="0.2">
      <c r="N1012" s="139" t="str">
        <f t="shared" si="22"/>
        <v>1w</v>
      </c>
      <c r="O1012" s="146">
        <f>_xll.qlCalendarAdvance(Calendar,O1011,N1012,"f",FALSE)</f>
        <v>46239</v>
      </c>
      <c r="P1012" s="140">
        <f>_xll.qlInterestRateIndexValueDate(IborIndex,O1012)</f>
        <v>46241</v>
      </c>
      <c r="Q1012" s="141">
        <v>2.1499718142015626E-2</v>
      </c>
      <c r="R1012" s="143">
        <v>2.1470191000432237E-2</v>
      </c>
    </row>
    <row r="1013" spans="14:18" x14ac:dyDescent="0.2">
      <c r="N1013" s="139" t="str">
        <f t="shared" si="22"/>
        <v>1w</v>
      </c>
      <c r="O1013" s="146">
        <f>_xll.qlCalendarAdvance(Calendar,O1012,N1013,"f",FALSE)</f>
        <v>46246</v>
      </c>
      <c r="P1013" s="140">
        <f>_xll.qlInterestRateIndexValueDate(IborIndex,O1013)</f>
        <v>46248</v>
      </c>
      <c r="Q1013" s="141">
        <v>2.1506333916441977E-2</v>
      </c>
      <c r="R1013" s="143">
        <v>2.1476681352448068E-2</v>
      </c>
    </row>
    <row r="1014" spans="14:18" x14ac:dyDescent="0.2">
      <c r="N1014" s="139" t="str">
        <f t="shared" si="22"/>
        <v>1w</v>
      </c>
      <c r="O1014" s="146">
        <f>_xll.qlCalendarAdvance(Calendar,O1013,N1014,"f",FALSE)</f>
        <v>46253</v>
      </c>
      <c r="P1014" s="140">
        <f>_xll.qlInterestRateIndexValueDate(IborIndex,O1014)</f>
        <v>46255</v>
      </c>
      <c r="Q1014" s="141">
        <v>2.1513022108011579E-2</v>
      </c>
      <c r="R1014" s="143">
        <v>2.148324398848267E-2</v>
      </c>
    </row>
    <row r="1015" spans="14:18" x14ac:dyDescent="0.2">
      <c r="N1015" s="139" t="str">
        <f t="shared" si="22"/>
        <v>1w</v>
      </c>
      <c r="O1015" s="146">
        <f>_xll.qlCalendarAdvance(Calendar,O1014,N1015,"f",FALSE)</f>
        <v>46260</v>
      </c>
      <c r="P1015" s="140">
        <f>_xll.qlInterestRateIndexValueDate(IborIndex,O1015)</f>
        <v>46262</v>
      </c>
      <c r="Q1015" s="141">
        <v>2.1519782716850781E-2</v>
      </c>
      <c r="R1015" s="143">
        <v>2.148987890837617E-2</v>
      </c>
    </row>
    <row r="1016" spans="14:18" x14ac:dyDescent="0.2">
      <c r="N1016" s="139" t="str">
        <f t="shared" si="22"/>
        <v>1w</v>
      </c>
      <c r="O1016" s="146">
        <f>_xll.qlCalendarAdvance(Calendar,O1015,N1016,"f",FALSE)</f>
        <v>46267</v>
      </c>
      <c r="P1016" s="140">
        <f>_xll.qlInterestRateIndexValueDate(IborIndex,O1016)</f>
        <v>46269</v>
      </c>
      <c r="Q1016" s="141">
        <v>2.1526615743083358E-2</v>
      </c>
      <c r="R1016" s="143">
        <v>2.1496586112128568E-2</v>
      </c>
    </row>
    <row r="1017" spans="14:18" x14ac:dyDescent="0.2">
      <c r="N1017" s="139" t="str">
        <f t="shared" si="22"/>
        <v>1w</v>
      </c>
      <c r="O1017" s="146">
        <f>_xll.qlCalendarAdvance(Calendar,O1016,N1017,"f",FALSE)</f>
        <v>46274</v>
      </c>
      <c r="P1017" s="140">
        <f>_xll.qlInterestRateIndexValueDate(IborIndex,O1017)</f>
        <v>46276</v>
      </c>
      <c r="Q1017" s="141">
        <v>2.1533521186840814E-2</v>
      </c>
      <c r="R1017" s="143">
        <v>2.1503365599819801E-2</v>
      </c>
    </row>
    <row r="1018" spans="14:18" x14ac:dyDescent="0.2">
      <c r="N1018" s="139" t="str">
        <f t="shared" si="22"/>
        <v>1w</v>
      </c>
      <c r="O1018" s="146">
        <f>_xll.qlCalendarAdvance(Calendar,O1017,N1018,"f",FALSE)</f>
        <v>46281</v>
      </c>
      <c r="P1018" s="140">
        <f>_xll.qlInterestRateIndexValueDate(IborIndex,O1018)</f>
        <v>46283</v>
      </c>
      <c r="Q1018" s="141">
        <v>2.1540499048246921E-2</v>
      </c>
      <c r="R1018" s="143">
        <v>2.1510217371529805E-2</v>
      </c>
    </row>
    <row r="1019" spans="14:18" x14ac:dyDescent="0.2">
      <c r="N1019" s="139" t="str">
        <f t="shared" si="22"/>
        <v>1w</v>
      </c>
      <c r="O1019" s="146">
        <f>_xll.qlCalendarAdvance(Calendar,O1018,N1019,"f",FALSE)</f>
        <v>46288</v>
      </c>
      <c r="P1019" s="140">
        <f>_xll.qlInterestRateIndexValueDate(IborIndex,O1019)</f>
        <v>46290</v>
      </c>
      <c r="Q1019" s="141">
        <v>2.1547549327435765E-2</v>
      </c>
      <c r="R1019" s="143">
        <v>2.1517141427018771E-2</v>
      </c>
    </row>
    <row r="1020" spans="14:18" x14ac:dyDescent="0.2">
      <c r="N1020" s="139" t="str">
        <f t="shared" si="22"/>
        <v>1w</v>
      </c>
      <c r="O1020" s="146">
        <f>_xll.qlCalendarAdvance(Calendar,O1019,N1020,"f",FALSE)</f>
        <v>46295</v>
      </c>
      <c r="P1020" s="140">
        <f>_xll.qlInterestRateIndexValueDate(IborIndex,O1020)</f>
        <v>46297</v>
      </c>
      <c r="Q1020" s="141">
        <v>2.155467202453628E-2</v>
      </c>
      <c r="R1020" s="143">
        <v>2.1524137766606444E-2</v>
      </c>
    </row>
    <row r="1021" spans="14:18" x14ac:dyDescent="0.2">
      <c r="N1021" s="139" t="str">
        <f t="shared" si="22"/>
        <v>1w</v>
      </c>
      <c r="O1021" s="146">
        <f>_xll.qlCalendarAdvance(Calendar,O1020,N1021,"f",FALSE)</f>
        <v>46302</v>
      </c>
      <c r="P1021" s="140">
        <f>_xll.qlInterestRateIndexValueDate(IborIndex,O1021)</f>
        <v>46304</v>
      </c>
      <c r="Q1021" s="141">
        <v>2.1561867139685123E-2</v>
      </c>
      <c r="R1021" s="143">
        <v>2.1531206390053015E-2</v>
      </c>
    </row>
    <row r="1022" spans="14:18" x14ac:dyDescent="0.2">
      <c r="N1022" s="139" t="str">
        <f t="shared" si="22"/>
        <v>1w</v>
      </c>
      <c r="O1022" s="146">
        <f>_xll.qlCalendarAdvance(Calendar,O1021,N1022,"f",FALSE)</f>
        <v>46309</v>
      </c>
      <c r="P1022" s="140">
        <f>_xll.qlInterestRateIndexValueDate(IborIndex,O1022)</f>
        <v>46311</v>
      </c>
      <c r="Q1022" s="141">
        <v>2.1569134673013808E-2</v>
      </c>
      <c r="R1022" s="143">
        <v>2.1538347297518357E-2</v>
      </c>
    </row>
    <row r="1023" spans="14:18" x14ac:dyDescent="0.2">
      <c r="N1023" s="139" t="str">
        <f t="shared" si="22"/>
        <v>1w</v>
      </c>
      <c r="O1023" s="146">
        <f>_xll.qlCalendarAdvance(Calendar,O1022,N1023,"f",FALSE)</f>
        <v>46316</v>
      </c>
      <c r="P1023" s="140">
        <f>_xll.qlInterestRateIndexValueDate(IborIndex,O1023)</f>
        <v>46318</v>
      </c>
      <c r="Q1023" s="141">
        <v>2.1576474624658996E-2</v>
      </c>
      <c r="R1023" s="143">
        <v>2.1545560488842597E-2</v>
      </c>
    </row>
    <row r="1024" spans="14:18" x14ac:dyDescent="0.2">
      <c r="N1024" s="139" t="str">
        <f t="shared" si="22"/>
        <v>1w</v>
      </c>
      <c r="O1024" s="146">
        <f>_xll.qlCalendarAdvance(Calendar,O1023,N1024,"f",FALSE)</f>
        <v>46323</v>
      </c>
      <c r="P1024" s="140">
        <f>_xll.qlInterestRateIndexValueDate(IborIndex,O1024)</f>
        <v>46325</v>
      </c>
      <c r="Q1024" s="141">
        <v>2.1583886994759938E-2</v>
      </c>
      <c r="R1024" s="143">
        <v>2.1552845964105671E-2</v>
      </c>
    </row>
    <row r="1025" spans="14:18" x14ac:dyDescent="0.2">
      <c r="N1025" s="139" t="str">
        <f t="shared" si="22"/>
        <v>1w</v>
      </c>
      <c r="O1025" s="146">
        <f>_xll.qlCalendarAdvance(Calendar,O1024,N1025,"f",FALSE)</f>
        <v>46330</v>
      </c>
      <c r="P1025" s="140">
        <f>_xll.qlInterestRateIndexValueDate(IborIndex,O1025)</f>
        <v>46332</v>
      </c>
      <c r="Q1025" s="141">
        <v>2.1591371783450709E-2</v>
      </c>
      <c r="R1025" s="143">
        <v>2.1560203723387517E-2</v>
      </c>
    </row>
    <row r="1026" spans="14:18" x14ac:dyDescent="0.2">
      <c r="N1026" s="139" t="str">
        <f t="shared" si="22"/>
        <v>1w</v>
      </c>
      <c r="O1026" s="146">
        <f>_xll.qlCalendarAdvance(Calendar,O1025,N1026,"f",FALSE)</f>
        <v>46337</v>
      </c>
      <c r="P1026" s="140">
        <f>_xll.qlInterestRateIndexValueDate(IborIndex,O1026)</f>
        <v>46339</v>
      </c>
      <c r="Q1026" s="141">
        <v>2.1598928990870559E-2</v>
      </c>
      <c r="R1026" s="143">
        <v>2.1567633766688132E-2</v>
      </c>
    </row>
    <row r="1027" spans="14:18" x14ac:dyDescent="0.2">
      <c r="N1027" s="139" t="str">
        <f t="shared" si="22"/>
        <v>1w</v>
      </c>
      <c r="O1027" s="146">
        <f>_xll.qlCalendarAdvance(Calendar,O1026,N1027,"f",FALSE)</f>
        <v>46344</v>
      </c>
      <c r="P1027" s="140">
        <f>_xll.qlInterestRateIndexValueDate(IborIndex,O1027)</f>
        <v>46346</v>
      </c>
      <c r="Q1027" s="141">
        <v>2.1606558617166465E-2</v>
      </c>
      <c r="R1027" s="143">
        <v>2.1575136093927583E-2</v>
      </c>
    </row>
    <row r="1028" spans="14:18" x14ac:dyDescent="0.2">
      <c r="N1028" s="139" t="str">
        <f t="shared" si="22"/>
        <v>1w</v>
      </c>
      <c r="O1028" s="146">
        <f>_xll.qlCalendarAdvance(Calendar,O1027,N1028,"f",FALSE)</f>
        <v>46351</v>
      </c>
      <c r="P1028" s="140">
        <f>_xll.qlInterestRateIndexValueDate(IborIndex,O1028)</f>
        <v>46353</v>
      </c>
      <c r="Q1028" s="141">
        <v>2.1614260662477673E-2</v>
      </c>
      <c r="R1028" s="143">
        <v>2.1582710705105868E-2</v>
      </c>
    </row>
    <row r="1029" spans="14:18" x14ac:dyDescent="0.2">
      <c r="N1029" s="139" t="str">
        <f t="shared" si="22"/>
        <v>1w</v>
      </c>
      <c r="O1029" s="146">
        <f>_xll.qlCalendarAdvance(Calendar,O1028,N1029,"f",FALSE)</f>
        <v>46358</v>
      </c>
      <c r="P1029" s="140">
        <f>_xll.qlInterestRateIndexValueDate(IborIndex,O1029)</f>
        <v>46360</v>
      </c>
      <c r="Q1029" s="141">
        <v>2.1622035126946007E-2</v>
      </c>
      <c r="R1029" s="143">
        <v>2.1590357600302923E-2</v>
      </c>
    </row>
    <row r="1030" spans="14:18" x14ac:dyDescent="0.2">
      <c r="N1030" s="139" t="str">
        <f t="shared" si="22"/>
        <v>1w</v>
      </c>
      <c r="O1030" s="146">
        <f>_xll.qlCalendarAdvance(Calendar,O1029,N1030,"f",FALSE)</f>
        <v>46365</v>
      </c>
      <c r="P1030" s="140">
        <f>_xll.qlInterestRateIndexValueDate(IborIndex,O1030)</f>
        <v>46367</v>
      </c>
      <c r="Q1030" s="141">
        <v>2.162988201071844E-2</v>
      </c>
      <c r="R1030" s="143">
        <v>2.1598076779438813E-2</v>
      </c>
    </row>
    <row r="1031" spans="14:18" x14ac:dyDescent="0.2">
      <c r="N1031" s="139" t="str">
        <f t="shared" si="22"/>
        <v>1w</v>
      </c>
      <c r="O1031" s="146">
        <f>_xll.qlCalendarAdvance(Calendar,O1030,N1031,"f",FALSE)</f>
        <v>46372</v>
      </c>
      <c r="P1031" s="140">
        <f>_xll.qlInterestRateIndexValueDate(IborIndex,O1031)</f>
        <v>46374</v>
      </c>
      <c r="Q1031" s="141">
        <v>2.1637801313944532E-2</v>
      </c>
      <c r="R1031" s="143">
        <v>2.1605868242513537E-2</v>
      </c>
    </row>
    <row r="1032" spans="14:18" x14ac:dyDescent="0.2">
      <c r="N1032" s="139" t="str">
        <f t="shared" si="22"/>
        <v>1w</v>
      </c>
      <c r="O1032" s="146">
        <f>_xll.qlCalendarAdvance(Calendar,O1031,N1032,"f",FALSE)</f>
        <v>46379</v>
      </c>
      <c r="P1032" s="140">
        <f>_xll.qlInterestRateIndexValueDate(IborIndex,O1032)</f>
        <v>46385</v>
      </c>
      <c r="Q1032" s="141">
        <v>2.1650392250498546E-2</v>
      </c>
      <c r="R1032" s="143">
        <v>2.1620529876500427E-2</v>
      </c>
    </row>
    <row r="1033" spans="14:18" x14ac:dyDescent="0.2">
      <c r="N1033" s="139" t="str">
        <f t="shared" si="22"/>
        <v>1w</v>
      </c>
      <c r="O1033" s="146">
        <f>_xll.qlCalendarAdvance(Calendar,O1032,N1033,"f",FALSE)</f>
        <v>46386</v>
      </c>
      <c r="P1033" s="140">
        <f>_xll.qlInterestRateIndexValueDate(IborIndex,O1033)</f>
        <v>46392</v>
      </c>
      <c r="Q1033" s="141">
        <v>2.1658497775848811E-2</v>
      </c>
      <c r="R1033" s="143">
        <v>2.1627535017687549E-2</v>
      </c>
    </row>
    <row r="1034" spans="14:18" x14ac:dyDescent="0.2">
      <c r="N1034" s="139" t="str">
        <f t="shared" si="22"/>
        <v>1w</v>
      </c>
      <c r="O1034" s="146">
        <f>_xll.qlCalendarAdvance(Calendar,O1033,N1034,"f",FALSE)</f>
        <v>46394</v>
      </c>
      <c r="P1034" s="140">
        <f>_xll.qlInterestRateIndexValueDate(IborIndex,O1034)</f>
        <v>46398</v>
      </c>
      <c r="Q1034" s="141">
        <v>2.1665503009395602E-2</v>
      </c>
      <c r="R1034" s="143">
        <v>2.1630826281668902E-2</v>
      </c>
    </row>
    <row r="1035" spans="14:18" x14ac:dyDescent="0.2">
      <c r="N1035" s="139" t="str">
        <f t="shared" si="22"/>
        <v>1w</v>
      </c>
      <c r="O1035" s="146">
        <f>_xll.qlCalendarAdvance(Calendar,O1034,N1035,"f",FALSE)</f>
        <v>46401</v>
      </c>
      <c r="P1035" s="140">
        <f>_xll.qlInterestRateIndexValueDate(IborIndex,O1035)</f>
        <v>46405</v>
      </c>
      <c r="Q1035" s="141">
        <v>2.1673743029125371E-2</v>
      </c>
      <c r="R1035" s="143">
        <v>2.1638917207038588E-2</v>
      </c>
    </row>
    <row r="1036" spans="14:18" x14ac:dyDescent="0.2">
      <c r="N1036" s="139" t="str">
        <f t="shared" si="22"/>
        <v>1w</v>
      </c>
      <c r="O1036" s="146">
        <f>_xll.qlCalendarAdvance(Calendar,O1035,N1036,"f",FALSE)</f>
        <v>46408</v>
      </c>
      <c r="P1036" s="140">
        <f>_xll.qlInterestRateIndexValueDate(IborIndex,O1036)</f>
        <v>46412</v>
      </c>
      <c r="Q1036" s="141">
        <v>2.1682055469126209E-2</v>
      </c>
      <c r="R1036" s="143">
        <v>2.1647080416427045E-2</v>
      </c>
    </row>
    <row r="1037" spans="14:18" x14ac:dyDescent="0.2">
      <c r="N1037" s="139" t="str">
        <f t="shared" si="22"/>
        <v>1w</v>
      </c>
      <c r="O1037" s="146">
        <f>_xll.qlCalendarAdvance(Calendar,O1036,N1037,"f",FALSE)</f>
        <v>46415</v>
      </c>
      <c r="P1037" s="140">
        <f>_xll.qlInterestRateIndexValueDate(IborIndex,O1037)</f>
        <v>46419</v>
      </c>
      <c r="Q1037" s="141">
        <v>2.1686667929440455E-2</v>
      </c>
      <c r="R1037" s="143">
        <v>2.1655315909914208E-2</v>
      </c>
    </row>
    <row r="1038" spans="14:18" x14ac:dyDescent="0.2">
      <c r="N1038" s="139" t="str">
        <f t="shared" si="22"/>
        <v>1w</v>
      </c>
      <c r="O1038" s="146">
        <f>_xll.qlCalendarAdvance(Calendar,O1037,N1038,"f",FALSE)</f>
        <v>46422</v>
      </c>
      <c r="P1038" s="140">
        <f>_xll.qlInterestRateIndexValueDate(IborIndex,O1038)</f>
        <v>46426</v>
      </c>
      <c r="Q1038" s="141">
        <v>2.1695108167243404E-2</v>
      </c>
      <c r="R1038" s="143">
        <v>2.1663623687340205E-2</v>
      </c>
    </row>
    <row r="1039" spans="14:18" x14ac:dyDescent="0.2">
      <c r="N1039" s="139" t="str">
        <f t="shared" si="22"/>
        <v>1w</v>
      </c>
      <c r="O1039" s="146">
        <f>_xll.qlCalendarAdvance(Calendar,O1038,N1039,"f",FALSE)</f>
        <v>46429</v>
      </c>
      <c r="P1039" s="140">
        <f>_xll.qlInterestRateIndexValueDate(IborIndex,O1039)</f>
        <v>46433</v>
      </c>
      <c r="Q1039" s="141">
        <v>2.1703620812072444E-2</v>
      </c>
      <c r="R1039" s="143">
        <v>2.167200374886491E-2</v>
      </c>
    </row>
    <row r="1040" spans="14:18" x14ac:dyDescent="0.2">
      <c r="N1040" s="139" t="str">
        <f t="shared" si="22"/>
        <v>1w</v>
      </c>
      <c r="O1040" s="146">
        <f>_xll.qlCalendarAdvance(Calendar,O1039,N1040,"f",FALSE)</f>
        <v>46436</v>
      </c>
      <c r="P1040" s="140">
        <f>_xll.qlInterestRateIndexValueDate(IborIndex,O1040)</f>
        <v>46440</v>
      </c>
      <c r="Q1040" s="141">
        <v>2.1712205864067462E-2</v>
      </c>
      <c r="R1040" s="143">
        <v>2.1680456094408385E-2</v>
      </c>
    </row>
    <row r="1041" spans="14:18" x14ac:dyDescent="0.2">
      <c r="N1041" s="139" t="str">
        <f t="shared" si="22"/>
        <v>1w</v>
      </c>
      <c r="O1041" s="146">
        <f>_xll.qlCalendarAdvance(Calendar,O1040,N1041,"f",FALSE)</f>
        <v>46443</v>
      </c>
      <c r="P1041" s="140">
        <f>_xll.qlInterestRateIndexValueDate(IborIndex,O1041)</f>
        <v>46447</v>
      </c>
      <c r="Q1041" s="141">
        <v>2.1724703978650166E-2</v>
      </c>
      <c r="R1041" s="143">
        <v>2.168898072397063E-2</v>
      </c>
    </row>
    <row r="1042" spans="14:18" x14ac:dyDescent="0.2">
      <c r="N1042" s="139" t="str">
        <f t="shared" si="22"/>
        <v>1w</v>
      </c>
      <c r="O1042" s="146">
        <f>_xll.qlCalendarAdvance(Calendar,O1041,N1042,"f",FALSE)</f>
        <v>46450</v>
      </c>
      <c r="P1042" s="140">
        <f>_xll.qlInterestRateIndexValueDate(IborIndex,O1042)</f>
        <v>46454</v>
      </c>
      <c r="Q1042" s="141">
        <v>2.1733450943575438E-2</v>
      </c>
      <c r="R1042" s="143">
        <v>2.1697577637551646E-2</v>
      </c>
    </row>
    <row r="1043" spans="14:18" x14ac:dyDescent="0.2">
      <c r="N1043" s="139" t="str">
        <f t="shared" si="22"/>
        <v>1w</v>
      </c>
      <c r="O1043" s="146">
        <f>_xll.qlCalendarAdvance(Calendar,O1042,N1043,"f",FALSE)</f>
        <v>46457</v>
      </c>
      <c r="P1043" s="140">
        <f>_xll.qlInterestRateIndexValueDate(IborIndex,O1043)</f>
        <v>46461</v>
      </c>
      <c r="Q1043" s="141">
        <v>2.1742270329883146E-2</v>
      </c>
      <c r="R1043" s="143">
        <v>2.1706246835151433E-2</v>
      </c>
    </row>
    <row r="1044" spans="14:18" x14ac:dyDescent="0.2">
      <c r="N1044" s="139" t="str">
        <f t="shared" si="22"/>
        <v>1w</v>
      </c>
      <c r="O1044" s="146">
        <f>_xll.qlCalendarAdvance(Calendar,O1043,N1044,"f",FALSE)</f>
        <v>46464</v>
      </c>
      <c r="P1044" s="140">
        <f>_xll.qlInterestRateIndexValueDate(IborIndex,O1044)</f>
        <v>46468</v>
      </c>
      <c r="Q1044" s="141">
        <v>2.1751162137743481E-2</v>
      </c>
      <c r="R1044" s="143">
        <v>2.1714988316929862E-2</v>
      </c>
    </row>
    <row r="1045" spans="14:18" x14ac:dyDescent="0.2">
      <c r="N1045" s="139" t="str">
        <f t="shared" ref="N1045:N1108" si="23">N1044</f>
        <v>1w</v>
      </c>
      <c r="O1045" s="146">
        <f>_xll.qlCalendarAdvance(Calendar,O1044,N1045,"f",FALSE)</f>
        <v>46471</v>
      </c>
      <c r="P1045" s="140">
        <f>_xll.qlInterestRateIndexValueDate(IborIndex,O1045)</f>
        <v>46477</v>
      </c>
      <c r="Q1045" s="141">
        <v>2.1761395603735245E-2</v>
      </c>
      <c r="R1045" s="143">
        <v>2.1728913414165163E-2</v>
      </c>
    </row>
    <row r="1046" spans="14:18" x14ac:dyDescent="0.2">
      <c r="N1046" s="139" t="str">
        <f t="shared" si="23"/>
        <v>1w</v>
      </c>
      <c r="O1046" s="146">
        <f>_xll.qlCalendarAdvance(Calendar,O1045,N1046,"f",FALSE)</f>
        <v>46478</v>
      </c>
      <c r="P1046" s="140">
        <f>_xll.qlInterestRateIndexValueDate(IborIndex,O1046)</f>
        <v>46482</v>
      </c>
      <c r="Q1046" s="141">
        <v>2.1767853659675929E-2</v>
      </c>
      <c r="R1046" s="143">
        <v>2.1732688132463096E-2</v>
      </c>
    </row>
    <row r="1047" spans="14:18" x14ac:dyDescent="0.2">
      <c r="N1047" s="139" t="str">
        <f t="shared" si="23"/>
        <v>1w</v>
      </c>
      <c r="O1047" s="146">
        <f>_xll.qlCalendarAdvance(Calendar,O1046,N1047,"f",FALSE)</f>
        <v>46485</v>
      </c>
      <c r="P1047" s="140">
        <f>_xll.qlInterestRateIndexValueDate(IborIndex,O1047)</f>
        <v>46489</v>
      </c>
      <c r="Q1047" s="141">
        <v>2.1776957010093412E-2</v>
      </c>
      <c r="R1047" s="143">
        <v>2.1741646466297837E-2</v>
      </c>
    </row>
    <row r="1048" spans="14:18" x14ac:dyDescent="0.2">
      <c r="N1048" s="139" t="str">
        <f t="shared" si="23"/>
        <v>1w</v>
      </c>
      <c r="O1048" s="146">
        <f>_xll.qlCalendarAdvance(Calendar,O1047,N1048,"f",FALSE)</f>
        <v>46492</v>
      </c>
      <c r="P1048" s="140">
        <f>_xll.qlInterestRateIndexValueDate(IborIndex,O1048)</f>
        <v>46496</v>
      </c>
      <c r="Q1048" s="141">
        <v>2.1786132766496102E-2</v>
      </c>
      <c r="R1048" s="143">
        <v>2.1750677084311221E-2</v>
      </c>
    </row>
    <row r="1049" spans="14:18" x14ac:dyDescent="0.2">
      <c r="N1049" s="139" t="str">
        <f t="shared" si="23"/>
        <v>1w</v>
      </c>
      <c r="O1049" s="146">
        <f>_xll.qlCalendarAdvance(Calendar,O1048,N1049,"f",FALSE)</f>
        <v>46499</v>
      </c>
      <c r="P1049" s="140">
        <f>_xll.qlInterestRateIndexValueDate(IborIndex,O1049)</f>
        <v>46503</v>
      </c>
      <c r="Q1049" s="141">
        <v>2.1795375018012209E-2</v>
      </c>
      <c r="R1049" s="143">
        <v>2.1759779986343375E-2</v>
      </c>
    </row>
    <row r="1050" spans="14:18" x14ac:dyDescent="0.2">
      <c r="N1050" s="139" t="str">
        <f t="shared" si="23"/>
        <v>1w</v>
      </c>
      <c r="O1050" s="146">
        <f>_xll.qlCalendarAdvance(Calendar,O1049,N1050,"f",FALSE)</f>
        <v>46506</v>
      </c>
      <c r="P1050" s="140">
        <f>_xll.qlInterestRateIndexValueDate(IborIndex,O1050)</f>
        <v>46510</v>
      </c>
      <c r="Q1050" s="141">
        <v>2.1805987811344525E-2</v>
      </c>
      <c r="R1050" s="143">
        <v>2.1770271709993239E-2</v>
      </c>
    </row>
    <row r="1051" spans="14:18" x14ac:dyDescent="0.2">
      <c r="N1051" s="139" t="str">
        <f t="shared" si="23"/>
        <v>1w</v>
      </c>
      <c r="O1051" s="146">
        <f>_xll.qlCalendarAdvance(Calendar,O1050,N1051,"f",FALSE)</f>
        <v>46514</v>
      </c>
      <c r="P1051" s="140">
        <f>_xll.qlInterestRateIndexValueDate(IborIndex,O1051)</f>
        <v>46518</v>
      </c>
      <c r="Q1051" s="141">
        <v>2.1816625832938467E-2</v>
      </c>
      <c r="R1051" s="143">
        <v>2.1779529610599369E-2</v>
      </c>
    </row>
    <row r="1052" spans="14:18" x14ac:dyDescent="0.2">
      <c r="N1052" s="139" t="str">
        <f t="shared" si="23"/>
        <v>1w</v>
      </c>
      <c r="O1052" s="146">
        <f>_xll.qlCalendarAdvance(Calendar,O1051,N1052,"f",FALSE)</f>
        <v>46521</v>
      </c>
      <c r="P1052" s="140">
        <f>_xll.qlInterestRateIndexValueDate(IborIndex,O1052)</f>
        <v>46526</v>
      </c>
      <c r="Q1052" s="141">
        <v>2.1829900767398932E-2</v>
      </c>
      <c r="R1052" s="143">
        <v>2.1792836397258597E-2</v>
      </c>
    </row>
    <row r="1053" spans="14:18" x14ac:dyDescent="0.2">
      <c r="N1053" s="139" t="str">
        <f t="shared" si="23"/>
        <v>1w</v>
      </c>
      <c r="O1053" s="146">
        <f>_xll.qlCalendarAdvance(Calendar,O1052,N1053,"f",FALSE)</f>
        <v>46528</v>
      </c>
      <c r="P1053" s="140">
        <f>_xll.qlInterestRateIndexValueDate(IborIndex,O1053)</f>
        <v>46532</v>
      </c>
      <c r="Q1053" s="141">
        <v>2.1839168449593719E-2</v>
      </c>
      <c r="R1053" s="143">
        <v>2.1798167807265401E-2</v>
      </c>
    </row>
    <row r="1054" spans="14:18" x14ac:dyDescent="0.2">
      <c r="N1054" s="139" t="str">
        <f t="shared" si="23"/>
        <v>1w</v>
      </c>
      <c r="O1054" s="146">
        <f>_xll.qlCalendarAdvance(Calendar,O1053,N1054,"f",FALSE)</f>
        <v>46535</v>
      </c>
      <c r="P1054" s="140">
        <f>_xll.qlInterestRateIndexValueDate(IborIndex,O1054)</f>
        <v>46539</v>
      </c>
      <c r="Q1054" s="141">
        <v>2.1843129589602661E-2</v>
      </c>
      <c r="R1054" s="143">
        <v>2.1807452567585983E-2</v>
      </c>
    </row>
    <row r="1055" spans="14:18" x14ac:dyDescent="0.2">
      <c r="N1055" s="139" t="str">
        <f t="shared" si="23"/>
        <v>1w</v>
      </c>
      <c r="O1055" s="146">
        <f>_xll.qlCalendarAdvance(Calendar,O1054,N1055,"f",FALSE)</f>
        <v>46542</v>
      </c>
      <c r="P1055" s="140">
        <f>_xll.qlInterestRateIndexValueDate(IborIndex,O1055)</f>
        <v>46546</v>
      </c>
      <c r="Q1055" s="141">
        <v>2.1852347073466838E-2</v>
      </c>
      <c r="R1055" s="143">
        <v>2.1816707364354926E-2</v>
      </c>
    </row>
    <row r="1056" spans="14:18" x14ac:dyDescent="0.2">
      <c r="N1056" s="139" t="str">
        <f t="shared" si="23"/>
        <v>1w</v>
      </c>
      <c r="O1056" s="146">
        <f>_xll.qlCalendarAdvance(Calendar,O1055,N1056,"f",FALSE)</f>
        <v>46549</v>
      </c>
      <c r="P1056" s="140">
        <f>_xll.qlInterestRateIndexValueDate(IborIndex,O1056)</f>
        <v>46553</v>
      </c>
      <c r="Q1056" s="141">
        <v>2.186153454785611E-2</v>
      </c>
      <c r="R1056" s="143">
        <v>2.1825932197652165E-2</v>
      </c>
    </row>
    <row r="1057" spans="14:18" x14ac:dyDescent="0.2">
      <c r="N1057" s="139" t="str">
        <f t="shared" si="23"/>
        <v>1w</v>
      </c>
      <c r="O1057" s="146">
        <f>_xll.qlCalendarAdvance(Calendar,O1056,N1057,"f",FALSE)</f>
        <v>46556</v>
      </c>
      <c r="P1057" s="140">
        <f>_xll.qlInterestRateIndexValueDate(IborIndex,O1057)</f>
        <v>46560</v>
      </c>
      <c r="Q1057" s="141">
        <v>2.1870692012693205E-2</v>
      </c>
      <c r="R1057" s="143">
        <v>2.1839080107413089E-2</v>
      </c>
    </row>
    <row r="1058" spans="14:18" x14ac:dyDescent="0.2">
      <c r="N1058" s="139" t="str">
        <f t="shared" si="23"/>
        <v>1w</v>
      </c>
      <c r="O1058" s="146">
        <f>_xll.qlCalendarAdvance(Calendar,O1057,N1058,"f",FALSE)</f>
        <v>46566</v>
      </c>
      <c r="P1058" s="140">
        <f>_xll.qlInterestRateIndexValueDate(IborIndex,O1058)</f>
        <v>46568</v>
      </c>
      <c r="Q1058" s="141">
        <v>2.1881120940326682E-2</v>
      </c>
      <c r="R1058" s="143">
        <v>2.1848230635548305E-2</v>
      </c>
    </row>
    <row r="1059" spans="14:18" x14ac:dyDescent="0.2">
      <c r="N1059" s="139" t="str">
        <f t="shared" si="23"/>
        <v>1w</v>
      </c>
      <c r="O1059" s="146">
        <f>_xll.qlCalendarAdvance(Calendar,O1058,N1059,"f",FALSE)</f>
        <v>46573</v>
      </c>
      <c r="P1059" s="140">
        <f>_xll.qlInterestRateIndexValueDate(IborIndex,O1059)</f>
        <v>46575</v>
      </c>
      <c r="Q1059" s="141">
        <v>2.1894149755642515E-2</v>
      </c>
      <c r="R1059" s="143">
        <v>2.1857358125139115E-2</v>
      </c>
    </row>
    <row r="1060" spans="14:18" x14ac:dyDescent="0.2">
      <c r="N1060" s="139" t="str">
        <f t="shared" si="23"/>
        <v>1w</v>
      </c>
      <c r="O1060" s="146">
        <f>_xll.qlCalendarAdvance(Calendar,O1059,N1060,"f",FALSE)</f>
        <v>46580</v>
      </c>
      <c r="P1060" s="140">
        <f>_xll.qlInterestRateIndexValueDate(IborIndex,O1060)</f>
        <v>46582</v>
      </c>
      <c r="Q1060" s="141">
        <v>2.1903208124887514E-2</v>
      </c>
      <c r="R1060" s="143">
        <v>2.1866455647980843E-2</v>
      </c>
    </row>
    <row r="1061" spans="14:18" x14ac:dyDescent="0.2">
      <c r="N1061" s="139" t="str">
        <f t="shared" si="23"/>
        <v>1w</v>
      </c>
      <c r="O1061" s="146">
        <f>_xll.qlCalendarAdvance(Calendar,O1060,N1061,"f",FALSE)</f>
        <v>46587</v>
      </c>
      <c r="P1061" s="140">
        <f>_xll.qlInterestRateIndexValueDate(IborIndex,O1061)</f>
        <v>46589</v>
      </c>
      <c r="Q1061" s="141">
        <v>2.1912236479496888E-2</v>
      </c>
      <c r="R1061" s="143">
        <v>2.1875523204100134E-2</v>
      </c>
    </row>
    <row r="1062" spans="14:18" x14ac:dyDescent="0.2">
      <c r="N1062" s="139" t="str">
        <f t="shared" si="23"/>
        <v>1w</v>
      </c>
      <c r="O1062" s="146">
        <f>_xll.qlCalendarAdvance(Calendar,O1061,N1062,"f",FALSE)</f>
        <v>46594</v>
      </c>
      <c r="P1062" s="140">
        <f>_xll.qlInterestRateIndexValueDate(IborIndex,O1062)</f>
        <v>46596</v>
      </c>
      <c r="Q1062" s="141">
        <v>2.1921234819393121E-2</v>
      </c>
      <c r="R1062" s="143">
        <v>2.1884560793443697E-2</v>
      </c>
    </row>
    <row r="1063" spans="14:18" x14ac:dyDescent="0.2">
      <c r="N1063" s="139" t="str">
        <f t="shared" si="23"/>
        <v>1w</v>
      </c>
      <c r="O1063" s="146">
        <f>_xll.qlCalendarAdvance(Calendar,O1062,N1063,"f",FALSE)</f>
        <v>46601</v>
      </c>
      <c r="P1063" s="140">
        <f>_xll.qlInterestRateIndexValueDate(IborIndex,O1063)</f>
        <v>46603</v>
      </c>
      <c r="Q1063" s="141">
        <v>2.1930203144508394E-2</v>
      </c>
      <c r="R1063" s="143">
        <v>2.1893568416091469E-2</v>
      </c>
    </row>
    <row r="1064" spans="14:18" x14ac:dyDescent="0.2">
      <c r="N1064" s="139" t="str">
        <f t="shared" si="23"/>
        <v>1w</v>
      </c>
      <c r="O1064" s="146">
        <f>_xll.qlCalendarAdvance(Calendar,O1063,N1064,"f",FALSE)</f>
        <v>46608</v>
      </c>
      <c r="P1064" s="140">
        <f>_xll.qlInterestRateIndexValueDate(IborIndex,O1064)</f>
        <v>46610</v>
      </c>
      <c r="Q1064" s="141">
        <v>2.1939141454762764E-2</v>
      </c>
      <c r="R1064" s="143">
        <v>2.1902546071963513E-2</v>
      </c>
    </row>
    <row r="1065" spans="14:18" x14ac:dyDescent="0.2">
      <c r="N1065" s="139" t="str">
        <f t="shared" si="23"/>
        <v>1w</v>
      </c>
      <c r="O1065" s="146">
        <f>_xll.qlCalendarAdvance(Calendar,O1064,N1065,"f",FALSE)</f>
        <v>46615</v>
      </c>
      <c r="P1065" s="140">
        <f>_xll.qlInterestRateIndexValueDate(IborIndex,O1065)</f>
        <v>46617</v>
      </c>
      <c r="Q1065" s="141">
        <v>2.1948049750083569E-2</v>
      </c>
      <c r="R1065" s="143">
        <v>2.191149376105983E-2</v>
      </c>
    </row>
    <row r="1066" spans="14:18" x14ac:dyDescent="0.2">
      <c r="N1066" s="139" t="str">
        <f t="shared" si="23"/>
        <v>1w</v>
      </c>
      <c r="O1066" s="146">
        <f>_xll.qlCalendarAdvance(Calendar,O1065,N1066,"f",FALSE)</f>
        <v>46622</v>
      </c>
      <c r="P1066" s="140">
        <f>_xll.qlInterestRateIndexValueDate(IborIndex,O1066)</f>
        <v>46624</v>
      </c>
      <c r="Q1066" s="141">
        <v>2.1956928030398132E-2</v>
      </c>
      <c r="R1066" s="143">
        <v>2.1920411483407065E-2</v>
      </c>
    </row>
    <row r="1067" spans="14:18" x14ac:dyDescent="0.2">
      <c r="N1067" s="139" t="str">
        <f t="shared" si="23"/>
        <v>1w</v>
      </c>
      <c r="O1067" s="146">
        <f>_xll.qlCalendarAdvance(Calendar,O1066,N1067,"f",FALSE)</f>
        <v>46629</v>
      </c>
      <c r="P1067" s="140">
        <f>_xll.qlInterestRateIndexValueDate(IborIndex,O1067)</f>
        <v>46631</v>
      </c>
      <c r="Q1067" s="141">
        <v>2.1961879009169571E-2</v>
      </c>
      <c r="R1067" s="143">
        <v>2.1929299238978572E-2</v>
      </c>
    </row>
    <row r="1068" spans="14:18" x14ac:dyDescent="0.2">
      <c r="N1068" s="139" t="str">
        <f t="shared" si="23"/>
        <v>1w</v>
      </c>
      <c r="O1068" s="146">
        <f>_xll.qlCalendarAdvance(Calendar,O1067,N1068,"f",FALSE)</f>
        <v>46636</v>
      </c>
      <c r="P1068" s="140">
        <f>_xll.qlInterestRateIndexValueDate(IborIndex,O1068)</f>
        <v>46638</v>
      </c>
      <c r="Q1068" s="141">
        <v>2.1970702077325654E-2</v>
      </c>
      <c r="R1068" s="143">
        <v>2.1938157027774352E-2</v>
      </c>
    </row>
    <row r="1069" spans="14:18" x14ac:dyDescent="0.2">
      <c r="N1069" s="139" t="str">
        <f t="shared" si="23"/>
        <v>1w</v>
      </c>
      <c r="O1069" s="146">
        <f>_xll.qlCalendarAdvance(Calendar,O1068,N1069,"f",FALSE)</f>
        <v>46643</v>
      </c>
      <c r="P1069" s="140">
        <f>_xll.qlInterestRateIndexValueDate(IborIndex,O1069)</f>
        <v>46645</v>
      </c>
      <c r="Q1069" s="141">
        <v>2.1979495135119542E-2</v>
      </c>
      <c r="R1069" s="143">
        <v>2.1946984849767759E-2</v>
      </c>
    </row>
    <row r="1070" spans="14:18" x14ac:dyDescent="0.2">
      <c r="N1070" s="139" t="str">
        <f t="shared" si="23"/>
        <v>1w</v>
      </c>
      <c r="O1070" s="146">
        <f>_xll.qlCalendarAdvance(Calendar,O1069,N1070,"f",FALSE)</f>
        <v>46650</v>
      </c>
      <c r="P1070" s="140">
        <f>_xll.qlInterestRateIndexValueDate(IborIndex,O1070)</f>
        <v>46652</v>
      </c>
      <c r="Q1070" s="141">
        <v>2.1988258182481957E-2</v>
      </c>
      <c r="R1070" s="143">
        <v>2.1955782704958793E-2</v>
      </c>
    </row>
    <row r="1071" spans="14:18" x14ac:dyDescent="0.2">
      <c r="N1071" s="139" t="str">
        <f t="shared" si="23"/>
        <v>1w</v>
      </c>
      <c r="O1071" s="146">
        <f>_xll.qlCalendarAdvance(Calendar,O1070,N1071,"f",FALSE)</f>
        <v>46657</v>
      </c>
      <c r="P1071" s="140">
        <f>_xll.qlInterestRateIndexValueDate(IborIndex,O1071)</f>
        <v>46659</v>
      </c>
      <c r="Q1071" s="141">
        <v>2.1996991219346285E-2</v>
      </c>
      <c r="R1071" s="143">
        <v>2.1964550593400745E-2</v>
      </c>
    </row>
    <row r="1072" spans="14:18" x14ac:dyDescent="0.2">
      <c r="N1072" s="139" t="str">
        <f t="shared" si="23"/>
        <v>1w</v>
      </c>
      <c r="O1072" s="146">
        <f>_xll.qlCalendarAdvance(Calendar,O1071,N1072,"f",FALSE)</f>
        <v>46664</v>
      </c>
      <c r="P1072" s="140">
        <f>_xll.qlInterestRateIndexValueDate(IborIndex,O1072)</f>
        <v>46666</v>
      </c>
      <c r="Q1072" s="141">
        <v>2.2009567393085048E-2</v>
      </c>
      <c r="R1072" s="143">
        <v>2.1973288514987033E-2</v>
      </c>
    </row>
    <row r="1073" spans="14:18" x14ac:dyDescent="0.2">
      <c r="N1073" s="139" t="str">
        <f t="shared" si="23"/>
        <v>1w</v>
      </c>
      <c r="O1073" s="146">
        <f>_xll.qlCalendarAdvance(Calendar,O1072,N1073,"f",FALSE)</f>
        <v>46671</v>
      </c>
      <c r="P1073" s="140">
        <f>_xll.qlInterestRateIndexValueDate(IborIndex,O1073)</f>
        <v>46673</v>
      </c>
      <c r="Q1073" s="141">
        <v>2.2018235566323634E-2</v>
      </c>
      <c r="R1073" s="143">
        <v>2.1981996469770948E-2</v>
      </c>
    </row>
    <row r="1074" spans="14:18" x14ac:dyDescent="0.2">
      <c r="N1074" s="139" t="str">
        <f t="shared" si="23"/>
        <v>1w</v>
      </c>
      <c r="O1074" s="146">
        <f>_xll.qlCalendarAdvance(Calendar,O1073,N1074,"f",FALSE)</f>
        <v>46678</v>
      </c>
      <c r="P1074" s="140">
        <f>_xll.qlInterestRateIndexValueDate(IborIndex,O1074)</f>
        <v>46680</v>
      </c>
      <c r="Q1074" s="141">
        <v>2.2026873723977047E-2</v>
      </c>
      <c r="R1074" s="143">
        <v>2.1990674457725845E-2</v>
      </c>
    </row>
    <row r="1075" spans="14:18" x14ac:dyDescent="0.2">
      <c r="N1075" s="139" t="str">
        <f t="shared" si="23"/>
        <v>1w</v>
      </c>
      <c r="O1075" s="146">
        <f>_xll.qlCalendarAdvance(Calendar,O1074,N1075,"f",FALSE)</f>
        <v>46685</v>
      </c>
      <c r="P1075" s="140">
        <f>_xll.qlInterestRateIndexValueDate(IborIndex,O1075)</f>
        <v>46687</v>
      </c>
      <c r="Q1075" s="141">
        <v>2.2035481865977473E-2</v>
      </c>
      <c r="R1075" s="143">
        <v>2.1999322478878369E-2</v>
      </c>
    </row>
    <row r="1076" spans="14:18" x14ac:dyDescent="0.2">
      <c r="N1076" s="139" t="str">
        <f t="shared" si="23"/>
        <v>1w</v>
      </c>
      <c r="O1076" s="146">
        <f>_xll.qlCalendarAdvance(Calendar,O1075,N1076,"f",FALSE)</f>
        <v>46692</v>
      </c>
      <c r="P1076" s="140">
        <f>_xll.qlInterestRateIndexValueDate(IborIndex,O1076)</f>
        <v>46694</v>
      </c>
      <c r="Q1076" s="141">
        <v>2.2040206243955751E-2</v>
      </c>
      <c r="R1076" s="143">
        <v>2.2007940533201875E-2</v>
      </c>
    </row>
    <row r="1077" spans="14:18" x14ac:dyDescent="0.2">
      <c r="N1077" s="139" t="str">
        <f t="shared" si="23"/>
        <v>1w</v>
      </c>
      <c r="O1077" s="146">
        <f>_xll.qlCalendarAdvance(Calendar,O1076,N1077,"f",FALSE)</f>
        <v>46699</v>
      </c>
      <c r="P1077" s="140">
        <f>_xll.qlInterestRateIndexValueDate(IborIndex,O1077)</f>
        <v>46701</v>
      </c>
      <c r="Q1077" s="141">
        <v>2.204875921648064E-2</v>
      </c>
      <c r="R1077" s="143">
        <v>2.2016528620696363E-2</v>
      </c>
    </row>
    <row r="1078" spans="14:18" x14ac:dyDescent="0.2">
      <c r="N1078" s="139" t="str">
        <f t="shared" si="23"/>
        <v>1w</v>
      </c>
      <c r="O1078" s="146">
        <f>_xll.qlCalendarAdvance(Calendar,O1077,N1078,"f",FALSE)</f>
        <v>46706</v>
      </c>
      <c r="P1078" s="140">
        <f>_xll.qlInterestRateIndexValueDate(IborIndex,O1078)</f>
        <v>46708</v>
      </c>
      <c r="Q1078" s="141">
        <v>2.2057282178054471E-2</v>
      </c>
      <c r="R1078" s="143">
        <v>2.2025086741281896E-2</v>
      </c>
    </row>
    <row r="1079" spans="14:18" x14ac:dyDescent="0.2">
      <c r="N1079" s="139" t="str">
        <f t="shared" si="23"/>
        <v>1w</v>
      </c>
      <c r="O1079" s="146">
        <f>_xll.qlCalendarAdvance(Calendar,O1078,N1079,"f",FALSE)</f>
        <v>46713</v>
      </c>
      <c r="P1079" s="140">
        <f>_xll.qlInterestRateIndexValueDate(IborIndex,O1079)</f>
        <v>46715</v>
      </c>
      <c r="Q1079" s="141">
        <v>2.2069614276003111E-2</v>
      </c>
      <c r="R1079" s="143">
        <v>2.2033614895091702E-2</v>
      </c>
    </row>
    <row r="1080" spans="14:18" x14ac:dyDescent="0.2">
      <c r="N1080" s="139" t="str">
        <f t="shared" si="23"/>
        <v>1w</v>
      </c>
      <c r="O1080" s="146">
        <f>_xll.qlCalendarAdvance(Calendar,O1079,N1080,"f",FALSE)</f>
        <v>46720</v>
      </c>
      <c r="P1080" s="140">
        <f>_xll.qlInterestRateIndexValueDate(IborIndex,O1080)</f>
        <v>46722</v>
      </c>
      <c r="Q1080" s="141">
        <v>2.2078072338667907E-2</v>
      </c>
      <c r="R1080" s="143">
        <v>2.2042113081992554E-2</v>
      </c>
    </row>
    <row r="1081" spans="14:18" x14ac:dyDescent="0.2">
      <c r="N1081" s="139" t="str">
        <f t="shared" si="23"/>
        <v>1w</v>
      </c>
      <c r="O1081" s="146">
        <f>_xll.qlCalendarAdvance(Calendar,O1080,N1081,"f",FALSE)</f>
        <v>46727</v>
      </c>
      <c r="P1081" s="140">
        <f>_xll.qlInterestRateIndexValueDate(IborIndex,O1081)</f>
        <v>46729</v>
      </c>
      <c r="Q1081" s="141">
        <v>2.2086500385253387E-2</v>
      </c>
      <c r="R1081" s="143">
        <v>2.2050581302037742E-2</v>
      </c>
    </row>
    <row r="1082" spans="14:18" x14ac:dyDescent="0.2">
      <c r="N1082" s="139" t="str">
        <f t="shared" si="23"/>
        <v>1w</v>
      </c>
      <c r="O1082" s="146">
        <f>_xll.qlCalendarAdvance(Calendar,O1081,N1082,"f",FALSE)</f>
        <v>46734</v>
      </c>
      <c r="P1082" s="140">
        <f>_xll.qlInterestRateIndexValueDate(IborIndex,O1082)</f>
        <v>46736</v>
      </c>
      <c r="Q1082" s="141">
        <v>2.2094898415691719E-2</v>
      </c>
      <c r="R1082" s="143">
        <v>2.2059019555200621E-2</v>
      </c>
    </row>
    <row r="1083" spans="14:18" x14ac:dyDescent="0.2">
      <c r="N1083" s="139" t="str">
        <f t="shared" si="23"/>
        <v>1w</v>
      </c>
      <c r="O1083" s="146">
        <f>_xll.qlCalendarAdvance(Calendar,O1082,N1083,"f",FALSE)</f>
        <v>46741</v>
      </c>
      <c r="P1083" s="140">
        <f>_xll.qlInterestRateIndexValueDate(IborIndex,O1083)</f>
        <v>46743</v>
      </c>
      <c r="Q1083" s="141">
        <v>2.2103266429917508E-2</v>
      </c>
      <c r="R1083" s="143">
        <v>2.2068472054890265E-2</v>
      </c>
    </row>
    <row r="1084" spans="14:18" x14ac:dyDescent="0.2">
      <c r="N1084" s="139" t="str">
        <f t="shared" si="23"/>
        <v>1w</v>
      </c>
      <c r="O1084" s="146">
        <f>_xll.qlCalendarAdvance(Calendar,O1083,N1084,"f",FALSE)</f>
        <v>46748</v>
      </c>
      <c r="P1084" s="140">
        <f>_xll.qlInterestRateIndexValueDate(IborIndex,O1084)</f>
        <v>46750</v>
      </c>
      <c r="Q1084" s="141">
        <v>2.2111604427855657E-2</v>
      </c>
      <c r="R1084" s="143">
        <v>2.2076840786038332E-2</v>
      </c>
    </row>
    <row r="1085" spans="14:18" x14ac:dyDescent="0.2">
      <c r="N1085" s="139" t="str">
        <f t="shared" si="23"/>
        <v>1w</v>
      </c>
      <c r="O1085" s="146">
        <f>_xll.qlCalendarAdvance(Calendar,O1084,N1085,"f",FALSE)</f>
        <v>46755</v>
      </c>
      <c r="P1085" s="140">
        <f>_xll.qlInterestRateIndexValueDate(IborIndex,O1085)</f>
        <v>46757</v>
      </c>
      <c r="Q1085" s="141">
        <v>2.2119912409440771E-2</v>
      </c>
      <c r="R1085" s="143">
        <v>2.2085179553634759E-2</v>
      </c>
    </row>
    <row r="1086" spans="14:18" x14ac:dyDescent="0.2">
      <c r="N1086" s="139" t="str">
        <f t="shared" si="23"/>
        <v>1w</v>
      </c>
      <c r="O1086" s="146">
        <f>_xll.qlCalendarAdvance(Calendar,O1085,N1086,"f",FALSE)</f>
        <v>46762</v>
      </c>
      <c r="P1086" s="140">
        <f>_xll.qlInterestRateIndexValueDate(IborIndex,O1086)</f>
        <v>46764</v>
      </c>
      <c r="Q1086" s="141">
        <v>2.2128190374602594E-2</v>
      </c>
      <c r="R1086" s="143">
        <v>2.2092472899082338E-2</v>
      </c>
    </row>
    <row r="1087" spans="14:18" x14ac:dyDescent="0.2">
      <c r="N1087" s="139" t="str">
        <f t="shared" si="23"/>
        <v>1w</v>
      </c>
      <c r="O1087" s="146">
        <f>_xll.qlCalendarAdvance(Calendar,O1086,N1087,"f",FALSE)</f>
        <v>46769</v>
      </c>
      <c r="P1087" s="140">
        <f>_xll.qlInterestRateIndexValueDate(IborIndex,O1087)</f>
        <v>46771</v>
      </c>
      <c r="Q1087" s="141">
        <v>2.2136438323273309E-2</v>
      </c>
      <c r="R1087" s="143">
        <v>2.2100761317833673E-2</v>
      </c>
    </row>
    <row r="1088" spans="14:18" x14ac:dyDescent="0.2">
      <c r="N1088" s="139" t="str">
        <f t="shared" si="23"/>
        <v>1w</v>
      </c>
      <c r="O1088" s="146">
        <f>_xll.qlCalendarAdvance(Calendar,O1087,N1088,"f",FALSE)</f>
        <v>46776</v>
      </c>
      <c r="P1088" s="140">
        <f>_xll.qlInterestRateIndexValueDate(IborIndex,O1088)</f>
        <v>46778</v>
      </c>
      <c r="Q1088" s="141">
        <v>2.2144656255389934E-2</v>
      </c>
      <c r="R1088" s="143">
        <v>2.2109019769649407E-2</v>
      </c>
    </row>
    <row r="1089" spans="14:18" x14ac:dyDescent="0.2">
      <c r="N1089" s="139" t="str">
        <f t="shared" si="23"/>
        <v>1w</v>
      </c>
      <c r="O1089" s="146">
        <f>_xll.qlCalendarAdvance(Calendar,O1088,N1089,"f",FALSE)</f>
        <v>46783</v>
      </c>
      <c r="P1089" s="140">
        <f>_xll.qlInterestRateIndexValueDate(IborIndex,O1089)</f>
        <v>46785</v>
      </c>
      <c r="Q1089" s="141">
        <v>2.2147790419900129E-2</v>
      </c>
      <c r="R1089" s="143">
        <v>2.2117248254556188E-2</v>
      </c>
    </row>
    <row r="1090" spans="14:18" x14ac:dyDescent="0.2">
      <c r="N1090" s="139" t="str">
        <f t="shared" si="23"/>
        <v>1w</v>
      </c>
      <c r="O1090" s="146">
        <f>_xll.qlCalendarAdvance(Calendar,O1089,N1090,"f",FALSE)</f>
        <v>46790</v>
      </c>
      <c r="P1090" s="140">
        <f>_xll.qlInterestRateIndexValueDate(IborIndex,O1090)</f>
        <v>46792</v>
      </c>
      <c r="Q1090" s="141">
        <v>2.2155954886914315E-2</v>
      </c>
      <c r="R1090" s="143">
        <v>2.2125446772527368E-2</v>
      </c>
    </row>
    <row r="1091" spans="14:18" x14ac:dyDescent="0.2">
      <c r="N1091" s="139" t="str">
        <f t="shared" si="23"/>
        <v>1w</v>
      </c>
      <c r="O1091" s="146">
        <f>_xll.qlCalendarAdvance(Calendar,O1090,N1091,"f",FALSE)</f>
        <v>46797</v>
      </c>
      <c r="P1091" s="140">
        <f>_xll.qlInterestRateIndexValueDate(IborIndex,O1091)</f>
        <v>46799</v>
      </c>
      <c r="Q1091" s="141">
        <v>2.216408934383202E-2</v>
      </c>
      <c r="R1091" s="143">
        <v>2.213361532356295E-2</v>
      </c>
    </row>
    <row r="1092" spans="14:18" x14ac:dyDescent="0.2">
      <c r="N1092" s="139" t="str">
        <f t="shared" si="23"/>
        <v>1w</v>
      </c>
      <c r="O1092" s="146">
        <f>_xll.qlCalendarAdvance(Calendar,O1091,N1092,"f",FALSE)</f>
        <v>46804</v>
      </c>
      <c r="P1092" s="140">
        <f>_xll.qlInterestRateIndexValueDate(IborIndex,O1092)</f>
        <v>46806</v>
      </c>
      <c r="Q1092" s="141">
        <v>2.2172193790592609E-2</v>
      </c>
      <c r="R1092" s="143">
        <v>2.2141753907716222E-2</v>
      </c>
    </row>
    <row r="1093" spans="14:18" x14ac:dyDescent="0.2">
      <c r="N1093" s="139" t="str">
        <f t="shared" si="23"/>
        <v>1w</v>
      </c>
      <c r="O1093" s="146">
        <f>_xll.qlCalendarAdvance(Calendar,O1092,N1093,"f",FALSE)</f>
        <v>46811</v>
      </c>
      <c r="P1093" s="140">
        <f>_xll.qlInterestRateIndexValueDate(IborIndex,O1093)</f>
        <v>46813</v>
      </c>
      <c r="Q1093" s="141">
        <v>2.2185295665229695E-2</v>
      </c>
      <c r="R1093" s="143">
        <v>2.2149862524880604E-2</v>
      </c>
    </row>
    <row r="1094" spans="14:18" x14ac:dyDescent="0.2">
      <c r="N1094" s="139" t="str">
        <f t="shared" si="23"/>
        <v>1w</v>
      </c>
      <c r="O1094" s="146">
        <f>_xll.qlCalendarAdvance(Calendar,O1093,N1094,"f",FALSE)</f>
        <v>46818</v>
      </c>
      <c r="P1094" s="140">
        <f>_xll.qlInterestRateIndexValueDate(IborIndex,O1094)</f>
        <v>46820</v>
      </c>
      <c r="Q1094" s="141">
        <v>2.2193333496582923E-2</v>
      </c>
      <c r="R1094" s="143">
        <v>2.2157941175136031E-2</v>
      </c>
    </row>
    <row r="1095" spans="14:18" x14ac:dyDescent="0.2">
      <c r="N1095" s="139" t="str">
        <f t="shared" si="23"/>
        <v>1w</v>
      </c>
      <c r="O1095" s="146">
        <f>_xll.qlCalendarAdvance(Calendar,O1094,N1095,"f",FALSE)</f>
        <v>46825</v>
      </c>
      <c r="P1095" s="140">
        <f>_xll.qlInterestRateIndexValueDate(IborIndex,O1095)</f>
        <v>46827</v>
      </c>
      <c r="Q1095" s="141">
        <v>2.2202594606444661E-2</v>
      </c>
      <c r="R1095" s="143">
        <v>2.2165989858429214E-2</v>
      </c>
    </row>
    <row r="1096" spans="14:18" x14ac:dyDescent="0.2">
      <c r="N1096" s="139" t="str">
        <f t="shared" si="23"/>
        <v>1w</v>
      </c>
      <c r="O1096" s="146">
        <f>_xll.qlCalendarAdvance(Calendar,O1095,N1096,"f",FALSE)</f>
        <v>46832</v>
      </c>
      <c r="P1096" s="140">
        <f>_xll.qlInterestRateIndexValueDate(IborIndex,O1096)</f>
        <v>46834</v>
      </c>
      <c r="Q1096" s="141">
        <v>2.2209319108139818E-2</v>
      </c>
      <c r="R1096" s="143">
        <v>2.2174008574760151E-2</v>
      </c>
    </row>
    <row r="1097" spans="14:18" x14ac:dyDescent="0.2">
      <c r="N1097" s="139" t="str">
        <f t="shared" si="23"/>
        <v>1w</v>
      </c>
      <c r="O1097" s="146">
        <f>_xll.qlCalendarAdvance(Calendar,O1096,N1097,"f",FALSE)</f>
        <v>46839</v>
      </c>
      <c r="P1097" s="140">
        <f>_xll.qlInterestRateIndexValueDate(IborIndex,O1097)</f>
        <v>46841</v>
      </c>
      <c r="Q1097" s="141">
        <v>2.2213516284061541E-2</v>
      </c>
      <c r="R1097" s="143">
        <v>2.2181997324102198E-2</v>
      </c>
    </row>
    <row r="1098" spans="14:18" x14ac:dyDescent="0.2">
      <c r="N1098" s="139" t="str">
        <f t="shared" si="23"/>
        <v>1w</v>
      </c>
      <c r="O1098" s="146">
        <f>_xll.qlCalendarAdvance(Calendar,O1097,N1098,"f",FALSE)</f>
        <v>46846</v>
      </c>
      <c r="P1098" s="140">
        <f>_xll.qlInterestRateIndexValueDate(IborIndex,O1098)</f>
        <v>46848</v>
      </c>
      <c r="Q1098" s="141">
        <v>2.2221439013544675E-2</v>
      </c>
      <c r="R1098" s="143">
        <v>2.2189956106508646E-2</v>
      </c>
    </row>
    <row r="1099" spans="14:18" x14ac:dyDescent="0.2">
      <c r="N1099" s="139" t="str">
        <f t="shared" si="23"/>
        <v>1w</v>
      </c>
      <c r="O1099" s="146">
        <f>_xll.qlCalendarAdvance(Calendar,O1098,N1099,"f",FALSE)</f>
        <v>46853</v>
      </c>
      <c r="P1099" s="140">
        <f>_xll.qlInterestRateIndexValueDate(IborIndex,O1099)</f>
        <v>46855</v>
      </c>
      <c r="Q1099" s="141">
        <v>2.2229331730787116E-2</v>
      </c>
      <c r="R1099" s="143">
        <v>2.2199904999578024E-2</v>
      </c>
    </row>
    <row r="1100" spans="14:18" x14ac:dyDescent="0.2">
      <c r="N1100" s="139" t="str">
        <f t="shared" si="23"/>
        <v>1w</v>
      </c>
      <c r="O1100" s="146">
        <f>_xll.qlCalendarAdvance(Calendar,O1099,N1100,"f",FALSE)</f>
        <v>46861</v>
      </c>
      <c r="P1100" s="140">
        <f>_xll.qlInterestRateIndexValueDate(IborIndex,O1100)</f>
        <v>46863</v>
      </c>
      <c r="Q1100" s="141">
        <v>2.2240805321467327E-2</v>
      </c>
      <c r="R1100" s="143">
        <v>2.220666543363059E-2</v>
      </c>
    </row>
    <row r="1101" spans="14:18" x14ac:dyDescent="0.2">
      <c r="N1101" s="139" t="str">
        <f t="shared" si="23"/>
        <v>1w</v>
      </c>
      <c r="O1101" s="146">
        <f>_xll.qlCalendarAdvance(Calendar,O1100,N1101,"f",FALSE)</f>
        <v>46868</v>
      </c>
      <c r="P1101" s="140">
        <f>_xll.qlInterestRateIndexValueDate(IborIndex,O1101)</f>
        <v>46870</v>
      </c>
      <c r="Q1101" s="141">
        <v>2.2248630405095893E-2</v>
      </c>
      <c r="R1101" s="143">
        <v>2.2215645101439918E-2</v>
      </c>
    </row>
    <row r="1102" spans="14:18" x14ac:dyDescent="0.2">
      <c r="N1102" s="139" t="str">
        <f t="shared" si="23"/>
        <v>1w</v>
      </c>
      <c r="O1102" s="146">
        <f>_xll.qlCalendarAdvance(Calendar,O1101,N1102,"f",FALSE)</f>
        <v>46875</v>
      </c>
      <c r="P1102" s="140">
        <f>_xll.qlInterestRateIndexValueDate(IborIndex,O1102)</f>
        <v>46877</v>
      </c>
      <c r="Q1102" s="141">
        <v>2.2257667034699065E-2</v>
      </c>
      <c r="R1102" s="143">
        <v>2.2222354169221248E-2</v>
      </c>
    </row>
    <row r="1103" spans="14:18" x14ac:dyDescent="0.2">
      <c r="N1103" s="139" t="str">
        <f t="shared" si="23"/>
        <v>1w</v>
      </c>
      <c r="O1103" s="146">
        <f>_xll.qlCalendarAdvance(Calendar,O1102,N1103,"f",FALSE)</f>
        <v>46882</v>
      </c>
      <c r="P1103" s="140">
        <f>_xll.qlInterestRateIndexValueDate(IborIndex,O1103)</f>
        <v>46884</v>
      </c>
      <c r="Q1103" s="141">
        <v>2.2264190524878547E-2</v>
      </c>
      <c r="R1103" s="143">
        <v>2.2230153591609181E-2</v>
      </c>
    </row>
    <row r="1104" spans="14:18" x14ac:dyDescent="0.2">
      <c r="N1104" s="139" t="str">
        <f t="shared" si="23"/>
        <v>1w</v>
      </c>
      <c r="O1104" s="146">
        <f>_xll.qlCalendarAdvance(Calendar,O1103,N1104,"f",FALSE)</f>
        <v>46889</v>
      </c>
      <c r="P1104" s="140">
        <f>_xll.qlInterestRateIndexValueDate(IborIndex,O1104)</f>
        <v>46891</v>
      </c>
      <c r="Q1104" s="141">
        <v>2.2271925560907735E-2</v>
      </c>
      <c r="R1104" s="143">
        <v>2.2237923050285602E-2</v>
      </c>
    </row>
    <row r="1105" spans="14:18" x14ac:dyDescent="0.2">
      <c r="N1105" s="139" t="str">
        <f t="shared" si="23"/>
        <v>1w</v>
      </c>
      <c r="O1105" s="146">
        <f>_xll.qlCalendarAdvance(Calendar,O1104,N1105,"f",FALSE)</f>
        <v>46896</v>
      </c>
      <c r="P1105" s="140">
        <f>_xll.qlInterestRateIndexValueDate(IborIndex,O1105)</f>
        <v>46899</v>
      </c>
      <c r="Q1105" s="141">
        <v>2.2279492414680174E-2</v>
      </c>
      <c r="R1105" s="143">
        <v>2.2246765741504859E-2</v>
      </c>
    </row>
    <row r="1106" spans="14:18" x14ac:dyDescent="0.2">
      <c r="N1106" s="139" t="str">
        <f t="shared" si="23"/>
        <v>1w</v>
      </c>
      <c r="O1106" s="146">
        <f>_xll.qlCalendarAdvance(Calendar,O1105,N1106,"f",FALSE)</f>
        <v>46903</v>
      </c>
      <c r="P1106" s="140">
        <f>_xll.qlInterestRateIndexValueDate(IborIndex,O1106)</f>
        <v>46905</v>
      </c>
      <c r="Q1106" s="141">
        <v>2.228730558493458E-2</v>
      </c>
      <c r="R1106" s="143">
        <v>2.2254470992422171E-2</v>
      </c>
    </row>
    <row r="1107" spans="14:18" x14ac:dyDescent="0.2">
      <c r="N1107" s="139" t="str">
        <f t="shared" si="23"/>
        <v>1w</v>
      </c>
      <c r="O1107" s="146">
        <f>_xll.qlCalendarAdvance(Calendar,O1106,N1107,"f",FALSE)</f>
        <v>46910</v>
      </c>
      <c r="P1107" s="140">
        <f>_xll.qlInterestRateIndexValueDate(IborIndex,O1107)</f>
        <v>46912</v>
      </c>
      <c r="Q1107" s="141">
        <v>2.2294950572809835E-2</v>
      </c>
      <c r="R1107" s="143">
        <v>2.2261051644525409E-2</v>
      </c>
    </row>
    <row r="1108" spans="14:18" x14ac:dyDescent="0.2">
      <c r="N1108" s="139" t="str">
        <f t="shared" si="23"/>
        <v>1w</v>
      </c>
      <c r="O1108" s="146">
        <f>_xll.qlCalendarAdvance(Calendar,O1107,N1108,"f",FALSE)</f>
        <v>46917</v>
      </c>
      <c r="P1108" s="140">
        <f>_xll.qlInterestRateIndexValueDate(IborIndex,O1108)</f>
        <v>46919</v>
      </c>
      <c r="Q1108" s="141">
        <v>2.2302565544510544E-2</v>
      </c>
      <c r="R1108" s="143">
        <v>2.2268701248755463E-2</v>
      </c>
    </row>
    <row r="1109" spans="14:18" x14ac:dyDescent="0.2">
      <c r="N1109" s="139" t="str">
        <f t="shared" ref="N1109:N1172" si="24">N1108</f>
        <v>1w</v>
      </c>
      <c r="O1109" s="146">
        <f>_xll.qlCalendarAdvance(Calendar,O1108,N1109,"f",FALSE)</f>
        <v>46924</v>
      </c>
      <c r="P1109" s="140">
        <f>_xll.qlInterestRateIndexValueDate(IborIndex,O1109)</f>
        <v>46926</v>
      </c>
      <c r="Q1109" s="141">
        <v>2.2310150499976755E-2</v>
      </c>
      <c r="R1109" s="143">
        <v>2.2277406963224777E-2</v>
      </c>
    </row>
    <row r="1110" spans="14:18" x14ac:dyDescent="0.2">
      <c r="N1110" s="139" t="str">
        <f t="shared" si="24"/>
        <v>1w</v>
      </c>
      <c r="O1110" s="146">
        <f>_xll.qlCalendarAdvance(Calendar,O1109,N1110,"f",FALSE)</f>
        <v>46931</v>
      </c>
      <c r="P1110" s="140">
        <f>_xll.qlInterestRateIndexValueDate(IborIndex,O1110)</f>
        <v>46933</v>
      </c>
      <c r="Q1110" s="141">
        <v>2.2317705439148516E-2</v>
      </c>
      <c r="R1110" s="143">
        <v>2.2283910566001097E-2</v>
      </c>
    </row>
    <row r="1111" spans="14:18" x14ac:dyDescent="0.2">
      <c r="N1111" s="139" t="str">
        <f t="shared" si="24"/>
        <v>1w</v>
      </c>
      <c r="O1111" s="146">
        <f>_xll.qlCalendarAdvance(Calendar,O1110,N1111,"f",FALSE)</f>
        <v>46938</v>
      </c>
      <c r="P1111" s="140">
        <f>_xll.qlInterestRateIndexValueDate(IborIndex,O1111)</f>
        <v>46940</v>
      </c>
      <c r="Q1111" s="141">
        <v>2.2325230361963377E-2</v>
      </c>
      <c r="R1111" s="143">
        <v>2.2291470279256487E-2</v>
      </c>
    </row>
    <row r="1112" spans="14:18" x14ac:dyDescent="0.2">
      <c r="N1112" s="139" t="str">
        <f t="shared" si="24"/>
        <v>1w</v>
      </c>
      <c r="O1112" s="146">
        <f>_xll.qlCalendarAdvance(Calendar,O1111,N1112,"f",FALSE)</f>
        <v>46945</v>
      </c>
      <c r="P1112" s="140">
        <f>_xll.qlInterestRateIndexValueDate(IborIndex,O1112)</f>
        <v>46947</v>
      </c>
      <c r="Q1112" s="141">
        <v>2.2332725268361386E-2</v>
      </c>
      <c r="R1112" s="143">
        <v>2.2299000028720428E-2</v>
      </c>
    </row>
    <row r="1113" spans="14:18" x14ac:dyDescent="0.2">
      <c r="N1113" s="139" t="str">
        <f t="shared" si="24"/>
        <v>1w</v>
      </c>
      <c r="O1113" s="146">
        <f>_xll.qlCalendarAdvance(Calendar,O1112,N1113,"f",FALSE)</f>
        <v>46952</v>
      </c>
      <c r="P1113" s="140">
        <f>_xll.qlInterestRateIndexValueDate(IborIndex,O1113)</f>
        <v>46954</v>
      </c>
      <c r="Q1113" s="141">
        <v>2.2340190158285089E-2</v>
      </c>
      <c r="R1113" s="143">
        <v>2.2306499814552794E-2</v>
      </c>
    </row>
    <row r="1114" spans="14:18" x14ac:dyDescent="0.2">
      <c r="N1114" s="139" t="str">
        <f t="shared" si="24"/>
        <v>1w</v>
      </c>
      <c r="O1114" s="146">
        <f>_xll.qlCalendarAdvance(Calendar,O1113,N1114,"f",FALSE)</f>
        <v>46959</v>
      </c>
      <c r="P1114" s="140">
        <f>_xll.qlInterestRateIndexValueDate(IborIndex,O1114)</f>
        <v>46961</v>
      </c>
      <c r="Q1114" s="141">
        <v>2.2347625031672036E-2</v>
      </c>
      <c r="R1114" s="143">
        <v>2.2313969636673647E-2</v>
      </c>
    </row>
    <row r="1115" spans="14:18" x14ac:dyDescent="0.2">
      <c r="N1115" s="139" t="str">
        <f t="shared" si="24"/>
        <v>1w</v>
      </c>
      <c r="O1115" s="146">
        <f>_xll.qlCalendarAdvance(Calendar,O1114,N1115,"f",FALSE)</f>
        <v>46966</v>
      </c>
      <c r="P1115" s="140">
        <f>_xll.qlInterestRateIndexValueDate(IborIndex,O1115)</f>
        <v>46968</v>
      </c>
      <c r="Q1115" s="141">
        <v>2.2355029888464772E-2</v>
      </c>
      <c r="R1115" s="143">
        <v>2.2321409495242861E-2</v>
      </c>
    </row>
    <row r="1116" spans="14:18" x14ac:dyDescent="0.2">
      <c r="N1116" s="139" t="str">
        <f t="shared" si="24"/>
        <v>1w</v>
      </c>
      <c r="O1116" s="146">
        <f>_xll.qlCalendarAdvance(Calendar,O1115,N1116,"f",FALSE)</f>
        <v>46973</v>
      </c>
      <c r="P1116" s="140">
        <f>_xll.qlInterestRateIndexValueDate(IborIndex,O1116)</f>
        <v>46975</v>
      </c>
      <c r="Q1116" s="141">
        <v>2.2362404728603347E-2</v>
      </c>
      <c r="R1116" s="143">
        <v>2.2328819390180499E-2</v>
      </c>
    </row>
    <row r="1117" spans="14:18" x14ac:dyDescent="0.2">
      <c r="N1117" s="139" t="str">
        <f t="shared" si="24"/>
        <v>1w</v>
      </c>
      <c r="O1117" s="146">
        <f>_xll.qlCalendarAdvance(Calendar,O1116,N1117,"f",FALSE)</f>
        <v>46980</v>
      </c>
      <c r="P1117" s="140">
        <f>_xll.qlInterestRateIndexValueDate(IborIndex,O1117)</f>
        <v>46982</v>
      </c>
      <c r="Q1117" s="141">
        <v>2.2369749552030305E-2</v>
      </c>
      <c r="R1117" s="143">
        <v>2.2336199321326689E-2</v>
      </c>
    </row>
    <row r="1118" spans="14:18" x14ac:dyDescent="0.2">
      <c r="N1118" s="139" t="str">
        <f t="shared" si="24"/>
        <v>1w</v>
      </c>
      <c r="O1118" s="146">
        <f>_xll.qlCalendarAdvance(Calendar,O1117,N1118,"f",FALSE)</f>
        <v>46987</v>
      </c>
      <c r="P1118" s="140">
        <f>_xll.qlInterestRateIndexValueDate(IborIndex,O1118)</f>
        <v>46989</v>
      </c>
      <c r="Q1118" s="141">
        <v>2.2377064358683196E-2</v>
      </c>
      <c r="R1118" s="143">
        <v>2.2343549288841302E-2</v>
      </c>
    </row>
    <row r="1119" spans="14:18" x14ac:dyDescent="0.2">
      <c r="N1119" s="139" t="str">
        <f t="shared" si="24"/>
        <v>1w</v>
      </c>
      <c r="O1119" s="146">
        <f>_xll.qlCalendarAdvance(Calendar,O1118,N1119,"f",FALSE)</f>
        <v>46994</v>
      </c>
      <c r="P1119" s="140">
        <f>_xll.qlInterestRateIndexValueDate(IborIndex,O1119)</f>
        <v>46996</v>
      </c>
      <c r="Q1119" s="141">
        <v>2.2380709377012E-2</v>
      </c>
      <c r="R1119" s="143">
        <v>2.235086929272434E-2</v>
      </c>
    </row>
    <row r="1120" spans="14:18" x14ac:dyDescent="0.2">
      <c r="N1120" s="139" t="str">
        <f t="shared" si="24"/>
        <v>1w</v>
      </c>
      <c r="O1120" s="146">
        <f>_xll.qlCalendarAdvance(Calendar,O1119,N1120,"f",FALSE)</f>
        <v>47001</v>
      </c>
      <c r="P1120" s="140">
        <f>_xll.qlInterestRateIndexValueDate(IborIndex,O1120)</f>
        <v>47003</v>
      </c>
      <c r="Q1120" s="141">
        <v>2.2391603921444458E-2</v>
      </c>
      <c r="R1120" s="143">
        <v>2.2358159332895866E-2</v>
      </c>
    </row>
    <row r="1121" spans="14:18" x14ac:dyDescent="0.2">
      <c r="N1121" s="139" t="str">
        <f t="shared" si="24"/>
        <v>1w</v>
      </c>
      <c r="O1121" s="146">
        <f>_xll.qlCalendarAdvance(Calendar,O1120,N1121,"f",FALSE)</f>
        <v>47008</v>
      </c>
      <c r="P1121" s="140">
        <f>_xll.qlInterestRateIndexValueDate(IborIndex,O1121)</f>
        <v>47010</v>
      </c>
      <c r="Q1121" s="141">
        <v>2.2398828677432925E-2</v>
      </c>
      <c r="R1121" s="143">
        <v>2.236541940935588E-2</v>
      </c>
    </row>
    <row r="1122" spans="14:18" x14ac:dyDescent="0.2">
      <c r="N1122" s="139" t="str">
        <f t="shared" si="24"/>
        <v>1w</v>
      </c>
      <c r="O1122" s="146">
        <f>_xll.qlCalendarAdvance(Calendar,O1121,N1122,"f",FALSE)</f>
        <v>47015</v>
      </c>
      <c r="P1122" s="140">
        <f>_xll.qlInterestRateIndexValueDate(IborIndex,O1122)</f>
        <v>47017</v>
      </c>
      <c r="Q1122" s="141">
        <v>2.2406023416415011E-2</v>
      </c>
      <c r="R1122" s="143">
        <v>2.2372649522184318E-2</v>
      </c>
    </row>
    <row r="1123" spans="14:18" x14ac:dyDescent="0.2">
      <c r="N1123" s="139" t="str">
        <f t="shared" si="24"/>
        <v>1w</v>
      </c>
      <c r="O1123" s="146">
        <f>_xll.qlCalendarAdvance(Calendar,O1122,N1123,"f",FALSE)</f>
        <v>47022</v>
      </c>
      <c r="P1123" s="140">
        <f>_xll.qlInterestRateIndexValueDate(IborIndex,O1123)</f>
        <v>47024</v>
      </c>
      <c r="Q1123" s="141">
        <v>2.2413188138340756E-2</v>
      </c>
      <c r="R1123" s="143">
        <v>2.2379849671301244E-2</v>
      </c>
    </row>
    <row r="1124" spans="14:18" x14ac:dyDescent="0.2">
      <c r="N1124" s="139" t="str">
        <f t="shared" si="24"/>
        <v>1w</v>
      </c>
      <c r="O1124" s="146">
        <f>_xll.qlCalendarAdvance(Calendar,O1123,N1124,"f",FALSE)</f>
        <v>47029</v>
      </c>
      <c r="P1124" s="140">
        <f>_xll.qlInterestRateIndexValueDate(IborIndex,O1124)</f>
        <v>47031</v>
      </c>
      <c r="Q1124" s="141">
        <v>2.2420322843145213E-2</v>
      </c>
      <c r="R1124" s="143">
        <v>2.2387019856786594E-2</v>
      </c>
    </row>
    <row r="1125" spans="14:18" x14ac:dyDescent="0.2">
      <c r="N1125" s="139" t="str">
        <f t="shared" si="24"/>
        <v>1w</v>
      </c>
      <c r="O1125" s="146">
        <f>_xll.qlCalendarAdvance(Calendar,O1124,N1125,"f",FALSE)</f>
        <v>47036</v>
      </c>
      <c r="P1125" s="140">
        <f>_xll.qlInterestRateIndexValueDate(IborIndex,O1125)</f>
        <v>47038</v>
      </c>
      <c r="Q1125" s="141">
        <v>2.2427427530775923E-2</v>
      </c>
      <c r="R1125" s="143">
        <v>2.2394160078560432E-2</v>
      </c>
    </row>
    <row r="1126" spans="14:18" x14ac:dyDescent="0.2">
      <c r="N1126" s="139" t="str">
        <f t="shared" si="24"/>
        <v>1w</v>
      </c>
      <c r="O1126" s="146">
        <f>_xll.qlCalendarAdvance(Calendar,O1125,N1126,"f",FALSE)</f>
        <v>47043</v>
      </c>
      <c r="P1126" s="140">
        <f>_xll.qlInterestRateIndexValueDate(IborIndex,O1126)</f>
        <v>47045</v>
      </c>
      <c r="Q1126" s="141">
        <v>2.2434502201172934E-2</v>
      </c>
      <c r="R1126" s="143">
        <v>2.2401270336702694E-2</v>
      </c>
    </row>
    <row r="1127" spans="14:18" x14ac:dyDescent="0.2">
      <c r="N1127" s="139" t="str">
        <f t="shared" si="24"/>
        <v>1w</v>
      </c>
      <c r="O1127" s="146">
        <f>_xll.qlCalendarAdvance(Calendar,O1126,N1127,"f",FALSE)</f>
        <v>47050</v>
      </c>
      <c r="P1127" s="140">
        <f>_xll.qlInterestRateIndexValueDate(IborIndex,O1127)</f>
        <v>47052</v>
      </c>
      <c r="Q1127" s="141">
        <v>2.2441546854281291E-2</v>
      </c>
      <c r="R1127" s="143">
        <v>2.2408350631053509E-2</v>
      </c>
    </row>
    <row r="1128" spans="14:18" x14ac:dyDescent="0.2">
      <c r="N1128" s="139" t="str">
        <f t="shared" si="24"/>
        <v>1w</v>
      </c>
      <c r="O1128" s="146">
        <f>_xll.qlCalendarAdvance(Calendar,O1127,N1128,"f",FALSE)</f>
        <v>47057</v>
      </c>
      <c r="P1128" s="140">
        <f>_xll.qlInterestRateIndexValueDate(IborIndex,O1128)</f>
        <v>47059</v>
      </c>
      <c r="Q1128" s="141">
        <v>2.2448561490041041E-2</v>
      </c>
      <c r="R1128" s="143">
        <v>2.2415400961852683E-2</v>
      </c>
    </row>
    <row r="1129" spans="14:18" x14ac:dyDescent="0.2">
      <c r="N1129" s="139" t="str">
        <f t="shared" si="24"/>
        <v>1w</v>
      </c>
      <c r="O1129" s="146">
        <f>_xll.qlCalendarAdvance(Calendar,O1128,N1129,"f",FALSE)</f>
        <v>47064</v>
      </c>
      <c r="P1129" s="140">
        <f>_xll.qlInterestRateIndexValueDate(IborIndex,O1129)</f>
        <v>47066</v>
      </c>
      <c r="Q1129" s="141">
        <v>2.2455546108404723E-2</v>
      </c>
      <c r="R1129" s="143">
        <v>2.2422421328860409E-2</v>
      </c>
    </row>
    <row r="1130" spans="14:18" x14ac:dyDescent="0.2">
      <c r="N1130" s="139" t="str">
        <f t="shared" si="24"/>
        <v>1w</v>
      </c>
      <c r="O1130" s="146">
        <f>_xll.qlCalendarAdvance(Calendar,O1129,N1130,"f",FALSE)</f>
        <v>47071</v>
      </c>
      <c r="P1130" s="140">
        <f>_xll.qlInterestRateIndexValueDate(IborIndex,O1130)</f>
        <v>47073</v>
      </c>
      <c r="Q1130" s="141">
        <v>2.2462500709307387E-2</v>
      </c>
      <c r="R1130" s="143">
        <v>2.2429411732236559E-2</v>
      </c>
    </row>
    <row r="1131" spans="14:18" x14ac:dyDescent="0.2">
      <c r="N1131" s="139" t="str">
        <f t="shared" si="24"/>
        <v>1w</v>
      </c>
      <c r="O1131" s="146">
        <f>_xll.qlCalendarAdvance(Calendar,O1130,N1131,"f",FALSE)</f>
        <v>47078</v>
      </c>
      <c r="P1131" s="140">
        <f>_xll.qlInterestRateIndexValueDate(IborIndex,O1131)</f>
        <v>47080</v>
      </c>
      <c r="Q1131" s="141">
        <v>2.2471810377612322E-2</v>
      </c>
      <c r="R1131" s="143">
        <v>2.2436372171901198E-2</v>
      </c>
    </row>
    <row r="1132" spans="14:18" x14ac:dyDescent="0.2">
      <c r="N1132" s="139" t="str">
        <f t="shared" si="24"/>
        <v>1w</v>
      </c>
      <c r="O1132" s="146">
        <f>_xll.qlCalendarAdvance(Calendar,O1131,N1132,"f",FALSE)</f>
        <v>47085</v>
      </c>
      <c r="P1132" s="140">
        <f>_xll.qlInterestRateIndexValueDate(IborIndex,O1132)</f>
        <v>47087</v>
      </c>
      <c r="Q1132" s="141">
        <v>2.2472746519702574E-2</v>
      </c>
      <c r="R1132" s="143">
        <v>2.244330264793426E-2</v>
      </c>
    </row>
    <row r="1133" spans="14:18" x14ac:dyDescent="0.2">
      <c r="N1133" s="139" t="str">
        <f t="shared" si="24"/>
        <v>1w</v>
      </c>
      <c r="O1133" s="146">
        <f>_xll.qlCalendarAdvance(Calendar,O1132,N1133,"f",FALSE)</f>
        <v>47092</v>
      </c>
      <c r="P1133" s="140">
        <f>_xll.qlInterestRateIndexValueDate(IborIndex,O1133)</f>
        <v>47094</v>
      </c>
      <c r="Q1133" s="141">
        <v>2.2483184406722201E-2</v>
      </c>
      <c r="R1133" s="143">
        <v>2.2450203160095938E-2</v>
      </c>
    </row>
    <row r="1134" spans="14:18" x14ac:dyDescent="0.2">
      <c r="N1134" s="139" t="str">
        <f t="shared" si="24"/>
        <v>1w</v>
      </c>
      <c r="O1134" s="146">
        <f>_xll.qlCalendarAdvance(Calendar,O1133,N1134,"f",FALSE)</f>
        <v>47099</v>
      </c>
      <c r="P1134" s="140">
        <f>_xll.qlInterestRateIndexValueDate(IborIndex,O1134)</f>
        <v>47101</v>
      </c>
      <c r="Q1134" s="141">
        <v>2.2490018937243728E-2</v>
      </c>
      <c r="R1134" s="143">
        <v>2.2457073708705977E-2</v>
      </c>
    </row>
    <row r="1135" spans="14:18" x14ac:dyDescent="0.2">
      <c r="N1135" s="139" t="str">
        <f t="shared" si="24"/>
        <v>1w</v>
      </c>
      <c r="O1135" s="146">
        <f>_xll.qlCalendarAdvance(Calendar,O1134,N1135,"f",FALSE)</f>
        <v>47106</v>
      </c>
      <c r="P1135" s="140">
        <f>_xll.qlInterestRateIndexValueDate(IborIndex,O1135)</f>
        <v>47108</v>
      </c>
      <c r="Q1135" s="141">
        <v>2.2496823450034453E-2</v>
      </c>
      <c r="R1135" s="143">
        <v>2.2465863242846495E-2</v>
      </c>
    </row>
    <row r="1136" spans="14:18" x14ac:dyDescent="0.2">
      <c r="N1136" s="139" t="str">
        <f t="shared" si="24"/>
        <v>1w</v>
      </c>
      <c r="O1136" s="146">
        <f>_xll.qlCalendarAdvance(Calendar,O1135,N1136,"f",FALSE)</f>
        <v>47114</v>
      </c>
      <c r="P1136" s="140">
        <f>_xll.qlInterestRateIndexValueDate(IborIndex,O1136)</f>
        <v>47116</v>
      </c>
      <c r="Q1136" s="141">
        <v>2.2505747044111762E-2</v>
      </c>
      <c r="R1136" s="143">
        <v>2.2472665302961659E-2</v>
      </c>
    </row>
    <row r="1137" spans="14:18" x14ac:dyDescent="0.2">
      <c r="N1137" s="139" t="str">
        <f t="shared" si="24"/>
        <v>1w</v>
      </c>
      <c r="O1137" s="146">
        <f>_xll.qlCalendarAdvance(Calendar,O1136,N1137,"f",FALSE)</f>
        <v>47121</v>
      </c>
      <c r="P1137" s="140">
        <f>_xll.qlInterestRateIndexValueDate(IborIndex,O1137)</f>
        <v>47123</v>
      </c>
      <c r="Q1137" s="141">
        <v>2.2510121312143659E-2</v>
      </c>
      <c r="R1137" s="143">
        <v>2.2478471791531618E-2</v>
      </c>
    </row>
    <row r="1138" spans="14:18" x14ac:dyDescent="0.2">
      <c r="N1138" s="139" t="str">
        <f t="shared" si="24"/>
        <v>1w</v>
      </c>
      <c r="O1138" s="146">
        <f>_xll.qlCalendarAdvance(Calendar,O1137,N1138,"f",FALSE)</f>
        <v>47128</v>
      </c>
      <c r="P1138" s="140">
        <f>_xll.qlInterestRateIndexValueDate(IborIndex,O1138)</f>
        <v>47130</v>
      </c>
      <c r="Q1138" s="141">
        <v>2.251683320792347E-2</v>
      </c>
      <c r="R1138" s="143">
        <v>2.2485218204799651E-2</v>
      </c>
    </row>
    <row r="1139" spans="14:18" x14ac:dyDescent="0.2">
      <c r="N1139" s="139" t="str">
        <f t="shared" si="24"/>
        <v>1w</v>
      </c>
      <c r="O1139" s="146">
        <f>_xll.qlCalendarAdvance(Calendar,O1138,N1139,"f",FALSE)</f>
        <v>47135</v>
      </c>
      <c r="P1139" s="140">
        <f>_xll.qlInterestRateIndexValueDate(IborIndex,O1139)</f>
        <v>47137</v>
      </c>
      <c r="Q1139" s="141">
        <v>2.2523515087499564E-2</v>
      </c>
      <c r="R1139" s="143">
        <v>2.2491934654356172E-2</v>
      </c>
    </row>
    <row r="1140" spans="14:18" x14ac:dyDescent="0.2">
      <c r="N1140" s="139" t="str">
        <f t="shared" si="24"/>
        <v>1w</v>
      </c>
      <c r="O1140" s="146">
        <f>_xll.qlCalendarAdvance(Calendar,O1139,N1140,"f",FALSE)</f>
        <v>47142</v>
      </c>
      <c r="P1140" s="140">
        <f>_xll.qlInterestRateIndexValueDate(IborIndex,O1140)</f>
        <v>47144</v>
      </c>
      <c r="Q1140" s="141">
        <v>2.2530166950825527E-2</v>
      </c>
      <c r="R1140" s="143">
        <v>2.2498621140121244E-2</v>
      </c>
    </row>
    <row r="1141" spans="14:18" x14ac:dyDescent="0.2">
      <c r="N1141" s="139" t="str">
        <f t="shared" si="24"/>
        <v>1w</v>
      </c>
      <c r="O1141" s="146">
        <f>_xll.qlCalendarAdvance(Calendar,O1140,N1141,"f",FALSE)</f>
        <v>47149</v>
      </c>
      <c r="P1141" s="140">
        <f>_xll.qlInterestRateIndexValueDate(IborIndex,O1141)</f>
        <v>47151</v>
      </c>
      <c r="Q1141" s="141">
        <v>2.2533262362140719E-2</v>
      </c>
      <c r="R1141" s="143">
        <v>2.2505277662254741E-2</v>
      </c>
    </row>
    <row r="1142" spans="14:18" x14ac:dyDescent="0.2">
      <c r="N1142" s="139" t="str">
        <f t="shared" si="24"/>
        <v>1w</v>
      </c>
      <c r="O1142" s="146">
        <f>_xll.qlCalendarAdvance(Calendar,O1141,N1142,"f",FALSE)</f>
        <v>47156</v>
      </c>
      <c r="P1142" s="140">
        <f>_xll.qlInterestRateIndexValueDate(IborIndex,O1142)</f>
        <v>47158</v>
      </c>
      <c r="Q1142" s="141">
        <v>2.253985938690433E-2</v>
      </c>
      <c r="R1142" s="143">
        <v>2.2511904220676726E-2</v>
      </c>
    </row>
    <row r="1143" spans="14:18" x14ac:dyDescent="0.2">
      <c r="N1143" s="139" t="str">
        <f t="shared" si="24"/>
        <v>1w</v>
      </c>
      <c r="O1143" s="146">
        <f>_xll.qlCalendarAdvance(Calendar,O1142,N1143,"f",FALSE)</f>
        <v>47163</v>
      </c>
      <c r="P1143" s="140">
        <f>_xll.qlInterestRateIndexValueDate(IborIndex,O1143)</f>
        <v>47165</v>
      </c>
      <c r="Q1143" s="141">
        <v>2.2546426400545778E-2</v>
      </c>
      <c r="R1143" s="143">
        <v>2.2518500815387199E-2</v>
      </c>
    </row>
    <row r="1144" spans="14:18" x14ac:dyDescent="0.2">
      <c r="N1144" s="139" t="str">
        <f t="shared" si="24"/>
        <v>1w</v>
      </c>
      <c r="O1144" s="146">
        <f>_xll.qlCalendarAdvance(Calendar,O1143,N1144,"f",FALSE)</f>
        <v>47170</v>
      </c>
      <c r="P1144" s="140">
        <f>_xll.qlInterestRateIndexValueDate(IborIndex,O1144)</f>
        <v>47172</v>
      </c>
      <c r="Q1144" s="141">
        <v>2.2552963403019391E-2</v>
      </c>
      <c r="R1144" s="143">
        <v>2.2525067446306224E-2</v>
      </c>
    </row>
    <row r="1145" spans="14:18" x14ac:dyDescent="0.2">
      <c r="N1145" s="139" t="str">
        <f t="shared" si="24"/>
        <v>1w</v>
      </c>
      <c r="O1145" s="146">
        <f>_xll.qlCalendarAdvance(Calendar,O1144,N1145,"f",FALSE)</f>
        <v>47177</v>
      </c>
      <c r="P1145" s="140">
        <f>_xll.qlInterestRateIndexValueDate(IborIndex,O1145)</f>
        <v>47179</v>
      </c>
      <c r="Q1145" s="141">
        <v>2.2564144330684544E-2</v>
      </c>
      <c r="R1145" s="143">
        <v>2.2531604113513737E-2</v>
      </c>
    </row>
    <row r="1146" spans="14:18" x14ac:dyDescent="0.2">
      <c r="N1146" s="139" t="str">
        <f t="shared" si="24"/>
        <v>1w</v>
      </c>
      <c r="O1146" s="146">
        <f>_xll.qlCalendarAdvance(Calendar,O1145,N1146,"f",FALSE)</f>
        <v>47184</v>
      </c>
      <c r="P1146" s="140">
        <f>_xll.qlInterestRateIndexValueDate(IborIndex,O1146)</f>
        <v>47186</v>
      </c>
      <c r="Q1146" s="141">
        <v>2.2569447786599296E-2</v>
      </c>
      <c r="R1146" s="143">
        <v>2.2538110817089674E-2</v>
      </c>
    </row>
    <row r="1147" spans="14:18" x14ac:dyDescent="0.2">
      <c r="N1147" s="139" t="str">
        <f t="shared" si="24"/>
        <v>1w</v>
      </c>
      <c r="O1147" s="146">
        <f>_xll.qlCalendarAdvance(Calendar,O1146,N1147,"f",FALSE)</f>
        <v>47191</v>
      </c>
      <c r="P1147" s="140">
        <f>_xll.qlInterestRateIndexValueDate(IborIndex,O1147)</f>
        <v>47193</v>
      </c>
      <c r="Q1147" s="141">
        <v>2.257588953472776E-2</v>
      </c>
      <c r="R1147" s="143">
        <v>2.2544587556874163E-2</v>
      </c>
    </row>
    <row r="1148" spans="14:18" x14ac:dyDescent="0.2">
      <c r="N1148" s="139" t="str">
        <f t="shared" si="24"/>
        <v>1w</v>
      </c>
      <c r="O1148" s="146">
        <f>_xll.qlCalendarAdvance(Calendar,O1147,N1148,"f",FALSE)</f>
        <v>47198</v>
      </c>
      <c r="P1148" s="140">
        <f>_xll.qlInterestRateIndexValueDate(IborIndex,O1148)</f>
        <v>47200</v>
      </c>
      <c r="Q1148" s="141">
        <v>2.2582301266196099E-2</v>
      </c>
      <c r="R1148" s="143">
        <v>2.255103433294714E-2</v>
      </c>
    </row>
    <row r="1149" spans="14:18" x14ac:dyDescent="0.2">
      <c r="N1149" s="139" t="str">
        <f t="shared" si="24"/>
        <v>1w</v>
      </c>
      <c r="O1149" s="146">
        <f>_xll.qlCalendarAdvance(Calendar,O1148,N1149,"f",FALSE)</f>
        <v>47205</v>
      </c>
      <c r="P1149" s="140">
        <f>_xll.qlInterestRateIndexValueDate(IborIndex,O1149)</f>
        <v>47211</v>
      </c>
      <c r="Q1149" s="141">
        <v>2.2591155735046442E-2</v>
      </c>
      <c r="R1149" s="143">
        <v>2.2559279016762801E-2</v>
      </c>
    </row>
    <row r="1150" spans="14:18" x14ac:dyDescent="0.2">
      <c r="N1150" s="139" t="str">
        <f t="shared" si="24"/>
        <v>1w</v>
      </c>
      <c r="O1150" s="146">
        <f>_xll.qlCalendarAdvance(Calendar,O1149,N1150,"f",FALSE)</f>
        <v>47212</v>
      </c>
      <c r="P1150" s="140">
        <f>_xll.qlInterestRateIndexValueDate(IborIndex,O1150)</f>
        <v>47214</v>
      </c>
      <c r="Q1150" s="141">
        <v>2.2595034678959007E-2</v>
      </c>
      <c r="R1150" s="143">
        <v>2.2563837994038494E-2</v>
      </c>
    </row>
    <row r="1151" spans="14:18" x14ac:dyDescent="0.2">
      <c r="N1151" s="139" t="str">
        <f t="shared" si="24"/>
        <v>1w</v>
      </c>
      <c r="O1151" s="146">
        <f>_xll.qlCalendarAdvance(Calendar,O1150,N1151,"f",FALSE)</f>
        <v>47219</v>
      </c>
      <c r="P1151" s="140">
        <f>_xll.qlInterestRateIndexValueDate(IborIndex,O1151)</f>
        <v>47221</v>
      </c>
      <c r="Q1151" s="141">
        <v>2.260135636015817E-2</v>
      </c>
      <c r="R1151" s="143">
        <v>2.2570194878896999E-2</v>
      </c>
    </row>
    <row r="1152" spans="14:18" x14ac:dyDescent="0.2">
      <c r="N1152" s="139" t="str">
        <f t="shared" si="24"/>
        <v>1w</v>
      </c>
      <c r="O1152" s="146">
        <f>_xll.qlCalendarAdvance(Calendar,O1151,N1152,"f",FALSE)</f>
        <v>47226</v>
      </c>
      <c r="P1152" s="140">
        <f>_xll.qlInterestRateIndexValueDate(IborIndex,O1152)</f>
        <v>47228</v>
      </c>
      <c r="Q1152" s="141">
        <v>2.2608804124015502E-2</v>
      </c>
      <c r="R1152" s="143">
        <v>2.2576521800123928E-2</v>
      </c>
    </row>
    <row r="1153" spans="14:18" x14ac:dyDescent="0.2">
      <c r="N1153" s="139" t="str">
        <f t="shared" si="24"/>
        <v>1w</v>
      </c>
      <c r="O1153" s="146">
        <f>_xll.qlCalendarAdvance(Calendar,O1152,N1153,"f",FALSE)</f>
        <v>47233</v>
      </c>
      <c r="P1153" s="140">
        <f>_xll.qlInterestRateIndexValueDate(IborIndex,O1153)</f>
        <v>47235</v>
      </c>
      <c r="Q1153" s="141">
        <v>2.2613909671936633E-2</v>
      </c>
      <c r="R1153" s="143">
        <v>2.2583715876978161E-2</v>
      </c>
    </row>
    <row r="1154" spans="14:18" x14ac:dyDescent="0.2">
      <c r="N1154" s="139" t="str">
        <f t="shared" si="24"/>
        <v>1w</v>
      </c>
      <c r="O1154" s="146">
        <f>_xll.qlCalendarAdvance(Calendar,O1153,N1154,"f",FALSE)</f>
        <v>47240</v>
      </c>
      <c r="P1154" s="140">
        <f>_xll.qlInterestRateIndexValueDate(IborIndex,O1154)</f>
        <v>47242</v>
      </c>
      <c r="Q1154" s="141">
        <v>2.26201413024231E-2</v>
      </c>
      <c r="R1154" s="143">
        <v>2.2589085751363314E-2</v>
      </c>
    </row>
    <row r="1155" spans="14:18" x14ac:dyDescent="0.2">
      <c r="N1155" s="139" t="str">
        <f t="shared" si="24"/>
        <v>1w</v>
      </c>
      <c r="O1155" s="146">
        <f>_xll.qlCalendarAdvance(Calendar,O1154,N1155,"f",FALSE)</f>
        <v>47247</v>
      </c>
      <c r="P1155" s="140">
        <f>_xll.qlInterestRateIndexValueDate(IborIndex,O1155)</f>
        <v>47252</v>
      </c>
      <c r="Q1155" s="141">
        <v>2.2628991561369449E-2</v>
      </c>
      <c r="R1155" s="143">
        <v>2.2596211339642736E-2</v>
      </c>
    </row>
    <row r="1156" spans="14:18" x14ac:dyDescent="0.2">
      <c r="N1156" s="139" t="str">
        <f t="shared" si="24"/>
        <v>1w</v>
      </c>
      <c r="O1156" s="146">
        <f>_xll.qlCalendarAdvance(Calendar,O1155,N1156,"f",FALSE)</f>
        <v>47254</v>
      </c>
      <c r="P1156" s="140">
        <f>_xll.qlInterestRateIndexValueDate(IborIndex,O1156)</f>
        <v>47256</v>
      </c>
      <c r="Q1156" s="141">
        <v>2.2632514512342973E-2</v>
      </c>
      <c r="R1156" s="143">
        <v>2.2602414125367787E-2</v>
      </c>
    </row>
    <row r="1157" spans="14:18" x14ac:dyDescent="0.2">
      <c r="N1157" s="139" t="str">
        <f t="shared" si="24"/>
        <v>1w</v>
      </c>
      <c r="O1157" s="146">
        <f>_xll.qlCalendarAdvance(Calendar,O1156,N1157,"f",FALSE)</f>
        <v>47261</v>
      </c>
      <c r="P1157" s="140">
        <f>_xll.qlInterestRateIndexValueDate(IborIndex,O1157)</f>
        <v>47263</v>
      </c>
      <c r="Q1157" s="141">
        <v>2.263865609168355E-2</v>
      </c>
      <c r="R1157" s="143">
        <v>2.2607706950186213E-2</v>
      </c>
    </row>
    <row r="1158" spans="14:18" x14ac:dyDescent="0.2">
      <c r="N1158" s="139" t="str">
        <f t="shared" si="24"/>
        <v>1w</v>
      </c>
      <c r="O1158" s="146">
        <f>_xll.qlCalendarAdvance(Calendar,O1157,N1158,"f",FALSE)</f>
        <v>47268</v>
      </c>
      <c r="P1158" s="140">
        <f>_xll.qlInterestRateIndexValueDate(IborIndex,O1158)</f>
        <v>47270</v>
      </c>
      <c r="Q1158" s="141">
        <v>2.2644767653879225E-2</v>
      </c>
      <c r="R1158" s="143">
        <v>2.2613854088984198E-2</v>
      </c>
    </row>
    <row r="1159" spans="14:18" x14ac:dyDescent="0.2">
      <c r="N1159" s="139" t="str">
        <f t="shared" si="24"/>
        <v>1w</v>
      </c>
      <c r="O1159" s="146">
        <f>_xll.qlCalendarAdvance(Calendar,O1158,N1159,"f",FALSE)</f>
        <v>47275</v>
      </c>
      <c r="P1159" s="140">
        <f>_xll.qlInterestRateIndexValueDate(IborIndex,O1159)</f>
        <v>47277</v>
      </c>
      <c r="Q1159" s="141">
        <v>2.2650849198883587E-2</v>
      </c>
      <c r="R1159" s="143">
        <v>2.2619971263990735E-2</v>
      </c>
    </row>
    <row r="1160" spans="14:18" x14ac:dyDescent="0.2">
      <c r="N1160" s="139" t="str">
        <f t="shared" si="24"/>
        <v>1w</v>
      </c>
      <c r="O1160" s="146">
        <f>_xll.qlCalendarAdvance(Calendar,O1159,N1160,"f",FALSE)</f>
        <v>47282</v>
      </c>
      <c r="P1160" s="140">
        <f>_xll.qlInterestRateIndexValueDate(IborIndex,O1160)</f>
        <v>47284</v>
      </c>
      <c r="Q1160" s="141">
        <v>2.2656900726650223E-2</v>
      </c>
      <c r="R1160" s="143">
        <v>2.262605847528576E-2</v>
      </c>
    </row>
    <row r="1161" spans="14:18" x14ac:dyDescent="0.2">
      <c r="N1161" s="139" t="str">
        <f t="shared" si="24"/>
        <v>1w</v>
      </c>
      <c r="O1161" s="146">
        <f>_xll.qlCalendarAdvance(Calendar,O1160,N1161,"f",FALSE)</f>
        <v>47289</v>
      </c>
      <c r="P1161" s="140">
        <f>_xll.qlInterestRateIndexValueDate(IborIndex,O1161)</f>
        <v>47294</v>
      </c>
      <c r="Q1161" s="141">
        <v>2.2664354058297143E-2</v>
      </c>
      <c r="R1161" s="143">
        <v>2.2632978598000619E-2</v>
      </c>
    </row>
    <row r="1162" spans="14:18" x14ac:dyDescent="0.2">
      <c r="N1162" s="139" t="str">
        <f t="shared" si="24"/>
        <v>1w</v>
      </c>
      <c r="O1162" s="146">
        <f>_xll.qlCalendarAdvance(Calendar,O1161,N1162,"f",FALSE)</f>
        <v>47296</v>
      </c>
      <c r="P1162" s="140">
        <f>_xll.qlInterestRateIndexValueDate(IborIndex,O1162)</f>
        <v>47298</v>
      </c>
      <c r="Q1162" s="141">
        <v>2.2670052236707094E-2</v>
      </c>
      <c r="R1162" s="143">
        <v>2.2638143006741274E-2</v>
      </c>
    </row>
    <row r="1163" spans="14:18" x14ac:dyDescent="0.2">
      <c r="N1163" s="139" t="str">
        <f t="shared" si="24"/>
        <v>1w</v>
      </c>
      <c r="O1163" s="146">
        <f>_xll.qlCalendarAdvance(Calendar,O1162,N1163,"f",FALSE)</f>
        <v>47303</v>
      </c>
      <c r="P1163" s="140">
        <f>_xll.qlInterestRateIndexValueDate(IborIndex,O1163)</f>
        <v>47305</v>
      </c>
      <c r="Q1163" s="141">
        <v>2.26748752060493E-2</v>
      </c>
      <c r="R1163" s="143">
        <v>2.2644140326821827E-2</v>
      </c>
    </row>
    <row r="1164" spans="14:18" x14ac:dyDescent="0.2">
      <c r="N1164" s="139" t="str">
        <f t="shared" si="24"/>
        <v>1w</v>
      </c>
      <c r="O1164" s="146">
        <f>_xll.qlCalendarAdvance(Calendar,O1163,N1164,"f",FALSE)</f>
        <v>47310</v>
      </c>
      <c r="P1164" s="140">
        <f>_xll.qlInterestRateIndexValueDate(IborIndex,O1164)</f>
        <v>47312</v>
      </c>
      <c r="Q1164" s="141">
        <v>2.2680806664398302E-2</v>
      </c>
      <c r="R1164" s="143">
        <v>2.2650107683190868E-2</v>
      </c>
    </row>
    <row r="1165" spans="14:18" x14ac:dyDescent="0.2">
      <c r="N1165" s="139" t="str">
        <f t="shared" si="24"/>
        <v>1w</v>
      </c>
      <c r="O1165" s="146">
        <f>_xll.qlCalendarAdvance(Calendar,O1164,N1165,"f",FALSE)</f>
        <v>47317</v>
      </c>
      <c r="P1165" s="140">
        <f>_xll.qlInterestRateIndexValueDate(IborIndex,O1165)</f>
        <v>47319</v>
      </c>
      <c r="Q1165" s="141">
        <v>2.2686708105274924E-2</v>
      </c>
      <c r="R1165" s="143">
        <v>2.2656045075688525E-2</v>
      </c>
    </row>
    <row r="1166" spans="14:18" x14ac:dyDescent="0.2">
      <c r="N1166" s="139" t="str">
        <f t="shared" si="24"/>
        <v>1w</v>
      </c>
      <c r="O1166" s="146">
        <f>_xll.qlCalendarAdvance(Calendar,O1165,N1166,"f",FALSE)</f>
        <v>47324</v>
      </c>
      <c r="P1166" s="140">
        <f>_xll.qlInterestRateIndexValueDate(IborIndex,O1166)</f>
        <v>47326</v>
      </c>
      <c r="Q1166" s="141">
        <v>2.2692579528635331E-2</v>
      </c>
      <c r="R1166" s="143">
        <v>2.2661952504554606E-2</v>
      </c>
    </row>
    <row r="1167" spans="14:18" x14ac:dyDescent="0.2">
      <c r="N1167" s="139" t="str">
        <f t="shared" si="24"/>
        <v>1w</v>
      </c>
      <c r="O1167" s="146">
        <f>_xll.qlCalendarAdvance(Calendar,O1166,N1167,"f",FALSE)</f>
        <v>47331</v>
      </c>
      <c r="P1167" s="140">
        <f>_xll.qlInterestRateIndexValueDate(IborIndex,O1167)</f>
        <v>47333</v>
      </c>
      <c r="Q1167" s="141">
        <v>2.2698420934433108E-2</v>
      </c>
      <c r="R1167" s="143">
        <v>2.2667829969709175E-2</v>
      </c>
    </row>
    <row r="1168" spans="14:18" x14ac:dyDescent="0.2">
      <c r="N1168" s="139" t="str">
        <f t="shared" si="24"/>
        <v>1w</v>
      </c>
      <c r="O1168" s="146">
        <f>_xll.qlCalendarAdvance(Calendar,O1167,N1168,"f",FALSE)</f>
        <v>47338</v>
      </c>
      <c r="P1168" s="140">
        <f>_xll.qlInterestRateIndexValueDate(IborIndex,O1168)</f>
        <v>47340</v>
      </c>
      <c r="Q1168" s="141">
        <v>2.2704232322626999E-2</v>
      </c>
      <c r="R1168" s="143">
        <v>2.2673677471072295E-2</v>
      </c>
    </row>
    <row r="1169" spans="14:18" x14ac:dyDescent="0.2">
      <c r="N1169" s="139" t="str">
        <f t="shared" si="24"/>
        <v>1w</v>
      </c>
      <c r="O1169" s="146">
        <f>_xll.qlCalendarAdvance(Calendar,O1168,N1169,"f",FALSE)</f>
        <v>47345</v>
      </c>
      <c r="P1169" s="140">
        <f>_xll.qlInterestRateIndexValueDate(IborIndex,O1169)</f>
        <v>47347</v>
      </c>
      <c r="Q1169" s="141">
        <v>2.2710013693168014E-2</v>
      </c>
      <c r="R1169" s="143">
        <v>2.2679495008643968E-2</v>
      </c>
    </row>
    <row r="1170" spans="14:18" x14ac:dyDescent="0.2">
      <c r="N1170" s="139" t="str">
        <f t="shared" si="24"/>
        <v>1w</v>
      </c>
      <c r="O1170" s="146">
        <f>_xll.qlCalendarAdvance(Calendar,O1169,N1170,"f",FALSE)</f>
        <v>47352</v>
      </c>
      <c r="P1170" s="140">
        <f>_xll.qlInterestRateIndexValueDate(IborIndex,O1170)</f>
        <v>47354</v>
      </c>
      <c r="Q1170" s="141">
        <v>2.2715765046012311E-2</v>
      </c>
      <c r="R1170" s="143">
        <v>2.2685282582504129E-2</v>
      </c>
    </row>
    <row r="1171" spans="14:18" x14ac:dyDescent="0.2">
      <c r="N1171" s="139" t="str">
        <f t="shared" si="24"/>
        <v>1w</v>
      </c>
      <c r="O1171" s="146">
        <f>_xll.qlCalendarAdvance(Calendar,O1170,N1171,"f",FALSE)</f>
        <v>47359</v>
      </c>
      <c r="P1171" s="140">
        <f>_xll.qlInterestRateIndexValueDate(IborIndex,O1171)</f>
        <v>47361</v>
      </c>
      <c r="Q1171" s="141">
        <v>2.2718118085723406E-2</v>
      </c>
      <c r="R1171" s="143">
        <v>2.2691040192572842E-2</v>
      </c>
    </row>
    <row r="1172" spans="14:18" x14ac:dyDescent="0.2">
      <c r="N1172" s="139" t="str">
        <f t="shared" si="24"/>
        <v>1w</v>
      </c>
      <c r="O1172" s="146">
        <f>_xll.qlCalendarAdvance(Calendar,O1171,N1172,"f",FALSE)</f>
        <v>47366</v>
      </c>
      <c r="P1172" s="140">
        <f>_xll.qlInterestRateIndexValueDate(IborIndex,O1172)</f>
        <v>47368</v>
      </c>
      <c r="Q1172" s="141">
        <v>2.2727177698435415E-2</v>
      </c>
      <c r="R1172" s="143">
        <v>2.2696767838850107E-2</v>
      </c>
    </row>
    <row r="1173" spans="14:18" x14ac:dyDescent="0.2">
      <c r="N1173" s="139" t="str">
        <f t="shared" ref="N1173:N1236" si="25">N1172</f>
        <v>1w</v>
      </c>
      <c r="O1173" s="146">
        <f>_xll.qlCalendarAdvance(Calendar,O1172,N1173,"f",FALSE)</f>
        <v>47373</v>
      </c>
      <c r="P1173" s="140">
        <f>_xll.qlInterestRateIndexValueDate(IborIndex,O1173)</f>
        <v>47375</v>
      </c>
      <c r="Q1173" s="141">
        <v>2.2732838997923971E-2</v>
      </c>
      <c r="R1173" s="143">
        <v>2.270246552141586E-2</v>
      </c>
    </row>
    <row r="1174" spans="14:18" x14ac:dyDescent="0.2">
      <c r="N1174" s="139" t="str">
        <f t="shared" si="25"/>
        <v>1w</v>
      </c>
      <c r="O1174" s="146">
        <f>_xll.qlCalendarAdvance(Calendar,O1173,N1174,"f",FALSE)</f>
        <v>47380</v>
      </c>
      <c r="P1174" s="140">
        <f>_xll.qlInterestRateIndexValueDate(IborIndex,O1174)</f>
        <v>47382</v>
      </c>
      <c r="Q1174" s="141">
        <v>2.2738470279543045E-2</v>
      </c>
      <c r="R1174" s="143">
        <v>2.2708133240270101E-2</v>
      </c>
    </row>
    <row r="1175" spans="14:18" x14ac:dyDescent="0.2">
      <c r="N1175" s="139" t="str">
        <f t="shared" si="25"/>
        <v>1w</v>
      </c>
      <c r="O1175" s="146">
        <f>_xll.qlCalendarAdvance(Calendar,O1174,N1175,"f",FALSE)</f>
        <v>47387</v>
      </c>
      <c r="P1175" s="140">
        <f>_xll.qlInterestRateIndexValueDate(IborIndex,O1175)</f>
        <v>47389</v>
      </c>
      <c r="Q1175" s="141">
        <v>2.274630215375692E-2</v>
      </c>
      <c r="R1175" s="143">
        <v>2.2713770995252958E-2</v>
      </c>
    </row>
    <row r="1176" spans="14:18" x14ac:dyDescent="0.2">
      <c r="N1176" s="139" t="str">
        <f t="shared" si="25"/>
        <v>1w</v>
      </c>
      <c r="O1176" s="146">
        <f>_xll.qlCalendarAdvance(Calendar,O1175,N1176,"f",FALSE)</f>
        <v>47394</v>
      </c>
      <c r="P1176" s="140">
        <f>_xll.qlInterestRateIndexValueDate(IborIndex,O1176)</f>
        <v>47396</v>
      </c>
      <c r="Q1176" s="141">
        <v>2.2749642788981943E-2</v>
      </c>
      <c r="R1176" s="143">
        <v>2.2719378786524302E-2</v>
      </c>
    </row>
    <row r="1177" spans="14:18" x14ac:dyDescent="0.2">
      <c r="N1177" s="139" t="str">
        <f t="shared" si="25"/>
        <v>1w</v>
      </c>
      <c r="O1177" s="146">
        <f>_xll.qlCalendarAdvance(Calendar,O1176,N1177,"f",FALSE)</f>
        <v>47401</v>
      </c>
      <c r="P1177" s="140">
        <f>_xll.qlInterestRateIndexValueDate(IborIndex,O1177)</f>
        <v>47403</v>
      </c>
      <c r="Q1177" s="141">
        <v>2.2755184016721827E-2</v>
      </c>
      <c r="R1177" s="143">
        <v>2.2724956614084135E-2</v>
      </c>
    </row>
    <row r="1178" spans="14:18" x14ac:dyDescent="0.2">
      <c r="N1178" s="139" t="str">
        <f t="shared" si="25"/>
        <v>1w</v>
      </c>
      <c r="O1178" s="146">
        <f>_xll.qlCalendarAdvance(Calendar,O1177,N1178,"f",FALSE)</f>
        <v>47408</v>
      </c>
      <c r="P1178" s="140">
        <f>_xll.qlInterestRateIndexValueDate(IborIndex,O1178)</f>
        <v>47410</v>
      </c>
      <c r="Q1178" s="141">
        <v>2.2760695226411731E-2</v>
      </c>
      <c r="R1178" s="143">
        <v>2.2730504477772584E-2</v>
      </c>
    </row>
    <row r="1179" spans="14:18" x14ac:dyDescent="0.2">
      <c r="N1179" s="139" t="str">
        <f t="shared" si="25"/>
        <v>1w</v>
      </c>
      <c r="O1179" s="146">
        <f>_xll.qlCalendarAdvance(Calendar,O1178,N1179,"f",FALSE)</f>
        <v>47415</v>
      </c>
      <c r="P1179" s="140">
        <f>_xll.qlInterestRateIndexValueDate(IborIndex,O1179)</f>
        <v>47417</v>
      </c>
      <c r="Q1179" s="141">
        <v>2.2766176418012971E-2</v>
      </c>
      <c r="R1179" s="143">
        <v>2.2736022377749521E-2</v>
      </c>
    </row>
    <row r="1180" spans="14:18" x14ac:dyDescent="0.2">
      <c r="N1180" s="139" t="str">
        <f t="shared" si="25"/>
        <v>1w</v>
      </c>
      <c r="O1180" s="146">
        <f>_xll.qlCalendarAdvance(Calendar,O1179,N1180,"f",FALSE)</f>
        <v>47422</v>
      </c>
      <c r="P1180" s="140">
        <f>_xll.qlInterestRateIndexValueDate(IborIndex,O1180)</f>
        <v>47424</v>
      </c>
      <c r="Q1180" s="141">
        <v>2.2771627591486876E-2</v>
      </c>
      <c r="R1180" s="143">
        <v>2.2741510314014945E-2</v>
      </c>
    </row>
    <row r="1181" spans="14:18" x14ac:dyDescent="0.2">
      <c r="N1181" s="139" t="str">
        <f t="shared" si="25"/>
        <v>1w</v>
      </c>
      <c r="O1181" s="146">
        <f>_xll.qlCalendarAdvance(Calendar,O1180,N1181,"f",FALSE)</f>
        <v>47429</v>
      </c>
      <c r="P1181" s="140">
        <f>_xll.qlInterestRateIndexValueDate(IborIndex,O1181)</f>
        <v>47431</v>
      </c>
      <c r="Q1181" s="141">
        <v>2.2777048746787026E-2</v>
      </c>
      <c r="R1181" s="143">
        <v>2.2746968286408986E-2</v>
      </c>
    </row>
    <row r="1182" spans="14:18" x14ac:dyDescent="0.2">
      <c r="N1182" s="139" t="str">
        <f t="shared" si="25"/>
        <v>1w</v>
      </c>
      <c r="O1182" s="146">
        <f>_xll.qlCalendarAdvance(Calendar,O1181,N1182,"f",FALSE)</f>
        <v>47436</v>
      </c>
      <c r="P1182" s="140">
        <f>_xll.qlInterestRateIndexValueDate(IborIndex,O1182)</f>
        <v>47438</v>
      </c>
      <c r="Q1182" s="141">
        <v>2.2782439883867009E-2</v>
      </c>
      <c r="R1182" s="143">
        <v>2.2752396295091515E-2</v>
      </c>
    </row>
    <row r="1183" spans="14:18" x14ac:dyDescent="0.2">
      <c r="N1183" s="139" t="str">
        <f t="shared" si="25"/>
        <v>1w</v>
      </c>
      <c r="O1183" s="146">
        <f>_xll.qlCalendarAdvance(Calendar,O1182,N1183,"f",FALSE)</f>
        <v>47443</v>
      </c>
      <c r="P1183" s="140">
        <f>_xll.qlInterestRateIndexValueDate(IborIndex,O1183)</f>
        <v>47445</v>
      </c>
      <c r="Q1183" s="141">
        <v>2.2791103552495511E-2</v>
      </c>
      <c r="R1183" s="143">
        <v>2.2757794339982595E-2</v>
      </c>
    </row>
    <row r="1184" spans="14:18" x14ac:dyDescent="0.2">
      <c r="N1184" s="139" t="str">
        <f t="shared" si="25"/>
        <v>1w</v>
      </c>
      <c r="O1184" s="146">
        <f>_xll.qlCalendarAdvance(Calendar,O1183,N1184,"f",FALSE)</f>
        <v>47450</v>
      </c>
      <c r="P1184" s="140">
        <f>_xll.qlInterestRateIndexValueDate(IborIndex,O1184)</f>
        <v>47452</v>
      </c>
      <c r="Q1184" s="141">
        <v>2.2789833841845613E-2</v>
      </c>
      <c r="R1184" s="143">
        <v>2.2763162421082228E-2</v>
      </c>
    </row>
    <row r="1185" spans="14:18" x14ac:dyDescent="0.2">
      <c r="N1185" s="139" t="str">
        <f t="shared" si="25"/>
        <v>1w</v>
      </c>
      <c r="O1185" s="146">
        <f>_xll.qlCalendarAdvance(Calendar,O1184,N1185,"f",FALSE)</f>
        <v>47457</v>
      </c>
      <c r="P1185" s="140">
        <f>_xll.qlInterestRateIndexValueDate(IborIndex,O1185)</f>
        <v>47459</v>
      </c>
      <c r="Q1185" s="141">
        <v>2.2798433185414638E-2</v>
      </c>
      <c r="R1185" s="143">
        <v>2.2768500538390413E-2</v>
      </c>
    </row>
    <row r="1186" spans="14:18" x14ac:dyDescent="0.2">
      <c r="N1186" s="139" t="str">
        <f t="shared" si="25"/>
        <v>1w</v>
      </c>
      <c r="O1186" s="146">
        <f>_xll.qlCalendarAdvance(Calendar,O1185,N1186,"f",FALSE)</f>
        <v>47464</v>
      </c>
      <c r="P1186" s="140">
        <f>_xll.qlInterestRateIndexValueDate(IborIndex,O1186)</f>
        <v>47466</v>
      </c>
      <c r="Q1186" s="141">
        <v>2.2803704249222005E-2</v>
      </c>
      <c r="R1186" s="143">
        <v>2.2773808692067021E-2</v>
      </c>
    </row>
    <row r="1187" spans="14:18" x14ac:dyDescent="0.2">
      <c r="N1187" s="139" t="str">
        <f t="shared" si="25"/>
        <v>1w</v>
      </c>
      <c r="O1187" s="146">
        <f>_xll.qlCalendarAdvance(Calendar,O1186,N1187,"f",FALSE)</f>
        <v>47471</v>
      </c>
      <c r="P1187" s="140">
        <f>_xll.qlInterestRateIndexValueDate(IborIndex,O1187)</f>
        <v>47473</v>
      </c>
      <c r="Q1187" s="141">
        <v>2.2808945294608078E-2</v>
      </c>
      <c r="R1187" s="143">
        <v>2.278572189714545E-2</v>
      </c>
    </row>
    <row r="1188" spans="14:18" x14ac:dyDescent="0.2">
      <c r="N1188" s="139" t="str">
        <f t="shared" si="25"/>
        <v>1w</v>
      </c>
      <c r="O1188" s="146">
        <f>_xll.qlCalendarAdvance(Calendar,O1187,N1188,"f",FALSE)</f>
        <v>47479</v>
      </c>
      <c r="P1188" s="140">
        <f>_xll.qlInterestRateIndexValueDate(IborIndex,O1188)</f>
        <v>47485</v>
      </c>
      <c r="Q1188" s="141">
        <v>2.2820041227241787E-2</v>
      </c>
      <c r="R1188" s="143">
        <v>2.2788762861942757E-2</v>
      </c>
    </row>
    <row r="1189" spans="14:18" x14ac:dyDescent="0.2">
      <c r="N1189" s="139" t="str">
        <f t="shared" si="25"/>
        <v>1w</v>
      </c>
      <c r="O1189" s="146">
        <f>_xll.qlCalendarAdvance(Calendar,O1188,N1189,"f",FALSE)</f>
        <v>47486</v>
      </c>
      <c r="P1189" s="140">
        <f>_xll.qlInterestRateIndexValueDate(IborIndex,O1189)</f>
        <v>47490</v>
      </c>
      <c r="Q1189" s="141">
        <v>2.2821548572789167E-2</v>
      </c>
      <c r="R1189" s="143">
        <v>2.2790296390073905E-2</v>
      </c>
    </row>
    <row r="1190" spans="14:18" x14ac:dyDescent="0.2">
      <c r="N1190" s="139" t="str">
        <f t="shared" si="25"/>
        <v>1w</v>
      </c>
      <c r="O1190" s="146">
        <f>_xll.qlCalendarAdvance(Calendar,O1189,N1190,"f",FALSE)</f>
        <v>47493</v>
      </c>
      <c r="P1190" s="140">
        <f>_xll.qlInterestRateIndexValueDate(IborIndex,O1190)</f>
        <v>47497</v>
      </c>
      <c r="Q1190" s="141">
        <v>2.2826686697566427E-2</v>
      </c>
      <c r="R1190" s="143">
        <v>2.2795480407928892E-2</v>
      </c>
    </row>
    <row r="1191" spans="14:18" x14ac:dyDescent="0.2">
      <c r="N1191" s="139" t="str">
        <f t="shared" si="25"/>
        <v>1w</v>
      </c>
      <c r="O1191" s="146">
        <f>_xll.qlCalendarAdvance(Calendar,O1190,N1191,"f",FALSE)</f>
        <v>47500</v>
      </c>
      <c r="P1191" s="140">
        <f>_xll.qlInterestRateIndexValueDate(IborIndex,O1191)</f>
        <v>47504</v>
      </c>
      <c r="Q1191" s="141">
        <v>2.2831794803744469E-2</v>
      </c>
      <c r="R1191" s="143">
        <v>2.2800634462072367E-2</v>
      </c>
    </row>
    <row r="1192" spans="14:18" x14ac:dyDescent="0.2">
      <c r="N1192" s="139" t="str">
        <f t="shared" si="25"/>
        <v>1w</v>
      </c>
      <c r="O1192" s="146">
        <f>_xll.qlCalendarAdvance(Calendar,O1191,N1192,"f",FALSE)</f>
        <v>47507</v>
      </c>
      <c r="P1192" s="140">
        <f>_xll.qlInterestRateIndexValueDate(IborIndex,O1192)</f>
        <v>47511</v>
      </c>
      <c r="Q1192" s="141">
        <v>2.2836872891287194E-2</v>
      </c>
      <c r="R1192" s="143">
        <v>2.2805758552424393E-2</v>
      </c>
    </row>
    <row r="1193" spans="14:18" x14ac:dyDescent="0.2">
      <c r="N1193" s="139" t="str">
        <f t="shared" si="25"/>
        <v>1w</v>
      </c>
      <c r="O1193" s="146">
        <f>_xll.qlCalendarAdvance(Calendar,O1192,N1193,"f",FALSE)</f>
        <v>47514</v>
      </c>
      <c r="P1193" s="140">
        <f>_xll.qlInterestRateIndexValueDate(IborIndex,O1193)</f>
        <v>47518</v>
      </c>
      <c r="Q1193" s="141">
        <v>2.2838674070364232E-2</v>
      </c>
      <c r="R1193" s="143">
        <v>2.2810852678984972E-2</v>
      </c>
    </row>
    <row r="1194" spans="14:18" x14ac:dyDescent="0.2">
      <c r="N1194" s="139" t="str">
        <f t="shared" si="25"/>
        <v>1w</v>
      </c>
      <c r="O1194" s="146">
        <f>_xll.qlCalendarAdvance(Calendar,O1193,N1194,"f",FALSE)</f>
        <v>47521</v>
      </c>
      <c r="P1194" s="140">
        <f>_xll.qlInterestRateIndexValueDate(IborIndex,O1194)</f>
        <v>47525</v>
      </c>
      <c r="Q1194" s="141">
        <v>2.2843697597658377E-2</v>
      </c>
      <c r="R1194" s="143">
        <v>2.2815916841754103E-2</v>
      </c>
    </row>
    <row r="1195" spans="14:18" x14ac:dyDescent="0.2">
      <c r="N1195" s="139" t="str">
        <f t="shared" si="25"/>
        <v>1w</v>
      </c>
      <c r="O1195" s="146">
        <f>_xll.qlCalendarAdvance(Calendar,O1194,N1195,"f",FALSE)</f>
        <v>47528</v>
      </c>
      <c r="P1195" s="140">
        <f>_xll.qlInterestRateIndexValueDate(IborIndex,O1195)</f>
        <v>47532</v>
      </c>
      <c r="Q1195" s="141">
        <v>2.284869111170635E-2</v>
      </c>
      <c r="R1195" s="143">
        <v>2.2820951040651849E-2</v>
      </c>
    </row>
    <row r="1196" spans="14:18" x14ac:dyDescent="0.2">
      <c r="N1196" s="139" t="str">
        <f t="shared" si="25"/>
        <v>1w</v>
      </c>
      <c r="O1196" s="146">
        <f>_xll.qlCalendarAdvance(Calendar,O1195,N1196,"f",FALSE)</f>
        <v>47535</v>
      </c>
      <c r="P1196" s="140">
        <f>_xll.qlInterestRateIndexValueDate(IborIndex,O1196)</f>
        <v>47539</v>
      </c>
      <c r="Q1196" s="141">
        <v>2.2853654612471033E-2</v>
      </c>
      <c r="R1196" s="143">
        <v>2.282595527591802E-2</v>
      </c>
    </row>
    <row r="1197" spans="14:18" x14ac:dyDescent="0.2">
      <c r="N1197" s="139" t="str">
        <f t="shared" si="25"/>
        <v>1w</v>
      </c>
      <c r="O1197" s="146">
        <f>_xll.qlCalendarAdvance(Calendar,O1196,N1197,"f",FALSE)</f>
        <v>47542</v>
      </c>
      <c r="P1197" s="140">
        <f>_xll.qlInterestRateIndexValueDate(IborIndex,O1197)</f>
        <v>47546</v>
      </c>
      <c r="Q1197" s="141">
        <v>2.2861813048032167E-2</v>
      </c>
      <c r="R1197" s="143">
        <v>2.283092954723287E-2</v>
      </c>
    </row>
    <row r="1198" spans="14:18" x14ac:dyDescent="0.2">
      <c r="N1198" s="139" t="str">
        <f t="shared" si="25"/>
        <v>1w</v>
      </c>
      <c r="O1198" s="146">
        <f>_xll.qlCalendarAdvance(Calendar,O1197,N1198,"f",FALSE)</f>
        <v>47549</v>
      </c>
      <c r="P1198" s="140">
        <f>_xll.qlInterestRateIndexValueDate(IborIndex,O1198)</f>
        <v>47553</v>
      </c>
      <c r="Q1198" s="141">
        <v>2.2866711022924934E-2</v>
      </c>
      <c r="R1198" s="143">
        <v>2.2835873854836208E-2</v>
      </c>
    </row>
    <row r="1199" spans="14:18" x14ac:dyDescent="0.2">
      <c r="N1199" s="139" t="str">
        <f t="shared" si="25"/>
        <v>1w</v>
      </c>
      <c r="O1199" s="146">
        <f>_xll.qlCalendarAdvance(Calendar,O1198,N1199,"f",FALSE)</f>
        <v>47556</v>
      </c>
      <c r="P1199" s="140">
        <f>_xll.qlInterestRateIndexValueDate(IborIndex,O1199)</f>
        <v>47560</v>
      </c>
      <c r="Q1199" s="141">
        <v>2.2871578978903895E-2</v>
      </c>
      <c r="R1199" s="143">
        <v>2.2840788198648099E-2</v>
      </c>
    </row>
    <row r="1200" spans="14:18" x14ac:dyDescent="0.2">
      <c r="N1200" s="139" t="str">
        <f t="shared" si="25"/>
        <v>1w</v>
      </c>
      <c r="O1200" s="146">
        <f>_xll.qlCalendarAdvance(Calendar,O1199,N1200,"f",FALSE)</f>
        <v>47563</v>
      </c>
      <c r="P1200" s="140">
        <f>_xll.qlInterestRateIndexValueDate(IborIndex,O1200)</f>
        <v>47567</v>
      </c>
      <c r="Q1200" s="141">
        <v>2.2876416915938107E-2</v>
      </c>
      <c r="R1200" s="143">
        <v>2.2845672578668541E-2</v>
      </c>
    </row>
    <row r="1201" spans="14:18" x14ac:dyDescent="0.2">
      <c r="N1201" s="139" t="str">
        <f t="shared" si="25"/>
        <v>1w</v>
      </c>
      <c r="O1201" s="146">
        <f>_xll.qlCalendarAdvance(Calendar,O1200,N1201,"f",FALSE)</f>
        <v>47570</v>
      </c>
      <c r="P1201" s="140">
        <f>_xll.qlInterestRateIndexValueDate(IborIndex,O1201)</f>
        <v>47574</v>
      </c>
      <c r="Q1201" s="141">
        <v>2.288122483398889E-2</v>
      </c>
      <c r="R1201" s="143">
        <v>2.2850526994897535E-2</v>
      </c>
    </row>
    <row r="1202" spans="14:18" x14ac:dyDescent="0.2">
      <c r="N1202" s="139" t="str">
        <f t="shared" si="25"/>
        <v>1w</v>
      </c>
      <c r="O1202" s="146">
        <f>_xll.qlCalendarAdvance(Calendar,O1201,N1202,"f",FALSE)</f>
        <v>47577</v>
      </c>
      <c r="P1202" s="140">
        <f>_xll.qlInterestRateIndexValueDate(IborIndex,O1202)</f>
        <v>47581</v>
      </c>
      <c r="Q1202" s="141">
        <v>2.2884937064453936E-2</v>
      </c>
      <c r="R1202" s="143">
        <v>2.2855351447335082E-2</v>
      </c>
    </row>
    <row r="1203" spans="14:18" x14ac:dyDescent="0.2">
      <c r="N1203" s="139" t="str">
        <f t="shared" si="25"/>
        <v>1w</v>
      </c>
      <c r="O1203" s="146">
        <f>_xll.qlCalendarAdvance(Calendar,O1202,N1203,"f",FALSE)</f>
        <v>47584</v>
      </c>
      <c r="P1203" s="140">
        <f>_xll.qlInterestRateIndexValueDate(IborIndex,O1203)</f>
        <v>47588</v>
      </c>
      <c r="Q1203" s="141">
        <v>2.2889686786951913E-2</v>
      </c>
      <c r="R1203" s="143">
        <v>2.286014593598118E-2</v>
      </c>
    </row>
    <row r="1204" spans="14:18" x14ac:dyDescent="0.2">
      <c r="N1204" s="139" t="str">
        <f t="shared" si="25"/>
        <v>1w</v>
      </c>
      <c r="O1204" s="146">
        <f>_xll.qlCalendarAdvance(Calendar,O1203,N1204,"f",FALSE)</f>
        <v>47591</v>
      </c>
      <c r="P1204" s="140">
        <f>_xll.qlInterestRateIndexValueDate(IborIndex,O1204)</f>
        <v>47597</v>
      </c>
      <c r="Q1204" s="141">
        <v>2.2895749374487906E-2</v>
      </c>
      <c r="R1204" s="143">
        <v>2.2868395546176146E-2</v>
      </c>
    </row>
    <row r="1205" spans="14:18" x14ac:dyDescent="0.2">
      <c r="N1205" s="139" t="str">
        <f t="shared" si="25"/>
        <v>1w</v>
      </c>
      <c r="O1205" s="146">
        <f>_xll.qlCalendarAdvance(Calendar,O1204,N1205,"f",FALSE)</f>
        <v>47598</v>
      </c>
      <c r="P1205" s="140">
        <f>_xll.qlInterestRateIndexValueDate(IborIndex,O1205)</f>
        <v>47602</v>
      </c>
      <c r="Q1205" s="141">
        <v>2.2899095137312031E-2</v>
      </c>
      <c r="R1205" s="143">
        <v>2.2870318941539125E-2</v>
      </c>
    </row>
    <row r="1206" spans="14:18" x14ac:dyDescent="0.2">
      <c r="N1206" s="139" t="str">
        <f t="shared" si="25"/>
        <v>1w</v>
      </c>
      <c r="O1206" s="146">
        <f>_xll.qlCalendarAdvance(Calendar,O1205,N1206,"f",FALSE)</f>
        <v>47605</v>
      </c>
      <c r="P1206" s="140">
        <f>_xll.qlInterestRateIndexValueDate(IborIndex,O1206)</f>
        <v>47609</v>
      </c>
      <c r="Q1206" s="141">
        <v>2.2904807336234075E-2</v>
      </c>
      <c r="R1206" s="143">
        <v>2.2874349618930978E-2</v>
      </c>
    </row>
    <row r="1207" spans="14:18" x14ac:dyDescent="0.2">
      <c r="N1207" s="139" t="str">
        <f t="shared" si="25"/>
        <v>1w</v>
      </c>
      <c r="O1207" s="146">
        <f>_xll.qlCalendarAdvance(Calendar,O1206,N1207,"f",FALSE)</f>
        <v>47612</v>
      </c>
      <c r="P1207" s="140">
        <f>_xll.qlInterestRateIndexValueDate(IborIndex,O1207)</f>
        <v>47616</v>
      </c>
      <c r="Q1207" s="141">
        <v>2.2909422802506473E-2</v>
      </c>
      <c r="R1207" s="143">
        <v>2.2879024252411284E-2</v>
      </c>
    </row>
    <row r="1208" spans="14:18" x14ac:dyDescent="0.2">
      <c r="N1208" s="139" t="str">
        <f t="shared" si="25"/>
        <v>1w</v>
      </c>
      <c r="O1208" s="146">
        <f>_xll.qlCalendarAdvance(Calendar,O1207,N1208,"f",FALSE)</f>
        <v>47619</v>
      </c>
      <c r="P1208" s="140">
        <f>_xll.qlInterestRateIndexValueDate(IborIndex,O1208)</f>
        <v>47623</v>
      </c>
      <c r="Q1208" s="141">
        <v>2.2913998480642215E-2</v>
      </c>
      <c r="R1208" s="143">
        <v>2.288366810803133E-2</v>
      </c>
    </row>
    <row r="1209" spans="14:18" x14ac:dyDescent="0.2">
      <c r="N1209" s="139" t="str">
        <f t="shared" si="25"/>
        <v>1w</v>
      </c>
      <c r="O1209" s="146">
        <f>_xll.qlCalendarAdvance(Calendar,O1208,N1209,"f",FALSE)</f>
        <v>47626</v>
      </c>
      <c r="P1209" s="140">
        <f>_xll.qlInterestRateIndexValueDate(IborIndex,O1209)</f>
        <v>47630</v>
      </c>
      <c r="Q1209" s="141">
        <v>2.2918531996212903E-2</v>
      </c>
      <c r="R1209" s="143">
        <v>2.288932675482247E-2</v>
      </c>
    </row>
    <row r="1210" spans="14:18" x14ac:dyDescent="0.2">
      <c r="N1210" s="139" t="str">
        <f t="shared" si="25"/>
        <v>1w</v>
      </c>
      <c r="O1210" s="146">
        <f>_xll.qlCalendarAdvance(Calendar,O1209,N1210,"f",FALSE)</f>
        <v>47634</v>
      </c>
      <c r="P1210" s="140">
        <f>_xll.qlInterestRateIndexValueDate(IborIndex,O1210)</f>
        <v>47638</v>
      </c>
      <c r="Q1210" s="141">
        <v>2.2922614893763793E-2</v>
      </c>
      <c r="R1210" s="143">
        <v>2.2893481519554726E-2</v>
      </c>
    </row>
    <row r="1211" spans="14:18" x14ac:dyDescent="0.2">
      <c r="N1211" s="139" t="str">
        <f t="shared" si="25"/>
        <v>1w</v>
      </c>
      <c r="O1211" s="146">
        <f>_xll.qlCalendarAdvance(Calendar,O1210,N1211,"f",FALSE)</f>
        <v>47641</v>
      </c>
      <c r="P1211" s="140">
        <f>_xll.qlInterestRateIndexValueDate(IborIndex,O1211)</f>
        <v>47646</v>
      </c>
      <c r="Q1211" s="141">
        <v>2.2927691313016751E-2</v>
      </c>
      <c r="R1211" s="143">
        <v>2.2900732109070177E-2</v>
      </c>
    </row>
    <row r="1212" spans="14:18" x14ac:dyDescent="0.2">
      <c r="N1212" s="139" t="str">
        <f t="shared" si="25"/>
        <v>1w</v>
      </c>
      <c r="O1212" s="146">
        <f>_xll.qlCalendarAdvance(Calendar,O1211,N1212,"f",FALSE)</f>
        <v>47648</v>
      </c>
      <c r="P1212" s="140">
        <f>_xll.qlInterestRateIndexValueDate(IborIndex,O1212)</f>
        <v>47652</v>
      </c>
      <c r="Q1212" s="141">
        <v>2.2931462083222165E-2</v>
      </c>
      <c r="R1212" s="143">
        <v>2.2905601989902102E-2</v>
      </c>
    </row>
    <row r="1213" spans="14:18" x14ac:dyDescent="0.2">
      <c r="N1213" s="139" t="str">
        <f t="shared" si="25"/>
        <v>1w</v>
      </c>
      <c r="O1213" s="146">
        <f>_xll.qlCalendarAdvance(Calendar,O1212,N1213,"f",FALSE)</f>
        <v>47658</v>
      </c>
      <c r="P1213" s="140">
        <f>_xll.qlInterestRateIndexValueDate(IborIndex,O1213)</f>
        <v>47660</v>
      </c>
      <c r="Q1213" s="141">
        <v>2.2936441051126799E-2</v>
      </c>
      <c r="R1213" s="143">
        <v>2.2909606676337901E-2</v>
      </c>
    </row>
    <row r="1214" spans="14:18" x14ac:dyDescent="0.2">
      <c r="N1214" s="139" t="str">
        <f t="shared" si="25"/>
        <v>1w</v>
      </c>
      <c r="O1214" s="146">
        <f>_xll.qlCalendarAdvance(Calendar,O1213,N1214,"f",FALSE)</f>
        <v>47665</v>
      </c>
      <c r="P1214" s="140">
        <f>_xll.qlInterestRateIndexValueDate(IborIndex,O1214)</f>
        <v>47667</v>
      </c>
      <c r="Q1214" s="141">
        <v>2.2943855079268521E-2</v>
      </c>
      <c r="R1214" s="143">
        <v>2.2913980115122357E-2</v>
      </c>
    </row>
    <row r="1215" spans="14:18" x14ac:dyDescent="0.2">
      <c r="N1215" s="139" t="str">
        <f t="shared" si="25"/>
        <v>1w</v>
      </c>
      <c r="O1215" s="146">
        <f>_xll.qlCalendarAdvance(Calendar,O1214,N1215,"f",FALSE)</f>
        <v>47672</v>
      </c>
      <c r="P1215" s="140">
        <f>_xll.qlInterestRateIndexValueDate(IborIndex,O1215)</f>
        <v>47674</v>
      </c>
      <c r="Q1215" s="141">
        <v>2.294811503825045E-2</v>
      </c>
      <c r="R1215" s="143">
        <v>2.2918310990673874E-2</v>
      </c>
    </row>
    <row r="1216" spans="14:18" x14ac:dyDescent="0.2">
      <c r="N1216" s="139" t="str">
        <f t="shared" si="25"/>
        <v>1w</v>
      </c>
      <c r="O1216" s="146">
        <f>_xll.qlCalendarAdvance(Calendar,O1215,N1216,"f",FALSE)</f>
        <v>47679</v>
      </c>
      <c r="P1216" s="140">
        <f>_xll.qlInterestRateIndexValueDate(IborIndex,O1216)</f>
        <v>47681</v>
      </c>
      <c r="Q1216" s="141">
        <v>2.2952332354097299E-2</v>
      </c>
      <c r="R1216" s="143">
        <v>2.2922599303019098E-2</v>
      </c>
    </row>
    <row r="1217" spans="14:18" x14ac:dyDescent="0.2">
      <c r="N1217" s="139" t="str">
        <f t="shared" si="25"/>
        <v>1w</v>
      </c>
      <c r="O1217" s="146">
        <f>_xll.qlCalendarAdvance(Calendar,O1216,N1217,"f",FALSE)</f>
        <v>47686</v>
      </c>
      <c r="P1217" s="140">
        <f>_xll.qlInterestRateIndexValueDate(IborIndex,O1217)</f>
        <v>47688</v>
      </c>
      <c r="Q1217" s="141">
        <v>2.2956507026760616E-2</v>
      </c>
      <c r="R1217" s="143">
        <v>2.2926845052104738E-2</v>
      </c>
    </row>
    <row r="1218" spans="14:18" x14ac:dyDescent="0.2">
      <c r="N1218" s="139" t="str">
        <f t="shared" si="25"/>
        <v>1w</v>
      </c>
      <c r="O1218" s="146">
        <f>_xll.qlCalendarAdvance(Calendar,O1217,N1218,"f",FALSE)</f>
        <v>47693</v>
      </c>
      <c r="P1218" s="140">
        <f>_xll.qlInterestRateIndexValueDate(IborIndex,O1218)</f>
        <v>47695</v>
      </c>
      <c r="Q1218" s="141">
        <v>2.2957569282445967E-2</v>
      </c>
      <c r="R1218" s="143">
        <v>2.2931048237957441E-2</v>
      </c>
    </row>
    <row r="1219" spans="14:18" x14ac:dyDescent="0.2">
      <c r="N1219" s="139" t="str">
        <f t="shared" si="25"/>
        <v>1w</v>
      </c>
      <c r="O1219" s="146">
        <f>_xll.qlCalendarAdvance(Calendar,O1218,N1219,"f",FALSE)</f>
        <v>47700</v>
      </c>
      <c r="P1219" s="140">
        <f>_xll.qlInterestRateIndexValueDate(IborIndex,O1219)</f>
        <v>47702</v>
      </c>
      <c r="Q1219" s="141">
        <v>2.2964728442340453E-2</v>
      </c>
      <c r="R1219" s="143">
        <v>2.2935208860577205E-2</v>
      </c>
    </row>
    <row r="1220" spans="14:18" x14ac:dyDescent="0.2">
      <c r="N1220" s="139" t="str">
        <f t="shared" si="25"/>
        <v>1w</v>
      </c>
      <c r="O1220" s="146">
        <f>_xll.qlCalendarAdvance(Calendar,O1219,N1220,"f",FALSE)</f>
        <v>47707</v>
      </c>
      <c r="P1220" s="140">
        <f>_xll.qlInterestRateIndexValueDate(IborIndex,O1220)</f>
        <v>47709</v>
      </c>
      <c r="Q1220" s="141">
        <v>2.296877518515766E-2</v>
      </c>
      <c r="R1220" s="143">
        <v>2.2939326919937386E-2</v>
      </c>
    </row>
    <row r="1221" spans="14:18" x14ac:dyDescent="0.2">
      <c r="N1221" s="139" t="str">
        <f t="shared" si="25"/>
        <v>1w</v>
      </c>
      <c r="O1221" s="146">
        <f>_xll.qlCalendarAdvance(Calendar,O1220,N1221,"f",FALSE)</f>
        <v>47714</v>
      </c>
      <c r="P1221" s="140">
        <f>_xll.qlInterestRateIndexValueDate(IborIndex,O1221)</f>
        <v>47716</v>
      </c>
      <c r="Q1221" s="141">
        <v>2.2972779284602396E-2</v>
      </c>
      <c r="R1221" s="143">
        <v>2.2943402416037983E-2</v>
      </c>
    </row>
    <row r="1222" spans="14:18" x14ac:dyDescent="0.2">
      <c r="N1222" s="139" t="str">
        <f t="shared" si="25"/>
        <v>1w</v>
      </c>
      <c r="O1222" s="146">
        <f>_xll.qlCalendarAdvance(Calendar,O1221,N1222,"f",FALSE)</f>
        <v>47721</v>
      </c>
      <c r="P1222" s="140">
        <f>_xll.qlInterestRateIndexValueDate(IborIndex,O1222)</f>
        <v>47723</v>
      </c>
      <c r="Q1222" s="141">
        <v>2.2976740740621376E-2</v>
      </c>
      <c r="R1222" s="143">
        <v>2.2947435348878997E-2</v>
      </c>
    </row>
    <row r="1223" spans="14:18" x14ac:dyDescent="0.2">
      <c r="N1223" s="139" t="str">
        <f t="shared" si="25"/>
        <v>1w</v>
      </c>
      <c r="O1223" s="146">
        <f>_xll.qlCalendarAdvance(Calendar,O1222,N1223,"f",FALSE)</f>
        <v>47728</v>
      </c>
      <c r="P1223" s="140">
        <f>_xll.qlInterestRateIndexValueDate(IborIndex,O1223)</f>
        <v>47730</v>
      </c>
      <c r="Q1223" s="141">
        <v>2.2977631632227435E-2</v>
      </c>
      <c r="R1223" s="143">
        <v>2.2951425718460428E-2</v>
      </c>
    </row>
    <row r="1224" spans="14:18" x14ac:dyDescent="0.2">
      <c r="N1224" s="139" t="str">
        <f t="shared" si="25"/>
        <v>1w</v>
      </c>
      <c r="O1224" s="146">
        <f>_xll.qlCalendarAdvance(Calendar,O1223,N1224,"f",FALSE)</f>
        <v>47735</v>
      </c>
      <c r="P1224" s="140">
        <f>_xll.qlInterestRateIndexValueDate(IborIndex,O1224)</f>
        <v>47737</v>
      </c>
      <c r="Q1224" s="141">
        <v>2.2981516195927476E-2</v>
      </c>
      <c r="R1224" s="143">
        <v>2.2955373524782274E-2</v>
      </c>
    </row>
    <row r="1225" spans="14:18" x14ac:dyDescent="0.2">
      <c r="N1225" s="139" t="str">
        <f t="shared" si="25"/>
        <v>1w</v>
      </c>
      <c r="O1225" s="146">
        <f>_xll.qlCalendarAdvance(Calendar,O1224,N1225,"f",FALSE)</f>
        <v>47742</v>
      </c>
      <c r="P1225" s="140">
        <f>_xll.qlInterestRateIndexValueDate(IborIndex,O1225)</f>
        <v>47744</v>
      </c>
      <c r="Q1225" s="141">
        <v>2.2985358124105737E-2</v>
      </c>
      <c r="R1225" s="143">
        <v>2.2959278767817892E-2</v>
      </c>
    </row>
    <row r="1226" spans="14:18" x14ac:dyDescent="0.2">
      <c r="N1226" s="139" t="str">
        <f t="shared" si="25"/>
        <v>1w</v>
      </c>
      <c r="O1226" s="146">
        <f>_xll.qlCalendarAdvance(Calendar,O1225,N1226,"f",FALSE)</f>
        <v>47749</v>
      </c>
      <c r="P1226" s="140">
        <f>_xll.qlInterestRateIndexValueDate(IborIndex,O1226)</f>
        <v>47751</v>
      </c>
      <c r="Q1226" s="141">
        <v>2.2989157416727579E-2</v>
      </c>
      <c r="R1226" s="143">
        <v>2.2963141447567281E-2</v>
      </c>
    </row>
    <row r="1227" spans="14:18" x14ac:dyDescent="0.2">
      <c r="N1227" s="139" t="str">
        <f t="shared" si="25"/>
        <v>1w</v>
      </c>
      <c r="O1227" s="146">
        <f>_xll.qlCalendarAdvance(Calendar,O1226,N1227,"f",FALSE)</f>
        <v>47756</v>
      </c>
      <c r="P1227" s="140">
        <f>_xll.qlInterestRateIndexValueDate(IborIndex,O1227)</f>
        <v>47758</v>
      </c>
      <c r="Q1227" s="141">
        <v>2.2995908367765047E-2</v>
      </c>
      <c r="R1227" s="143">
        <v>2.2966961564057087E-2</v>
      </c>
    </row>
    <row r="1228" spans="14:18" x14ac:dyDescent="0.2">
      <c r="N1228" s="139" t="str">
        <f t="shared" si="25"/>
        <v>1w</v>
      </c>
      <c r="O1228" s="146">
        <f>_xll.qlCalendarAdvance(Calendar,O1227,N1228,"f",FALSE)</f>
        <v>47763</v>
      </c>
      <c r="P1228" s="140">
        <f>_xll.qlInterestRateIndexValueDate(IborIndex,O1228)</f>
        <v>47765</v>
      </c>
      <c r="Q1228" s="141">
        <v>2.2999613962284764E-2</v>
      </c>
      <c r="R1228" s="143">
        <v>2.2970739117234018E-2</v>
      </c>
    </row>
    <row r="1229" spans="14:18" x14ac:dyDescent="0.2">
      <c r="N1229" s="139" t="str">
        <f t="shared" si="25"/>
        <v>1w</v>
      </c>
      <c r="O1229" s="146">
        <f>_xll.qlCalendarAdvance(Calendar,O1228,N1229,"f",FALSE)</f>
        <v>47770</v>
      </c>
      <c r="P1229" s="140">
        <f>_xll.qlInterestRateIndexValueDate(IborIndex,O1229)</f>
        <v>47772</v>
      </c>
      <c r="Q1229" s="141">
        <v>2.3003276913073509E-2</v>
      </c>
      <c r="R1229" s="143">
        <v>2.2974474107178011E-2</v>
      </c>
    </row>
    <row r="1230" spans="14:18" x14ac:dyDescent="0.2">
      <c r="N1230" s="139" t="str">
        <f t="shared" si="25"/>
        <v>1w</v>
      </c>
      <c r="O1230" s="146">
        <f>_xll.qlCalendarAdvance(Calendar,O1229,N1230,"f",FALSE)</f>
        <v>47777</v>
      </c>
      <c r="P1230" s="140">
        <f>_xll.qlInterestRateIndexValueDate(IborIndex,O1230)</f>
        <v>47779</v>
      </c>
      <c r="Q1230" s="141">
        <v>2.3006897220077992E-2</v>
      </c>
      <c r="R1230" s="143">
        <v>2.2978166533782485E-2</v>
      </c>
    </row>
    <row r="1231" spans="14:18" x14ac:dyDescent="0.2">
      <c r="N1231" s="139" t="str">
        <f t="shared" si="25"/>
        <v>1w</v>
      </c>
      <c r="O1231" s="146">
        <f>_xll.qlCalendarAdvance(Calendar,O1230,N1231,"f",FALSE)</f>
        <v>47784</v>
      </c>
      <c r="P1231" s="140">
        <f>_xll.qlInterestRateIndexValueDate(IborIndex,O1231)</f>
        <v>47786</v>
      </c>
      <c r="Q1231" s="141">
        <v>2.3007514345064983E-2</v>
      </c>
      <c r="R1231" s="143">
        <v>2.2981816397100729E-2</v>
      </c>
    </row>
    <row r="1232" spans="14:18" x14ac:dyDescent="0.2">
      <c r="N1232" s="139" t="str">
        <f t="shared" si="25"/>
        <v>1w</v>
      </c>
      <c r="O1232" s="146">
        <f>_xll.qlCalendarAdvance(Calendar,O1231,N1232,"f",FALSE)</f>
        <v>47791</v>
      </c>
      <c r="P1232" s="140">
        <f>_xll.qlInterestRateIndexValueDate(IborIndex,O1232)</f>
        <v>47793</v>
      </c>
      <c r="Q1232" s="141">
        <v>2.3011057823500991E-2</v>
      </c>
      <c r="R1232" s="143">
        <v>2.29854236971061E-2</v>
      </c>
    </row>
    <row r="1233" spans="14:18" x14ac:dyDescent="0.2">
      <c r="N1233" s="139" t="str">
        <f t="shared" si="25"/>
        <v>1w</v>
      </c>
      <c r="O1233" s="146">
        <f>_xll.qlCalendarAdvance(Calendar,O1232,N1233,"f",FALSE)</f>
        <v>47798</v>
      </c>
      <c r="P1233" s="140">
        <f>_xll.qlInterestRateIndexValueDate(IborIndex,O1233)</f>
        <v>47800</v>
      </c>
      <c r="Q1233" s="141">
        <v>2.3014558666111462E-2</v>
      </c>
      <c r="R1233" s="143">
        <v>2.2988988433851887E-2</v>
      </c>
    </row>
    <row r="1234" spans="14:18" x14ac:dyDescent="0.2">
      <c r="N1234" s="139" t="str">
        <f t="shared" si="25"/>
        <v>1w</v>
      </c>
      <c r="O1234" s="146">
        <f>_xll.qlCalendarAdvance(Calendar,O1233,N1234,"f",FALSE)</f>
        <v>47805</v>
      </c>
      <c r="P1234" s="140">
        <f>_xll.qlInterestRateIndexValueDate(IborIndex,O1234)</f>
        <v>47807</v>
      </c>
      <c r="Q1234" s="141">
        <v>2.3018016872851099E-2</v>
      </c>
      <c r="R1234" s="143">
        <v>2.2992510607231509E-2</v>
      </c>
    </row>
    <row r="1235" spans="14:18" x14ac:dyDescent="0.2">
      <c r="N1235" s="139" t="str">
        <f t="shared" si="25"/>
        <v>1w</v>
      </c>
      <c r="O1235" s="146">
        <f>_xll.qlCalendarAdvance(Calendar,O1234,N1235,"f",FALSE)</f>
        <v>47812</v>
      </c>
      <c r="P1235" s="140">
        <f>_xll.qlInterestRateIndexValueDate(IborIndex,O1235)</f>
        <v>47814</v>
      </c>
      <c r="Q1235" s="141">
        <v>2.3021432443685264E-2</v>
      </c>
      <c r="R1235" s="143">
        <v>2.2995990217351547E-2</v>
      </c>
    </row>
    <row r="1236" spans="14:18" x14ac:dyDescent="0.2">
      <c r="N1236" s="139" t="str">
        <f t="shared" si="25"/>
        <v>1w</v>
      </c>
      <c r="O1236" s="146">
        <f>_xll.qlCalendarAdvance(Calendar,O1235,N1236,"f",FALSE)</f>
        <v>47819</v>
      </c>
      <c r="P1236" s="140">
        <f>_xll.qlInterestRateIndexValueDate(IborIndex,O1236)</f>
        <v>47821</v>
      </c>
      <c r="Q1236" s="141">
        <v>2.3028695804003796E-2</v>
      </c>
      <c r="R1236" s="143">
        <v>2.2999427264132066E-2</v>
      </c>
    </row>
    <row r="1237" spans="14:18" x14ac:dyDescent="0.2">
      <c r="N1237" s="139" t="str">
        <f t="shared" ref="N1237:N1300" si="26">N1236</f>
        <v>1w</v>
      </c>
      <c r="O1237" s="146">
        <f>_xll.qlCalendarAdvance(Calendar,O1236,N1237,"f",FALSE)</f>
        <v>47826</v>
      </c>
      <c r="P1237" s="140">
        <f>_xll.qlInterestRateIndexValueDate(IborIndex,O1237)</f>
        <v>47828</v>
      </c>
      <c r="Q1237" s="141">
        <v>2.3031045339773376E-2</v>
      </c>
      <c r="R1237" s="143">
        <v>2.3002821747599711E-2</v>
      </c>
    </row>
    <row r="1238" spans="14:18" x14ac:dyDescent="0.2">
      <c r="N1238" s="139" t="str">
        <f t="shared" si="26"/>
        <v>1w</v>
      </c>
      <c r="O1238" s="146">
        <f>_xll.qlCalendarAdvance(Calendar,O1237,N1238,"f",FALSE)</f>
        <v>47833</v>
      </c>
      <c r="P1238" s="140">
        <f>_xll.qlInterestRateIndexValueDate(IborIndex,O1238)</f>
        <v>47835</v>
      </c>
      <c r="Q1238" s="141">
        <v>2.3034324495055231E-2</v>
      </c>
      <c r="R1238" s="143">
        <v>2.3006173667727836E-2</v>
      </c>
    </row>
    <row r="1239" spans="14:18" x14ac:dyDescent="0.2">
      <c r="N1239" s="139" t="str">
        <f t="shared" si="26"/>
        <v>1w</v>
      </c>
      <c r="O1239" s="146">
        <f>_xll.qlCalendarAdvance(Calendar,O1238,N1239,"f",FALSE)</f>
        <v>47840</v>
      </c>
      <c r="P1239" s="140">
        <f>_xll.qlInterestRateIndexValueDate(IborIndex,O1239)</f>
        <v>47847</v>
      </c>
      <c r="Q1239" s="141">
        <v>2.3038884737245913E-2</v>
      </c>
      <c r="R1239" s="143">
        <v>2.3013716798847561E-2</v>
      </c>
    </row>
    <row r="1240" spans="14:18" x14ac:dyDescent="0.2">
      <c r="N1240" s="139" t="str">
        <f t="shared" si="26"/>
        <v>1w</v>
      </c>
      <c r="O1240" s="146">
        <f>_xll.qlCalendarAdvance(Calendar,O1239,N1240,"f",FALSE)</f>
        <v>47847</v>
      </c>
      <c r="P1240" s="140">
        <f>_xll.qlInterestRateIndexValueDate(IborIndex,O1240)</f>
        <v>47851</v>
      </c>
      <c r="Q1240" s="141">
        <v>2.3039738685146208E-2</v>
      </c>
      <c r="R1240" s="143">
        <v>2.3013126583091292E-2</v>
      </c>
    </row>
    <row r="1241" spans="14:18" x14ac:dyDescent="0.2">
      <c r="N1241" s="139" t="str">
        <f t="shared" si="26"/>
        <v>1w</v>
      </c>
      <c r="O1241" s="146">
        <f>_xll.qlCalendarAdvance(Calendar,O1240,N1241,"f",FALSE)</f>
        <v>47855</v>
      </c>
      <c r="P1241" s="140">
        <f>_xll.qlInterestRateIndexValueDate(IborIndex,O1241)</f>
        <v>47857</v>
      </c>
      <c r="Q1241" s="141">
        <v>2.3043394898535352E-2</v>
      </c>
      <c r="R1241" s="143">
        <v>2.3015416282241574E-2</v>
      </c>
    </row>
    <row r="1242" spans="14:18" x14ac:dyDescent="0.2">
      <c r="N1242" s="139" t="str">
        <f t="shared" si="26"/>
        <v>1w</v>
      </c>
      <c r="O1242" s="146">
        <f>_xll.qlCalendarAdvance(Calendar,O1241,N1242,"f",FALSE)</f>
        <v>47862</v>
      </c>
      <c r="P1242" s="140">
        <f>_xll.qlInterestRateIndexValueDate(IborIndex,O1242)</f>
        <v>47864</v>
      </c>
      <c r="Q1242" s="141">
        <v>2.3046500232410394E-2</v>
      </c>
      <c r="R1242" s="143">
        <v>2.3018585382903467E-2</v>
      </c>
    </row>
    <row r="1243" spans="14:18" x14ac:dyDescent="0.2">
      <c r="N1243" s="139" t="str">
        <f t="shared" si="26"/>
        <v>1w</v>
      </c>
      <c r="O1243" s="146">
        <f>_xll.qlCalendarAdvance(Calendar,O1242,N1243,"f",FALSE)</f>
        <v>47869</v>
      </c>
      <c r="P1243" s="140">
        <f>_xll.qlInterestRateIndexValueDate(IborIndex,O1243)</f>
        <v>47871</v>
      </c>
      <c r="Q1243" s="141">
        <v>2.3049562924687683E-2</v>
      </c>
      <c r="R1243" s="143">
        <v>2.3021711925528265E-2</v>
      </c>
    </row>
    <row r="1244" spans="14:18" x14ac:dyDescent="0.2">
      <c r="N1244" s="139" t="str">
        <f t="shared" si="26"/>
        <v>1w</v>
      </c>
      <c r="O1244" s="146">
        <f>_xll.qlCalendarAdvance(Calendar,O1243,N1244,"f",FALSE)</f>
        <v>47876</v>
      </c>
      <c r="P1244" s="140">
        <f>_xll.qlInterestRateIndexValueDate(IborIndex,O1244)</f>
        <v>47878</v>
      </c>
      <c r="Q1244" s="141">
        <v>2.3049733565119034E-2</v>
      </c>
      <c r="R1244" s="143">
        <v>2.3024795910195905E-2</v>
      </c>
    </row>
    <row r="1245" spans="14:18" x14ac:dyDescent="0.2">
      <c r="N1245" s="139" t="str">
        <f t="shared" si="26"/>
        <v>1w</v>
      </c>
      <c r="O1245" s="146">
        <f>_xll.qlCalendarAdvance(Calendar,O1244,N1245,"f",FALSE)</f>
        <v>47883</v>
      </c>
      <c r="P1245" s="140">
        <f>_xll.qlInterestRateIndexValueDate(IborIndex,O1245)</f>
        <v>47885</v>
      </c>
      <c r="Q1245" s="141">
        <v>2.305177212635964E-2</v>
      </c>
      <c r="R1245" s="143">
        <v>2.3027837336986323E-2</v>
      </c>
    </row>
    <row r="1246" spans="14:18" x14ac:dyDescent="0.2">
      <c r="N1246" s="139" t="str">
        <f t="shared" si="26"/>
        <v>1w</v>
      </c>
      <c r="O1246" s="146">
        <f>_xll.qlCalendarAdvance(Calendar,O1245,N1246,"f",FALSE)</f>
        <v>47890</v>
      </c>
      <c r="P1246" s="140">
        <f>_xll.qlInterestRateIndexValueDate(IborIndex,O1246)</f>
        <v>47892</v>
      </c>
      <c r="Q1246" s="141">
        <v>2.3054718322917785E-2</v>
      </c>
      <c r="R1246" s="143">
        <v>2.3030836205739647E-2</v>
      </c>
    </row>
    <row r="1247" spans="14:18" x14ac:dyDescent="0.2">
      <c r="N1247" s="139" t="str">
        <f t="shared" si="26"/>
        <v>1w</v>
      </c>
      <c r="O1247" s="146">
        <f>_xll.qlCalendarAdvance(Calendar,O1246,N1247,"f",FALSE)</f>
        <v>47897</v>
      </c>
      <c r="P1247" s="140">
        <f>_xll.qlInterestRateIndexValueDate(IborIndex,O1247)</f>
        <v>47899</v>
      </c>
      <c r="Q1247" s="141">
        <v>2.3057621888571411E-2</v>
      </c>
      <c r="R1247" s="143">
        <v>2.3033792516615748E-2</v>
      </c>
    </row>
    <row r="1248" spans="14:18" x14ac:dyDescent="0.2">
      <c r="N1248" s="139" t="str">
        <f t="shared" si="26"/>
        <v>1w</v>
      </c>
      <c r="O1248" s="146">
        <f>_xll.qlCalendarAdvance(Calendar,O1247,N1248,"f",FALSE)</f>
        <v>47904</v>
      </c>
      <c r="P1248" s="140">
        <f>_xll.qlInterestRateIndexValueDate(IborIndex,O1248)</f>
        <v>47906</v>
      </c>
      <c r="Q1248" s="141">
        <v>2.3060482823294821E-2</v>
      </c>
      <c r="R1248" s="143">
        <v>2.3036706269454754E-2</v>
      </c>
    </row>
    <row r="1249" spans="14:18" x14ac:dyDescent="0.2">
      <c r="N1249" s="139" t="str">
        <f t="shared" si="26"/>
        <v>1w</v>
      </c>
      <c r="O1249" s="146">
        <f>_xll.qlCalendarAdvance(Calendar,O1248,N1249,"f",FALSE)</f>
        <v>47911</v>
      </c>
      <c r="P1249" s="140">
        <f>_xll.qlInterestRateIndexValueDate(IborIndex,O1249)</f>
        <v>47913</v>
      </c>
      <c r="Q1249" s="141">
        <v>2.306704360298506E-2</v>
      </c>
      <c r="R1249" s="143">
        <v>2.3039577464336602E-2</v>
      </c>
    </row>
    <row r="1250" spans="14:18" x14ac:dyDescent="0.2">
      <c r="N1250" s="139" t="str">
        <f t="shared" si="26"/>
        <v>1w</v>
      </c>
      <c r="O1250" s="146">
        <f>_xll.qlCalendarAdvance(Calendar,O1249,N1250,"f",FALSE)</f>
        <v>47918</v>
      </c>
      <c r="P1250" s="140">
        <f>_xll.qlInterestRateIndexValueDate(IborIndex,O1250)</f>
        <v>47920</v>
      </c>
      <c r="Q1250" s="141">
        <v>2.3070739969715186E-2</v>
      </c>
      <c r="R1250" s="143">
        <v>2.3042406101341228E-2</v>
      </c>
    </row>
    <row r="1251" spans="14:18" x14ac:dyDescent="0.2">
      <c r="N1251" s="139" t="str">
        <f t="shared" si="26"/>
        <v>1w</v>
      </c>
      <c r="O1251" s="146">
        <f>_xll.qlCalendarAdvance(Calendar,O1250,N1251,"f",FALSE)</f>
        <v>47925</v>
      </c>
      <c r="P1251" s="140">
        <f>_xll.qlInterestRateIndexValueDate(IborIndex,O1251)</f>
        <v>47927</v>
      </c>
      <c r="Q1251" s="141">
        <v>2.3072529361482519E-2</v>
      </c>
      <c r="R1251" s="143">
        <v>2.304519218030876E-2</v>
      </c>
    </row>
    <row r="1252" spans="14:18" x14ac:dyDescent="0.2">
      <c r="N1252" s="139" t="str">
        <f t="shared" si="26"/>
        <v>1w</v>
      </c>
      <c r="O1252" s="146">
        <f>_xll.qlCalendarAdvance(Calendar,O1251,N1252,"f",FALSE)</f>
        <v>47932</v>
      </c>
      <c r="P1252" s="140">
        <f>_xll.qlInterestRateIndexValueDate(IborIndex,O1252)</f>
        <v>47934</v>
      </c>
      <c r="Q1252" s="141">
        <v>2.3075208277911208E-2</v>
      </c>
      <c r="R1252" s="143">
        <v>2.3047935701319133E-2</v>
      </c>
    </row>
    <row r="1253" spans="14:18" x14ac:dyDescent="0.2">
      <c r="N1253" s="139" t="str">
        <f t="shared" si="26"/>
        <v>1w</v>
      </c>
      <c r="O1253" s="146">
        <f>_xll.qlCalendarAdvance(Calendar,O1252,N1253,"f",FALSE)</f>
        <v>47939</v>
      </c>
      <c r="P1253" s="140">
        <f>_xll.qlInterestRateIndexValueDate(IborIndex,O1253)</f>
        <v>47941</v>
      </c>
      <c r="Q1253" s="141">
        <v>2.3077844552419902E-2</v>
      </c>
      <c r="R1253" s="143">
        <v>2.3050636664372348E-2</v>
      </c>
    </row>
    <row r="1254" spans="14:18" x14ac:dyDescent="0.2">
      <c r="N1254" s="139" t="str">
        <f t="shared" si="26"/>
        <v>1w</v>
      </c>
      <c r="O1254" s="146">
        <f>_xll.qlCalendarAdvance(Calendar,O1253,N1254,"f",FALSE)</f>
        <v>47946</v>
      </c>
      <c r="P1254" s="140">
        <f>_xll.qlInterestRateIndexValueDate(IborIndex,O1254)</f>
        <v>47948</v>
      </c>
      <c r="Q1254" s="141">
        <v>2.3080438184978624E-2</v>
      </c>
      <c r="R1254" s="143">
        <v>2.3054046797028604E-2</v>
      </c>
    </row>
    <row r="1255" spans="14:18" x14ac:dyDescent="0.2">
      <c r="N1255" s="139" t="str">
        <f t="shared" si="26"/>
        <v>1w</v>
      </c>
      <c r="O1255" s="146">
        <f>_xll.qlCalendarAdvance(Calendar,O1254,N1255,"f",FALSE)</f>
        <v>47953</v>
      </c>
      <c r="P1255" s="140">
        <f>_xll.qlInterestRateIndexValueDate(IborIndex,O1255)</f>
        <v>47955</v>
      </c>
      <c r="Q1255" s="141">
        <v>2.30829891755574E-2</v>
      </c>
      <c r="R1255" s="143">
        <v>2.3055910916607303E-2</v>
      </c>
    </row>
    <row r="1256" spans="14:18" x14ac:dyDescent="0.2">
      <c r="N1256" s="139" t="str">
        <f t="shared" si="26"/>
        <v>1w</v>
      </c>
      <c r="O1256" s="146">
        <f>_xll.qlCalendarAdvance(Calendar,O1255,N1256,"f",FALSE)</f>
        <v>47960</v>
      </c>
      <c r="P1256" s="140">
        <f>_xll.qlInterestRateIndexValueDate(IborIndex,O1256)</f>
        <v>47962</v>
      </c>
      <c r="Q1256" s="141">
        <v>2.3085497524131249E-2</v>
      </c>
      <c r="R1256" s="143">
        <v>2.3058484205789043E-2</v>
      </c>
    </row>
    <row r="1257" spans="14:18" x14ac:dyDescent="0.2">
      <c r="N1257" s="139" t="str">
        <f t="shared" si="26"/>
        <v>1w</v>
      </c>
      <c r="O1257" s="146">
        <f>_xll.qlCalendarAdvance(Calendar,O1256,N1257,"f",FALSE)</f>
        <v>47967</v>
      </c>
      <c r="P1257" s="140">
        <f>_xll.qlInterestRateIndexValueDate(IborIndex,O1257)</f>
        <v>47970</v>
      </c>
      <c r="Q1257" s="141">
        <v>2.3088311993473831E-2</v>
      </c>
      <c r="R1257" s="143">
        <v>2.3061372995876184E-2</v>
      </c>
    </row>
    <row r="1258" spans="14:18" x14ac:dyDescent="0.2">
      <c r="N1258" s="139" t="str">
        <f t="shared" si="26"/>
        <v>1w</v>
      </c>
      <c r="O1258" s="146">
        <f>_xll.qlCalendarAdvance(Calendar,O1257,N1258,"f",FALSE)</f>
        <v>47974</v>
      </c>
      <c r="P1258" s="140">
        <f>_xll.qlInterestRateIndexValueDate(IborIndex,O1258)</f>
        <v>47976</v>
      </c>
      <c r="Q1258" s="141">
        <v>2.3090386295139265E-2</v>
      </c>
      <c r="R1258" s="143">
        <v>2.3063503110281047E-2</v>
      </c>
    </row>
    <row r="1259" spans="14:18" x14ac:dyDescent="0.2">
      <c r="N1259" s="139" t="str">
        <f t="shared" si="26"/>
        <v>1w</v>
      </c>
      <c r="O1259" s="146">
        <f>_xll.qlCalendarAdvance(Calendar,O1258,N1259,"f",FALSE)</f>
        <v>47981</v>
      </c>
      <c r="P1259" s="140">
        <f>_xll.qlInterestRateIndexValueDate(IborIndex,O1259)</f>
        <v>47983</v>
      </c>
      <c r="Q1259" s="141">
        <v>2.3092766717515978E-2</v>
      </c>
      <c r="R1259" s="143">
        <v>2.3065948725511376E-2</v>
      </c>
    </row>
    <row r="1260" spans="14:18" x14ac:dyDescent="0.2">
      <c r="N1260" s="139" t="str">
        <f t="shared" si="26"/>
        <v>1w</v>
      </c>
      <c r="O1260" s="146">
        <f>_xll.qlCalendarAdvance(Calendar,O1259,N1260,"f",FALSE)</f>
        <v>47988</v>
      </c>
      <c r="P1260" s="140">
        <f>_xll.qlInterestRateIndexValueDate(IborIndex,O1260)</f>
        <v>47991</v>
      </c>
      <c r="Q1260" s="141">
        <v>2.3094531835380027E-2</v>
      </c>
      <c r="R1260" s="143">
        <v>2.3068691602556868E-2</v>
      </c>
    </row>
    <row r="1261" spans="14:18" x14ac:dyDescent="0.2">
      <c r="N1261" s="139" t="str">
        <f t="shared" si="26"/>
        <v>1w</v>
      </c>
      <c r="O1261" s="146">
        <f>_xll.qlCalendarAdvance(Calendar,O1260,N1261,"f",FALSE)</f>
        <v>47995</v>
      </c>
      <c r="P1261" s="140">
        <f>_xll.qlInterestRateIndexValueDate(IborIndex,O1261)</f>
        <v>47997</v>
      </c>
      <c r="Q1261" s="141">
        <v>2.3097399635892413E-2</v>
      </c>
      <c r="R1261" s="143">
        <v>2.3071046022176134E-2</v>
      </c>
    </row>
    <row r="1262" spans="14:18" x14ac:dyDescent="0.2">
      <c r="N1262" s="139" t="str">
        <f t="shared" si="26"/>
        <v>1w</v>
      </c>
      <c r="O1262" s="146">
        <f>_xll.qlCalendarAdvance(Calendar,O1261,N1262,"f",FALSE)</f>
        <v>48002</v>
      </c>
      <c r="P1262" s="140">
        <f>_xll.qlInterestRateIndexValueDate(IborIndex,O1262)</f>
        <v>48004</v>
      </c>
      <c r="Q1262" s="141">
        <v>2.309965213183468E-2</v>
      </c>
      <c r="R1262" s="143">
        <v>2.3073030223379476E-2</v>
      </c>
    </row>
    <row r="1263" spans="14:18" x14ac:dyDescent="0.2">
      <c r="N1263" s="139" t="str">
        <f t="shared" si="26"/>
        <v>1w</v>
      </c>
      <c r="O1263" s="146">
        <f>_xll.qlCalendarAdvance(Calendar,O1262,N1263,"f",FALSE)</f>
        <v>48009</v>
      </c>
      <c r="P1263" s="140">
        <f>_xll.qlInterestRateIndexValueDate(IborIndex,O1263)</f>
        <v>48011</v>
      </c>
      <c r="Q1263" s="141">
        <v>2.3101861985582173E-2</v>
      </c>
      <c r="R1263" s="143">
        <v>2.3075305606861107E-2</v>
      </c>
    </row>
    <row r="1264" spans="14:18" x14ac:dyDescent="0.2">
      <c r="N1264" s="139" t="str">
        <f t="shared" si="26"/>
        <v>1w</v>
      </c>
      <c r="O1264" s="146">
        <f>_xll.qlCalendarAdvance(Calendar,O1263,N1264,"f",FALSE)</f>
        <v>48016</v>
      </c>
      <c r="P1264" s="140">
        <f>_xll.qlInterestRateIndexValueDate(IborIndex,O1264)</f>
        <v>48018</v>
      </c>
      <c r="Q1264" s="141">
        <v>2.3104029197107412E-2</v>
      </c>
      <c r="R1264" s="143">
        <v>2.3077853933211046E-2</v>
      </c>
    </row>
    <row r="1265" spans="14:18" x14ac:dyDescent="0.2">
      <c r="N1265" s="139" t="str">
        <f t="shared" si="26"/>
        <v>1w</v>
      </c>
      <c r="O1265" s="146">
        <f>_xll.qlCalendarAdvance(Calendar,O1264,N1265,"f",FALSE)</f>
        <v>48023</v>
      </c>
      <c r="P1265" s="140">
        <f>_xll.qlInterestRateIndexValueDate(IborIndex,O1265)</f>
        <v>48025</v>
      </c>
      <c r="Q1265" s="141">
        <v>2.310615376638292E-2</v>
      </c>
      <c r="R1265" s="143">
        <v>2.3079728699633151E-2</v>
      </c>
    </row>
    <row r="1266" spans="14:18" x14ac:dyDescent="0.2">
      <c r="N1266" s="139" t="str">
        <f t="shared" si="26"/>
        <v>1w</v>
      </c>
      <c r="O1266" s="146">
        <f>_xll.qlCalendarAdvance(Calendar,O1265,N1266,"f",FALSE)</f>
        <v>48030</v>
      </c>
      <c r="P1266" s="140">
        <f>_xll.qlInterestRateIndexValueDate(IborIndex,O1266)</f>
        <v>48032</v>
      </c>
      <c r="Q1266" s="141">
        <v>2.3108235693388712E-2</v>
      </c>
      <c r="R1266" s="143">
        <v>2.3081876409083435E-2</v>
      </c>
    </row>
    <row r="1267" spans="14:18" x14ac:dyDescent="0.2">
      <c r="N1267" s="139" t="str">
        <f t="shared" si="26"/>
        <v>1w</v>
      </c>
      <c r="O1267" s="146">
        <f>_xll.qlCalendarAdvance(Calendar,O1266,N1267,"f",FALSE)</f>
        <v>48037</v>
      </c>
      <c r="P1267" s="140">
        <f>_xll.qlInterestRateIndexValueDate(IborIndex,O1267)</f>
        <v>48039</v>
      </c>
      <c r="Q1267" s="141">
        <v>2.311027497809981E-2</v>
      </c>
      <c r="R1267" s="143">
        <v>2.3083981560576561E-2</v>
      </c>
    </row>
    <row r="1268" spans="14:18" x14ac:dyDescent="0.2">
      <c r="N1268" s="139" t="str">
        <f t="shared" si="26"/>
        <v>1w</v>
      </c>
      <c r="O1268" s="146">
        <f>_xll.qlCalendarAdvance(Calendar,O1267,N1268,"f",FALSE)</f>
        <v>48044</v>
      </c>
      <c r="P1268" s="140">
        <f>_xll.qlInterestRateIndexValueDate(IborIndex,O1268)</f>
        <v>48046</v>
      </c>
      <c r="Q1268" s="141">
        <v>2.311227162049373E-2</v>
      </c>
      <c r="R1268" s="143">
        <v>2.3086044154032592E-2</v>
      </c>
    </row>
    <row r="1269" spans="14:18" x14ac:dyDescent="0.2">
      <c r="N1269" s="139" t="str">
        <f t="shared" si="26"/>
        <v>1w</v>
      </c>
      <c r="O1269" s="146">
        <f>_xll.qlCalendarAdvance(Calendar,O1268,N1269,"f",FALSE)</f>
        <v>48051</v>
      </c>
      <c r="P1269" s="140">
        <f>_xll.qlInterestRateIndexValueDate(IborIndex,O1269)</f>
        <v>48053</v>
      </c>
      <c r="Q1269" s="141">
        <v>2.311422562054799E-2</v>
      </c>
      <c r="R1269" s="143">
        <v>2.3088064189611401E-2</v>
      </c>
    </row>
    <row r="1270" spans="14:18" x14ac:dyDescent="0.2">
      <c r="N1270" s="139" t="str">
        <f t="shared" si="26"/>
        <v>1w</v>
      </c>
      <c r="O1270" s="146">
        <f>_xll.qlCalendarAdvance(Calendar,O1269,N1270,"f",FALSE)</f>
        <v>48058</v>
      </c>
      <c r="P1270" s="140">
        <f>_xll.qlInterestRateIndexValueDate(IborIndex,O1270)</f>
        <v>48060</v>
      </c>
      <c r="Q1270" s="141">
        <v>2.3113512887640297E-2</v>
      </c>
      <c r="R1270" s="143">
        <v>2.3090041667153116E-2</v>
      </c>
    </row>
    <row r="1271" spans="14:18" x14ac:dyDescent="0.2">
      <c r="N1271" s="139" t="str">
        <f t="shared" si="26"/>
        <v>1w</v>
      </c>
      <c r="O1271" s="146">
        <f>_xll.qlCalendarAdvance(Calendar,O1270,N1271,"f",FALSE)</f>
        <v>48065</v>
      </c>
      <c r="P1271" s="140">
        <f>_xll.qlInterestRateIndexValueDate(IborIndex,O1271)</f>
        <v>48067</v>
      </c>
      <c r="Q1271" s="141">
        <v>2.3118005693545107E-2</v>
      </c>
      <c r="R1271" s="143">
        <v>2.3091976586657736E-2</v>
      </c>
    </row>
    <row r="1272" spans="14:18" x14ac:dyDescent="0.2">
      <c r="N1272" s="139" t="str">
        <f t="shared" si="26"/>
        <v>1w</v>
      </c>
      <c r="O1272" s="146">
        <f>_xll.qlCalendarAdvance(Calendar,O1271,N1272,"f",FALSE)</f>
        <v>48072</v>
      </c>
      <c r="P1272" s="140">
        <f>_xll.qlInterestRateIndexValueDate(IborIndex,O1272)</f>
        <v>48074</v>
      </c>
      <c r="Q1272" s="141">
        <v>2.3119831766450494E-2</v>
      </c>
      <c r="R1272" s="143">
        <v>2.3093868948285134E-2</v>
      </c>
    </row>
    <row r="1273" spans="14:18" x14ac:dyDescent="0.2">
      <c r="N1273" s="139" t="str">
        <f t="shared" si="26"/>
        <v>1w</v>
      </c>
      <c r="O1273" s="146">
        <f>_xll.qlCalendarAdvance(Calendar,O1272,N1273,"f",FALSE)</f>
        <v>48079</v>
      </c>
      <c r="P1273" s="140">
        <f>_xll.qlInterestRateIndexValueDate(IborIndex,O1273)</f>
        <v>48081</v>
      </c>
      <c r="Q1273" s="141">
        <v>2.3121615196926293E-2</v>
      </c>
      <c r="R1273" s="143">
        <v>2.3095718751875438E-2</v>
      </c>
    </row>
    <row r="1274" spans="14:18" x14ac:dyDescent="0.2">
      <c r="N1274" s="139" t="str">
        <f t="shared" si="26"/>
        <v>1w</v>
      </c>
      <c r="O1274" s="146">
        <f>_xll.qlCalendarAdvance(Calendar,O1273,N1274,"f",FALSE)</f>
        <v>48086</v>
      </c>
      <c r="P1274" s="140">
        <f>_xll.qlInterestRateIndexValueDate(IborIndex,O1274)</f>
        <v>48088</v>
      </c>
      <c r="Q1274" s="141">
        <v>2.3123355984952521E-2</v>
      </c>
      <c r="R1274" s="143">
        <v>2.3097525997508583E-2</v>
      </c>
    </row>
    <row r="1275" spans="14:18" x14ac:dyDescent="0.2">
      <c r="N1275" s="139" t="str">
        <f t="shared" si="26"/>
        <v>1w</v>
      </c>
      <c r="O1275" s="146">
        <f>_xll.qlCalendarAdvance(Calendar,O1274,N1275,"f",FALSE)</f>
        <v>48093</v>
      </c>
      <c r="P1275" s="140">
        <f>_xll.qlInterestRateIndexValueDate(IborIndex,O1275)</f>
        <v>48095</v>
      </c>
      <c r="Q1275" s="141">
        <v>2.3125054130516687E-2</v>
      </c>
      <c r="R1275" s="143">
        <v>2.309929068518457E-2</v>
      </c>
    </row>
    <row r="1276" spans="14:18" x14ac:dyDescent="0.2">
      <c r="N1276" s="139" t="str">
        <f t="shared" si="26"/>
        <v>1w</v>
      </c>
      <c r="O1276" s="146">
        <f>_xll.qlCalendarAdvance(Calendar,O1275,N1276,"f",FALSE)</f>
        <v>48100</v>
      </c>
      <c r="P1276" s="140">
        <f>_xll.qlInterestRateIndexValueDate(IborIndex,O1276)</f>
        <v>48102</v>
      </c>
      <c r="Q1276" s="141">
        <v>2.3126709633593812E-2</v>
      </c>
      <c r="R1276" s="143">
        <v>2.3101012814823463E-2</v>
      </c>
    </row>
    <row r="1277" spans="14:18" x14ac:dyDescent="0.2">
      <c r="N1277" s="139" t="str">
        <f t="shared" si="26"/>
        <v>1w</v>
      </c>
      <c r="O1277" s="146">
        <f>_xll.qlCalendarAdvance(Calendar,O1276,N1277,"f",FALSE)</f>
        <v>48107</v>
      </c>
      <c r="P1277" s="140">
        <f>_xll.qlInterestRateIndexValueDate(IborIndex,O1277)</f>
        <v>48109</v>
      </c>
      <c r="Q1277" s="141">
        <v>2.3128322494166409E-2</v>
      </c>
      <c r="R1277" s="143">
        <v>2.3102692386425261E-2</v>
      </c>
    </row>
    <row r="1278" spans="14:18" x14ac:dyDescent="0.2">
      <c r="N1278" s="139" t="str">
        <f t="shared" si="26"/>
        <v>1w</v>
      </c>
      <c r="O1278" s="146">
        <f>_xll.qlCalendarAdvance(Calendar,O1277,N1278,"f",FALSE)</f>
        <v>48114</v>
      </c>
      <c r="P1278" s="140">
        <f>_xll.qlInterestRateIndexValueDate(IborIndex,O1278)</f>
        <v>48116</v>
      </c>
      <c r="Q1278" s="141">
        <v>2.3129892712219491E-2</v>
      </c>
      <c r="R1278" s="143">
        <v>2.3104329400149837E-2</v>
      </c>
    </row>
    <row r="1279" spans="14:18" x14ac:dyDescent="0.2">
      <c r="N1279" s="139" t="str">
        <f t="shared" si="26"/>
        <v>1w</v>
      </c>
      <c r="O1279" s="146">
        <f>_xll.qlCalendarAdvance(Calendar,O1278,N1279,"f",FALSE)</f>
        <v>48121</v>
      </c>
      <c r="P1279" s="140">
        <f>_xll.qlInterestRateIndexValueDate(IborIndex,O1279)</f>
        <v>48123</v>
      </c>
      <c r="Q1279" s="141">
        <v>2.3131420287728077E-2</v>
      </c>
      <c r="R1279" s="143">
        <v>2.3105923855837318E-2</v>
      </c>
    </row>
    <row r="1280" spans="14:18" x14ac:dyDescent="0.2">
      <c r="N1280" s="139" t="str">
        <f t="shared" si="26"/>
        <v>1w</v>
      </c>
      <c r="O1280" s="146">
        <f>_xll.qlCalendarAdvance(Calendar,O1279,N1280,"f",FALSE)</f>
        <v>48128</v>
      </c>
      <c r="P1280" s="140">
        <f>_xll.qlInterestRateIndexValueDate(IborIndex,O1280)</f>
        <v>48130</v>
      </c>
      <c r="Q1280" s="141">
        <v>2.3132905220682176E-2</v>
      </c>
      <c r="R1280" s="143">
        <v>2.3107475753567641E-2</v>
      </c>
    </row>
    <row r="1281" spans="14:18" x14ac:dyDescent="0.2">
      <c r="N1281" s="139" t="str">
        <f t="shared" si="26"/>
        <v>1w</v>
      </c>
      <c r="O1281" s="146">
        <f>_xll.qlCalendarAdvance(Calendar,O1280,N1281,"f",FALSE)</f>
        <v>48135</v>
      </c>
      <c r="P1281" s="140">
        <f>_xll.qlInterestRateIndexValueDate(IborIndex,O1281)</f>
        <v>48137</v>
      </c>
      <c r="Q1281" s="141">
        <v>2.3134347511061804E-2</v>
      </c>
      <c r="R1281" s="143">
        <v>2.3108985093340806E-2</v>
      </c>
    </row>
    <row r="1282" spans="14:18" x14ac:dyDescent="0.2">
      <c r="N1282" s="139" t="str">
        <f t="shared" si="26"/>
        <v>1w</v>
      </c>
      <c r="O1282" s="146">
        <f>_xll.qlCalendarAdvance(Calendar,O1281,N1282,"f",FALSE)</f>
        <v>48142</v>
      </c>
      <c r="P1282" s="140">
        <f>_xll.qlInterestRateIndexValueDate(IborIndex,O1282)</f>
        <v>48144</v>
      </c>
      <c r="Q1282" s="141">
        <v>2.3135747158846975E-2</v>
      </c>
      <c r="R1282" s="143">
        <v>2.3110451875076876E-2</v>
      </c>
    </row>
    <row r="1283" spans="14:18" x14ac:dyDescent="0.2">
      <c r="N1283" s="139" t="str">
        <f t="shared" si="26"/>
        <v>1w</v>
      </c>
      <c r="O1283" s="146">
        <f>_xll.qlCalendarAdvance(Calendar,O1282,N1283,"f",FALSE)</f>
        <v>48149</v>
      </c>
      <c r="P1283" s="140">
        <f>_xll.qlInterestRateIndexValueDate(IborIndex,O1283)</f>
        <v>48151</v>
      </c>
      <c r="Q1283" s="141">
        <v>2.313459480418106E-2</v>
      </c>
      <c r="R1283" s="143">
        <v>2.3111876098935724E-2</v>
      </c>
    </row>
    <row r="1284" spans="14:18" x14ac:dyDescent="0.2">
      <c r="N1284" s="139" t="str">
        <f t="shared" si="26"/>
        <v>1w</v>
      </c>
      <c r="O1284" s="146">
        <f>_xll.qlCalendarAdvance(Calendar,O1283,N1284,"f",FALSE)</f>
        <v>48156</v>
      </c>
      <c r="P1284" s="140">
        <f>_xll.qlInterestRateIndexValueDate(IborIndex,O1284)</f>
        <v>48158</v>
      </c>
      <c r="Q1284" s="141">
        <v>2.3138418526586491E-2</v>
      </c>
      <c r="R1284" s="143">
        <v>2.3113257764677542E-2</v>
      </c>
    </row>
    <row r="1285" spans="14:18" x14ac:dyDescent="0.2">
      <c r="N1285" s="139" t="str">
        <f t="shared" si="26"/>
        <v>1w</v>
      </c>
      <c r="O1285" s="146">
        <f>_xll.qlCalendarAdvance(Calendar,O1284,N1285,"f",FALSE)</f>
        <v>48163</v>
      </c>
      <c r="P1285" s="140">
        <f>_xll.qlInterestRateIndexValueDate(IborIndex,O1285)</f>
        <v>48165</v>
      </c>
      <c r="Q1285" s="141">
        <v>2.3139690246510858E-2</v>
      </c>
      <c r="R1285" s="143">
        <v>2.3114596872462201E-2</v>
      </c>
    </row>
    <row r="1286" spans="14:18" x14ac:dyDescent="0.2">
      <c r="N1286" s="139" t="str">
        <f t="shared" si="26"/>
        <v>1w</v>
      </c>
      <c r="O1286" s="146">
        <f>_xll.qlCalendarAdvance(Calendar,O1285,N1286,"f",FALSE)</f>
        <v>48170</v>
      </c>
      <c r="P1286" s="140">
        <f>_xll.qlInterestRateIndexValueDate(IborIndex,O1286)</f>
        <v>48172</v>
      </c>
      <c r="Q1286" s="141">
        <v>2.3140919323780818E-2</v>
      </c>
      <c r="R1286" s="143">
        <v>2.3115893422289702E-2</v>
      </c>
    </row>
    <row r="1287" spans="14:18" x14ac:dyDescent="0.2">
      <c r="N1287" s="139" t="str">
        <f t="shared" si="26"/>
        <v>1w</v>
      </c>
      <c r="O1287" s="146">
        <f>_xll.qlCalendarAdvance(Calendar,O1286,N1287,"f",FALSE)</f>
        <v>48177</v>
      </c>
      <c r="P1287" s="140">
        <f>_xll.qlInterestRateIndexValueDate(IborIndex,O1287)</f>
        <v>48179</v>
      </c>
      <c r="Q1287" s="141">
        <v>2.3142105758386378E-2</v>
      </c>
      <c r="R1287" s="143">
        <v>2.3117147414080108E-2</v>
      </c>
    </row>
    <row r="1288" spans="14:18" x14ac:dyDescent="0.2">
      <c r="N1288" s="139" t="str">
        <f t="shared" si="26"/>
        <v>1w</v>
      </c>
      <c r="O1288" s="146">
        <f>_xll.qlCalendarAdvance(Calendar,O1287,N1288,"f",FALSE)</f>
        <v>48184</v>
      </c>
      <c r="P1288" s="140">
        <f>_xll.qlInterestRateIndexValueDate(IborIndex,O1288)</f>
        <v>48186</v>
      </c>
      <c r="Q1288" s="141">
        <v>2.314324955031255E-2</v>
      </c>
      <c r="R1288" s="143">
        <v>2.3118358847913356E-2</v>
      </c>
    </row>
    <row r="1289" spans="14:18" x14ac:dyDescent="0.2">
      <c r="N1289" s="139" t="str">
        <f t="shared" si="26"/>
        <v>1w</v>
      </c>
      <c r="O1289" s="146">
        <f>_xll.qlCalendarAdvance(Calendar,O1288,N1289,"f",FALSE)</f>
        <v>48191</v>
      </c>
      <c r="P1289" s="140">
        <f>_xll.qlInterestRateIndexValueDate(IborIndex,O1289)</f>
        <v>48193</v>
      </c>
      <c r="Q1289" s="141">
        <v>2.3144350699544347E-2</v>
      </c>
      <c r="R1289" s="143">
        <v>2.3119527723789446E-2</v>
      </c>
    </row>
    <row r="1290" spans="14:18" x14ac:dyDescent="0.2">
      <c r="N1290" s="139" t="str">
        <f t="shared" si="26"/>
        <v>1w</v>
      </c>
      <c r="O1290" s="146">
        <f>_xll.qlCalendarAdvance(Calendar,O1289,N1290,"f",FALSE)</f>
        <v>48198</v>
      </c>
      <c r="P1290" s="140">
        <f>_xll.qlInterestRateIndexValueDate(IborIndex,O1290)</f>
        <v>48200</v>
      </c>
      <c r="Q1290" s="141">
        <v>2.3145409206074274E-2</v>
      </c>
      <c r="R1290" s="143">
        <v>2.3120654041628441E-2</v>
      </c>
    </row>
    <row r="1291" spans="14:18" x14ac:dyDescent="0.2">
      <c r="N1291" s="139" t="str">
        <f t="shared" si="26"/>
        <v>1w</v>
      </c>
      <c r="O1291" s="146">
        <f>_xll.qlCalendarAdvance(Calendar,O1290,N1291,"f",FALSE)</f>
        <v>48205</v>
      </c>
      <c r="P1291" s="140">
        <f>_xll.qlInterestRateIndexValueDate(IborIndex,O1291)</f>
        <v>48212</v>
      </c>
      <c r="Q1291" s="141">
        <v>2.3146314269802994E-2</v>
      </c>
      <c r="R1291" s="143">
        <v>2.3123594229881306E-2</v>
      </c>
    </row>
    <row r="1292" spans="14:18" x14ac:dyDescent="0.2">
      <c r="N1292" s="139" t="str">
        <f t="shared" si="26"/>
        <v>1w</v>
      </c>
      <c r="O1292" s="146">
        <f>_xll.qlCalendarAdvance(Calendar,O1291,N1292,"f",FALSE)</f>
        <v>48212</v>
      </c>
      <c r="P1292" s="140">
        <f>_xll.qlInterestRateIndexValueDate(IborIndex,O1292)</f>
        <v>48218</v>
      </c>
      <c r="Q1292" s="141">
        <v>2.3147127520828228E-2</v>
      </c>
      <c r="R1292" s="143">
        <v>2.3123212204749777E-2</v>
      </c>
    </row>
    <row r="1293" spans="14:18" x14ac:dyDescent="0.2">
      <c r="N1293" s="139" t="str">
        <f t="shared" si="26"/>
        <v>1w</v>
      </c>
      <c r="O1293" s="146">
        <f>_xll.qlCalendarAdvance(Calendar,O1292,N1293,"f",FALSE)</f>
        <v>48220</v>
      </c>
      <c r="P1293" s="140">
        <f>_xll.qlInterestRateIndexValueDate(IborIndex,O1293)</f>
        <v>48222</v>
      </c>
      <c r="Q1293" s="141">
        <v>2.3147652284095904E-2</v>
      </c>
      <c r="R1293" s="143">
        <v>2.3123916836542691E-2</v>
      </c>
    </row>
    <row r="1294" spans="14:18" x14ac:dyDescent="0.2">
      <c r="N1294" s="139" t="str">
        <f t="shared" si="26"/>
        <v>1w</v>
      </c>
      <c r="O1294" s="146">
        <f>_xll.qlCalendarAdvance(Calendar,O1293,N1294,"f",FALSE)</f>
        <v>48227</v>
      </c>
      <c r="P1294" s="140">
        <f>_xll.qlInterestRateIndexValueDate(IborIndex,O1294)</f>
        <v>48229</v>
      </c>
      <c r="Q1294" s="141">
        <v>2.3148537116937741E-2</v>
      </c>
      <c r="R1294" s="143">
        <v>2.3124866842696434E-2</v>
      </c>
    </row>
    <row r="1295" spans="14:18" x14ac:dyDescent="0.2">
      <c r="N1295" s="139" t="str">
        <f t="shared" si="26"/>
        <v>1w</v>
      </c>
      <c r="O1295" s="146">
        <f>_xll.qlCalendarAdvance(Calendar,O1294,N1295,"f",FALSE)</f>
        <v>48234</v>
      </c>
      <c r="P1295" s="140">
        <f>_xll.qlInterestRateIndexValueDate(IborIndex,O1295)</f>
        <v>48236</v>
      </c>
      <c r="Q1295" s="141">
        <v>2.3149379309764188E-2</v>
      </c>
      <c r="R1295" s="143">
        <v>2.312577429089302E-2</v>
      </c>
    </row>
    <row r="1296" spans="14:18" x14ac:dyDescent="0.2">
      <c r="N1296" s="139" t="str">
        <f t="shared" si="26"/>
        <v>1w</v>
      </c>
      <c r="O1296" s="146">
        <f>_xll.qlCalendarAdvance(Calendar,O1295,N1296,"f",FALSE)</f>
        <v>48241</v>
      </c>
      <c r="P1296" s="140">
        <f>_xll.qlInterestRateIndexValueDate(IborIndex,O1296)</f>
        <v>48243</v>
      </c>
      <c r="Q1296" s="141">
        <v>2.3147786149092044E-2</v>
      </c>
      <c r="R1296" s="143">
        <v>2.3126639181052511E-2</v>
      </c>
    </row>
    <row r="1297" spans="14:18" x14ac:dyDescent="0.2">
      <c r="N1297" s="139" t="str">
        <f t="shared" si="26"/>
        <v>1w</v>
      </c>
      <c r="O1297" s="146">
        <f>_xll.qlCalendarAdvance(Calendar,O1296,N1297,"f",FALSE)</f>
        <v>48248</v>
      </c>
      <c r="P1297" s="140">
        <f>_xll.qlInterestRateIndexValueDate(IborIndex,O1297)</f>
        <v>48250</v>
      </c>
      <c r="Q1297" s="141">
        <v>2.3150935775301286E-2</v>
      </c>
      <c r="R1297" s="143">
        <v>2.3127461513334779E-2</v>
      </c>
    </row>
    <row r="1298" spans="14:18" x14ac:dyDescent="0.2">
      <c r="N1298" s="139" t="str">
        <f t="shared" si="26"/>
        <v>1w</v>
      </c>
      <c r="O1298" s="146">
        <f>_xll.qlCalendarAdvance(Calendar,O1297,N1298,"f",FALSE)</f>
        <v>48255</v>
      </c>
      <c r="P1298" s="140">
        <f>_xll.qlInterestRateIndexValueDate(IborIndex,O1298)</f>
        <v>48257</v>
      </c>
      <c r="Q1298" s="141">
        <v>2.315165004800163E-2</v>
      </c>
      <c r="R1298" s="143">
        <v>2.3128241287579954E-2</v>
      </c>
    </row>
    <row r="1299" spans="14:18" x14ac:dyDescent="0.2">
      <c r="N1299" s="139" t="str">
        <f t="shared" si="26"/>
        <v>1w</v>
      </c>
      <c r="O1299" s="146">
        <f>_xll.qlCalendarAdvance(Calendar,O1298,N1299,"f",FALSE)</f>
        <v>48262</v>
      </c>
      <c r="P1299" s="140">
        <f>_xll.qlInterestRateIndexValueDate(IborIndex,O1299)</f>
        <v>48264</v>
      </c>
      <c r="Q1299" s="141">
        <v>2.3152321680642744E-2</v>
      </c>
      <c r="R1299" s="143">
        <v>2.3128978503788034E-2</v>
      </c>
    </row>
    <row r="1300" spans="14:18" x14ac:dyDescent="0.2">
      <c r="N1300" s="139" t="str">
        <f t="shared" si="26"/>
        <v>1w</v>
      </c>
      <c r="O1300" s="146">
        <f>_xll.qlCalendarAdvance(Calendar,O1299,N1300,"f",FALSE)</f>
        <v>48269</v>
      </c>
      <c r="P1300" s="140">
        <f>_xll.qlInterestRateIndexValueDate(IborIndex,O1300)</f>
        <v>48271</v>
      </c>
      <c r="Q1300" s="141">
        <v>2.3154520546157673E-2</v>
      </c>
      <c r="R1300" s="143">
        <v>2.3129673161959019E-2</v>
      </c>
    </row>
    <row r="1301" spans="14:18" x14ac:dyDescent="0.2">
      <c r="N1301" s="139" t="str">
        <f t="shared" ref="N1301:N1364" si="27">N1300</f>
        <v>1w</v>
      </c>
      <c r="O1301" s="146">
        <f>_xll.qlCalendarAdvance(Calendar,O1300,N1301,"f",FALSE)</f>
        <v>48276</v>
      </c>
      <c r="P1301" s="140">
        <f>_xll.qlInterestRateIndexValueDate(IborIndex,O1301)</f>
        <v>48278</v>
      </c>
      <c r="Q1301" s="141">
        <v>2.3153537025726669E-2</v>
      </c>
      <c r="R1301" s="143">
        <v>2.3130325262172846E-2</v>
      </c>
    </row>
    <row r="1302" spans="14:18" x14ac:dyDescent="0.2">
      <c r="N1302" s="139" t="str">
        <f t="shared" si="27"/>
        <v>1w</v>
      </c>
      <c r="O1302" s="146">
        <f>_xll.qlCalendarAdvance(Calendar,O1301,N1302,"f",FALSE)</f>
        <v>48283</v>
      </c>
      <c r="P1302" s="140">
        <f>_xll.qlInterestRateIndexValueDate(IborIndex,O1302)</f>
        <v>48285</v>
      </c>
      <c r="Q1302" s="141">
        <v>2.3154080738154011E-2</v>
      </c>
      <c r="R1302" s="143">
        <v>2.3130934804429515E-2</v>
      </c>
    </row>
    <row r="1303" spans="14:18" x14ac:dyDescent="0.2">
      <c r="N1303" s="139" t="str">
        <f t="shared" si="27"/>
        <v>1w</v>
      </c>
      <c r="O1303" s="146">
        <f>_xll.qlCalendarAdvance(Calendar,O1302,N1303,"f",FALSE)</f>
        <v>48290</v>
      </c>
      <c r="P1303" s="140">
        <f>_xll.qlInterestRateIndexValueDate(IborIndex,O1303)</f>
        <v>48292</v>
      </c>
      <c r="Q1303" s="141">
        <v>2.3154581810496337E-2</v>
      </c>
      <c r="R1303" s="143">
        <v>2.3131501788729025E-2</v>
      </c>
    </row>
    <row r="1304" spans="14:18" x14ac:dyDescent="0.2">
      <c r="N1304" s="139" t="str">
        <f t="shared" si="27"/>
        <v>1w</v>
      </c>
      <c r="O1304" s="146">
        <f>_xll.qlCalendarAdvance(Calendar,O1303,N1304,"f",FALSE)</f>
        <v>48297</v>
      </c>
      <c r="P1304" s="140">
        <f>_xll.qlInterestRateIndexValueDate(IborIndex,O1304)</f>
        <v>48303</v>
      </c>
      <c r="Q1304" s="141">
        <v>2.3155283059506166E-2</v>
      </c>
      <c r="R1304" s="143">
        <v>2.3132168234187844E-2</v>
      </c>
    </row>
    <row r="1305" spans="14:18" x14ac:dyDescent="0.2">
      <c r="N1305" s="139" t="str">
        <f t="shared" si="27"/>
        <v>1w</v>
      </c>
      <c r="O1305" s="146">
        <f>_xll.qlCalendarAdvance(Calendar,O1304,N1305,"f",FALSE)</f>
        <v>48304</v>
      </c>
      <c r="P1305" s="140">
        <f>_xll.qlInterestRateIndexValueDate(IborIndex,O1305)</f>
        <v>48306</v>
      </c>
      <c r="Q1305" s="141">
        <v>2.3155456034910489E-2</v>
      </c>
      <c r="R1305" s="143">
        <v>2.3132508083216763E-2</v>
      </c>
    </row>
    <row r="1306" spans="14:18" x14ac:dyDescent="0.2">
      <c r="N1306" s="139" t="str">
        <f t="shared" si="27"/>
        <v>1w</v>
      </c>
      <c r="O1306" s="146">
        <f>_xll.qlCalendarAdvance(Calendar,O1305,N1306,"f",FALSE)</f>
        <v>48311</v>
      </c>
      <c r="P1306" s="140">
        <f>_xll.qlInterestRateIndexValueDate(IborIndex,O1306)</f>
        <v>48313</v>
      </c>
      <c r="Q1306" s="141">
        <v>2.3155829186969418E-2</v>
      </c>
      <c r="R1306" s="143">
        <v>2.3132947393484926E-2</v>
      </c>
    </row>
    <row r="1307" spans="14:18" x14ac:dyDescent="0.2">
      <c r="N1307" s="139" t="str">
        <f t="shared" si="27"/>
        <v>1w</v>
      </c>
      <c r="O1307" s="146">
        <f>_xll.qlCalendarAdvance(Calendar,O1306,N1307,"f",FALSE)</f>
        <v>48318</v>
      </c>
      <c r="P1307" s="140">
        <f>_xll.qlInterestRateIndexValueDate(IborIndex,O1307)</f>
        <v>48320</v>
      </c>
      <c r="Q1307" s="141">
        <v>2.3156923646657779E-2</v>
      </c>
      <c r="R1307" s="143">
        <v>2.3133344145715995E-2</v>
      </c>
    </row>
    <row r="1308" spans="14:18" x14ac:dyDescent="0.2">
      <c r="N1308" s="139" t="str">
        <f t="shared" si="27"/>
        <v>1w</v>
      </c>
      <c r="O1308" s="146">
        <f>_xll.qlCalendarAdvance(Calendar,O1307,N1308,"f",FALSE)</f>
        <v>48325</v>
      </c>
      <c r="P1308" s="140">
        <f>_xll.qlInterestRateIndexValueDate(IborIndex,O1308)</f>
        <v>48327</v>
      </c>
      <c r="Q1308" s="141">
        <v>2.3156447570775514E-2</v>
      </c>
      <c r="R1308" s="143">
        <v>2.3133698340149778E-2</v>
      </c>
    </row>
    <row r="1309" spans="14:18" x14ac:dyDescent="0.2">
      <c r="N1309" s="139" t="str">
        <f t="shared" si="27"/>
        <v>1w</v>
      </c>
      <c r="O1309" s="146">
        <f>_xll.qlCalendarAdvance(Calendar,O1308,N1309,"f",FALSE)</f>
        <v>48332</v>
      </c>
      <c r="P1309" s="140">
        <f>_xll.qlInterestRateIndexValueDate(IborIndex,O1309)</f>
        <v>48334</v>
      </c>
      <c r="Q1309" s="141">
        <v>2.3156692802514946E-2</v>
      </c>
      <c r="R1309" s="143">
        <v>2.3134009976386594E-2</v>
      </c>
    </row>
    <row r="1310" spans="14:18" x14ac:dyDescent="0.2">
      <c r="N1310" s="139" t="str">
        <f t="shared" si="27"/>
        <v>1w</v>
      </c>
      <c r="O1310" s="146">
        <f>_xll.qlCalendarAdvance(Calendar,O1309,N1310,"f",FALSE)</f>
        <v>48339</v>
      </c>
      <c r="P1310" s="140">
        <f>_xll.qlInterestRateIndexValueDate(IborIndex,O1310)</f>
        <v>48344</v>
      </c>
      <c r="Q1310" s="141">
        <v>2.3156969166027667E-2</v>
      </c>
      <c r="R1310" s="143">
        <v>2.3134314020296642E-2</v>
      </c>
    </row>
    <row r="1311" spans="14:18" x14ac:dyDescent="0.2">
      <c r="N1311" s="139" t="str">
        <f t="shared" si="27"/>
        <v>1w</v>
      </c>
      <c r="O1311" s="146">
        <f>_xll.qlCalendarAdvance(Calendar,O1310,N1311,"f",FALSE)</f>
        <v>48346</v>
      </c>
      <c r="P1311" s="140">
        <f>_xll.qlInterestRateIndexValueDate(IborIndex,O1311)</f>
        <v>48348</v>
      </c>
      <c r="Q1311" s="141">
        <v>2.3157055345651104E-2</v>
      </c>
      <c r="R1311" s="143">
        <v>2.313453446084246E-2</v>
      </c>
    </row>
    <row r="1312" spans="14:18" x14ac:dyDescent="0.2">
      <c r="N1312" s="139" t="str">
        <f t="shared" si="27"/>
        <v>1w</v>
      </c>
      <c r="O1312" s="146">
        <f>_xll.qlCalendarAdvance(Calendar,O1311,N1312,"f",FALSE)</f>
        <v>48353</v>
      </c>
      <c r="P1312" s="140">
        <f>_xll.qlInterestRateIndexValueDate(IborIndex,O1312)</f>
        <v>48355</v>
      </c>
      <c r="Q1312" s="141">
        <v>2.315717265704783E-2</v>
      </c>
      <c r="R1312" s="143">
        <v>2.313468953719422E-2</v>
      </c>
    </row>
    <row r="1313" spans="14:18" x14ac:dyDescent="0.2">
      <c r="N1313" s="139" t="str">
        <f t="shared" si="27"/>
        <v>1w</v>
      </c>
      <c r="O1313" s="146">
        <f>_xll.qlCalendarAdvance(Calendar,O1312,N1313,"f",FALSE)</f>
        <v>48360</v>
      </c>
      <c r="P1313" s="140">
        <f>_xll.qlInterestRateIndexValueDate(IborIndex,O1313)</f>
        <v>48362</v>
      </c>
      <c r="Q1313" s="141">
        <v>2.3157247328320866E-2</v>
      </c>
      <c r="R1313" s="143">
        <v>2.3134830941522466E-2</v>
      </c>
    </row>
    <row r="1314" spans="14:18" x14ac:dyDescent="0.2">
      <c r="N1314" s="139" t="str">
        <f t="shared" si="27"/>
        <v>1w</v>
      </c>
      <c r="O1314" s="146">
        <f>_xll.qlCalendarAdvance(Calendar,O1313,N1314,"f",FALSE)</f>
        <v>48367</v>
      </c>
      <c r="P1314" s="140">
        <f>_xll.qlInterestRateIndexValueDate(IborIndex,O1314)</f>
        <v>48369</v>
      </c>
      <c r="Q1314" s="141">
        <v>2.3157279359480525E-2</v>
      </c>
      <c r="R1314" s="143">
        <v>2.3134929787813618E-2</v>
      </c>
    </row>
    <row r="1315" spans="14:18" x14ac:dyDescent="0.2">
      <c r="N1315" s="139" t="str">
        <f t="shared" si="27"/>
        <v>1w</v>
      </c>
      <c r="O1315" s="146">
        <f>_xll.qlCalendarAdvance(Calendar,O1314,N1315,"f",FALSE)</f>
        <v>48374</v>
      </c>
      <c r="P1315" s="140">
        <f>_xll.qlInterestRateIndexValueDate(IborIndex,O1315)</f>
        <v>48376</v>
      </c>
      <c r="Q1315" s="141">
        <v>2.3157268750519072E-2</v>
      </c>
      <c r="R1315" s="143">
        <v>2.3134986076227548E-2</v>
      </c>
    </row>
    <row r="1316" spans="14:18" x14ac:dyDescent="0.2">
      <c r="N1316" s="139" t="str">
        <f t="shared" si="27"/>
        <v>1w</v>
      </c>
      <c r="O1316" s="146">
        <f>_xll.qlCalendarAdvance(Calendar,O1315,N1316,"f",FALSE)</f>
        <v>48381</v>
      </c>
      <c r="P1316" s="140">
        <f>_xll.qlInterestRateIndexValueDate(IborIndex,O1316)</f>
        <v>48383</v>
      </c>
      <c r="Q1316" s="141">
        <v>2.3157215501436512E-2</v>
      </c>
      <c r="R1316" s="143">
        <v>2.3134999806444512E-2</v>
      </c>
    </row>
    <row r="1317" spans="14:18" x14ac:dyDescent="0.2">
      <c r="N1317" s="139" t="str">
        <f t="shared" si="27"/>
        <v>1w</v>
      </c>
      <c r="O1317" s="146">
        <f>_xll.qlCalendarAdvance(Calendar,O1316,N1317,"f",FALSE)</f>
        <v>48388</v>
      </c>
      <c r="P1317" s="140">
        <f>_xll.qlInterestRateIndexValueDate(IborIndex,O1317)</f>
        <v>48393</v>
      </c>
      <c r="Q1317" s="141">
        <v>2.3156332962699366E-2</v>
      </c>
      <c r="R1317" s="143">
        <v>2.3134963386457486E-2</v>
      </c>
    </row>
    <row r="1318" spans="14:18" x14ac:dyDescent="0.2">
      <c r="N1318" s="139" t="str">
        <f t="shared" si="27"/>
        <v>1w</v>
      </c>
      <c r="O1318" s="146">
        <f>_xll.qlCalendarAdvance(Calendar,O1317,N1318,"f",FALSE)</f>
        <v>48395</v>
      </c>
      <c r="P1318" s="140">
        <f>_xll.qlInterestRateIndexValueDate(IborIndex,O1318)</f>
        <v>48397</v>
      </c>
      <c r="Q1318" s="141">
        <v>2.3156981082920945E-2</v>
      </c>
      <c r="R1318" s="143">
        <v>2.3134899593166836E-2</v>
      </c>
    </row>
    <row r="1319" spans="14:18" x14ac:dyDescent="0.2">
      <c r="N1319" s="139" t="str">
        <f t="shared" si="27"/>
        <v>1w</v>
      </c>
      <c r="O1319" s="146">
        <f>_xll.qlCalendarAdvance(Calendar,O1318,N1319,"f",FALSE)</f>
        <v>48402</v>
      </c>
      <c r="P1319" s="140">
        <f>_xll.qlInterestRateIndexValueDate(IborIndex,O1319)</f>
        <v>48404</v>
      </c>
      <c r="Q1319" s="141">
        <v>2.3156799913485362E-2</v>
      </c>
      <c r="R1319" s="143">
        <v>2.3134785649512324E-2</v>
      </c>
    </row>
    <row r="1320" spans="14:18" x14ac:dyDescent="0.2">
      <c r="N1320" s="139" t="str">
        <f t="shared" si="27"/>
        <v>1w</v>
      </c>
      <c r="O1320" s="146">
        <f>_xll.qlCalendarAdvance(Calendar,O1319,N1320,"f",FALSE)</f>
        <v>48409</v>
      </c>
      <c r="P1320" s="140">
        <f>_xll.qlInterestRateIndexValueDate(IborIndex,O1320)</f>
        <v>48411</v>
      </c>
      <c r="Q1320" s="141">
        <v>2.3156576103938981E-2</v>
      </c>
      <c r="R1320" s="143">
        <v>2.3134629147820718E-2</v>
      </c>
    </row>
    <row r="1321" spans="14:18" x14ac:dyDescent="0.2">
      <c r="N1321" s="139" t="str">
        <f t="shared" si="27"/>
        <v>1w</v>
      </c>
      <c r="O1321" s="146">
        <f>_xll.qlCalendarAdvance(Calendar,O1320,N1321,"f",FALSE)</f>
        <v>48416</v>
      </c>
      <c r="P1321" s="140">
        <f>_xll.qlInterestRateIndexValueDate(IborIndex,O1321)</f>
        <v>48418</v>
      </c>
      <c r="Q1321" s="141">
        <v>2.3156309654281806E-2</v>
      </c>
      <c r="R1321" s="143">
        <v>2.3134430088251889E-2</v>
      </c>
    </row>
    <row r="1322" spans="14:18" x14ac:dyDescent="0.2">
      <c r="N1322" s="139" t="str">
        <f t="shared" si="27"/>
        <v>1w</v>
      </c>
      <c r="O1322" s="146">
        <f>_xll.qlCalendarAdvance(Calendar,O1321,N1322,"f",FALSE)</f>
        <v>48423</v>
      </c>
      <c r="P1322" s="140">
        <f>_xll.qlInterestRateIndexValueDate(IborIndex,O1322)</f>
        <v>48425</v>
      </c>
      <c r="Q1322" s="141">
        <v>2.3156718813247545E-2</v>
      </c>
      <c r="R1322" s="143">
        <v>2.3134188470566031E-2</v>
      </c>
    </row>
    <row r="1323" spans="14:18" x14ac:dyDescent="0.2">
      <c r="N1323" s="139" t="str">
        <f t="shared" si="27"/>
        <v>1w</v>
      </c>
      <c r="O1323" s="146">
        <f>_xll.qlCalendarAdvance(Calendar,O1322,N1323,"f",FALSE)</f>
        <v>48430</v>
      </c>
      <c r="P1323" s="140">
        <f>_xll.qlInterestRateIndexValueDate(IborIndex,O1323)</f>
        <v>48432</v>
      </c>
      <c r="Q1323" s="141">
        <v>2.3155648834640219E-2</v>
      </c>
      <c r="R1323" s="143">
        <v>2.3133904294843077E-2</v>
      </c>
    </row>
    <row r="1324" spans="14:18" x14ac:dyDescent="0.2">
      <c r="N1324" s="139" t="str">
        <f t="shared" si="27"/>
        <v>1w</v>
      </c>
      <c r="O1324" s="146">
        <f>_xll.qlCalendarAdvance(Calendar,O1323,N1324,"f",FALSE)</f>
        <v>48437</v>
      </c>
      <c r="P1324" s="140">
        <f>_xll.qlInterestRateIndexValueDate(IborIndex,O1324)</f>
        <v>48439</v>
      </c>
      <c r="Q1324" s="141">
        <v>2.3155254464666122E-2</v>
      </c>
      <c r="R1324" s="143">
        <v>2.3133577561322838E-2</v>
      </c>
    </row>
    <row r="1325" spans="14:18" x14ac:dyDescent="0.2">
      <c r="N1325" s="139" t="str">
        <f t="shared" si="27"/>
        <v>1w</v>
      </c>
      <c r="O1325" s="146">
        <f>_xll.qlCalendarAdvance(Calendar,O1324,N1325,"f",FALSE)</f>
        <v>48444</v>
      </c>
      <c r="P1325" s="140">
        <f>_xll.qlInterestRateIndexValueDate(IborIndex,O1325)</f>
        <v>48446</v>
      </c>
      <c r="Q1325" s="141">
        <v>2.315481745459412E-2</v>
      </c>
      <c r="R1325" s="143">
        <v>2.3133208269685568E-2</v>
      </c>
    </row>
    <row r="1326" spans="14:18" x14ac:dyDescent="0.2">
      <c r="N1326" s="139" t="str">
        <f t="shared" si="27"/>
        <v>1w</v>
      </c>
      <c r="O1326" s="146">
        <f>_xll.qlCalendarAdvance(Calendar,O1325,N1326,"f",FALSE)</f>
        <v>48451</v>
      </c>
      <c r="P1326" s="140">
        <f>_xll.qlInterestRateIndexValueDate(IborIndex,O1326)</f>
        <v>48453</v>
      </c>
      <c r="Q1326" s="141">
        <v>2.3154337804431952E-2</v>
      </c>
      <c r="R1326" s="143">
        <v>2.313279642009114E-2</v>
      </c>
    </row>
    <row r="1327" spans="14:18" x14ac:dyDescent="0.2">
      <c r="N1327" s="139" t="str">
        <f t="shared" si="27"/>
        <v>1w</v>
      </c>
      <c r="O1327" s="146">
        <f>_xll.qlCalendarAdvance(Calendar,O1326,N1327,"f",FALSE)</f>
        <v>48458</v>
      </c>
      <c r="P1327" s="140">
        <f>_xll.qlInterestRateIndexValueDate(IborIndex,O1327)</f>
        <v>48460</v>
      </c>
      <c r="Q1327" s="141">
        <v>2.3153815514182191E-2</v>
      </c>
      <c r="R1327" s="143">
        <v>2.3132342012459617E-2</v>
      </c>
    </row>
    <row r="1328" spans="14:18" x14ac:dyDescent="0.2">
      <c r="N1328" s="139" t="str">
        <f t="shared" si="27"/>
        <v>1w</v>
      </c>
      <c r="O1328" s="146">
        <f>_xll.qlCalendarAdvance(Calendar,O1327,N1328,"f",FALSE)</f>
        <v>48465</v>
      </c>
      <c r="P1328" s="140">
        <f>_xll.qlInterestRateIndexValueDate(IborIndex,O1328)</f>
        <v>48467</v>
      </c>
      <c r="Q1328" s="141">
        <v>2.315325058385E-2</v>
      </c>
      <c r="R1328" s="143">
        <v>2.3131845046870936E-2</v>
      </c>
    </row>
    <row r="1329" spans="14:18" x14ac:dyDescent="0.2">
      <c r="N1329" s="139" t="str">
        <f t="shared" si="27"/>
        <v>1w</v>
      </c>
      <c r="O1329" s="146">
        <f>_xll.qlCalendarAdvance(Calendar,O1328,N1329,"f",FALSE)</f>
        <v>48472</v>
      </c>
      <c r="P1329" s="140">
        <f>_xll.qlInterestRateIndexValueDate(IborIndex,O1329)</f>
        <v>48474</v>
      </c>
      <c r="Q1329" s="141">
        <v>2.315264301344569E-2</v>
      </c>
      <c r="R1329" s="143">
        <v>2.3131305523165224E-2</v>
      </c>
    </row>
    <row r="1330" spans="14:18" x14ac:dyDescent="0.2">
      <c r="N1330" s="139" t="str">
        <f t="shared" si="27"/>
        <v>1w</v>
      </c>
      <c r="O1330" s="146">
        <f>_xll.qlCalendarAdvance(Calendar,O1329,N1330,"f",FALSE)</f>
        <v>48479</v>
      </c>
      <c r="P1330" s="140">
        <f>_xll.qlInterestRateIndexValueDate(IborIndex,O1330)</f>
        <v>48481</v>
      </c>
      <c r="Q1330" s="141">
        <v>2.3151992802969264E-2</v>
      </c>
      <c r="R1330" s="143">
        <v>2.3130723441662226E-2</v>
      </c>
    </row>
    <row r="1331" spans="14:18" x14ac:dyDescent="0.2">
      <c r="N1331" s="139" t="str">
        <f t="shared" si="27"/>
        <v>1w</v>
      </c>
      <c r="O1331" s="146">
        <f>_xll.qlCalendarAdvance(Calendar,O1330,N1331,"f",FALSE)</f>
        <v>48486</v>
      </c>
      <c r="P1331" s="140">
        <f>_xll.qlInterestRateIndexValueDate(IborIndex,O1331)</f>
        <v>48488</v>
      </c>
      <c r="Q1331" s="141">
        <v>2.315129995243103E-2</v>
      </c>
      <c r="R1331" s="143">
        <v>2.3130098802042198E-2</v>
      </c>
    </row>
    <row r="1332" spans="14:18" x14ac:dyDescent="0.2">
      <c r="N1332" s="139" t="str">
        <f t="shared" si="27"/>
        <v>1w</v>
      </c>
      <c r="O1332" s="146">
        <f>_xll.qlCalendarAdvance(Calendar,O1331,N1332,"f",FALSE)</f>
        <v>48493</v>
      </c>
      <c r="P1332" s="140">
        <f>_xll.qlInterestRateIndexValueDate(IborIndex,O1332)</f>
        <v>48495</v>
      </c>
      <c r="Q1332" s="141">
        <v>2.3150564461843888E-2</v>
      </c>
      <c r="R1332" s="143">
        <v>2.3129431604465012E-2</v>
      </c>
    </row>
    <row r="1333" spans="14:18" x14ac:dyDescent="0.2">
      <c r="N1333" s="139" t="str">
        <f t="shared" si="27"/>
        <v>1w</v>
      </c>
      <c r="O1333" s="146">
        <f>_xll.qlCalendarAdvance(Calendar,O1332,N1333,"f",FALSE)</f>
        <v>48500</v>
      </c>
      <c r="P1333" s="140">
        <f>_xll.qlInterestRateIndexValueDate(IborIndex,O1333)</f>
        <v>48502</v>
      </c>
      <c r="Q1333" s="141">
        <v>2.3149786331207831E-2</v>
      </c>
      <c r="R1333" s="143">
        <v>2.3128721848930667E-2</v>
      </c>
    </row>
    <row r="1334" spans="14:18" x14ac:dyDescent="0.2">
      <c r="N1334" s="139" t="str">
        <f t="shared" si="27"/>
        <v>1w</v>
      </c>
      <c r="O1334" s="146">
        <f>_xll.qlCalendarAdvance(Calendar,O1333,N1334,"f",FALSE)</f>
        <v>48507</v>
      </c>
      <c r="P1334" s="140">
        <f>_xll.qlInterestRateIndexValueDate(IborIndex,O1334)</f>
        <v>48509</v>
      </c>
      <c r="Q1334" s="141">
        <v>2.3148965560535761E-2</v>
      </c>
      <c r="R1334" s="143">
        <v>2.3127969535359227E-2</v>
      </c>
    </row>
    <row r="1335" spans="14:18" x14ac:dyDescent="0.2">
      <c r="N1335" s="139" t="str">
        <f t="shared" si="27"/>
        <v>1w</v>
      </c>
      <c r="O1335" s="146">
        <f>_xll.qlCalendarAdvance(Calendar,O1334,N1335,"f",FALSE)</f>
        <v>48514</v>
      </c>
      <c r="P1335" s="140">
        <f>_xll.qlInterestRateIndexValueDate(IborIndex,O1335)</f>
        <v>48516</v>
      </c>
      <c r="Q1335" s="141">
        <v>2.3148780294210414E-2</v>
      </c>
      <c r="R1335" s="143">
        <v>2.312717466383063E-2</v>
      </c>
    </row>
    <row r="1336" spans="14:18" x14ac:dyDescent="0.2">
      <c r="N1336" s="139" t="str">
        <f t="shared" si="27"/>
        <v>1w</v>
      </c>
      <c r="O1336" s="146">
        <f>_xll.qlCalendarAdvance(Calendar,O1335,N1336,"f",FALSE)</f>
        <v>48521</v>
      </c>
      <c r="P1336" s="140">
        <f>_xll.qlInterestRateIndexValueDate(IborIndex,O1336)</f>
        <v>48523</v>
      </c>
      <c r="Q1336" s="141">
        <v>2.3147196099117081E-2</v>
      </c>
      <c r="R1336" s="143">
        <v>2.3126337234185002E-2</v>
      </c>
    </row>
    <row r="1337" spans="14:18" x14ac:dyDescent="0.2">
      <c r="N1337" s="139" t="str">
        <f t="shared" si="27"/>
        <v>1w</v>
      </c>
      <c r="O1337" s="146">
        <f>_xll.qlCalendarAdvance(Calendar,O1336,N1337,"f",FALSE)</f>
        <v>48528</v>
      </c>
      <c r="P1337" s="140">
        <f>_xll.qlInterestRateIndexValueDate(IborIndex,O1337)</f>
        <v>48530</v>
      </c>
      <c r="Q1337" s="141">
        <v>2.3146247408388526E-2</v>
      </c>
      <c r="R1337" s="143">
        <v>2.3125457246742087E-2</v>
      </c>
    </row>
    <row r="1338" spans="14:18" x14ac:dyDescent="0.2">
      <c r="N1338" s="139" t="str">
        <f t="shared" si="27"/>
        <v>1w</v>
      </c>
      <c r="O1338" s="146">
        <f>_xll.qlCalendarAdvance(Calendar,O1337,N1338,"f",FALSE)</f>
        <v>48535</v>
      </c>
      <c r="P1338" s="140">
        <f>_xll.qlInterestRateIndexValueDate(IborIndex,O1338)</f>
        <v>48537</v>
      </c>
      <c r="Q1338" s="141">
        <v>2.3145256077667788E-2</v>
      </c>
      <c r="R1338" s="143">
        <v>2.3124534701182142E-2</v>
      </c>
    </row>
    <row r="1339" spans="14:18" x14ac:dyDescent="0.2">
      <c r="N1339" s="139" t="str">
        <f t="shared" si="27"/>
        <v>1w</v>
      </c>
      <c r="O1339" s="146">
        <f>_xll.qlCalendarAdvance(Calendar,O1338,N1339,"f",FALSE)</f>
        <v>48542</v>
      </c>
      <c r="P1339" s="140">
        <f>_xll.qlInterestRateIndexValueDate(IborIndex,O1339)</f>
        <v>48544</v>
      </c>
      <c r="Q1339" s="141">
        <v>2.314422210695229E-2</v>
      </c>
      <c r="R1339" s="143">
        <v>2.3123569597585103E-2</v>
      </c>
    </row>
    <row r="1340" spans="14:18" x14ac:dyDescent="0.2">
      <c r="N1340" s="139" t="str">
        <f t="shared" si="27"/>
        <v>1w</v>
      </c>
      <c r="O1340" s="146">
        <f>_xll.qlCalendarAdvance(Calendar,O1339,N1340,"f",FALSE)</f>
        <v>48549</v>
      </c>
      <c r="P1340" s="140">
        <f>_xll.qlInterestRateIndexValueDate(IborIndex,O1340)</f>
        <v>48551</v>
      </c>
      <c r="Q1340" s="141">
        <v>2.3143145496267815E-2</v>
      </c>
      <c r="R1340" s="143">
        <v>2.3122561936110841E-2</v>
      </c>
    </row>
    <row r="1341" spans="14:18" x14ac:dyDescent="0.2">
      <c r="N1341" s="139" t="str">
        <f t="shared" si="27"/>
        <v>1w</v>
      </c>
      <c r="O1341" s="146">
        <f>_xll.qlCalendarAdvance(Calendar,O1340,N1341,"f",FALSE)</f>
        <v>48556</v>
      </c>
      <c r="P1341" s="140">
        <f>_xll.qlInterestRateIndexValueDate(IborIndex,O1341)</f>
        <v>48558</v>
      </c>
      <c r="Q1341" s="141">
        <v>2.3142026245614365E-2</v>
      </c>
      <c r="R1341" s="143">
        <v>2.3121511716599485E-2</v>
      </c>
    </row>
    <row r="1342" spans="14:18" x14ac:dyDescent="0.2">
      <c r="N1342" s="139" t="str">
        <f t="shared" si="27"/>
        <v>1w</v>
      </c>
      <c r="O1342" s="146">
        <f>_xll.qlCalendarAdvance(Calendar,O1341,N1342,"f",FALSE)</f>
        <v>48563</v>
      </c>
      <c r="P1342" s="140">
        <f>_xll.qlInterestRateIndexValueDate(IborIndex,O1342)</f>
        <v>48565</v>
      </c>
      <c r="Q1342" s="141">
        <v>2.3140864355009991E-2</v>
      </c>
      <c r="R1342" s="143">
        <v>2.3120418939130971E-2</v>
      </c>
    </row>
    <row r="1343" spans="14:18" x14ac:dyDescent="0.2">
      <c r="N1343" s="139" t="str">
        <f t="shared" si="27"/>
        <v>1w</v>
      </c>
      <c r="O1343" s="146">
        <f>_xll.qlCalendarAdvance(Calendar,O1342,N1343,"f",FALSE)</f>
        <v>48570</v>
      </c>
      <c r="P1343" s="140">
        <f>_xll.qlInterestRateIndexValueDate(IborIndex,O1343)</f>
        <v>48575</v>
      </c>
      <c r="Q1343" s="141">
        <v>2.3139130544054542E-2</v>
      </c>
      <c r="R1343" s="143">
        <v>2.3119117938703582E-2</v>
      </c>
    </row>
    <row r="1344" spans="14:18" x14ac:dyDescent="0.2">
      <c r="N1344" s="139" t="str">
        <f t="shared" si="27"/>
        <v>1w</v>
      </c>
      <c r="O1344" s="146">
        <f>_xll.qlCalendarAdvance(Calendar,O1343,N1344,"f",FALSE)</f>
        <v>48577</v>
      </c>
      <c r="P1344" s="140">
        <f>_xll.qlInterestRateIndexValueDate(IborIndex,O1344)</f>
        <v>48582</v>
      </c>
      <c r="Q1344" s="141">
        <v>2.3137865099337785E-2</v>
      </c>
      <c r="R1344" s="143">
        <v>2.311858992962712E-2</v>
      </c>
    </row>
    <row r="1345" spans="14:18" x14ac:dyDescent="0.2">
      <c r="N1345" s="139" t="str">
        <f t="shared" si="27"/>
        <v>1w</v>
      </c>
      <c r="O1345" s="146">
        <f>_xll.qlCalendarAdvance(Calendar,O1344,N1345,"f",FALSE)</f>
        <v>48584</v>
      </c>
      <c r="P1345" s="140">
        <f>_xll.qlInterestRateIndexValueDate(IborIndex,O1345)</f>
        <v>48589</v>
      </c>
      <c r="Q1345" s="141">
        <v>2.313655701471394E-2</v>
      </c>
      <c r="R1345" s="143">
        <v>2.3116707434347461E-2</v>
      </c>
    </row>
    <row r="1346" spans="14:18" x14ac:dyDescent="0.2">
      <c r="N1346" s="139" t="str">
        <f t="shared" si="27"/>
        <v>1w</v>
      </c>
      <c r="O1346" s="146">
        <f>_xll.qlCalendarAdvance(Calendar,O1345,N1346,"f",FALSE)</f>
        <v>48591</v>
      </c>
      <c r="P1346" s="140">
        <f>_xll.qlInterestRateIndexValueDate(IborIndex,O1346)</f>
        <v>48593</v>
      </c>
      <c r="Q1346" s="141">
        <v>2.3135790393343684E-2</v>
      </c>
      <c r="R1346" s="143">
        <v>2.311562224928565E-2</v>
      </c>
    </row>
    <row r="1347" spans="14:18" x14ac:dyDescent="0.2">
      <c r="N1347" s="139" t="str">
        <f t="shared" si="27"/>
        <v>1w</v>
      </c>
      <c r="O1347" s="146">
        <f>_xll.qlCalendarAdvance(Calendar,O1346,N1347,"f",FALSE)</f>
        <v>48598</v>
      </c>
      <c r="P1347" s="140">
        <f>_xll.qlInterestRateIndexValueDate(IborIndex,O1347)</f>
        <v>48600</v>
      </c>
      <c r="Q1347" s="141">
        <v>2.3134415303185815E-2</v>
      </c>
      <c r="R1347" s="143">
        <v>2.3114316681791536E-2</v>
      </c>
    </row>
    <row r="1348" spans="14:18" x14ac:dyDescent="0.2">
      <c r="N1348" s="139" t="str">
        <f t="shared" si="27"/>
        <v>1w</v>
      </c>
      <c r="O1348" s="146">
        <f>_xll.qlCalendarAdvance(Calendar,O1347,N1348,"f",FALSE)</f>
        <v>48605</v>
      </c>
      <c r="P1348" s="140">
        <f>_xll.qlInterestRateIndexValueDate(IborIndex,O1348)</f>
        <v>48607</v>
      </c>
      <c r="Q1348" s="141">
        <v>2.3132997573156958E-2</v>
      </c>
      <c r="R1348" s="143">
        <v>2.3112968556340263E-2</v>
      </c>
    </row>
    <row r="1349" spans="14:18" x14ac:dyDescent="0.2">
      <c r="N1349" s="139" t="str">
        <f t="shared" si="27"/>
        <v>1w</v>
      </c>
      <c r="O1349" s="146">
        <f>_xll.qlCalendarAdvance(Calendar,O1348,N1349,"f",FALSE)</f>
        <v>48612</v>
      </c>
      <c r="P1349" s="140">
        <f>_xll.qlInterestRateIndexValueDate(IborIndex,O1349)</f>
        <v>48614</v>
      </c>
      <c r="Q1349" s="141">
        <v>2.3129632256602774E-2</v>
      </c>
      <c r="R1349" s="143">
        <v>2.3111577872931832E-2</v>
      </c>
    </row>
    <row r="1350" spans="14:18" x14ac:dyDescent="0.2">
      <c r="N1350" s="139" t="str">
        <f t="shared" si="27"/>
        <v>1w</v>
      </c>
      <c r="O1350" s="146">
        <f>_xll.qlCalendarAdvance(Calendar,O1349,N1350,"f",FALSE)</f>
        <v>48619</v>
      </c>
      <c r="P1350" s="140">
        <f>_xll.qlInterestRateIndexValueDate(IborIndex,O1350)</f>
        <v>48621</v>
      </c>
      <c r="Q1350" s="141">
        <v>2.3128138671635639E-2</v>
      </c>
      <c r="R1350" s="143">
        <v>2.3110144631566243E-2</v>
      </c>
    </row>
    <row r="1351" spans="14:18" x14ac:dyDescent="0.2">
      <c r="N1351" s="139" t="str">
        <f t="shared" si="27"/>
        <v>1w</v>
      </c>
      <c r="O1351" s="146">
        <f>_xll.qlCalendarAdvance(Calendar,O1350,N1351,"f",FALSE)</f>
        <v>48626</v>
      </c>
      <c r="P1351" s="140">
        <f>_xll.qlInterestRateIndexValueDate(IborIndex,O1351)</f>
        <v>48628</v>
      </c>
      <c r="Q1351" s="141">
        <v>2.3126602455035998E-2</v>
      </c>
      <c r="R1351" s="143">
        <v>2.3108668832163559E-2</v>
      </c>
    </row>
    <row r="1352" spans="14:18" x14ac:dyDescent="0.2">
      <c r="N1352" s="139" t="str">
        <f t="shared" si="27"/>
        <v>1w</v>
      </c>
      <c r="O1352" s="146">
        <f>_xll.qlCalendarAdvance(Calendar,O1351,N1352,"f",FALSE)</f>
        <v>48633</v>
      </c>
      <c r="P1352" s="140">
        <f>_xll.qlInterestRateIndexValueDate(IborIndex,O1352)</f>
        <v>48635</v>
      </c>
      <c r="Q1352" s="141">
        <v>2.3125023606818118E-2</v>
      </c>
      <c r="R1352" s="143">
        <v>2.3107150474803717E-2</v>
      </c>
    </row>
    <row r="1353" spans="14:18" x14ac:dyDescent="0.2">
      <c r="N1353" s="139" t="str">
        <f t="shared" si="27"/>
        <v>1w</v>
      </c>
      <c r="O1353" s="146">
        <f>_xll.qlCalendarAdvance(Calendar,O1352,N1353,"f",FALSE)</f>
        <v>48640</v>
      </c>
      <c r="P1353" s="140">
        <f>_xll.qlInterestRateIndexValueDate(IborIndex,O1353)</f>
        <v>48642</v>
      </c>
      <c r="Q1353" s="141">
        <v>2.3125269325558955E-2</v>
      </c>
      <c r="R1353" s="143">
        <v>2.3105589559486717E-2</v>
      </c>
    </row>
    <row r="1354" spans="14:18" x14ac:dyDescent="0.2">
      <c r="N1354" s="139" t="str">
        <f t="shared" si="27"/>
        <v>1w</v>
      </c>
      <c r="O1354" s="146">
        <f>_xll.qlCalendarAdvance(Calendar,O1353,N1354,"f",FALSE)</f>
        <v>48647</v>
      </c>
      <c r="P1354" s="140">
        <f>_xll.qlInterestRateIndexValueDate(IborIndex,O1354)</f>
        <v>48649</v>
      </c>
      <c r="Q1354" s="141">
        <v>2.3123595756665165E-2</v>
      </c>
      <c r="R1354" s="143">
        <v>2.3103986086132622E-2</v>
      </c>
    </row>
    <row r="1355" spans="14:18" x14ac:dyDescent="0.2">
      <c r="N1355" s="139" t="str">
        <f t="shared" si="27"/>
        <v>1w</v>
      </c>
      <c r="O1355" s="146">
        <f>_xll.qlCalendarAdvance(Calendar,O1354,N1355,"f",FALSE)</f>
        <v>48654</v>
      </c>
      <c r="P1355" s="140">
        <f>_xll.qlInterestRateIndexValueDate(IborIndex,O1355)</f>
        <v>48656</v>
      </c>
      <c r="Q1355" s="141">
        <v>2.3122495090829032E-2</v>
      </c>
      <c r="R1355" s="143">
        <v>2.3102340054821369E-2</v>
      </c>
    </row>
    <row r="1356" spans="14:18" x14ac:dyDescent="0.2">
      <c r="N1356" s="139" t="str">
        <f t="shared" si="27"/>
        <v>1w</v>
      </c>
      <c r="O1356" s="146">
        <f>_xll.qlCalendarAdvance(Calendar,O1355,N1356,"f",FALSE)</f>
        <v>48661</v>
      </c>
      <c r="P1356" s="140">
        <f>_xll.qlInterestRateIndexValueDate(IborIndex,O1356)</f>
        <v>48663</v>
      </c>
      <c r="Q1356" s="141">
        <v>2.3120120699651407E-2</v>
      </c>
      <c r="R1356" s="143">
        <v>2.3100651465473021E-2</v>
      </c>
    </row>
    <row r="1357" spans="14:18" x14ac:dyDescent="0.2">
      <c r="N1357" s="139" t="str">
        <f t="shared" si="27"/>
        <v>1w</v>
      </c>
      <c r="O1357" s="146">
        <f>_xll.qlCalendarAdvance(Calendar,O1356,N1357,"f",FALSE)</f>
        <v>48668</v>
      </c>
      <c r="P1357" s="140">
        <f>_xll.qlInterestRateIndexValueDate(IborIndex,O1357)</f>
        <v>48670</v>
      </c>
      <c r="Q1357" s="141">
        <v>2.3118319211570117E-2</v>
      </c>
      <c r="R1357" s="143">
        <v>2.3098920318167515E-2</v>
      </c>
    </row>
    <row r="1358" spans="14:18" x14ac:dyDescent="0.2">
      <c r="N1358" s="139" t="str">
        <f t="shared" si="27"/>
        <v>1w</v>
      </c>
      <c r="O1358" s="146">
        <f>_xll.qlCalendarAdvance(Calendar,O1357,N1358,"f",FALSE)</f>
        <v>48675</v>
      </c>
      <c r="P1358" s="140">
        <f>_xll.qlInterestRateIndexValueDate(IborIndex,O1358)</f>
        <v>48677</v>
      </c>
      <c r="Q1358" s="141">
        <v>2.3116475083798337E-2</v>
      </c>
      <c r="R1358" s="143">
        <v>2.3097146612904851E-2</v>
      </c>
    </row>
    <row r="1359" spans="14:18" x14ac:dyDescent="0.2">
      <c r="N1359" s="139" t="str">
        <f t="shared" si="27"/>
        <v>1w</v>
      </c>
      <c r="O1359" s="146">
        <f>_xll.qlCalendarAdvance(Calendar,O1358,N1359,"f",FALSE)</f>
        <v>48682</v>
      </c>
      <c r="P1359" s="140">
        <f>_xll.qlInterestRateIndexValueDate(IborIndex,O1359)</f>
        <v>48688</v>
      </c>
      <c r="Q1359" s="141">
        <v>2.3112889662249003E-2</v>
      </c>
      <c r="R1359" s="143">
        <v>2.3094803600560709E-2</v>
      </c>
    </row>
    <row r="1360" spans="14:18" x14ac:dyDescent="0.2">
      <c r="N1360" s="139" t="str">
        <f t="shared" si="27"/>
        <v>1w</v>
      </c>
      <c r="O1360" s="146">
        <f>_xll.qlCalendarAdvance(Calendar,O1359,N1360,"f",FALSE)</f>
        <v>48689</v>
      </c>
      <c r="P1360" s="140">
        <f>_xll.qlInterestRateIndexValueDate(IborIndex,O1360)</f>
        <v>48691</v>
      </c>
      <c r="Q1360" s="141">
        <v>2.3112658909260675E-2</v>
      </c>
      <c r="R1360" s="143">
        <v>2.3093471528428111E-2</v>
      </c>
    </row>
    <row r="1361" spans="14:18" x14ac:dyDescent="0.2">
      <c r="N1361" s="139" t="str">
        <f t="shared" si="27"/>
        <v>1w</v>
      </c>
      <c r="O1361" s="146">
        <f>_xll.qlCalendarAdvance(Calendar,O1360,N1361,"f",FALSE)</f>
        <v>48696</v>
      </c>
      <c r="P1361" s="140">
        <f>_xll.qlInterestRateIndexValueDate(IborIndex,O1361)</f>
        <v>48698</v>
      </c>
      <c r="Q1361" s="141">
        <v>2.3111283412018679E-2</v>
      </c>
      <c r="R1361" s="143">
        <v>2.3091570149214036E-2</v>
      </c>
    </row>
    <row r="1362" spans="14:18" x14ac:dyDescent="0.2">
      <c r="N1362" s="139" t="str">
        <f t="shared" si="27"/>
        <v>1w</v>
      </c>
      <c r="O1362" s="146">
        <f>_xll.qlCalendarAdvance(Calendar,O1361,N1362,"f",FALSE)</f>
        <v>48703</v>
      </c>
      <c r="P1362" s="140">
        <f>_xll.qlInterestRateIndexValueDate(IborIndex,O1362)</f>
        <v>48705</v>
      </c>
      <c r="Q1362" s="141">
        <v>2.3109265550608216E-2</v>
      </c>
      <c r="R1362" s="143">
        <v>2.3089626212042802E-2</v>
      </c>
    </row>
    <row r="1363" spans="14:18" x14ac:dyDescent="0.2">
      <c r="N1363" s="139" t="str">
        <f t="shared" si="27"/>
        <v>1w</v>
      </c>
      <c r="O1363" s="146">
        <f>_xll.qlCalendarAdvance(Calendar,O1362,N1363,"f",FALSE)</f>
        <v>48710</v>
      </c>
      <c r="P1363" s="140">
        <f>_xll.qlInterestRateIndexValueDate(IborIndex,O1363)</f>
        <v>48712</v>
      </c>
      <c r="Q1363" s="141">
        <v>2.3106614850293812E-2</v>
      </c>
      <c r="R1363" s="143">
        <v>2.3087639716834474E-2</v>
      </c>
    </row>
    <row r="1364" spans="14:18" x14ac:dyDescent="0.2">
      <c r="N1364" s="139" t="str">
        <f t="shared" si="27"/>
        <v>1w</v>
      </c>
      <c r="O1364" s="146">
        <f>_xll.qlCalendarAdvance(Calendar,O1363,N1364,"f",FALSE)</f>
        <v>48717</v>
      </c>
      <c r="P1364" s="140">
        <f>_xll.qlInterestRateIndexValueDate(IborIndex,O1364)</f>
        <v>48719</v>
      </c>
      <c r="Q1364" s="141">
        <v>2.3104514884817462E-2</v>
      </c>
      <c r="R1364" s="143">
        <v>2.3085610663748923E-2</v>
      </c>
    </row>
    <row r="1365" spans="14:18" x14ac:dyDescent="0.2">
      <c r="N1365" s="139" t="str">
        <f t="shared" ref="N1365:N1428" si="28">N1364</f>
        <v>1w</v>
      </c>
      <c r="O1365" s="146">
        <f>_xll.qlCalendarAdvance(Calendar,O1364,N1365,"f",FALSE)</f>
        <v>48724</v>
      </c>
      <c r="P1365" s="140">
        <f>_xll.qlInterestRateIndexValueDate(IborIndex,O1365)</f>
        <v>48729</v>
      </c>
      <c r="Q1365" s="141">
        <v>2.3101440967593475E-2</v>
      </c>
      <c r="R1365" s="143">
        <v>2.3083239633976405E-2</v>
      </c>
    </row>
    <row r="1366" spans="14:18" x14ac:dyDescent="0.2">
      <c r="N1366" s="139" t="str">
        <f t="shared" si="28"/>
        <v>1w</v>
      </c>
      <c r="O1366" s="146">
        <f>_xll.qlCalendarAdvance(Calendar,O1365,N1366,"f",FALSE)</f>
        <v>48731</v>
      </c>
      <c r="P1366" s="140">
        <f>_xll.qlInterestRateIndexValueDate(IborIndex,O1366)</f>
        <v>48733</v>
      </c>
      <c r="Q1366" s="141">
        <v>2.3100187035267759E-2</v>
      </c>
      <c r="R1366" s="143">
        <v>2.3081119385199855E-2</v>
      </c>
    </row>
    <row r="1367" spans="14:18" x14ac:dyDescent="0.2">
      <c r="N1367" s="139" t="str">
        <f t="shared" si="28"/>
        <v>1w</v>
      </c>
      <c r="O1367" s="146">
        <f>_xll.qlCalendarAdvance(Calendar,O1366,N1367,"f",FALSE)</f>
        <v>48738</v>
      </c>
      <c r="P1367" s="140">
        <f>_xll.qlInterestRateIndexValueDate(IborIndex,O1367)</f>
        <v>48740</v>
      </c>
      <c r="Q1367" s="141">
        <v>2.3097959151245979E-2</v>
      </c>
      <c r="R1367" s="143">
        <v>2.3079268156429578E-2</v>
      </c>
    </row>
    <row r="1368" spans="14:18" x14ac:dyDescent="0.2">
      <c r="N1368" s="139" t="str">
        <f t="shared" si="28"/>
        <v>1w</v>
      </c>
      <c r="O1368" s="146">
        <f>_xll.qlCalendarAdvance(Calendar,O1367,N1368,"f",FALSE)</f>
        <v>48745</v>
      </c>
      <c r="P1368" s="140">
        <f>_xll.qlInterestRateIndexValueDate(IborIndex,O1368)</f>
        <v>48747</v>
      </c>
      <c r="Q1368" s="141">
        <v>2.3095688627755465E-2</v>
      </c>
      <c r="R1368" s="143">
        <v>2.3077068871275586E-2</v>
      </c>
    </row>
    <row r="1369" spans="14:18" x14ac:dyDescent="0.2">
      <c r="N1369" s="139" t="str">
        <f t="shared" si="28"/>
        <v>1w</v>
      </c>
      <c r="O1369" s="146">
        <f>_xll.qlCalendarAdvance(Calendar,O1368,N1369,"f",FALSE)</f>
        <v>48752</v>
      </c>
      <c r="P1369" s="140">
        <f>_xll.qlInterestRateIndexValueDate(IborIndex,O1369)</f>
        <v>48757</v>
      </c>
      <c r="Q1369" s="141">
        <v>2.3091801073216622E-2</v>
      </c>
      <c r="R1369" s="143">
        <v>2.3074503290887449E-2</v>
      </c>
    </row>
    <row r="1370" spans="14:18" x14ac:dyDescent="0.2">
      <c r="N1370" s="139" t="str">
        <f t="shared" si="28"/>
        <v>1w</v>
      </c>
      <c r="O1370" s="146">
        <f>_xll.qlCalendarAdvance(Calendar,O1369,N1370,"f",FALSE)</f>
        <v>48759</v>
      </c>
      <c r="P1370" s="140">
        <f>_xll.qlInterestRateIndexValueDate(IborIndex,O1370)</f>
        <v>48761</v>
      </c>
      <c r="Q1370" s="141">
        <v>2.3091019662473972E-2</v>
      </c>
      <c r="R1370" s="143">
        <v>2.3072542627335935E-2</v>
      </c>
    </row>
    <row r="1371" spans="14:18" x14ac:dyDescent="0.2">
      <c r="N1371" s="139" t="str">
        <f t="shared" si="28"/>
        <v>1w</v>
      </c>
      <c r="O1371" s="146">
        <f>_xll.qlCalendarAdvance(Calendar,O1370,N1371,"f",FALSE)</f>
        <v>48766</v>
      </c>
      <c r="P1371" s="140">
        <f>_xll.qlInterestRateIndexValueDate(IborIndex,O1371)</f>
        <v>48768</v>
      </c>
      <c r="Q1371" s="141">
        <v>2.3088621220731985E-2</v>
      </c>
      <c r="R1371" s="143">
        <v>2.3070215668390404E-2</v>
      </c>
    </row>
    <row r="1372" spans="14:18" x14ac:dyDescent="0.2">
      <c r="N1372" s="139" t="str">
        <f t="shared" si="28"/>
        <v>1w</v>
      </c>
      <c r="O1372" s="146">
        <f>_xll.qlCalendarAdvance(Calendar,O1371,N1372,"f",FALSE)</f>
        <v>48773</v>
      </c>
      <c r="P1372" s="140">
        <f>_xll.qlInterestRateIndexValueDate(IborIndex,O1372)</f>
        <v>48775</v>
      </c>
      <c r="Q1372" s="141">
        <v>2.3086180139626992E-2</v>
      </c>
      <c r="R1372" s="143">
        <v>2.3067846151407778E-2</v>
      </c>
    </row>
    <row r="1373" spans="14:18" x14ac:dyDescent="0.2">
      <c r="N1373" s="139" t="str">
        <f t="shared" si="28"/>
        <v>1w</v>
      </c>
      <c r="O1373" s="146">
        <f>_xll.qlCalendarAdvance(Calendar,O1372,N1373,"f",FALSE)</f>
        <v>48780</v>
      </c>
      <c r="P1373" s="140">
        <f>_xll.qlInterestRateIndexValueDate(IborIndex,O1373)</f>
        <v>48782</v>
      </c>
      <c r="Q1373" s="141">
        <v>2.3083696419184771E-2</v>
      </c>
      <c r="R1373" s="143">
        <v>2.306543407654793E-2</v>
      </c>
    </row>
    <row r="1374" spans="14:18" x14ac:dyDescent="0.2">
      <c r="N1374" s="139" t="str">
        <f t="shared" si="28"/>
        <v>1w</v>
      </c>
      <c r="O1374" s="146">
        <f>_xll.qlCalendarAdvance(Calendar,O1373,N1374,"f",FALSE)</f>
        <v>48787</v>
      </c>
      <c r="P1374" s="140">
        <f>_xll.qlInterestRateIndexValueDate(IborIndex,O1374)</f>
        <v>48789</v>
      </c>
      <c r="Q1374" s="141">
        <v>2.3082279899987155E-2</v>
      </c>
      <c r="R1374" s="143">
        <v>2.3062979443571052E-2</v>
      </c>
    </row>
    <row r="1375" spans="14:18" x14ac:dyDescent="0.2">
      <c r="N1375" s="139" t="str">
        <f t="shared" si="28"/>
        <v>1w</v>
      </c>
      <c r="O1375" s="146">
        <f>_xll.qlCalendarAdvance(Calendar,O1374,N1375,"f",FALSE)</f>
        <v>48794</v>
      </c>
      <c r="P1375" s="140">
        <f>_xll.qlInterestRateIndexValueDate(IborIndex,O1375)</f>
        <v>48796</v>
      </c>
      <c r="Q1375" s="141">
        <v>2.3078601060394392E-2</v>
      </c>
      <c r="R1375" s="143">
        <v>2.3060482252716952E-2</v>
      </c>
    </row>
    <row r="1376" spans="14:18" x14ac:dyDescent="0.2">
      <c r="N1376" s="139" t="str">
        <f t="shared" si="28"/>
        <v>1w</v>
      </c>
      <c r="O1376" s="146">
        <f>_xll.qlCalendarAdvance(Calendar,O1375,N1376,"f",FALSE)</f>
        <v>48801</v>
      </c>
      <c r="P1376" s="140">
        <f>_xll.qlInterestRateIndexValueDate(IborIndex,O1376)</f>
        <v>48803</v>
      </c>
      <c r="Q1376" s="141">
        <v>2.3075989422105536E-2</v>
      </c>
      <c r="R1376" s="143">
        <v>2.3057942503905693E-2</v>
      </c>
    </row>
    <row r="1377" spans="14:18" x14ac:dyDescent="0.2">
      <c r="N1377" s="139" t="str">
        <f t="shared" si="28"/>
        <v>1w</v>
      </c>
      <c r="O1377" s="146">
        <f>_xll.qlCalendarAdvance(Calendar,O1376,N1377,"f",FALSE)</f>
        <v>48808</v>
      </c>
      <c r="P1377" s="140">
        <f>_xll.qlInterestRateIndexValueDate(IborIndex,O1377)</f>
        <v>48810</v>
      </c>
      <c r="Q1377" s="141">
        <v>2.3073335144590337E-2</v>
      </c>
      <c r="R1377" s="143">
        <v>2.3055360197137276E-2</v>
      </c>
    </row>
    <row r="1378" spans="14:18" x14ac:dyDescent="0.2">
      <c r="N1378" s="139" t="str">
        <f t="shared" si="28"/>
        <v>1w</v>
      </c>
      <c r="O1378" s="146">
        <f>_xll.qlCalendarAdvance(Calendar,O1377,N1378,"f",FALSE)</f>
        <v>48815</v>
      </c>
      <c r="P1378" s="140">
        <f>_xll.qlInterestRateIndexValueDate(IborIndex,O1378)</f>
        <v>48817</v>
      </c>
      <c r="Q1378" s="141">
        <v>2.3070638227879737E-2</v>
      </c>
      <c r="R1378" s="143">
        <v>2.30527353324117E-2</v>
      </c>
    </row>
    <row r="1379" spans="14:18" x14ac:dyDescent="0.2">
      <c r="N1379" s="139" t="str">
        <f t="shared" si="28"/>
        <v>1w</v>
      </c>
      <c r="O1379" s="146">
        <f>_xll.qlCalendarAdvance(Calendar,O1378,N1379,"f",FALSE)</f>
        <v>48822</v>
      </c>
      <c r="P1379" s="140">
        <f>_xll.qlInterestRateIndexValueDate(IborIndex,O1379)</f>
        <v>48824</v>
      </c>
      <c r="Q1379" s="141">
        <v>2.3067898671999525E-2</v>
      </c>
      <c r="R1379" s="143">
        <v>2.305006790964903E-2</v>
      </c>
    </row>
    <row r="1380" spans="14:18" x14ac:dyDescent="0.2">
      <c r="N1380" s="139" t="str">
        <f t="shared" si="28"/>
        <v>1w</v>
      </c>
      <c r="O1380" s="146">
        <f>_xll.qlCalendarAdvance(Calendar,O1379,N1380,"f",FALSE)</f>
        <v>48829</v>
      </c>
      <c r="P1380" s="140">
        <f>_xll.qlInterestRateIndexValueDate(IborIndex,O1380)</f>
        <v>48831</v>
      </c>
      <c r="Q1380" s="141">
        <v>2.3065116476983217E-2</v>
      </c>
      <c r="R1380" s="143">
        <v>2.3047357929009138E-2</v>
      </c>
    </row>
    <row r="1381" spans="14:18" x14ac:dyDescent="0.2">
      <c r="N1381" s="139" t="str">
        <f t="shared" si="28"/>
        <v>1w</v>
      </c>
      <c r="O1381" s="146">
        <f>_xll.qlCalendarAdvance(Calendar,O1380,N1381,"f",FALSE)</f>
        <v>48836</v>
      </c>
      <c r="P1381" s="140">
        <f>_xll.qlInterestRateIndexValueDate(IborIndex,O1381)</f>
        <v>48838</v>
      </c>
      <c r="Q1381" s="141">
        <v>2.3062291642861762E-2</v>
      </c>
      <c r="R1381" s="143">
        <v>2.3044605390252215E-2</v>
      </c>
    </row>
    <row r="1382" spans="14:18" x14ac:dyDescent="0.2">
      <c r="N1382" s="139" t="str">
        <f t="shared" si="28"/>
        <v>1w</v>
      </c>
      <c r="O1382" s="146">
        <f>_xll.qlCalendarAdvance(Calendar,O1381,N1382,"f",FALSE)</f>
        <v>48843</v>
      </c>
      <c r="P1382" s="140">
        <f>_xll.qlInterestRateIndexValueDate(IborIndex,O1382)</f>
        <v>48845</v>
      </c>
      <c r="Q1382" s="141">
        <v>2.3059424169663521E-2</v>
      </c>
      <c r="R1382" s="143">
        <v>2.3041810293777942E-2</v>
      </c>
    </row>
    <row r="1383" spans="14:18" x14ac:dyDescent="0.2">
      <c r="N1383" s="139" t="str">
        <f t="shared" si="28"/>
        <v>1w</v>
      </c>
      <c r="O1383" s="146">
        <f>_xll.qlCalendarAdvance(Calendar,O1382,N1383,"f",FALSE)</f>
        <v>48850</v>
      </c>
      <c r="P1383" s="140">
        <f>_xll.qlInterestRateIndexValueDate(IborIndex,O1383)</f>
        <v>48852</v>
      </c>
      <c r="Q1383" s="141">
        <v>2.3056514057424593E-2</v>
      </c>
      <c r="R1383" s="143">
        <v>2.3038972639106703E-2</v>
      </c>
    </row>
    <row r="1384" spans="14:18" x14ac:dyDescent="0.2">
      <c r="N1384" s="139" t="str">
        <f t="shared" si="28"/>
        <v>1w</v>
      </c>
      <c r="O1384" s="146">
        <f>_xll.qlCalendarAdvance(Calendar,O1383,N1384,"f",FALSE)</f>
        <v>48857</v>
      </c>
      <c r="P1384" s="140">
        <f>_xll.qlInterestRateIndexValueDate(IborIndex,O1384)</f>
        <v>48859</v>
      </c>
      <c r="Q1384" s="141">
        <v>2.3053561306170766E-2</v>
      </c>
      <c r="R1384" s="143">
        <v>2.3036092426558241E-2</v>
      </c>
    </row>
    <row r="1385" spans="14:18" x14ac:dyDescent="0.2">
      <c r="N1385" s="139" t="str">
        <f t="shared" si="28"/>
        <v>1w</v>
      </c>
      <c r="O1385" s="146">
        <f>_xll.qlCalendarAdvance(Calendar,O1384,N1385,"f",FALSE)</f>
        <v>48864</v>
      </c>
      <c r="P1385" s="140">
        <f>_xll.qlInterestRateIndexValueDate(IborIndex,O1385)</f>
        <v>48866</v>
      </c>
      <c r="Q1385" s="141">
        <v>2.3050565915940718E-2</v>
      </c>
      <c r="R1385" s="143">
        <v>2.3033169656052621E-2</v>
      </c>
    </row>
    <row r="1386" spans="14:18" x14ac:dyDescent="0.2">
      <c r="N1386" s="139" t="str">
        <f t="shared" si="28"/>
        <v>1w</v>
      </c>
      <c r="O1386" s="146">
        <f>_xll.qlCalendarAdvance(Calendar,O1385,N1386,"f",FALSE)</f>
        <v>48871</v>
      </c>
      <c r="P1386" s="140">
        <f>_xll.qlInterestRateIndexValueDate(IborIndex,O1386)</f>
        <v>48873</v>
      </c>
      <c r="Q1386" s="141">
        <v>2.3047527886765395E-2</v>
      </c>
      <c r="R1386" s="143">
        <v>2.3030204327669779E-2</v>
      </c>
    </row>
    <row r="1387" spans="14:18" x14ac:dyDescent="0.2">
      <c r="N1387" s="139" t="str">
        <f t="shared" si="28"/>
        <v>1w</v>
      </c>
      <c r="O1387" s="146">
        <f>_xll.qlCalendarAdvance(Calendar,O1386,N1387,"f",FALSE)</f>
        <v>48878</v>
      </c>
      <c r="P1387" s="140">
        <f>_xll.qlInterestRateIndexValueDate(IborIndex,O1387)</f>
        <v>48880</v>
      </c>
      <c r="Q1387" s="141">
        <v>2.3044447218675733E-2</v>
      </c>
      <c r="R1387" s="143">
        <v>2.3027196441169906E-2</v>
      </c>
    </row>
    <row r="1388" spans="14:18" x14ac:dyDescent="0.2">
      <c r="N1388" s="139" t="str">
        <f t="shared" si="28"/>
        <v>1w</v>
      </c>
      <c r="O1388" s="146">
        <f>_xll.qlCalendarAdvance(Calendar,O1387,N1388,"f",FALSE)</f>
        <v>48885</v>
      </c>
      <c r="P1388" s="140">
        <f>_xll.qlInterestRateIndexValueDate(IborIndex,O1388)</f>
        <v>48887</v>
      </c>
      <c r="Q1388" s="141">
        <v>2.304132391170784E-2</v>
      </c>
      <c r="R1388" s="143">
        <v>2.3024145996872747E-2</v>
      </c>
    </row>
    <row r="1389" spans="14:18" x14ac:dyDescent="0.2">
      <c r="N1389" s="139" t="str">
        <f t="shared" si="28"/>
        <v>1w</v>
      </c>
      <c r="O1389" s="146">
        <f>_xll.qlCalendarAdvance(Calendar,O1388,N1389,"f",FALSE)</f>
        <v>48892</v>
      </c>
      <c r="P1389" s="140">
        <f>_xll.qlInterestRateIndexValueDate(IborIndex,O1389)</f>
        <v>48894</v>
      </c>
      <c r="Q1389" s="141">
        <v>2.3038157965895232E-2</v>
      </c>
      <c r="R1389" s="143">
        <v>2.3021052994618429E-2</v>
      </c>
    </row>
    <row r="1390" spans="14:18" x14ac:dyDescent="0.2">
      <c r="N1390" s="139" t="str">
        <f t="shared" si="28"/>
        <v>1w</v>
      </c>
      <c r="O1390" s="146">
        <f>_xll.qlCalendarAdvance(Calendar,O1389,N1390,"f",FALSE)</f>
        <v>48899</v>
      </c>
      <c r="P1390" s="140">
        <f>_xll.qlInterestRateIndexValueDate(IborIndex,O1390)</f>
        <v>48901</v>
      </c>
      <c r="Q1390" s="141">
        <v>2.3034949381268852E-2</v>
      </c>
      <c r="R1390" s="143">
        <v>2.3017917434327018E-2</v>
      </c>
    </row>
    <row r="1391" spans="14:18" x14ac:dyDescent="0.2">
      <c r="N1391" s="139" t="str">
        <f t="shared" si="28"/>
        <v>1w</v>
      </c>
      <c r="O1391" s="146">
        <f>_xll.qlCalendarAdvance(Calendar,O1390,N1391,"f",FALSE)</f>
        <v>48906</v>
      </c>
      <c r="P1391" s="140">
        <f>_xll.qlInterestRateIndexValueDate(IborIndex,O1391)</f>
        <v>48908</v>
      </c>
      <c r="Q1391" s="141">
        <v>2.3032198274572369E-2</v>
      </c>
      <c r="R1391" s="143">
        <v>2.3014739316078447E-2</v>
      </c>
    </row>
    <row r="1392" spans="14:18" x14ac:dyDescent="0.2">
      <c r="N1392" s="139" t="str">
        <f t="shared" si="28"/>
        <v>1w</v>
      </c>
      <c r="O1392" s="146">
        <f>_xll.qlCalendarAdvance(Calendar,O1391,N1392,"f",FALSE)</f>
        <v>48913</v>
      </c>
      <c r="P1392" s="140">
        <f>_xll.qlInterestRateIndexValueDate(IborIndex,O1392)</f>
        <v>48915</v>
      </c>
      <c r="Q1392" s="141">
        <v>2.3028404295734661E-2</v>
      </c>
      <c r="R1392" s="143">
        <v>2.3011518639872719E-2</v>
      </c>
    </row>
    <row r="1393" spans="14:18" x14ac:dyDescent="0.2">
      <c r="N1393" s="139" t="str">
        <f t="shared" si="28"/>
        <v>1w</v>
      </c>
      <c r="O1393" s="146">
        <f>_xll.qlCalendarAdvance(Calendar,O1392,N1393,"f",FALSE)</f>
        <v>48920</v>
      </c>
      <c r="P1393" s="140">
        <f>_xll.qlInterestRateIndexValueDate(IborIndex,O1393)</f>
        <v>48922</v>
      </c>
      <c r="Q1393" s="141">
        <v>2.3025067794896464E-2</v>
      </c>
      <c r="R1393" s="143">
        <v>2.3008255405789768E-2</v>
      </c>
    </row>
    <row r="1394" spans="14:18" x14ac:dyDescent="0.2">
      <c r="N1394" s="139" t="str">
        <f t="shared" si="28"/>
        <v>1w</v>
      </c>
      <c r="O1394" s="146">
        <f>_xll.qlCalendarAdvance(Calendar,O1393,N1394,"f",FALSE)</f>
        <v>48927</v>
      </c>
      <c r="P1394" s="140">
        <f>_xll.qlInterestRateIndexValueDate(IborIndex,O1394)</f>
        <v>48929</v>
      </c>
      <c r="Q1394" s="141">
        <v>2.3021688655391479E-2</v>
      </c>
      <c r="R1394" s="143">
        <v>2.3004949613669723E-2</v>
      </c>
    </row>
    <row r="1395" spans="14:18" x14ac:dyDescent="0.2">
      <c r="N1395" s="139" t="str">
        <f t="shared" si="28"/>
        <v>1w</v>
      </c>
      <c r="O1395" s="146">
        <f>_xll.qlCalendarAdvance(Calendar,O1394,N1395,"f",FALSE)</f>
        <v>48934</v>
      </c>
      <c r="P1395" s="140">
        <f>_xll.qlInterestRateIndexValueDate(IborIndex,O1395)</f>
        <v>48936</v>
      </c>
      <c r="Q1395" s="141">
        <v>2.3018266877260961E-2</v>
      </c>
      <c r="R1395" s="143">
        <v>2.300111945372052E-2</v>
      </c>
    </row>
    <row r="1396" spans="14:18" x14ac:dyDescent="0.2">
      <c r="N1396" s="139" t="str">
        <f t="shared" si="28"/>
        <v>1w</v>
      </c>
      <c r="O1396" s="146">
        <f>_xll.qlCalendarAdvance(Calendar,O1395,N1396,"f",FALSE)</f>
        <v>48941</v>
      </c>
      <c r="P1396" s="140">
        <f>_xll.qlInterestRateIndexValueDate(IborIndex,O1396)</f>
        <v>48943</v>
      </c>
      <c r="Q1396" s="141">
        <v>2.3015286268684154E-2</v>
      </c>
      <c r="R1396" s="143">
        <v>2.2998210355638093E-2</v>
      </c>
    </row>
    <row r="1397" spans="14:18" x14ac:dyDescent="0.2">
      <c r="N1397" s="139" t="str">
        <f t="shared" si="28"/>
        <v>1w</v>
      </c>
      <c r="O1397" s="146">
        <f>_xll.qlCalendarAdvance(Calendar,O1396,N1397,"f",FALSE)</f>
        <v>48948</v>
      </c>
      <c r="P1397" s="140">
        <f>_xll.qlInterestRateIndexValueDate(IborIndex,O1397)</f>
        <v>48953</v>
      </c>
      <c r="Q1397" s="141">
        <v>2.300977932895807E-2</v>
      </c>
      <c r="R1397" s="143">
        <v>2.2994282920461018E-2</v>
      </c>
    </row>
    <row r="1398" spans="14:18" x14ac:dyDescent="0.2">
      <c r="N1398" s="139" t="str">
        <f t="shared" si="28"/>
        <v>1w</v>
      </c>
      <c r="O1398" s="146">
        <f>_xll.qlCalendarAdvance(Calendar,O1397,N1398,"f",FALSE)</f>
        <v>48955</v>
      </c>
      <c r="P1398" s="140">
        <f>_xll.qlInterestRateIndexValueDate(IborIndex,O1398)</f>
        <v>48957</v>
      </c>
      <c r="Q1398" s="141">
        <v>2.3007745711464314E-2</v>
      </c>
      <c r="R1398" s="143">
        <v>2.2991300865777831E-2</v>
      </c>
    </row>
    <row r="1399" spans="14:18" x14ac:dyDescent="0.2">
      <c r="N1399" s="139" t="str">
        <f t="shared" si="28"/>
        <v>1w</v>
      </c>
      <c r="O1399" s="146">
        <f>_xll.qlCalendarAdvance(Calendar,O1398,N1399,"f",FALSE)</f>
        <v>48962</v>
      </c>
      <c r="P1399" s="140">
        <f>_xll.qlInterestRateIndexValueDate(IborIndex,O1399)</f>
        <v>48964</v>
      </c>
      <c r="Q1399" s="141">
        <v>2.3004153379197818E-2</v>
      </c>
      <c r="R1399" s="143">
        <v>2.2987782284031866E-2</v>
      </c>
    </row>
    <row r="1400" spans="14:18" x14ac:dyDescent="0.2">
      <c r="N1400" s="139" t="str">
        <f t="shared" si="28"/>
        <v>1w</v>
      </c>
      <c r="O1400" s="146">
        <f>_xll.qlCalendarAdvance(Calendar,O1399,N1400,"f",FALSE)</f>
        <v>48969</v>
      </c>
      <c r="P1400" s="140">
        <f>_xll.qlInterestRateIndexValueDate(IborIndex,O1400)</f>
        <v>48971</v>
      </c>
      <c r="Q1400" s="141">
        <v>2.3000518408496606E-2</v>
      </c>
      <c r="R1400" s="143">
        <v>2.2984221144328743E-2</v>
      </c>
    </row>
    <row r="1401" spans="14:18" x14ac:dyDescent="0.2">
      <c r="N1401" s="139" t="str">
        <f t="shared" si="28"/>
        <v>1w</v>
      </c>
      <c r="O1401" s="146">
        <f>_xll.qlCalendarAdvance(Calendar,O1400,N1401,"f",FALSE)</f>
        <v>48976</v>
      </c>
      <c r="P1401" s="140">
        <f>_xll.qlInterestRateIndexValueDate(IborIndex,O1401)</f>
        <v>48978</v>
      </c>
      <c r="Q1401" s="141">
        <v>2.2995436745322388E-2</v>
      </c>
      <c r="R1401" s="143">
        <v>2.2980617446588525E-2</v>
      </c>
    </row>
    <row r="1402" spans="14:18" x14ac:dyDescent="0.2">
      <c r="N1402" s="139" t="str">
        <f t="shared" si="28"/>
        <v>1w</v>
      </c>
      <c r="O1402" s="146">
        <f>_xll.qlCalendarAdvance(Calendar,O1401,N1402,"f",FALSE)</f>
        <v>48983</v>
      </c>
      <c r="P1402" s="140">
        <f>_xll.qlInterestRateIndexValueDate(IborIndex,O1402)</f>
        <v>48985</v>
      </c>
      <c r="Q1402" s="141">
        <v>2.299172634504679E-2</v>
      </c>
      <c r="R1402" s="143">
        <v>2.2976971190891149E-2</v>
      </c>
    </row>
    <row r="1403" spans="14:18" x14ac:dyDescent="0.2">
      <c r="N1403" s="139" t="str">
        <f t="shared" si="28"/>
        <v>1w</v>
      </c>
      <c r="O1403" s="146">
        <f>_xll.qlCalendarAdvance(Calendar,O1402,N1403,"f",FALSE)</f>
        <v>48990</v>
      </c>
      <c r="P1403" s="140">
        <f>_xll.qlInterestRateIndexValueDate(IborIndex,O1403)</f>
        <v>48992</v>
      </c>
      <c r="Q1403" s="141">
        <v>2.2987973314494741E-2</v>
      </c>
      <c r="R1403" s="143">
        <v>2.2973282377316551E-2</v>
      </c>
    </row>
    <row r="1404" spans="14:18" x14ac:dyDescent="0.2">
      <c r="N1404" s="139" t="str">
        <f t="shared" si="28"/>
        <v>1w</v>
      </c>
      <c r="O1404" s="146">
        <f>_xll.qlCalendarAdvance(Calendar,O1403,N1404,"f",FALSE)</f>
        <v>48997</v>
      </c>
      <c r="P1404" s="140">
        <f>_xll.qlInterestRateIndexValueDate(IborIndex,O1404)</f>
        <v>48999</v>
      </c>
      <c r="Q1404" s="141">
        <v>2.2984177653703357E-2</v>
      </c>
      <c r="R1404" s="143">
        <v>2.2969551005784794E-2</v>
      </c>
    </row>
    <row r="1405" spans="14:18" x14ac:dyDescent="0.2">
      <c r="N1405" s="139" t="str">
        <f t="shared" si="28"/>
        <v>1w</v>
      </c>
      <c r="O1405" s="146">
        <f>_xll.qlCalendarAdvance(Calendar,O1404,N1405,"f",FALSE)</f>
        <v>49004</v>
      </c>
      <c r="P1405" s="140">
        <f>_xll.qlInterestRateIndexValueDate(IborIndex,O1405)</f>
        <v>49006</v>
      </c>
      <c r="Q1405" s="141">
        <v>2.2981703979854464E-2</v>
      </c>
      <c r="R1405" s="143">
        <v>2.2965777076375815E-2</v>
      </c>
    </row>
    <row r="1406" spans="14:18" x14ac:dyDescent="0.2">
      <c r="N1406" s="139" t="str">
        <f t="shared" si="28"/>
        <v>1w</v>
      </c>
      <c r="O1406" s="146">
        <f>_xll.qlCalendarAdvance(Calendar,O1405,N1406,"f",FALSE)</f>
        <v>49011</v>
      </c>
      <c r="P1406" s="140">
        <f>_xll.qlInterestRateIndexValueDate(IborIndex,O1406)</f>
        <v>49013</v>
      </c>
      <c r="Q1406" s="141">
        <v>2.2978264169103146E-2</v>
      </c>
      <c r="R1406" s="143">
        <v>2.2961960588929742E-2</v>
      </c>
    </row>
    <row r="1407" spans="14:18" x14ac:dyDescent="0.2">
      <c r="N1407" s="139" t="str">
        <f t="shared" si="28"/>
        <v>1w</v>
      </c>
      <c r="O1407" s="146">
        <f>_xll.qlCalendarAdvance(Calendar,O1406,N1407,"f",FALSE)</f>
        <v>49018</v>
      </c>
      <c r="P1407" s="140">
        <f>_xll.qlInterestRateIndexValueDate(IborIndex,O1407)</f>
        <v>49020</v>
      </c>
      <c r="Q1407" s="141">
        <v>2.2973879740783631E-2</v>
      </c>
      <c r="R1407" s="143">
        <v>2.2958101543686382E-2</v>
      </c>
    </row>
    <row r="1408" spans="14:18" x14ac:dyDescent="0.2">
      <c r="N1408" s="139" t="str">
        <f t="shared" si="28"/>
        <v>1w</v>
      </c>
      <c r="O1408" s="146">
        <f>_xll.qlCalendarAdvance(Calendar,O1407,N1408,"f",FALSE)</f>
        <v>49025</v>
      </c>
      <c r="P1408" s="140">
        <f>_xll.qlInterestRateIndexValueDate(IborIndex,O1408)</f>
        <v>49027</v>
      </c>
      <c r="Q1408" s="141">
        <v>2.2969903664071884E-2</v>
      </c>
      <c r="R1408" s="143">
        <v>2.2954199940405928E-2</v>
      </c>
    </row>
    <row r="1409" spans="14:18" x14ac:dyDescent="0.2">
      <c r="N1409" s="139" t="str">
        <f t="shared" si="28"/>
        <v>1w</v>
      </c>
      <c r="O1409" s="146">
        <f>_xll.qlCalendarAdvance(Calendar,O1408,N1409,"f",FALSE)</f>
        <v>49032</v>
      </c>
      <c r="P1409" s="140">
        <f>_xll.qlInterestRateIndexValueDate(IborIndex,O1409)</f>
        <v>49034</v>
      </c>
      <c r="Q1409" s="141">
        <v>2.2964559897455303E-2</v>
      </c>
      <c r="R1409" s="143">
        <v>2.2950255779328188E-2</v>
      </c>
    </row>
    <row r="1410" spans="14:18" x14ac:dyDescent="0.2">
      <c r="N1410" s="139" t="str">
        <f t="shared" si="28"/>
        <v>1w</v>
      </c>
      <c r="O1410" s="146">
        <f>_xll.qlCalendarAdvance(Calendar,O1409,N1410,"f",FALSE)</f>
        <v>49039</v>
      </c>
      <c r="P1410" s="140">
        <f>_xll.qlInterestRateIndexValueDate(IborIndex,O1410)</f>
        <v>49045</v>
      </c>
      <c r="Q1410" s="141">
        <v>2.2959047485387352E-2</v>
      </c>
      <c r="R1410" s="143">
        <v>2.2945122180821897E-2</v>
      </c>
    </row>
    <row r="1411" spans="14:18" x14ac:dyDescent="0.2">
      <c r="N1411" s="139" t="str">
        <f t="shared" si="28"/>
        <v>1w</v>
      </c>
      <c r="O1411" s="146">
        <f>_xll.qlCalendarAdvance(Calendar,O1410,N1411,"f",FALSE)</f>
        <v>49046</v>
      </c>
      <c r="P1411" s="140">
        <f>_xll.qlInterestRateIndexValueDate(IborIndex,O1411)</f>
        <v>49048</v>
      </c>
      <c r="Q1411" s="141">
        <v>2.29577196057522E-2</v>
      </c>
      <c r="R1411" s="143">
        <v>2.2942239783061424E-2</v>
      </c>
    </row>
    <row r="1412" spans="14:18" x14ac:dyDescent="0.2">
      <c r="N1412" s="139" t="str">
        <f t="shared" si="28"/>
        <v>1w</v>
      </c>
      <c r="O1412" s="146">
        <f>_xll.qlCalendarAdvance(Calendar,O1411,N1412,"f",FALSE)</f>
        <v>49053</v>
      </c>
      <c r="P1412" s="140">
        <f>_xll.qlInterestRateIndexValueDate(IborIndex,O1412)</f>
        <v>49055</v>
      </c>
      <c r="Q1412" s="141">
        <v>2.2953572977070485E-2</v>
      </c>
      <c r="R1412" s="143">
        <v>2.2938167948112209E-2</v>
      </c>
    </row>
    <row r="1413" spans="14:18" x14ac:dyDescent="0.2">
      <c r="N1413" s="139" t="str">
        <f t="shared" si="28"/>
        <v>1w</v>
      </c>
      <c r="O1413" s="146">
        <f>_xll.qlCalendarAdvance(Calendar,O1412,N1413,"f",FALSE)</f>
        <v>49060</v>
      </c>
      <c r="P1413" s="140">
        <f>_xll.qlInterestRateIndexValueDate(IborIndex,O1413)</f>
        <v>49062</v>
      </c>
      <c r="Q1413" s="141">
        <v>2.2950239128175006E-2</v>
      </c>
      <c r="R1413" s="143">
        <v>2.2933462310632535E-2</v>
      </c>
    </row>
    <row r="1414" spans="14:18" x14ac:dyDescent="0.2">
      <c r="N1414" s="139" t="str">
        <f t="shared" si="28"/>
        <v>1w</v>
      </c>
      <c r="O1414" s="146">
        <f>_xll.qlCalendarAdvance(Calendar,O1413,N1414,"f",FALSE)</f>
        <v>49067</v>
      </c>
      <c r="P1414" s="140">
        <f>_xll.qlInterestRateIndexValueDate(IborIndex,O1414)</f>
        <v>49069</v>
      </c>
      <c r="Q1414" s="141">
        <v>2.2945151806109926E-2</v>
      </c>
      <c r="R1414" s="143">
        <v>2.292989660442224E-2</v>
      </c>
    </row>
    <row r="1415" spans="14:18" x14ac:dyDescent="0.2">
      <c r="N1415" s="139" t="str">
        <f t="shared" si="28"/>
        <v>1w</v>
      </c>
      <c r="O1415" s="146">
        <f>_xll.qlCalendarAdvance(Calendar,O1414,N1415,"f",FALSE)</f>
        <v>49074</v>
      </c>
      <c r="P1415" s="140">
        <f>_xll.qlInterestRateIndexValueDate(IborIndex,O1415)</f>
        <v>49076</v>
      </c>
      <c r="Q1415" s="141">
        <v>2.2940877263926487E-2</v>
      </c>
      <c r="R1415" s="143">
        <v>2.2925697095681485E-2</v>
      </c>
    </row>
    <row r="1416" spans="14:18" x14ac:dyDescent="0.2">
      <c r="N1416" s="139" t="str">
        <f t="shared" si="28"/>
        <v>1w</v>
      </c>
      <c r="O1416" s="146">
        <f>_xll.qlCalendarAdvance(Calendar,O1415,N1416,"f",FALSE)</f>
        <v>49081</v>
      </c>
      <c r="P1416" s="140">
        <f>_xll.qlInterestRateIndexValueDate(IborIndex,O1416)</f>
        <v>49086</v>
      </c>
      <c r="Q1416" s="141">
        <v>2.2934696811673282E-2</v>
      </c>
      <c r="R1416" s="143">
        <v>2.292084554539997E-2</v>
      </c>
    </row>
    <row r="1417" spans="14:18" x14ac:dyDescent="0.2">
      <c r="N1417" s="139" t="str">
        <f t="shared" si="28"/>
        <v>1w</v>
      </c>
      <c r="O1417" s="146">
        <f>_xll.qlCalendarAdvance(Calendar,O1416,N1417,"f",FALSE)</f>
        <v>49088</v>
      </c>
      <c r="P1417" s="140">
        <f>_xll.qlInterestRateIndexValueDate(IborIndex,O1417)</f>
        <v>49090</v>
      </c>
      <c r="Q1417" s="141">
        <v>2.2932200266385361E-2</v>
      </c>
      <c r="R1417" s="143">
        <v>2.2916554841128089E-2</v>
      </c>
    </row>
    <row r="1418" spans="14:18" x14ac:dyDescent="0.2">
      <c r="N1418" s="139" t="str">
        <f t="shared" si="28"/>
        <v>1w</v>
      </c>
      <c r="O1418" s="146">
        <f>_xll.qlCalendarAdvance(Calendar,O1417,N1418,"f",FALSE)</f>
        <v>49095</v>
      </c>
      <c r="P1418" s="140">
        <f>_xll.qlInterestRateIndexValueDate(IborIndex,O1418)</f>
        <v>49097</v>
      </c>
      <c r="Q1418" s="141">
        <v>2.2927797811120507E-2</v>
      </c>
      <c r="R1418" s="143">
        <v>2.2912843222036017E-2</v>
      </c>
    </row>
    <row r="1419" spans="14:18" x14ac:dyDescent="0.2">
      <c r="N1419" s="139" t="str">
        <f t="shared" si="28"/>
        <v>1w</v>
      </c>
      <c r="O1419" s="146">
        <f>_xll.qlCalendarAdvance(Calendar,O1418,N1419,"f",FALSE)</f>
        <v>49102</v>
      </c>
      <c r="P1419" s="140">
        <f>_xll.qlInterestRateIndexValueDate(IborIndex,O1419)</f>
        <v>49104</v>
      </c>
      <c r="Q1419" s="141">
        <v>2.2923352718261548E-2</v>
      </c>
      <c r="R1419" s="143">
        <v>2.2908473481546565E-2</v>
      </c>
    </row>
    <row r="1420" spans="14:18" x14ac:dyDescent="0.2">
      <c r="N1420" s="139" t="str">
        <f t="shared" si="28"/>
        <v>1w</v>
      </c>
      <c r="O1420" s="146">
        <f>_xll.qlCalendarAdvance(Calendar,O1419,N1420,"f",FALSE)</f>
        <v>49109</v>
      </c>
      <c r="P1420" s="140">
        <f>_xll.qlInterestRateIndexValueDate(IborIndex,O1420)</f>
        <v>49111</v>
      </c>
      <c r="Q1420" s="141">
        <v>2.2918864987854906E-2</v>
      </c>
      <c r="R1420" s="143">
        <v>2.2904061183339763E-2</v>
      </c>
    </row>
    <row r="1421" spans="14:18" x14ac:dyDescent="0.2">
      <c r="N1421" s="139" t="str">
        <f t="shared" si="28"/>
        <v>1w</v>
      </c>
      <c r="O1421" s="146">
        <f>_xll.qlCalendarAdvance(Calendar,O1420,N1421,"f",FALSE)</f>
        <v>49116</v>
      </c>
      <c r="P1421" s="140">
        <f>_xll.qlInterestRateIndexValueDate(IborIndex,O1421)</f>
        <v>49121</v>
      </c>
      <c r="Q1421" s="141">
        <v>2.2911979848756481E-2</v>
      </c>
      <c r="R1421" s="143">
        <v>2.2898966444868663E-2</v>
      </c>
    </row>
    <row r="1422" spans="14:18" x14ac:dyDescent="0.2">
      <c r="N1422" s="139" t="str">
        <f t="shared" si="28"/>
        <v>1w</v>
      </c>
      <c r="O1422" s="146">
        <f>_xll.qlCalendarAdvance(Calendar,O1421,N1422,"f",FALSE)</f>
        <v>49123</v>
      </c>
      <c r="P1422" s="140">
        <f>_xll.qlInterestRateIndexValueDate(IborIndex,O1422)</f>
        <v>49125</v>
      </c>
      <c r="Q1422" s="141">
        <v>2.2909761614597113E-2</v>
      </c>
      <c r="R1422" s="143">
        <v>2.2895108912814877E-2</v>
      </c>
    </row>
    <row r="1423" spans="14:18" x14ac:dyDescent="0.2">
      <c r="N1423" s="139" t="str">
        <f t="shared" si="28"/>
        <v>1w</v>
      </c>
      <c r="O1423" s="146">
        <f>_xll.qlCalendarAdvance(Calendar,O1422,N1423,"f",FALSE)</f>
        <v>49130</v>
      </c>
      <c r="P1423" s="140">
        <f>_xll.qlInterestRateIndexValueDate(IborIndex,O1423)</f>
        <v>49132</v>
      </c>
      <c r="Q1423" s="141">
        <v>2.2905145971846529E-2</v>
      </c>
      <c r="R1423" s="143">
        <v>2.2890568940816536E-2</v>
      </c>
    </row>
    <row r="1424" spans="14:18" x14ac:dyDescent="0.2">
      <c r="N1424" s="139" t="str">
        <f t="shared" si="28"/>
        <v>1w</v>
      </c>
      <c r="O1424" s="146">
        <f>_xll.qlCalendarAdvance(Calendar,O1423,N1424,"f",FALSE)</f>
        <v>49137</v>
      </c>
      <c r="P1424" s="140">
        <f>_xll.qlInterestRateIndexValueDate(IborIndex,O1424)</f>
        <v>49139</v>
      </c>
      <c r="Q1424" s="141">
        <v>2.2900487691746806E-2</v>
      </c>
      <c r="R1424" s="143">
        <v>2.2885986410781101E-2</v>
      </c>
    </row>
    <row r="1425" spans="14:18" x14ac:dyDescent="0.2">
      <c r="N1425" s="139" t="str">
        <f t="shared" si="28"/>
        <v>1w</v>
      </c>
      <c r="O1425" s="146">
        <f>_xll.qlCalendarAdvance(Calendar,O1424,N1425,"f",FALSE)</f>
        <v>49144</v>
      </c>
      <c r="P1425" s="140">
        <f>_xll.qlInterestRateIndexValueDate(IborIndex,O1425)</f>
        <v>49146</v>
      </c>
      <c r="Q1425" s="141">
        <v>2.2895786774352101E-2</v>
      </c>
      <c r="R1425" s="143">
        <v>2.2881361322948379E-2</v>
      </c>
    </row>
    <row r="1426" spans="14:18" x14ac:dyDescent="0.2">
      <c r="N1426" s="139" t="str">
        <f t="shared" si="28"/>
        <v>1w</v>
      </c>
      <c r="O1426" s="146">
        <f>_xll.qlCalendarAdvance(Calendar,O1425,N1426,"f",FALSE)</f>
        <v>49151</v>
      </c>
      <c r="P1426" s="140">
        <f>_xll.qlInterestRateIndexValueDate(IborIndex,O1426)</f>
        <v>49153</v>
      </c>
      <c r="Q1426" s="141">
        <v>2.2891043219713983E-2</v>
      </c>
      <c r="R1426" s="143">
        <v>2.2876693677238435E-2</v>
      </c>
    </row>
    <row r="1427" spans="14:18" x14ac:dyDescent="0.2">
      <c r="N1427" s="139" t="str">
        <f t="shared" si="28"/>
        <v>1w</v>
      </c>
      <c r="O1427" s="146">
        <f>_xll.qlCalendarAdvance(Calendar,O1426,N1427,"f",FALSE)</f>
        <v>49158</v>
      </c>
      <c r="P1427" s="140">
        <f>_xll.qlInterestRateIndexValueDate(IborIndex,O1427)</f>
        <v>49160</v>
      </c>
      <c r="Q1427" s="141">
        <v>2.2886257027878863E-2</v>
      </c>
      <c r="R1427" s="143">
        <v>2.2871983473571333E-2</v>
      </c>
    </row>
    <row r="1428" spans="14:18" x14ac:dyDescent="0.2">
      <c r="N1428" s="139" t="str">
        <f t="shared" si="28"/>
        <v>1w</v>
      </c>
      <c r="O1428" s="146">
        <f>_xll.qlCalendarAdvance(Calendar,O1427,N1428,"f",FALSE)</f>
        <v>49165</v>
      </c>
      <c r="P1428" s="140">
        <f>_xll.qlInterestRateIndexValueDate(IborIndex,O1428)</f>
        <v>49167</v>
      </c>
      <c r="Q1428" s="141">
        <v>2.2881428198908631E-2</v>
      </c>
      <c r="R1428" s="143">
        <v>2.2867230711867137E-2</v>
      </c>
    </row>
    <row r="1429" spans="14:18" x14ac:dyDescent="0.2">
      <c r="N1429" s="139" t="str">
        <f t="shared" ref="N1429:N1492" si="29">N1428</f>
        <v>1w</v>
      </c>
      <c r="O1429" s="146">
        <f>_xll.qlCalendarAdvance(Calendar,O1428,N1429,"f",FALSE)</f>
        <v>49172</v>
      </c>
      <c r="P1429" s="140">
        <f>_xll.qlInterestRateIndexValueDate(IborIndex,O1429)</f>
        <v>49174</v>
      </c>
      <c r="Q1429" s="141">
        <v>2.2876556732847126E-2</v>
      </c>
      <c r="R1429" s="143">
        <v>2.2862435392525526E-2</v>
      </c>
    </row>
    <row r="1430" spans="14:18" x14ac:dyDescent="0.2">
      <c r="N1430" s="139" t="str">
        <f t="shared" si="29"/>
        <v>1w</v>
      </c>
      <c r="O1430" s="146">
        <f>_xll.qlCalendarAdvance(Calendar,O1429,N1430,"f",FALSE)</f>
        <v>49179</v>
      </c>
      <c r="P1430" s="140">
        <f>_xll.qlInterestRateIndexValueDate(IborIndex,O1430)</f>
        <v>49181</v>
      </c>
      <c r="Q1430" s="141">
        <v>2.2871642629756227E-2</v>
      </c>
      <c r="R1430" s="143">
        <v>2.2857597515066885E-2</v>
      </c>
    </row>
    <row r="1431" spans="14:18" x14ac:dyDescent="0.2">
      <c r="N1431" s="139" t="str">
        <f t="shared" si="29"/>
        <v>1w</v>
      </c>
      <c r="O1431" s="146">
        <f>_xll.qlCalendarAdvance(Calendar,O1430,N1431,"f",FALSE)</f>
        <v>49186</v>
      </c>
      <c r="P1431" s="140">
        <f>_xll.qlInterestRateIndexValueDate(IborIndex,O1431)</f>
        <v>49188</v>
      </c>
      <c r="Q1431" s="141">
        <v>2.286668588968235E-2</v>
      </c>
      <c r="R1431" s="143">
        <v>2.2852717079810958E-2</v>
      </c>
    </row>
    <row r="1432" spans="14:18" x14ac:dyDescent="0.2">
      <c r="N1432" s="139" t="str">
        <f t="shared" si="29"/>
        <v>1w</v>
      </c>
      <c r="O1432" s="146">
        <f>_xll.qlCalendarAdvance(Calendar,O1431,N1432,"f",FALSE)</f>
        <v>49193</v>
      </c>
      <c r="P1432" s="140">
        <f>_xll.qlInterestRateIndexValueDate(IborIndex,O1432)</f>
        <v>49195</v>
      </c>
      <c r="Q1432" s="141">
        <v>2.2861686512687385E-2</v>
      </c>
      <c r="R1432" s="143">
        <v>2.2847794086677808E-2</v>
      </c>
    </row>
    <row r="1433" spans="14:18" x14ac:dyDescent="0.2">
      <c r="N1433" s="139" t="str">
        <f t="shared" si="29"/>
        <v>1w</v>
      </c>
      <c r="O1433" s="146">
        <f>_xll.qlCalendarAdvance(Calendar,O1432,N1433,"f",FALSE)</f>
        <v>49200</v>
      </c>
      <c r="P1433" s="140">
        <f>_xll.qlInterestRateIndexValueDate(IborIndex,O1433)</f>
        <v>49202</v>
      </c>
      <c r="Q1433" s="141">
        <v>2.2856644498822899E-2</v>
      </c>
      <c r="R1433" s="143">
        <v>2.28428285355875E-2</v>
      </c>
    </row>
    <row r="1434" spans="14:18" x14ac:dyDescent="0.2">
      <c r="N1434" s="139" t="str">
        <f t="shared" si="29"/>
        <v>1w</v>
      </c>
      <c r="O1434" s="146">
        <f>_xll.qlCalendarAdvance(Calendar,O1433,N1434,"f",FALSE)</f>
        <v>49207</v>
      </c>
      <c r="P1434" s="140">
        <f>_xll.qlInterestRateIndexValueDate(IborIndex,O1434)</f>
        <v>49209</v>
      </c>
      <c r="Q1434" s="141">
        <v>2.2851559848140468E-2</v>
      </c>
      <c r="R1434" s="143">
        <v>2.283782042661997E-2</v>
      </c>
    </row>
    <row r="1435" spans="14:18" x14ac:dyDescent="0.2">
      <c r="N1435" s="139" t="str">
        <f t="shared" si="29"/>
        <v>1w</v>
      </c>
      <c r="O1435" s="146">
        <f>_xll.qlCalendarAdvance(Calendar,O1434,N1435,"f",FALSE)</f>
        <v>49214</v>
      </c>
      <c r="P1435" s="140">
        <f>_xll.qlInterestRateIndexValueDate(IborIndex,O1435)</f>
        <v>49216</v>
      </c>
      <c r="Q1435" s="141">
        <v>2.2846786870782121E-2</v>
      </c>
      <c r="R1435" s="143">
        <v>2.2832769759775218E-2</v>
      </c>
    </row>
    <row r="1436" spans="14:18" x14ac:dyDescent="0.2">
      <c r="N1436" s="139" t="str">
        <f t="shared" si="29"/>
        <v>1w</v>
      </c>
      <c r="O1436" s="146">
        <f>_xll.qlCalendarAdvance(Calendar,O1435,N1436,"f",FALSE)</f>
        <v>49221</v>
      </c>
      <c r="P1436" s="140">
        <f>_xll.qlInterestRateIndexValueDate(IborIndex,O1436)</f>
        <v>49223</v>
      </c>
      <c r="Q1436" s="141">
        <v>2.2841262636561572E-2</v>
      </c>
      <c r="R1436" s="143">
        <v>2.2827676535133179E-2</v>
      </c>
    </row>
    <row r="1437" spans="14:18" x14ac:dyDescent="0.2">
      <c r="N1437" s="139" t="str">
        <f t="shared" si="29"/>
        <v>1w</v>
      </c>
      <c r="O1437" s="146">
        <f>_xll.qlCalendarAdvance(Calendar,O1436,N1437,"f",FALSE)</f>
        <v>49228</v>
      </c>
      <c r="P1437" s="140">
        <f>_xll.qlInterestRateIndexValueDate(IborIndex,O1437)</f>
        <v>49230</v>
      </c>
      <c r="Q1437" s="141">
        <v>2.2836050075775983E-2</v>
      </c>
      <c r="R1437" s="143">
        <v>2.2822540752454046E-2</v>
      </c>
    </row>
    <row r="1438" spans="14:18" x14ac:dyDescent="0.2">
      <c r="N1438" s="139" t="str">
        <f t="shared" si="29"/>
        <v>1w</v>
      </c>
      <c r="O1438" s="146">
        <f>_xll.qlCalendarAdvance(Calendar,O1437,N1438,"f",FALSE)</f>
        <v>49235</v>
      </c>
      <c r="P1438" s="140">
        <f>_xll.qlInterestRateIndexValueDate(IborIndex,O1438)</f>
        <v>49237</v>
      </c>
      <c r="Q1438" s="141">
        <v>2.2830794878401943E-2</v>
      </c>
      <c r="R1438" s="143">
        <v>2.2817362412057562E-2</v>
      </c>
    </row>
    <row r="1439" spans="14:18" x14ac:dyDescent="0.2">
      <c r="N1439" s="139" t="str">
        <f t="shared" si="29"/>
        <v>1w</v>
      </c>
      <c r="O1439" s="146">
        <f>_xll.qlCalendarAdvance(Calendar,O1438,N1439,"f",FALSE)</f>
        <v>49242</v>
      </c>
      <c r="P1439" s="140">
        <f>_xll.qlInterestRateIndexValueDate(IborIndex,O1439)</f>
        <v>49244</v>
      </c>
      <c r="Q1439" s="141">
        <v>2.2825497044498759E-2</v>
      </c>
      <c r="R1439" s="143">
        <v>2.2812141513623985E-2</v>
      </c>
    </row>
    <row r="1440" spans="14:18" x14ac:dyDescent="0.2">
      <c r="N1440" s="139" t="str">
        <f t="shared" si="29"/>
        <v>1w</v>
      </c>
      <c r="O1440" s="146">
        <f>_xll.qlCalendarAdvance(Calendar,O1439,N1440,"f",FALSE)</f>
        <v>49249</v>
      </c>
      <c r="P1440" s="140">
        <f>_xll.qlInterestRateIndexValueDate(IborIndex,O1440)</f>
        <v>49251</v>
      </c>
      <c r="Q1440" s="141">
        <v>2.2820156574120579E-2</v>
      </c>
      <c r="R1440" s="143">
        <v>2.2806878057313185E-2</v>
      </c>
    </row>
    <row r="1441" spans="14:18" x14ac:dyDescent="0.2">
      <c r="N1441" s="139" t="str">
        <f t="shared" si="29"/>
        <v>1w</v>
      </c>
      <c r="O1441" s="146">
        <f>_xll.qlCalendarAdvance(Calendar,O1440,N1441,"f",FALSE)</f>
        <v>49256</v>
      </c>
      <c r="P1441" s="140">
        <f>_xll.qlInterestRateIndexValueDate(IborIndex,O1441)</f>
        <v>49258</v>
      </c>
      <c r="Q1441" s="141">
        <v>2.2814773467334442E-2</v>
      </c>
      <c r="R1441" s="143">
        <v>2.2801572043205098E-2</v>
      </c>
    </row>
    <row r="1442" spans="14:18" x14ac:dyDescent="0.2">
      <c r="N1442" s="139" t="str">
        <f t="shared" si="29"/>
        <v>1w</v>
      </c>
      <c r="O1442" s="146">
        <f>_xll.qlCalendarAdvance(Calendar,O1441,N1442,"f",FALSE)</f>
        <v>49263</v>
      </c>
      <c r="P1442" s="140">
        <f>_xll.qlInterestRateIndexValueDate(IborIndex,O1442)</f>
        <v>49265</v>
      </c>
      <c r="Q1442" s="141">
        <v>2.2809347724191929E-2</v>
      </c>
      <c r="R1442" s="143">
        <v>2.279622347121979E-2</v>
      </c>
    </row>
    <row r="1443" spans="14:18" x14ac:dyDescent="0.2">
      <c r="N1443" s="139" t="str">
        <f t="shared" si="29"/>
        <v>1w</v>
      </c>
      <c r="O1443" s="146">
        <f>_xll.qlCalendarAdvance(Calendar,O1442,N1443,"f",FALSE)</f>
        <v>49270</v>
      </c>
      <c r="P1443" s="140">
        <f>_xll.qlInterestRateIndexValueDate(IborIndex,O1443)</f>
        <v>49272</v>
      </c>
      <c r="Q1443" s="141">
        <v>2.280453353408066E-2</v>
      </c>
      <c r="R1443" s="143">
        <v>2.2790832341357259E-2</v>
      </c>
    </row>
    <row r="1444" spans="14:18" x14ac:dyDescent="0.2">
      <c r="N1444" s="139" t="str">
        <f t="shared" si="29"/>
        <v>1w</v>
      </c>
      <c r="O1444" s="146">
        <f>_xll.qlCalendarAdvance(Calendar,O1443,N1444,"f",FALSE)</f>
        <v>49277</v>
      </c>
      <c r="P1444" s="140">
        <f>_xll.qlInterestRateIndexValueDate(IborIndex,O1444)</f>
        <v>49279</v>
      </c>
      <c r="Q1444" s="141">
        <v>2.2798692184181346E-2</v>
      </c>
      <c r="R1444" s="143">
        <v>2.278539865353757E-2</v>
      </c>
    </row>
    <row r="1445" spans="14:18" x14ac:dyDescent="0.2">
      <c r="N1445" s="139" t="str">
        <f t="shared" si="29"/>
        <v>1w</v>
      </c>
      <c r="O1445" s="146">
        <f>_xll.qlCalendarAdvance(Calendar,O1444,N1445,"f",FALSE)</f>
        <v>49284</v>
      </c>
      <c r="P1445" s="140">
        <f>_xll.qlInterestRateIndexValueDate(IborIndex,O1445)</f>
        <v>49286</v>
      </c>
      <c r="Q1445" s="141">
        <v>2.2792814677237223E-2</v>
      </c>
      <c r="R1445" s="143">
        <v>2.2779922407840658E-2</v>
      </c>
    </row>
    <row r="1446" spans="14:18" x14ac:dyDescent="0.2">
      <c r="N1446" s="139" t="str">
        <f t="shared" si="29"/>
        <v>1w</v>
      </c>
      <c r="O1446" s="146">
        <f>_xll.qlCalendarAdvance(Calendar,O1445,N1446,"f",FALSE)</f>
        <v>49291</v>
      </c>
      <c r="P1446" s="140">
        <f>_xll.qlInterestRateIndexValueDate(IborIndex,O1446)</f>
        <v>49293</v>
      </c>
      <c r="Q1446" s="141">
        <v>2.278721838927773E-2</v>
      </c>
      <c r="R1446" s="143">
        <v>2.277440360434646E-2</v>
      </c>
    </row>
    <row r="1447" spans="14:18" x14ac:dyDescent="0.2">
      <c r="N1447" s="139" t="str">
        <f t="shared" si="29"/>
        <v>1w</v>
      </c>
      <c r="O1447" s="146">
        <f>_xll.qlCalendarAdvance(Calendar,O1446,N1447,"f",FALSE)</f>
        <v>49298</v>
      </c>
      <c r="P1447" s="140">
        <f>_xll.qlInterestRateIndexValueDate(IborIndex,O1447)</f>
        <v>49300</v>
      </c>
      <c r="Q1447" s="141">
        <v>2.2781579465268705E-2</v>
      </c>
      <c r="R1447" s="143">
        <v>2.2767245465864505E-2</v>
      </c>
    </row>
    <row r="1448" spans="14:18" x14ac:dyDescent="0.2">
      <c r="N1448" s="139" t="str">
        <f t="shared" si="29"/>
        <v>1w</v>
      </c>
      <c r="O1448" s="146">
        <f>_xll.qlCalendarAdvance(Calendar,O1447,N1448,"f",FALSE)</f>
        <v>49305</v>
      </c>
      <c r="P1448" s="140">
        <f>_xll.qlInterestRateIndexValueDate(IborIndex,O1448)</f>
        <v>49307</v>
      </c>
      <c r="Q1448" s="141">
        <v>2.2776518097046183E-2</v>
      </c>
      <c r="R1448" s="143">
        <v>2.2762434289766986E-2</v>
      </c>
    </row>
    <row r="1449" spans="14:18" x14ac:dyDescent="0.2">
      <c r="N1449" s="139" t="str">
        <f t="shared" si="29"/>
        <v>1w</v>
      </c>
      <c r="O1449" s="146">
        <f>_xll.qlCalendarAdvance(Calendar,O1448,N1449,"f",FALSE)</f>
        <v>49312</v>
      </c>
      <c r="P1449" s="140">
        <f>_xll.qlInterestRateIndexValueDate(IborIndex,O1449)</f>
        <v>49314</v>
      </c>
      <c r="Q1449" s="141">
        <v>2.2770173709344456E-2</v>
      </c>
      <c r="R1449" s="143">
        <v>2.2757591846680469E-2</v>
      </c>
    </row>
    <row r="1450" spans="14:18" x14ac:dyDescent="0.2">
      <c r="N1450" s="139" t="str">
        <f t="shared" si="29"/>
        <v>1w</v>
      </c>
      <c r="O1450" s="146">
        <f>_xll.qlCalendarAdvance(Calendar,O1449,N1450,"f",FALSE)</f>
        <v>49319</v>
      </c>
      <c r="P1450" s="140">
        <f>_xll.qlInterestRateIndexValueDate(IborIndex,O1450)</f>
        <v>49321</v>
      </c>
      <c r="Q1450" s="141">
        <v>2.2764406877558162E-2</v>
      </c>
      <c r="R1450" s="143">
        <v>2.2751902811757319E-2</v>
      </c>
    </row>
    <row r="1451" spans="14:18" x14ac:dyDescent="0.2">
      <c r="N1451" s="139" t="str">
        <f t="shared" si="29"/>
        <v>1w</v>
      </c>
      <c r="O1451" s="146">
        <f>_xll.qlCalendarAdvance(Calendar,O1450,N1451,"f",FALSE)</f>
        <v>49326</v>
      </c>
      <c r="P1451" s="140">
        <f>_xll.qlInterestRateIndexValueDate(IborIndex,O1451)</f>
        <v>49328</v>
      </c>
      <c r="Q1451" s="141">
        <v>2.2758597409967302E-2</v>
      </c>
      <c r="R1451" s="143">
        <v>2.2746171218956945E-2</v>
      </c>
    </row>
    <row r="1452" spans="14:18" x14ac:dyDescent="0.2">
      <c r="N1452" s="139" t="str">
        <f t="shared" si="29"/>
        <v>1w</v>
      </c>
      <c r="O1452" s="146">
        <f>_xll.qlCalendarAdvance(Calendar,O1451,N1452,"f",FALSE)</f>
        <v>49333</v>
      </c>
      <c r="P1452" s="140">
        <f>_xll.qlInterestRateIndexValueDate(IborIndex,O1452)</f>
        <v>49335</v>
      </c>
      <c r="Q1452" s="141">
        <v>2.2752745306644076E-2</v>
      </c>
      <c r="R1452" s="143">
        <v>2.274039706827935E-2</v>
      </c>
    </row>
    <row r="1453" spans="14:18" x14ac:dyDescent="0.2">
      <c r="N1453" s="139" t="str">
        <f t="shared" si="29"/>
        <v>1w</v>
      </c>
      <c r="O1453" s="146">
        <f>_xll.qlCalendarAdvance(Calendar,O1452,N1453,"f",FALSE)</f>
        <v>49340</v>
      </c>
      <c r="P1453" s="140">
        <f>_xll.qlInterestRateIndexValueDate(IborIndex,O1453)</f>
        <v>49342</v>
      </c>
      <c r="Q1453" s="141">
        <v>2.2745969120584623E-2</v>
      </c>
      <c r="R1453" s="143">
        <v>2.2734580359724532E-2</v>
      </c>
    </row>
    <row r="1454" spans="14:18" x14ac:dyDescent="0.2">
      <c r="N1454" s="139" t="str">
        <f t="shared" si="29"/>
        <v>1w</v>
      </c>
      <c r="O1454" s="146">
        <f>_xll.qlCalendarAdvance(Calendar,O1453,N1454,"f",FALSE)</f>
        <v>49347</v>
      </c>
      <c r="P1454" s="140">
        <f>_xll.qlInterestRateIndexValueDate(IborIndex,O1454)</f>
        <v>49349</v>
      </c>
      <c r="Q1454" s="141">
        <v>2.2740042004626586E-2</v>
      </c>
      <c r="R1454" s="143">
        <v>2.2728721093292492E-2</v>
      </c>
    </row>
    <row r="1455" spans="14:18" x14ac:dyDescent="0.2">
      <c r="N1455" s="139" t="str">
        <f t="shared" si="29"/>
        <v>1w</v>
      </c>
      <c r="O1455" s="146">
        <f>_xll.qlCalendarAdvance(Calendar,O1454,N1455,"f",FALSE)</f>
        <v>49354</v>
      </c>
      <c r="P1455" s="140">
        <f>_xll.qlInterestRateIndexValueDate(IborIndex,O1455)</f>
        <v>49356</v>
      </c>
      <c r="Q1455" s="141">
        <v>2.2734072260884388E-2</v>
      </c>
      <c r="R1455" s="143">
        <v>2.2722819269143102E-2</v>
      </c>
    </row>
    <row r="1456" spans="14:18" x14ac:dyDescent="0.2">
      <c r="N1456" s="139" t="str">
        <f t="shared" si="29"/>
        <v>1w</v>
      </c>
      <c r="O1456" s="146">
        <f>_xll.qlCalendarAdvance(Calendar,O1455,N1456,"f",FALSE)</f>
        <v>49361</v>
      </c>
      <c r="P1456" s="140">
        <f>_xll.qlInterestRateIndexValueDate(IborIndex,O1456)</f>
        <v>49363</v>
      </c>
      <c r="Q1456" s="141">
        <v>2.2729193457370345E-2</v>
      </c>
      <c r="R1456" s="143">
        <v>2.2716874887036553E-2</v>
      </c>
    </row>
    <row r="1457" spans="14:18" x14ac:dyDescent="0.2">
      <c r="N1457" s="139" t="str">
        <f t="shared" si="29"/>
        <v>1w</v>
      </c>
      <c r="O1457" s="146">
        <f>_xll.qlCalendarAdvance(Calendar,O1456,N1457,"f",FALSE)</f>
        <v>49368</v>
      </c>
      <c r="P1457" s="140">
        <f>_xll.qlInterestRateIndexValueDate(IborIndex,O1457)</f>
        <v>49370</v>
      </c>
      <c r="Q1457" s="141">
        <v>2.272284525623687E-2</v>
      </c>
      <c r="R1457" s="143">
        <v>2.2710887947052782E-2</v>
      </c>
    </row>
    <row r="1458" spans="14:18" x14ac:dyDescent="0.2">
      <c r="N1458" s="139" t="str">
        <f t="shared" si="29"/>
        <v>1w</v>
      </c>
      <c r="O1458" s="146">
        <f>_xll.qlCalendarAdvance(Calendar,O1457,N1458,"f",FALSE)</f>
        <v>49375</v>
      </c>
      <c r="P1458" s="140">
        <f>_xll.qlInterestRateIndexValueDate(IborIndex,O1458)</f>
        <v>49377</v>
      </c>
      <c r="Q1458" s="141">
        <v>2.2716737339857747E-2</v>
      </c>
      <c r="R1458" s="143">
        <v>2.2704858449271725E-2</v>
      </c>
    </row>
    <row r="1459" spans="14:18" x14ac:dyDescent="0.2">
      <c r="N1459" s="139" t="str">
        <f t="shared" si="29"/>
        <v>1w</v>
      </c>
      <c r="O1459" s="146">
        <f>_xll.qlCalendarAdvance(Calendar,O1458,N1459,"f",FALSE)</f>
        <v>49382</v>
      </c>
      <c r="P1459" s="140">
        <f>_xll.qlInterestRateIndexValueDate(IborIndex,O1459)</f>
        <v>49384</v>
      </c>
      <c r="Q1459" s="141">
        <v>2.2710586788207823E-2</v>
      </c>
      <c r="R1459" s="143">
        <v>2.2698786393693382E-2</v>
      </c>
    </row>
    <row r="1460" spans="14:18" x14ac:dyDescent="0.2">
      <c r="N1460" s="139" t="str">
        <f t="shared" si="29"/>
        <v>1w</v>
      </c>
      <c r="O1460" s="146">
        <f>_xll.qlCalendarAdvance(Calendar,O1459,N1460,"f",FALSE)</f>
        <v>49389</v>
      </c>
      <c r="P1460" s="140">
        <f>_xll.qlInterestRateIndexValueDate(IborIndex,O1460)</f>
        <v>49395</v>
      </c>
      <c r="Q1460" s="141">
        <v>2.2700835495110958E-2</v>
      </c>
      <c r="R1460" s="143">
        <v>2.2690916931011884E-2</v>
      </c>
    </row>
    <row r="1461" spans="14:18" x14ac:dyDescent="0.2">
      <c r="N1461" s="139" t="str">
        <f t="shared" si="29"/>
        <v>1w</v>
      </c>
      <c r="O1461" s="146">
        <f>_xll.qlCalendarAdvance(Calendar,O1460,N1461,"f",FALSE)</f>
        <v>49396</v>
      </c>
      <c r="P1461" s="140">
        <f>_xll.qlInterestRateIndexValueDate(IborIndex,O1461)</f>
        <v>49398</v>
      </c>
      <c r="Q1461" s="141">
        <v>2.2698157779343132E-2</v>
      </c>
      <c r="R1461" s="143">
        <v>2.2686514608905028E-2</v>
      </c>
    </row>
    <row r="1462" spans="14:18" x14ac:dyDescent="0.2">
      <c r="N1462" s="139" t="str">
        <f t="shared" si="29"/>
        <v>1w</v>
      </c>
      <c r="O1462" s="146">
        <f>_xll.qlCalendarAdvance(Calendar,O1461,N1462,"f",FALSE)</f>
        <v>49403</v>
      </c>
      <c r="P1462" s="140">
        <f>_xll.qlInterestRateIndexValueDate(IborIndex,O1462)</f>
        <v>49405</v>
      </c>
      <c r="Q1462" s="141">
        <v>2.2691879322270184E-2</v>
      </c>
      <c r="R1462" s="143">
        <v>2.268031487985489E-2</v>
      </c>
    </row>
    <row r="1463" spans="14:18" x14ac:dyDescent="0.2">
      <c r="N1463" s="139" t="str">
        <f t="shared" si="29"/>
        <v>1w</v>
      </c>
      <c r="O1463" s="146">
        <f>_xll.qlCalendarAdvance(Calendar,O1462,N1463,"f",FALSE)</f>
        <v>49410</v>
      </c>
      <c r="P1463" s="140">
        <f>_xll.qlInterestRateIndexValueDate(IborIndex,O1463)</f>
        <v>49412</v>
      </c>
      <c r="Q1463" s="141">
        <v>2.2685817099532268E-2</v>
      </c>
      <c r="R1463" s="143">
        <v>2.2674072592847594E-2</v>
      </c>
    </row>
    <row r="1464" spans="14:18" x14ac:dyDescent="0.2">
      <c r="N1464" s="139" t="str">
        <f t="shared" si="29"/>
        <v>1w</v>
      </c>
      <c r="O1464" s="146">
        <f>_xll.qlCalendarAdvance(Calendar,O1463,N1464,"f",FALSE)</f>
        <v>49417</v>
      </c>
      <c r="P1464" s="140">
        <f>_xll.qlInterestRateIndexValueDate(IborIndex,O1464)</f>
        <v>49419</v>
      </c>
      <c r="Q1464" s="141">
        <v>2.2679194605965753E-2</v>
      </c>
      <c r="R1464" s="143">
        <v>2.2667787748043011E-2</v>
      </c>
    </row>
    <row r="1465" spans="14:18" x14ac:dyDescent="0.2">
      <c r="N1465" s="139" t="str">
        <f t="shared" si="29"/>
        <v>1w</v>
      </c>
      <c r="O1465" s="146">
        <f>_xll.qlCalendarAdvance(Calendar,O1464,N1465,"f",FALSE)</f>
        <v>49424</v>
      </c>
      <c r="P1465" s="140">
        <f>_xll.qlInterestRateIndexValueDate(IborIndex,O1465)</f>
        <v>49426</v>
      </c>
      <c r="Q1465" s="141">
        <v>2.2672791948098639E-2</v>
      </c>
      <c r="R1465" s="143">
        <v>2.2660811994827945E-2</v>
      </c>
    </row>
    <row r="1466" spans="14:18" x14ac:dyDescent="0.2">
      <c r="N1466" s="139" t="str">
        <f t="shared" si="29"/>
        <v>1w</v>
      </c>
      <c r="O1466" s="146">
        <f>_xll.qlCalendarAdvance(Calendar,O1465,N1466,"f",FALSE)</f>
        <v>49431</v>
      </c>
      <c r="P1466" s="140">
        <f>_xll.qlInterestRateIndexValueDate(IborIndex,O1466)</f>
        <v>49436</v>
      </c>
      <c r="Q1466" s="141">
        <v>2.2663592691776775E-2</v>
      </c>
      <c r="R1466" s="143">
        <v>2.2654176916541147E-2</v>
      </c>
    </row>
    <row r="1467" spans="14:18" x14ac:dyDescent="0.2">
      <c r="N1467" s="139" t="str">
        <f t="shared" si="29"/>
        <v>1w</v>
      </c>
      <c r="O1467" s="146">
        <f>_xll.qlCalendarAdvance(Calendar,O1466,N1467,"f",FALSE)</f>
        <v>49438</v>
      </c>
      <c r="P1467" s="140">
        <f>_xll.qlInterestRateIndexValueDate(IborIndex,O1467)</f>
        <v>49440</v>
      </c>
      <c r="Q1467" s="141">
        <v>2.2659900138264785E-2</v>
      </c>
      <c r="R1467" s="143">
        <v>2.2647758318568023E-2</v>
      </c>
    </row>
    <row r="1468" spans="14:18" x14ac:dyDescent="0.2">
      <c r="N1468" s="139" t="str">
        <f t="shared" si="29"/>
        <v>1w</v>
      </c>
      <c r="O1468" s="146">
        <f>_xll.qlCalendarAdvance(Calendar,O1467,N1468,"f",FALSE)</f>
        <v>49445</v>
      </c>
      <c r="P1468" s="140">
        <f>_xll.qlInterestRateIndexValueDate(IborIndex,O1468)</f>
        <v>49447</v>
      </c>
      <c r="Q1468" s="141">
        <v>2.2653426655121704E-2</v>
      </c>
      <c r="R1468" s="143">
        <v>2.2642229975744499E-2</v>
      </c>
    </row>
    <row r="1469" spans="14:18" x14ac:dyDescent="0.2">
      <c r="N1469" s="139" t="str">
        <f t="shared" si="29"/>
        <v>1w</v>
      </c>
      <c r="O1469" s="146">
        <f>_xll.qlCalendarAdvance(Calendar,O1468,N1469,"f",FALSE)</f>
        <v>49452</v>
      </c>
      <c r="P1469" s="140">
        <f>_xll.qlInterestRateIndexValueDate(IborIndex,O1469)</f>
        <v>49454</v>
      </c>
      <c r="Q1469" s="141">
        <v>2.2646943926618018E-2</v>
      </c>
      <c r="R1469" s="143">
        <v>2.2635771918535497E-2</v>
      </c>
    </row>
    <row r="1470" spans="14:18" x14ac:dyDescent="0.2">
      <c r="N1470" s="139" t="str">
        <f t="shared" si="29"/>
        <v>1w</v>
      </c>
      <c r="O1470" s="146">
        <f>_xll.qlCalendarAdvance(Calendar,O1469,N1470,"f",FALSE)</f>
        <v>49459</v>
      </c>
      <c r="P1470" s="140">
        <f>_xll.qlInterestRateIndexValueDate(IborIndex,O1470)</f>
        <v>49461</v>
      </c>
      <c r="Q1470" s="141">
        <v>2.2640453258491178E-2</v>
      </c>
      <c r="R1470" s="143">
        <v>2.2629305933268284E-2</v>
      </c>
    </row>
    <row r="1471" spans="14:18" x14ac:dyDescent="0.2">
      <c r="N1471" s="139" t="str">
        <f t="shared" si="29"/>
        <v>1w</v>
      </c>
      <c r="O1471" s="146">
        <f>_xll.qlCalendarAdvance(Calendar,O1470,N1471,"f",FALSE)</f>
        <v>49466</v>
      </c>
      <c r="P1471" s="140">
        <f>_xll.qlInterestRateIndexValueDate(IborIndex,O1471)</f>
        <v>49468</v>
      </c>
      <c r="Q1471" s="141">
        <v>2.2633954650761814E-2</v>
      </c>
      <c r="R1471" s="143">
        <v>2.262283201978299E-2</v>
      </c>
    </row>
    <row r="1472" spans="14:18" x14ac:dyDescent="0.2">
      <c r="N1472" s="139" t="str">
        <f t="shared" si="29"/>
        <v>1w</v>
      </c>
      <c r="O1472" s="146">
        <f>_xll.qlCalendarAdvance(Calendar,O1471,N1472,"f",FALSE)</f>
        <v>49473</v>
      </c>
      <c r="P1472" s="140">
        <f>_xll.qlInterestRateIndexValueDate(IborIndex,O1472)</f>
        <v>49475</v>
      </c>
      <c r="Q1472" s="141">
        <v>2.2627448103437663E-2</v>
      </c>
      <c r="R1472" s="143">
        <v>2.261635017815955E-2</v>
      </c>
    </row>
    <row r="1473" spans="14:18" x14ac:dyDescent="0.2">
      <c r="N1473" s="139" t="str">
        <f t="shared" si="29"/>
        <v>1w</v>
      </c>
      <c r="O1473" s="146">
        <f>_xll.qlCalendarAdvance(Calendar,O1472,N1473,"f",FALSE)</f>
        <v>49480</v>
      </c>
      <c r="P1473" s="140">
        <f>_xll.qlInterestRateIndexValueDate(IborIndex,O1473)</f>
        <v>49485</v>
      </c>
      <c r="Q1473" s="141">
        <v>2.2617895420309786E-2</v>
      </c>
      <c r="R1473" s="143">
        <v>2.2608932651166924E-2</v>
      </c>
    </row>
    <row r="1474" spans="14:18" x14ac:dyDescent="0.2">
      <c r="N1474" s="139" t="str">
        <f t="shared" si="29"/>
        <v>1w</v>
      </c>
      <c r="O1474" s="146">
        <f>_xll.qlCalendarAdvance(Calendar,O1473,N1474,"f",FALSE)</f>
        <v>49487</v>
      </c>
      <c r="P1474" s="140">
        <f>_xll.qlInterestRateIndexValueDate(IborIndex,O1474)</f>
        <v>49489</v>
      </c>
      <c r="Q1474" s="141">
        <v>2.2614654391955591E-2</v>
      </c>
      <c r="R1474" s="143">
        <v>2.2603362710498232E-2</v>
      </c>
    </row>
    <row r="1475" spans="14:18" x14ac:dyDescent="0.2">
      <c r="N1475" s="139" t="str">
        <f t="shared" si="29"/>
        <v>1w</v>
      </c>
      <c r="O1475" s="146">
        <f>_xll.qlCalendarAdvance(Calendar,O1474,N1475,"f",FALSE)</f>
        <v>49494</v>
      </c>
      <c r="P1475" s="140">
        <f>_xll.qlInterestRateIndexValueDate(IborIndex,O1475)</f>
        <v>49496</v>
      </c>
      <c r="Q1475" s="141">
        <v>2.260788082404604E-2</v>
      </c>
      <c r="R1475" s="143">
        <v>2.2596857084300481E-2</v>
      </c>
    </row>
    <row r="1476" spans="14:18" x14ac:dyDescent="0.2">
      <c r="N1476" s="139" t="str">
        <f t="shared" si="29"/>
        <v>1w</v>
      </c>
      <c r="O1476" s="146">
        <f>_xll.qlCalendarAdvance(Calendar,O1475,N1476,"f",FALSE)</f>
        <v>49501</v>
      </c>
      <c r="P1476" s="140">
        <f>_xll.qlInterestRateIndexValueDate(IborIndex,O1476)</f>
        <v>49503</v>
      </c>
      <c r="Q1476" s="141">
        <v>2.2601342518479402E-2</v>
      </c>
      <c r="R1476" s="143">
        <v>2.2590343530044521E-2</v>
      </c>
    </row>
    <row r="1477" spans="14:18" x14ac:dyDescent="0.2">
      <c r="N1477" s="139" t="str">
        <f t="shared" si="29"/>
        <v>1w</v>
      </c>
      <c r="O1477" s="146">
        <f>_xll.qlCalendarAdvance(Calendar,O1476,N1477,"f",FALSE)</f>
        <v>49508</v>
      </c>
      <c r="P1477" s="140">
        <f>_xll.qlInterestRateIndexValueDate(IborIndex,O1477)</f>
        <v>49510</v>
      </c>
      <c r="Q1477" s="141">
        <v>2.2594796273392753E-2</v>
      </c>
      <c r="R1477" s="143">
        <v>2.2583822047650415E-2</v>
      </c>
    </row>
    <row r="1478" spans="14:18" x14ac:dyDescent="0.2">
      <c r="N1478" s="139" t="str">
        <f t="shared" si="29"/>
        <v>1w</v>
      </c>
      <c r="O1478" s="146">
        <f>_xll.qlCalendarAdvance(Calendar,O1477,N1478,"f",FALSE)</f>
        <v>49515</v>
      </c>
      <c r="P1478" s="140">
        <f>_xll.qlInterestRateIndexValueDate(IborIndex,O1478)</f>
        <v>49517</v>
      </c>
      <c r="Q1478" s="141">
        <v>2.2588242088793831E-2</v>
      </c>
      <c r="R1478" s="143">
        <v>2.2577292637118163E-2</v>
      </c>
    </row>
    <row r="1479" spans="14:18" x14ac:dyDescent="0.2">
      <c r="N1479" s="139" t="str">
        <f t="shared" si="29"/>
        <v>1w</v>
      </c>
      <c r="O1479" s="146">
        <f>_xll.qlCalendarAdvance(Calendar,O1478,N1479,"f",FALSE)</f>
        <v>49522</v>
      </c>
      <c r="P1479" s="140">
        <f>_xll.qlInterestRateIndexValueDate(IborIndex,O1479)</f>
        <v>49524</v>
      </c>
      <c r="Q1479" s="141">
        <v>2.2581679964692951E-2</v>
      </c>
      <c r="R1479" s="143">
        <v>2.2570755298367828E-2</v>
      </c>
    </row>
    <row r="1480" spans="14:18" x14ac:dyDescent="0.2">
      <c r="N1480" s="139" t="str">
        <f t="shared" si="29"/>
        <v>1w</v>
      </c>
      <c r="O1480" s="146">
        <f>_xll.qlCalendarAdvance(Calendar,O1479,N1480,"f",FALSE)</f>
        <v>49529</v>
      </c>
      <c r="P1480" s="140">
        <f>_xll.qlInterestRateIndexValueDate(IborIndex,O1480)</f>
        <v>49531</v>
      </c>
      <c r="Q1480" s="141">
        <v>2.257510990110816E-2</v>
      </c>
      <c r="R1480" s="143">
        <v>2.2564210031479348E-2</v>
      </c>
    </row>
    <row r="1481" spans="14:18" x14ac:dyDescent="0.2">
      <c r="N1481" s="139" t="str">
        <f t="shared" si="29"/>
        <v>1w</v>
      </c>
      <c r="O1481" s="146">
        <f>_xll.qlCalendarAdvance(Calendar,O1480,N1481,"f",FALSE)</f>
        <v>49536</v>
      </c>
      <c r="P1481" s="140">
        <f>_xll.qlInterestRateIndexValueDate(IborIndex,O1481)</f>
        <v>49538</v>
      </c>
      <c r="Q1481" s="141">
        <v>2.2568531898049776E-2</v>
      </c>
      <c r="R1481" s="143">
        <v>2.2557656836452722E-2</v>
      </c>
    </row>
    <row r="1482" spans="14:18" x14ac:dyDescent="0.2">
      <c r="N1482" s="139" t="str">
        <f t="shared" si="29"/>
        <v>1w</v>
      </c>
      <c r="O1482" s="146">
        <f>_xll.qlCalendarAdvance(Calendar,O1481,N1482,"f",FALSE)</f>
        <v>49543</v>
      </c>
      <c r="P1482" s="140">
        <f>_xll.qlInterestRateIndexValueDate(IborIndex,O1482)</f>
        <v>49545</v>
      </c>
      <c r="Q1482" s="141">
        <v>2.256194595553327E-2</v>
      </c>
      <c r="R1482" s="143">
        <v>2.2551095713367886E-2</v>
      </c>
    </row>
    <row r="1483" spans="14:18" x14ac:dyDescent="0.2">
      <c r="N1483" s="139" t="str">
        <f t="shared" si="29"/>
        <v>1w</v>
      </c>
      <c r="O1483" s="146">
        <f>_xll.qlCalendarAdvance(Calendar,O1482,N1483,"f",FALSE)</f>
        <v>49550</v>
      </c>
      <c r="P1483" s="140">
        <f>_xll.qlInterestRateIndexValueDate(IborIndex,O1483)</f>
        <v>49552</v>
      </c>
      <c r="Q1483" s="141">
        <v>2.2554648383899929E-2</v>
      </c>
      <c r="R1483" s="143">
        <v>2.2544526662064968E-2</v>
      </c>
    </row>
    <row r="1484" spans="14:18" x14ac:dyDescent="0.2">
      <c r="N1484" s="139" t="str">
        <f t="shared" si="29"/>
        <v>1w</v>
      </c>
      <c r="O1484" s="146">
        <f>_xll.qlCalendarAdvance(Calendar,O1483,N1484,"f",FALSE)</f>
        <v>49557</v>
      </c>
      <c r="P1484" s="140">
        <f>_xll.qlInterestRateIndexValueDate(IborIndex,O1484)</f>
        <v>49559</v>
      </c>
      <c r="Q1484" s="141">
        <v>2.2548750252177459E-2</v>
      </c>
      <c r="R1484" s="143">
        <v>2.2537949682464031E-2</v>
      </c>
    </row>
    <row r="1485" spans="14:18" x14ac:dyDescent="0.2">
      <c r="N1485" s="139" t="str">
        <f t="shared" si="29"/>
        <v>1w</v>
      </c>
      <c r="O1485" s="146">
        <f>_xll.qlCalendarAdvance(Calendar,O1484,N1485,"f",FALSE)</f>
        <v>49564</v>
      </c>
      <c r="P1485" s="140">
        <f>_xll.qlInterestRateIndexValueDate(IborIndex,O1485)</f>
        <v>49566</v>
      </c>
      <c r="Q1485" s="141">
        <v>2.254214049136136E-2</v>
      </c>
      <c r="R1485" s="143">
        <v>2.2531364774884821E-2</v>
      </c>
    </row>
    <row r="1486" spans="14:18" x14ac:dyDescent="0.2">
      <c r="N1486" s="139" t="str">
        <f t="shared" si="29"/>
        <v>1w</v>
      </c>
      <c r="O1486" s="146">
        <f>_xll.qlCalendarAdvance(Calendar,O1485,N1486,"f",FALSE)</f>
        <v>49571</v>
      </c>
      <c r="P1486" s="140">
        <f>_xll.qlInterestRateIndexValueDate(IborIndex,O1486)</f>
        <v>49573</v>
      </c>
      <c r="Q1486" s="141">
        <v>2.2535522791146446E-2</v>
      </c>
      <c r="R1486" s="143">
        <v>2.2524771939087529E-2</v>
      </c>
    </row>
    <row r="1487" spans="14:18" x14ac:dyDescent="0.2">
      <c r="N1487" s="139" t="str">
        <f t="shared" si="29"/>
        <v>1w</v>
      </c>
      <c r="O1487" s="146">
        <f>_xll.qlCalendarAdvance(Calendar,O1486,N1487,"f",FALSE)</f>
        <v>49578</v>
      </c>
      <c r="P1487" s="140">
        <f>_xll.qlInterestRateIndexValueDate(IborIndex,O1487)</f>
        <v>49580</v>
      </c>
      <c r="Q1487" s="141">
        <v>2.2529358012746543E-2</v>
      </c>
      <c r="R1487" s="143">
        <v>2.2518171175152091E-2</v>
      </c>
    </row>
    <row r="1488" spans="14:18" x14ac:dyDescent="0.2">
      <c r="N1488" s="139" t="str">
        <f t="shared" si="29"/>
        <v>1w</v>
      </c>
      <c r="O1488" s="146">
        <f>_xll.qlCalendarAdvance(Calendar,O1487,N1488,"f",FALSE)</f>
        <v>49585</v>
      </c>
      <c r="P1488" s="140">
        <f>_xll.qlInterestRateIndexValueDate(IborIndex,O1488)</f>
        <v>49587</v>
      </c>
      <c r="Q1488" s="141">
        <v>2.2522263572548534E-2</v>
      </c>
      <c r="R1488" s="143">
        <v>2.2511562483078507E-2</v>
      </c>
    </row>
    <row r="1489" spans="14:18" x14ac:dyDescent="0.2">
      <c r="N1489" s="139" t="str">
        <f t="shared" si="29"/>
        <v>1w</v>
      </c>
      <c r="O1489" s="146">
        <f>_xll.qlCalendarAdvance(Calendar,O1488,N1489,"f",FALSE)</f>
        <v>49592</v>
      </c>
      <c r="P1489" s="140">
        <f>_xll.qlInterestRateIndexValueDate(IborIndex,O1489)</f>
        <v>49594</v>
      </c>
      <c r="Q1489" s="141">
        <v>2.2515622054199061E-2</v>
      </c>
      <c r="R1489" s="143">
        <v>2.2504945862866776E-2</v>
      </c>
    </row>
    <row r="1490" spans="14:18" x14ac:dyDescent="0.2">
      <c r="N1490" s="139" t="str">
        <f t="shared" si="29"/>
        <v>1w</v>
      </c>
      <c r="O1490" s="146">
        <f>_xll.qlCalendarAdvance(Calendar,O1489,N1490,"f",FALSE)</f>
        <v>49599</v>
      </c>
      <c r="P1490" s="140">
        <f>_xll.qlInterestRateIndexValueDate(IborIndex,O1490)</f>
        <v>49601</v>
      </c>
      <c r="Q1490" s="141">
        <v>2.2508972596497184E-2</v>
      </c>
      <c r="R1490" s="143">
        <v>2.2498321314436964E-2</v>
      </c>
    </row>
    <row r="1491" spans="14:18" x14ac:dyDescent="0.2">
      <c r="N1491" s="139" t="str">
        <f t="shared" si="29"/>
        <v>1w</v>
      </c>
      <c r="O1491" s="146">
        <f>_xll.qlCalendarAdvance(Calendar,O1490,N1491,"f",FALSE)</f>
        <v>49606</v>
      </c>
      <c r="P1491" s="140">
        <f>_xll.qlInterestRateIndexValueDate(IborIndex,O1491)</f>
        <v>49608</v>
      </c>
      <c r="Q1491" s="141">
        <v>2.2502315199458375E-2</v>
      </c>
      <c r="R1491" s="143">
        <v>2.2491688837948942E-2</v>
      </c>
    </row>
    <row r="1492" spans="14:18" x14ac:dyDescent="0.2">
      <c r="N1492" s="139" t="str">
        <f t="shared" si="29"/>
        <v>1w</v>
      </c>
      <c r="O1492" s="146">
        <f>_xll.qlCalendarAdvance(Calendar,O1491,N1492,"f",FALSE)</f>
        <v>49613</v>
      </c>
      <c r="P1492" s="140">
        <f>_xll.qlInterestRateIndexValueDate(IborIndex,O1492)</f>
        <v>49615</v>
      </c>
      <c r="Q1492" s="141">
        <v>2.2495649863095532E-2</v>
      </c>
      <c r="R1492" s="143">
        <v>2.2485048433242838E-2</v>
      </c>
    </row>
    <row r="1493" spans="14:18" x14ac:dyDescent="0.2">
      <c r="N1493" s="139" t="str">
        <f t="shared" ref="N1493:N1556" si="30">N1492</f>
        <v>1w</v>
      </c>
      <c r="O1493" s="146">
        <f>_xll.qlCalendarAdvance(Calendar,O1492,N1493,"f",FALSE)</f>
        <v>49620</v>
      </c>
      <c r="P1493" s="140">
        <f>_xll.qlInterestRateIndexValueDate(IborIndex,O1493)</f>
        <v>49622</v>
      </c>
      <c r="Q1493" s="141">
        <v>2.2488976587421546E-2</v>
      </c>
      <c r="R1493" s="143">
        <v>2.2478400100398588E-2</v>
      </c>
    </row>
    <row r="1494" spans="14:18" x14ac:dyDescent="0.2">
      <c r="N1494" s="139" t="str">
        <f t="shared" si="30"/>
        <v>1w</v>
      </c>
      <c r="O1494" s="146">
        <f>_xll.qlCalendarAdvance(Calendar,O1493,N1494,"f",FALSE)</f>
        <v>49627</v>
      </c>
      <c r="P1494" s="140">
        <f>_xll.qlInterestRateIndexValueDate(IborIndex,O1494)</f>
        <v>49629</v>
      </c>
      <c r="Q1494" s="141">
        <v>2.2482295372454466E-2</v>
      </c>
      <c r="R1494" s="143">
        <v>2.2471743839496128E-2</v>
      </c>
    </row>
    <row r="1495" spans="14:18" x14ac:dyDescent="0.2">
      <c r="N1495" s="139" t="str">
        <f t="shared" si="30"/>
        <v>1w</v>
      </c>
      <c r="O1495" s="146">
        <f>_xll.qlCalendarAdvance(Calendar,O1494,N1495,"f",FALSE)</f>
        <v>49634</v>
      </c>
      <c r="P1495" s="140">
        <f>_xll.qlInterestRateIndexValueDate(IborIndex,O1495)</f>
        <v>49636</v>
      </c>
      <c r="Q1495" s="141">
        <v>2.2476273787632728E-2</v>
      </c>
      <c r="R1495" s="143">
        <v>2.246507965029565E-2</v>
      </c>
    </row>
    <row r="1496" spans="14:18" x14ac:dyDescent="0.2">
      <c r="N1496" s="139" t="str">
        <f t="shared" si="30"/>
        <v>1w</v>
      </c>
      <c r="O1496" s="146">
        <f>_xll.qlCalendarAdvance(Calendar,O1495,N1496,"f",FALSE)</f>
        <v>49641</v>
      </c>
      <c r="P1496" s="140">
        <f>_xll.qlInterestRateIndexValueDate(IborIndex,O1496)</f>
        <v>49643</v>
      </c>
      <c r="Q1496" s="141">
        <v>2.2468243748210753E-2</v>
      </c>
      <c r="R1496" s="143">
        <v>2.2458407533116898E-2</v>
      </c>
    </row>
    <row r="1497" spans="14:18" x14ac:dyDescent="0.2">
      <c r="N1497" s="139" t="str">
        <f t="shared" si="30"/>
        <v>1w</v>
      </c>
      <c r="O1497" s="146">
        <f>_xll.qlCalendarAdvance(Calendar,O1496,N1497,"f",FALSE)</f>
        <v>49648</v>
      </c>
      <c r="P1497" s="140">
        <f>_xll.qlInterestRateIndexValueDate(IborIndex,O1497)</f>
        <v>49650</v>
      </c>
      <c r="Q1497" s="141">
        <v>2.2462204091913272E-2</v>
      </c>
      <c r="R1497" s="143">
        <v>2.2451727487640127E-2</v>
      </c>
    </row>
    <row r="1498" spans="14:18" x14ac:dyDescent="0.2">
      <c r="N1498" s="139" t="str">
        <f t="shared" si="30"/>
        <v>1w</v>
      </c>
      <c r="O1498" s="146">
        <f>_xll.qlCalendarAdvance(Calendar,O1497,N1498,"f",FALSE)</f>
        <v>49655</v>
      </c>
      <c r="P1498" s="140">
        <f>_xll.qlInterestRateIndexValueDate(IborIndex,O1498)</f>
        <v>49657</v>
      </c>
      <c r="Q1498" s="141">
        <v>2.2455491119897589E-2</v>
      </c>
      <c r="R1498" s="143">
        <v>2.2445039514025211E-2</v>
      </c>
    </row>
    <row r="1499" spans="14:18" x14ac:dyDescent="0.2">
      <c r="N1499" s="139" t="str">
        <f t="shared" si="30"/>
        <v>1w</v>
      </c>
      <c r="O1499" s="146">
        <f>_xll.qlCalendarAdvance(Calendar,O1498,N1499,"f",FALSE)</f>
        <v>49662</v>
      </c>
      <c r="P1499" s="140">
        <f>_xll.qlInterestRateIndexValueDate(IborIndex,O1499)</f>
        <v>49664</v>
      </c>
      <c r="Q1499" s="141">
        <v>2.2448770208655853E-2</v>
      </c>
      <c r="R1499" s="143">
        <v>2.2436351897383133E-2</v>
      </c>
    </row>
    <row r="1500" spans="14:18" x14ac:dyDescent="0.2">
      <c r="N1500" s="139" t="str">
        <f t="shared" si="30"/>
        <v>1w</v>
      </c>
      <c r="O1500" s="146">
        <f>_xll.qlCalendarAdvance(Calendar,O1499,N1500,"f",FALSE)</f>
        <v>49670</v>
      </c>
      <c r="P1500" s="140">
        <f>_xll.qlInterestRateIndexValueDate(IborIndex,O1500)</f>
        <v>49676</v>
      </c>
      <c r="Q1500" s="141">
        <v>2.2437664041566989E-2</v>
      </c>
      <c r="R1500" s="143">
        <v>2.2429202678289073E-2</v>
      </c>
    </row>
    <row r="1501" spans="14:18" x14ac:dyDescent="0.2">
      <c r="N1501" s="139" t="str">
        <f t="shared" si="30"/>
        <v>1w</v>
      </c>
      <c r="O1501" s="146">
        <f>_xll.qlCalendarAdvance(Calendar,O1500,N1501,"f",FALSE)</f>
        <v>49677</v>
      </c>
      <c r="P1501" s="140">
        <f>_xll.qlInterestRateIndexValueDate(IborIndex,O1501)</f>
        <v>49681</v>
      </c>
      <c r="Q1501" s="141">
        <v>2.2432414942613717E-2</v>
      </c>
      <c r="R1501" s="143">
        <v>2.2423968554727836E-2</v>
      </c>
    </row>
    <row r="1502" spans="14:18" x14ac:dyDescent="0.2">
      <c r="N1502" s="139" t="str">
        <f t="shared" si="30"/>
        <v>1w</v>
      </c>
      <c r="O1502" s="146">
        <f>_xll.qlCalendarAdvance(Calendar,O1501,N1502,"f",FALSE)</f>
        <v>49684</v>
      </c>
      <c r="P1502" s="140">
        <f>_xll.qlInterestRateIndexValueDate(IborIndex,O1502)</f>
        <v>49688</v>
      </c>
      <c r="Q1502" s="141">
        <v>2.2425666811264525E-2</v>
      </c>
      <c r="R1502" s="143">
        <v>2.2417247736026269E-2</v>
      </c>
    </row>
    <row r="1503" spans="14:18" x14ac:dyDescent="0.2">
      <c r="N1503" s="139" t="str">
        <f t="shared" si="30"/>
        <v>1w</v>
      </c>
      <c r="O1503" s="146">
        <f>_xll.qlCalendarAdvance(Calendar,O1502,N1503,"f",FALSE)</f>
        <v>49691</v>
      </c>
      <c r="P1503" s="140">
        <f>_xll.qlInterestRateIndexValueDate(IborIndex,O1503)</f>
        <v>49695</v>
      </c>
      <c r="Q1503" s="141">
        <v>2.2418910740753743E-2</v>
      </c>
      <c r="R1503" s="143">
        <v>2.2410518989186556E-2</v>
      </c>
    </row>
    <row r="1504" spans="14:18" x14ac:dyDescent="0.2">
      <c r="N1504" s="139" t="str">
        <f t="shared" si="30"/>
        <v>1w</v>
      </c>
      <c r="O1504" s="146">
        <f>_xll.qlCalendarAdvance(Calendar,O1503,N1504,"f",FALSE)</f>
        <v>49698</v>
      </c>
      <c r="P1504" s="140">
        <f>_xll.qlInterestRateIndexValueDate(IborIndex,O1504)</f>
        <v>49702</v>
      </c>
      <c r="Q1504" s="141">
        <v>2.2412146731089114E-2</v>
      </c>
      <c r="R1504" s="143">
        <v>2.2403782314128762E-2</v>
      </c>
    </row>
    <row r="1505" spans="14:18" x14ac:dyDescent="0.2">
      <c r="N1505" s="139" t="str">
        <f t="shared" si="30"/>
        <v>1w</v>
      </c>
      <c r="O1505" s="146">
        <f>_xll.qlCalendarAdvance(Calendar,O1504,N1505,"f",FALSE)</f>
        <v>49705</v>
      </c>
      <c r="P1505" s="140">
        <f>_xll.qlInterestRateIndexValueDate(IborIndex,O1505)</f>
        <v>49709</v>
      </c>
      <c r="Q1505" s="141">
        <v>2.2404949886650184E-2</v>
      </c>
      <c r="R1505" s="143">
        <v>2.2397037711012757E-2</v>
      </c>
    </row>
    <row r="1506" spans="14:18" x14ac:dyDescent="0.2">
      <c r="N1506" s="139" t="str">
        <f t="shared" si="30"/>
        <v>1w</v>
      </c>
      <c r="O1506" s="146">
        <f>_xll.qlCalendarAdvance(Calendar,O1505,N1506,"f",FALSE)</f>
        <v>49712</v>
      </c>
      <c r="P1506" s="140">
        <f>_xll.qlInterestRateIndexValueDate(IborIndex,O1506)</f>
        <v>49716</v>
      </c>
      <c r="Q1506" s="141">
        <v>2.2398171975705962E-2</v>
      </c>
      <c r="R1506" s="143">
        <v>2.2390285179678671E-2</v>
      </c>
    </row>
    <row r="1507" spans="14:18" x14ac:dyDescent="0.2">
      <c r="N1507" s="139" t="str">
        <f t="shared" si="30"/>
        <v>1w</v>
      </c>
      <c r="O1507" s="146">
        <f>_xll.qlCalendarAdvance(Calendar,O1506,N1507,"f",FALSE)</f>
        <v>49719</v>
      </c>
      <c r="P1507" s="140">
        <f>_xll.qlInterestRateIndexValueDate(IborIndex,O1507)</f>
        <v>49723</v>
      </c>
      <c r="Q1507" s="141">
        <v>2.2391386126377994E-2</v>
      </c>
      <c r="R1507" s="143">
        <v>2.2383524720286374E-2</v>
      </c>
    </row>
    <row r="1508" spans="14:18" x14ac:dyDescent="0.2">
      <c r="N1508" s="139" t="str">
        <f t="shared" si="30"/>
        <v>1w</v>
      </c>
      <c r="O1508" s="146">
        <f>_xll.qlCalendarAdvance(Calendar,O1507,N1508,"f",FALSE)</f>
        <v>49726</v>
      </c>
      <c r="P1508" s="140">
        <f>_xll.qlInterestRateIndexValueDate(IborIndex,O1508)</f>
        <v>49730</v>
      </c>
      <c r="Q1508" s="141">
        <v>2.2384592338685578E-2</v>
      </c>
      <c r="R1508" s="143">
        <v>2.2376756332755932E-2</v>
      </c>
    </row>
    <row r="1509" spans="14:18" x14ac:dyDescent="0.2">
      <c r="N1509" s="139" t="str">
        <f t="shared" si="30"/>
        <v>1w</v>
      </c>
      <c r="O1509" s="146">
        <f>_xll.qlCalendarAdvance(Calendar,O1508,N1509,"f",FALSE)</f>
        <v>49733</v>
      </c>
      <c r="P1509" s="140">
        <f>_xll.qlInterestRateIndexValueDate(IborIndex,O1509)</f>
        <v>49737</v>
      </c>
      <c r="Q1509" s="141">
        <v>2.2378207595961024E-2</v>
      </c>
      <c r="R1509" s="143">
        <v>2.2369980017007407E-2</v>
      </c>
    </row>
    <row r="1510" spans="14:18" x14ac:dyDescent="0.2">
      <c r="N1510" s="139" t="str">
        <f t="shared" si="30"/>
        <v>1w</v>
      </c>
      <c r="O1510" s="146">
        <f>_xll.qlCalendarAdvance(Calendar,O1509,N1510,"f",FALSE)</f>
        <v>49740</v>
      </c>
      <c r="P1510" s="140">
        <f>_xll.qlInterestRateIndexValueDate(IborIndex,O1510)</f>
        <v>49744</v>
      </c>
      <c r="Q1510" s="141">
        <v>2.2371395951669829E-2</v>
      </c>
      <c r="R1510" s="143">
        <v>2.2363195773120736E-2</v>
      </c>
    </row>
    <row r="1511" spans="14:18" x14ac:dyDescent="0.2">
      <c r="N1511" s="139" t="str">
        <f t="shared" si="30"/>
        <v>1w</v>
      </c>
      <c r="O1511" s="146">
        <f>_xll.qlCalendarAdvance(Calendar,O1510,N1511,"f",FALSE)</f>
        <v>49747</v>
      </c>
      <c r="P1511" s="140">
        <f>_xll.qlInterestRateIndexValueDate(IborIndex,O1511)</f>
        <v>49751</v>
      </c>
      <c r="Q1511" s="141">
        <v>2.2364576368325347E-2</v>
      </c>
      <c r="R1511" s="143">
        <v>2.2356403601015984E-2</v>
      </c>
    </row>
    <row r="1512" spans="14:18" x14ac:dyDescent="0.2">
      <c r="N1512" s="139" t="str">
        <f t="shared" si="30"/>
        <v>1w</v>
      </c>
      <c r="O1512" s="146">
        <f>_xll.qlCalendarAdvance(Calendar,O1511,N1512,"f",FALSE)</f>
        <v>49754</v>
      </c>
      <c r="P1512" s="140">
        <f>_xll.qlInterestRateIndexValueDate(IborIndex,O1512)</f>
        <v>49758</v>
      </c>
      <c r="Q1512" s="141">
        <v>2.2357748845937893E-2</v>
      </c>
      <c r="R1512" s="143">
        <v>2.2349603500932957E-2</v>
      </c>
    </row>
    <row r="1513" spans="14:18" x14ac:dyDescent="0.2">
      <c r="N1513" s="139" t="str">
        <f t="shared" si="30"/>
        <v>1w</v>
      </c>
      <c r="O1513" s="146">
        <f>_xll.qlCalendarAdvance(Calendar,O1512,N1513,"f",FALSE)</f>
        <v>49761</v>
      </c>
      <c r="P1513" s="140">
        <f>_xll.qlInterestRateIndexValueDate(IborIndex,O1513)</f>
        <v>49765</v>
      </c>
      <c r="Q1513" s="141">
        <v>2.2350708897826976E-2</v>
      </c>
      <c r="R1513" s="143">
        <v>2.2342795472631849E-2</v>
      </c>
    </row>
    <row r="1514" spans="14:18" x14ac:dyDescent="0.2">
      <c r="N1514" s="139" t="str">
        <f t="shared" si="30"/>
        <v>1w</v>
      </c>
      <c r="O1514" s="146">
        <f>_xll.qlCalendarAdvance(Calendar,O1513,N1514,"f",FALSE)</f>
        <v>49768</v>
      </c>
      <c r="P1514" s="140">
        <f>_xll.qlInterestRateIndexValueDate(IborIndex,O1514)</f>
        <v>49772</v>
      </c>
      <c r="Q1514" s="141">
        <v>2.2343866488840902E-2</v>
      </c>
      <c r="R1514" s="143">
        <v>2.2335979516192594E-2</v>
      </c>
    </row>
    <row r="1515" spans="14:18" x14ac:dyDescent="0.2">
      <c r="N1515" s="139" t="str">
        <f t="shared" si="30"/>
        <v>1w</v>
      </c>
      <c r="O1515" s="146">
        <f>_xll.qlCalendarAdvance(Calendar,O1514,N1515,"f",FALSE)</f>
        <v>49775</v>
      </c>
      <c r="P1515" s="140">
        <f>_xll.qlInterestRateIndexValueDate(IborIndex,O1515)</f>
        <v>49781</v>
      </c>
      <c r="Q1515" s="141">
        <v>2.2335057440917794E-2</v>
      </c>
      <c r="R1515" s="143">
        <v>2.2327613269883528E-2</v>
      </c>
    </row>
    <row r="1516" spans="14:18" x14ac:dyDescent="0.2">
      <c r="N1516" s="139" t="str">
        <f t="shared" si="30"/>
        <v>1w</v>
      </c>
      <c r="O1516" s="146">
        <f>_xll.qlCalendarAdvance(Calendar,O1515,N1516,"f",FALSE)</f>
        <v>49782</v>
      </c>
      <c r="P1516" s="140">
        <f>_xll.qlInterestRateIndexValueDate(IborIndex,O1516)</f>
        <v>49786</v>
      </c>
      <c r="Q1516" s="141">
        <v>2.2330157854962174E-2</v>
      </c>
      <c r="R1516" s="143">
        <v>2.2322323818899648E-2</v>
      </c>
    </row>
    <row r="1517" spans="14:18" x14ac:dyDescent="0.2">
      <c r="N1517" s="139" t="str">
        <f t="shared" si="30"/>
        <v>1w</v>
      </c>
      <c r="O1517" s="146">
        <f>_xll.qlCalendarAdvance(Calendar,O1516,N1517,"f",FALSE)</f>
        <v>49789</v>
      </c>
      <c r="P1517" s="140">
        <f>_xll.qlInterestRateIndexValueDate(IborIndex,O1517)</f>
        <v>49793</v>
      </c>
      <c r="Q1517" s="141">
        <v>2.2323291630101494E-2</v>
      </c>
      <c r="R1517" s="143">
        <v>2.2315686811316127E-2</v>
      </c>
    </row>
    <row r="1518" spans="14:18" x14ac:dyDescent="0.2">
      <c r="N1518" s="139" t="str">
        <f t="shared" si="30"/>
        <v>1w</v>
      </c>
      <c r="O1518" s="146">
        <f>_xll.qlCalendarAdvance(Calendar,O1517,N1518,"f",FALSE)</f>
        <v>49797</v>
      </c>
      <c r="P1518" s="140">
        <f>_xll.qlInterestRateIndexValueDate(IborIndex,O1518)</f>
        <v>49801</v>
      </c>
      <c r="Q1518" s="141">
        <v>2.2315634179272886E-2</v>
      </c>
      <c r="R1518" s="143">
        <v>2.2307657523521485E-2</v>
      </c>
    </row>
    <row r="1519" spans="14:18" x14ac:dyDescent="0.2">
      <c r="N1519" s="139" t="str">
        <f t="shared" si="30"/>
        <v>1w</v>
      </c>
      <c r="O1519" s="146">
        <f>_xll.qlCalendarAdvance(Calendar,O1518,N1519,"f",FALSE)</f>
        <v>49804</v>
      </c>
      <c r="P1519" s="140">
        <f>_xll.qlInterestRateIndexValueDate(IborIndex,O1519)</f>
        <v>49808</v>
      </c>
      <c r="Q1519" s="141">
        <v>2.2308749949854104E-2</v>
      </c>
      <c r="R1519" s="143">
        <v>2.2300800793777498E-2</v>
      </c>
    </row>
    <row r="1520" spans="14:18" x14ac:dyDescent="0.2">
      <c r="N1520" s="139" t="str">
        <f t="shared" si="30"/>
        <v>1w</v>
      </c>
      <c r="O1520" s="146">
        <f>_xll.qlCalendarAdvance(Calendar,O1519,N1520,"f",FALSE)</f>
        <v>49811</v>
      </c>
      <c r="P1520" s="140">
        <f>_xll.qlInterestRateIndexValueDate(IborIndex,O1520)</f>
        <v>49815</v>
      </c>
      <c r="Q1520" s="141">
        <v>2.2302449453445106E-2</v>
      </c>
      <c r="R1520" s="143">
        <v>2.2293353690416851E-2</v>
      </c>
    </row>
    <row r="1521" spans="14:18" x14ac:dyDescent="0.2">
      <c r="N1521" s="139" t="str">
        <f t="shared" si="30"/>
        <v>1w</v>
      </c>
      <c r="O1521" s="146">
        <f>_xll.qlCalendarAdvance(Calendar,O1520,N1521,"f",FALSE)</f>
        <v>49818</v>
      </c>
      <c r="P1521" s="140">
        <f>_xll.qlInterestRateIndexValueDate(IborIndex,O1521)</f>
        <v>49822</v>
      </c>
      <c r="Q1521" s="141">
        <v>2.2294957674256363E-2</v>
      </c>
      <c r="R1521" s="143">
        <v>2.2287063550034958E-2</v>
      </c>
    </row>
    <row r="1522" spans="14:18" x14ac:dyDescent="0.2">
      <c r="N1522" s="139" t="str">
        <f t="shared" si="30"/>
        <v>1w</v>
      </c>
      <c r="O1522" s="146">
        <f>_xll.qlCalendarAdvance(Calendar,O1521,N1522,"f",FALSE)</f>
        <v>49825</v>
      </c>
      <c r="P1522" s="140">
        <f>_xll.qlInterestRateIndexValueDate(IborIndex,O1522)</f>
        <v>49830</v>
      </c>
      <c r="Q1522" s="141">
        <v>2.2286866849658971E-2</v>
      </c>
      <c r="R1522" s="143">
        <v>2.2279594356637844E-2</v>
      </c>
    </row>
    <row r="1523" spans="14:18" x14ac:dyDescent="0.2">
      <c r="N1523" s="139" t="str">
        <f t="shared" si="30"/>
        <v>1w</v>
      </c>
      <c r="O1523" s="146">
        <f>_xll.qlCalendarAdvance(Calendar,O1522,N1523,"f",FALSE)</f>
        <v>49832</v>
      </c>
      <c r="P1523" s="140">
        <f>_xll.qlInterestRateIndexValueDate(IborIndex,O1523)</f>
        <v>49836</v>
      </c>
      <c r="Q1523" s="141">
        <v>2.2280939229072594E-2</v>
      </c>
      <c r="R1523" s="143">
        <v>2.2273294593659898E-2</v>
      </c>
    </row>
    <row r="1524" spans="14:18" x14ac:dyDescent="0.2">
      <c r="N1524" s="139" t="str">
        <f t="shared" si="30"/>
        <v>1w</v>
      </c>
      <c r="O1524" s="146">
        <f>_xll.qlCalendarAdvance(Calendar,O1523,N1524,"f",FALSE)</f>
        <v>49839</v>
      </c>
      <c r="P1524" s="140">
        <f>_xll.qlInterestRateIndexValueDate(IborIndex,O1524)</f>
        <v>49843</v>
      </c>
      <c r="Q1524" s="141">
        <v>2.2274016300245059E-2</v>
      </c>
      <c r="R1524" s="143">
        <v>2.2266984909844467E-2</v>
      </c>
    </row>
    <row r="1525" spans="14:18" x14ac:dyDescent="0.2">
      <c r="N1525" s="139" t="str">
        <f t="shared" si="30"/>
        <v>1w</v>
      </c>
      <c r="O1525" s="146">
        <f>_xll.qlCalendarAdvance(Calendar,O1524,N1525,"f",FALSE)</f>
        <v>49849</v>
      </c>
      <c r="P1525" s="140">
        <f>_xll.qlInterestRateIndexValueDate(IborIndex,O1525)</f>
        <v>49851</v>
      </c>
      <c r="Q1525" s="141">
        <v>2.2266094660972513E-2</v>
      </c>
      <c r="R1525" s="143">
        <v>2.2258895889590846E-2</v>
      </c>
    </row>
    <row r="1526" spans="14:18" x14ac:dyDescent="0.2">
      <c r="N1526" s="139" t="str">
        <f t="shared" si="30"/>
        <v>1w</v>
      </c>
      <c r="O1526" s="146">
        <f>_xll.qlCalendarAdvance(Calendar,O1525,N1526,"f",FALSE)</f>
        <v>49856</v>
      </c>
      <c r="P1526" s="140">
        <f>_xll.qlInterestRateIndexValueDate(IborIndex,O1526)</f>
        <v>49858</v>
      </c>
      <c r="Q1526" s="141">
        <v>2.2259728316179114E-2</v>
      </c>
      <c r="R1526" s="143">
        <v>2.2251980542895566E-2</v>
      </c>
    </row>
    <row r="1527" spans="14:18" x14ac:dyDescent="0.2">
      <c r="N1527" s="139" t="str">
        <f t="shared" si="30"/>
        <v>1w</v>
      </c>
      <c r="O1527" s="146">
        <f>_xll.qlCalendarAdvance(Calendar,O1526,N1527,"f",FALSE)</f>
        <v>49863</v>
      </c>
      <c r="P1527" s="140">
        <f>_xll.qlInterestRateIndexValueDate(IborIndex,O1527)</f>
        <v>49865</v>
      </c>
      <c r="Q1527" s="141">
        <v>2.2252777448993042E-2</v>
      </c>
      <c r="R1527" s="143">
        <v>2.2245057267342716E-2</v>
      </c>
    </row>
    <row r="1528" spans="14:18" x14ac:dyDescent="0.2">
      <c r="N1528" s="139" t="str">
        <f t="shared" si="30"/>
        <v>1w</v>
      </c>
      <c r="O1528" s="146">
        <f>_xll.qlCalendarAdvance(Calendar,O1527,N1528,"f",FALSE)</f>
        <v>49870</v>
      </c>
      <c r="P1528" s="140">
        <f>_xll.qlInterestRateIndexValueDate(IborIndex,O1528)</f>
        <v>49872</v>
      </c>
      <c r="Q1528" s="141">
        <v>2.2245818642283994E-2</v>
      </c>
      <c r="R1528" s="143">
        <v>2.2238126062958941E-2</v>
      </c>
    </row>
    <row r="1529" spans="14:18" x14ac:dyDescent="0.2">
      <c r="N1529" s="139" t="str">
        <f t="shared" si="30"/>
        <v>1w</v>
      </c>
      <c r="O1529" s="146">
        <f>_xll.qlCalendarAdvance(Calendar,O1528,N1529,"f",FALSE)</f>
        <v>49877</v>
      </c>
      <c r="P1529" s="140">
        <f>_xll.qlInterestRateIndexValueDate(IborIndex,O1529)</f>
        <v>49879</v>
      </c>
      <c r="Q1529" s="141">
        <v>2.2238851896068921E-2</v>
      </c>
      <c r="R1529" s="143">
        <v>2.2231186929690949E-2</v>
      </c>
    </row>
    <row r="1530" spans="14:18" x14ac:dyDescent="0.2">
      <c r="N1530" s="139" t="str">
        <f t="shared" si="30"/>
        <v>1w</v>
      </c>
      <c r="O1530" s="146">
        <f>_xll.qlCalendarAdvance(Calendar,O1529,N1530,"f",FALSE)</f>
        <v>49884</v>
      </c>
      <c r="P1530" s="140">
        <f>_xll.qlInterestRateIndexValueDate(IborIndex,O1530)</f>
        <v>49886</v>
      </c>
      <c r="Q1530" s="141">
        <v>2.223131557699709E-2</v>
      </c>
      <c r="R1530" s="143">
        <v>2.2224239867592033E-2</v>
      </c>
    </row>
    <row r="1531" spans="14:18" x14ac:dyDescent="0.2">
      <c r="N1531" s="139" t="str">
        <f t="shared" si="30"/>
        <v>1w</v>
      </c>
      <c r="O1531" s="146">
        <f>_xll.qlCalendarAdvance(Calendar,O1530,N1531,"f",FALSE)</f>
        <v>49891</v>
      </c>
      <c r="P1531" s="140">
        <f>_xll.qlInterestRateIndexValueDate(IborIndex,O1531)</f>
        <v>49893</v>
      </c>
      <c r="Q1531" s="141">
        <v>2.2224894585178845E-2</v>
      </c>
      <c r="R1531" s="143">
        <v>2.2217284876662191E-2</v>
      </c>
    </row>
    <row r="1532" spans="14:18" x14ac:dyDescent="0.2">
      <c r="N1532" s="139" t="str">
        <f t="shared" si="30"/>
        <v>1w</v>
      </c>
      <c r="O1532" s="146">
        <f>_xll.qlCalendarAdvance(Calendar,O1531,N1532,"f",FALSE)</f>
        <v>49898</v>
      </c>
      <c r="P1532" s="140">
        <f>_xll.qlInterestRateIndexValueDate(IborIndex,O1532)</f>
        <v>49900</v>
      </c>
      <c r="Q1532" s="141">
        <v>2.2217904020535334E-2</v>
      </c>
      <c r="R1532" s="143">
        <v>2.2210321956901424E-2</v>
      </c>
    </row>
    <row r="1533" spans="14:18" x14ac:dyDescent="0.2">
      <c r="N1533" s="139" t="str">
        <f t="shared" si="30"/>
        <v>1w</v>
      </c>
      <c r="O1533" s="146">
        <f>_xll.qlCalendarAdvance(Calendar,O1532,N1533,"f",FALSE)</f>
        <v>49905</v>
      </c>
      <c r="P1533" s="140">
        <f>_xll.qlInterestRateIndexValueDate(IborIndex,O1533)</f>
        <v>49907</v>
      </c>
      <c r="Q1533" s="141">
        <v>2.2210905516443932E-2</v>
      </c>
      <c r="R1533" s="143">
        <v>2.2203351108283087E-2</v>
      </c>
    </row>
    <row r="1534" spans="14:18" x14ac:dyDescent="0.2">
      <c r="N1534" s="139" t="str">
        <f t="shared" si="30"/>
        <v>1w</v>
      </c>
      <c r="O1534" s="146">
        <f>_xll.qlCalendarAdvance(Calendar,O1533,N1534,"f",FALSE)</f>
        <v>49912</v>
      </c>
      <c r="P1534" s="140">
        <f>_xll.qlInterestRateIndexValueDate(IborIndex,O1534)</f>
        <v>49914</v>
      </c>
      <c r="Q1534" s="141">
        <v>2.2203899072924024E-2</v>
      </c>
      <c r="R1534" s="143">
        <v>2.219637233086047E-2</v>
      </c>
    </row>
    <row r="1535" spans="14:18" x14ac:dyDescent="0.2">
      <c r="N1535" s="139" t="str">
        <f t="shared" si="30"/>
        <v>1w</v>
      </c>
      <c r="O1535" s="146">
        <f>_xll.qlCalendarAdvance(Calendar,O1534,N1535,"f",FALSE)</f>
        <v>49919</v>
      </c>
      <c r="P1535" s="140">
        <f>_xll.qlInterestRateIndexValueDate(IborIndex,O1535)</f>
        <v>49921</v>
      </c>
      <c r="Q1535" s="141">
        <v>2.2196338032650864E-2</v>
      </c>
      <c r="R1535" s="143">
        <v>2.2189385624553637E-2</v>
      </c>
    </row>
    <row r="1536" spans="14:18" x14ac:dyDescent="0.2">
      <c r="N1536" s="139" t="str">
        <f t="shared" si="30"/>
        <v>1w</v>
      </c>
      <c r="O1536" s="146">
        <f>_xll.qlCalendarAdvance(Calendar,O1535,N1536,"f",FALSE)</f>
        <v>49926</v>
      </c>
      <c r="P1536" s="140">
        <f>_xll.qlInterestRateIndexValueDate(IborIndex,O1536)</f>
        <v>49928</v>
      </c>
      <c r="Q1536" s="141">
        <v>2.2189318708686123E-2</v>
      </c>
      <c r="R1536" s="143">
        <v>2.218239098946917E-2</v>
      </c>
    </row>
    <row r="1537" spans="14:18" x14ac:dyDescent="0.2">
      <c r="N1537" s="139" t="str">
        <f t="shared" si="30"/>
        <v>1w</v>
      </c>
      <c r="O1537" s="146">
        <f>_xll.qlCalendarAdvance(Calendar,O1536,N1537,"f",FALSE)</f>
        <v>49933</v>
      </c>
      <c r="P1537" s="140">
        <f>_xll.qlInterestRateIndexValueDate(IborIndex,O1537)</f>
        <v>49935</v>
      </c>
      <c r="Q1537" s="141">
        <v>2.2182291446394053E-2</v>
      </c>
      <c r="R1537" s="143">
        <v>2.2175388425500486E-2</v>
      </c>
    </row>
    <row r="1538" spans="14:18" x14ac:dyDescent="0.2">
      <c r="N1538" s="139" t="str">
        <f t="shared" si="30"/>
        <v>1w</v>
      </c>
      <c r="O1538" s="146">
        <f>_xll.qlCalendarAdvance(Calendar,O1537,N1538,"f",FALSE)</f>
        <v>49940</v>
      </c>
      <c r="P1538" s="140">
        <f>_xll.qlInterestRateIndexValueDate(IborIndex,O1538)</f>
        <v>49942</v>
      </c>
      <c r="Q1538" s="141">
        <v>2.2175256245782649E-2</v>
      </c>
      <c r="R1538" s="143">
        <v>2.2168377932727523E-2</v>
      </c>
    </row>
    <row r="1539" spans="14:18" x14ac:dyDescent="0.2">
      <c r="N1539" s="139" t="str">
        <f t="shared" si="30"/>
        <v>1w</v>
      </c>
      <c r="O1539" s="146">
        <f>_xll.qlCalendarAdvance(Calendar,O1538,N1539,"f",FALSE)</f>
        <v>49947</v>
      </c>
      <c r="P1539" s="140">
        <f>_xll.qlInterestRateIndexValueDate(IborIndex,O1539)</f>
        <v>49949</v>
      </c>
      <c r="Q1539" s="141">
        <v>2.2168747764393423E-2</v>
      </c>
      <c r="R1539" s="143">
        <v>2.2161359511123635E-2</v>
      </c>
    </row>
    <row r="1540" spans="14:18" x14ac:dyDescent="0.2">
      <c r="N1540" s="139" t="str">
        <f t="shared" si="30"/>
        <v>1w</v>
      </c>
      <c r="O1540" s="146">
        <f>_xll.qlCalendarAdvance(Calendar,O1539,N1540,"f",FALSE)</f>
        <v>49954</v>
      </c>
      <c r="P1540" s="140">
        <f>_xll.qlInterestRateIndexValueDate(IborIndex,O1540)</f>
        <v>49956</v>
      </c>
      <c r="Q1540" s="141">
        <v>2.2161693684610094E-2</v>
      </c>
      <c r="R1540" s="143">
        <v>2.2154333160688822E-2</v>
      </c>
    </row>
    <row r="1541" spans="14:18" x14ac:dyDescent="0.2">
      <c r="N1541" s="139" t="str">
        <f t="shared" si="30"/>
        <v>1w</v>
      </c>
      <c r="O1541" s="146">
        <f>_xll.qlCalendarAdvance(Calendar,O1540,N1541,"f",FALSE)</f>
        <v>49961</v>
      </c>
      <c r="P1541" s="140">
        <f>_xll.qlInterestRateIndexValueDate(IborIndex,O1541)</f>
        <v>49963</v>
      </c>
      <c r="Q1541" s="141">
        <v>2.2154631665502418E-2</v>
      </c>
      <c r="R1541" s="143">
        <v>2.2147298881423083E-2</v>
      </c>
    </row>
    <row r="1542" spans="14:18" x14ac:dyDescent="0.2">
      <c r="N1542" s="139" t="str">
        <f t="shared" si="30"/>
        <v>1w</v>
      </c>
      <c r="O1542" s="146">
        <f>_xll.qlCalendarAdvance(Calendar,O1541,N1542,"f",FALSE)</f>
        <v>49968</v>
      </c>
      <c r="P1542" s="140">
        <f>_xll.qlInterestRateIndexValueDate(IborIndex,O1542)</f>
        <v>49970</v>
      </c>
      <c r="Q1542" s="141">
        <v>2.2147561707087347E-2</v>
      </c>
      <c r="R1542" s="143">
        <v>2.2140256673326419E-2</v>
      </c>
    </row>
    <row r="1543" spans="14:18" x14ac:dyDescent="0.2">
      <c r="N1543" s="139" t="str">
        <f t="shared" si="30"/>
        <v>1w</v>
      </c>
      <c r="O1543" s="146">
        <f>_xll.qlCalendarAdvance(Calendar,O1542,N1543,"f",FALSE)</f>
        <v>49975</v>
      </c>
      <c r="P1543" s="140">
        <f>_xll.qlInterestRateIndexValueDate(IborIndex,O1543)</f>
        <v>49977</v>
      </c>
      <c r="Q1543" s="141">
        <v>2.2139961168444522E-2</v>
      </c>
      <c r="R1543" s="143">
        <v>2.2133206536398831E-2</v>
      </c>
    </row>
    <row r="1544" spans="14:18" x14ac:dyDescent="0.2">
      <c r="N1544" s="139" t="str">
        <f t="shared" si="30"/>
        <v>1w</v>
      </c>
      <c r="O1544" s="146">
        <f>_xll.qlCalendarAdvance(Calendar,O1543,N1544,"f",FALSE)</f>
        <v>49982</v>
      </c>
      <c r="P1544" s="140">
        <f>_xll.qlInterestRateIndexValueDate(IborIndex,O1544)</f>
        <v>49984</v>
      </c>
      <c r="Q1544" s="141">
        <v>2.2132878338218198E-2</v>
      </c>
      <c r="R1544" s="143">
        <v>2.2126148470666962E-2</v>
      </c>
    </row>
    <row r="1545" spans="14:18" x14ac:dyDescent="0.2">
      <c r="N1545" s="139" t="str">
        <f t="shared" si="30"/>
        <v>1w</v>
      </c>
      <c r="O1545" s="146">
        <f>_xll.qlCalendarAdvance(Calendar,O1544,N1545,"f",FALSE)</f>
        <v>49989</v>
      </c>
      <c r="P1545" s="140">
        <f>_xll.qlInterestRateIndexValueDate(IborIndex,O1545)</f>
        <v>49991</v>
      </c>
      <c r="Q1545" s="141">
        <v>2.2125787569773792E-2</v>
      </c>
      <c r="R1545" s="143">
        <v>2.2119082476104168E-2</v>
      </c>
    </row>
    <row r="1546" spans="14:18" x14ac:dyDescent="0.2">
      <c r="N1546" s="139" t="str">
        <f t="shared" si="30"/>
        <v>1w</v>
      </c>
      <c r="O1546" s="146">
        <f>_xll.qlCalendarAdvance(Calendar,O1545,N1546,"f",FALSE)</f>
        <v>49996</v>
      </c>
      <c r="P1546" s="140">
        <f>_xll.qlInterestRateIndexValueDate(IborIndex,O1546)</f>
        <v>49998</v>
      </c>
      <c r="Q1546" s="141">
        <v>2.211868886312196E-2</v>
      </c>
      <c r="R1546" s="143">
        <v>2.2112008552710449E-2</v>
      </c>
    </row>
    <row r="1547" spans="14:18" x14ac:dyDescent="0.2">
      <c r="N1547" s="139" t="str">
        <f t="shared" si="30"/>
        <v>1w</v>
      </c>
      <c r="O1547" s="146">
        <f>_xll.qlCalendarAdvance(Calendar,O1546,N1547,"f",FALSE)</f>
        <v>50003</v>
      </c>
      <c r="P1547" s="140">
        <f>_xll.qlInterestRateIndexValueDate(IborIndex,O1547)</f>
        <v>50005</v>
      </c>
      <c r="Q1547" s="141">
        <v>2.2112092825936423E-2</v>
      </c>
      <c r="R1547" s="143">
        <v>2.2104926700539096E-2</v>
      </c>
    </row>
    <row r="1548" spans="14:18" x14ac:dyDescent="0.2">
      <c r="N1548" s="139" t="str">
        <f t="shared" si="30"/>
        <v>1w</v>
      </c>
      <c r="O1548" s="146">
        <f>_xll.qlCalendarAdvance(Calendar,O1547,N1548,"f",FALSE)</f>
        <v>50010</v>
      </c>
      <c r="P1548" s="140">
        <f>_xll.qlInterestRateIndexValueDate(IborIndex,O1548)</f>
        <v>50012</v>
      </c>
      <c r="Q1548" s="141">
        <v>2.2104975231996737E-2</v>
      </c>
      <c r="R1548" s="143">
        <v>2.2097836919510172E-2</v>
      </c>
    </row>
    <row r="1549" spans="14:18" x14ac:dyDescent="0.2">
      <c r="N1549" s="139" t="str">
        <f t="shared" si="30"/>
        <v>1w</v>
      </c>
      <c r="O1549" s="146">
        <f>_xll.qlCalendarAdvance(Calendar,O1548,N1549,"f",FALSE)</f>
        <v>50017</v>
      </c>
      <c r="P1549" s="140">
        <f>_xll.qlInterestRateIndexValueDate(IborIndex,O1549)</f>
        <v>50019</v>
      </c>
      <c r="Q1549" s="141">
        <v>2.2097849698858661E-2</v>
      </c>
      <c r="R1549" s="143">
        <v>2.2090739209676968E-2</v>
      </c>
    </row>
    <row r="1550" spans="14:18" x14ac:dyDescent="0.2">
      <c r="N1550" s="139" t="str">
        <f t="shared" si="30"/>
        <v>1w</v>
      </c>
      <c r="O1550" s="146">
        <f>_xll.qlCalendarAdvance(Calendar,O1549,N1550,"f",FALSE)</f>
        <v>50024</v>
      </c>
      <c r="P1550" s="140">
        <f>_xll.qlInterestRateIndexValueDate(IborIndex,O1550)</f>
        <v>50026</v>
      </c>
      <c r="Q1550" s="141">
        <v>2.2090716226539152E-2</v>
      </c>
      <c r="R1550" s="143">
        <v>2.2083633571039485E-2</v>
      </c>
    </row>
    <row r="1551" spans="14:18" x14ac:dyDescent="0.2">
      <c r="N1551" s="139" t="str">
        <f t="shared" si="30"/>
        <v>1w</v>
      </c>
      <c r="O1551" s="146">
        <f>_xll.qlCalendarAdvance(Calendar,O1550,N1551,"f",FALSE)</f>
        <v>50031</v>
      </c>
      <c r="P1551" s="140">
        <f>_xll.qlInterestRateIndexValueDate(IborIndex,O1551)</f>
        <v>50038</v>
      </c>
      <c r="Q1551" s="141">
        <v>2.2078138098950911E-2</v>
      </c>
      <c r="R1551" s="143">
        <v>2.2069398507298388E-2</v>
      </c>
    </row>
    <row r="1552" spans="14:18" x14ac:dyDescent="0.2">
      <c r="N1552" s="139" t="str">
        <f t="shared" si="30"/>
        <v>1w</v>
      </c>
      <c r="O1552" s="146">
        <f>_xll.qlCalendarAdvance(Calendar,O1551,N1552,"f",FALSE)</f>
        <v>50038</v>
      </c>
      <c r="P1552" s="140">
        <f>_xll.qlInterestRateIndexValueDate(IborIndex,O1552)</f>
        <v>50042</v>
      </c>
      <c r="Q1552" s="141">
        <v>2.2074051636229153E-2</v>
      </c>
      <c r="R1552" s="143">
        <v>2.2063973272503645E-2</v>
      </c>
    </row>
    <row r="1553" spans="14:18" x14ac:dyDescent="0.2">
      <c r="N1553" s="139" t="str">
        <f t="shared" si="30"/>
        <v>1w</v>
      </c>
      <c r="O1553" s="146">
        <f>_xll.qlCalendarAdvance(Calendar,O1552,N1553,"f",FALSE)</f>
        <v>50045</v>
      </c>
      <c r="P1553" s="140">
        <f>_xll.qlInterestRateIndexValueDate(IborIndex,O1553)</f>
        <v>50048</v>
      </c>
      <c r="Q1553" s="141">
        <v>2.2068081113778282E-2</v>
      </c>
      <c r="R1553" s="143">
        <v>2.2058879023321154E-2</v>
      </c>
    </row>
    <row r="1554" spans="14:18" x14ac:dyDescent="0.2">
      <c r="N1554" s="139" t="str">
        <f t="shared" si="30"/>
        <v>1w</v>
      </c>
      <c r="O1554" s="146">
        <f>_xll.qlCalendarAdvance(Calendar,O1553,N1554,"f",FALSE)</f>
        <v>50052</v>
      </c>
      <c r="P1554" s="140">
        <f>_xll.qlInterestRateIndexValueDate(IborIndex,O1554)</f>
        <v>50054</v>
      </c>
      <c r="Q1554" s="141">
        <v>2.2062102945715655E-2</v>
      </c>
      <c r="R1554" s="143">
        <v>2.2055131728340172E-2</v>
      </c>
    </row>
    <row r="1555" spans="14:18" x14ac:dyDescent="0.2">
      <c r="N1555" s="139" t="str">
        <f t="shared" si="30"/>
        <v>1w</v>
      </c>
      <c r="O1555" s="146">
        <f>_xll.qlCalendarAdvance(Calendar,O1554,N1555,"f",FALSE)</f>
        <v>50059</v>
      </c>
      <c r="P1555" s="140">
        <f>_xll.qlInterestRateIndexValueDate(IborIndex,O1555)</f>
        <v>50061</v>
      </c>
      <c r="Q1555" s="141">
        <v>2.2054929777709408E-2</v>
      </c>
      <c r="R1555" s="143">
        <v>2.2047986445627998E-2</v>
      </c>
    </row>
    <row r="1556" spans="14:18" x14ac:dyDescent="0.2">
      <c r="N1556" s="139" t="str">
        <f t="shared" si="30"/>
        <v>1w</v>
      </c>
      <c r="O1556" s="146">
        <f>_xll.qlCalendarAdvance(Calendar,O1555,N1556,"f",FALSE)</f>
        <v>50066</v>
      </c>
      <c r="P1556" s="140">
        <f>_xll.qlInterestRateIndexValueDate(IborIndex,O1556)</f>
        <v>50068</v>
      </c>
      <c r="Q1556" s="141">
        <v>2.2047265198390065E-2</v>
      </c>
      <c r="R1556" s="143">
        <v>2.2040833234138191E-2</v>
      </c>
    </row>
    <row r="1557" spans="14:18" x14ac:dyDescent="0.2">
      <c r="N1557" s="139" t="str">
        <f t="shared" ref="N1557:N1620" si="31">N1556</f>
        <v>1w</v>
      </c>
      <c r="O1557" s="146">
        <f>_xll.qlCalendarAdvance(Calendar,O1556,N1557,"f",FALSE)</f>
        <v>50073</v>
      </c>
      <c r="P1557" s="140">
        <f>_xll.qlInterestRateIndexValueDate(IborIndex,O1557)</f>
        <v>50075</v>
      </c>
      <c r="Q1557" s="141">
        <v>2.2039758424117206E-2</v>
      </c>
      <c r="R1557" s="143">
        <v>2.2033672093817458E-2</v>
      </c>
    </row>
    <row r="1558" spans="14:18" x14ac:dyDescent="0.2">
      <c r="N1558" s="139" t="str">
        <f t="shared" si="31"/>
        <v>1w</v>
      </c>
      <c r="O1558" s="146">
        <f>_xll.qlCalendarAdvance(Calendar,O1557,N1558,"f",FALSE)</f>
        <v>50080</v>
      </c>
      <c r="P1558" s="140">
        <f>_xll.qlInterestRateIndexValueDate(IborIndex,O1558)</f>
        <v>50082</v>
      </c>
      <c r="Q1558" s="141">
        <v>2.2032566473859014E-2</v>
      </c>
      <c r="R1558" s="143">
        <v>2.2026503024692445E-2</v>
      </c>
    </row>
    <row r="1559" spans="14:18" x14ac:dyDescent="0.2">
      <c r="N1559" s="139" t="str">
        <f t="shared" si="31"/>
        <v>1w</v>
      </c>
      <c r="O1559" s="146">
        <f>_xll.qlCalendarAdvance(Calendar,O1558,N1559,"f",FALSE)</f>
        <v>50087</v>
      </c>
      <c r="P1559" s="140">
        <f>_xll.qlInterestRateIndexValueDate(IborIndex,O1559)</f>
        <v>50089</v>
      </c>
      <c r="Q1559" s="141">
        <v>2.2025366586264319E-2</v>
      </c>
      <c r="R1559" s="143">
        <v>2.2019326026789798E-2</v>
      </c>
    </row>
    <row r="1560" spans="14:18" x14ac:dyDescent="0.2">
      <c r="N1560" s="139" t="str">
        <f t="shared" si="31"/>
        <v>1w</v>
      </c>
      <c r="O1560" s="146">
        <f>_xll.qlCalendarAdvance(Calendar,O1559,N1560,"f",FALSE)</f>
        <v>50094</v>
      </c>
      <c r="P1560" s="140">
        <f>_xll.qlInterestRateIndexValueDate(IborIndex,O1560)</f>
        <v>50096</v>
      </c>
      <c r="Q1560" s="141">
        <v>2.2018158761344546E-2</v>
      </c>
      <c r="R1560" s="143">
        <v>2.2012141100056226E-2</v>
      </c>
    </row>
    <row r="1561" spans="14:18" x14ac:dyDescent="0.2">
      <c r="N1561" s="139" t="str">
        <f t="shared" si="31"/>
        <v>1w</v>
      </c>
      <c r="O1561" s="146">
        <f>_xll.qlCalendarAdvance(Calendar,O1560,N1561,"f",FALSE)</f>
        <v>50101</v>
      </c>
      <c r="P1561" s="140">
        <f>_xll.qlInterestRateIndexValueDate(IborIndex,O1561)</f>
        <v>50103</v>
      </c>
      <c r="Q1561" s="141">
        <v>2.2011879990211109E-2</v>
      </c>
      <c r="R1561" s="143">
        <v>2.200494824454502E-2</v>
      </c>
    </row>
    <row r="1562" spans="14:18" x14ac:dyDescent="0.2">
      <c r="N1562" s="139" t="str">
        <f t="shared" si="31"/>
        <v>1w</v>
      </c>
      <c r="O1562" s="146">
        <f>_xll.qlCalendarAdvance(Calendar,O1561,N1562,"f",FALSE)</f>
        <v>50108</v>
      </c>
      <c r="P1562" s="140">
        <f>_xll.qlInterestRateIndexValueDate(IborIndex,O1562)</f>
        <v>50110</v>
      </c>
      <c r="Q1562" s="141">
        <v>2.2004495307979193E-2</v>
      </c>
      <c r="R1562" s="143">
        <v>2.1997747460229533E-2</v>
      </c>
    </row>
    <row r="1563" spans="14:18" x14ac:dyDescent="0.2">
      <c r="N1563" s="139" t="str">
        <f t="shared" si="31"/>
        <v>1w</v>
      </c>
      <c r="O1563" s="146">
        <f>_xll.qlCalendarAdvance(Calendar,O1562,N1563,"f",FALSE)</f>
        <v>50115</v>
      </c>
      <c r="P1563" s="140">
        <f>_xll.qlInterestRateIndexValueDate(IborIndex,O1563)</f>
        <v>50117</v>
      </c>
      <c r="Q1563" s="141">
        <v>2.1997258627686606E-2</v>
      </c>
      <c r="R1563" s="143">
        <v>2.1990538747136412E-2</v>
      </c>
    </row>
    <row r="1564" spans="14:18" x14ac:dyDescent="0.2">
      <c r="N1564" s="139" t="str">
        <f t="shared" si="31"/>
        <v>1w</v>
      </c>
      <c r="O1564" s="146">
        <f>_xll.qlCalendarAdvance(Calendar,O1563,N1564,"f",FALSE)</f>
        <v>50122</v>
      </c>
      <c r="P1564" s="140">
        <f>_xll.qlInterestRateIndexValueDate(IborIndex,O1564)</f>
        <v>50124</v>
      </c>
      <c r="Q1564" s="141">
        <v>2.1990014008425748E-2</v>
      </c>
      <c r="R1564" s="143">
        <v>2.1983322105212366E-2</v>
      </c>
    </row>
    <row r="1565" spans="14:18" x14ac:dyDescent="0.2">
      <c r="N1565" s="139" t="str">
        <f t="shared" si="31"/>
        <v>1w</v>
      </c>
      <c r="O1565" s="146">
        <f>_xll.qlCalendarAdvance(Calendar,O1564,N1565,"f",FALSE)</f>
        <v>50129</v>
      </c>
      <c r="P1565" s="140">
        <f>_xll.qlInterestRateIndexValueDate(IborIndex,O1565)</f>
        <v>50131</v>
      </c>
      <c r="Q1565" s="141">
        <v>2.1982761450213578E-2</v>
      </c>
      <c r="R1565" s="143">
        <v>2.1971657906751929E-2</v>
      </c>
    </row>
    <row r="1566" spans="14:18" x14ac:dyDescent="0.2">
      <c r="N1566" s="139" t="str">
        <f t="shared" si="31"/>
        <v>1w</v>
      </c>
      <c r="O1566" s="146">
        <f>_xll.qlCalendarAdvance(Calendar,O1565,N1566,"f",FALSE)</f>
        <v>50137</v>
      </c>
      <c r="P1566" s="140">
        <f>_xll.qlInterestRateIndexValueDate(IborIndex,O1566)</f>
        <v>50139</v>
      </c>
      <c r="Q1566" s="141">
        <v>2.1974312250686578E-2</v>
      </c>
      <c r="R1566" s="143">
        <v>2.1965456951162921E-2</v>
      </c>
    </row>
    <row r="1567" spans="14:18" x14ac:dyDescent="0.2">
      <c r="N1567" s="139" t="str">
        <f t="shared" si="31"/>
        <v>1w</v>
      </c>
      <c r="O1567" s="146">
        <f>_xll.qlCalendarAdvance(Calendar,O1566,N1567,"f",FALSE)</f>
        <v>50144</v>
      </c>
      <c r="P1567" s="140">
        <f>_xll.qlInterestRateIndexValueDate(IborIndex,O1567)</f>
        <v>50146</v>
      </c>
      <c r="Q1567" s="141">
        <v>2.1967043690740151E-2</v>
      </c>
      <c r="R1567" s="143">
        <v>2.195821514105134E-2</v>
      </c>
    </row>
    <row r="1568" spans="14:18" x14ac:dyDescent="0.2">
      <c r="N1568" s="139" t="str">
        <f t="shared" si="31"/>
        <v>1w</v>
      </c>
      <c r="O1568" s="146">
        <f>_xll.qlCalendarAdvance(Calendar,O1567,N1568,"f",FALSE)</f>
        <v>50151</v>
      </c>
      <c r="P1568" s="140">
        <f>_xll.qlInterestRateIndexValueDate(IborIndex,O1568)</f>
        <v>50153</v>
      </c>
      <c r="Q1568" s="141">
        <v>2.1959916011836163E-2</v>
      </c>
      <c r="R1568" s="143">
        <v>2.195096540288155E-2</v>
      </c>
    </row>
    <row r="1569" spans="14:18" x14ac:dyDescent="0.2">
      <c r="N1569" s="139" t="str">
        <f t="shared" si="31"/>
        <v>1w</v>
      </c>
      <c r="O1569" s="146">
        <f>_xll.qlCalendarAdvance(Calendar,O1568,N1569,"f",FALSE)</f>
        <v>50158</v>
      </c>
      <c r="P1569" s="140">
        <f>_xll.qlInterestRateIndexValueDate(IborIndex,O1569)</f>
        <v>50160</v>
      </c>
      <c r="Q1569" s="141">
        <v>2.1952038787198151E-2</v>
      </c>
      <c r="R1569" s="143">
        <v>2.1942670280052923E-2</v>
      </c>
    </row>
    <row r="1570" spans="14:18" x14ac:dyDescent="0.2">
      <c r="N1570" s="139" t="str">
        <f t="shared" si="31"/>
        <v>1w</v>
      </c>
      <c r="O1570" s="146">
        <f>_xll.qlCalendarAdvance(Calendar,O1569,N1570,"f",FALSE)</f>
        <v>50165</v>
      </c>
      <c r="P1570" s="140">
        <f>_xll.qlInterestRateIndexValueDate(IborIndex,O1570)</f>
        <v>50167</v>
      </c>
      <c r="Q1570" s="141">
        <v>2.194519037958198E-2</v>
      </c>
      <c r="R1570" s="143">
        <v>2.1936442142287405E-2</v>
      </c>
    </row>
    <row r="1571" spans="14:18" x14ac:dyDescent="0.2">
      <c r="N1571" s="139" t="str">
        <f t="shared" si="31"/>
        <v>1w</v>
      </c>
      <c r="O1571" s="146">
        <f>_xll.qlCalendarAdvance(Calendar,O1570,N1571,"f",FALSE)</f>
        <v>50172</v>
      </c>
      <c r="P1571" s="140">
        <f>_xll.qlInterestRateIndexValueDate(IborIndex,O1571)</f>
        <v>50175</v>
      </c>
      <c r="Q1571" s="141">
        <v>2.1936700783612536E-2</v>
      </c>
      <c r="R1571" s="143">
        <v>2.192812889795448E-2</v>
      </c>
    </row>
    <row r="1572" spans="14:18" x14ac:dyDescent="0.2">
      <c r="N1572" s="139" t="str">
        <f t="shared" si="31"/>
        <v>1w</v>
      </c>
      <c r="O1572" s="146">
        <f>_xll.qlCalendarAdvance(Calendar,O1571,N1572,"f",FALSE)</f>
        <v>50179</v>
      </c>
      <c r="P1572" s="140">
        <f>_xll.qlInterestRateIndexValueDate(IborIndex,O1572)</f>
        <v>50181</v>
      </c>
      <c r="Q1572" s="141">
        <v>2.193058181286317E-2</v>
      </c>
      <c r="R1572" s="143">
        <v>2.1920846314777975E-2</v>
      </c>
    </row>
    <row r="1573" spans="14:18" x14ac:dyDescent="0.2">
      <c r="N1573" s="139" t="str">
        <f t="shared" si="31"/>
        <v>1w</v>
      </c>
      <c r="O1573" s="146">
        <f>_xll.qlCalendarAdvance(Calendar,O1572,N1573,"f",FALSE)</f>
        <v>50186</v>
      </c>
      <c r="P1573" s="140">
        <f>_xll.qlInterestRateIndexValueDate(IborIndex,O1573)</f>
        <v>50188</v>
      </c>
      <c r="Q1573" s="141">
        <v>2.1923265621767718E-2</v>
      </c>
      <c r="R1573" s="143">
        <v>2.1914597790440027E-2</v>
      </c>
    </row>
    <row r="1574" spans="14:18" x14ac:dyDescent="0.2">
      <c r="N1574" s="139" t="str">
        <f t="shared" si="31"/>
        <v>1w</v>
      </c>
      <c r="O1574" s="146">
        <f>_xll.qlCalendarAdvance(Calendar,O1573,N1574,"f",FALSE)</f>
        <v>50193</v>
      </c>
      <c r="P1574" s="140">
        <f>_xll.qlInterestRateIndexValueDate(IborIndex,O1574)</f>
        <v>50195</v>
      </c>
      <c r="Q1574" s="141">
        <v>2.1915941492202384E-2</v>
      </c>
      <c r="R1574" s="143">
        <v>2.1907300483681169E-2</v>
      </c>
    </row>
    <row r="1575" spans="14:18" x14ac:dyDescent="0.2">
      <c r="N1575" s="139" t="str">
        <f t="shared" si="31"/>
        <v>1w</v>
      </c>
      <c r="O1575" s="146">
        <f>_xll.qlCalendarAdvance(Calendar,O1574,N1575,"f",FALSE)</f>
        <v>50200</v>
      </c>
      <c r="P1575" s="140">
        <f>_xll.qlInterestRateIndexValueDate(IborIndex,O1575)</f>
        <v>50202</v>
      </c>
      <c r="Q1575" s="141">
        <v>2.1908609424182157E-2</v>
      </c>
      <c r="R1575" s="143">
        <v>2.1899995248704229E-2</v>
      </c>
    </row>
    <row r="1576" spans="14:18" x14ac:dyDescent="0.2">
      <c r="N1576" s="139" t="str">
        <f t="shared" si="31"/>
        <v>1w</v>
      </c>
      <c r="O1576" s="146">
        <f>_xll.qlCalendarAdvance(Calendar,O1575,N1576,"f",FALSE)</f>
        <v>50207</v>
      </c>
      <c r="P1576" s="140">
        <f>_xll.qlInterestRateIndexValueDate(IborIndex,O1576)</f>
        <v>50209</v>
      </c>
      <c r="Q1576" s="141">
        <v>2.1901269417719527E-2</v>
      </c>
      <c r="R1576" s="143">
        <v>2.189163670085037E-2</v>
      </c>
    </row>
    <row r="1577" spans="14:18" x14ac:dyDescent="0.2">
      <c r="N1577" s="139" t="str">
        <f t="shared" si="31"/>
        <v>1w</v>
      </c>
      <c r="O1577" s="146">
        <f>_xll.qlCalendarAdvance(Calendar,O1576,N1577,"f",FALSE)</f>
        <v>50214</v>
      </c>
      <c r="P1577" s="140">
        <f>_xll.qlInterestRateIndexValueDate(IborIndex,O1577)</f>
        <v>50216</v>
      </c>
      <c r="Q1577" s="141">
        <v>2.1893921472836975E-2</v>
      </c>
      <c r="R1577" s="143">
        <v>2.1885360994495784E-2</v>
      </c>
    </row>
    <row r="1578" spans="14:18" x14ac:dyDescent="0.2">
      <c r="N1578" s="139" t="str">
        <f t="shared" si="31"/>
        <v>1w</v>
      </c>
      <c r="O1578" s="146">
        <f>_xll.qlCalendarAdvance(Calendar,O1577,N1578,"f",FALSE)</f>
        <v>50221</v>
      </c>
      <c r="P1578" s="140">
        <f>_xll.qlInterestRateIndexValueDate(IborIndex,O1578)</f>
        <v>50223</v>
      </c>
      <c r="Q1578" s="141">
        <v>2.1886565589539497E-2</v>
      </c>
      <c r="R1578" s="143">
        <v>2.1878031975264278E-2</v>
      </c>
    </row>
    <row r="1579" spans="14:18" x14ac:dyDescent="0.2">
      <c r="N1579" s="139" t="str">
        <f t="shared" si="31"/>
        <v>1w</v>
      </c>
      <c r="O1579" s="146">
        <f>_xll.qlCalendarAdvance(Calendar,O1578,N1579,"f",FALSE)</f>
        <v>50228</v>
      </c>
      <c r="P1579" s="140">
        <f>_xll.qlInterestRateIndexValueDate(IborIndex,O1579)</f>
        <v>50230</v>
      </c>
      <c r="Q1579" s="141">
        <v>2.1879201767852074E-2</v>
      </c>
      <c r="R1579" s="143">
        <v>2.1870695027894627E-2</v>
      </c>
    </row>
    <row r="1580" spans="14:18" x14ac:dyDescent="0.2">
      <c r="N1580" s="139" t="str">
        <f t="shared" si="31"/>
        <v>1w</v>
      </c>
      <c r="O1580" s="146">
        <f>_xll.qlCalendarAdvance(Calendar,O1579,N1580,"f",FALSE)</f>
        <v>50235</v>
      </c>
      <c r="P1580" s="140">
        <f>_xll.qlInterestRateIndexValueDate(IborIndex,O1580)</f>
        <v>50237</v>
      </c>
      <c r="Q1580" s="141">
        <v>2.1871830007789694E-2</v>
      </c>
      <c r="R1580" s="143">
        <v>2.1863350152386829E-2</v>
      </c>
    </row>
    <row r="1581" spans="14:18" x14ac:dyDescent="0.2">
      <c r="N1581" s="139" t="str">
        <f t="shared" si="31"/>
        <v>1w</v>
      </c>
      <c r="O1581" s="146">
        <f>_xll.qlCalendarAdvance(Calendar,O1580,N1581,"f",FALSE)</f>
        <v>50242</v>
      </c>
      <c r="P1581" s="140">
        <f>_xll.qlInterestRateIndexValueDate(IborIndex,O1581)</f>
        <v>50244</v>
      </c>
      <c r="Q1581" s="141">
        <v>2.1864450309362349E-2</v>
      </c>
      <c r="R1581" s="143">
        <v>2.1855997348820821E-2</v>
      </c>
    </row>
    <row r="1582" spans="14:18" x14ac:dyDescent="0.2">
      <c r="N1582" s="139" t="str">
        <f t="shared" si="31"/>
        <v>1w</v>
      </c>
      <c r="O1582" s="146">
        <f>_xll.qlCalendarAdvance(Calendar,O1581,N1582,"f",FALSE)</f>
        <v>50249</v>
      </c>
      <c r="P1582" s="140">
        <f>_xll.qlInterestRateIndexValueDate(IborIndex,O1582)</f>
        <v>50251</v>
      </c>
      <c r="Q1582" s="141">
        <v>2.1857062672590022E-2</v>
      </c>
      <c r="R1582" s="143">
        <v>2.1848636617196604E-2</v>
      </c>
    </row>
    <row r="1583" spans="14:18" x14ac:dyDescent="0.2">
      <c r="N1583" s="139" t="str">
        <f t="shared" si="31"/>
        <v>1w</v>
      </c>
      <c r="O1583" s="146">
        <f>_xll.qlCalendarAdvance(Calendar,O1582,N1583,"f",FALSE)</f>
        <v>50256</v>
      </c>
      <c r="P1583" s="140">
        <f>_xll.qlInterestRateIndexValueDate(IborIndex,O1583)</f>
        <v>50258</v>
      </c>
      <c r="Q1583" s="141">
        <v>2.1849667097485204E-2</v>
      </c>
      <c r="R1583" s="143">
        <v>2.1841267957354304E-2</v>
      </c>
    </row>
    <row r="1584" spans="14:18" x14ac:dyDescent="0.2">
      <c r="N1584" s="139" t="str">
        <f t="shared" si="31"/>
        <v>1w</v>
      </c>
      <c r="O1584" s="146">
        <f>_xll.qlCalendarAdvance(Calendar,O1583,N1584,"f",FALSE)</f>
        <v>50263</v>
      </c>
      <c r="P1584" s="140">
        <f>_xll.qlInterestRateIndexValueDate(IborIndex,O1584)</f>
        <v>50265</v>
      </c>
      <c r="Q1584" s="141">
        <v>2.184226358406538E-2</v>
      </c>
      <c r="R1584" s="143">
        <v>2.1833891369453795E-2</v>
      </c>
    </row>
    <row r="1585" spans="14:18" x14ac:dyDescent="0.2">
      <c r="N1585" s="139" t="str">
        <f t="shared" si="31"/>
        <v>1w</v>
      </c>
      <c r="O1585" s="146">
        <f>_xll.qlCalendarAdvance(Calendar,O1584,N1585,"f",FALSE)</f>
        <v>50270</v>
      </c>
      <c r="P1585" s="140">
        <f>_xll.qlInterestRateIndexValueDate(IborIndex,O1585)</f>
        <v>50272</v>
      </c>
      <c r="Q1585" s="141">
        <v>2.1834852132348037E-2</v>
      </c>
      <c r="R1585" s="143">
        <v>2.182650685341514E-2</v>
      </c>
    </row>
    <row r="1586" spans="14:18" x14ac:dyDescent="0.2">
      <c r="N1586" s="139" t="str">
        <f t="shared" si="31"/>
        <v>1w</v>
      </c>
      <c r="O1586" s="146">
        <f>_xll.qlCalendarAdvance(Calendar,O1585,N1586,"f",FALSE)</f>
        <v>50277</v>
      </c>
      <c r="P1586" s="140">
        <f>_xll.qlInterestRateIndexValueDate(IborIndex,O1586)</f>
        <v>50279</v>
      </c>
      <c r="Q1586" s="141">
        <v>2.1827432742345665E-2</v>
      </c>
      <c r="R1586" s="143">
        <v>2.1819114409318274E-2</v>
      </c>
    </row>
    <row r="1587" spans="14:18" x14ac:dyDescent="0.2">
      <c r="N1587" s="139" t="str">
        <f t="shared" si="31"/>
        <v>1w</v>
      </c>
      <c r="O1587" s="146">
        <f>_xll.qlCalendarAdvance(Calendar,O1586,N1587,"f",FALSE)</f>
        <v>50284</v>
      </c>
      <c r="P1587" s="140">
        <f>_xll.qlInterestRateIndexValueDate(IborIndex,O1587)</f>
        <v>50286</v>
      </c>
      <c r="Q1587" s="141">
        <v>2.1820005414075749E-2</v>
      </c>
      <c r="R1587" s="143">
        <v>2.1811714037083263E-2</v>
      </c>
    </row>
    <row r="1588" spans="14:18" x14ac:dyDescent="0.2">
      <c r="N1588" s="139" t="str">
        <f t="shared" si="31"/>
        <v>1w</v>
      </c>
      <c r="O1588" s="146">
        <f>_xll.qlCalendarAdvance(Calendar,O1587,N1588,"f",FALSE)</f>
        <v>50291</v>
      </c>
      <c r="P1588" s="140">
        <f>_xll.qlInterestRateIndexValueDate(IborIndex,O1588)</f>
        <v>50293</v>
      </c>
      <c r="Q1588" s="141">
        <v>2.1812570147553278E-2</v>
      </c>
      <c r="R1588" s="143">
        <v>2.1804305736790042E-2</v>
      </c>
    </row>
    <row r="1589" spans="14:18" x14ac:dyDescent="0.2">
      <c r="N1589" s="139" t="str">
        <f t="shared" si="31"/>
        <v>1w</v>
      </c>
      <c r="O1589" s="146">
        <f>_xll.qlCalendarAdvance(Calendar,O1588,N1589,"f",FALSE)</f>
        <v>50298</v>
      </c>
      <c r="P1589" s="140">
        <f>_xll.qlInterestRateIndexValueDate(IborIndex,O1589)</f>
        <v>50300</v>
      </c>
      <c r="Q1589" s="141">
        <v>2.1805126942795738E-2</v>
      </c>
      <c r="R1589" s="143">
        <v>2.1796889508358674E-2</v>
      </c>
    </row>
    <row r="1590" spans="14:18" x14ac:dyDescent="0.2">
      <c r="N1590" s="139" t="str">
        <f t="shared" si="31"/>
        <v>1w</v>
      </c>
      <c r="O1590" s="146">
        <f>_xll.qlCalendarAdvance(Calendar,O1589,N1590,"f",FALSE)</f>
        <v>50305</v>
      </c>
      <c r="P1590" s="140">
        <f>_xll.qlInterestRateIndexValueDate(IborIndex,O1590)</f>
        <v>50307</v>
      </c>
      <c r="Q1590" s="141">
        <v>2.1797675799810623E-2</v>
      </c>
      <c r="R1590" s="143">
        <v>2.1789465351789161E-2</v>
      </c>
    </row>
    <row r="1591" spans="14:18" x14ac:dyDescent="0.2">
      <c r="N1591" s="139" t="str">
        <f t="shared" si="31"/>
        <v>1w</v>
      </c>
      <c r="O1591" s="146">
        <f>_xll.qlCalendarAdvance(Calendar,O1590,N1591,"f",FALSE)</f>
        <v>50312</v>
      </c>
      <c r="P1591" s="140">
        <f>_xll.qlInterestRateIndexValueDate(IborIndex,O1591)</f>
        <v>50314</v>
      </c>
      <c r="Q1591" s="141">
        <v>2.1790216718627908E-2</v>
      </c>
      <c r="R1591" s="143">
        <v>2.1782033267161438E-2</v>
      </c>
    </row>
    <row r="1592" spans="14:18" x14ac:dyDescent="0.2">
      <c r="N1592" s="139" t="str">
        <f t="shared" si="31"/>
        <v>1w</v>
      </c>
      <c r="O1592" s="146">
        <f>_xll.qlCalendarAdvance(Calendar,O1591,N1592,"f",FALSE)</f>
        <v>50319</v>
      </c>
      <c r="P1592" s="140">
        <f>_xll.qlInterestRateIndexValueDate(IborIndex,O1592)</f>
        <v>50321</v>
      </c>
      <c r="Q1592" s="141">
        <v>2.1782749699250092E-2</v>
      </c>
      <c r="R1592" s="143">
        <v>2.1774593254475505E-2</v>
      </c>
    </row>
    <row r="1593" spans="14:18" x14ac:dyDescent="0.2">
      <c r="N1593" s="139" t="str">
        <f t="shared" si="31"/>
        <v>1w</v>
      </c>
      <c r="O1593" s="146">
        <f>_xll.qlCalendarAdvance(Calendar,O1592,N1593,"f",FALSE)</f>
        <v>50326</v>
      </c>
      <c r="P1593" s="140">
        <f>_xll.qlInterestRateIndexValueDate(IborIndex,O1593)</f>
        <v>50328</v>
      </c>
      <c r="Q1593" s="141">
        <v>2.1775274741704653E-2</v>
      </c>
      <c r="R1593" s="143">
        <v>2.1767145313651426E-2</v>
      </c>
    </row>
    <row r="1594" spans="14:18" x14ac:dyDescent="0.2">
      <c r="N1594" s="139" t="str">
        <f t="shared" si="31"/>
        <v>1w</v>
      </c>
      <c r="O1594" s="146">
        <f>_xll.qlCalendarAdvance(Calendar,O1593,N1594,"f",FALSE)</f>
        <v>50333</v>
      </c>
      <c r="P1594" s="140">
        <f>_xll.qlInterestRateIndexValueDate(IborIndex,O1594)</f>
        <v>50335</v>
      </c>
      <c r="Q1594" s="141">
        <v>2.1767791845996587E-2</v>
      </c>
      <c r="R1594" s="143">
        <v>2.1759689444769137E-2</v>
      </c>
    </row>
    <row r="1595" spans="14:18" x14ac:dyDescent="0.2">
      <c r="N1595" s="139" t="str">
        <f t="shared" si="31"/>
        <v>1w</v>
      </c>
      <c r="O1595" s="146">
        <f>_xll.qlCalendarAdvance(Calendar,O1594,N1595,"f",FALSE)</f>
        <v>50340</v>
      </c>
      <c r="P1595" s="140">
        <f>_xll.qlInterestRateIndexValueDate(IborIndex,O1595)</f>
        <v>50342</v>
      </c>
      <c r="Q1595" s="141">
        <v>2.1760301012148375E-2</v>
      </c>
      <c r="R1595" s="143">
        <v>2.1752225647668766E-2</v>
      </c>
    </row>
    <row r="1596" spans="14:18" x14ac:dyDescent="0.2">
      <c r="N1596" s="139" t="str">
        <f t="shared" si="31"/>
        <v>1w</v>
      </c>
      <c r="O1596" s="146">
        <f>_xll.qlCalendarAdvance(Calendar,O1595,N1596,"f",FALSE)</f>
        <v>50347</v>
      </c>
      <c r="P1596" s="140">
        <f>_xll.qlInterestRateIndexValueDate(IborIndex,O1596)</f>
        <v>50349</v>
      </c>
      <c r="Q1596" s="141">
        <v>2.1752802240172509E-2</v>
      </c>
      <c r="R1596" s="143">
        <v>2.1744753922590121E-2</v>
      </c>
    </row>
    <row r="1597" spans="14:18" x14ac:dyDescent="0.2">
      <c r="N1597" s="139" t="str">
        <f t="shared" si="31"/>
        <v>1w</v>
      </c>
      <c r="O1597" s="146">
        <f>_xll.qlCalendarAdvance(Calendar,O1596,N1597,"f",FALSE)</f>
        <v>50354</v>
      </c>
      <c r="P1597" s="140">
        <f>_xll.qlInterestRateIndexValueDate(IborIndex,O1597)</f>
        <v>50356</v>
      </c>
      <c r="Q1597" s="141">
        <v>2.1745295530086473E-2</v>
      </c>
      <c r="R1597" s="143">
        <v>2.1737274269293394E-2</v>
      </c>
    </row>
    <row r="1598" spans="14:18" x14ac:dyDescent="0.2">
      <c r="N1598" s="139" t="str">
        <f t="shared" si="31"/>
        <v>1w</v>
      </c>
      <c r="O1598" s="146">
        <f>_xll.qlCalendarAdvance(Calendar,O1597,N1598,"f",FALSE)</f>
        <v>50361</v>
      </c>
      <c r="P1598" s="140">
        <f>_xll.qlInterestRateIndexValueDate(IborIndex,O1598)</f>
        <v>50363</v>
      </c>
      <c r="Q1598" s="141">
        <v>2.1737780881905255E-2</v>
      </c>
      <c r="R1598" s="143">
        <v>2.1729786688018393E-2</v>
      </c>
    </row>
    <row r="1599" spans="14:18" x14ac:dyDescent="0.2">
      <c r="N1599" s="139" t="str">
        <f t="shared" si="31"/>
        <v>1w</v>
      </c>
      <c r="O1599" s="146">
        <f>_xll.qlCalendarAdvance(Calendar,O1598,N1599,"f",FALSE)</f>
        <v>50368</v>
      </c>
      <c r="P1599" s="140">
        <f>_xll.qlInterestRateIndexValueDate(IborIndex,O1599)</f>
        <v>50370</v>
      </c>
      <c r="Q1599" s="141">
        <v>2.1730258295646343E-2</v>
      </c>
      <c r="R1599" s="143">
        <v>2.172229117852531E-2</v>
      </c>
    </row>
    <row r="1600" spans="14:18" x14ac:dyDescent="0.2">
      <c r="N1600" s="139" t="str">
        <f t="shared" si="31"/>
        <v>1w</v>
      </c>
      <c r="O1600" s="146">
        <f>_xll.qlCalendarAdvance(Calendar,O1599,N1600,"f",FALSE)</f>
        <v>50375</v>
      </c>
      <c r="P1600" s="140">
        <f>_xll.qlInterestRateIndexValueDate(IborIndex,O1600)</f>
        <v>50377</v>
      </c>
      <c r="Q1600" s="141">
        <v>2.1722727771327222E-2</v>
      </c>
      <c r="R1600" s="143">
        <v>2.1714787741053954E-2</v>
      </c>
    </row>
    <row r="1601" spans="14:18" x14ac:dyDescent="0.2">
      <c r="N1601" s="139" t="str">
        <f t="shared" si="31"/>
        <v>1w</v>
      </c>
      <c r="O1601" s="146">
        <f>_xll.qlCalendarAdvance(Calendar,O1600,N1601,"f",FALSE)</f>
        <v>50382</v>
      </c>
      <c r="P1601" s="140">
        <f>_xll.qlInterestRateIndexValueDate(IborIndex,O1601)</f>
        <v>50384</v>
      </c>
      <c r="Q1601" s="141">
        <v>2.1715189308957883E-2</v>
      </c>
      <c r="R1601" s="143">
        <v>2.1707276375444451E-2</v>
      </c>
    </row>
    <row r="1602" spans="14:18" x14ac:dyDescent="0.2">
      <c r="N1602" s="139" t="str">
        <f t="shared" si="31"/>
        <v>1w</v>
      </c>
      <c r="O1602" s="146">
        <f>_xll.qlCalendarAdvance(Calendar,O1601,N1602,"f",FALSE)</f>
        <v>50389</v>
      </c>
      <c r="P1602" s="140">
        <f>_xll.qlInterestRateIndexValueDate(IborIndex,O1602)</f>
        <v>50391</v>
      </c>
      <c r="Q1602" s="141">
        <v>2.1707642908558311E-2</v>
      </c>
      <c r="R1602" s="143">
        <v>2.1699757081696802E-2</v>
      </c>
    </row>
    <row r="1603" spans="14:18" x14ac:dyDescent="0.2">
      <c r="N1603" s="139" t="str">
        <f t="shared" si="31"/>
        <v>1w</v>
      </c>
      <c r="O1603" s="146">
        <f>_xll.qlCalendarAdvance(Calendar,O1602,N1603,"f",FALSE)</f>
        <v>50396</v>
      </c>
      <c r="P1603" s="140">
        <f>_xll.qlInterestRateIndexValueDate(IborIndex,O1603)</f>
        <v>50402</v>
      </c>
      <c r="Q1603" s="141">
        <v>2.169565549129529E-2</v>
      </c>
      <c r="R1603" s="143">
        <v>2.1690538171293738E-2</v>
      </c>
    </row>
    <row r="1604" spans="14:18" x14ac:dyDescent="0.2">
      <c r="N1604" s="139" t="str">
        <f t="shared" si="31"/>
        <v>1w</v>
      </c>
      <c r="O1604" s="146">
        <f>_xll.qlCalendarAdvance(Calendar,O1603,N1604,"f",FALSE)</f>
        <v>50403</v>
      </c>
      <c r="P1604" s="140">
        <f>_xll.qlInterestRateIndexValueDate(IborIndex,O1604)</f>
        <v>50409</v>
      </c>
      <c r="Q1604" s="141">
        <v>2.168808970135494E-2</v>
      </c>
      <c r="R1604" s="143">
        <v>2.1681462933100804E-2</v>
      </c>
    </row>
    <row r="1605" spans="14:18" x14ac:dyDescent="0.2">
      <c r="N1605" s="139" t="str">
        <f t="shared" si="31"/>
        <v>1w</v>
      </c>
      <c r="O1605" s="146">
        <f>_xll.qlCalendarAdvance(Calendar,O1604,N1605,"f",FALSE)</f>
        <v>50410</v>
      </c>
      <c r="P1605" s="140">
        <f>_xll.qlInterestRateIndexValueDate(IborIndex,O1605)</f>
        <v>50413</v>
      </c>
      <c r="Q1605" s="141">
        <v>2.1683762828971973E-2</v>
      </c>
      <c r="R1605" s="143">
        <v>2.1676073402279172E-2</v>
      </c>
    </row>
    <row r="1606" spans="14:18" x14ac:dyDescent="0.2">
      <c r="N1606" s="139" t="str">
        <f t="shared" si="31"/>
        <v>1w</v>
      </c>
      <c r="O1606" s="146">
        <f>_xll.qlCalendarAdvance(Calendar,O1605,N1606,"f",FALSE)</f>
        <v>50417</v>
      </c>
      <c r="P1606" s="140">
        <f>_xll.qlInterestRateIndexValueDate(IborIndex,O1606)</f>
        <v>50419</v>
      </c>
      <c r="Q1606" s="141">
        <v>2.1677377926969943E-2</v>
      </c>
      <c r="R1606" s="143">
        <v>2.1669600625804364E-2</v>
      </c>
    </row>
    <row r="1607" spans="14:18" x14ac:dyDescent="0.2">
      <c r="N1607" s="139" t="str">
        <f t="shared" si="31"/>
        <v>1w</v>
      </c>
      <c r="O1607" s="146">
        <f>_xll.qlCalendarAdvance(Calendar,O1606,N1607,"f",FALSE)</f>
        <v>50424</v>
      </c>
      <c r="P1607" s="140">
        <f>_xll.qlInterestRateIndexValueDate(IborIndex,O1607)</f>
        <v>50426</v>
      </c>
      <c r="Q1607" s="141">
        <v>2.1669791836654018E-2</v>
      </c>
      <c r="R1607" s="143">
        <v>2.1662041691685729E-2</v>
      </c>
    </row>
    <row r="1608" spans="14:18" x14ac:dyDescent="0.2">
      <c r="N1608" s="139" t="str">
        <f t="shared" si="31"/>
        <v>1w</v>
      </c>
      <c r="O1608" s="146">
        <f>_xll.qlCalendarAdvance(Calendar,O1607,N1608,"f",FALSE)</f>
        <v>50431</v>
      </c>
      <c r="P1608" s="140">
        <f>_xll.qlInterestRateIndexValueDate(IborIndex,O1608)</f>
        <v>50433</v>
      </c>
      <c r="Q1608" s="141">
        <v>2.1661872870135886E-2</v>
      </c>
      <c r="R1608" s="143">
        <v>2.1654474829428949E-2</v>
      </c>
    </row>
    <row r="1609" spans="14:18" x14ac:dyDescent="0.2">
      <c r="N1609" s="139" t="str">
        <f t="shared" si="31"/>
        <v>1w</v>
      </c>
      <c r="O1609" s="146">
        <f>_xll.qlCalendarAdvance(Calendar,O1608,N1609,"f",FALSE)</f>
        <v>50438</v>
      </c>
      <c r="P1609" s="140">
        <f>_xll.qlInterestRateIndexValueDate(IborIndex,O1609)</f>
        <v>50440</v>
      </c>
      <c r="Q1609" s="141">
        <v>2.1654166499898469E-2</v>
      </c>
      <c r="R1609" s="143">
        <v>2.1646900039113959E-2</v>
      </c>
    </row>
    <row r="1610" spans="14:18" x14ac:dyDescent="0.2">
      <c r="N1610" s="139" t="str">
        <f t="shared" si="31"/>
        <v>1w</v>
      </c>
      <c r="O1610" s="146">
        <f>_xll.qlCalendarAdvance(Calendar,O1609,N1610,"f",FALSE)</f>
        <v>50445</v>
      </c>
      <c r="P1610" s="140">
        <f>_xll.qlInterestRateIndexValueDate(IborIndex,O1610)</f>
        <v>50447</v>
      </c>
      <c r="Q1610" s="141">
        <v>2.1646560692126306E-2</v>
      </c>
      <c r="R1610" s="143">
        <v>2.1639317320580886E-2</v>
      </c>
    </row>
    <row r="1611" spans="14:18" x14ac:dyDescent="0.2">
      <c r="N1611" s="139" t="str">
        <f t="shared" si="31"/>
        <v>1w</v>
      </c>
      <c r="O1611" s="146">
        <f>_xll.qlCalendarAdvance(Calendar,O1610,N1611,"f",FALSE)</f>
        <v>50452</v>
      </c>
      <c r="P1611" s="140">
        <f>_xll.qlInterestRateIndexValueDate(IborIndex,O1611)</f>
        <v>50454</v>
      </c>
      <c r="Q1611" s="141">
        <v>2.1638946947728499E-2</v>
      </c>
      <c r="R1611" s="143">
        <v>2.163172667406954E-2</v>
      </c>
    </row>
    <row r="1612" spans="14:18" x14ac:dyDescent="0.2">
      <c r="N1612" s="139" t="str">
        <f t="shared" si="31"/>
        <v>1w</v>
      </c>
      <c r="O1612" s="146">
        <f>_xll.qlCalendarAdvance(Calendar,O1611,N1612,"f",FALSE)</f>
        <v>50459</v>
      </c>
      <c r="P1612" s="140">
        <f>_xll.qlInterestRateIndexValueDate(IborIndex,O1612)</f>
        <v>50461</v>
      </c>
      <c r="Q1612" s="141">
        <v>2.1631325266719324E-2</v>
      </c>
      <c r="R1612" s="143">
        <v>2.1624128099340112E-2</v>
      </c>
    </row>
    <row r="1613" spans="14:18" x14ac:dyDescent="0.2">
      <c r="N1613" s="139" t="str">
        <f t="shared" si="31"/>
        <v>1w</v>
      </c>
      <c r="O1613" s="146">
        <f>_xll.qlCalendarAdvance(Calendar,O1612,N1613,"f",FALSE)</f>
        <v>50466</v>
      </c>
      <c r="P1613" s="140">
        <f>_xll.qlInterestRateIndexValueDate(IborIndex,O1613)</f>
        <v>50468</v>
      </c>
      <c r="Q1613" s="141">
        <v>2.162410859869901E-2</v>
      </c>
      <c r="R1613" s="143">
        <v>2.1616521596552474E-2</v>
      </c>
    </row>
    <row r="1614" spans="14:18" x14ac:dyDescent="0.2">
      <c r="N1614" s="139" t="str">
        <f t="shared" si="31"/>
        <v>1w</v>
      </c>
      <c r="O1614" s="146">
        <f>_xll.qlCalendarAdvance(Calendar,O1613,N1614,"f",FALSE)</f>
        <v>50473</v>
      </c>
      <c r="P1614" s="140">
        <f>_xll.qlInterestRateIndexValueDate(IborIndex,O1614)</f>
        <v>50475</v>
      </c>
      <c r="Q1614" s="141">
        <v>2.1616466943178148E-2</v>
      </c>
      <c r="R1614" s="143">
        <v>2.1608907165786562E-2</v>
      </c>
    </row>
    <row r="1615" spans="14:18" x14ac:dyDescent="0.2">
      <c r="N1615" s="139" t="str">
        <f t="shared" si="31"/>
        <v>1w</v>
      </c>
      <c r="O1615" s="146">
        <f>_xll.qlCalendarAdvance(Calendar,O1614,N1615,"f",FALSE)</f>
        <v>50480</v>
      </c>
      <c r="P1615" s="140">
        <f>_xll.qlInterestRateIndexValueDate(IborIndex,O1615)</f>
        <v>50482</v>
      </c>
      <c r="Q1615" s="141">
        <v>2.1608817349834386E-2</v>
      </c>
      <c r="R1615" s="143">
        <v>2.1601284806802568E-2</v>
      </c>
    </row>
    <row r="1616" spans="14:18" x14ac:dyDescent="0.2">
      <c r="N1616" s="139" t="str">
        <f t="shared" si="31"/>
        <v>1w</v>
      </c>
      <c r="O1616" s="146">
        <f>_xll.qlCalendarAdvance(Calendar,O1615,N1616,"f",FALSE)</f>
        <v>50487</v>
      </c>
      <c r="P1616" s="140">
        <f>_xll.qlInterestRateIndexValueDate(IborIndex,O1616)</f>
        <v>50489</v>
      </c>
      <c r="Q1616" s="141">
        <v>2.1601259744719253E-2</v>
      </c>
      <c r="R1616" s="143">
        <v>2.15936545198403E-2</v>
      </c>
    </row>
    <row r="1617" spans="14:18" x14ac:dyDescent="0.2">
      <c r="N1617" s="139" t="str">
        <f t="shared" si="31"/>
        <v>1w</v>
      </c>
      <c r="O1617" s="146">
        <f>_xll.qlCalendarAdvance(Calendar,O1616,N1617,"f",FALSE)</f>
        <v>50494</v>
      </c>
      <c r="P1617" s="140">
        <f>_xll.qlInterestRateIndexValueDate(IborIndex,O1617)</f>
        <v>50496</v>
      </c>
      <c r="Q1617" s="141">
        <v>2.1593494349745612E-2</v>
      </c>
      <c r="R1617" s="143">
        <v>2.1586016304739886E-2</v>
      </c>
    </row>
    <row r="1618" spans="14:18" x14ac:dyDescent="0.2">
      <c r="N1618" s="139" t="str">
        <f t="shared" si="31"/>
        <v>1w</v>
      </c>
      <c r="O1618" s="146">
        <f>_xll.qlCalendarAdvance(Calendar,O1617,N1618,"f",FALSE)</f>
        <v>50501</v>
      </c>
      <c r="P1618" s="140">
        <f>_xll.qlInterestRateIndexValueDate(IborIndex,O1618)</f>
        <v>50503</v>
      </c>
      <c r="Q1618" s="141">
        <v>2.1585820943033074E-2</v>
      </c>
      <c r="R1618" s="143">
        <v>2.1578370161581262E-2</v>
      </c>
    </row>
    <row r="1619" spans="14:18" x14ac:dyDescent="0.2">
      <c r="N1619" s="139" t="str">
        <f t="shared" si="31"/>
        <v>1w</v>
      </c>
      <c r="O1619" s="146">
        <f>_xll.qlCalendarAdvance(Calendar,O1618,N1619,"f",FALSE)</f>
        <v>50508</v>
      </c>
      <c r="P1619" s="140">
        <f>_xll.qlInterestRateIndexValueDate(IborIndex,O1619)</f>
        <v>50510</v>
      </c>
      <c r="Q1619" s="141">
        <v>2.1578139598562585E-2</v>
      </c>
      <c r="R1619" s="143">
        <v>2.1570716090284492E-2</v>
      </c>
    </row>
    <row r="1620" spans="14:18" x14ac:dyDescent="0.2">
      <c r="N1620" s="139" t="str">
        <f t="shared" si="31"/>
        <v>1w</v>
      </c>
      <c r="O1620" s="146">
        <f>_xll.qlCalendarAdvance(Calendar,O1619,N1620,"f",FALSE)</f>
        <v>50515</v>
      </c>
      <c r="P1620" s="140">
        <f>_xll.qlInterestRateIndexValueDate(IborIndex,O1620)</f>
        <v>50517</v>
      </c>
      <c r="Q1620" s="141">
        <v>2.157045031635163E-2</v>
      </c>
      <c r="R1620" s="143">
        <v>2.1560863491947302E-2</v>
      </c>
    </row>
    <row r="1621" spans="14:18" x14ac:dyDescent="0.2">
      <c r="N1621" s="139" t="str">
        <f t="shared" ref="N1621:N1684" si="32">N1620</f>
        <v>1w</v>
      </c>
      <c r="O1621" s="146">
        <f>_xll.qlCalendarAdvance(Calendar,O1620,N1621,"f",FALSE)</f>
        <v>50522</v>
      </c>
      <c r="P1621" s="140">
        <f>_xll.qlInterestRateIndexValueDate(IborIndex,O1621)</f>
        <v>50524</v>
      </c>
      <c r="Q1621" s="141">
        <v>2.1562753096415199E-2</v>
      </c>
      <c r="R1621" s="143">
        <v>2.1555384163436386E-2</v>
      </c>
    </row>
    <row r="1622" spans="14:18" x14ac:dyDescent="0.2">
      <c r="N1622" s="139" t="str">
        <f t="shared" si="32"/>
        <v>1w</v>
      </c>
      <c r="O1622" s="146">
        <f>_xll.qlCalendarAdvance(Calendar,O1621,N1622,"f",FALSE)</f>
        <v>50529</v>
      </c>
      <c r="P1622" s="140">
        <f>_xll.qlInterestRateIndexValueDate(IborIndex,O1622)</f>
        <v>50531</v>
      </c>
      <c r="Q1622" s="141">
        <v>2.1555047938768279E-2</v>
      </c>
      <c r="R1622" s="143">
        <v>2.1547706307805115E-2</v>
      </c>
    </row>
    <row r="1623" spans="14:18" x14ac:dyDescent="0.2">
      <c r="N1623" s="139" t="str">
        <f t="shared" si="32"/>
        <v>1w</v>
      </c>
      <c r="O1623" s="146">
        <f>_xll.qlCalendarAdvance(Calendar,O1622,N1623,"f",FALSE)</f>
        <v>50536</v>
      </c>
      <c r="P1623" s="140">
        <f>_xll.qlInterestRateIndexValueDate(IborIndex,O1623)</f>
        <v>50538</v>
      </c>
      <c r="Q1623" s="141">
        <v>2.15474275777915E-2</v>
      </c>
      <c r="R1623" s="143">
        <v>2.1540020524275505E-2</v>
      </c>
    </row>
    <row r="1624" spans="14:18" x14ac:dyDescent="0.2">
      <c r="N1624" s="139" t="str">
        <f t="shared" si="32"/>
        <v>1w</v>
      </c>
      <c r="O1624" s="146">
        <f>_xll.qlCalendarAdvance(Calendar,O1623,N1624,"f",FALSE)</f>
        <v>50543</v>
      </c>
      <c r="P1624" s="140">
        <f>_xll.qlInterestRateIndexValueDate(IborIndex,O1624)</f>
        <v>50545</v>
      </c>
      <c r="Q1624" s="141">
        <v>2.1539613810417912E-2</v>
      </c>
      <c r="R1624" s="143">
        <v>2.1532326812527813E-2</v>
      </c>
    </row>
    <row r="1625" spans="14:18" x14ac:dyDescent="0.2">
      <c r="N1625" s="139" t="str">
        <f t="shared" si="32"/>
        <v>1w</v>
      </c>
      <c r="O1625" s="146">
        <f>_xll.qlCalendarAdvance(Calendar,O1624,N1625,"f",FALSE)</f>
        <v>50550</v>
      </c>
      <c r="P1625" s="140">
        <f>_xll.qlInterestRateIndexValueDate(IborIndex,O1625)</f>
        <v>50552</v>
      </c>
      <c r="Q1625" s="141">
        <v>2.1531884839744442E-2</v>
      </c>
      <c r="R1625" s="143">
        <v>2.1524625172721912E-2</v>
      </c>
    </row>
    <row r="1626" spans="14:18" x14ac:dyDescent="0.2">
      <c r="N1626" s="139" t="str">
        <f t="shared" si="32"/>
        <v>1w</v>
      </c>
      <c r="O1626" s="146">
        <f>_xll.qlCalendarAdvance(Calendar,O1625,N1626,"f",FALSE)</f>
        <v>50557</v>
      </c>
      <c r="P1626" s="140">
        <f>_xll.qlInterestRateIndexValueDate(IborIndex,O1626)</f>
        <v>50560</v>
      </c>
      <c r="Q1626" s="141">
        <v>2.1522952415810859E-2</v>
      </c>
      <c r="R1626" s="143">
        <v>2.1515813590857746E-2</v>
      </c>
    </row>
    <row r="1627" spans="14:18" x14ac:dyDescent="0.2">
      <c r="N1627" s="139" t="str">
        <f t="shared" si="32"/>
        <v>1w</v>
      </c>
      <c r="O1627" s="146">
        <f>_xll.qlCalendarAdvance(Calendar,O1626,N1627,"f",FALSE)</f>
        <v>50564</v>
      </c>
      <c r="P1627" s="140">
        <f>_xll.qlInterestRateIndexValueDate(IborIndex,O1627)</f>
        <v>50566</v>
      </c>
      <c r="Q1627" s="141">
        <v>2.151640308548336E-2</v>
      </c>
      <c r="R1627" s="143">
        <v>2.1508094962241486E-2</v>
      </c>
    </row>
    <row r="1628" spans="14:18" x14ac:dyDescent="0.2">
      <c r="N1628" s="139" t="str">
        <f t="shared" si="32"/>
        <v>1w</v>
      </c>
      <c r="O1628" s="146">
        <f>_xll.qlCalendarAdvance(Calendar,O1627,N1628,"f",FALSE)</f>
        <v>50571</v>
      </c>
      <c r="P1628" s="140">
        <f>_xll.qlInterestRateIndexValueDate(IborIndex,O1628)</f>
        <v>50573</v>
      </c>
      <c r="Q1628" s="141">
        <v>2.1508650301928223E-2</v>
      </c>
      <c r="R1628" s="143">
        <v>2.1501472684795075E-2</v>
      </c>
    </row>
    <row r="1629" spans="14:18" x14ac:dyDescent="0.2">
      <c r="N1629" s="139" t="str">
        <f t="shared" si="32"/>
        <v>1w</v>
      </c>
      <c r="O1629" s="146">
        <f>_xll.qlCalendarAdvance(Calendar,O1628,N1629,"f",FALSE)</f>
        <v>50578</v>
      </c>
      <c r="P1629" s="140">
        <f>_xll.qlInterestRateIndexValueDate(IborIndex,O1629)</f>
        <v>50580</v>
      </c>
      <c r="Q1629" s="141">
        <v>2.1500889580780003E-2</v>
      </c>
      <c r="R1629" s="143">
        <v>2.1492633920914272E-2</v>
      </c>
    </row>
    <row r="1630" spans="14:18" x14ac:dyDescent="0.2">
      <c r="N1630" s="139" t="str">
        <f t="shared" si="32"/>
        <v>1w</v>
      </c>
      <c r="O1630" s="146">
        <f>_xll.qlCalendarAdvance(Calendar,O1629,N1630,"f",FALSE)</f>
        <v>50585</v>
      </c>
      <c r="P1630" s="140">
        <f>_xll.qlInterestRateIndexValueDate(IborIndex,O1630)</f>
        <v>50587</v>
      </c>
      <c r="Q1630" s="141">
        <v>2.149312092205119E-2</v>
      </c>
      <c r="R1630" s="143">
        <v>2.1485998052499511E-2</v>
      </c>
    </row>
    <row r="1631" spans="14:18" x14ac:dyDescent="0.2">
      <c r="N1631" s="139" t="str">
        <f t="shared" si="32"/>
        <v>1w</v>
      </c>
      <c r="O1631" s="146">
        <f>_xll.qlCalendarAdvance(Calendar,O1630,N1631,"f",FALSE)</f>
        <v>50592</v>
      </c>
      <c r="P1631" s="140">
        <f>_xll.qlInterestRateIndexValueDate(IborIndex,O1631)</f>
        <v>50594</v>
      </c>
      <c r="Q1631" s="141">
        <v>2.148534432575927E-2</v>
      </c>
      <c r="R1631" s="143">
        <v>2.1478248844184478E-2</v>
      </c>
    </row>
    <row r="1632" spans="14:18" x14ac:dyDescent="0.2">
      <c r="N1632" s="139" t="str">
        <f t="shared" si="32"/>
        <v>1w</v>
      </c>
      <c r="O1632" s="146">
        <f>_xll.qlCalendarAdvance(Calendar,O1631,N1632,"f",FALSE)</f>
        <v>50599</v>
      </c>
      <c r="P1632" s="140">
        <f>_xll.qlInterestRateIndexValueDate(IborIndex,O1632)</f>
        <v>50601</v>
      </c>
      <c r="Q1632" s="141">
        <v>2.1477559791926726E-2</v>
      </c>
      <c r="R1632" s="143">
        <v>2.1470491707811235E-2</v>
      </c>
    </row>
    <row r="1633" spans="14:18" x14ac:dyDescent="0.2">
      <c r="N1633" s="139" t="str">
        <f t="shared" si="32"/>
        <v>1w</v>
      </c>
      <c r="O1633" s="146">
        <f>_xll.qlCalendarAdvance(Calendar,O1632,N1633,"f",FALSE)</f>
        <v>50606</v>
      </c>
      <c r="P1633" s="140">
        <f>_xll.qlInterestRateIndexValueDate(IborIndex,O1633)</f>
        <v>50608</v>
      </c>
      <c r="Q1633" s="141">
        <v>2.1469767320563549E-2</v>
      </c>
      <c r="R1633" s="143">
        <v>2.1462726643299845E-2</v>
      </c>
    </row>
    <row r="1634" spans="14:18" x14ac:dyDescent="0.2">
      <c r="N1634" s="139" t="str">
        <f t="shared" si="32"/>
        <v>1w</v>
      </c>
      <c r="O1634" s="146">
        <f>_xll.qlCalendarAdvance(Calendar,O1633,N1634,"f",FALSE)</f>
        <v>50613</v>
      </c>
      <c r="P1634" s="140">
        <f>_xll.qlInterestRateIndexValueDate(IborIndex,O1634)</f>
        <v>50615</v>
      </c>
      <c r="Q1634" s="141">
        <v>2.1461966911689723E-2</v>
      </c>
      <c r="R1634" s="143">
        <v>2.1454953650810182E-2</v>
      </c>
    </row>
    <row r="1635" spans="14:18" x14ac:dyDescent="0.2">
      <c r="N1635" s="139" t="str">
        <f t="shared" si="32"/>
        <v>1w</v>
      </c>
      <c r="O1635" s="146">
        <f>_xll.qlCalendarAdvance(Calendar,O1634,N1635,"f",FALSE)</f>
        <v>50620</v>
      </c>
      <c r="P1635" s="140">
        <f>_xll.qlInterestRateIndexValueDate(IborIndex,O1635)</f>
        <v>50622</v>
      </c>
      <c r="Q1635" s="141">
        <v>2.1454158565320236E-2</v>
      </c>
      <c r="R1635" s="143">
        <v>2.1447172730262309E-2</v>
      </c>
    </row>
    <row r="1636" spans="14:18" x14ac:dyDescent="0.2">
      <c r="N1636" s="139" t="str">
        <f t="shared" si="32"/>
        <v>1w</v>
      </c>
      <c r="O1636" s="146">
        <f>_xll.qlCalendarAdvance(Calendar,O1635,N1636,"f",FALSE)</f>
        <v>50627</v>
      </c>
      <c r="P1636" s="140">
        <f>_xll.qlInterestRateIndexValueDate(IborIndex,O1636)</f>
        <v>50629</v>
      </c>
      <c r="Q1636" s="141">
        <v>2.1446342281470077E-2</v>
      </c>
      <c r="R1636" s="143">
        <v>2.1439383881496354E-2</v>
      </c>
    </row>
    <row r="1637" spans="14:18" x14ac:dyDescent="0.2">
      <c r="N1637" s="139" t="str">
        <f t="shared" si="32"/>
        <v>1w</v>
      </c>
      <c r="O1637" s="146">
        <f>_xll.qlCalendarAdvance(Calendar,O1636,N1637,"f",FALSE)</f>
        <v>50634</v>
      </c>
      <c r="P1637" s="140">
        <f>_xll.qlInterestRateIndexValueDate(IborIndex,O1637)</f>
        <v>50636</v>
      </c>
      <c r="Q1637" s="141">
        <v>2.143851806015673E-2</v>
      </c>
      <c r="R1637" s="143">
        <v>2.1431587104752126E-2</v>
      </c>
    </row>
    <row r="1638" spans="14:18" x14ac:dyDescent="0.2">
      <c r="N1638" s="139" t="str">
        <f t="shared" si="32"/>
        <v>1w</v>
      </c>
      <c r="O1638" s="146">
        <f>_xll.qlCalendarAdvance(Calendar,O1637,N1638,"f",FALSE)</f>
        <v>50641</v>
      </c>
      <c r="P1638" s="140">
        <f>_xll.qlInterestRateIndexValueDate(IborIndex,O1638)</f>
        <v>50643</v>
      </c>
      <c r="Q1638" s="141">
        <v>2.1430685901400182E-2</v>
      </c>
      <c r="R1638" s="143">
        <v>2.1423782399869751E-2</v>
      </c>
    </row>
    <row r="1639" spans="14:18" x14ac:dyDescent="0.2">
      <c r="N1639" s="139" t="str">
        <f t="shared" si="32"/>
        <v>1w</v>
      </c>
      <c r="O1639" s="146">
        <f>_xll.qlCalendarAdvance(Calendar,O1638,N1639,"f",FALSE)</f>
        <v>50648</v>
      </c>
      <c r="P1639" s="140">
        <f>_xll.qlInterestRateIndexValueDate(IborIndex,O1639)</f>
        <v>50650</v>
      </c>
      <c r="Q1639" s="141">
        <v>2.142284580521292E-2</v>
      </c>
      <c r="R1639" s="143">
        <v>2.1415969766929166E-2</v>
      </c>
    </row>
    <row r="1640" spans="14:18" x14ac:dyDescent="0.2">
      <c r="N1640" s="139" t="str">
        <f t="shared" si="32"/>
        <v>1w</v>
      </c>
      <c r="O1640" s="146">
        <f>_xll.qlCalendarAdvance(Calendar,O1639,N1640,"f",FALSE)</f>
        <v>50655</v>
      </c>
      <c r="P1640" s="140">
        <f>_xll.qlInterestRateIndexValueDate(IborIndex,O1640)</f>
        <v>50657</v>
      </c>
      <c r="Q1640" s="141">
        <v>2.1414997771609934E-2</v>
      </c>
      <c r="R1640" s="143">
        <v>2.1408149205930371E-2</v>
      </c>
    </row>
    <row r="1641" spans="14:18" x14ac:dyDescent="0.2">
      <c r="N1641" s="139" t="str">
        <f t="shared" si="32"/>
        <v>1w</v>
      </c>
      <c r="O1641" s="146">
        <f>_xll.qlCalendarAdvance(Calendar,O1640,N1641,"f",FALSE)</f>
        <v>50662</v>
      </c>
      <c r="P1641" s="140">
        <f>_xll.qlInterestRateIndexValueDate(IborIndex,O1641)</f>
        <v>50664</v>
      </c>
      <c r="Q1641" s="141">
        <v>2.1407141800613705E-2</v>
      </c>
      <c r="R1641" s="143">
        <v>2.1400320716873367E-2</v>
      </c>
    </row>
    <row r="1642" spans="14:18" x14ac:dyDescent="0.2">
      <c r="N1642" s="139" t="str">
        <f t="shared" si="32"/>
        <v>1w</v>
      </c>
      <c r="O1642" s="146">
        <f>_xll.qlCalendarAdvance(Calendar,O1641,N1642,"f",FALSE)</f>
        <v>50669</v>
      </c>
      <c r="P1642" s="140">
        <f>_xll.qlInterestRateIndexValueDate(IborIndex,O1642)</f>
        <v>50671</v>
      </c>
      <c r="Q1642" s="141">
        <v>2.1399277892234225E-2</v>
      </c>
      <c r="R1642" s="143">
        <v>2.1392484299678216E-2</v>
      </c>
    </row>
    <row r="1643" spans="14:18" x14ac:dyDescent="0.2">
      <c r="N1643" s="139" t="str">
        <f t="shared" si="32"/>
        <v>1w</v>
      </c>
      <c r="O1643" s="146">
        <f>_xll.qlCalendarAdvance(Calendar,O1642,N1643,"f",FALSE)</f>
        <v>50676</v>
      </c>
      <c r="P1643" s="140">
        <f>_xll.qlInterestRateIndexValueDate(IborIndex,O1643)</f>
        <v>50678</v>
      </c>
      <c r="Q1643" s="141">
        <v>2.139118916010194E-2</v>
      </c>
      <c r="R1643" s="143">
        <v>2.1384639954424856E-2</v>
      </c>
    </row>
    <row r="1644" spans="14:18" x14ac:dyDescent="0.2">
      <c r="N1644" s="139" t="str">
        <f t="shared" si="32"/>
        <v>1w</v>
      </c>
      <c r="O1644" s="146">
        <f>_xll.qlCalendarAdvance(Calendar,O1643,N1644,"f",FALSE)</f>
        <v>50683</v>
      </c>
      <c r="P1644" s="140">
        <f>_xll.qlInterestRateIndexValueDate(IborIndex,O1644)</f>
        <v>50685</v>
      </c>
      <c r="Q1644" s="141">
        <v>2.1383526263407948E-2</v>
      </c>
      <c r="R1644" s="143">
        <v>2.1376787681113285E-2</v>
      </c>
    </row>
    <row r="1645" spans="14:18" x14ac:dyDescent="0.2">
      <c r="N1645" s="139" t="str">
        <f t="shared" si="32"/>
        <v>1w</v>
      </c>
      <c r="O1645" s="146">
        <f>_xll.qlCalendarAdvance(Calendar,O1644,N1645,"f",FALSE)</f>
        <v>50690</v>
      </c>
      <c r="P1645" s="140">
        <f>_xll.qlInterestRateIndexValueDate(IborIndex,O1645)</f>
        <v>50692</v>
      </c>
      <c r="Q1645" s="141">
        <v>2.1375638542991127E-2</v>
      </c>
      <c r="R1645" s="143">
        <v>2.1368927479663569E-2</v>
      </c>
    </row>
    <row r="1646" spans="14:18" x14ac:dyDescent="0.2">
      <c r="N1646" s="139" t="str">
        <f t="shared" si="32"/>
        <v>1w</v>
      </c>
      <c r="O1646" s="146">
        <f>_xll.qlCalendarAdvance(Calendar,O1645,N1646,"f",FALSE)</f>
        <v>50697</v>
      </c>
      <c r="P1646" s="140">
        <f>_xll.qlInterestRateIndexValueDate(IborIndex,O1646)</f>
        <v>50699</v>
      </c>
      <c r="Q1646" s="141">
        <v>2.1367742885260999E-2</v>
      </c>
      <c r="R1646" s="143">
        <v>2.1361059350235578E-2</v>
      </c>
    </row>
    <row r="1647" spans="14:18" x14ac:dyDescent="0.2">
      <c r="N1647" s="139" t="str">
        <f t="shared" si="32"/>
        <v>1w</v>
      </c>
      <c r="O1647" s="146">
        <f>_xll.qlCalendarAdvance(Calendar,O1646,N1647,"f",FALSE)</f>
        <v>50704</v>
      </c>
      <c r="P1647" s="140">
        <f>_xll.qlInterestRateIndexValueDate(IborIndex,O1647)</f>
        <v>50706</v>
      </c>
      <c r="Q1647" s="141">
        <v>2.135983929023505E-2</v>
      </c>
      <c r="R1647" s="143">
        <v>2.1353183292749378E-2</v>
      </c>
    </row>
    <row r="1648" spans="14:18" x14ac:dyDescent="0.2">
      <c r="N1648" s="139" t="str">
        <f t="shared" si="32"/>
        <v>1w</v>
      </c>
      <c r="O1648" s="146">
        <f>_xll.qlCalendarAdvance(Calendar,O1647,N1648,"f",FALSE)</f>
        <v>50711</v>
      </c>
      <c r="P1648" s="140">
        <f>_xll.qlInterestRateIndexValueDate(IborIndex,O1648)</f>
        <v>50713</v>
      </c>
      <c r="Q1648" s="141">
        <v>2.1351927757928268E-2</v>
      </c>
      <c r="R1648" s="143">
        <v>2.1345299307125032E-2</v>
      </c>
    </row>
    <row r="1649" spans="14:18" x14ac:dyDescent="0.2">
      <c r="N1649" s="139" t="str">
        <f t="shared" si="32"/>
        <v>1w</v>
      </c>
      <c r="O1649" s="146">
        <f>_xll.qlCalendarAdvance(Calendar,O1648,N1649,"f",FALSE)</f>
        <v>50718</v>
      </c>
      <c r="P1649" s="140">
        <f>_xll.qlInterestRateIndexValueDate(IborIndex,O1649)</f>
        <v>50720</v>
      </c>
      <c r="Q1649" s="141">
        <v>2.1344008288358141E-2</v>
      </c>
      <c r="R1649" s="143">
        <v>2.1337407393442476E-2</v>
      </c>
    </row>
    <row r="1650" spans="14:18" x14ac:dyDescent="0.2">
      <c r="N1650" s="139" t="str">
        <f t="shared" si="32"/>
        <v>1w</v>
      </c>
      <c r="O1650" s="146">
        <f>_xll.qlCalendarAdvance(Calendar,O1649,N1650,"f",FALSE)</f>
        <v>50725</v>
      </c>
      <c r="P1650" s="140">
        <f>_xll.qlInterestRateIndexValueDate(IborIndex,O1650)</f>
        <v>50727</v>
      </c>
      <c r="Q1650" s="141">
        <v>2.1336080881542152E-2</v>
      </c>
      <c r="R1650" s="143">
        <v>2.1329507551621774E-2</v>
      </c>
    </row>
    <row r="1651" spans="14:18" x14ac:dyDescent="0.2">
      <c r="N1651" s="139" t="str">
        <f t="shared" si="32"/>
        <v>1w</v>
      </c>
      <c r="O1651" s="146">
        <f>_xll.qlCalendarAdvance(Calendar,O1650,N1651,"f",FALSE)</f>
        <v>50732</v>
      </c>
      <c r="P1651" s="140">
        <f>_xll.qlInterestRateIndexValueDate(IborIndex,O1651)</f>
        <v>50734</v>
      </c>
      <c r="Q1651" s="141">
        <v>2.1328145537495291E-2</v>
      </c>
      <c r="R1651" s="143">
        <v>2.1321599781742862E-2</v>
      </c>
    </row>
    <row r="1652" spans="14:18" x14ac:dyDescent="0.2">
      <c r="N1652" s="139" t="str">
        <f t="shared" si="32"/>
        <v>1w</v>
      </c>
      <c r="O1652" s="146">
        <f>_xll.qlCalendarAdvance(Calendar,O1651,N1652,"f",FALSE)</f>
        <v>50739</v>
      </c>
      <c r="P1652" s="140">
        <f>_xll.qlInterestRateIndexValueDate(IborIndex,O1652)</f>
        <v>50741</v>
      </c>
      <c r="Q1652" s="141">
        <v>2.1320202256237542E-2</v>
      </c>
      <c r="R1652" s="143">
        <v>2.1313684083965612E-2</v>
      </c>
    </row>
    <row r="1653" spans="14:18" x14ac:dyDescent="0.2">
      <c r="N1653" s="139" t="str">
        <f t="shared" si="32"/>
        <v>1w</v>
      </c>
      <c r="O1653" s="146">
        <f>_xll.qlCalendarAdvance(Calendar,O1652,N1653,"f",FALSE)</f>
        <v>50746</v>
      </c>
      <c r="P1653" s="140">
        <f>_xll.qlInterestRateIndexValueDate(IborIndex,O1653)</f>
        <v>50748</v>
      </c>
      <c r="Q1653" s="141">
        <v>2.1312251037783891E-2</v>
      </c>
      <c r="R1653" s="143">
        <v>2.130576045797028E-2</v>
      </c>
    </row>
    <row r="1654" spans="14:18" x14ac:dyDescent="0.2">
      <c r="N1654" s="139" t="str">
        <f t="shared" si="32"/>
        <v>1w</v>
      </c>
      <c r="O1654" s="146">
        <f>_xll.qlCalendarAdvance(Calendar,O1653,N1654,"f",FALSE)</f>
        <v>50753</v>
      </c>
      <c r="P1654" s="140">
        <f>_xll.qlInterestRateIndexValueDate(IborIndex,O1654)</f>
        <v>50755</v>
      </c>
      <c r="Q1654" s="141">
        <v>2.1304291882149329E-2</v>
      </c>
      <c r="R1654" s="143">
        <v>2.1297828903996674E-2</v>
      </c>
    </row>
    <row r="1655" spans="14:18" x14ac:dyDescent="0.2">
      <c r="N1655" s="139" t="str">
        <f t="shared" si="32"/>
        <v>1w</v>
      </c>
      <c r="O1655" s="146">
        <f>_xll.qlCalendarAdvance(Calendar,O1654,N1655,"f",FALSE)</f>
        <v>50760</v>
      </c>
      <c r="P1655" s="140">
        <f>_xll.qlInterestRateIndexValueDate(IborIndex,O1655)</f>
        <v>50762</v>
      </c>
      <c r="Q1655" s="141">
        <v>2.129632478935134E-2</v>
      </c>
      <c r="R1655" s="143">
        <v>2.1288754562878154E-2</v>
      </c>
    </row>
    <row r="1656" spans="14:18" x14ac:dyDescent="0.2">
      <c r="N1656" s="139" t="str">
        <f t="shared" si="32"/>
        <v>1w</v>
      </c>
      <c r="O1656" s="146">
        <f>_xll.qlCalendarAdvance(Calendar,O1655,N1656,"f",FALSE)</f>
        <v>50767</v>
      </c>
      <c r="P1656" s="140">
        <f>_xll.qlInterestRateIndexValueDate(IborIndex,O1656)</f>
        <v>50769</v>
      </c>
      <c r="Q1656" s="141">
        <v>2.1288349759412406E-2</v>
      </c>
      <c r="R1656" s="143">
        <v>2.128080602009419E-2</v>
      </c>
    </row>
    <row r="1657" spans="14:18" x14ac:dyDescent="0.2">
      <c r="N1657" s="139" t="str">
        <f t="shared" si="32"/>
        <v>1w</v>
      </c>
      <c r="O1657" s="146">
        <f>_xll.qlCalendarAdvance(Calendar,O1656,N1657,"f",FALSE)</f>
        <v>50774</v>
      </c>
      <c r="P1657" s="140">
        <f>_xll.qlInterestRateIndexValueDate(IborIndex,O1657)</f>
        <v>50777</v>
      </c>
      <c r="Q1657" s="141">
        <v>2.1279168180542464E-2</v>
      </c>
      <c r="R1657" s="143">
        <v>2.1272849549331951E-2</v>
      </c>
    </row>
    <row r="1658" spans="14:18" x14ac:dyDescent="0.2">
      <c r="N1658" s="139" t="str">
        <f t="shared" si="32"/>
        <v>1w</v>
      </c>
      <c r="O1658" s="146">
        <f>_xll.qlCalendarAdvance(Calendar,O1657,N1658,"f",FALSE)</f>
        <v>50781</v>
      </c>
      <c r="P1658" s="140">
        <f>_xll.qlInterestRateIndexValueDate(IborIndex,O1658)</f>
        <v>50783</v>
      </c>
      <c r="Q1658" s="141">
        <v>2.1272375888156669E-2</v>
      </c>
      <c r="R1658" s="143">
        <v>2.1266023407040535E-2</v>
      </c>
    </row>
    <row r="1659" spans="14:18" x14ac:dyDescent="0.2">
      <c r="N1659" s="139" t="str">
        <f t="shared" si="32"/>
        <v>1w</v>
      </c>
      <c r="O1659" s="146">
        <f>_xll.qlCalendarAdvance(Calendar,O1658,N1659,"f",FALSE)</f>
        <v>50788</v>
      </c>
      <c r="P1659" s="140">
        <f>_xll.qlInterestRateIndexValueDate(IborIndex,O1659)</f>
        <v>50790</v>
      </c>
      <c r="Q1659" s="141">
        <v>2.1264377046882332E-2</v>
      </c>
      <c r="R1659" s="143">
        <v>2.1258052212695944E-2</v>
      </c>
    </row>
    <row r="1660" spans="14:18" x14ac:dyDescent="0.2">
      <c r="N1660" s="139" t="str">
        <f t="shared" si="32"/>
        <v>1w</v>
      </c>
      <c r="O1660" s="146">
        <f>_xll.qlCalendarAdvance(Calendar,O1659,N1660,"f",FALSE)</f>
        <v>50795</v>
      </c>
      <c r="P1660" s="140">
        <f>_xll.qlInterestRateIndexValueDate(IborIndex,O1660)</f>
        <v>50797</v>
      </c>
      <c r="Q1660" s="141">
        <v>2.1256370268527003E-2</v>
      </c>
      <c r="R1660" s="143">
        <v>2.1250073090213206E-2</v>
      </c>
    </row>
    <row r="1661" spans="14:18" x14ac:dyDescent="0.2">
      <c r="N1661" s="139" t="str">
        <f t="shared" si="32"/>
        <v>1w</v>
      </c>
      <c r="O1661" s="146">
        <f>_xll.qlCalendarAdvance(Calendar,O1660,N1661,"f",FALSE)</f>
        <v>50802</v>
      </c>
      <c r="P1661" s="140">
        <f>_xll.qlInterestRateIndexValueDate(IborIndex,O1661)</f>
        <v>50804</v>
      </c>
      <c r="Q1661" s="141">
        <v>2.12481408445012E-2</v>
      </c>
      <c r="R1661" s="143">
        <v>2.1242086039672259E-2</v>
      </c>
    </row>
    <row r="1662" spans="14:18" x14ac:dyDescent="0.2">
      <c r="N1662" s="139" t="str">
        <f t="shared" si="32"/>
        <v>1w</v>
      </c>
      <c r="O1662" s="146">
        <f>_xll.qlCalendarAdvance(Calendar,O1661,N1662,"f",FALSE)</f>
        <v>50809</v>
      </c>
      <c r="P1662" s="140">
        <f>_xll.qlInterestRateIndexValueDate(IborIndex,O1662)</f>
        <v>50811</v>
      </c>
      <c r="Q1662" s="141">
        <v>2.1240122351157607E-2</v>
      </c>
      <c r="R1662" s="143">
        <v>2.1234091061153038E-2</v>
      </c>
    </row>
    <row r="1663" spans="14:18" x14ac:dyDescent="0.2">
      <c r="N1663" s="139" t="str">
        <f t="shared" si="32"/>
        <v>1w</v>
      </c>
      <c r="O1663" s="146">
        <f>_xll.qlCalendarAdvance(Calendar,O1662,N1663,"f",FALSE)</f>
        <v>50816</v>
      </c>
      <c r="P1663" s="140">
        <f>_xll.qlInterestRateIndexValueDate(IborIndex,O1663)</f>
        <v>50818</v>
      </c>
      <c r="Q1663" s="141">
        <v>2.1232095921942053E-2</v>
      </c>
      <c r="R1663" s="143">
        <v>2.1226088154415734E-2</v>
      </c>
    </row>
    <row r="1664" spans="14:18" x14ac:dyDescent="0.2">
      <c r="N1664" s="139" t="str">
        <f t="shared" si="32"/>
        <v>1w</v>
      </c>
      <c r="O1664" s="146">
        <f>_xll.qlCalendarAdvance(Calendar,O1663,N1664,"f",FALSE)</f>
        <v>50823</v>
      </c>
      <c r="P1664" s="140">
        <f>_xll.qlInterestRateIndexValueDate(IborIndex,O1664)</f>
        <v>50825</v>
      </c>
      <c r="Q1664" s="141">
        <v>2.1224061556860248E-2</v>
      </c>
      <c r="R1664" s="143">
        <v>2.1218077319780093E-2</v>
      </c>
    </row>
    <row r="1665" spans="14:18" x14ac:dyDescent="0.2">
      <c r="N1665" s="139" t="str">
        <f t="shared" si="32"/>
        <v>1w</v>
      </c>
      <c r="O1665" s="146">
        <f>_xll.qlCalendarAdvance(Calendar,O1664,N1665,"f",FALSE)</f>
        <v>50830</v>
      </c>
      <c r="P1665" s="140">
        <f>_xll.qlInterestRateIndexValueDate(IborIndex,O1665)</f>
        <v>50832</v>
      </c>
      <c r="Q1665" s="141">
        <v>2.1216217321172459E-2</v>
      </c>
      <c r="R1665" s="143">
        <v>2.1210058557006306E-2</v>
      </c>
    </row>
    <row r="1666" spans="14:18" x14ac:dyDescent="0.2">
      <c r="N1666" s="139" t="str">
        <f t="shared" si="32"/>
        <v>1w</v>
      </c>
      <c r="O1666" s="146">
        <f>_xll.qlCalendarAdvance(Calendar,O1665,N1666,"f",FALSE)</f>
        <v>50837</v>
      </c>
      <c r="P1666" s="140">
        <f>_xll.qlInterestRateIndexValueDate(IborIndex,O1666)</f>
        <v>50839</v>
      </c>
      <c r="Q1666" s="141">
        <v>2.1208211152839693E-2</v>
      </c>
      <c r="R1666" s="143">
        <v>2.1202031866174309E-2</v>
      </c>
    </row>
    <row r="1667" spans="14:18" x14ac:dyDescent="0.2">
      <c r="N1667" s="139" t="str">
        <f t="shared" si="32"/>
        <v>1w</v>
      </c>
      <c r="O1667" s="146">
        <f>_xll.qlCalendarAdvance(Calendar,O1666,N1667,"f",FALSE)</f>
        <v>50844</v>
      </c>
      <c r="P1667" s="140">
        <f>_xll.qlInterestRateIndexValueDate(IborIndex,O1667)</f>
        <v>50846</v>
      </c>
      <c r="Q1667" s="141">
        <v>2.1200100583275705E-2</v>
      </c>
      <c r="R1667" s="143">
        <v>2.1193997247284102E-2</v>
      </c>
    </row>
    <row r="1668" spans="14:18" x14ac:dyDescent="0.2">
      <c r="N1668" s="139" t="str">
        <f t="shared" si="32"/>
        <v>1w</v>
      </c>
      <c r="O1668" s="146">
        <f>_xll.qlCalendarAdvance(Calendar,O1667,N1668,"f",FALSE)</f>
        <v>50851</v>
      </c>
      <c r="P1668" s="140">
        <f>_xll.qlInterestRateIndexValueDate(IborIndex,O1668)</f>
        <v>50853</v>
      </c>
      <c r="Q1668" s="141">
        <v>2.1192030308909426E-2</v>
      </c>
      <c r="R1668" s="143">
        <v>2.1185954700335685E-2</v>
      </c>
    </row>
    <row r="1669" spans="14:18" x14ac:dyDescent="0.2">
      <c r="N1669" s="139" t="str">
        <f t="shared" si="32"/>
        <v>1w</v>
      </c>
      <c r="O1669" s="146">
        <f>_xll.qlCalendarAdvance(Calendar,O1668,N1669,"f",FALSE)</f>
        <v>50858</v>
      </c>
      <c r="P1669" s="140">
        <f>_xll.qlInterestRateIndexValueDate(IborIndex,O1669)</f>
        <v>50860</v>
      </c>
      <c r="Q1669" s="141">
        <v>2.1183816191205906E-2</v>
      </c>
      <c r="R1669" s="143">
        <v>2.1177904225249122E-2</v>
      </c>
    </row>
    <row r="1670" spans="14:18" x14ac:dyDescent="0.2">
      <c r="N1670" s="139" t="str">
        <f t="shared" si="32"/>
        <v>1w</v>
      </c>
      <c r="O1670" s="146">
        <f>_xll.qlCalendarAdvance(Calendar,O1669,N1670,"f",FALSE)</f>
        <v>50865</v>
      </c>
      <c r="P1670" s="140">
        <f>_xll.qlInterestRateIndexValueDate(IborIndex,O1670)</f>
        <v>50867</v>
      </c>
      <c r="Q1670" s="141">
        <v>2.1175865949408512E-2</v>
      </c>
      <c r="R1670" s="143">
        <v>2.1167541965159131E-2</v>
      </c>
    </row>
    <row r="1671" spans="14:18" x14ac:dyDescent="0.2">
      <c r="N1671" s="139" t="str">
        <f t="shared" si="32"/>
        <v>1w</v>
      </c>
      <c r="O1671" s="146">
        <f>_xll.qlCalendarAdvance(Calendar,O1670,N1671,"f",FALSE)</f>
        <v>50872</v>
      </c>
      <c r="P1671" s="140">
        <f>_xll.qlInterestRateIndexValueDate(IborIndex,O1671)</f>
        <v>50874</v>
      </c>
      <c r="Q1671" s="141">
        <v>2.1167771864316343E-2</v>
      </c>
      <c r="R1671" s="143">
        <v>2.1161779491061239E-2</v>
      </c>
    </row>
    <row r="1672" spans="14:18" x14ac:dyDescent="0.2">
      <c r="N1672" s="139" t="str">
        <f t="shared" si="32"/>
        <v>1w</v>
      </c>
      <c r="O1672" s="146">
        <f>_xll.qlCalendarAdvance(Calendar,O1671,N1672,"f",FALSE)</f>
        <v>50879</v>
      </c>
      <c r="P1672" s="140">
        <f>_xll.qlInterestRateIndexValueDate(IborIndex,O1672)</f>
        <v>50881</v>
      </c>
      <c r="Q1672" s="141">
        <v>2.1159669842348017E-2</v>
      </c>
      <c r="R1672" s="143">
        <v>2.1153705231800046E-2</v>
      </c>
    </row>
    <row r="1673" spans="14:18" x14ac:dyDescent="0.2">
      <c r="N1673" s="139" t="str">
        <f t="shared" si="32"/>
        <v>1w</v>
      </c>
      <c r="O1673" s="146">
        <f>_xll.qlCalendarAdvance(Calendar,O1672,N1673,"f",FALSE)</f>
        <v>50886</v>
      </c>
      <c r="P1673" s="140">
        <f>_xll.qlInterestRateIndexValueDate(IborIndex,O1673)</f>
        <v>50888</v>
      </c>
      <c r="Q1673" s="141">
        <v>2.1151600819981908E-2</v>
      </c>
      <c r="R1673" s="143">
        <v>2.114562304456058E-2</v>
      </c>
    </row>
    <row r="1674" spans="14:18" x14ac:dyDescent="0.2">
      <c r="N1674" s="139" t="str">
        <f t="shared" si="32"/>
        <v>1w</v>
      </c>
      <c r="O1674" s="146">
        <f>_xll.qlCalendarAdvance(Calendar,O1673,N1674,"f",FALSE)</f>
        <v>50893</v>
      </c>
      <c r="P1674" s="140">
        <f>_xll.qlInterestRateIndexValueDate(IborIndex,O1674)</f>
        <v>50895</v>
      </c>
      <c r="Q1674" s="141">
        <v>2.1143441987860334E-2</v>
      </c>
      <c r="R1674" s="143">
        <v>2.1137532929262903E-2</v>
      </c>
    </row>
    <row r="1675" spans="14:18" x14ac:dyDescent="0.2">
      <c r="N1675" s="139" t="str">
        <f t="shared" si="32"/>
        <v>1w</v>
      </c>
      <c r="O1675" s="146">
        <f>_xll.qlCalendarAdvance(Calendar,O1674,N1675,"f",FALSE)</f>
        <v>50900</v>
      </c>
      <c r="P1675" s="140">
        <f>_xll.qlInterestRateIndexValueDate(IborIndex,O1675)</f>
        <v>50902</v>
      </c>
      <c r="Q1675" s="141">
        <v>2.1135316155375949E-2</v>
      </c>
      <c r="R1675" s="143">
        <v>2.1129434885907017E-2</v>
      </c>
    </row>
    <row r="1676" spans="14:18" x14ac:dyDescent="0.2">
      <c r="N1676" s="139" t="str">
        <f t="shared" si="32"/>
        <v>1w</v>
      </c>
      <c r="O1676" s="146">
        <f>_xll.qlCalendarAdvance(Calendar,O1675,N1676,"f",FALSE)</f>
        <v>50907</v>
      </c>
      <c r="P1676" s="140">
        <f>_xll.qlInterestRateIndexValueDate(IborIndex,O1676)</f>
        <v>50910</v>
      </c>
      <c r="Q1676" s="141">
        <v>2.1125982016798963E-2</v>
      </c>
      <c r="R1676" s="143">
        <v>2.1120170271311522E-2</v>
      </c>
    </row>
    <row r="1677" spans="14:18" x14ac:dyDescent="0.2">
      <c r="N1677" s="139" t="str">
        <f t="shared" si="32"/>
        <v>1w</v>
      </c>
      <c r="O1677" s="146">
        <f>_xll.qlCalendarAdvance(Calendar,O1676,N1677,"f",FALSE)</f>
        <v>50914</v>
      </c>
      <c r="P1677" s="140">
        <f>_xll.qlInterestRateIndexValueDate(IborIndex,O1677)</f>
        <v>50916</v>
      </c>
      <c r="Q1677" s="141">
        <v>2.1119040680003531E-2</v>
      </c>
      <c r="R1677" s="143">
        <v>2.1112055239145278E-2</v>
      </c>
    </row>
    <row r="1678" spans="14:18" x14ac:dyDescent="0.2">
      <c r="N1678" s="139" t="str">
        <f t="shared" si="32"/>
        <v>1w</v>
      </c>
      <c r="O1678" s="146">
        <f>_xll.qlCalendarAdvance(Calendar,O1677,N1678,"f",FALSE)</f>
        <v>50921</v>
      </c>
      <c r="P1678" s="140">
        <f>_xll.qlInterestRateIndexValueDate(IborIndex,O1678)</f>
        <v>50923</v>
      </c>
      <c r="Q1678" s="141">
        <v>2.1110891037152968E-2</v>
      </c>
      <c r="R1678" s="143">
        <v>2.1105093187330226E-2</v>
      </c>
    </row>
    <row r="1679" spans="14:18" x14ac:dyDescent="0.2">
      <c r="N1679" s="139" t="str">
        <f t="shared" si="32"/>
        <v>1w</v>
      </c>
      <c r="O1679" s="146">
        <f>_xll.qlCalendarAdvance(Calendar,O1678,N1679,"f",FALSE)</f>
        <v>50928</v>
      </c>
      <c r="P1679" s="140">
        <f>_xll.qlInterestRateIndexValueDate(IborIndex,O1679)</f>
        <v>50930</v>
      </c>
      <c r="Q1679" s="141">
        <v>2.1102733457551148E-2</v>
      </c>
      <c r="R1679" s="143">
        <v>2.1096963431661564E-2</v>
      </c>
    </row>
    <row r="1680" spans="14:18" x14ac:dyDescent="0.2">
      <c r="N1680" s="139" t="str">
        <f t="shared" si="32"/>
        <v>1w</v>
      </c>
      <c r="O1680" s="146">
        <f>_xll.qlCalendarAdvance(Calendar,O1679,N1680,"f",FALSE)</f>
        <v>50935</v>
      </c>
      <c r="P1680" s="140">
        <f>_xll.qlInterestRateIndexValueDate(IborIndex,O1680)</f>
        <v>50937</v>
      </c>
      <c r="Q1680" s="141">
        <v>2.1094567941208064E-2</v>
      </c>
      <c r="R1680" s="143">
        <v>2.1088825748014628E-2</v>
      </c>
    </row>
    <row r="1681" spans="14:18" x14ac:dyDescent="0.2">
      <c r="N1681" s="139" t="str">
        <f t="shared" si="32"/>
        <v>1w</v>
      </c>
      <c r="O1681" s="146">
        <f>_xll.qlCalendarAdvance(Calendar,O1680,N1681,"f",FALSE)</f>
        <v>50942</v>
      </c>
      <c r="P1681" s="140">
        <f>_xll.qlInterestRateIndexValueDate(IborIndex,O1681)</f>
        <v>50944</v>
      </c>
      <c r="Q1681" s="141">
        <v>2.1086394488148696E-2</v>
      </c>
      <c r="R1681" s="143">
        <v>2.1079515830297879E-2</v>
      </c>
    </row>
    <row r="1682" spans="14:18" x14ac:dyDescent="0.2">
      <c r="N1682" s="139" t="str">
        <f t="shared" si="32"/>
        <v>1w</v>
      </c>
      <c r="O1682" s="146">
        <f>_xll.qlCalendarAdvance(Calendar,O1681,N1682,"f",FALSE)</f>
        <v>50949</v>
      </c>
      <c r="P1682" s="140">
        <f>_xll.qlInterestRateIndexValueDate(IborIndex,O1682)</f>
        <v>50951</v>
      </c>
      <c r="Q1682" s="141">
        <v>2.1078117899996706E-2</v>
      </c>
      <c r="R1682" s="143">
        <v>2.1072526596546126E-2</v>
      </c>
    </row>
    <row r="1683" spans="14:18" x14ac:dyDescent="0.2">
      <c r="N1683" s="139" t="str">
        <f t="shared" si="32"/>
        <v>1w</v>
      </c>
      <c r="O1683" s="146">
        <f>_xll.qlCalendarAdvance(Calendar,O1682,N1683,"f",FALSE)</f>
        <v>50956</v>
      </c>
      <c r="P1683" s="140">
        <f>_xll.qlInterestRateIndexValueDate(IborIndex,O1683)</f>
        <v>50958</v>
      </c>
      <c r="Q1683" s="141">
        <v>2.107002377194106E-2</v>
      </c>
      <c r="R1683" s="143">
        <v>2.106436512872456E-2</v>
      </c>
    </row>
    <row r="1684" spans="14:18" x14ac:dyDescent="0.2">
      <c r="N1684" s="139" t="str">
        <f t="shared" si="32"/>
        <v>1w</v>
      </c>
      <c r="O1684" s="146">
        <f>_xll.qlCalendarAdvance(Calendar,O1683,N1684,"f",FALSE)</f>
        <v>50963</v>
      </c>
      <c r="P1684" s="140">
        <f>_xll.qlInterestRateIndexValueDate(IborIndex,O1684)</f>
        <v>50965</v>
      </c>
      <c r="Q1684" s="141">
        <v>2.1061826508825265E-2</v>
      </c>
      <c r="R1684" s="143">
        <v>2.1056195732764849E-2</v>
      </c>
    </row>
    <row r="1685" spans="14:18" x14ac:dyDescent="0.2">
      <c r="N1685" s="139" t="str">
        <f t="shared" ref="N1685:N1748" si="33">N1684</f>
        <v>1w</v>
      </c>
      <c r="O1685" s="146">
        <f>_xll.qlCalendarAdvance(Calendar,O1684,N1685,"f",FALSE)</f>
        <v>50970</v>
      </c>
      <c r="P1685" s="140">
        <f>_xll.qlInterestRateIndexValueDate(IborIndex,O1685)</f>
        <v>50972</v>
      </c>
      <c r="Q1685" s="141">
        <v>2.1053621309063131E-2</v>
      </c>
      <c r="R1685" s="143">
        <v>2.1048018408906799E-2</v>
      </c>
    </row>
    <row r="1686" spans="14:18" x14ac:dyDescent="0.2">
      <c r="N1686" s="139" t="str">
        <f t="shared" si="33"/>
        <v>1w</v>
      </c>
      <c r="O1686" s="146">
        <f>_xll.qlCalendarAdvance(Calendar,O1685,N1686,"f",FALSE)</f>
        <v>50977</v>
      </c>
      <c r="P1686" s="140">
        <f>_xll.qlInterestRateIndexValueDate(IborIndex,O1686)</f>
        <v>50979</v>
      </c>
      <c r="Q1686" s="141">
        <v>2.1045408172669644E-2</v>
      </c>
      <c r="R1686" s="143">
        <v>2.1039833156830667E-2</v>
      </c>
    </row>
    <row r="1687" spans="14:18" x14ac:dyDescent="0.2">
      <c r="N1687" s="139" t="str">
        <f t="shared" si="33"/>
        <v>1w</v>
      </c>
      <c r="O1687" s="146">
        <f>_xll.qlCalendarAdvance(Calendar,O1686,N1687,"f",FALSE)</f>
        <v>50984</v>
      </c>
      <c r="P1687" s="140">
        <f>_xll.qlInterestRateIndexValueDate(IborIndex,O1687)</f>
        <v>50986</v>
      </c>
      <c r="Q1687" s="141">
        <v>2.1037187099657295E-2</v>
      </c>
      <c r="R1687" s="143">
        <v>2.1031639976776262E-2</v>
      </c>
    </row>
    <row r="1688" spans="14:18" x14ac:dyDescent="0.2">
      <c r="N1688" s="139" t="str">
        <f t="shared" si="33"/>
        <v>1w</v>
      </c>
      <c r="O1688" s="146">
        <f>_xll.qlCalendarAdvance(Calendar,O1687,N1688,"f",FALSE)</f>
        <v>50991</v>
      </c>
      <c r="P1688" s="140">
        <f>_xll.qlInterestRateIndexValueDate(IborIndex,O1688)</f>
        <v>50993</v>
      </c>
      <c r="Q1688" s="141">
        <v>2.1028958090046068E-2</v>
      </c>
      <c r="R1688" s="143">
        <v>2.1023438868663646E-2</v>
      </c>
    </row>
    <row r="1689" spans="14:18" x14ac:dyDescent="0.2">
      <c r="N1689" s="139" t="str">
        <f t="shared" si="33"/>
        <v>1w</v>
      </c>
      <c r="O1689" s="146">
        <f>_xll.qlCalendarAdvance(Calendar,O1688,N1689,"f",FALSE)</f>
        <v>50998</v>
      </c>
      <c r="P1689" s="140">
        <f>_xll.qlInterestRateIndexValueDate(IborIndex,O1689)</f>
        <v>51000</v>
      </c>
      <c r="Q1689" s="141">
        <v>2.1020721143858445E-2</v>
      </c>
      <c r="R1689" s="143">
        <v>2.1015229832492821E-2</v>
      </c>
    </row>
    <row r="1690" spans="14:18" x14ac:dyDescent="0.2">
      <c r="N1690" s="139" t="str">
        <f t="shared" si="33"/>
        <v>1w</v>
      </c>
      <c r="O1690" s="146">
        <f>_xll.qlCalendarAdvance(Calendar,O1689,N1690,"f",FALSE)</f>
        <v>51005</v>
      </c>
      <c r="P1690" s="140">
        <f>_xll.qlInterestRateIndexValueDate(IborIndex,O1690)</f>
        <v>51007</v>
      </c>
      <c r="Q1690" s="141">
        <v>2.1012476261106916E-2</v>
      </c>
      <c r="R1690" s="143">
        <v>2.1007012868263786E-2</v>
      </c>
    </row>
    <row r="1691" spans="14:18" x14ac:dyDescent="0.2">
      <c r="N1691" s="139" t="str">
        <f t="shared" si="33"/>
        <v>1w</v>
      </c>
      <c r="O1691" s="146">
        <f>_xll.qlCalendarAdvance(Calendar,O1690,N1691,"f",FALSE)</f>
        <v>51012</v>
      </c>
      <c r="P1691" s="140">
        <f>_xll.qlInterestRateIndexValueDate(IborIndex,O1691)</f>
        <v>51014</v>
      </c>
      <c r="Q1691" s="141">
        <v>2.1004223441806469E-2</v>
      </c>
      <c r="R1691" s="143">
        <v>2.0998787976056477E-2</v>
      </c>
    </row>
    <row r="1692" spans="14:18" x14ac:dyDescent="0.2">
      <c r="N1692" s="139" t="str">
        <f t="shared" si="33"/>
        <v>1w</v>
      </c>
      <c r="O1692" s="146">
        <f>_xll.qlCalendarAdvance(Calendar,O1691,N1692,"f",FALSE)</f>
        <v>51019</v>
      </c>
      <c r="P1692" s="140">
        <f>_xll.qlInterestRateIndexValueDate(IborIndex,O1692)</f>
        <v>51021</v>
      </c>
      <c r="Q1692" s="141">
        <v>2.0995962685979586E-2</v>
      </c>
      <c r="R1692" s="143">
        <v>2.0990555155790958E-2</v>
      </c>
    </row>
    <row r="1693" spans="14:18" x14ac:dyDescent="0.2">
      <c r="N1693" s="139" t="str">
        <f t="shared" si="33"/>
        <v>1w</v>
      </c>
      <c r="O1693" s="146">
        <f>_xll.qlCalendarAdvance(Calendar,O1692,N1693,"f",FALSE)</f>
        <v>51026</v>
      </c>
      <c r="P1693" s="140">
        <f>_xll.qlInterestRateIndexValueDate(IborIndex,O1693)</f>
        <v>51028</v>
      </c>
      <c r="Q1693" s="141">
        <v>2.0987693993641254E-2</v>
      </c>
      <c r="R1693" s="143">
        <v>2.0982314407387292E-2</v>
      </c>
    </row>
    <row r="1694" spans="14:18" x14ac:dyDescent="0.2">
      <c r="N1694" s="139" t="str">
        <f t="shared" si="33"/>
        <v>1w</v>
      </c>
      <c r="O1694" s="146">
        <f>_xll.qlCalendarAdvance(Calendar,O1693,N1694,"f",FALSE)</f>
        <v>51033</v>
      </c>
      <c r="P1694" s="140">
        <f>_xll.qlInterestRateIndexValueDate(IborIndex,O1694)</f>
        <v>51035</v>
      </c>
      <c r="Q1694" s="141">
        <v>2.0979417364811459E-2</v>
      </c>
      <c r="R1694" s="143">
        <v>2.0974065731005354E-2</v>
      </c>
    </row>
    <row r="1695" spans="14:18" x14ac:dyDescent="0.2">
      <c r="N1695" s="139" t="str">
        <f t="shared" si="33"/>
        <v>1w</v>
      </c>
      <c r="O1695" s="146">
        <f>_xll.qlCalendarAdvance(Calendar,O1694,N1695,"f",FALSE)</f>
        <v>51040</v>
      </c>
      <c r="P1695" s="140">
        <f>_xll.qlInterestRateIndexValueDate(IborIndex,O1695)</f>
        <v>51042</v>
      </c>
      <c r="Q1695" s="141">
        <v>2.0971132799505188E-2</v>
      </c>
      <c r="R1695" s="143">
        <v>2.0965809126565205E-2</v>
      </c>
    </row>
    <row r="1696" spans="14:18" x14ac:dyDescent="0.2">
      <c r="N1696" s="139" t="str">
        <f t="shared" si="33"/>
        <v>1w</v>
      </c>
      <c r="O1696" s="146">
        <f>_xll.qlCalendarAdvance(Calendar,O1695,N1696,"f",FALSE)</f>
        <v>51047</v>
      </c>
      <c r="P1696" s="140">
        <f>_xll.qlInterestRateIndexValueDate(IborIndex,O1696)</f>
        <v>51049</v>
      </c>
      <c r="Q1696" s="141">
        <v>2.0962840297739926E-2</v>
      </c>
      <c r="R1696" s="143">
        <v>2.0957544594066846E-2</v>
      </c>
    </row>
    <row r="1697" spans="14:18" x14ac:dyDescent="0.2">
      <c r="N1697" s="139" t="str">
        <f t="shared" si="33"/>
        <v>1w</v>
      </c>
      <c r="O1697" s="146">
        <f>_xll.qlCalendarAdvance(Calendar,O1696,N1697,"f",FALSE)</f>
        <v>51054</v>
      </c>
      <c r="P1697" s="140">
        <f>_xll.qlInterestRateIndexValueDate(IborIndex,O1697)</f>
        <v>51056</v>
      </c>
      <c r="Q1697" s="141">
        <v>2.0954539859535659E-2</v>
      </c>
      <c r="R1697" s="143">
        <v>2.0949272133510277E-2</v>
      </c>
    </row>
    <row r="1698" spans="14:18" x14ac:dyDescent="0.2">
      <c r="N1698" s="139" t="str">
        <f t="shared" si="33"/>
        <v>1w</v>
      </c>
      <c r="O1698" s="146">
        <f>_xll.qlCalendarAdvance(Calendar,O1697,N1698,"f",FALSE)</f>
        <v>51061</v>
      </c>
      <c r="P1698" s="140">
        <f>_xll.qlInterestRateIndexValueDate(IborIndex,O1698)</f>
        <v>51063</v>
      </c>
      <c r="Q1698" s="141">
        <v>2.0946231484907374E-2</v>
      </c>
      <c r="R1698" s="143">
        <v>2.0940991744895499E-2</v>
      </c>
    </row>
    <row r="1699" spans="14:18" x14ac:dyDescent="0.2">
      <c r="N1699" s="139" t="str">
        <f t="shared" si="33"/>
        <v>1w</v>
      </c>
      <c r="O1699" s="146">
        <f>_xll.qlCalendarAdvance(Calendar,O1698,N1699,"f",FALSE)</f>
        <v>51068</v>
      </c>
      <c r="P1699" s="140">
        <f>_xll.qlInterestRateIndexValueDate(IborIndex,O1699)</f>
        <v>51070</v>
      </c>
      <c r="Q1699" s="141">
        <v>2.0937915173872557E-2</v>
      </c>
      <c r="R1699" s="143">
        <v>2.093270342822251E-2</v>
      </c>
    </row>
    <row r="1700" spans="14:18" x14ac:dyDescent="0.2">
      <c r="N1700" s="139" t="str">
        <f t="shared" si="33"/>
        <v>1w</v>
      </c>
      <c r="O1700" s="146">
        <f>_xll.qlCalendarAdvance(Calendar,O1699,N1700,"f",FALSE)</f>
        <v>51075</v>
      </c>
      <c r="P1700" s="140">
        <f>_xll.qlInterestRateIndexValueDate(IborIndex,O1700)</f>
        <v>51077</v>
      </c>
      <c r="Q1700" s="141">
        <v>2.0929590926448693E-2</v>
      </c>
      <c r="R1700" s="143">
        <v>2.0924407183571248E-2</v>
      </c>
    </row>
    <row r="1701" spans="14:18" x14ac:dyDescent="0.2">
      <c r="N1701" s="139" t="str">
        <f t="shared" si="33"/>
        <v>1w</v>
      </c>
      <c r="O1701" s="146">
        <f>_xll.qlCalendarAdvance(Calendar,O1700,N1701,"f",FALSE)</f>
        <v>51082</v>
      </c>
      <c r="P1701" s="140">
        <f>_xll.qlInterestRateIndexValueDate(IborIndex,O1701)</f>
        <v>51084</v>
      </c>
      <c r="Q1701" s="141">
        <v>2.0921258742655768E-2</v>
      </c>
      <c r="R1701" s="143">
        <v>2.0916103010861775E-2</v>
      </c>
    </row>
    <row r="1702" spans="14:18" x14ac:dyDescent="0.2">
      <c r="N1702" s="139" t="str">
        <f t="shared" si="33"/>
        <v>1w</v>
      </c>
      <c r="O1702" s="146">
        <f>_xll.qlCalendarAdvance(Calendar,O1701,N1702,"f",FALSE)</f>
        <v>51089</v>
      </c>
      <c r="P1702" s="140">
        <f>_xll.qlInterestRateIndexValueDate(IborIndex,O1702)</f>
        <v>51091</v>
      </c>
      <c r="Q1702" s="141">
        <v>2.0912918622511267E-2</v>
      </c>
      <c r="R1702" s="143">
        <v>2.0907790910014157E-2</v>
      </c>
    </row>
    <row r="1703" spans="14:18" x14ac:dyDescent="0.2">
      <c r="N1703" s="139" t="str">
        <f t="shared" si="33"/>
        <v>1w</v>
      </c>
      <c r="O1703" s="146">
        <f>_xll.qlCalendarAdvance(Calendar,O1702,N1703,"f",FALSE)</f>
        <v>51096</v>
      </c>
      <c r="P1703" s="140">
        <f>_xll.qlInterestRateIndexValueDate(IborIndex,O1703)</f>
        <v>51098</v>
      </c>
      <c r="Q1703" s="141">
        <v>2.0904580081032072E-2</v>
      </c>
      <c r="R1703" s="143">
        <v>2.0899470881268201E-2</v>
      </c>
    </row>
    <row r="1704" spans="14:18" x14ac:dyDescent="0.2">
      <c r="N1704" s="139" t="str">
        <f t="shared" si="33"/>
        <v>1w</v>
      </c>
      <c r="O1704" s="146">
        <f>_xll.qlCalendarAdvance(Calendar,O1703,N1704,"f",FALSE)</f>
        <v>51103</v>
      </c>
      <c r="P1704" s="140">
        <f>_xll.qlInterestRateIndexValueDate(IborIndex,O1704)</f>
        <v>51105</v>
      </c>
      <c r="Q1704" s="141">
        <v>2.0896214573229988E-2</v>
      </c>
      <c r="R1704" s="143">
        <v>2.0891142924384098E-2</v>
      </c>
    </row>
    <row r="1705" spans="14:18" x14ac:dyDescent="0.2">
      <c r="N1705" s="139" t="str">
        <f t="shared" si="33"/>
        <v>1w</v>
      </c>
      <c r="O1705" s="146">
        <f>_xll.qlCalendarAdvance(Calendar,O1704,N1705,"f",FALSE)</f>
        <v>51110</v>
      </c>
      <c r="P1705" s="140">
        <f>_xll.qlInterestRateIndexValueDate(IborIndex,O1705)</f>
        <v>51112</v>
      </c>
      <c r="Q1705" s="141">
        <v>2.0887850644130679E-2</v>
      </c>
      <c r="R1705" s="143">
        <v>2.0882807039521722E-2</v>
      </c>
    </row>
    <row r="1706" spans="14:18" x14ac:dyDescent="0.2">
      <c r="N1706" s="139" t="str">
        <f t="shared" si="33"/>
        <v>1w</v>
      </c>
      <c r="O1706" s="146">
        <f>_xll.qlCalendarAdvance(Calendar,O1705,N1706,"f",FALSE)</f>
        <v>51117</v>
      </c>
      <c r="P1706" s="140">
        <f>_xll.qlInterestRateIndexValueDate(IborIndex,O1706)</f>
        <v>51119</v>
      </c>
      <c r="Q1706" s="141">
        <v>2.0879478778752236E-2</v>
      </c>
      <c r="R1706" s="143">
        <v>2.08744632265212E-2</v>
      </c>
    </row>
    <row r="1707" spans="14:18" x14ac:dyDescent="0.2">
      <c r="N1707" s="139" t="str">
        <f t="shared" si="33"/>
        <v>1w</v>
      </c>
      <c r="O1707" s="146">
        <f>_xll.qlCalendarAdvance(Calendar,O1706,N1707,"f",FALSE)</f>
        <v>51124</v>
      </c>
      <c r="P1707" s="140">
        <f>_xll.qlInterestRateIndexValueDate(IborIndex,O1707)</f>
        <v>51126</v>
      </c>
      <c r="Q1707" s="141">
        <v>2.0871098977104652E-2</v>
      </c>
      <c r="R1707" s="143">
        <v>2.0864917732525967E-2</v>
      </c>
    </row>
    <row r="1708" spans="14:18" x14ac:dyDescent="0.2">
      <c r="N1708" s="139" t="str">
        <f t="shared" si="33"/>
        <v>1w</v>
      </c>
      <c r="O1708" s="146">
        <f>_xll.qlCalendarAdvance(Calendar,O1707,N1708,"f",FALSE)</f>
        <v>51131</v>
      </c>
      <c r="P1708" s="140">
        <f>_xll.qlInterestRateIndexValueDate(IborIndex,O1708)</f>
        <v>51133</v>
      </c>
      <c r="Q1708" s="141">
        <v>2.0862711239212905E-2</v>
      </c>
      <c r="R1708" s="143">
        <v>2.0857751816505399E-2</v>
      </c>
    </row>
    <row r="1709" spans="14:18" x14ac:dyDescent="0.2">
      <c r="N1709" s="139" t="str">
        <f t="shared" si="33"/>
        <v>1w</v>
      </c>
      <c r="O1709" s="146">
        <f>_xll.qlCalendarAdvance(Calendar,O1708,N1709,"f",FALSE)</f>
        <v>51138</v>
      </c>
      <c r="P1709" s="140">
        <f>_xll.qlInterestRateIndexValueDate(IborIndex,O1709)</f>
        <v>51140</v>
      </c>
      <c r="Q1709" s="141">
        <v>2.0854315565091985E-2</v>
      </c>
      <c r="R1709" s="143">
        <v>2.0848188201245677E-2</v>
      </c>
    </row>
    <row r="1710" spans="14:18" x14ac:dyDescent="0.2">
      <c r="N1710" s="139" t="str">
        <f t="shared" si="33"/>
        <v>1w</v>
      </c>
      <c r="O1710" s="146">
        <f>_xll.qlCalendarAdvance(Calendar,O1709,N1710,"f",FALSE)</f>
        <v>51145</v>
      </c>
      <c r="P1710" s="140">
        <f>_xll.qlInterestRateIndexValueDate(IborIndex,O1710)</f>
        <v>51147</v>
      </c>
      <c r="Q1710" s="141">
        <v>2.0845911954756879E-2</v>
      </c>
      <c r="R1710" s="143">
        <v>2.0841008694256757E-2</v>
      </c>
    </row>
    <row r="1711" spans="14:18" x14ac:dyDescent="0.2">
      <c r="N1711" s="139" t="str">
        <f t="shared" si="33"/>
        <v>1w</v>
      </c>
      <c r="O1711" s="146">
        <f>_xll.qlCalendarAdvance(Calendar,O1710,N1711,"f",FALSE)</f>
        <v>51152</v>
      </c>
      <c r="P1711" s="140">
        <f>_xll.qlInterestRateIndexValueDate(IborIndex,O1711)</f>
        <v>51154</v>
      </c>
      <c r="Q1711" s="141">
        <v>2.0837500408232568E-2</v>
      </c>
      <c r="R1711" s="143">
        <v>2.0832625241125058E-2</v>
      </c>
    </row>
    <row r="1712" spans="14:18" x14ac:dyDescent="0.2">
      <c r="N1712" s="139" t="str">
        <f t="shared" si="33"/>
        <v>1w</v>
      </c>
      <c r="O1712" s="146">
        <f>_xll.qlCalendarAdvance(Calendar,O1711,N1712,"f",FALSE)</f>
        <v>51159</v>
      </c>
      <c r="P1712" s="140">
        <f>_xll.qlInterestRateIndexValueDate(IborIndex,O1712)</f>
        <v>51161</v>
      </c>
      <c r="Q1712" s="141">
        <v>2.082908092553154E-2</v>
      </c>
      <c r="R1712" s="143">
        <v>2.0824233860015084E-2</v>
      </c>
    </row>
    <row r="1713" spans="14:18" x14ac:dyDescent="0.2">
      <c r="N1713" s="139" t="str">
        <f t="shared" si="33"/>
        <v>1w</v>
      </c>
      <c r="O1713" s="146">
        <f>_xll.qlCalendarAdvance(Calendar,O1712,N1713,"f",FALSE)</f>
        <v>51166</v>
      </c>
      <c r="P1713" s="140">
        <f>_xll.qlInterestRateIndexValueDate(IborIndex,O1713)</f>
        <v>51168</v>
      </c>
      <c r="Q1713" s="141">
        <v>2.082065594201183E-2</v>
      </c>
      <c r="R1713" s="143">
        <v>2.0815834550766965E-2</v>
      </c>
    </row>
    <row r="1714" spans="14:18" x14ac:dyDescent="0.2">
      <c r="N1714" s="139" t="str">
        <f t="shared" si="33"/>
        <v>1w</v>
      </c>
      <c r="O1714" s="146">
        <f>_xll.qlCalendarAdvance(Calendar,O1713,N1714,"f",FALSE)</f>
        <v>51173</v>
      </c>
      <c r="P1714" s="140">
        <f>_xll.qlInterestRateIndexValueDate(IborIndex,O1714)</f>
        <v>51175</v>
      </c>
      <c r="Q1714" s="141">
        <v>2.0812223749244355E-2</v>
      </c>
      <c r="R1714" s="143">
        <v>2.0807427313540572E-2</v>
      </c>
    </row>
    <row r="1715" spans="14:18" x14ac:dyDescent="0.2">
      <c r="N1715" s="139" t="str">
        <f t="shared" si="33"/>
        <v>1w</v>
      </c>
      <c r="O1715" s="146">
        <f>_xll.qlCalendarAdvance(Calendar,O1714,N1715,"f",FALSE)</f>
        <v>51180</v>
      </c>
      <c r="P1715" s="140">
        <f>_xll.qlInterestRateIndexValueDate(IborIndex,O1715)</f>
        <v>51182</v>
      </c>
      <c r="Q1715" s="141">
        <v>2.0803783621136222E-2</v>
      </c>
      <c r="R1715" s="143">
        <v>2.0799012148255969E-2</v>
      </c>
    </row>
    <row r="1716" spans="14:18" x14ac:dyDescent="0.2">
      <c r="N1716" s="139" t="str">
        <f t="shared" si="33"/>
        <v>1w</v>
      </c>
      <c r="O1716" s="146">
        <f>_xll.qlCalendarAdvance(Calendar,O1715,N1716,"f",FALSE)</f>
        <v>51187</v>
      </c>
      <c r="P1716" s="140">
        <f>_xll.qlInterestRateIndexValueDate(IborIndex,O1716)</f>
        <v>51189</v>
      </c>
      <c r="Q1716" s="141">
        <v>2.0795335557701206E-2</v>
      </c>
      <c r="R1716" s="143">
        <v>2.0790589054913156E-2</v>
      </c>
    </row>
    <row r="1717" spans="14:18" x14ac:dyDescent="0.2">
      <c r="N1717" s="139" t="str">
        <f t="shared" si="33"/>
        <v>1w</v>
      </c>
      <c r="O1717" s="146">
        <f>_xll.qlCalendarAdvance(Calendar,O1716,N1717,"f",FALSE)</f>
        <v>51194</v>
      </c>
      <c r="P1717" s="140">
        <f>_xll.qlInterestRateIndexValueDate(IborIndex,O1717)</f>
        <v>51196</v>
      </c>
      <c r="Q1717" s="141">
        <v>2.078685923892255E-2</v>
      </c>
      <c r="R1717" s="143">
        <v>2.0782158033512133E-2</v>
      </c>
    </row>
    <row r="1718" spans="14:18" x14ac:dyDescent="0.2">
      <c r="N1718" s="139" t="str">
        <f t="shared" si="33"/>
        <v>1w</v>
      </c>
      <c r="O1718" s="146">
        <f>_xll.qlCalendarAdvance(Calendar,O1717,N1718,"f",FALSE)</f>
        <v>51201</v>
      </c>
      <c r="P1718" s="140">
        <f>_xll.qlInterestRateIndexValueDate(IborIndex,O1718)</f>
        <v>51203</v>
      </c>
      <c r="Q1718" s="141">
        <v>2.0778397370621038E-2</v>
      </c>
      <c r="R1718" s="143">
        <v>2.0773719084132836E-2</v>
      </c>
    </row>
    <row r="1719" spans="14:18" x14ac:dyDescent="0.2">
      <c r="N1719" s="139" t="str">
        <f t="shared" si="33"/>
        <v>1w</v>
      </c>
      <c r="O1719" s="146">
        <f>_xll.qlCalendarAdvance(Calendar,O1718,N1719,"f",FALSE)</f>
        <v>51208</v>
      </c>
      <c r="P1719" s="140">
        <f>_xll.qlInterestRateIndexValueDate(IborIndex,O1719)</f>
        <v>51210</v>
      </c>
      <c r="Q1719" s="141">
        <v>2.0769922335187596E-2</v>
      </c>
      <c r="R1719" s="143">
        <v>2.0765272206615393E-2</v>
      </c>
    </row>
    <row r="1720" spans="14:18" x14ac:dyDescent="0.2">
      <c r="N1720" s="139" t="str">
        <f t="shared" si="33"/>
        <v>1w</v>
      </c>
      <c r="O1720" s="146">
        <f>_xll.qlCalendarAdvance(Calendar,O1719,N1720,"f",FALSE)</f>
        <v>51215</v>
      </c>
      <c r="P1720" s="140">
        <f>_xll.qlInterestRateIndexValueDate(IborIndex,O1720)</f>
        <v>51217</v>
      </c>
      <c r="Q1720" s="141">
        <v>2.0761439363719825E-2</v>
      </c>
      <c r="R1720" s="143">
        <v>2.0756817401199612E-2</v>
      </c>
    </row>
    <row r="1721" spans="14:18" x14ac:dyDescent="0.2">
      <c r="N1721" s="139" t="str">
        <f t="shared" si="33"/>
        <v>1w</v>
      </c>
      <c r="O1721" s="146">
        <f>_xll.qlCalendarAdvance(Calendar,O1720,N1721,"f",FALSE)</f>
        <v>51222</v>
      </c>
      <c r="P1721" s="140">
        <f>_xll.qlInterestRateIndexValueDate(IborIndex,O1721)</f>
        <v>51224</v>
      </c>
      <c r="Q1721" s="141">
        <v>2.0752948456237708E-2</v>
      </c>
      <c r="R1721" s="143">
        <v>2.0745935287669326E-2</v>
      </c>
    </row>
    <row r="1722" spans="14:18" x14ac:dyDescent="0.2">
      <c r="N1722" s="139" t="str">
        <f t="shared" si="33"/>
        <v>1w</v>
      </c>
      <c r="O1722" s="146">
        <f>_xll.qlCalendarAdvance(Calendar,O1721,N1722,"f",FALSE)</f>
        <v>51229</v>
      </c>
      <c r="P1722" s="140">
        <f>_xll.qlInterestRateIndexValueDate(IborIndex,O1722)</f>
        <v>51231</v>
      </c>
      <c r="Q1722" s="141">
        <v>2.0744449612758731E-2</v>
      </c>
      <c r="R1722" s="143">
        <v>2.0739884006113485E-2</v>
      </c>
    </row>
    <row r="1723" spans="14:18" x14ac:dyDescent="0.2">
      <c r="N1723" s="139" t="str">
        <f t="shared" si="33"/>
        <v>1w</v>
      </c>
      <c r="O1723" s="146">
        <f>_xll.qlCalendarAdvance(Calendar,O1722,N1723,"f",FALSE)</f>
        <v>51236</v>
      </c>
      <c r="P1723" s="140">
        <f>_xll.qlInterestRateIndexValueDate(IborIndex,O1723)</f>
        <v>51238</v>
      </c>
      <c r="Q1723" s="141">
        <v>2.0735942833302878E-2</v>
      </c>
      <c r="R1723" s="143">
        <v>2.0731405416523074E-2</v>
      </c>
    </row>
    <row r="1724" spans="14:18" x14ac:dyDescent="0.2">
      <c r="N1724" s="139" t="str">
        <f t="shared" si="33"/>
        <v>1w</v>
      </c>
      <c r="O1724" s="146">
        <f>_xll.qlCalendarAdvance(Calendar,O1723,N1724,"f",FALSE)</f>
        <v>51243</v>
      </c>
      <c r="P1724" s="140">
        <f>_xll.qlInterestRateIndexValueDate(IborIndex,O1724)</f>
        <v>51245</v>
      </c>
      <c r="Q1724" s="141">
        <v>2.0727415762788422E-2</v>
      </c>
      <c r="R1724" s="143">
        <v>2.072291889895439E-2</v>
      </c>
    </row>
    <row r="1725" spans="14:18" x14ac:dyDescent="0.2">
      <c r="N1725" s="139" t="str">
        <f t="shared" si="33"/>
        <v>1w</v>
      </c>
      <c r="O1725" s="146">
        <f>_xll.qlCalendarAdvance(Calendar,O1724,N1725,"f",FALSE)</f>
        <v>51250</v>
      </c>
      <c r="P1725" s="140">
        <f>_xll.qlInterestRateIndexValueDate(IborIndex,O1725)</f>
        <v>51252</v>
      </c>
      <c r="Q1725" s="141">
        <v>2.0718909785982786E-2</v>
      </c>
      <c r="R1725" s="143">
        <v>2.0714413303366541E-2</v>
      </c>
    </row>
    <row r="1726" spans="14:18" x14ac:dyDescent="0.2">
      <c r="N1726" s="139" t="str">
        <f t="shared" si="33"/>
        <v>1w</v>
      </c>
      <c r="O1726" s="146">
        <f>_xll.qlCalendarAdvance(Calendar,O1725,N1726,"f",FALSE)</f>
        <v>51258</v>
      </c>
      <c r="P1726" s="140">
        <f>_xll.qlInterestRateIndexValueDate(IborIndex,O1726)</f>
        <v>51260</v>
      </c>
      <c r="Q1726" s="141">
        <v>2.0709192268126269E-2</v>
      </c>
      <c r="R1726" s="143">
        <v>2.0704706807679329E-2</v>
      </c>
    </row>
    <row r="1727" spans="14:18" x14ac:dyDescent="0.2">
      <c r="N1727" s="139" t="str">
        <f t="shared" si="33"/>
        <v>1w</v>
      </c>
      <c r="O1727" s="146">
        <f>_xll.qlCalendarAdvance(Calendar,O1726,N1727,"f",FALSE)</f>
        <v>51265</v>
      </c>
      <c r="P1727" s="140">
        <f>_xll.qlInterestRateIndexValueDate(IborIndex,O1727)</f>
        <v>51270</v>
      </c>
      <c r="Q1727" s="141">
        <v>2.0697057692268584E-2</v>
      </c>
      <c r="R1727" s="143">
        <v>2.0694978807034303E-2</v>
      </c>
    </row>
    <row r="1728" spans="14:18" x14ac:dyDescent="0.2">
      <c r="N1728" s="139" t="str">
        <f t="shared" si="33"/>
        <v>1w</v>
      </c>
      <c r="O1728" s="146">
        <f>_xll.qlCalendarAdvance(Calendar,O1727,N1728,"f",FALSE)</f>
        <v>51272</v>
      </c>
      <c r="P1728" s="140">
        <f>_xll.qlInterestRateIndexValueDate(IborIndex,O1728)</f>
        <v>51274</v>
      </c>
      <c r="Q1728" s="141">
        <v>2.0692218053078536E-2</v>
      </c>
      <c r="R1728" s="143">
        <v>2.0686470867961049E-2</v>
      </c>
    </row>
    <row r="1729" spans="14:18" x14ac:dyDescent="0.2">
      <c r="N1729" s="139" t="str">
        <f t="shared" si="33"/>
        <v>1w</v>
      </c>
      <c r="O1729" s="146">
        <f>_xll.qlCalendarAdvance(Calendar,O1728,N1729,"f",FALSE)</f>
        <v>51279</v>
      </c>
      <c r="P1729" s="140">
        <f>_xll.qlInterestRateIndexValueDate(IborIndex,O1729)</f>
        <v>51281</v>
      </c>
      <c r="Q1729" s="141">
        <v>2.0683773877461734E-2</v>
      </c>
      <c r="R1729" s="143">
        <v>2.0679203497415699E-2</v>
      </c>
    </row>
    <row r="1730" spans="14:18" x14ac:dyDescent="0.2">
      <c r="N1730" s="139" t="str">
        <f t="shared" si="33"/>
        <v>1w</v>
      </c>
      <c r="O1730" s="146">
        <f>_xll.qlCalendarAdvance(Calendar,O1729,N1730,"f",FALSE)</f>
        <v>51286</v>
      </c>
      <c r="P1730" s="140">
        <f>_xll.qlInterestRateIndexValueDate(IborIndex,O1730)</f>
        <v>51288</v>
      </c>
      <c r="Q1730" s="141">
        <v>2.067536240109211E-2</v>
      </c>
      <c r="R1730" s="143">
        <v>2.0670755204390545E-2</v>
      </c>
    </row>
    <row r="1731" spans="14:18" x14ac:dyDescent="0.2">
      <c r="N1731" s="139" t="str">
        <f t="shared" si="33"/>
        <v>1w</v>
      </c>
      <c r="O1731" s="146">
        <f>_xll.qlCalendarAdvance(Calendar,O1730,N1731,"f",FALSE)</f>
        <v>51293</v>
      </c>
      <c r="P1731" s="140">
        <f>_xll.qlInterestRateIndexValueDate(IborIndex,O1731)</f>
        <v>51295</v>
      </c>
      <c r="Q1731" s="141">
        <v>2.0666983623907779E-2</v>
      </c>
      <c r="R1731" s="143">
        <v>2.0662339548378483E-2</v>
      </c>
    </row>
    <row r="1732" spans="14:18" x14ac:dyDescent="0.2">
      <c r="N1732" s="139" t="str">
        <f t="shared" si="33"/>
        <v>1w</v>
      </c>
      <c r="O1732" s="146">
        <f>_xll.qlCalendarAdvance(Calendar,O1731,N1732,"f",FALSE)</f>
        <v>51300</v>
      </c>
      <c r="P1732" s="140">
        <f>_xll.qlInterestRateIndexValueDate(IborIndex,O1732)</f>
        <v>51302</v>
      </c>
      <c r="Q1732" s="141">
        <v>2.0658637545828813E-2</v>
      </c>
      <c r="R1732" s="143">
        <v>2.0653956529379514E-2</v>
      </c>
    </row>
    <row r="1733" spans="14:18" x14ac:dyDescent="0.2">
      <c r="N1733" s="139" t="str">
        <f t="shared" si="33"/>
        <v>1w</v>
      </c>
      <c r="O1733" s="146">
        <f>_xll.qlCalendarAdvance(Calendar,O1732,N1733,"f",FALSE)</f>
        <v>51307</v>
      </c>
      <c r="P1733" s="140">
        <f>_xll.qlInterestRateIndexValueDate(IborIndex,O1733)</f>
        <v>51312</v>
      </c>
      <c r="Q1733" s="141">
        <v>2.0646769591316172E-2</v>
      </c>
      <c r="R1733" s="143">
        <v>2.064441590021282E-2</v>
      </c>
    </row>
    <row r="1734" spans="14:18" x14ac:dyDescent="0.2">
      <c r="N1734" s="139" t="str">
        <f t="shared" si="33"/>
        <v>1w</v>
      </c>
      <c r="O1734" s="146">
        <f>_xll.qlCalendarAdvance(Calendar,O1733,N1734,"f",FALSE)</f>
        <v>51314</v>
      </c>
      <c r="P1734" s="140">
        <f>_xll.qlInterestRateIndexValueDate(IborIndex,O1734)</f>
        <v>51316</v>
      </c>
      <c r="Q1734" s="141">
        <v>2.0642046436639971E-2</v>
      </c>
      <c r="R1734" s="143">
        <v>2.0637288402900467E-2</v>
      </c>
    </row>
    <row r="1735" spans="14:18" x14ac:dyDescent="0.2">
      <c r="N1735" s="139" t="str">
        <f t="shared" si="33"/>
        <v>1w</v>
      </c>
      <c r="O1735" s="146">
        <f>_xll.qlCalendarAdvance(Calendar,O1734,N1735,"f",FALSE)</f>
        <v>51321</v>
      </c>
      <c r="P1735" s="140">
        <f>_xll.qlInterestRateIndexValueDate(IborIndex,O1735)</f>
        <v>51323</v>
      </c>
      <c r="Q1735" s="141">
        <v>2.0633795505553627E-2</v>
      </c>
      <c r="R1735" s="143">
        <v>2.0629003295260517E-2</v>
      </c>
    </row>
    <row r="1736" spans="14:18" x14ac:dyDescent="0.2">
      <c r="N1736" s="139" t="str">
        <f t="shared" si="33"/>
        <v>1w</v>
      </c>
      <c r="O1736" s="146">
        <f>_xll.qlCalendarAdvance(Calendar,O1735,N1736,"f",FALSE)</f>
        <v>51328</v>
      </c>
      <c r="P1736" s="140">
        <f>_xll.qlInterestRateIndexValueDate(IborIndex,O1736)</f>
        <v>51330</v>
      </c>
      <c r="Q1736" s="141">
        <v>2.0625580223215347E-2</v>
      </c>
      <c r="R1736" s="143">
        <v>2.0620750824553724E-2</v>
      </c>
    </row>
    <row r="1737" spans="14:18" x14ac:dyDescent="0.2">
      <c r="N1737" s="139" t="str">
        <f t="shared" si="33"/>
        <v>1w</v>
      </c>
      <c r="O1737" s="146">
        <f>_xll.qlCalendarAdvance(Calendar,O1736,N1737,"f",FALSE)</f>
        <v>51335</v>
      </c>
      <c r="P1737" s="140">
        <f>_xll.qlInterestRateIndexValueDate(IborIndex,O1737)</f>
        <v>51337</v>
      </c>
      <c r="Q1737" s="141">
        <v>2.0617397639634317E-2</v>
      </c>
      <c r="R1737" s="143">
        <v>2.0612530991099831E-2</v>
      </c>
    </row>
    <row r="1738" spans="14:18" x14ac:dyDescent="0.2">
      <c r="N1738" s="139" t="str">
        <f t="shared" si="33"/>
        <v>1w</v>
      </c>
      <c r="O1738" s="146">
        <f>_xll.qlCalendarAdvance(Calendar,O1737,N1738,"f",FALSE)</f>
        <v>51342</v>
      </c>
      <c r="P1738" s="140">
        <f>_xll.qlInterestRateIndexValueDate(IborIndex,O1738)</f>
        <v>51344</v>
      </c>
      <c r="Q1738" s="141">
        <v>2.0609247754751231E-2</v>
      </c>
      <c r="R1738" s="143">
        <v>2.0604343794579094E-2</v>
      </c>
    </row>
    <row r="1739" spans="14:18" x14ac:dyDescent="0.2">
      <c r="N1739" s="139" t="str">
        <f t="shared" si="33"/>
        <v>1w</v>
      </c>
      <c r="O1739" s="146">
        <f>_xll.qlCalendarAdvance(Calendar,O1738,N1739,"f",FALSE)</f>
        <v>51349</v>
      </c>
      <c r="P1739" s="140">
        <f>_xll.qlInterestRateIndexValueDate(IborIndex,O1739)</f>
        <v>51351</v>
      </c>
      <c r="Q1739" s="141">
        <v>2.0601130568486149E-2</v>
      </c>
      <c r="R1739" s="143">
        <v>2.0596189235311257E-2</v>
      </c>
    </row>
    <row r="1740" spans="14:18" x14ac:dyDescent="0.2">
      <c r="N1740" s="139" t="str">
        <f t="shared" si="33"/>
        <v>1w</v>
      </c>
      <c r="O1740" s="146">
        <f>_xll.qlCalendarAdvance(Calendar,O1739,N1740,"f",FALSE)</f>
        <v>51356</v>
      </c>
      <c r="P1740" s="140">
        <f>_xll.qlInterestRateIndexValueDate(IborIndex,O1740)</f>
        <v>51358</v>
      </c>
      <c r="Q1740" s="141">
        <v>2.0593046080779769E-2</v>
      </c>
      <c r="R1740" s="143">
        <v>2.0588067312976577E-2</v>
      </c>
    </row>
    <row r="1741" spans="14:18" x14ac:dyDescent="0.2">
      <c r="N1741" s="139" t="str">
        <f t="shared" si="33"/>
        <v>1w</v>
      </c>
      <c r="O1741" s="146">
        <f>_xll.qlCalendarAdvance(Calendar,O1740,N1741,"f",FALSE)</f>
        <v>51363</v>
      </c>
      <c r="P1741" s="140">
        <f>_xll.qlInterestRateIndexValueDate(IborIndex,O1741)</f>
        <v>51365</v>
      </c>
      <c r="Q1741" s="141">
        <v>2.0584994291557312E-2</v>
      </c>
      <c r="R1741" s="143">
        <v>2.0579978027734924E-2</v>
      </c>
    </row>
    <row r="1742" spans="14:18" x14ac:dyDescent="0.2">
      <c r="N1742" s="139" t="str">
        <f t="shared" si="33"/>
        <v>1w</v>
      </c>
      <c r="O1742" s="146">
        <f>_xll.qlCalendarAdvance(Calendar,O1741,N1742,"f",FALSE)</f>
        <v>51370</v>
      </c>
      <c r="P1742" s="140">
        <f>_xll.qlInterestRateIndexValueDate(IborIndex,O1742)</f>
        <v>51372</v>
      </c>
      <c r="Q1742" s="141">
        <v>2.0576975200751729E-2</v>
      </c>
      <c r="R1742" s="143">
        <v>2.05719213795863E-2</v>
      </c>
    </row>
    <row r="1743" spans="14:18" x14ac:dyDescent="0.2">
      <c r="N1743" s="139" t="str">
        <f t="shared" si="33"/>
        <v>1w</v>
      </c>
      <c r="O1743" s="146">
        <f>_xll.qlCalendarAdvance(Calendar,O1742,N1743,"f",FALSE)</f>
        <v>51377</v>
      </c>
      <c r="P1743" s="140">
        <f>_xll.qlInterestRateIndexValueDate(IborIndex,O1743)</f>
        <v>51379</v>
      </c>
      <c r="Q1743" s="141">
        <v>2.0568930506459995E-2</v>
      </c>
      <c r="R1743" s="143">
        <v>2.0563897368450768E-2</v>
      </c>
    </row>
    <row r="1744" spans="14:18" x14ac:dyDescent="0.2">
      <c r="N1744" s="139" t="str">
        <f t="shared" si="33"/>
        <v>1w</v>
      </c>
      <c r="O1744" s="146">
        <f>_xll.qlCalendarAdvance(Calendar,O1743,N1744,"f",FALSE)</f>
        <v>51384</v>
      </c>
      <c r="P1744" s="140">
        <f>_xll.qlInterestRateIndexValueDate(IborIndex,O1744)</f>
        <v>51386</v>
      </c>
      <c r="Q1744" s="141">
        <v>2.0561035114128181E-2</v>
      </c>
      <c r="R1744" s="143">
        <v>2.0555905994488199E-2</v>
      </c>
    </row>
    <row r="1745" spans="14:18" x14ac:dyDescent="0.2">
      <c r="N1745" s="139" t="str">
        <f t="shared" si="33"/>
        <v>1w</v>
      </c>
      <c r="O1745" s="146">
        <f>_xll.qlCalendarAdvance(Calendar,O1744,N1745,"f",FALSE)</f>
        <v>51391</v>
      </c>
      <c r="P1745" s="140">
        <f>_xll.qlInterestRateIndexValueDate(IborIndex,O1745)</f>
        <v>51393</v>
      </c>
      <c r="Q1745" s="141">
        <v>2.0553114118178707E-2</v>
      </c>
      <c r="R1745" s="143">
        <v>2.0547947257458787E-2</v>
      </c>
    </row>
    <row r="1746" spans="14:18" x14ac:dyDescent="0.2">
      <c r="N1746" s="139" t="str">
        <f t="shared" si="33"/>
        <v>1w</v>
      </c>
      <c r="O1746" s="146">
        <f>_xll.qlCalendarAdvance(Calendar,O1745,N1746,"f",FALSE)</f>
        <v>51398</v>
      </c>
      <c r="P1746" s="140">
        <f>_xll.qlInterestRateIndexValueDate(IborIndex,O1746)</f>
        <v>51400</v>
      </c>
      <c r="Q1746" s="141">
        <v>2.0545225820375358E-2</v>
      </c>
      <c r="R1746" s="143">
        <v>2.0540021157682276E-2</v>
      </c>
    </row>
    <row r="1747" spans="14:18" x14ac:dyDescent="0.2">
      <c r="N1747" s="139" t="str">
        <f t="shared" si="33"/>
        <v>1w</v>
      </c>
      <c r="O1747" s="146">
        <f>_xll.qlCalendarAdvance(Calendar,O1746,N1747,"f",FALSE)</f>
        <v>51405</v>
      </c>
      <c r="P1747" s="140">
        <f>_xll.qlInterestRateIndexValueDate(IborIndex,O1747)</f>
        <v>51407</v>
      </c>
      <c r="Q1747" s="141">
        <v>2.0537425068009346E-2</v>
      </c>
      <c r="R1747" s="143">
        <v>2.0532127694758984E-2</v>
      </c>
    </row>
    <row r="1748" spans="14:18" x14ac:dyDescent="0.2">
      <c r="N1748" s="139" t="str">
        <f t="shared" si="33"/>
        <v>1w</v>
      </c>
      <c r="O1748" s="146">
        <f>_xll.qlCalendarAdvance(Calendar,O1747,N1748,"f",FALSE)</f>
        <v>51412</v>
      </c>
      <c r="P1748" s="140">
        <f>_xll.qlInterestRateIndexValueDate(IborIndex,O1748)</f>
        <v>51414</v>
      </c>
      <c r="Q1748" s="141">
        <v>2.0529547318954344E-2</v>
      </c>
      <c r="R1748" s="143">
        <v>2.052426686892872E-2</v>
      </c>
    </row>
    <row r="1749" spans="14:18" x14ac:dyDescent="0.2">
      <c r="N1749" s="139" t="str">
        <f t="shared" ref="N1749:N1812" si="34">N1748</f>
        <v>1w</v>
      </c>
      <c r="O1749" s="146">
        <f>_xll.qlCalendarAdvance(Calendar,O1748,N1749,"f",FALSE)</f>
        <v>51419</v>
      </c>
      <c r="P1749" s="140">
        <f>_xll.qlInterestRateIndexValueDate(IborIndex,O1749)</f>
        <v>51421</v>
      </c>
      <c r="Q1749" s="141">
        <v>2.0521757115205166E-2</v>
      </c>
      <c r="R1749" s="143">
        <v>2.0516438680191484E-2</v>
      </c>
    </row>
    <row r="1750" spans="14:18" x14ac:dyDescent="0.2">
      <c r="N1750" s="139" t="str">
        <f t="shared" si="34"/>
        <v>1w</v>
      </c>
      <c r="O1750" s="146">
        <f>_xll.qlCalendarAdvance(Calendar,O1749,N1750,"f",FALSE)</f>
        <v>51426</v>
      </c>
      <c r="P1750" s="140">
        <f>_xll.qlInterestRateIndexValueDate(IborIndex,O1750)</f>
        <v>51428</v>
      </c>
      <c r="Q1750" s="141">
        <v>2.051399960933652E-2</v>
      </c>
      <c r="R1750" s="143">
        <v>2.0508643128467341E-2</v>
      </c>
    </row>
    <row r="1751" spans="14:18" x14ac:dyDescent="0.2">
      <c r="N1751" s="139" t="str">
        <f t="shared" si="34"/>
        <v>1w</v>
      </c>
      <c r="O1751" s="146">
        <f>_xll.qlCalendarAdvance(Calendar,O1750,N1751,"f",FALSE)</f>
        <v>51433</v>
      </c>
      <c r="P1751" s="140">
        <f>_xll.qlInterestRateIndexValueDate(IborIndex,O1751)</f>
        <v>51435</v>
      </c>
      <c r="Q1751" s="141">
        <v>2.0506274801291677E-2</v>
      </c>
      <c r="R1751" s="143">
        <v>2.0500880213836226E-2</v>
      </c>
    </row>
    <row r="1752" spans="14:18" x14ac:dyDescent="0.2">
      <c r="N1752" s="139" t="str">
        <f t="shared" si="34"/>
        <v>1w</v>
      </c>
      <c r="O1752" s="146">
        <f>_xll.qlCalendarAdvance(Calendar,O1751,N1752,"f",FALSE)</f>
        <v>51440</v>
      </c>
      <c r="P1752" s="140">
        <f>_xll.qlInterestRateIndexValueDate(IborIndex,O1752)</f>
        <v>51442</v>
      </c>
      <c r="Q1752" s="141">
        <v>2.0498582691001018E-2</v>
      </c>
      <c r="R1752" s="143">
        <v>2.0493149936218202E-2</v>
      </c>
    </row>
    <row r="1753" spans="14:18" x14ac:dyDescent="0.2">
      <c r="N1753" s="139" t="str">
        <f t="shared" si="34"/>
        <v>1w</v>
      </c>
      <c r="O1753" s="146">
        <f>_xll.qlCalendarAdvance(Calendar,O1752,N1753,"f",FALSE)</f>
        <v>51447</v>
      </c>
      <c r="P1753" s="140">
        <f>_xll.qlInterestRateIndexValueDate(IborIndex,O1753)</f>
        <v>51449</v>
      </c>
      <c r="Q1753" s="141">
        <v>2.0490923278400075E-2</v>
      </c>
      <c r="R1753" s="143">
        <v>2.0485452295533335E-2</v>
      </c>
    </row>
    <row r="1754" spans="14:18" x14ac:dyDescent="0.2">
      <c r="N1754" s="139" t="str">
        <f t="shared" si="34"/>
        <v>1w</v>
      </c>
      <c r="O1754" s="146">
        <f>_xll.qlCalendarAdvance(Calendar,O1753,N1754,"f",FALSE)</f>
        <v>51454</v>
      </c>
      <c r="P1754" s="140">
        <f>_xll.qlInterestRateIndexValueDate(IborIndex,O1754)</f>
        <v>51456</v>
      </c>
      <c r="Q1754" s="141">
        <v>2.0483296563424385E-2</v>
      </c>
      <c r="R1754" s="143">
        <v>2.0477787292101368E-2</v>
      </c>
    </row>
    <row r="1755" spans="14:18" x14ac:dyDescent="0.2">
      <c r="N1755" s="139" t="str">
        <f t="shared" si="34"/>
        <v>1w</v>
      </c>
      <c r="O1755" s="146">
        <f>_xll.qlCalendarAdvance(Calendar,O1754,N1755,"f",FALSE)</f>
        <v>51461</v>
      </c>
      <c r="P1755" s="140">
        <f>_xll.qlInterestRateIndexValueDate(IborIndex,O1755)</f>
        <v>51463</v>
      </c>
      <c r="Q1755" s="141">
        <v>2.0475830622500905E-2</v>
      </c>
      <c r="R1755" s="143">
        <v>2.0470154925602557E-2</v>
      </c>
    </row>
    <row r="1756" spans="14:18" x14ac:dyDescent="0.2">
      <c r="N1756" s="139" t="str">
        <f t="shared" si="34"/>
        <v>1w</v>
      </c>
      <c r="O1756" s="146">
        <f>_xll.qlCalendarAdvance(Calendar,O1755,N1756,"f",FALSE)</f>
        <v>51468</v>
      </c>
      <c r="P1756" s="140">
        <f>_xll.qlInterestRateIndexValueDate(IborIndex,O1756)</f>
        <v>51470</v>
      </c>
      <c r="Q1756" s="141">
        <v>2.0468009081391663E-2</v>
      </c>
      <c r="R1756" s="143">
        <v>2.0462555196116838E-2</v>
      </c>
    </row>
    <row r="1757" spans="14:18" x14ac:dyDescent="0.2">
      <c r="N1757" s="139" t="str">
        <f t="shared" si="34"/>
        <v>1w</v>
      </c>
      <c r="O1757" s="146">
        <f>_xll.qlCalendarAdvance(Calendar,O1756,N1757,"f",FALSE)</f>
        <v>51475</v>
      </c>
      <c r="P1757" s="140">
        <f>_xll.qlInterestRateIndexValueDate(IborIndex,O1757)</f>
        <v>51477</v>
      </c>
      <c r="Q1757" s="141">
        <v>2.0460612603609339E-2</v>
      </c>
      <c r="R1757" s="143">
        <v>2.0454988103644212E-2</v>
      </c>
    </row>
    <row r="1758" spans="14:18" x14ac:dyDescent="0.2">
      <c r="N1758" s="139" t="str">
        <f t="shared" si="34"/>
        <v>1w</v>
      </c>
      <c r="O1758" s="146">
        <f>_xll.qlCalendarAdvance(Calendar,O1757,N1758,"f",FALSE)</f>
        <v>51482</v>
      </c>
      <c r="P1758" s="140">
        <f>_xll.qlInterestRateIndexValueDate(IborIndex,O1758)</f>
        <v>51484</v>
      </c>
      <c r="Q1758" s="141">
        <v>2.0453116678497751E-2</v>
      </c>
      <c r="R1758" s="143">
        <v>2.0447453648344549E-2</v>
      </c>
    </row>
    <row r="1759" spans="14:18" x14ac:dyDescent="0.2">
      <c r="N1759" s="139" t="str">
        <f t="shared" si="34"/>
        <v>1w</v>
      </c>
      <c r="O1759" s="146">
        <f>_xll.qlCalendarAdvance(Calendar,O1758,N1759,"f",FALSE)</f>
        <v>51489</v>
      </c>
      <c r="P1759" s="140">
        <f>_xll.qlInterestRateIndexValueDate(IborIndex,O1759)</f>
        <v>51491</v>
      </c>
      <c r="Q1759" s="141">
        <v>2.0445653450691669E-2</v>
      </c>
      <c r="R1759" s="143">
        <v>2.043693402037583E-2</v>
      </c>
    </row>
    <row r="1760" spans="14:18" x14ac:dyDescent="0.2">
      <c r="N1760" s="139" t="str">
        <f t="shared" si="34"/>
        <v>1w</v>
      </c>
      <c r="O1760" s="146">
        <f>_xll.qlCalendarAdvance(Calendar,O1759,N1760,"f",FALSE)</f>
        <v>51497</v>
      </c>
      <c r="P1760" s="140">
        <f>_xll.qlInterestRateIndexValueDate(IborIndex,O1760)</f>
        <v>51503</v>
      </c>
      <c r="Q1760" s="141">
        <v>2.0433042457202306E-2</v>
      </c>
      <c r="R1760" s="143">
        <v>2.0429388643865565E-2</v>
      </c>
    </row>
    <row r="1761" spans="14:18" x14ac:dyDescent="0.2">
      <c r="N1761" s="139" t="str">
        <f t="shared" si="34"/>
        <v>1w</v>
      </c>
      <c r="O1761" s="146">
        <f>_xll.qlCalendarAdvance(Calendar,O1760,N1761,"f",FALSE)</f>
        <v>51504</v>
      </c>
      <c r="P1761" s="140">
        <f>_xll.qlInterestRateIndexValueDate(IborIndex,O1761)</f>
        <v>51508</v>
      </c>
      <c r="Q1761" s="141">
        <v>2.0427664596048369E-2</v>
      </c>
      <c r="R1761" s="143">
        <v>2.0423986405075922E-2</v>
      </c>
    </row>
    <row r="1762" spans="14:18" x14ac:dyDescent="0.2">
      <c r="N1762" s="139" t="str">
        <f t="shared" si="34"/>
        <v>1w</v>
      </c>
      <c r="O1762" s="146">
        <f>_xll.qlCalendarAdvance(Calendar,O1761,N1762,"f",FALSE)</f>
        <v>51511</v>
      </c>
      <c r="P1762" s="140">
        <f>_xll.qlInterestRateIndexValueDate(IborIndex,O1762)</f>
        <v>51515</v>
      </c>
      <c r="Q1762" s="141">
        <v>2.0420313472818231E-2</v>
      </c>
      <c r="R1762" s="143">
        <v>2.0416587160179134E-2</v>
      </c>
    </row>
    <row r="1763" spans="14:18" x14ac:dyDescent="0.2">
      <c r="N1763" s="139" t="str">
        <f t="shared" si="34"/>
        <v>1w</v>
      </c>
      <c r="O1763" s="146">
        <f>_xll.qlCalendarAdvance(Calendar,O1762,N1763,"f",FALSE)</f>
        <v>51518</v>
      </c>
      <c r="P1763" s="140">
        <f>_xll.qlInterestRateIndexValueDate(IborIndex,O1763)</f>
        <v>51522</v>
      </c>
      <c r="Q1763" s="141">
        <v>2.0412995046615114E-2</v>
      </c>
      <c r="R1763" s="143">
        <v>2.0409220552455309E-2</v>
      </c>
    </row>
    <row r="1764" spans="14:18" x14ac:dyDescent="0.2">
      <c r="N1764" s="139" t="str">
        <f t="shared" si="34"/>
        <v>1w</v>
      </c>
      <c r="O1764" s="146">
        <f>_xll.qlCalendarAdvance(Calendar,O1763,N1764,"f",FALSE)</f>
        <v>51525</v>
      </c>
      <c r="P1764" s="140">
        <f>_xll.qlInterestRateIndexValueDate(IborIndex,O1764)</f>
        <v>51529</v>
      </c>
      <c r="Q1764" s="141">
        <v>2.0405709317384869E-2</v>
      </c>
      <c r="R1764" s="143">
        <v>2.0401886581584705E-2</v>
      </c>
    </row>
    <row r="1765" spans="14:18" x14ac:dyDescent="0.2">
      <c r="N1765" s="139" t="str">
        <f t="shared" si="34"/>
        <v>1w</v>
      </c>
      <c r="O1765" s="146">
        <f>_xll.qlCalendarAdvance(Calendar,O1764,N1765,"f",FALSE)</f>
        <v>51532</v>
      </c>
      <c r="P1765" s="140">
        <f>_xll.qlInterestRateIndexValueDate(IborIndex,O1765)</f>
        <v>51536</v>
      </c>
      <c r="Q1765" s="141">
        <v>2.0398269945302819E-2</v>
      </c>
      <c r="R1765" s="143">
        <v>2.0394585247807129E-2</v>
      </c>
    </row>
    <row r="1766" spans="14:18" x14ac:dyDescent="0.2">
      <c r="N1766" s="139" t="str">
        <f t="shared" si="34"/>
        <v>1w</v>
      </c>
      <c r="O1766" s="146">
        <f>_xll.qlCalendarAdvance(Calendar,O1765,N1766,"f",FALSE)</f>
        <v>51539</v>
      </c>
      <c r="P1766" s="140">
        <f>_xll.qlInterestRateIndexValueDate(IborIndex,O1766)</f>
        <v>51543</v>
      </c>
      <c r="Q1766" s="141">
        <v>2.0391043830613347E-2</v>
      </c>
      <c r="R1766" s="143">
        <v>2.0387316551122581E-2</v>
      </c>
    </row>
    <row r="1767" spans="14:18" x14ac:dyDescent="0.2">
      <c r="N1767" s="139" t="str">
        <f t="shared" si="34"/>
        <v>1w</v>
      </c>
      <c r="O1767" s="146">
        <f>_xll.qlCalendarAdvance(Calendar,O1766,N1767,"f",FALSE)</f>
        <v>51546</v>
      </c>
      <c r="P1767" s="140">
        <f>_xll.qlInterestRateIndexValueDate(IborIndex,O1767)</f>
        <v>51550</v>
      </c>
      <c r="Q1767" s="141">
        <v>2.0383850406739637E-2</v>
      </c>
      <c r="R1767" s="143">
        <v>2.0380080491291253E-2</v>
      </c>
    </row>
    <row r="1768" spans="14:18" x14ac:dyDescent="0.2">
      <c r="N1768" s="139" t="str">
        <f t="shared" si="34"/>
        <v>1w</v>
      </c>
      <c r="O1768" s="146">
        <f>_xll.qlCalendarAdvance(Calendar,O1767,N1768,"f",FALSE)</f>
        <v>51553</v>
      </c>
      <c r="P1768" s="140">
        <f>_xll.qlInterestRateIndexValueDate(IborIndex,O1768)</f>
        <v>51557</v>
      </c>
      <c r="Q1768" s="141">
        <v>2.0376689673624604E-2</v>
      </c>
      <c r="R1768" s="143">
        <v>2.0372877068632889E-2</v>
      </c>
    </row>
    <row r="1769" spans="14:18" x14ac:dyDescent="0.2">
      <c r="N1769" s="139" t="str">
        <f t="shared" si="34"/>
        <v>1w</v>
      </c>
      <c r="O1769" s="146">
        <f>_xll.qlCalendarAdvance(Calendar,O1768,N1769,"f",FALSE)</f>
        <v>51560</v>
      </c>
      <c r="P1769" s="140">
        <f>_xll.qlInterestRateIndexValueDate(IborIndex,O1769)</f>
        <v>51564</v>
      </c>
      <c r="Q1769" s="141">
        <v>2.0369771123606557E-2</v>
      </c>
      <c r="R1769" s="143">
        <v>2.0365706282827745E-2</v>
      </c>
    </row>
    <row r="1770" spans="14:18" x14ac:dyDescent="0.2">
      <c r="N1770" s="139" t="str">
        <f t="shared" si="34"/>
        <v>1w</v>
      </c>
      <c r="O1770" s="146">
        <f>_xll.qlCalendarAdvance(Calendar,O1769,N1770,"f",FALSE)</f>
        <v>51567</v>
      </c>
      <c r="P1770" s="140">
        <f>_xll.qlInterestRateIndexValueDate(IborIndex,O1770)</f>
        <v>51571</v>
      </c>
      <c r="Q1770" s="141">
        <v>2.0362681574906196E-2</v>
      </c>
      <c r="R1770" s="143">
        <v>2.0358568134035693E-2</v>
      </c>
    </row>
    <row r="1771" spans="14:18" x14ac:dyDescent="0.2">
      <c r="N1771" s="139" t="str">
        <f t="shared" si="34"/>
        <v>1w</v>
      </c>
      <c r="O1771" s="146">
        <f>_xll.qlCalendarAdvance(Calendar,O1770,N1771,"f",FALSE)</f>
        <v>51574</v>
      </c>
      <c r="P1771" s="140">
        <f>_xll.qlInterestRateIndexValueDate(IborIndex,O1771)</f>
        <v>51578</v>
      </c>
      <c r="Q1771" s="141">
        <v>2.0355624722745509E-2</v>
      </c>
      <c r="R1771" s="143">
        <v>2.0351462622336669E-2</v>
      </c>
    </row>
    <row r="1772" spans="14:18" x14ac:dyDescent="0.2">
      <c r="N1772" s="139" t="str">
        <f t="shared" si="34"/>
        <v>1w</v>
      </c>
      <c r="O1772" s="146">
        <f>_xll.qlCalendarAdvance(Calendar,O1771,N1772,"f",FALSE)</f>
        <v>51581</v>
      </c>
      <c r="P1772" s="140">
        <f>_xll.qlInterestRateIndexValueDate(IborIndex,O1772)</f>
        <v>51585</v>
      </c>
      <c r="Q1772" s="141">
        <v>2.0348600567072914E-2</v>
      </c>
      <c r="R1772" s="143">
        <v>2.0344389747650737E-2</v>
      </c>
    </row>
    <row r="1773" spans="14:18" x14ac:dyDescent="0.2">
      <c r="N1773" s="139" t="str">
        <f t="shared" si="34"/>
        <v>1w</v>
      </c>
      <c r="O1773" s="146">
        <f>_xll.qlCalendarAdvance(Calendar,O1772,N1773,"f",FALSE)</f>
        <v>51588</v>
      </c>
      <c r="P1773" s="140">
        <f>_xll.qlInterestRateIndexValueDate(IborIndex,O1773)</f>
        <v>51592</v>
      </c>
      <c r="Q1773" s="141">
        <v>2.0341609107823958E-2</v>
      </c>
      <c r="R1773" s="143">
        <v>2.0337349509897962E-2</v>
      </c>
    </row>
    <row r="1774" spans="14:18" x14ac:dyDescent="0.2">
      <c r="N1774" s="139" t="str">
        <f t="shared" si="34"/>
        <v>1w</v>
      </c>
      <c r="O1774" s="146">
        <f>_xll.qlCalendarAdvance(Calendar,O1773,N1774,"f",FALSE)</f>
        <v>51595</v>
      </c>
      <c r="P1774" s="140">
        <f>_xll.qlInterestRateIndexValueDate(IborIndex,O1774)</f>
        <v>51599</v>
      </c>
      <c r="Q1774" s="141">
        <v>2.0334570634386928E-2</v>
      </c>
      <c r="R1774" s="143">
        <v>2.0330341909238214E-2</v>
      </c>
    </row>
    <row r="1775" spans="14:18" x14ac:dyDescent="0.2">
      <c r="N1775" s="139" t="str">
        <f t="shared" si="34"/>
        <v>1w</v>
      </c>
      <c r="O1775" s="146">
        <f>_xll.qlCalendarAdvance(Calendar,O1774,N1775,"f",FALSE)</f>
        <v>51602</v>
      </c>
      <c r="P1775" s="140">
        <f>_xll.qlInterestRateIndexValueDate(IborIndex,O1775)</f>
        <v>51606</v>
      </c>
      <c r="Q1775" s="141">
        <v>2.032764262330744E-2</v>
      </c>
      <c r="R1775" s="143">
        <v>2.0323366945511623E-2</v>
      </c>
    </row>
    <row r="1776" spans="14:18" x14ac:dyDescent="0.2">
      <c r="N1776" s="139" t="str">
        <f t="shared" si="34"/>
        <v>1w</v>
      </c>
      <c r="O1776" s="146">
        <f>_xll.qlCalendarAdvance(Calendar,O1775,N1776,"f",FALSE)</f>
        <v>51609</v>
      </c>
      <c r="P1776" s="140">
        <f>_xll.qlInterestRateIndexValueDate(IborIndex,O1776)</f>
        <v>51615</v>
      </c>
      <c r="Q1776" s="141">
        <v>2.0318783221052961E-2</v>
      </c>
      <c r="R1776" s="143">
        <v>2.0314605783262607E-2</v>
      </c>
    </row>
    <row r="1777" spans="14:18" x14ac:dyDescent="0.2">
      <c r="N1777" s="139" t="str">
        <f t="shared" si="34"/>
        <v>1w</v>
      </c>
      <c r="O1777" s="146">
        <f>_xll.qlCalendarAdvance(Calendar,O1776,N1777,"f",FALSE)</f>
        <v>51616</v>
      </c>
      <c r="P1777" s="140">
        <f>_xll.qlInterestRateIndexValueDate(IborIndex,O1777)</f>
        <v>51620</v>
      </c>
      <c r="Q1777" s="141">
        <v>2.0313884683922367E-2</v>
      </c>
      <c r="R1777" s="143">
        <v>2.0308530494723698E-2</v>
      </c>
    </row>
    <row r="1778" spans="14:18" x14ac:dyDescent="0.2">
      <c r="N1778" s="139" t="str">
        <f t="shared" si="34"/>
        <v>1w</v>
      </c>
      <c r="O1778" s="146">
        <f>_xll.qlCalendarAdvance(Calendar,O1777,N1778,"f",FALSE)</f>
        <v>51623</v>
      </c>
      <c r="P1778" s="140">
        <f>_xll.qlInterestRateIndexValueDate(IborIndex,O1778)</f>
        <v>51627</v>
      </c>
      <c r="Q1778" s="141">
        <v>2.030714225591463E-2</v>
      </c>
      <c r="R1778" s="143">
        <v>2.0302637876330465E-2</v>
      </c>
    </row>
    <row r="1779" spans="14:18" x14ac:dyDescent="0.2">
      <c r="N1779" s="139" t="str">
        <f t="shared" si="34"/>
        <v>1w</v>
      </c>
      <c r="O1779" s="146">
        <f>_xll.qlCalendarAdvance(Calendar,O1778,N1779,"f",FALSE)</f>
        <v>51630</v>
      </c>
      <c r="P1779" s="140">
        <f>_xll.qlInterestRateIndexValueDate(IborIndex,O1779)</f>
        <v>51634</v>
      </c>
      <c r="Q1779" s="141">
        <v>2.0300346973990378E-2</v>
      </c>
      <c r="R1779" s="143">
        <v>2.0295793460576306E-2</v>
      </c>
    </row>
    <row r="1780" spans="14:18" x14ac:dyDescent="0.2">
      <c r="N1780" s="139" t="str">
        <f t="shared" si="34"/>
        <v>1w</v>
      </c>
      <c r="O1780" s="146">
        <f>_xll.qlCalendarAdvance(Calendar,O1779,N1780,"f",FALSE)</f>
        <v>51637</v>
      </c>
      <c r="P1780" s="140">
        <f>_xll.qlInterestRateIndexValueDate(IborIndex,O1780)</f>
        <v>51641</v>
      </c>
      <c r="Q1780" s="141">
        <v>2.02935843880875E-2</v>
      </c>
      <c r="R1780" s="143">
        <v>2.0288981681835239E-2</v>
      </c>
    </row>
    <row r="1781" spans="14:18" x14ac:dyDescent="0.2">
      <c r="N1781" s="139" t="str">
        <f t="shared" si="34"/>
        <v>1w</v>
      </c>
      <c r="O1781" s="146">
        <f>_xll.qlCalendarAdvance(Calendar,O1780,N1781,"f",FALSE)</f>
        <v>51644</v>
      </c>
      <c r="P1781" s="140">
        <f>_xll.qlInterestRateIndexValueDate(IborIndex,O1781)</f>
        <v>51648</v>
      </c>
      <c r="Q1781" s="141">
        <v>2.0286854498141531E-2</v>
      </c>
      <c r="R1781" s="143">
        <v>2.0282290964654948E-2</v>
      </c>
    </row>
    <row r="1782" spans="14:18" x14ac:dyDescent="0.2">
      <c r="N1782" s="139" t="str">
        <f t="shared" si="34"/>
        <v>1w</v>
      </c>
      <c r="O1782" s="146">
        <f>_xll.qlCalendarAdvance(Calendar,O1781,N1782,"f",FALSE)</f>
        <v>51652</v>
      </c>
      <c r="P1782" s="140">
        <f>_xll.qlInterestRateIndexValueDate(IborIndex,O1782)</f>
        <v>51656</v>
      </c>
      <c r="Q1782" s="141">
        <v>2.0279107629494142E-2</v>
      </c>
      <c r="R1782" s="143">
        <v>2.0274494913090635E-2</v>
      </c>
    </row>
    <row r="1783" spans="14:18" x14ac:dyDescent="0.2">
      <c r="N1783" s="139" t="str">
        <f t="shared" si="34"/>
        <v>1w</v>
      </c>
      <c r="O1783" s="146">
        <f>_xll.qlCalendarAdvance(Calendar,O1782,N1783,"f",FALSE)</f>
        <v>51659</v>
      </c>
      <c r="P1783" s="140">
        <f>_xll.qlInterestRateIndexValueDate(IborIndex,O1783)</f>
        <v>51664</v>
      </c>
      <c r="Q1783" s="141">
        <v>2.027149682651963E-2</v>
      </c>
      <c r="R1783" s="143">
        <v>2.0267015879031902E-2</v>
      </c>
    </row>
    <row r="1784" spans="14:18" x14ac:dyDescent="0.2">
      <c r="N1784" s="139" t="str">
        <f t="shared" si="34"/>
        <v>1w</v>
      </c>
      <c r="O1784" s="146">
        <f>_xll.qlCalendarAdvance(Calendar,O1783,N1784,"f",FALSE)</f>
        <v>51666</v>
      </c>
      <c r="P1784" s="140">
        <f>_xll.qlInterestRateIndexValueDate(IborIndex,O1784)</f>
        <v>51670</v>
      </c>
      <c r="Q1784" s="141">
        <v>2.0265816747565779E-2</v>
      </c>
      <c r="R1784" s="143">
        <v>2.0261393400855532E-2</v>
      </c>
    </row>
    <row r="1785" spans="14:18" x14ac:dyDescent="0.2">
      <c r="N1785" s="139" t="str">
        <f t="shared" si="34"/>
        <v>1w</v>
      </c>
      <c r="O1785" s="146">
        <f>_xll.qlCalendarAdvance(Calendar,O1784,N1785,"f",FALSE)</f>
        <v>51676</v>
      </c>
      <c r="P1785" s="140">
        <f>_xll.qlInterestRateIndexValueDate(IborIndex,O1785)</f>
        <v>51678</v>
      </c>
      <c r="Q1785" s="141">
        <v>2.0258280673270512E-2</v>
      </c>
      <c r="R1785" s="143">
        <v>2.0253712531728141E-2</v>
      </c>
    </row>
    <row r="1786" spans="14:18" x14ac:dyDescent="0.2">
      <c r="N1786" s="139" t="str">
        <f t="shared" si="34"/>
        <v>1w</v>
      </c>
      <c r="O1786" s="146">
        <f>_xll.qlCalendarAdvance(Calendar,O1785,N1786,"f",FALSE)</f>
        <v>51683</v>
      </c>
      <c r="P1786" s="140">
        <f>_xll.qlInterestRateIndexValueDate(IborIndex,O1786)</f>
        <v>51685</v>
      </c>
      <c r="Q1786" s="141">
        <v>2.0252033421168457E-2</v>
      </c>
      <c r="R1786" s="143">
        <v>2.0247109819457876E-2</v>
      </c>
    </row>
    <row r="1787" spans="14:18" x14ac:dyDescent="0.2">
      <c r="N1787" s="139" t="str">
        <f t="shared" si="34"/>
        <v>1w</v>
      </c>
      <c r="O1787" s="146">
        <f>_xll.qlCalendarAdvance(Calendar,O1786,N1787,"f",FALSE)</f>
        <v>51690</v>
      </c>
      <c r="P1787" s="140">
        <f>_xll.qlInterestRateIndexValueDate(IborIndex,O1787)</f>
        <v>51692</v>
      </c>
      <c r="Q1787" s="141">
        <v>2.0245512985423181E-2</v>
      </c>
      <c r="R1787" s="143">
        <v>2.0240539748037634E-2</v>
      </c>
    </row>
    <row r="1788" spans="14:18" x14ac:dyDescent="0.2">
      <c r="N1788" s="139" t="str">
        <f t="shared" si="34"/>
        <v>1w</v>
      </c>
      <c r="O1788" s="146">
        <f>_xll.qlCalendarAdvance(Calendar,O1787,N1788,"f",FALSE)</f>
        <v>51697</v>
      </c>
      <c r="P1788" s="140">
        <f>_xll.qlInterestRateIndexValueDate(IborIndex,O1788)</f>
        <v>51699</v>
      </c>
      <c r="Q1788" s="141">
        <v>2.0239025249133166E-2</v>
      </c>
      <c r="R1788" s="143">
        <v>2.0234002317520705E-2</v>
      </c>
    </row>
    <row r="1789" spans="14:18" x14ac:dyDescent="0.2">
      <c r="N1789" s="139" t="str">
        <f t="shared" si="34"/>
        <v>1w</v>
      </c>
      <c r="O1789" s="146">
        <f>_xll.qlCalendarAdvance(Calendar,O1788,N1789,"f",FALSE)</f>
        <v>51704</v>
      </c>
      <c r="P1789" s="140">
        <f>_xll.qlInterestRateIndexValueDate(IborIndex,O1789)</f>
        <v>51706</v>
      </c>
      <c r="Q1789" s="141">
        <v>2.0232570212242704E-2</v>
      </c>
      <c r="R1789" s="143">
        <v>2.0227497527853799E-2</v>
      </c>
    </row>
    <row r="1790" spans="14:18" x14ac:dyDescent="0.2">
      <c r="N1790" s="139" t="str">
        <f t="shared" si="34"/>
        <v>1w</v>
      </c>
      <c r="O1790" s="146">
        <f>_xll.qlCalendarAdvance(Calendar,O1789,N1790,"f",FALSE)</f>
        <v>51711</v>
      </c>
      <c r="P1790" s="140">
        <f>_xll.qlInterestRateIndexValueDate(IborIndex,O1790)</f>
        <v>51713</v>
      </c>
      <c r="Q1790" s="141">
        <v>2.0225812429147894E-2</v>
      </c>
      <c r="R1790" s="143">
        <v>2.0221025379090207E-2</v>
      </c>
    </row>
    <row r="1791" spans="14:18" x14ac:dyDescent="0.2">
      <c r="N1791" s="139" t="str">
        <f t="shared" si="34"/>
        <v>1w</v>
      </c>
      <c r="O1791" s="146">
        <f>_xll.qlCalendarAdvance(Calendar,O1790,N1791,"f",FALSE)</f>
        <v>51718</v>
      </c>
      <c r="P1791" s="140">
        <f>_xll.qlInterestRateIndexValueDate(IborIndex,O1791)</f>
        <v>51720</v>
      </c>
      <c r="Q1791" s="141">
        <v>2.0219758236413362E-2</v>
      </c>
      <c r="R1791" s="143">
        <v>2.0214585871176638E-2</v>
      </c>
    </row>
    <row r="1792" spans="14:18" x14ac:dyDescent="0.2">
      <c r="N1792" s="139" t="str">
        <f t="shared" si="34"/>
        <v>1w</v>
      </c>
      <c r="O1792" s="146">
        <f>_xll.qlCalendarAdvance(Calendar,O1791,N1792,"f",FALSE)</f>
        <v>51725</v>
      </c>
      <c r="P1792" s="140">
        <f>_xll.qlInterestRateIndexValueDate(IborIndex,O1792)</f>
        <v>51727</v>
      </c>
      <c r="Q1792" s="141">
        <v>2.02134012973679E-2</v>
      </c>
      <c r="R1792" s="143">
        <v>2.0208179004113092E-2</v>
      </c>
    </row>
    <row r="1793" spans="14:18" x14ac:dyDescent="0.2">
      <c r="N1793" s="139" t="str">
        <f t="shared" si="34"/>
        <v>1w</v>
      </c>
      <c r="O1793" s="146">
        <f>_xll.qlCalendarAdvance(Calendar,O1792,N1793,"f",FALSE)</f>
        <v>51732</v>
      </c>
      <c r="P1793" s="140">
        <f>_xll.qlInterestRateIndexValueDate(IborIndex,O1793)</f>
        <v>51734</v>
      </c>
      <c r="Q1793" s="141">
        <v>2.0207077057487026E-2</v>
      </c>
      <c r="R1793" s="143">
        <v>2.0201804777926213E-2</v>
      </c>
    </row>
    <row r="1794" spans="14:18" x14ac:dyDescent="0.2">
      <c r="N1794" s="139" t="str">
        <f t="shared" si="34"/>
        <v>1w</v>
      </c>
      <c r="O1794" s="146">
        <f>_xll.qlCalendarAdvance(Calendar,O1793,N1794,"f",FALSE)</f>
        <v>51739</v>
      </c>
      <c r="P1794" s="140">
        <f>_xll.qlInterestRateIndexValueDate(IborIndex,O1794)</f>
        <v>51741</v>
      </c>
      <c r="Q1794" s="141">
        <v>2.0200785516719871E-2</v>
      </c>
      <c r="R1794" s="143">
        <v>2.0195463192562713E-2</v>
      </c>
    </row>
    <row r="1795" spans="14:18" x14ac:dyDescent="0.2">
      <c r="N1795" s="139" t="str">
        <f t="shared" si="34"/>
        <v>1w</v>
      </c>
      <c r="O1795" s="146">
        <f>_xll.qlCalendarAdvance(Calendar,O1794,N1795,"f",FALSE)</f>
        <v>51746</v>
      </c>
      <c r="P1795" s="140">
        <f>_xll.qlInterestRateIndexValueDate(IborIndex,O1795)</f>
        <v>51748</v>
      </c>
      <c r="Q1795" s="141">
        <v>2.0194161521181364E-2</v>
      </c>
      <c r="R1795" s="143">
        <v>2.0189154248049235E-2</v>
      </c>
    </row>
    <row r="1796" spans="14:18" x14ac:dyDescent="0.2">
      <c r="N1796" s="139" t="str">
        <f t="shared" si="34"/>
        <v>1w</v>
      </c>
      <c r="O1796" s="146">
        <f>_xll.qlCalendarAdvance(Calendar,O1795,N1796,"f",FALSE)</f>
        <v>51753</v>
      </c>
      <c r="P1796" s="140">
        <f>_xll.qlInterestRateIndexValueDate(IborIndex,O1796)</f>
        <v>51755</v>
      </c>
      <c r="Q1796" s="141">
        <v>2.0187929419354766E-2</v>
      </c>
      <c r="R1796" s="143">
        <v>2.0182877944412425E-2</v>
      </c>
    </row>
    <row r="1797" spans="14:18" x14ac:dyDescent="0.2">
      <c r="N1797" s="139" t="str">
        <f t="shared" si="34"/>
        <v>1w</v>
      </c>
      <c r="O1797" s="146">
        <f>_xll.qlCalendarAdvance(Calendar,O1796,N1797,"f",FALSE)</f>
        <v>51760</v>
      </c>
      <c r="P1797" s="140">
        <f>_xll.qlInterestRateIndexValueDate(IborIndex,O1797)</f>
        <v>51762</v>
      </c>
      <c r="Q1797" s="141">
        <v>2.0181730010667032E-2</v>
      </c>
      <c r="R1797" s="143">
        <v>2.0176634281572348E-2</v>
      </c>
    </row>
    <row r="1798" spans="14:18" x14ac:dyDescent="0.2">
      <c r="N1798" s="139" t="str">
        <f t="shared" si="34"/>
        <v>1w</v>
      </c>
      <c r="O1798" s="146">
        <f>_xll.qlCalendarAdvance(Calendar,O1797,N1798,"f",FALSE)</f>
        <v>51767</v>
      </c>
      <c r="P1798" s="140">
        <f>_xll.qlInterestRateIndexValueDate(IborIndex,O1798)</f>
        <v>51769</v>
      </c>
      <c r="Q1798" s="141">
        <v>2.0175563295062204E-2</v>
      </c>
      <c r="R1798" s="143">
        <v>2.0170423259582293E-2</v>
      </c>
    </row>
    <row r="1799" spans="14:18" x14ac:dyDescent="0.2">
      <c r="N1799" s="139" t="str">
        <f t="shared" si="34"/>
        <v>1w</v>
      </c>
      <c r="O1799" s="146">
        <f>_xll.qlCalendarAdvance(Calendar,O1798,N1799,"f",FALSE)</f>
        <v>51774</v>
      </c>
      <c r="P1799" s="140">
        <f>_xll.qlInterestRateIndexValueDate(IborIndex,O1799)</f>
        <v>51776</v>
      </c>
      <c r="Q1799" s="141">
        <v>2.0169818297564843E-2</v>
      </c>
      <c r="R1799" s="143">
        <v>2.0164244878388971E-2</v>
      </c>
    </row>
    <row r="1800" spans="14:18" x14ac:dyDescent="0.2">
      <c r="N1800" s="139" t="str">
        <f t="shared" si="34"/>
        <v>1w</v>
      </c>
      <c r="O1800" s="146">
        <f>_xll.qlCalendarAdvance(Calendar,O1799,N1800,"f",FALSE)</f>
        <v>51781</v>
      </c>
      <c r="P1800" s="140">
        <f>_xll.qlInterestRateIndexValueDate(IborIndex,O1800)</f>
        <v>51783</v>
      </c>
      <c r="Q1800" s="141">
        <v>2.0163722950283389E-2</v>
      </c>
      <c r="R1800" s="143">
        <v>2.0158099138045671E-2</v>
      </c>
    </row>
    <row r="1801" spans="14:18" x14ac:dyDescent="0.2">
      <c r="N1801" s="139" t="str">
        <f t="shared" si="34"/>
        <v>1w</v>
      </c>
      <c r="O1801" s="146">
        <f>_xll.qlCalendarAdvance(Calendar,O1800,N1801,"f",FALSE)</f>
        <v>51788</v>
      </c>
      <c r="P1801" s="140">
        <f>_xll.qlInterestRateIndexValueDate(IborIndex,O1801)</f>
        <v>51790</v>
      </c>
      <c r="Q1801" s="141">
        <v>2.0157660301725663E-2</v>
      </c>
      <c r="R1801" s="143">
        <v>2.0151986038499103E-2</v>
      </c>
    </row>
    <row r="1802" spans="14:18" x14ac:dyDescent="0.2">
      <c r="N1802" s="139" t="str">
        <f t="shared" si="34"/>
        <v>1w</v>
      </c>
      <c r="O1802" s="146">
        <f>_xll.qlCalendarAdvance(Calendar,O1801,N1802,"f",FALSE)</f>
        <v>51795</v>
      </c>
      <c r="P1802" s="140">
        <f>_xll.qlInterestRateIndexValueDate(IborIndex,O1802)</f>
        <v>51797</v>
      </c>
      <c r="Q1802" s="141">
        <v>2.0151630351833531E-2</v>
      </c>
      <c r="R1802" s="143">
        <v>2.0145905579802559E-2</v>
      </c>
    </row>
    <row r="1803" spans="14:18" x14ac:dyDescent="0.2">
      <c r="N1803" s="139" t="str">
        <f t="shared" si="34"/>
        <v>1w</v>
      </c>
      <c r="O1803" s="146">
        <f>_xll.qlCalendarAdvance(Calendar,O1802,N1803,"f",FALSE)</f>
        <v>51802</v>
      </c>
      <c r="P1803" s="140">
        <f>_xll.qlInterestRateIndexValueDate(IborIndex,O1803)</f>
        <v>51804</v>
      </c>
      <c r="Q1803" s="141">
        <v>2.0145220111589701E-2</v>
      </c>
      <c r="R1803" s="143">
        <v>2.0139857761876101E-2</v>
      </c>
    </row>
    <row r="1804" spans="14:18" x14ac:dyDescent="0.2">
      <c r="N1804" s="139" t="str">
        <f t="shared" si="34"/>
        <v>1w</v>
      </c>
      <c r="O1804" s="146">
        <f>_xll.qlCalendarAdvance(Calendar,O1803,N1804,"f",FALSE)</f>
        <v>51809</v>
      </c>
      <c r="P1804" s="140">
        <f>_xll.qlInterestRateIndexValueDate(IborIndex,O1804)</f>
        <v>51811</v>
      </c>
      <c r="Q1804" s="141">
        <v>2.0139249553456473E-2</v>
      </c>
      <c r="R1804" s="143">
        <v>2.0133842584746375E-2</v>
      </c>
    </row>
    <row r="1805" spans="14:18" x14ac:dyDescent="0.2">
      <c r="N1805" s="139" t="str">
        <f t="shared" si="34"/>
        <v>1w</v>
      </c>
      <c r="O1805" s="146">
        <f>_xll.qlCalendarAdvance(Calendar,O1804,N1805,"f",FALSE)</f>
        <v>51816</v>
      </c>
      <c r="P1805" s="140">
        <f>_xll.qlInterestRateIndexValueDate(IborIndex,O1805)</f>
        <v>51818</v>
      </c>
      <c r="Q1805" s="141">
        <v>2.0133311688062427E-2</v>
      </c>
      <c r="R1805" s="143">
        <v>2.0127860048413382E-2</v>
      </c>
    </row>
    <row r="1806" spans="14:18" x14ac:dyDescent="0.2">
      <c r="N1806" s="139" t="str">
        <f t="shared" si="34"/>
        <v>1w</v>
      </c>
      <c r="O1806" s="146">
        <f>_xll.qlCalendarAdvance(Calendar,O1805,N1806,"f",FALSE)</f>
        <v>51823</v>
      </c>
      <c r="P1806" s="140">
        <f>_xll.qlInterestRateIndexValueDate(IborIndex,O1806)</f>
        <v>51825</v>
      </c>
      <c r="Q1806" s="141">
        <v>2.0127406515359603E-2</v>
      </c>
      <c r="R1806" s="143">
        <v>2.012191015287712E-2</v>
      </c>
    </row>
    <row r="1807" spans="14:18" x14ac:dyDescent="0.2">
      <c r="N1807" s="139" t="str">
        <f t="shared" si="34"/>
        <v>1w</v>
      </c>
      <c r="O1807" s="146">
        <f>_xll.qlCalendarAdvance(Calendar,O1806,N1807,"f",FALSE)</f>
        <v>51830</v>
      </c>
      <c r="P1807" s="140">
        <f>_xll.qlInterestRateIndexValueDate(IborIndex,O1807)</f>
        <v>51832</v>
      </c>
      <c r="Q1807" s="141">
        <v>2.0121534035302702E-2</v>
      </c>
      <c r="R1807" s="143">
        <v>2.0115992898110946E-2</v>
      </c>
    </row>
    <row r="1808" spans="14:18" x14ac:dyDescent="0.2">
      <c r="N1808" s="139" t="str">
        <f t="shared" si="34"/>
        <v>1w</v>
      </c>
      <c r="O1808" s="146">
        <f>_xll.qlCalendarAdvance(Calendar,O1807,N1808,"f",FALSE)</f>
        <v>51837</v>
      </c>
      <c r="P1808" s="140">
        <f>_xll.qlInterestRateIndexValueDate(IborIndex,O1808)</f>
        <v>51839</v>
      </c>
      <c r="Q1808" s="141">
        <v>2.0116285406940652E-2</v>
      </c>
      <c r="R1808" s="143">
        <v>2.0110108284141504E-2</v>
      </c>
    </row>
    <row r="1809" spans="14:18" x14ac:dyDescent="0.2">
      <c r="N1809" s="139" t="str">
        <f t="shared" si="34"/>
        <v>1w</v>
      </c>
      <c r="O1809" s="146">
        <f>_xll.qlCalendarAdvance(Calendar,O1808,N1809,"f",FALSE)</f>
        <v>51844</v>
      </c>
      <c r="P1809" s="140">
        <f>_xll.qlInterestRateIndexValueDate(IborIndex,O1809)</f>
        <v>51846</v>
      </c>
      <c r="Q1809" s="141">
        <v>2.0110336260756062E-2</v>
      </c>
      <c r="R1809" s="143">
        <v>2.0104256310968793E-2</v>
      </c>
    </row>
    <row r="1810" spans="14:18" x14ac:dyDescent="0.2">
      <c r="N1810" s="139" t="str">
        <f t="shared" si="34"/>
        <v>1w</v>
      </c>
      <c r="O1810" s="146">
        <f>_xll.qlCalendarAdvance(Calendar,O1809,N1810,"f",FALSE)</f>
        <v>51851</v>
      </c>
      <c r="P1810" s="140">
        <f>_xll.qlInterestRateIndexValueDate(IborIndex,O1810)</f>
        <v>51853</v>
      </c>
      <c r="Q1810" s="141">
        <v>2.0104567898275055E-2</v>
      </c>
      <c r="R1810" s="143">
        <v>2.0098436978539524E-2</v>
      </c>
    </row>
    <row r="1811" spans="14:18" x14ac:dyDescent="0.2">
      <c r="N1811" s="139" t="str">
        <f t="shared" si="34"/>
        <v>1w</v>
      </c>
      <c r="O1811" s="146">
        <f>_xll.qlCalendarAdvance(Calendar,O1810,N1811,"f",FALSE)</f>
        <v>51858</v>
      </c>
      <c r="P1811" s="140">
        <f>_xll.qlInterestRateIndexValueDate(IborIndex,O1811)</f>
        <v>51865</v>
      </c>
      <c r="Q1811" s="141">
        <v>2.0094599980377825E-2</v>
      </c>
      <c r="R1811" s="143">
        <v>2.0087047025538762E-2</v>
      </c>
    </row>
    <row r="1812" spans="14:18" x14ac:dyDescent="0.2">
      <c r="N1812" s="139" t="str">
        <f t="shared" si="34"/>
        <v>1w</v>
      </c>
      <c r="O1812" s="146">
        <f>_xll.qlCalendarAdvance(Calendar,O1811,N1812,"f",FALSE)</f>
        <v>51865</v>
      </c>
      <c r="P1812" s="140">
        <f>_xll.qlInterestRateIndexValueDate(IborIndex,O1812)</f>
        <v>51869</v>
      </c>
      <c r="Q1812" s="141">
        <v>2.0091193006603676E-2</v>
      </c>
      <c r="R1812" s="143">
        <v>2.0082502322145146E-2</v>
      </c>
    </row>
    <row r="1813" spans="14:18" x14ac:dyDescent="0.2">
      <c r="N1813" s="139" t="str">
        <f t="shared" ref="N1813:N1876" si="35">N1812</f>
        <v>1w</v>
      </c>
      <c r="O1813" s="146">
        <f>_xll.qlCalendarAdvance(Calendar,O1812,N1813,"f",FALSE)</f>
        <v>51873</v>
      </c>
      <c r="P1813" s="140">
        <f>_xll.qlInterestRateIndexValueDate(IborIndex,O1813)</f>
        <v>51875</v>
      </c>
      <c r="Q1813" s="141">
        <v>2.008649337637225E-2</v>
      </c>
      <c r="R1813" s="143">
        <v>2.007842604738741E-2</v>
      </c>
    </row>
    <row r="1814" spans="14:18" x14ac:dyDescent="0.2">
      <c r="N1814" s="139" t="str">
        <f t="shared" si="35"/>
        <v>1w</v>
      </c>
      <c r="O1814" s="146">
        <f>_xll.qlCalendarAdvance(Calendar,O1813,N1814,"f",FALSE)</f>
        <v>51880</v>
      </c>
      <c r="P1814" s="140">
        <f>_xll.qlInterestRateIndexValueDate(IborIndex,O1814)</f>
        <v>51882</v>
      </c>
      <c r="Q1814" s="141">
        <v>2.008085845601193E-2</v>
      </c>
      <c r="R1814" s="143">
        <v>2.0072747237325217E-2</v>
      </c>
    </row>
    <row r="1815" spans="14:18" x14ac:dyDescent="0.2">
      <c r="N1815" s="139" t="str">
        <f t="shared" si="35"/>
        <v>1w</v>
      </c>
      <c r="O1815" s="146">
        <f>_xll.qlCalendarAdvance(Calendar,O1814,N1815,"f",FALSE)</f>
        <v>51887</v>
      </c>
      <c r="P1815" s="140">
        <f>_xll.qlInterestRateIndexValueDate(IborIndex,O1815)</f>
        <v>51889</v>
      </c>
      <c r="Q1815" s="141">
        <v>2.0075256231719962E-2</v>
      </c>
      <c r="R1815" s="143">
        <v>2.006710106419618E-2</v>
      </c>
    </row>
    <row r="1816" spans="14:18" x14ac:dyDescent="0.2">
      <c r="N1816" s="139" t="str">
        <f t="shared" si="35"/>
        <v>1w</v>
      </c>
      <c r="O1816" s="146">
        <f>_xll.qlCalendarAdvance(Calendar,O1815,N1816,"f",FALSE)</f>
        <v>51894</v>
      </c>
      <c r="P1816" s="140">
        <f>_xll.qlInterestRateIndexValueDate(IborIndex,O1816)</f>
        <v>51896</v>
      </c>
      <c r="Q1816" s="141">
        <v>2.0069194924963708E-2</v>
      </c>
      <c r="R1816" s="143">
        <v>2.0061487527920363E-2</v>
      </c>
    </row>
    <row r="1817" spans="14:18" x14ac:dyDescent="0.2">
      <c r="N1817" s="139" t="str">
        <f t="shared" si="35"/>
        <v>1w</v>
      </c>
      <c r="O1817" s="146">
        <f>_xll.qlCalendarAdvance(Calendar,O1816,N1817,"f",FALSE)</f>
        <v>51901</v>
      </c>
      <c r="P1817" s="140">
        <f>_xll.qlInterestRateIndexValueDate(IborIndex,O1817)</f>
        <v>51903</v>
      </c>
      <c r="Q1817" s="141">
        <v>2.0063486458492857E-2</v>
      </c>
      <c r="R1817" s="143">
        <v>2.0055906628577702E-2</v>
      </c>
    </row>
    <row r="1818" spans="14:18" x14ac:dyDescent="0.2">
      <c r="N1818" s="139" t="str">
        <f t="shared" si="35"/>
        <v>1w</v>
      </c>
      <c r="O1818" s="146">
        <f>_xll.qlCalendarAdvance(Calendar,O1817,N1818,"f",FALSE)</f>
        <v>51908</v>
      </c>
      <c r="P1818" s="140">
        <f>_xll.qlInterestRateIndexValueDate(IborIndex,O1818)</f>
        <v>51910</v>
      </c>
      <c r="Q1818" s="141">
        <v>2.0057974208290856E-2</v>
      </c>
      <c r="R1818" s="143">
        <v>2.0050358366248133E-2</v>
      </c>
    </row>
    <row r="1819" spans="14:18" x14ac:dyDescent="0.2">
      <c r="N1819" s="139" t="str">
        <f t="shared" si="35"/>
        <v>1w</v>
      </c>
      <c r="O1819" s="146">
        <f>_xll.qlCalendarAdvance(Calendar,O1818,N1819,"f",FALSE)</f>
        <v>51915</v>
      </c>
      <c r="P1819" s="140">
        <f>_xll.qlInterestRateIndexValueDate(IborIndex,O1819)</f>
        <v>51917</v>
      </c>
      <c r="Q1819" s="141">
        <v>2.0052494646363796E-2</v>
      </c>
      <c r="R1819" s="143">
        <v>2.0044842740771784E-2</v>
      </c>
    </row>
    <row r="1820" spans="14:18" x14ac:dyDescent="0.2">
      <c r="N1820" s="139" t="str">
        <f t="shared" si="35"/>
        <v>1w</v>
      </c>
      <c r="O1820" s="146">
        <f>_xll.qlCalendarAdvance(Calendar,O1819,N1820,"f",FALSE)</f>
        <v>51922</v>
      </c>
      <c r="P1820" s="140">
        <f>_xll.qlInterestRateIndexValueDate(IborIndex,O1820)</f>
        <v>51924</v>
      </c>
      <c r="Q1820" s="141">
        <v>2.0047047772674569E-2</v>
      </c>
      <c r="R1820" s="143">
        <v>2.0039359752308528E-2</v>
      </c>
    </row>
    <row r="1821" spans="14:18" x14ac:dyDescent="0.2">
      <c r="N1821" s="139" t="str">
        <f t="shared" si="35"/>
        <v>1w</v>
      </c>
      <c r="O1821" s="146">
        <f>_xll.qlCalendarAdvance(Calendar,O1820,N1821,"f",FALSE)</f>
        <v>51929</v>
      </c>
      <c r="P1821" s="140">
        <f>_xll.qlInterestRateIndexValueDate(IborIndex,O1821)</f>
        <v>51931</v>
      </c>
      <c r="Q1821" s="141">
        <v>2.004250398029438E-2</v>
      </c>
      <c r="R1821" s="143">
        <v>2.0033909400618555E-2</v>
      </c>
    </row>
    <row r="1822" spans="14:18" x14ac:dyDescent="0.2">
      <c r="N1822" s="139" t="str">
        <f t="shared" si="35"/>
        <v>1w</v>
      </c>
      <c r="O1822" s="146">
        <f>_xll.qlCalendarAdvance(Calendar,O1821,N1822,"f",FALSE)</f>
        <v>51936</v>
      </c>
      <c r="P1822" s="140">
        <f>_xll.qlInterestRateIndexValueDate(IborIndex,O1822)</f>
        <v>51938</v>
      </c>
      <c r="Q1822" s="141">
        <v>2.0036956147685692E-2</v>
      </c>
      <c r="R1822" s="143">
        <v>2.0028491685861738E-2</v>
      </c>
    </row>
    <row r="1823" spans="14:18" x14ac:dyDescent="0.2">
      <c r="N1823" s="139" t="str">
        <f t="shared" si="35"/>
        <v>1w</v>
      </c>
      <c r="O1823" s="146">
        <f>_xll.qlCalendarAdvance(Calendar,O1822,N1823,"f",FALSE)</f>
        <v>51943</v>
      </c>
      <c r="P1823" s="140">
        <f>_xll.qlInterestRateIndexValueDate(IborIndex,O1823)</f>
        <v>51945</v>
      </c>
      <c r="Q1823" s="141">
        <v>2.0031615490251897E-2</v>
      </c>
      <c r="R1823" s="143">
        <v>2.0023106608197949E-2</v>
      </c>
    </row>
    <row r="1824" spans="14:18" x14ac:dyDescent="0.2">
      <c r="N1824" s="139" t="str">
        <f t="shared" si="35"/>
        <v>1w</v>
      </c>
      <c r="O1824" s="146">
        <f>_xll.qlCalendarAdvance(Calendar,O1823,N1824,"f",FALSE)</f>
        <v>51950</v>
      </c>
      <c r="P1824" s="140">
        <f>_xll.qlInterestRateIndexValueDate(IborIndex,O1824)</f>
        <v>51952</v>
      </c>
      <c r="Q1824" s="141">
        <v>2.0026307528461795E-2</v>
      </c>
      <c r="R1824" s="143">
        <v>2.001775416738738E-2</v>
      </c>
    </row>
    <row r="1825" spans="14:18" x14ac:dyDescent="0.2">
      <c r="N1825" s="139" t="str">
        <f t="shared" si="35"/>
        <v>1w</v>
      </c>
      <c r="O1825" s="146">
        <f>_xll.qlCalendarAdvance(Calendar,O1824,N1825,"f",FALSE)</f>
        <v>51957</v>
      </c>
      <c r="P1825" s="140">
        <f>_xll.qlInterestRateIndexValueDate(IborIndex,O1825)</f>
        <v>51959</v>
      </c>
      <c r="Q1825" s="141">
        <v>2.0021032262267924E-2</v>
      </c>
      <c r="R1825" s="143">
        <v>2.0010920413904287E-2</v>
      </c>
    </row>
    <row r="1826" spans="14:18" x14ac:dyDescent="0.2">
      <c r="N1826" s="139" t="str">
        <f t="shared" si="35"/>
        <v>1w</v>
      </c>
      <c r="O1826" s="146">
        <f>_xll.qlCalendarAdvance(Calendar,O1825,N1826,"f",FALSE)</f>
        <v>51964</v>
      </c>
      <c r="P1826" s="140">
        <f>_xll.qlInterestRateIndexValueDate(IborIndex,O1826)</f>
        <v>51966</v>
      </c>
      <c r="Q1826" s="141">
        <v>2.0015789691627817E-2</v>
      </c>
      <c r="R1826" s="143">
        <v>2.0007147196405839E-2</v>
      </c>
    </row>
    <row r="1827" spans="14:18" x14ac:dyDescent="0.2">
      <c r="N1827" s="139" t="str">
        <f t="shared" si="35"/>
        <v>1w</v>
      </c>
      <c r="O1827" s="146">
        <f>_xll.qlCalendarAdvance(Calendar,O1826,N1827,"f",FALSE)</f>
        <v>51971</v>
      </c>
      <c r="P1827" s="140">
        <f>_xll.qlInterestRateIndexValueDate(IborIndex,O1827)</f>
        <v>51973</v>
      </c>
      <c r="Q1827" s="141">
        <v>2.001057981649651E-2</v>
      </c>
      <c r="R1827" s="143">
        <v>2.0001892666234866E-2</v>
      </c>
    </row>
    <row r="1828" spans="14:18" x14ac:dyDescent="0.2">
      <c r="N1828" s="139" t="str">
        <f t="shared" si="35"/>
        <v>1w</v>
      </c>
      <c r="O1828" s="146">
        <f>_xll.qlCalendarAdvance(Calendar,O1827,N1828,"f",FALSE)</f>
        <v>51978</v>
      </c>
      <c r="P1828" s="140">
        <f>_xll.qlInterestRateIndexValueDate(IborIndex,O1828)</f>
        <v>51980</v>
      </c>
      <c r="Q1828" s="141">
        <v>2.0005591412860211E-2</v>
      </c>
      <c r="R1828" s="143">
        <v>1.9996670772997049E-2</v>
      </c>
    </row>
    <row r="1829" spans="14:18" x14ac:dyDescent="0.2">
      <c r="N1829" s="139" t="str">
        <f t="shared" si="35"/>
        <v>1w</v>
      </c>
      <c r="O1829" s="146">
        <f>_xll.qlCalendarAdvance(Calendar,O1828,N1829,"f",FALSE)</f>
        <v>51985</v>
      </c>
      <c r="P1829" s="140">
        <f>_xll.qlInterestRateIndexValueDate(IborIndex,O1829)</f>
        <v>51988</v>
      </c>
      <c r="Q1829" s="141">
        <v>1.9999334978831062E-2</v>
      </c>
      <c r="R1829" s="143">
        <v>1.9990742858597699E-2</v>
      </c>
    </row>
    <row r="1830" spans="14:18" x14ac:dyDescent="0.2">
      <c r="N1830" s="139" t="str">
        <f t="shared" si="35"/>
        <v>1w</v>
      </c>
      <c r="O1830" s="146">
        <f>_xll.qlCalendarAdvance(Calendar,O1829,N1830,"f",FALSE)</f>
        <v>51992</v>
      </c>
      <c r="P1830" s="140">
        <f>_xll.qlInterestRateIndexValueDate(IborIndex,O1830)</f>
        <v>51994</v>
      </c>
      <c r="Q1830" s="141">
        <v>1.9995146363685767E-2</v>
      </c>
      <c r="R1830" s="143">
        <v>1.9986324897240948E-2</v>
      </c>
    </row>
    <row r="1831" spans="14:18" x14ac:dyDescent="0.2">
      <c r="N1831" s="139" t="str">
        <f t="shared" si="35"/>
        <v>1w</v>
      </c>
      <c r="O1831" s="146">
        <f>_xll.qlCalendarAdvance(Calendar,O1830,N1831,"f",FALSE)</f>
        <v>51999</v>
      </c>
      <c r="P1831" s="140">
        <f>_xll.qlInterestRateIndexValueDate(IborIndex,O1831)</f>
        <v>52002</v>
      </c>
      <c r="Q1831" s="141">
        <v>1.9989149332391227E-2</v>
      </c>
      <c r="R1831" s="143">
        <v>1.9980471581488857E-2</v>
      </c>
    </row>
    <row r="1832" spans="14:18" x14ac:dyDescent="0.2">
      <c r="N1832" s="139" t="str">
        <f t="shared" si="35"/>
        <v>1w</v>
      </c>
      <c r="O1832" s="146">
        <f>_xll.qlCalendarAdvance(Calendar,O1831,N1832,"f",FALSE)</f>
        <v>52006</v>
      </c>
      <c r="P1832" s="140">
        <f>_xll.qlInterestRateIndexValueDate(IborIndex,O1832)</f>
        <v>52008</v>
      </c>
      <c r="Q1832" s="141">
        <v>1.9985020871855774E-2</v>
      </c>
      <c r="R1832" s="143">
        <v>1.997538489833417E-2</v>
      </c>
    </row>
    <row r="1833" spans="14:18" x14ac:dyDescent="0.2">
      <c r="N1833" s="139" t="str">
        <f t="shared" si="35"/>
        <v>1w</v>
      </c>
      <c r="O1833" s="146">
        <f>_xll.qlCalendarAdvance(Calendar,O1832,N1833,"f",FALSE)</f>
        <v>52013</v>
      </c>
      <c r="P1833" s="140">
        <f>_xll.qlInterestRateIndexValueDate(IborIndex,O1833)</f>
        <v>52015</v>
      </c>
      <c r="Q1833" s="141">
        <v>1.9980007168820535E-2</v>
      </c>
      <c r="R1833" s="143">
        <v>1.9971050860485562E-2</v>
      </c>
    </row>
    <row r="1834" spans="14:18" x14ac:dyDescent="0.2">
      <c r="N1834" s="139" t="str">
        <f t="shared" si="35"/>
        <v>1w</v>
      </c>
      <c r="O1834" s="146">
        <f>_xll.qlCalendarAdvance(Calendar,O1833,N1834,"f",FALSE)</f>
        <v>52020</v>
      </c>
      <c r="P1834" s="140">
        <f>_xll.qlInterestRateIndexValueDate(IborIndex,O1834)</f>
        <v>52022</v>
      </c>
      <c r="Q1834" s="141">
        <v>1.9975026160981846E-2</v>
      </c>
      <c r="R1834" s="143">
        <v>1.9966024788686809E-2</v>
      </c>
    </row>
    <row r="1835" spans="14:18" x14ac:dyDescent="0.2">
      <c r="N1835" s="139" t="str">
        <f t="shared" si="35"/>
        <v>1w</v>
      </c>
      <c r="O1835" s="146">
        <f>_xll.qlCalendarAdvance(Calendar,O1834,N1835,"f",FALSE)</f>
        <v>52027</v>
      </c>
      <c r="P1835" s="140">
        <f>_xll.qlInterestRateIndexValueDate(IborIndex,O1835)</f>
        <v>52029</v>
      </c>
      <c r="Q1835" s="141">
        <v>1.9970077848294743E-2</v>
      </c>
      <c r="R1835" s="143">
        <v>1.9961031353741276E-2</v>
      </c>
    </row>
    <row r="1836" spans="14:18" x14ac:dyDescent="0.2">
      <c r="N1836" s="139" t="str">
        <f t="shared" si="35"/>
        <v>1w</v>
      </c>
      <c r="O1836" s="146">
        <f>_xll.qlCalendarAdvance(Calendar,O1835,N1836,"f",FALSE)</f>
        <v>52034</v>
      </c>
      <c r="P1836" s="140">
        <f>_xll.qlInterestRateIndexValueDate(IborIndex,O1836)</f>
        <v>52036</v>
      </c>
      <c r="Q1836" s="141">
        <v>1.996516223071676E-2</v>
      </c>
      <c r="R1836" s="143">
        <v>1.9955364534567366E-2</v>
      </c>
    </row>
    <row r="1837" spans="14:18" x14ac:dyDescent="0.2">
      <c r="N1837" s="139" t="str">
        <f t="shared" si="35"/>
        <v>1w</v>
      </c>
      <c r="O1837" s="146">
        <f>_xll.qlCalendarAdvance(Calendar,O1836,N1837,"f",FALSE)</f>
        <v>52041</v>
      </c>
      <c r="P1837" s="140">
        <f>_xll.qlInterestRateIndexValueDate(IborIndex,O1837)</f>
        <v>52043</v>
      </c>
      <c r="Q1837" s="141">
        <v>1.9960279308202933E-2</v>
      </c>
      <c r="R1837" s="143">
        <v>1.9951142394649679E-2</v>
      </c>
    </row>
    <row r="1838" spans="14:18" x14ac:dyDescent="0.2">
      <c r="N1838" s="139" t="str">
        <f t="shared" si="35"/>
        <v>1w</v>
      </c>
      <c r="O1838" s="146">
        <f>_xll.qlCalendarAdvance(Calendar,O1837,N1838,"f",FALSE)</f>
        <v>52048</v>
      </c>
      <c r="P1838" s="140">
        <f>_xll.qlInterestRateIndexValueDate(IborIndex,O1838)</f>
        <v>52050</v>
      </c>
      <c r="Q1838" s="141">
        <v>1.995542908071829E-2</v>
      </c>
      <c r="R1838" s="143">
        <v>1.9946246870503614E-2</v>
      </c>
    </row>
    <row r="1839" spans="14:18" x14ac:dyDescent="0.2">
      <c r="N1839" s="139" t="str">
        <f t="shared" si="35"/>
        <v>1w</v>
      </c>
      <c r="O1839" s="146">
        <f>_xll.qlCalendarAdvance(Calendar,O1838,N1839,"f",FALSE)</f>
        <v>52055</v>
      </c>
      <c r="P1839" s="140">
        <f>_xll.qlInterestRateIndexValueDate(IborIndex,O1839)</f>
        <v>52057</v>
      </c>
      <c r="Q1839" s="141">
        <v>1.9950611548210373E-2</v>
      </c>
      <c r="R1839" s="143">
        <v>1.994138398321077E-2</v>
      </c>
    </row>
    <row r="1840" spans="14:18" x14ac:dyDescent="0.2">
      <c r="N1840" s="139" t="str">
        <f t="shared" si="35"/>
        <v>1w</v>
      </c>
      <c r="O1840" s="146">
        <f>_xll.qlCalendarAdvance(Calendar,O1839,N1840,"f",FALSE)</f>
        <v>52062</v>
      </c>
      <c r="P1840" s="140">
        <f>_xll.qlInterestRateIndexValueDate(IborIndex,O1840)</f>
        <v>52064</v>
      </c>
      <c r="Q1840" s="141">
        <v>1.994582671064421E-2</v>
      </c>
      <c r="R1840" s="143">
        <v>1.9936553732771145E-2</v>
      </c>
    </row>
    <row r="1841" spans="14:18" x14ac:dyDescent="0.2">
      <c r="N1841" s="139" t="str">
        <f t="shared" si="35"/>
        <v>1w</v>
      </c>
      <c r="O1841" s="146">
        <f>_xll.qlCalendarAdvance(Calendar,O1840,N1841,"f",FALSE)</f>
        <v>52069</v>
      </c>
      <c r="P1841" s="140">
        <f>_xll.qlInterestRateIndexValueDate(IborIndex,O1841)</f>
        <v>52071</v>
      </c>
      <c r="Q1841" s="141">
        <v>1.9941074567972339E-2</v>
      </c>
      <c r="R1841" s="143">
        <v>1.9931756119264676E-2</v>
      </c>
    </row>
    <row r="1842" spans="14:18" x14ac:dyDescent="0.2">
      <c r="N1842" s="139" t="str">
        <f t="shared" si="35"/>
        <v>1w</v>
      </c>
      <c r="O1842" s="146">
        <f>_xll.qlCalendarAdvance(Calendar,O1841,N1842,"f",FALSE)</f>
        <v>52076</v>
      </c>
      <c r="P1842" s="140">
        <f>_xll.qlInterestRateIndexValueDate(IborIndex,O1842)</f>
        <v>52078</v>
      </c>
      <c r="Q1842" s="141">
        <v>1.9935703416980949E-2</v>
      </c>
      <c r="R1842" s="143">
        <v>1.9926991142531492E-2</v>
      </c>
    </row>
    <row r="1843" spans="14:18" x14ac:dyDescent="0.2">
      <c r="N1843" s="139" t="str">
        <f t="shared" si="35"/>
        <v>1w</v>
      </c>
      <c r="O1843" s="146">
        <f>_xll.qlCalendarAdvance(Calendar,O1842,N1843,"f",FALSE)</f>
        <v>52083</v>
      </c>
      <c r="P1843" s="140">
        <f>_xll.qlInterestRateIndexValueDate(IborIndex,O1843)</f>
        <v>52085</v>
      </c>
      <c r="Q1843" s="141">
        <v>1.993166836716409E-2</v>
      </c>
      <c r="R1843" s="143">
        <v>1.9922258802811399E-2</v>
      </c>
    </row>
    <row r="1844" spans="14:18" x14ac:dyDescent="0.2">
      <c r="N1844" s="139" t="str">
        <f t="shared" si="35"/>
        <v>1w</v>
      </c>
      <c r="O1844" s="146">
        <f>_xll.qlCalendarAdvance(Calendar,O1843,N1844,"f",FALSE)</f>
        <v>52090</v>
      </c>
      <c r="P1844" s="140">
        <f>_xll.qlInterestRateIndexValueDate(IborIndex,O1844)</f>
        <v>52092</v>
      </c>
      <c r="Q1844" s="141">
        <v>1.9927014308942781E-2</v>
      </c>
      <c r="R1844" s="143">
        <v>1.9917559099944526E-2</v>
      </c>
    </row>
    <row r="1845" spans="14:18" x14ac:dyDescent="0.2">
      <c r="N1845" s="139" t="str">
        <f t="shared" si="35"/>
        <v>1w</v>
      </c>
      <c r="O1845" s="146">
        <f>_xll.qlCalendarAdvance(Calendar,O1844,N1845,"f",FALSE)</f>
        <v>52097</v>
      </c>
      <c r="P1845" s="140">
        <f>_xll.qlInterestRateIndexValueDate(IborIndex,O1845)</f>
        <v>52099</v>
      </c>
      <c r="Q1845" s="141">
        <v>1.9922392945455891E-2</v>
      </c>
      <c r="R1845" s="143">
        <v>1.991289203401081E-2</v>
      </c>
    </row>
    <row r="1846" spans="14:18" x14ac:dyDescent="0.2">
      <c r="N1846" s="139" t="str">
        <f t="shared" si="35"/>
        <v>1w</v>
      </c>
      <c r="O1846" s="146">
        <f>_xll.qlCalendarAdvance(Calendar,O1845,N1846,"f",FALSE)</f>
        <v>52104</v>
      </c>
      <c r="P1846" s="140">
        <f>_xll.qlInterestRateIndexValueDate(IborIndex,O1846)</f>
        <v>52106</v>
      </c>
      <c r="Q1846" s="141">
        <v>1.9917804276660955E-2</v>
      </c>
      <c r="R1846" s="143">
        <v>1.9908257604930313E-2</v>
      </c>
    </row>
    <row r="1847" spans="14:18" x14ac:dyDescent="0.2">
      <c r="N1847" s="139" t="str">
        <f t="shared" si="35"/>
        <v>1w</v>
      </c>
      <c r="O1847" s="146">
        <f>_xll.qlCalendarAdvance(Calendar,O1846,N1847,"f",FALSE)</f>
        <v>52111</v>
      </c>
      <c r="P1847" s="140">
        <f>_xll.qlInterestRateIndexValueDate(IborIndex,O1847)</f>
        <v>52113</v>
      </c>
      <c r="Q1847" s="141">
        <v>1.9913248302520503E-2</v>
      </c>
      <c r="R1847" s="143">
        <v>1.9903655812703036E-2</v>
      </c>
    </row>
    <row r="1848" spans="14:18" x14ac:dyDescent="0.2">
      <c r="N1848" s="139" t="str">
        <f t="shared" si="35"/>
        <v>1w</v>
      </c>
      <c r="O1848" s="146">
        <f>_xll.qlCalendarAdvance(Calendar,O1847,N1848,"f",FALSE)</f>
        <v>52118</v>
      </c>
      <c r="P1848" s="140">
        <f>_xll.qlInterestRateIndexValueDate(IborIndex,O1848)</f>
        <v>52120</v>
      </c>
      <c r="Q1848" s="141">
        <v>1.9908725022992069E-2</v>
      </c>
      <c r="R1848" s="143">
        <v>1.9899086657328979E-2</v>
      </c>
    </row>
    <row r="1849" spans="14:18" x14ac:dyDescent="0.2">
      <c r="N1849" s="139" t="str">
        <f t="shared" si="35"/>
        <v>1w</v>
      </c>
      <c r="O1849" s="146">
        <f>_xll.qlCalendarAdvance(Calendar,O1848,N1849,"f",FALSE)</f>
        <v>52125</v>
      </c>
      <c r="P1849" s="140">
        <f>_xll.qlInterestRateIndexValueDate(IborIndex,O1849)</f>
        <v>52127</v>
      </c>
      <c r="Q1849" s="141">
        <v>1.9904234438045676E-2</v>
      </c>
      <c r="R1849" s="143">
        <v>1.9894550138888079E-2</v>
      </c>
    </row>
    <row r="1850" spans="14:18" x14ac:dyDescent="0.2">
      <c r="N1850" s="139" t="str">
        <f t="shared" si="35"/>
        <v>1w</v>
      </c>
      <c r="O1850" s="146">
        <f>_xll.qlCalendarAdvance(Calendar,O1849,N1850,"f",FALSE)</f>
        <v>52132</v>
      </c>
      <c r="P1850" s="140">
        <f>_xll.qlInterestRateIndexValueDate(IborIndex,O1850)</f>
        <v>52134</v>
      </c>
      <c r="Q1850" s="141">
        <v>1.9899776547631365E-2</v>
      </c>
      <c r="R1850" s="143">
        <v>1.9890046257380334E-2</v>
      </c>
    </row>
    <row r="1851" spans="14:18" x14ac:dyDescent="0.2">
      <c r="N1851" s="139" t="str">
        <f t="shared" si="35"/>
        <v>1w</v>
      </c>
      <c r="O1851" s="146">
        <f>_xll.qlCalendarAdvance(Calendar,O1850,N1851,"f",FALSE)</f>
        <v>52139</v>
      </c>
      <c r="P1851" s="140">
        <f>_xll.qlInterestRateIndexValueDate(IborIndex,O1851)</f>
        <v>52141</v>
      </c>
      <c r="Q1851" s="141">
        <v>1.9895351351711665E-2</v>
      </c>
      <c r="R1851" s="143">
        <v>1.9885575012645873E-2</v>
      </c>
    </row>
    <row r="1852" spans="14:18" x14ac:dyDescent="0.2">
      <c r="N1852" s="139" t="str">
        <f t="shared" si="35"/>
        <v>1w</v>
      </c>
      <c r="O1852" s="146">
        <f>_xll.qlCalendarAdvance(Calendar,O1851,N1852,"f",FALSE)</f>
        <v>52146</v>
      </c>
      <c r="P1852" s="140">
        <f>_xll.qlInterestRateIndexValueDate(IborIndex,O1852)</f>
        <v>52148</v>
      </c>
      <c r="Q1852" s="141">
        <v>1.9890958850254103E-2</v>
      </c>
      <c r="R1852" s="143">
        <v>1.9881136404924504E-2</v>
      </c>
    </row>
    <row r="1853" spans="14:18" x14ac:dyDescent="0.2">
      <c r="N1853" s="139" t="str">
        <f t="shared" si="35"/>
        <v>1w</v>
      </c>
      <c r="O1853" s="146">
        <f>_xll.qlCalendarAdvance(Calendar,O1852,N1853,"f",FALSE)</f>
        <v>52153</v>
      </c>
      <c r="P1853" s="140">
        <f>_xll.qlInterestRateIndexValueDate(IborIndex,O1853)</f>
        <v>52155</v>
      </c>
      <c r="Q1853" s="141">
        <v>1.9886599043216213E-2</v>
      </c>
      <c r="R1853" s="143">
        <v>1.9876730433896483E-2</v>
      </c>
    </row>
    <row r="1854" spans="14:18" x14ac:dyDescent="0.2">
      <c r="N1854" s="139" t="str">
        <f t="shared" si="35"/>
        <v>1w</v>
      </c>
      <c r="O1854" s="146">
        <f>_xll.qlCalendarAdvance(Calendar,O1853,N1854,"f",FALSE)</f>
        <v>52160</v>
      </c>
      <c r="P1854" s="140">
        <f>_xll.qlInterestRateIndexValueDate(IborIndex,O1854)</f>
        <v>52162</v>
      </c>
      <c r="Q1854" s="141">
        <v>1.9882271930560524E-2</v>
      </c>
      <c r="R1854" s="143">
        <v>1.9872357099881555E-2</v>
      </c>
    </row>
    <row r="1855" spans="14:18" x14ac:dyDescent="0.2">
      <c r="N1855" s="139" t="str">
        <f t="shared" si="35"/>
        <v>1w</v>
      </c>
      <c r="O1855" s="146">
        <f>_xll.qlCalendarAdvance(Calendar,O1854,N1855,"f",FALSE)</f>
        <v>52167</v>
      </c>
      <c r="P1855" s="140">
        <f>_xll.qlInterestRateIndexValueDate(IborIndex,O1855)</f>
        <v>52169</v>
      </c>
      <c r="Q1855" s="141">
        <v>1.9877244422028539E-2</v>
      </c>
      <c r="R1855" s="143">
        <v>1.9868016402719846E-2</v>
      </c>
    </row>
    <row r="1856" spans="14:18" x14ac:dyDescent="0.2">
      <c r="N1856" s="139" t="str">
        <f t="shared" si="35"/>
        <v>1w</v>
      </c>
      <c r="O1856" s="146">
        <f>_xll.qlCalendarAdvance(Calendar,O1855,N1856,"f",FALSE)</f>
        <v>52174</v>
      </c>
      <c r="P1856" s="140">
        <f>_xll.qlInterestRateIndexValueDate(IborIndex,O1856)</f>
        <v>52176</v>
      </c>
      <c r="Q1856" s="141">
        <v>1.9873715788243373E-2</v>
      </c>
      <c r="R1856" s="143">
        <v>1.9863708342411357E-2</v>
      </c>
    </row>
    <row r="1857" spans="14:18" x14ac:dyDescent="0.2">
      <c r="N1857" s="139" t="str">
        <f t="shared" si="35"/>
        <v>1w</v>
      </c>
      <c r="O1857" s="146">
        <f>_xll.qlCalendarAdvance(Calendar,O1856,N1857,"f",FALSE)</f>
        <v>52181</v>
      </c>
      <c r="P1857" s="140">
        <f>_xll.qlInterestRateIndexValueDate(IborIndex,O1857)</f>
        <v>52183</v>
      </c>
      <c r="Q1857" s="141">
        <v>1.9869486758511967E-2</v>
      </c>
      <c r="R1857" s="143">
        <v>1.9859432918956088E-2</v>
      </c>
    </row>
    <row r="1858" spans="14:18" x14ac:dyDescent="0.2">
      <c r="N1858" s="139" t="str">
        <f t="shared" si="35"/>
        <v>1w</v>
      </c>
      <c r="O1858" s="146">
        <f>_xll.qlCalendarAdvance(Calendar,O1857,N1858,"f",FALSE)</f>
        <v>52188</v>
      </c>
      <c r="P1858" s="140">
        <f>_xll.qlInterestRateIndexValueDate(IborIndex,O1858)</f>
        <v>52190</v>
      </c>
      <c r="Q1858" s="141">
        <v>1.9865290423012882E-2</v>
      </c>
      <c r="R1858" s="143">
        <v>1.9855190132433975E-2</v>
      </c>
    </row>
    <row r="1859" spans="14:18" x14ac:dyDescent="0.2">
      <c r="N1859" s="139" t="str">
        <f t="shared" si="35"/>
        <v>1w</v>
      </c>
      <c r="O1859" s="146">
        <f>_xll.qlCalendarAdvance(Calendar,O1858,N1859,"f",FALSE)</f>
        <v>52195</v>
      </c>
      <c r="P1859" s="140">
        <f>_xll.qlInterestRateIndexValueDate(IborIndex,O1859)</f>
        <v>52197</v>
      </c>
      <c r="Q1859" s="141">
        <v>1.9861126781711147E-2</v>
      </c>
      <c r="R1859" s="143">
        <v>1.9850979982685146E-2</v>
      </c>
    </row>
    <row r="1860" spans="14:18" x14ac:dyDescent="0.2">
      <c r="N1860" s="139" t="str">
        <f t="shared" si="35"/>
        <v>1w</v>
      </c>
      <c r="O1860" s="146">
        <f>_xll.qlCalendarAdvance(Calendar,O1859,N1860,"f",FALSE)</f>
        <v>52202</v>
      </c>
      <c r="P1860" s="140">
        <f>_xll.qlInterestRateIndexValueDate(IborIndex,O1860)</f>
        <v>52204</v>
      </c>
      <c r="Q1860" s="141">
        <v>1.9856995834569291E-2</v>
      </c>
      <c r="R1860" s="143">
        <v>1.9846802469869473E-2</v>
      </c>
    </row>
    <row r="1861" spans="14:18" x14ac:dyDescent="0.2">
      <c r="N1861" s="139" t="str">
        <f t="shared" si="35"/>
        <v>1w</v>
      </c>
      <c r="O1861" s="146">
        <f>_xll.qlCalendarAdvance(Calendar,O1860,N1861,"f",FALSE)</f>
        <v>52209</v>
      </c>
      <c r="P1861" s="140">
        <f>_xll.qlInterestRateIndexValueDate(IborIndex,O1861)</f>
        <v>52211</v>
      </c>
      <c r="Q1861" s="141">
        <v>1.985289758155484E-2</v>
      </c>
      <c r="R1861" s="143">
        <v>1.984265759390702E-2</v>
      </c>
    </row>
    <row r="1862" spans="14:18" x14ac:dyDescent="0.2">
      <c r="N1862" s="139" t="str">
        <f t="shared" si="35"/>
        <v>1w</v>
      </c>
      <c r="O1862" s="146">
        <f>_xll.qlCalendarAdvance(Calendar,O1861,N1862,"f",FALSE)</f>
        <v>52216</v>
      </c>
      <c r="P1862" s="140">
        <f>_xll.qlInterestRateIndexValueDate(IborIndex,O1862)</f>
        <v>52218</v>
      </c>
      <c r="Q1862" s="141">
        <v>1.9848832022622831E-2</v>
      </c>
      <c r="R1862" s="143">
        <v>1.9838545354797787E-2</v>
      </c>
    </row>
    <row r="1863" spans="14:18" x14ac:dyDescent="0.2">
      <c r="N1863" s="139" t="str">
        <f t="shared" si="35"/>
        <v>1w</v>
      </c>
      <c r="O1863" s="146">
        <f>_xll.qlCalendarAdvance(Calendar,O1862,N1863,"f",FALSE)</f>
        <v>52223</v>
      </c>
      <c r="P1863" s="140">
        <f>_xll.qlInterestRateIndexValueDate(IborIndex,O1863)</f>
        <v>52230</v>
      </c>
      <c r="Q1863" s="141">
        <v>1.9841675621362451E-2</v>
      </c>
      <c r="R1863" s="143">
        <v>1.9830677208823033E-2</v>
      </c>
    </row>
    <row r="1864" spans="14:18" x14ac:dyDescent="0.2">
      <c r="N1864" s="139" t="str">
        <f t="shared" si="35"/>
        <v>1w</v>
      </c>
      <c r="O1864" s="146">
        <f>_xll.qlCalendarAdvance(Calendar,O1863,N1864,"f",FALSE)</f>
        <v>52230</v>
      </c>
      <c r="P1864" s="140">
        <f>_xll.qlInterestRateIndexValueDate(IborIndex,O1864)</f>
        <v>52236</v>
      </c>
      <c r="Q1864" s="141">
        <v>1.9838263104786039E-2</v>
      </c>
      <c r="R1864" s="143">
        <v>1.98286943643744E-2</v>
      </c>
    </row>
    <row r="1865" spans="14:18" x14ac:dyDescent="0.2">
      <c r="N1865" s="139" t="str">
        <f t="shared" si="35"/>
        <v>1w</v>
      </c>
      <c r="O1865" s="146">
        <f>_xll.qlCalendarAdvance(Calendar,O1864,N1865,"f",FALSE)</f>
        <v>52238</v>
      </c>
      <c r="P1865" s="140">
        <f>_xll.qlInterestRateIndexValueDate(IborIndex,O1865)</f>
        <v>52240</v>
      </c>
      <c r="Q1865" s="141">
        <v>1.9836001437455203E-2</v>
      </c>
      <c r="R1865" s="143">
        <v>1.9825833647431068E-2</v>
      </c>
    </row>
    <row r="1866" spans="14:18" x14ac:dyDescent="0.2">
      <c r="N1866" s="139" t="str">
        <f t="shared" si="35"/>
        <v>1w</v>
      </c>
      <c r="O1866" s="146">
        <f>_xll.qlCalendarAdvance(Calendar,O1865,N1866,"f",FALSE)</f>
        <v>52245</v>
      </c>
      <c r="P1866" s="140">
        <f>_xll.qlInterestRateIndexValueDate(IborIndex,O1866)</f>
        <v>52247</v>
      </c>
      <c r="Q1866" s="141">
        <v>1.9832069206279689E-2</v>
      </c>
      <c r="R1866" s="143">
        <v>1.9821856618245093E-2</v>
      </c>
    </row>
    <row r="1867" spans="14:18" x14ac:dyDescent="0.2">
      <c r="N1867" s="139" t="str">
        <f t="shared" si="35"/>
        <v>1w</v>
      </c>
      <c r="O1867" s="146">
        <f>_xll.qlCalendarAdvance(Calendar,O1866,N1867,"f",FALSE)</f>
        <v>52252</v>
      </c>
      <c r="P1867" s="140">
        <f>_xll.qlInterestRateIndexValueDate(IborIndex,O1867)</f>
        <v>52254</v>
      </c>
      <c r="Q1867" s="141">
        <v>1.982816966717774E-2</v>
      </c>
      <c r="R1867" s="143">
        <v>1.9817912225832401E-2</v>
      </c>
    </row>
    <row r="1868" spans="14:18" x14ac:dyDescent="0.2">
      <c r="N1868" s="139" t="str">
        <f t="shared" si="35"/>
        <v>1w</v>
      </c>
      <c r="O1868" s="146">
        <f>_xll.qlCalendarAdvance(Calendar,O1867,N1868,"f",FALSE)</f>
        <v>52259</v>
      </c>
      <c r="P1868" s="140">
        <f>_xll.qlInterestRateIndexValueDate(IborIndex,O1868)</f>
        <v>52261</v>
      </c>
      <c r="Q1868" s="141">
        <v>1.9823487130907123E-2</v>
      </c>
      <c r="R1868" s="143">
        <v>1.9814000470352866E-2</v>
      </c>
    </row>
    <row r="1869" spans="14:18" x14ac:dyDescent="0.2">
      <c r="N1869" s="139" t="str">
        <f t="shared" si="35"/>
        <v>1w</v>
      </c>
      <c r="O1869" s="146">
        <f>_xll.qlCalendarAdvance(Calendar,O1868,N1869,"f",FALSE)</f>
        <v>52266</v>
      </c>
      <c r="P1869" s="140">
        <f>_xll.qlInterestRateIndexValueDate(IborIndex,O1869)</f>
        <v>52268</v>
      </c>
      <c r="Q1869" s="141">
        <v>1.9819646604358913E-2</v>
      </c>
      <c r="R1869" s="143">
        <v>1.9810121351646615E-2</v>
      </c>
    </row>
    <row r="1870" spans="14:18" x14ac:dyDescent="0.2">
      <c r="N1870" s="139" t="str">
        <f t="shared" si="35"/>
        <v>1w</v>
      </c>
      <c r="O1870" s="146">
        <f>_xll.qlCalendarAdvance(Calendar,O1869,N1870,"f",FALSE)</f>
        <v>52273</v>
      </c>
      <c r="P1870" s="140">
        <f>_xll.qlInterestRateIndexValueDate(IborIndex,O1870)</f>
        <v>52275</v>
      </c>
      <c r="Q1870" s="141">
        <v>1.9815838764275666E-2</v>
      </c>
      <c r="R1870" s="143">
        <v>1.9806274869793583E-2</v>
      </c>
    </row>
    <row r="1871" spans="14:18" x14ac:dyDescent="0.2">
      <c r="N1871" s="139" t="str">
        <f t="shared" si="35"/>
        <v>1w</v>
      </c>
      <c r="O1871" s="146">
        <f>_xll.qlCalendarAdvance(Calendar,O1870,N1871,"f",FALSE)</f>
        <v>52280</v>
      </c>
      <c r="P1871" s="140">
        <f>_xll.qlInterestRateIndexValueDate(IborIndex,O1871)</f>
        <v>52282</v>
      </c>
      <c r="Q1871" s="141">
        <v>1.981206361062883E-2</v>
      </c>
      <c r="R1871" s="143">
        <v>1.9802461024873708E-2</v>
      </c>
    </row>
    <row r="1872" spans="14:18" x14ac:dyDescent="0.2">
      <c r="N1872" s="139" t="str">
        <f t="shared" si="35"/>
        <v>1w</v>
      </c>
      <c r="O1872" s="146">
        <f>_xll.qlCalendarAdvance(Calendar,O1871,N1872,"f",FALSE)</f>
        <v>52287</v>
      </c>
      <c r="P1872" s="140">
        <f>_xll.qlInterestRateIndexValueDate(IborIndex,O1872)</f>
        <v>52289</v>
      </c>
      <c r="Q1872" s="141">
        <v>1.9809443180924535E-2</v>
      </c>
      <c r="R1872" s="143">
        <v>1.9798679816807052E-2</v>
      </c>
    </row>
    <row r="1873" spans="14:18" x14ac:dyDescent="0.2">
      <c r="N1873" s="139" t="str">
        <f t="shared" si="35"/>
        <v>1w</v>
      </c>
      <c r="O1873" s="146">
        <f>_xll.qlCalendarAdvance(Calendar,O1872,N1873,"f",FALSE)</f>
        <v>52294</v>
      </c>
      <c r="P1873" s="140">
        <f>_xll.qlInterestRateIndexValueDate(IborIndex,O1873)</f>
        <v>52296</v>
      </c>
      <c r="Q1873" s="141">
        <v>1.9805458964215643E-2</v>
      </c>
      <c r="R1873" s="143">
        <v>1.9794931245513681E-2</v>
      </c>
    </row>
    <row r="1874" spans="14:18" x14ac:dyDescent="0.2">
      <c r="N1874" s="139" t="str">
        <f t="shared" si="35"/>
        <v>1w</v>
      </c>
      <c r="O1874" s="146">
        <f>_xll.qlCalendarAdvance(Calendar,O1873,N1874,"f",FALSE)</f>
        <v>52301</v>
      </c>
      <c r="P1874" s="140">
        <f>_xll.qlInterestRateIndexValueDate(IborIndex,O1874)</f>
        <v>52303</v>
      </c>
      <c r="Q1874" s="141">
        <v>1.9801788268700358E-2</v>
      </c>
      <c r="R1874" s="143">
        <v>1.9791215311153465E-2</v>
      </c>
    </row>
    <row r="1875" spans="14:18" x14ac:dyDescent="0.2">
      <c r="N1875" s="139" t="str">
        <f t="shared" si="35"/>
        <v>1w</v>
      </c>
      <c r="O1875" s="146">
        <f>_xll.qlCalendarAdvance(Calendar,O1874,N1875,"f",FALSE)</f>
        <v>52308</v>
      </c>
      <c r="P1875" s="140">
        <f>_xll.qlInterestRateIndexValueDate(IborIndex,O1875)</f>
        <v>52310</v>
      </c>
      <c r="Q1875" s="141">
        <v>1.9798150265000775E-2</v>
      </c>
      <c r="R1875" s="143">
        <v>1.9787532013646469E-2</v>
      </c>
    </row>
    <row r="1876" spans="14:18" x14ac:dyDescent="0.2">
      <c r="N1876" s="139" t="str">
        <f t="shared" si="35"/>
        <v>1w</v>
      </c>
      <c r="O1876" s="146">
        <f>_xll.qlCalendarAdvance(Calendar,O1875,N1876,"f",FALSE)</f>
        <v>52315</v>
      </c>
      <c r="P1876" s="140">
        <f>_xll.qlInterestRateIndexValueDate(IborIndex,O1876)</f>
        <v>52321</v>
      </c>
      <c r="Q1876" s="141">
        <v>1.9792209078182132E-2</v>
      </c>
      <c r="R1876" s="143">
        <v>1.9782844301587943E-2</v>
      </c>
    </row>
    <row r="1877" spans="14:18" x14ac:dyDescent="0.2">
      <c r="N1877" s="139" t="str">
        <f t="shared" ref="N1877:N1940" si="36">N1876</f>
        <v>1w</v>
      </c>
      <c r="O1877" s="146">
        <f>_xll.qlCalendarAdvance(Calendar,O1876,N1877,"f",FALSE)</f>
        <v>52322</v>
      </c>
      <c r="P1877" s="140">
        <f>_xll.qlInterestRateIndexValueDate(IborIndex,O1877)</f>
        <v>52324</v>
      </c>
      <c r="Q1877" s="141">
        <v>1.9790972332924959E-2</v>
      </c>
      <c r="R1877" s="143">
        <v>1.9780263329032266E-2</v>
      </c>
    </row>
    <row r="1878" spans="14:18" x14ac:dyDescent="0.2">
      <c r="N1878" s="139" t="str">
        <f t="shared" si="36"/>
        <v>1w</v>
      </c>
      <c r="O1878" s="146">
        <f>_xll.qlCalendarAdvance(Calendar,O1877,N1878,"f",FALSE)</f>
        <v>52329</v>
      </c>
      <c r="P1878" s="140">
        <f>_xll.qlInterestRateIndexValueDate(IborIndex,O1878)</f>
        <v>52331</v>
      </c>
      <c r="Q1878" s="141">
        <v>1.9787432404491996E-2</v>
      </c>
      <c r="R1878" s="143">
        <v>1.977667794208493E-2</v>
      </c>
    </row>
    <row r="1879" spans="14:18" x14ac:dyDescent="0.2">
      <c r="N1879" s="139" t="str">
        <f t="shared" si="36"/>
        <v>1w</v>
      </c>
      <c r="O1879" s="146">
        <f>_xll.qlCalendarAdvance(Calendar,O1878,N1879,"f",FALSE)</f>
        <v>52336</v>
      </c>
      <c r="P1879" s="140">
        <f>_xll.qlInterestRateIndexValueDate(IborIndex,O1879)</f>
        <v>52338</v>
      </c>
      <c r="Q1879" s="141">
        <v>1.9784220957234921E-2</v>
      </c>
      <c r="R1879" s="143">
        <v>1.9773125191990815E-2</v>
      </c>
    </row>
    <row r="1880" spans="14:18" x14ac:dyDescent="0.2">
      <c r="N1880" s="139" t="str">
        <f t="shared" si="36"/>
        <v>1w</v>
      </c>
      <c r="O1880" s="146">
        <f>_xll.qlCalendarAdvance(Calendar,O1879,N1880,"f",FALSE)</f>
        <v>52343</v>
      </c>
      <c r="P1880" s="140">
        <f>_xll.qlInterestRateIndexValueDate(IborIndex,O1880)</f>
        <v>52345</v>
      </c>
      <c r="Q1880" s="141">
        <v>1.9780450622673508E-2</v>
      </c>
      <c r="R1880" s="143">
        <v>1.9769605078669983E-2</v>
      </c>
    </row>
    <row r="1881" spans="14:18" x14ac:dyDescent="0.2">
      <c r="N1881" s="139" t="str">
        <f t="shared" si="36"/>
        <v>1w</v>
      </c>
      <c r="O1881" s="146">
        <f>_xll.qlCalendarAdvance(Calendar,O1880,N1881,"f",FALSE)</f>
        <v>52350</v>
      </c>
      <c r="P1881" s="140">
        <f>_xll.qlInterestRateIndexValueDate(IborIndex,O1881)</f>
        <v>52355</v>
      </c>
      <c r="Q1881" s="141">
        <v>1.9775543696822058E-2</v>
      </c>
      <c r="R1881" s="143">
        <v>1.9765917212537509E-2</v>
      </c>
    </row>
    <row r="1882" spans="14:18" x14ac:dyDescent="0.2">
      <c r="N1882" s="139" t="str">
        <f t="shared" si="36"/>
        <v>1w</v>
      </c>
      <c r="O1882" s="146">
        <f>_xll.qlCalendarAdvance(Calendar,O1881,N1882,"f",FALSE)</f>
        <v>52357</v>
      </c>
      <c r="P1882" s="140">
        <f>_xll.qlInterestRateIndexValueDate(IborIndex,O1882)</f>
        <v>52362</v>
      </c>
      <c r="Q1882" s="141">
        <v>1.9772148545663133E-2</v>
      </c>
      <c r="R1882" s="143">
        <v>1.9762171878374701E-2</v>
      </c>
    </row>
    <row r="1883" spans="14:18" x14ac:dyDescent="0.2">
      <c r="N1883" s="139" t="str">
        <f t="shared" si="36"/>
        <v>1w</v>
      </c>
      <c r="O1883" s="146">
        <f>_xll.qlCalendarAdvance(Calendar,O1882,N1883,"f",FALSE)</f>
        <v>52364</v>
      </c>
      <c r="P1883" s="140">
        <f>_xll.qlInterestRateIndexValueDate(IborIndex,O1883)</f>
        <v>52366</v>
      </c>
      <c r="Q1883" s="141">
        <v>1.9770223137141482E-2</v>
      </c>
      <c r="R1883" s="143">
        <v>1.9758754337964035E-2</v>
      </c>
    </row>
    <row r="1884" spans="14:18" x14ac:dyDescent="0.2">
      <c r="N1884" s="139" t="str">
        <f t="shared" si="36"/>
        <v>1w</v>
      </c>
      <c r="O1884" s="146">
        <f>_xll.qlCalendarAdvance(Calendar,O1883,N1884,"f",FALSE)</f>
        <v>52371</v>
      </c>
      <c r="P1884" s="140">
        <f>_xll.qlInterestRateIndexValueDate(IborIndex,O1884)</f>
        <v>52373</v>
      </c>
      <c r="Q1884" s="141">
        <v>1.976687935843208E-2</v>
      </c>
      <c r="R1884" s="143">
        <v>1.9755850993998791E-2</v>
      </c>
    </row>
    <row r="1885" spans="14:18" x14ac:dyDescent="0.2">
      <c r="N1885" s="139" t="str">
        <f t="shared" si="36"/>
        <v>1w</v>
      </c>
      <c r="O1885" s="146">
        <f>_xll.qlCalendarAdvance(Calendar,O1884,N1885,"f",FALSE)</f>
        <v>52378</v>
      </c>
      <c r="P1885" s="140">
        <f>_xll.qlInterestRateIndexValueDate(IborIndex,O1885)</f>
        <v>52380</v>
      </c>
      <c r="Q1885" s="141">
        <v>1.9763876954959625E-2</v>
      </c>
      <c r="R1885" s="143">
        <v>1.9752494064864123E-2</v>
      </c>
    </row>
    <row r="1886" spans="14:18" x14ac:dyDescent="0.2">
      <c r="N1886" s="139" t="str">
        <f t="shared" si="36"/>
        <v>1w</v>
      </c>
      <c r="O1886" s="146">
        <f>_xll.qlCalendarAdvance(Calendar,O1885,N1886,"f",FALSE)</f>
        <v>52385</v>
      </c>
      <c r="P1886" s="140">
        <f>_xll.qlInterestRateIndexValueDate(IborIndex,O1886)</f>
        <v>52387</v>
      </c>
      <c r="Q1886" s="141">
        <v>1.976028987555015E-2</v>
      </c>
      <c r="R1886" s="143">
        <v>1.9749169772742547E-2</v>
      </c>
    </row>
    <row r="1887" spans="14:18" x14ac:dyDescent="0.2">
      <c r="N1887" s="139" t="str">
        <f t="shared" si="36"/>
        <v>1w</v>
      </c>
      <c r="O1887" s="146">
        <f>_xll.qlCalendarAdvance(Calendar,O1886,N1887,"f",FALSE)</f>
        <v>52392</v>
      </c>
      <c r="P1887" s="140">
        <f>_xll.qlInterestRateIndexValueDate(IborIndex,O1887)</f>
        <v>52394</v>
      </c>
      <c r="Q1887" s="141">
        <v>1.9757044171320896E-2</v>
      </c>
      <c r="R1887" s="143">
        <v>1.9745878117314319E-2</v>
      </c>
    </row>
    <row r="1888" spans="14:18" x14ac:dyDescent="0.2">
      <c r="N1888" s="139" t="str">
        <f t="shared" si="36"/>
        <v>1w</v>
      </c>
      <c r="O1888" s="146">
        <f>_xll.qlCalendarAdvance(Calendar,O1887,N1888,"f",FALSE)</f>
        <v>52399</v>
      </c>
      <c r="P1888" s="140">
        <f>_xll.qlInterestRateIndexValueDate(IborIndex,O1888)</f>
        <v>52404</v>
      </c>
      <c r="Q1888" s="141">
        <v>1.975214829677796E-2</v>
      </c>
      <c r="R1888" s="143">
        <v>1.9742156188948812E-2</v>
      </c>
    </row>
    <row r="1889" spans="14:18" x14ac:dyDescent="0.2">
      <c r="N1889" s="139" t="str">
        <f t="shared" si="36"/>
        <v>1w</v>
      </c>
      <c r="O1889" s="146">
        <f>_xll.qlCalendarAdvance(Calendar,O1888,N1889,"f",FALSE)</f>
        <v>52406</v>
      </c>
      <c r="P1889" s="140">
        <f>_xll.qlInterestRateIndexValueDate(IborIndex,O1889)</f>
        <v>52408</v>
      </c>
      <c r="Q1889" s="141">
        <v>1.9750650837151728E-2</v>
      </c>
      <c r="R1889" s="143">
        <v>1.9739392717097459E-2</v>
      </c>
    </row>
    <row r="1890" spans="14:18" x14ac:dyDescent="0.2">
      <c r="N1890" s="139" t="str">
        <f t="shared" si="36"/>
        <v>1w</v>
      </c>
      <c r="O1890" s="146">
        <f>_xll.qlCalendarAdvance(Calendar,O1889,N1890,"f",FALSE)</f>
        <v>52413</v>
      </c>
      <c r="P1890" s="140">
        <f>_xll.qlInterestRateIndexValueDate(IborIndex,O1890)</f>
        <v>52415</v>
      </c>
      <c r="Q1890" s="141">
        <v>1.9747503207157659E-2</v>
      </c>
      <c r="R1890" s="143">
        <v>1.9736198972228891E-2</v>
      </c>
    </row>
    <row r="1891" spans="14:18" x14ac:dyDescent="0.2">
      <c r="N1891" s="139" t="str">
        <f t="shared" si="36"/>
        <v>1w</v>
      </c>
      <c r="O1891" s="146">
        <f>_xll.qlCalendarAdvance(Calendar,O1890,N1891,"f",FALSE)</f>
        <v>52420</v>
      </c>
      <c r="P1891" s="140">
        <f>_xll.qlInterestRateIndexValueDate(IborIndex,O1891)</f>
        <v>52422</v>
      </c>
      <c r="Q1891" s="141">
        <v>1.9744388268520308E-2</v>
      </c>
      <c r="R1891" s="143">
        <v>1.9733037864133607E-2</v>
      </c>
    </row>
    <row r="1892" spans="14:18" x14ac:dyDescent="0.2">
      <c r="N1892" s="139" t="str">
        <f t="shared" si="36"/>
        <v>1w</v>
      </c>
      <c r="O1892" s="146">
        <f>_xll.qlCalendarAdvance(Calendar,O1891,N1892,"f",FALSE)</f>
        <v>52427</v>
      </c>
      <c r="P1892" s="140">
        <f>_xll.qlInterestRateIndexValueDate(IborIndex,O1892)</f>
        <v>52429</v>
      </c>
      <c r="Q1892" s="141">
        <v>1.9741306021219047E-2</v>
      </c>
      <c r="R1892" s="143">
        <v>1.9729909392971479E-2</v>
      </c>
    </row>
    <row r="1893" spans="14:18" x14ac:dyDescent="0.2">
      <c r="N1893" s="139" t="str">
        <f t="shared" si="36"/>
        <v>1w</v>
      </c>
      <c r="O1893" s="146">
        <f>_xll.qlCalendarAdvance(Calendar,O1892,N1893,"f",FALSE)</f>
        <v>52434</v>
      </c>
      <c r="P1893" s="140">
        <f>_xll.qlInterestRateIndexValueDate(IborIndex,O1893)</f>
        <v>52436</v>
      </c>
      <c r="Q1893" s="141">
        <v>1.9738256465217777E-2</v>
      </c>
      <c r="R1893" s="143">
        <v>1.972681355866257E-2</v>
      </c>
    </row>
    <row r="1894" spans="14:18" x14ac:dyDescent="0.2">
      <c r="N1894" s="139" t="str">
        <f t="shared" si="36"/>
        <v>1w</v>
      </c>
      <c r="O1894" s="146">
        <f>_xll.qlCalendarAdvance(Calendar,O1893,N1894,"f",FALSE)</f>
        <v>52441</v>
      </c>
      <c r="P1894" s="140">
        <f>_xll.qlInterestRateIndexValueDate(IborIndex,O1894)</f>
        <v>52443</v>
      </c>
      <c r="Q1894" s="141">
        <v>1.9735239600498448E-2</v>
      </c>
      <c r="R1894" s="143">
        <v>1.972375036104701E-2</v>
      </c>
    </row>
    <row r="1895" spans="14:18" x14ac:dyDescent="0.2">
      <c r="N1895" s="139" t="str">
        <f t="shared" si="36"/>
        <v>1w</v>
      </c>
      <c r="O1895" s="146">
        <f>_xll.qlCalendarAdvance(Calendar,O1894,N1895,"f",FALSE)</f>
        <v>52448</v>
      </c>
      <c r="P1895" s="140">
        <f>_xll.qlInterestRateIndexValueDate(IborIndex,O1895)</f>
        <v>52450</v>
      </c>
      <c r="Q1895" s="141">
        <v>1.9732255427030113E-2</v>
      </c>
      <c r="R1895" s="143">
        <v>1.9720719800364606E-2</v>
      </c>
    </row>
    <row r="1896" spans="14:18" x14ac:dyDescent="0.2">
      <c r="N1896" s="139" t="str">
        <f t="shared" si="36"/>
        <v>1w</v>
      </c>
      <c r="O1896" s="146">
        <f>_xll.qlCalendarAdvance(Calendar,O1895,N1896,"f",FALSE)</f>
        <v>52455</v>
      </c>
      <c r="P1896" s="140">
        <f>_xll.qlInterestRateIndexValueDate(IborIndex,O1896)</f>
        <v>52457</v>
      </c>
      <c r="Q1896" s="141">
        <v>1.9729303944792144E-2</v>
      </c>
      <c r="R1896" s="143">
        <v>1.9717721876455485E-2</v>
      </c>
    </row>
    <row r="1897" spans="14:18" x14ac:dyDescent="0.2">
      <c r="N1897" s="139" t="str">
        <f t="shared" si="36"/>
        <v>1w</v>
      </c>
      <c r="O1897" s="146">
        <f>_xll.qlCalendarAdvance(Calendar,O1896,N1897,"f",FALSE)</f>
        <v>52462</v>
      </c>
      <c r="P1897" s="140">
        <f>_xll.qlInterestRateIndexValueDate(IborIndex,O1897)</f>
        <v>52464</v>
      </c>
      <c r="Q1897" s="141">
        <v>1.9726385153763917E-2</v>
      </c>
      <c r="R1897" s="143">
        <v>1.9714756589479521E-2</v>
      </c>
    </row>
    <row r="1898" spans="14:18" x14ac:dyDescent="0.2">
      <c r="N1898" s="139" t="str">
        <f t="shared" si="36"/>
        <v>1w</v>
      </c>
      <c r="O1898" s="146">
        <f>_xll.qlCalendarAdvance(Calendar,O1897,N1898,"f",FALSE)</f>
        <v>52469</v>
      </c>
      <c r="P1898" s="140">
        <f>_xll.qlInterestRateIndexValueDate(IborIndex,O1898)</f>
        <v>52471</v>
      </c>
      <c r="Q1898" s="141">
        <v>1.972349905390933E-2</v>
      </c>
      <c r="R1898" s="143">
        <v>1.971182393927684E-2</v>
      </c>
    </row>
    <row r="1899" spans="14:18" x14ac:dyDescent="0.2">
      <c r="N1899" s="139" t="str">
        <f t="shared" si="36"/>
        <v>1w</v>
      </c>
      <c r="O1899" s="146">
        <f>_xll.qlCalendarAdvance(Calendar,O1898,N1899,"f",FALSE)</f>
        <v>52476</v>
      </c>
      <c r="P1899" s="140">
        <f>_xll.qlInterestRateIndexValueDate(IborIndex,O1899)</f>
        <v>52478</v>
      </c>
      <c r="Q1899" s="141">
        <v>1.9720645645210332E-2</v>
      </c>
      <c r="R1899" s="143">
        <v>1.970892392592738E-2</v>
      </c>
    </row>
    <row r="1900" spans="14:18" x14ac:dyDescent="0.2">
      <c r="N1900" s="139" t="str">
        <f t="shared" si="36"/>
        <v>1w</v>
      </c>
      <c r="O1900" s="146">
        <f>_xll.qlCalendarAdvance(Calendar,O1899,N1900,"f",FALSE)</f>
        <v>52483</v>
      </c>
      <c r="P1900" s="140">
        <f>_xll.qlInterestRateIndexValueDate(IborIndex,O1900)</f>
        <v>52485</v>
      </c>
      <c r="Q1900" s="141">
        <v>1.9717824927643714E-2</v>
      </c>
      <c r="R1900" s="143">
        <v>1.9706056549351203E-2</v>
      </c>
    </row>
    <row r="1901" spans="14:18" x14ac:dyDescent="0.2">
      <c r="N1901" s="139" t="str">
        <f t="shared" si="36"/>
        <v>1w</v>
      </c>
      <c r="O1901" s="146">
        <f>_xll.qlCalendarAdvance(Calendar,O1900,N1901,"f",FALSE)</f>
        <v>52490</v>
      </c>
      <c r="P1901" s="140">
        <f>_xll.qlInterestRateIndexValueDate(IborIndex,O1901)</f>
        <v>52492</v>
      </c>
      <c r="Q1901" s="141">
        <v>1.9715036901183692E-2</v>
      </c>
      <c r="R1901" s="143">
        <v>1.9703221809628246E-2</v>
      </c>
    </row>
    <row r="1902" spans="14:18" x14ac:dyDescent="0.2">
      <c r="N1902" s="139" t="str">
        <f t="shared" si="36"/>
        <v>1w</v>
      </c>
      <c r="O1902" s="146">
        <f>_xll.qlCalendarAdvance(Calendar,O1901,N1902,"f",FALSE)</f>
        <v>52497</v>
      </c>
      <c r="P1902" s="140">
        <f>_xll.qlInterestRateIndexValueDate(IborIndex,O1902)</f>
        <v>52499</v>
      </c>
      <c r="Q1902" s="141">
        <v>1.9712281565812215E-2</v>
      </c>
      <c r="R1902" s="143">
        <v>1.9700419706678574E-2</v>
      </c>
    </row>
    <row r="1903" spans="14:18" x14ac:dyDescent="0.2">
      <c r="N1903" s="139" t="str">
        <f t="shared" si="36"/>
        <v>1w</v>
      </c>
      <c r="O1903" s="146">
        <f>_xll.qlCalendarAdvance(Calendar,O1902,N1903,"f",FALSE)</f>
        <v>52504</v>
      </c>
      <c r="P1903" s="140">
        <f>_xll.qlInterestRateIndexValueDate(IborIndex,O1903)</f>
        <v>52506</v>
      </c>
      <c r="Q1903" s="141">
        <v>1.9709558921498345E-2</v>
      </c>
      <c r="R1903" s="143">
        <v>1.9697650240662057E-2</v>
      </c>
    </row>
    <row r="1904" spans="14:18" x14ac:dyDescent="0.2">
      <c r="N1904" s="139" t="str">
        <f t="shared" si="36"/>
        <v>1w</v>
      </c>
      <c r="O1904" s="146">
        <f>_xll.qlCalendarAdvance(Calendar,O1903,N1904,"f",FALSE)</f>
        <v>52511</v>
      </c>
      <c r="P1904" s="140">
        <f>_xll.qlInterestRateIndexValueDate(IborIndex,O1904)</f>
        <v>52513</v>
      </c>
      <c r="Q1904" s="141">
        <v>1.9706868968218865E-2</v>
      </c>
      <c r="R1904" s="143">
        <v>1.9694913411418824E-2</v>
      </c>
    </row>
    <row r="1905" spans="14:18" x14ac:dyDescent="0.2">
      <c r="N1905" s="139" t="str">
        <f t="shared" si="36"/>
        <v>1w</v>
      </c>
      <c r="O1905" s="146">
        <f>_xll.qlCalendarAdvance(Calendar,O1904,N1905,"f",FALSE)</f>
        <v>52518</v>
      </c>
      <c r="P1905" s="140">
        <f>_xll.qlInterestRateIndexValueDate(IborIndex,O1905)</f>
        <v>52520</v>
      </c>
      <c r="Q1905" s="141">
        <v>1.9704211705960893E-2</v>
      </c>
      <c r="R1905" s="143">
        <v>1.9692209219108747E-2</v>
      </c>
    </row>
    <row r="1906" spans="14:18" x14ac:dyDescent="0.2">
      <c r="N1906" s="139" t="str">
        <f t="shared" si="36"/>
        <v>1w</v>
      </c>
      <c r="O1906" s="146">
        <f>_xll.qlCalendarAdvance(Calendar,O1905,N1906,"f",FALSE)</f>
        <v>52525</v>
      </c>
      <c r="P1906" s="140">
        <f>_xll.qlInterestRateIndexValueDate(IborIndex,O1906)</f>
        <v>52527</v>
      </c>
      <c r="Q1906" s="141">
        <v>1.97015871346909E-2</v>
      </c>
      <c r="R1906" s="143">
        <v>1.9689537663492018E-2</v>
      </c>
    </row>
    <row r="1907" spans="14:18" x14ac:dyDescent="0.2">
      <c r="N1907" s="139" t="str">
        <f t="shared" si="36"/>
        <v>1w</v>
      </c>
      <c r="O1907" s="146">
        <f>_xll.qlCalendarAdvance(Calendar,O1906,N1907,"f",FALSE)</f>
        <v>52532</v>
      </c>
      <c r="P1907" s="140">
        <f>_xll.qlInterestRateIndexValueDate(IborIndex,O1907)</f>
        <v>52534</v>
      </c>
      <c r="Q1907" s="141">
        <v>1.9698995254393416E-2</v>
      </c>
      <c r="R1907" s="143">
        <v>1.9686898744648573E-2</v>
      </c>
    </row>
    <row r="1908" spans="14:18" x14ac:dyDescent="0.2">
      <c r="N1908" s="139" t="str">
        <f t="shared" si="36"/>
        <v>1w</v>
      </c>
      <c r="O1908" s="146">
        <f>_xll.qlCalendarAdvance(Calendar,O1907,N1908,"f",FALSE)</f>
        <v>52539</v>
      </c>
      <c r="P1908" s="140">
        <f>_xll.qlInterestRateIndexValueDate(IborIndex,O1908)</f>
        <v>52541</v>
      </c>
      <c r="Q1908" s="141">
        <v>1.9696436065045234E-2</v>
      </c>
      <c r="R1908" s="143">
        <v>1.9684292462738284E-2</v>
      </c>
    </row>
    <row r="1909" spans="14:18" x14ac:dyDescent="0.2">
      <c r="N1909" s="139" t="str">
        <f t="shared" si="36"/>
        <v>1w</v>
      </c>
      <c r="O1909" s="146">
        <f>_xll.qlCalendarAdvance(Calendar,O1908,N1909,"f",FALSE)</f>
        <v>52546</v>
      </c>
      <c r="P1909" s="140">
        <f>_xll.qlInterestRateIndexValueDate(IborIndex,O1909)</f>
        <v>52548</v>
      </c>
      <c r="Q1909" s="141">
        <v>1.969390956662315E-2</v>
      </c>
      <c r="R1909" s="143">
        <v>1.9681718817601279E-2</v>
      </c>
    </row>
    <row r="1910" spans="14:18" x14ac:dyDescent="0.2">
      <c r="N1910" s="139" t="str">
        <f t="shared" si="36"/>
        <v>1w</v>
      </c>
      <c r="O1910" s="146">
        <f>_xll.qlCalendarAdvance(Calendar,O1909,N1910,"f",FALSE)</f>
        <v>52553</v>
      </c>
      <c r="P1910" s="140">
        <f>_xll.qlInterestRateIndexValueDate(IborIndex,O1910)</f>
        <v>52555</v>
      </c>
      <c r="Q1910" s="141">
        <v>1.9691415759106528E-2</v>
      </c>
      <c r="R1910" s="143">
        <v>1.967917780939743E-2</v>
      </c>
    </row>
    <row r="1911" spans="14:18" x14ac:dyDescent="0.2">
      <c r="N1911" s="139" t="str">
        <f t="shared" si="36"/>
        <v>1w</v>
      </c>
      <c r="O1911" s="146">
        <f>_xll.qlCalendarAdvance(Calendar,O1910,N1911,"f",FALSE)</f>
        <v>52560</v>
      </c>
      <c r="P1911" s="140">
        <f>_xll.qlInterestRateIndexValueDate(IborIndex,O1911)</f>
        <v>52562</v>
      </c>
      <c r="Q1911" s="141">
        <v>1.9688954642474749E-2</v>
      </c>
      <c r="R1911" s="143">
        <v>1.9676669437886929E-2</v>
      </c>
    </row>
    <row r="1912" spans="14:18" x14ac:dyDescent="0.2">
      <c r="N1912" s="139" t="str">
        <f t="shared" si="36"/>
        <v>1w</v>
      </c>
      <c r="O1912" s="146">
        <f>_xll.qlCalendarAdvance(Calendar,O1911,N1912,"f",FALSE)</f>
        <v>52567</v>
      </c>
      <c r="P1912" s="140">
        <f>_xll.qlInterestRateIndexValueDate(IborIndex,O1912)</f>
        <v>52569</v>
      </c>
      <c r="Q1912" s="141">
        <v>1.9686526216709754E-2</v>
      </c>
      <c r="R1912" s="143">
        <v>1.9674193703309584E-2</v>
      </c>
    </row>
    <row r="1913" spans="14:18" x14ac:dyDescent="0.2">
      <c r="N1913" s="139" t="str">
        <f t="shared" si="36"/>
        <v>1w</v>
      </c>
      <c r="O1913" s="146">
        <f>_xll.qlCalendarAdvance(Calendar,O1912,N1913,"f",FALSE)</f>
        <v>52574</v>
      </c>
      <c r="P1913" s="140">
        <f>_xll.qlInterestRateIndexValueDate(IborIndex,O1913)</f>
        <v>52576</v>
      </c>
      <c r="Q1913" s="141">
        <v>1.9684130481785762E-2</v>
      </c>
      <c r="R1913" s="143">
        <v>1.9671750605425586E-2</v>
      </c>
    </row>
    <row r="1914" spans="14:18" x14ac:dyDescent="0.2">
      <c r="N1914" s="139" t="str">
        <f t="shared" si="36"/>
        <v>1w</v>
      </c>
      <c r="O1914" s="146">
        <f>_xll.qlCalendarAdvance(Calendar,O1913,N1914,"f",FALSE)</f>
        <v>52581</v>
      </c>
      <c r="P1914" s="140">
        <f>_xll.qlInterestRateIndexValueDate(IborIndex,O1914)</f>
        <v>52583</v>
      </c>
      <c r="Q1914" s="141">
        <v>1.9681767437687302E-2</v>
      </c>
      <c r="R1914" s="143">
        <v>1.9669340144394809E-2</v>
      </c>
    </row>
    <row r="1915" spans="14:18" x14ac:dyDescent="0.2">
      <c r="N1915" s="139" t="str">
        <f t="shared" si="36"/>
        <v>1w</v>
      </c>
      <c r="O1915" s="146">
        <f>_xll.qlCalendarAdvance(Calendar,O1914,N1915,"f",FALSE)</f>
        <v>52588</v>
      </c>
      <c r="P1915" s="140">
        <f>_xll.qlInterestRateIndexValueDate(IborIndex,O1915)</f>
        <v>52594</v>
      </c>
      <c r="Q1915" s="141">
        <v>1.9678120131431574E-2</v>
      </c>
      <c r="R1915" s="143">
        <v>1.9664950161377703E-2</v>
      </c>
    </row>
    <row r="1916" spans="14:18" x14ac:dyDescent="0.2">
      <c r="N1916" s="139" t="str">
        <f t="shared" si="36"/>
        <v>1w</v>
      </c>
      <c r="O1916" s="146">
        <f>_xll.qlCalendarAdvance(Calendar,O1915,N1916,"f",FALSE)</f>
        <v>52595</v>
      </c>
      <c r="P1916" s="140">
        <f>_xll.qlInterestRateIndexValueDate(IborIndex,O1916)</f>
        <v>52601</v>
      </c>
      <c r="Q1916" s="141">
        <v>1.9675841149357554E-2</v>
      </c>
      <c r="R1916" s="143">
        <v>1.9664365934657368E-2</v>
      </c>
    </row>
    <row r="1917" spans="14:18" x14ac:dyDescent="0.2">
      <c r="N1917" s="139" t="str">
        <f t="shared" si="36"/>
        <v>1w</v>
      </c>
      <c r="O1917" s="146">
        <f>_xll.qlCalendarAdvance(Calendar,O1916,N1917,"f",FALSE)</f>
        <v>52603</v>
      </c>
      <c r="P1917" s="140">
        <f>_xll.qlInterestRateIndexValueDate(IborIndex,O1917)</f>
        <v>52607</v>
      </c>
      <c r="Q1917" s="141">
        <v>1.967391375532479E-2</v>
      </c>
      <c r="R1917" s="143">
        <v>1.9661976882154875E-2</v>
      </c>
    </row>
    <row r="1918" spans="14:18" x14ac:dyDescent="0.2">
      <c r="N1918" s="139" t="str">
        <f t="shared" si="36"/>
        <v>1w</v>
      </c>
      <c r="O1918" s="146">
        <f>_xll.qlCalendarAdvance(Calendar,O1917,N1918,"f",FALSE)</f>
        <v>52610</v>
      </c>
      <c r="P1918" s="140">
        <f>_xll.qlInterestRateIndexValueDate(IborIndex,O1918)</f>
        <v>52614</v>
      </c>
      <c r="Q1918" s="141">
        <v>1.9671695484635075E-2</v>
      </c>
      <c r="R1918" s="143">
        <v>1.9659701630887483E-2</v>
      </c>
    </row>
    <row r="1919" spans="14:18" x14ac:dyDescent="0.2">
      <c r="N1919" s="139" t="str">
        <f t="shared" si="36"/>
        <v>1w</v>
      </c>
      <c r="O1919" s="146">
        <f>_xll.qlCalendarAdvance(Calendar,O1918,N1919,"f",FALSE)</f>
        <v>52617</v>
      </c>
      <c r="P1919" s="140">
        <f>_xll.qlInterestRateIndexValueDate(IborIndex,O1919)</f>
        <v>52621</v>
      </c>
      <c r="Q1919" s="141">
        <v>1.9669509904662586E-2</v>
      </c>
      <c r="R1919" s="143">
        <v>1.9657459016393375E-2</v>
      </c>
    </row>
    <row r="1920" spans="14:18" x14ac:dyDescent="0.2">
      <c r="N1920" s="139" t="str">
        <f t="shared" si="36"/>
        <v>1w</v>
      </c>
      <c r="O1920" s="146">
        <f>_xll.qlCalendarAdvance(Calendar,O1919,N1920,"f",FALSE)</f>
        <v>52624</v>
      </c>
      <c r="P1920" s="140">
        <f>_xll.qlInterestRateIndexValueDate(IborIndex,O1920)</f>
        <v>52628</v>
      </c>
      <c r="Q1920" s="141">
        <v>1.966658538778164E-2</v>
      </c>
      <c r="R1920" s="143">
        <v>1.9655249038592615E-2</v>
      </c>
    </row>
    <row r="1921" spans="14:18" x14ac:dyDescent="0.2">
      <c r="N1921" s="139" t="str">
        <f t="shared" si="36"/>
        <v>1w</v>
      </c>
      <c r="O1921" s="146">
        <f>_xll.qlCalendarAdvance(Calendar,O1920,N1921,"f",FALSE)</f>
        <v>52631</v>
      </c>
      <c r="P1921" s="140">
        <f>_xll.qlInterestRateIndexValueDate(IborIndex,O1921)</f>
        <v>52635</v>
      </c>
      <c r="Q1921" s="141">
        <v>1.9664460751050265E-2</v>
      </c>
      <c r="R1921" s="143">
        <v>1.9653071697725011E-2</v>
      </c>
    </row>
    <row r="1922" spans="14:18" x14ac:dyDescent="0.2">
      <c r="N1922" s="139" t="str">
        <f t="shared" si="36"/>
        <v>1w</v>
      </c>
      <c r="O1922" s="146">
        <f>_xll.qlCalendarAdvance(Calendar,O1921,N1922,"f",FALSE)</f>
        <v>52638</v>
      </c>
      <c r="P1922" s="140">
        <f>_xll.qlInterestRateIndexValueDate(IborIndex,O1922)</f>
        <v>52642</v>
      </c>
      <c r="Q1922" s="141">
        <v>1.9662368801391248E-2</v>
      </c>
      <c r="R1922" s="143">
        <v>1.9650926993710627E-2</v>
      </c>
    </row>
    <row r="1923" spans="14:18" x14ac:dyDescent="0.2">
      <c r="N1923" s="139" t="str">
        <f t="shared" si="36"/>
        <v>1w</v>
      </c>
      <c r="O1923" s="146">
        <f>_xll.qlCalendarAdvance(Calendar,O1922,N1923,"f",FALSE)</f>
        <v>52645</v>
      </c>
      <c r="P1923" s="140">
        <f>_xll.qlInterestRateIndexValueDate(IborIndex,O1923)</f>
        <v>52649</v>
      </c>
      <c r="Q1923" s="141">
        <v>1.9660309538788053E-2</v>
      </c>
      <c r="R1923" s="143">
        <v>1.9648814926309655E-2</v>
      </c>
    </row>
    <row r="1924" spans="14:18" x14ac:dyDescent="0.2">
      <c r="N1924" s="139" t="str">
        <f t="shared" si="36"/>
        <v>1w</v>
      </c>
      <c r="O1924" s="146">
        <f>_xll.qlCalendarAdvance(Calendar,O1923,N1924,"f",FALSE)</f>
        <v>52652</v>
      </c>
      <c r="P1924" s="140">
        <f>_xll.qlInterestRateIndexValueDate(IborIndex,O1924)</f>
        <v>52656</v>
      </c>
      <c r="Q1924" s="141">
        <v>1.9659072364957796E-2</v>
      </c>
      <c r="R1924" s="143">
        <v>1.9646735495841838E-2</v>
      </c>
    </row>
    <row r="1925" spans="14:18" x14ac:dyDescent="0.2">
      <c r="N1925" s="139" t="str">
        <f t="shared" si="36"/>
        <v>1w</v>
      </c>
      <c r="O1925" s="146">
        <f>_xll.qlCalendarAdvance(Calendar,O1924,N1925,"f",FALSE)</f>
        <v>52659</v>
      </c>
      <c r="P1925" s="140">
        <f>_xll.qlInterestRateIndexValueDate(IborIndex,O1925)</f>
        <v>52663</v>
      </c>
      <c r="Q1925" s="141">
        <v>1.9657082928919954E-2</v>
      </c>
      <c r="R1925" s="143">
        <v>1.9644688702307178E-2</v>
      </c>
    </row>
    <row r="1926" spans="14:18" x14ac:dyDescent="0.2">
      <c r="N1926" s="139" t="str">
        <f t="shared" si="36"/>
        <v>1w</v>
      </c>
      <c r="O1926" s="146">
        <f>_xll.qlCalendarAdvance(Calendar,O1925,N1926,"f",FALSE)</f>
        <v>52666</v>
      </c>
      <c r="P1926" s="140">
        <f>_xll.qlInterestRateIndexValueDate(IborIndex,O1926)</f>
        <v>52670</v>
      </c>
      <c r="Q1926" s="141">
        <v>1.9655126183480726E-2</v>
      </c>
      <c r="R1926" s="143">
        <v>1.9642674545545802E-2</v>
      </c>
    </row>
    <row r="1927" spans="14:18" x14ac:dyDescent="0.2">
      <c r="N1927" s="139" t="str">
        <f t="shared" si="36"/>
        <v>1w</v>
      </c>
      <c r="O1927" s="146">
        <f>_xll.qlCalendarAdvance(Calendar,O1926,N1927,"f",FALSE)</f>
        <v>52673</v>
      </c>
      <c r="P1927" s="140">
        <f>_xll.qlInterestRateIndexValueDate(IborIndex,O1927)</f>
        <v>52677</v>
      </c>
      <c r="Q1927" s="141">
        <v>1.9653202128619485E-2</v>
      </c>
      <c r="R1927" s="143">
        <v>1.9640693025397837E-2</v>
      </c>
    </row>
    <row r="1928" spans="14:18" x14ac:dyDescent="0.2">
      <c r="N1928" s="139" t="str">
        <f t="shared" si="36"/>
        <v>1w</v>
      </c>
      <c r="O1928" s="146">
        <f>_xll.qlCalendarAdvance(Calendar,O1927,N1928,"f",FALSE)</f>
        <v>52680</v>
      </c>
      <c r="P1928" s="140">
        <f>_xll.qlInterestRateIndexValueDate(IborIndex,O1928)</f>
        <v>52684</v>
      </c>
      <c r="Q1928" s="141">
        <v>1.9651310764320758E-2</v>
      </c>
      <c r="R1928" s="143">
        <v>1.9638744142183029E-2</v>
      </c>
    </row>
    <row r="1929" spans="14:18" x14ac:dyDescent="0.2">
      <c r="N1929" s="139" t="str">
        <f t="shared" si="36"/>
        <v>1w</v>
      </c>
      <c r="O1929" s="146">
        <f>_xll.qlCalendarAdvance(Calendar,O1928,N1929,"f",FALSE)</f>
        <v>52687</v>
      </c>
      <c r="P1929" s="140">
        <f>_xll.qlInterestRateIndexValueDate(IborIndex,O1929)</f>
        <v>52691</v>
      </c>
      <c r="Q1929" s="141">
        <v>1.964904612669649E-2</v>
      </c>
      <c r="R1929" s="143">
        <v>1.963682789582144E-2</v>
      </c>
    </row>
    <row r="1930" spans="14:18" x14ac:dyDescent="0.2">
      <c r="N1930" s="139" t="str">
        <f t="shared" si="36"/>
        <v>1w</v>
      </c>
      <c r="O1930" s="146">
        <f>_xll.qlCalendarAdvance(Calendar,O1929,N1930,"f",FALSE)</f>
        <v>52694</v>
      </c>
      <c r="P1930" s="140">
        <f>_xll.qlInterestRateIndexValueDate(IborIndex,O1930)</f>
        <v>52698</v>
      </c>
      <c r="Q1930" s="141">
        <v>1.9647217908138614E-2</v>
      </c>
      <c r="R1930" s="143">
        <v>1.9634944286313072E-2</v>
      </c>
    </row>
    <row r="1931" spans="14:18" x14ac:dyDescent="0.2">
      <c r="N1931" s="139" t="str">
        <f t="shared" si="36"/>
        <v>1w</v>
      </c>
      <c r="O1931" s="146">
        <f>_xll.qlCalendarAdvance(Calendar,O1930,N1931,"f",FALSE)</f>
        <v>52701</v>
      </c>
      <c r="P1931" s="140">
        <f>_xll.qlInterestRateIndexValueDate(IborIndex,O1931)</f>
        <v>52707</v>
      </c>
      <c r="Q1931" s="141">
        <v>1.9644915373831395E-2</v>
      </c>
      <c r="R1931" s="143">
        <v>1.9633380904089393E-2</v>
      </c>
    </row>
    <row r="1932" spans="14:18" x14ac:dyDescent="0.2">
      <c r="N1932" s="139" t="str">
        <f t="shared" si="36"/>
        <v>1w</v>
      </c>
      <c r="O1932" s="146">
        <f>_xll.qlCalendarAdvance(Calendar,O1931,N1932,"f",FALSE)</f>
        <v>52708</v>
      </c>
      <c r="P1932" s="140">
        <f>_xll.qlInterestRateIndexValueDate(IborIndex,O1932)</f>
        <v>52712</v>
      </c>
      <c r="Q1932" s="141">
        <v>1.9643659537183389E-2</v>
      </c>
      <c r="R1932" s="143">
        <v>1.9631274977536251E-2</v>
      </c>
    </row>
    <row r="1933" spans="14:18" x14ac:dyDescent="0.2">
      <c r="N1933" s="139" t="str">
        <f t="shared" si="36"/>
        <v>1w</v>
      </c>
      <c r="O1933" s="146">
        <f>_xll.qlCalendarAdvance(Calendar,O1932,N1933,"f",FALSE)</f>
        <v>52715</v>
      </c>
      <c r="P1933" s="140">
        <f>_xll.qlInterestRateIndexValueDate(IborIndex,O1933)</f>
        <v>52719</v>
      </c>
      <c r="Q1933" s="141">
        <v>1.9642344300718189E-2</v>
      </c>
      <c r="R1933" s="143">
        <v>1.9629489278347734E-2</v>
      </c>
    </row>
    <row r="1934" spans="14:18" x14ac:dyDescent="0.2">
      <c r="N1934" s="139" t="str">
        <f t="shared" si="36"/>
        <v>1w</v>
      </c>
      <c r="O1934" s="146">
        <f>_xll.qlCalendarAdvance(Calendar,O1933,N1934,"f",FALSE)</f>
        <v>52722</v>
      </c>
      <c r="P1934" s="140">
        <f>_xll.qlInterestRateIndexValueDate(IborIndex,O1934)</f>
        <v>52726</v>
      </c>
      <c r="Q1934" s="141">
        <v>1.9640649079469649E-2</v>
      </c>
      <c r="R1934" s="143">
        <v>1.9627736216012437E-2</v>
      </c>
    </row>
    <row r="1935" spans="14:18" x14ac:dyDescent="0.2">
      <c r="N1935" s="139" t="str">
        <f t="shared" si="36"/>
        <v>1w</v>
      </c>
      <c r="O1935" s="146">
        <f>_xll.qlCalendarAdvance(Calendar,O1934,N1935,"f",FALSE)</f>
        <v>52729</v>
      </c>
      <c r="P1935" s="140">
        <f>_xll.qlInterestRateIndexValueDate(IborIndex,O1935)</f>
        <v>52733</v>
      </c>
      <c r="Q1935" s="141">
        <v>1.9638986548677906E-2</v>
      </c>
      <c r="R1935" s="143">
        <v>1.962601579053036E-2</v>
      </c>
    </row>
    <row r="1936" spans="14:18" x14ac:dyDescent="0.2">
      <c r="N1936" s="139" t="str">
        <f t="shared" si="36"/>
        <v>1w</v>
      </c>
      <c r="O1936" s="146">
        <f>_xll.qlCalendarAdvance(Calendar,O1935,N1936,"f",FALSE)</f>
        <v>52736</v>
      </c>
      <c r="P1936" s="140">
        <f>_xll.qlInterestRateIndexValueDate(IborIndex,O1936)</f>
        <v>52740</v>
      </c>
      <c r="Q1936" s="141">
        <v>1.9637356708327482E-2</v>
      </c>
      <c r="R1936" s="143">
        <v>1.9624743651975862E-2</v>
      </c>
    </row>
    <row r="1937" spans="14:18" x14ac:dyDescent="0.2">
      <c r="N1937" s="139" t="str">
        <f t="shared" si="36"/>
        <v>1w</v>
      </c>
      <c r="O1937" s="146">
        <f>_xll.qlCalendarAdvance(Calendar,O1936,N1937,"f",FALSE)</f>
        <v>52744</v>
      </c>
      <c r="P1937" s="140">
        <f>_xll.qlInterestRateIndexValueDate(IborIndex,O1937)</f>
        <v>52748</v>
      </c>
      <c r="Q1937" s="141">
        <v>1.9635109844805321E-2</v>
      </c>
      <c r="R1937" s="143">
        <v>1.9622439063775587E-2</v>
      </c>
    </row>
    <row r="1938" spans="14:18" x14ac:dyDescent="0.2">
      <c r="N1938" s="139" t="str">
        <f t="shared" si="36"/>
        <v>1w</v>
      </c>
      <c r="O1938" s="146">
        <f>_xll.qlCalendarAdvance(Calendar,O1937,N1938,"f",FALSE)</f>
        <v>52751</v>
      </c>
      <c r="P1938" s="140">
        <f>_xll.qlInterestRateIndexValueDate(IborIndex,O1938)</f>
        <v>52756</v>
      </c>
      <c r="Q1938" s="141">
        <v>1.9633327325438543E-2</v>
      </c>
      <c r="R1938" s="143">
        <v>1.9621434533210191E-2</v>
      </c>
    </row>
    <row r="1939" spans="14:18" x14ac:dyDescent="0.2">
      <c r="N1939" s="139" t="str">
        <f t="shared" si="36"/>
        <v>1w</v>
      </c>
      <c r="O1939" s="146">
        <f>_xll.qlCalendarAdvance(Calendar,O1938,N1939,"f",FALSE)</f>
        <v>52758</v>
      </c>
      <c r="P1939" s="140">
        <f>_xll.qlInterestRateIndexValueDate(IborIndex,O1939)</f>
        <v>52762</v>
      </c>
      <c r="Q1939" s="141">
        <v>1.9632018454722733E-2</v>
      </c>
      <c r="R1939" s="143">
        <v>1.9619235995165241E-2</v>
      </c>
    </row>
    <row r="1940" spans="14:18" x14ac:dyDescent="0.2">
      <c r="N1940" s="139" t="str">
        <f t="shared" si="36"/>
        <v>1w</v>
      </c>
      <c r="O1940" s="146">
        <f>_xll.qlCalendarAdvance(Calendar,O1939,N1940,"f",FALSE)</f>
        <v>52765</v>
      </c>
      <c r="P1940" s="140">
        <f>_xll.qlInterestRateIndexValueDate(IborIndex,O1940)</f>
        <v>52769</v>
      </c>
      <c r="Q1940" s="141">
        <v>1.9630521792589839E-2</v>
      </c>
      <c r="R1940" s="143">
        <v>1.9618958943843356E-2</v>
      </c>
    </row>
    <row r="1941" spans="14:18" x14ac:dyDescent="0.2">
      <c r="N1941" s="139" t="str">
        <f t="shared" ref="N1941:N2004" si="37">N1940</f>
        <v>1w</v>
      </c>
      <c r="O1941" s="146">
        <f>_xll.qlCalendarAdvance(Calendar,O1940,N1941,"f",FALSE)</f>
        <v>52775</v>
      </c>
      <c r="P1941" s="140">
        <f>_xll.qlInterestRateIndexValueDate(IborIndex,O1941)</f>
        <v>52777</v>
      </c>
      <c r="Q1941" s="141">
        <v>1.9628851348422849E-2</v>
      </c>
      <c r="R1941" s="143">
        <v>1.9616804265654153E-2</v>
      </c>
    </row>
    <row r="1942" spans="14:18" x14ac:dyDescent="0.2">
      <c r="N1942" s="139" t="str">
        <f t="shared" si="37"/>
        <v>1w</v>
      </c>
      <c r="O1942" s="146">
        <f>_xll.qlCalendarAdvance(Calendar,O1941,N1942,"f",FALSE)</f>
        <v>52782</v>
      </c>
      <c r="P1942" s="140">
        <f>_xll.qlInterestRateIndexValueDate(IborIndex,O1942)</f>
        <v>52784</v>
      </c>
      <c r="Q1942" s="141">
        <v>1.9628732850089523E-2</v>
      </c>
      <c r="R1942" s="143">
        <v>1.9615326123911814E-2</v>
      </c>
    </row>
    <row r="1943" spans="14:18" x14ac:dyDescent="0.2">
      <c r="N1943" s="139" t="str">
        <f t="shared" si="37"/>
        <v>1w</v>
      </c>
      <c r="O1943" s="146">
        <f>_xll.qlCalendarAdvance(Calendar,O1942,N1943,"f",FALSE)</f>
        <v>52789</v>
      </c>
      <c r="P1943" s="140">
        <f>_xll.qlInterestRateIndexValueDate(IborIndex,O1943)</f>
        <v>52791</v>
      </c>
      <c r="Q1943" s="141">
        <v>1.9627345701504435E-2</v>
      </c>
      <c r="R1943" s="143">
        <v>1.9613880622513236E-2</v>
      </c>
    </row>
    <row r="1944" spans="14:18" x14ac:dyDescent="0.2">
      <c r="N1944" s="139" t="str">
        <f t="shared" si="37"/>
        <v>1w</v>
      </c>
      <c r="O1944" s="146">
        <f>_xll.qlCalendarAdvance(Calendar,O1943,N1944,"f",FALSE)</f>
        <v>52796</v>
      </c>
      <c r="P1944" s="140">
        <f>_xll.qlInterestRateIndexValueDate(IborIndex,O1944)</f>
        <v>52798</v>
      </c>
      <c r="Q1944" s="141">
        <v>1.962599124682269E-2</v>
      </c>
      <c r="R1944" s="143">
        <v>1.9612467761511709E-2</v>
      </c>
    </row>
    <row r="1945" spans="14:18" x14ac:dyDescent="0.2">
      <c r="N1945" s="139" t="str">
        <f t="shared" si="37"/>
        <v>1w</v>
      </c>
      <c r="O1945" s="146">
        <f>_xll.qlCalendarAdvance(Calendar,O1944,N1945,"f",FALSE)</f>
        <v>52803</v>
      </c>
      <c r="P1945" s="140">
        <f>_xll.qlInterestRateIndexValueDate(IborIndex,O1945)</f>
        <v>52805</v>
      </c>
      <c r="Q1945" s="141">
        <v>1.9624669486039442E-2</v>
      </c>
      <c r="R1945" s="143">
        <v>1.9611087540827299E-2</v>
      </c>
    </row>
    <row r="1946" spans="14:18" x14ac:dyDescent="0.2">
      <c r="N1946" s="139" t="str">
        <f t="shared" si="37"/>
        <v>1w</v>
      </c>
      <c r="O1946" s="146">
        <f>_xll.qlCalendarAdvance(Calendar,O1945,N1946,"f",FALSE)</f>
        <v>52810</v>
      </c>
      <c r="P1946" s="140">
        <f>_xll.qlInterestRateIndexValueDate(IborIndex,O1946)</f>
        <v>52812</v>
      </c>
      <c r="Q1946" s="141">
        <v>1.9623380419137734E-2</v>
      </c>
      <c r="R1946" s="143">
        <v>1.9609739960566586E-2</v>
      </c>
    </row>
    <row r="1947" spans="14:18" x14ac:dyDescent="0.2">
      <c r="N1947" s="139" t="str">
        <f t="shared" si="37"/>
        <v>1w</v>
      </c>
      <c r="O1947" s="146">
        <f>_xll.qlCalendarAdvance(Calendar,O1946,N1947,"f",FALSE)</f>
        <v>52817</v>
      </c>
      <c r="P1947" s="140">
        <f>_xll.qlInterestRateIndexValueDate(IborIndex,O1947)</f>
        <v>52819</v>
      </c>
      <c r="Q1947" s="141">
        <v>1.9622124046107879E-2</v>
      </c>
      <c r="R1947" s="143">
        <v>1.9608425020649634E-2</v>
      </c>
    </row>
    <row r="1948" spans="14:18" x14ac:dyDescent="0.2">
      <c r="N1948" s="139" t="str">
        <f t="shared" si="37"/>
        <v>1w</v>
      </c>
      <c r="O1948" s="146">
        <f>_xll.qlCalendarAdvance(Calendar,O1947,N1948,"f",FALSE)</f>
        <v>52824</v>
      </c>
      <c r="P1948" s="140">
        <f>_xll.qlInterestRateIndexValueDate(IborIndex,O1948)</f>
        <v>52826</v>
      </c>
      <c r="Q1948" s="141">
        <v>1.9620900366937765E-2</v>
      </c>
      <c r="R1948" s="143">
        <v>1.9607142721129733E-2</v>
      </c>
    </row>
    <row r="1949" spans="14:18" x14ac:dyDescent="0.2">
      <c r="N1949" s="139" t="str">
        <f t="shared" si="37"/>
        <v>1w</v>
      </c>
      <c r="O1949" s="146">
        <f>_xll.qlCalendarAdvance(Calendar,O1948,N1949,"f",FALSE)</f>
        <v>52831</v>
      </c>
      <c r="P1949" s="140">
        <f>_xll.qlInterestRateIndexValueDate(IborIndex,O1949)</f>
        <v>52833</v>
      </c>
      <c r="Q1949" s="141">
        <v>1.9619709381620127E-2</v>
      </c>
      <c r="R1949" s="143">
        <v>1.9605893061926949E-2</v>
      </c>
    </row>
    <row r="1950" spans="14:18" x14ac:dyDescent="0.2">
      <c r="N1950" s="139" t="str">
        <f t="shared" si="37"/>
        <v>1w</v>
      </c>
      <c r="O1950" s="146">
        <f>_xll.qlCalendarAdvance(Calendar,O1949,N1950,"f",FALSE)</f>
        <v>52838</v>
      </c>
      <c r="P1950" s="140">
        <f>_xll.qlInterestRateIndexValueDate(IborIndex,O1950)</f>
        <v>52840</v>
      </c>
      <c r="Q1950" s="141">
        <v>1.9617188599240443E-2</v>
      </c>
      <c r="R1950" s="143">
        <v>1.9604676043121216E-2</v>
      </c>
    </row>
    <row r="1951" spans="14:18" x14ac:dyDescent="0.2">
      <c r="N1951" s="139" t="str">
        <f t="shared" si="37"/>
        <v>1w</v>
      </c>
      <c r="O1951" s="146">
        <f>_xll.qlCalendarAdvance(Calendar,O1950,N1951,"f",FALSE)</f>
        <v>52845</v>
      </c>
      <c r="P1951" s="140">
        <f>_xll.qlInterestRateIndexValueDate(IborIndex,O1951)</f>
        <v>52847</v>
      </c>
      <c r="Q1951" s="141">
        <v>1.9616056180750796E-2</v>
      </c>
      <c r="R1951" s="143">
        <v>1.960349166468589E-2</v>
      </c>
    </row>
    <row r="1952" spans="14:18" x14ac:dyDescent="0.2">
      <c r="N1952" s="139" t="str">
        <f t="shared" si="37"/>
        <v>1w</v>
      </c>
      <c r="O1952" s="146">
        <f>_xll.qlCalendarAdvance(Calendar,O1951,N1952,"f",FALSE)</f>
        <v>52852</v>
      </c>
      <c r="P1952" s="140">
        <f>_xll.qlInterestRateIndexValueDate(IborIndex,O1952)</f>
        <v>52854</v>
      </c>
      <c r="Q1952" s="141">
        <v>1.9614956450734411E-2</v>
      </c>
      <c r="R1952" s="143">
        <v>1.9602339926541035E-2</v>
      </c>
    </row>
    <row r="1953" spans="14:18" x14ac:dyDescent="0.2">
      <c r="N1953" s="139" t="str">
        <f t="shared" si="37"/>
        <v>1w</v>
      </c>
      <c r="O1953" s="146">
        <f>_xll.qlCalendarAdvance(Calendar,O1952,N1953,"f",FALSE)</f>
        <v>52859</v>
      </c>
      <c r="P1953" s="140">
        <f>_xll.qlInterestRateIndexValueDate(IborIndex,O1953)</f>
        <v>52861</v>
      </c>
      <c r="Q1953" s="141">
        <v>1.9613889409180629E-2</v>
      </c>
      <c r="R1953" s="143">
        <v>1.9601220828846522E-2</v>
      </c>
    </row>
    <row r="1954" spans="14:18" x14ac:dyDescent="0.2">
      <c r="N1954" s="139" t="str">
        <f t="shared" si="37"/>
        <v>1w</v>
      </c>
      <c r="O1954" s="146">
        <f>_xll.qlCalendarAdvance(Calendar,O1953,N1954,"f",FALSE)</f>
        <v>52866</v>
      </c>
      <c r="P1954" s="140">
        <f>_xll.qlInterestRateIndexValueDate(IborIndex,O1954)</f>
        <v>52868</v>
      </c>
      <c r="Q1954" s="141">
        <v>1.9612855056081457E-2</v>
      </c>
      <c r="R1954" s="143">
        <v>1.9600134371442479E-2</v>
      </c>
    </row>
    <row r="1955" spans="14:18" x14ac:dyDescent="0.2">
      <c r="N1955" s="139" t="str">
        <f t="shared" si="37"/>
        <v>1w</v>
      </c>
      <c r="O1955" s="146">
        <f>_xll.qlCalendarAdvance(Calendar,O1954,N1955,"f",FALSE)</f>
        <v>52873</v>
      </c>
      <c r="P1955" s="140">
        <f>_xll.qlInterestRateIndexValueDate(IborIndex,O1955)</f>
        <v>52875</v>
      </c>
      <c r="Q1955" s="141">
        <v>1.9613250039979168E-2</v>
      </c>
      <c r="R1955" s="143">
        <v>1.9599080554462134E-2</v>
      </c>
    </row>
    <row r="1956" spans="14:18" x14ac:dyDescent="0.2">
      <c r="N1956" s="139" t="str">
        <f t="shared" si="37"/>
        <v>1w</v>
      </c>
      <c r="O1956" s="146">
        <f>_xll.qlCalendarAdvance(Calendar,O1955,N1956,"f",FALSE)</f>
        <v>52880</v>
      </c>
      <c r="P1956" s="140">
        <f>_xll.qlInterestRateIndexValueDate(IborIndex,O1956)</f>
        <v>52882</v>
      </c>
      <c r="Q1956" s="141">
        <v>1.9612287911326059E-2</v>
      </c>
      <c r="R1956" s="143">
        <v>1.9598059377798904E-2</v>
      </c>
    </row>
    <row r="1957" spans="14:18" x14ac:dyDescent="0.2">
      <c r="N1957" s="139" t="str">
        <f t="shared" si="37"/>
        <v>1w</v>
      </c>
      <c r="O1957" s="146">
        <f>_xll.qlCalendarAdvance(Calendar,O1956,N1957,"f",FALSE)</f>
        <v>52887</v>
      </c>
      <c r="P1957" s="140">
        <f>_xll.qlInterestRateIndexValueDate(IborIndex,O1957)</f>
        <v>52889</v>
      </c>
      <c r="Q1957" s="141">
        <v>1.9611358476445483E-2</v>
      </c>
      <c r="R1957" s="143">
        <v>1.9597070841506081E-2</v>
      </c>
    </row>
    <row r="1958" spans="14:18" x14ac:dyDescent="0.2">
      <c r="N1958" s="139" t="str">
        <f t="shared" si="37"/>
        <v>1w</v>
      </c>
      <c r="O1958" s="146">
        <f>_xll.qlCalendarAdvance(Calendar,O1957,N1958,"f",FALSE)</f>
        <v>52894</v>
      </c>
      <c r="P1958" s="140">
        <f>_xll.qlInterestRateIndexValueDate(IborIndex,O1958)</f>
        <v>52896</v>
      </c>
      <c r="Q1958" s="141">
        <v>1.9610461735327756E-2</v>
      </c>
      <c r="R1958" s="143">
        <v>1.9596114945557019E-2</v>
      </c>
    </row>
    <row r="1959" spans="14:18" x14ac:dyDescent="0.2">
      <c r="N1959" s="139" t="str">
        <f t="shared" si="37"/>
        <v>1w</v>
      </c>
      <c r="O1959" s="146">
        <f>_xll.qlCalendarAdvance(Calendar,O1958,N1959,"f",FALSE)</f>
        <v>52901</v>
      </c>
      <c r="P1959" s="140">
        <f>_xll.qlInterestRateIndexValueDate(IborIndex,O1959)</f>
        <v>52903</v>
      </c>
      <c r="Q1959" s="141">
        <v>1.9608173617082336E-2</v>
      </c>
      <c r="R1959" s="143">
        <v>1.9595191690005009E-2</v>
      </c>
    </row>
    <row r="1960" spans="14:18" x14ac:dyDescent="0.2">
      <c r="N1960" s="139" t="str">
        <f t="shared" si="37"/>
        <v>1w</v>
      </c>
      <c r="O1960" s="146">
        <f>_xll.qlCalendarAdvance(Calendar,O1959,N1960,"f",FALSE)</f>
        <v>52908</v>
      </c>
      <c r="P1960" s="140">
        <f>_xll.qlInterestRateIndexValueDate(IborIndex,O1960)</f>
        <v>52910</v>
      </c>
      <c r="Q1960" s="141">
        <v>1.9607335394532299E-2</v>
      </c>
      <c r="R1960" s="143">
        <v>1.9594301074770115E-2</v>
      </c>
    </row>
    <row r="1961" spans="14:18" x14ac:dyDescent="0.2">
      <c r="N1961" s="139" t="str">
        <f t="shared" si="37"/>
        <v>1w</v>
      </c>
      <c r="O1961" s="146">
        <f>_xll.qlCalendarAdvance(Calendar,O1960,N1961,"f",FALSE)</f>
        <v>52915</v>
      </c>
      <c r="P1961" s="140">
        <f>_xll.qlInterestRateIndexValueDate(IborIndex,O1961)</f>
        <v>52917</v>
      </c>
      <c r="Q1961" s="141">
        <v>1.9606529860383581E-2</v>
      </c>
      <c r="R1961" s="143">
        <v>1.9593443099852337E-2</v>
      </c>
    </row>
    <row r="1962" spans="14:18" x14ac:dyDescent="0.2">
      <c r="N1962" s="139" t="str">
        <f t="shared" si="37"/>
        <v>1w</v>
      </c>
      <c r="O1962" s="146">
        <f>_xll.qlCalendarAdvance(Calendar,O1961,N1962,"f",FALSE)</f>
        <v>52922</v>
      </c>
      <c r="P1962" s="140">
        <f>_xll.qlInterestRateIndexValueDate(IborIndex,O1962)</f>
        <v>52924</v>
      </c>
      <c r="Q1962" s="141">
        <v>1.9605757014625524E-2</v>
      </c>
      <c r="R1962" s="143">
        <v>1.9592617765358256E-2</v>
      </c>
    </row>
    <row r="1963" spans="14:18" x14ac:dyDescent="0.2">
      <c r="N1963" s="139" t="str">
        <f t="shared" si="37"/>
        <v>1w</v>
      </c>
      <c r="O1963" s="146">
        <f>_xll.qlCalendarAdvance(Calendar,O1962,N1963,"f",FALSE)</f>
        <v>52929</v>
      </c>
      <c r="P1963" s="140">
        <f>_xll.qlInterestRateIndexValueDate(IborIndex,O1963)</f>
        <v>52931</v>
      </c>
      <c r="Q1963" s="141">
        <v>1.9605016857252799E-2</v>
      </c>
      <c r="R1963" s="143">
        <v>1.9591825071207936E-2</v>
      </c>
    </row>
    <row r="1964" spans="14:18" x14ac:dyDescent="0.2">
      <c r="N1964" s="139" t="str">
        <f t="shared" si="37"/>
        <v>1w</v>
      </c>
      <c r="O1964" s="146">
        <f>_xll.qlCalendarAdvance(Calendar,O1963,N1964,"f",FALSE)</f>
        <v>52936</v>
      </c>
      <c r="P1964" s="140">
        <f>_xll.qlInterestRateIndexValueDate(IborIndex,O1964)</f>
        <v>52938</v>
      </c>
      <c r="Q1964" s="141">
        <v>1.9605767857251231E-2</v>
      </c>
      <c r="R1964" s="143">
        <v>1.9591065017401377E-2</v>
      </c>
    </row>
    <row r="1965" spans="14:18" x14ac:dyDescent="0.2">
      <c r="N1965" s="139" t="str">
        <f t="shared" si="37"/>
        <v>1w</v>
      </c>
      <c r="O1965" s="146">
        <f>_xll.qlCalendarAdvance(Calendar,O1964,N1965,"f",FALSE)</f>
        <v>52943</v>
      </c>
      <c r="P1965" s="140">
        <f>_xll.qlInterestRateIndexValueDate(IborIndex,O1965)</f>
        <v>52945</v>
      </c>
      <c r="Q1965" s="141">
        <v>1.9605099972274817E-2</v>
      </c>
      <c r="R1965" s="143">
        <v>1.9590337603911934E-2</v>
      </c>
    </row>
    <row r="1966" spans="14:18" x14ac:dyDescent="0.2">
      <c r="N1966" s="139" t="str">
        <f t="shared" si="37"/>
        <v>1w</v>
      </c>
      <c r="O1966" s="146">
        <f>_xll.qlCalendarAdvance(Calendar,O1965,N1966,"f",FALSE)</f>
        <v>52950</v>
      </c>
      <c r="P1966" s="140">
        <f>_xll.qlInterestRateIndexValueDate(IborIndex,O1966)</f>
        <v>52952</v>
      </c>
      <c r="Q1966" s="141">
        <v>1.9604464781007958E-2</v>
      </c>
      <c r="R1966" s="143">
        <v>1.9590127617337139E-2</v>
      </c>
    </row>
    <row r="1967" spans="14:18" x14ac:dyDescent="0.2">
      <c r="N1967" s="139" t="str">
        <f t="shared" si="37"/>
        <v>1w</v>
      </c>
      <c r="O1967" s="146">
        <f>_xll.qlCalendarAdvance(Calendar,O1966,N1967,"f",FALSE)</f>
        <v>52958</v>
      </c>
      <c r="P1967" s="140">
        <f>_xll.qlInterestRateIndexValueDate(IborIndex,O1967)</f>
        <v>52960</v>
      </c>
      <c r="Q1967" s="141">
        <v>1.960328525752203E-2</v>
      </c>
      <c r="R1967" s="143">
        <v>1.9587731495436245E-2</v>
      </c>
    </row>
    <row r="1968" spans="14:18" x14ac:dyDescent="0.2">
      <c r="N1968" s="139" t="str">
        <f t="shared" si="37"/>
        <v>1w</v>
      </c>
      <c r="O1968" s="146">
        <f>_xll.qlCalendarAdvance(Calendar,O1967,N1968,"f",FALSE)</f>
        <v>52965</v>
      </c>
      <c r="P1968" s="140">
        <f>_xll.qlInterestRateIndexValueDate(IborIndex,O1968)</f>
        <v>52967</v>
      </c>
      <c r="Q1968" s="141">
        <v>1.9602717819787729E-2</v>
      </c>
      <c r="R1968" s="143">
        <v>1.9587025474994135E-2</v>
      </c>
    </row>
    <row r="1969" spans="14:18" x14ac:dyDescent="0.2">
      <c r="N1969" s="139" t="str">
        <f t="shared" si="37"/>
        <v>1w</v>
      </c>
      <c r="O1969" s="146">
        <f>_xll.qlCalendarAdvance(Calendar,O1968,N1969,"f",FALSE)</f>
        <v>52972</v>
      </c>
      <c r="P1969" s="140">
        <f>_xll.qlInterestRateIndexValueDate(IborIndex,O1969)</f>
        <v>52974</v>
      </c>
      <c r="Q1969" s="141">
        <v>1.9602183073970103E-2</v>
      </c>
      <c r="R1969" s="143">
        <v>1.9586523934025379E-2</v>
      </c>
    </row>
    <row r="1970" spans="14:18" x14ac:dyDescent="0.2">
      <c r="N1970" s="139" t="str">
        <f t="shared" si="37"/>
        <v>1w</v>
      </c>
      <c r="O1970" s="146">
        <f>_xll.qlCalendarAdvance(Calendar,O1969,N1970,"f",FALSE)</f>
        <v>52979</v>
      </c>
      <c r="P1970" s="140">
        <f>_xll.qlInterestRateIndexValueDate(IborIndex,O1970)</f>
        <v>52981</v>
      </c>
      <c r="Q1970" s="141">
        <v>1.9601681020059158E-2</v>
      </c>
      <c r="R1970" s="143">
        <v>1.9585969108479873E-2</v>
      </c>
    </row>
    <row r="1971" spans="14:18" x14ac:dyDescent="0.2">
      <c r="N1971" s="139" t="str">
        <f t="shared" si="37"/>
        <v>1w</v>
      </c>
      <c r="O1971" s="146">
        <f>_xll.qlCalendarAdvance(Calendar,O1970,N1971,"f",FALSE)</f>
        <v>52986</v>
      </c>
      <c r="P1971" s="140">
        <f>_xll.qlInterestRateIndexValueDate(IborIndex,O1971)</f>
        <v>52988</v>
      </c>
      <c r="Q1971" s="141">
        <v>1.9601211658044904E-2</v>
      </c>
      <c r="R1971" s="143">
        <v>1.958544691970765E-2</v>
      </c>
    </row>
    <row r="1972" spans="14:18" x14ac:dyDescent="0.2">
      <c r="N1972" s="139" t="str">
        <f t="shared" si="37"/>
        <v>1w</v>
      </c>
      <c r="O1972" s="146">
        <f>_xll.qlCalendarAdvance(Calendar,O1971,N1972,"f",FALSE)</f>
        <v>52993</v>
      </c>
      <c r="P1972" s="140">
        <f>_xll.qlInterestRateIndexValueDate(IborIndex,O1972)</f>
        <v>52995</v>
      </c>
      <c r="Q1972" s="141">
        <v>1.9598756720372115E-2</v>
      </c>
      <c r="R1972" s="143">
        <v>1.9584957367948519E-2</v>
      </c>
    </row>
    <row r="1973" spans="14:18" x14ac:dyDescent="0.2">
      <c r="N1973" s="139" t="str">
        <f t="shared" si="37"/>
        <v>1w</v>
      </c>
      <c r="O1973" s="146">
        <f>_xll.qlCalendarAdvance(Calendar,O1972,N1973,"f",FALSE)</f>
        <v>53000</v>
      </c>
      <c r="P1973" s="140">
        <f>_xll.qlInterestRateIndexValueDate(IborIndex,O1973)</f>
        <v>53002</v>
      </c>
      <c r="Q1973" s="141">
        <v>1.9598343491540961E-2</v>
      </c>
      <c r="R1973" s="143">
        <v>1.9584500452722864E-2</v>
      </c>
    </row>
    <row r="1974" spans="14:18" x14ac:dyDescent="0.2">
      <c r="N1974" s="139" t="str">
        <f t="shared" si="37"/>
        <v>1w</v>
      </c>
      <c r="O1974" s="146">
        <f>_xll.qlCalendarAdvance(Calendar,O1973,N1974,"f",FALSE)</f>
        <v>53007</v>
      </c>
      <c r="P1974" s="140">
        <f>_xll.qlInterestRateIndexValueDate(IborIndex,O1974)</f>
        <v>53009</v>
      </c>
      <c r="Q1974" s="141">
        <v>1.959796294748755E-2</v>
      </c>
      <c r="R1974" s="143">
        <v>1.9584076174430365E-2</v>
      </c>
    </row>
    <row r="1975" spans="14:18" x14ac:dyDescent="0.2">
      <c r="N1975" s="139" t="str">
        <f t="shared" si="37"/>
        <v>1w</v>
      </c>
      <c r="O1975" s="146">
        <f>_xll.qlCalendarAdvance(Calendar,O1974,N1975,"f",FALSE)</f>
        <v>53014</v>
      </c>
      <c r="P1975" s="140">
        <f>_xll.qlInterestRateIndexValueDate(IborIndex,O1975)</f>
        <v>53016</v>
      </c>
      <c r="Q1975" s="141">
        <v>1.9597615088214733E-2</v>
      </c>
      <c r="R1975" s="143">
        <v>1.9583684532831214E-2</v>
      </c>
    </row>
    <row r="1976" spans="14:18" x14ac:dyDescent="0.2">
      <c r="N1976" s="139" t="str">
        <f t="shared" si="37"/>
        <v>1w</v>
      </c>
      <c r="O1976" s="146">
        <f>_xll.qlCalendarAdvance(Calendar,O1975,N1976,"f",FALSE)</f>
        <v>53021</v>
      </c>
      <c r="P1976" s="140">
        <f>_xll.qlInterestRateIndexValueDate(IborIndex,O1976)</f>
        <v>53023</v>
      </c>
      <c r="Q1976" s="141">
        <v>1.9599355226408988E-2</v>
      </c>
      <c r="R1976" s="143">
        <v>1.9583325528085282E-2</v>
      </c>
    </row>
    <row r="1977" spans="14:18" x14ac:dyDescent="0.2">
      <c r="N1977" s="139" t="str">
        <f t="shared" si="37"/>
        <v>1w</v>
      </c>
      <c r="O1977" s="146">
        <f>_xll.qlCalendarAdvance(Calendar,O1976,N1977,"f",FALSE)</f>
        <v>53028</v>
      </c>
      <c r="P1977" s="140">
        <f>_xll.qlInterestRateIndexValueDate(IborIndex,O1977)</f>
        <v>53030</v>
      </c>
      <c r="Q1977" s="141">
        <v>1.9599598763414248E-2</v>
      </c>
      <c r="R1977" s="143">
        <v>1.9582999160192571E-2</v>
      </c>
    </row>
    <row r="1978" spans="14:18" x14ac:dyDescent="0.2">
      <c r="N1978" s="139" t="str">
        <f t="shared" si="37"/>
        <v>1w</v>
      </c>
      <c r="O1978" s="146">
        <f>_xll.qlCalendarAdvance(Calendar,O1977,N1978,"f",FALSE)</f>
        <v>53035</v>
      </c>
      <c r="P1978" s="140">
        <f>_xll.qlInterestRateIndexValueDate(IborIndex,O1978)</f>
        <v>53037</v>
      </c>
      <c r="Q1978" s="141">
        <v>1.9598841496955011E-2</v>
      </c>
      <c r="R1978" s="143">
        <v>1.9582705428993208E-2</v>
      </c>
    </row>
    <row r="1979" spans="14:18" x14ac:dyDescent="0.2">
      <c r="N1979" s="139" t="str">
        <f t="shared" si="37"/>
        <v>1w</v>
      </c>
      <c r="O1979" s="146">
        <f>_xll.qlCalendarAdvance(Calendar,O1978,N1979,"f",FALSE)</f>
        <v>53042</v>
      </c>
      <c r="P1979" s="140">
        <f>_xll.qlInterestRateIndexValueDate(IborIndex,O1979)</f>
        <v>53044</v>
      </c>
      <c r="Q1979" s="141">
        <v>1.959863367004433E-2</v>
      </c>
      <c r="R1979" s="143">
        <v>1.9582444334647064E-2</v>
      </c>
    </row>
    <row r="1980" spans="14:18" x14ac:dyDescent="0.2">
      <c r="N1980" s="139" t="str">
        <f t="shared" si="37"/>
        <v>1w</v>
      </c>
      <c r="O1980" s="146">
        <f>_xll.qlCalendarAdvance(Calendar,O1979,N1980,"f",FALSE)</f>
        <v>53049</v>
      </c>
      <c r="P1980" s="140">
        <f>_xll.qlInterestRateIndexValueDate(IborIndex,O1980)</f>
        <v>53051</v>
      </c>
      <c r="Q1980" s="141">
        <v>1.95968888203732E-2</v>
      </c>
      <c r="R1980" s="143">
        <v>1.9582215877074205E-2</v>
      </c>
    </row>
    <row r="1981" spans="14:18" x14ac:dyDescent="0.2">
      <c r="N1981" s="139" t="str">
        <f t="shared" si="37"/>
        <v>1w</v>
      </c>
      <c r="O1981" s="146">
        <f>_xll.qlCalendarAdvance(Calendar,O1980,N1981,"f",FALSE)</f>
        <v>53056</v>
      </c>
      <c r="P1981" s="140">
        <f>_xll.qlInterestRateIndexValueDate(IborIndex,O1981)</f>
        <v>53058</v>
      </c>
      <c r="Q1981" s="141">
        <v>1.9598316091850587E-2</v>
      </c>
      <c r="R1981" s="143">
        <v>1.9581970102073853E-2</v>
      </c>
    </row>
    <row r="1982" spans="14:18" x14ac:dyDescent="0.2">
      <c r="N1982" s="139" t="str">
        <f t="shared" si="37"/>
        <v>1w</v>
      </c>
      <c r="O1982" s="146">
        <f>_xll.qlCalendarAdvance(Calendar,O1981,N1982,"f",FALSE)</f>
        <v>53063</v>
      </c>
      <c r="P1982" s="140">
        <f>_xll.qlInterestRateIndexValueDate(IborIndex,O1982)</f>
        <v>53065</v>
      </c>
      <c r="Q1982" s="141">
        <v>1.9598206340567526E-2</v>
      </c>
      <c r="R1982" s="143">
        <v>1.9581856872328274E-2</v>
      </c>
    </row>
    <row r="1983" spans="14:18" x14ac:dyDescent="0.2">
      <c r="N1983" s="139" t="str">
        <f t="shared" si="37"/>
        <v>1w</v>
      </c>
      <c r="O1983" s="146">
        <f>_xll.qlCalendarAdvance(Calendar,O1982,N1983,"f",FALSE)</f>
        <v>53070</v>
      </c>
      <c r="P1983" s="140">
        <f>_xll.qlInterestRateIndexValueDate(IborIndex,O1983)</f>
        <v>53072</v>
      </c>
      <c r="Q1983" s="141" t="e">
        <v>#N/A</v>
      </c>
      <c r="R1983" s="143">
        <v>1.9581726325235138E-2</v>
      </c>
    </row>
    <row r="1984" spans="14:18" x14ac:dyDescent="0.2">
      <c r="N1984" s="139" t="str">
        <f t="shared" si="37"/>
        <v>1w</v>
      </c>
      <c r="O1984" s="146">
        <f>_xll.qlCalendarAdvance(Calendar,O1983,N1984,"f",FALSE)</f>
        <v>53077</v>
      </c>
      <c r="P1984" s="140">
        <f>_xll.qlInterestRateIndexValueDate(IborIndex,O1984)</f>
        <v>53079</v>
      </c>
      <c r="Q1984" s="141" t="e">
        <v>#N/A</v>
      </c>
      <c r="R1984" s="143">
        <v>1.9581617091812831E-2</v>
      </c>
    </row>
    <row r="1985" spans="14:18" x14ac:dyDescent="0.2">
      <c r="N1985" s="139" t="str">
        <f t="shared" si="37"/>
        <v>1w</v>
      </c>
      <c r="O1985" s="146">
        <f>_xll.qlCalendarAdvance(Calendar,O1984,N1985,"f",FALSE)</f>
        <v>53084</v>
      </c>
      <c r="P1985" s="140">
        <f>_xll.qlInterestRateIndexValueDate(IborIndex,O1985)</f>
        <v>53086</v>
      </c>
      <c r="Q1985" s="141" t="e">
        <v>#N/A</v>
      </c>
      <c r="R1985" s="143">
        <v>1.9581563141208846E-2</v>
      </c>
    </row>
    <row r="1986" spans="14:18" x14ac:dyDescent="0.2">
      <c r="N1986" s="139" t="str">
        <f t="shared" si="37"/>
        <v>1w</v>
      </c>
      <c r="O1986" s="146">
        <f>_xll.qlCalendarAdvance(Calendar,O1985,N1986,"f",FALSE)</f>
        <v>53091</v>
      </c>
      <c r="P1986" s="140">
        <f>_xll.qlInterestRateIndexValueDate(IborIndex,O1986)</f>
        <v>53093</v>
      </c>
      <c r="Q1986" s="141" t="e">
        <v>#N/A</v>
      </c>
      <c r="R1986" s="143">
        <v>1.9581530504355626E-2</v>
      </c>
    </row>
    <row r="1987" spans="14:18" x14ac:dyDescent="0.2">
      <c r="N1987" s="139" t="str">
        <f t="shared" si="37"/>
        <v>1w</v>
      </c>
      <c r="O1987" s="146">
        <f>_xll.qlCalendarAdvance(Calendar,O1986,N1987,"f",FALSE)</f>
        <v>53098</v>
      </c>
      <c r="P1987" s="140">
        <f>_xll.qlInterestRateIndexValueDate(IborIndex,O1987)</f>
        <v>53101</v>
      </c>
      <c r="Q1987" s="141" t="e">
        <v>#N/A</v>
      </c>
      <c r="R1987" s="143" t="e">
        <v>#N/A</v>
      </c>
    </row>
    <row r="1988" spans="14:18" x14ac:dyDescent="0.2">
      <c r="N1988" s="139" t="str">
        <f t="shared" si="37"/>
        <v>1w</v>
      </c>
      <c r="O1988" s="146">
        <f>_xll.qlCalendarAdvance(Calendar,O1987,N1988,"f",FALSE)</f>
        <v>53105</v>
      </c>
      <c r="P1988" s="140">
        <f>_xll.qlInterestRateIndexValueDate(IborIndex,O1988)</f>
        <v>53107</v>
      </c>
      <c r="Q1988" s="141" t="e">
        <v>#N/A</v>
      </c>
      <c r="R1988" s="143" t="e">
        <v>#N/A</v>
      </c>
    </row>
    <row r="1989" spans="14:18" x14ac:dyDescent="0.2">
      <c r="N1989" s="139" t="str">
        <f t="shared" si="37"/>
        <v>1w</v>
      </c>
      <c r="O1989" s="146">
        <f>_xll.qlCalendarAdvance(Calendar,O1988,N1989,"f",FALSE)</f>
        <v>53112</v>
      </c>
      <c r="P1989" s="140">
        <f>_xll.qlInterestRateIndexValueDate(IborIndex,O1989)</f>
        <v>53114</v>
      </c>
      <c r="Q1989" s="141" t="e">
        <v>#N/A</v>
      </c>
      <c r="R1989" s="143" t="e">
        <v>#N/A</v>
      </c>
    </row>
    <row r="1990" spans="14:18" x14ac:dyDescent="0.2">
      <c r="N1990" s="139" t="str">
        <f t="shared" si="37"/>
        <v>1w</v>
      </c>
      <c r="O1990" s="146">
        <f>_xll.qlCalendarAdvance(Calendar,O1989,N1990,"f",FALSE)</f>
        <v>53119</v>
      </c>
      <c r="P1990" s="140">
        <f>_xll.qlInterestRateIndexValueDate(IborIndex,O1990)</f>
        <v>53121</v>
      </c>
      <c r="Q1990" s="141" t="e">
        <v>#N/A</v>
      </c>
      <c r="R1990" s="143" t="e">
        <v>#N/A</v>
      </c>
    </row>
    <row r="1991" spans="14:18" x14ac:dyDescent="0.2">
      <c r="N1991" s="139" t="str">
        <f t="shared" si="37"/>
        <v>1w</v>
      </c>
      <c r="O1991" s="146">
        <f>_xll.qlCalendarAdvance(Calendar,O1990,N1991,"f",FALSE)</f>
        <v>53126</v>
      </c>
      <c r="P1991" s="140">
        <f>_xll.qlInterestRateIndexValueDate(IborIndex,O1991)</f>
        <v>53128</v>
      </c>
      <c r="Q1991" s="141" t="e">
        <v>#N/A</v>
      </c>
      <c r="R1991" s="143" t="e">
        <v>#N/A</v>
      </c>
    </row>
    <row r="1992" spans="14:18" x14ac:dyDescent="0.2">
      <c r="N1992" s="139" t="str">
        <f t="shared" si="37"/>
        <v>1w</v>
      </c>
      <c r="O1992" s="146">
        <f>_xll.qlCalendarAdvance(Calendar,O1991,N1992,"f",FALSE)</f>
        <v>53133</v>
      </c>
      <c r="P1992" s="140">
        <f>_xll.qlInterestRateIndexValueDate(IborIndex,O1992)</f>
        <v>53135</v>
      </c>
      <c r="Q1992" s="141" t="e">
        <v>#N/A</v>
      </c>
      <c r="R1992" s="143" t="e">
        <v>#N/A</v>
      </c>
    </row>
    <row r="1993" spans="14:18" x14ac:dyDescent="0.2">
      <c r="N1993" s="139" t="str">
        <f t="shared" si="37"/>
        <v>1w</v>
      </c>
      <c r="O1993" s="146">
        <f>_xll.qlCalendarAdvance(Calendar,O1992,N1993,"f",FALSE)</f>
        <v>53140</v>
      </c>
      <c r="P1993" s="140">
        <f>_xll.qlInterestRateIndexValueDate(IborIndex,O1993)</f>
        <v>53142</v>
      </c>
      <c r="Q1993" s="141" t="e">
        <v>#N/A</v>
      </c>
      <c r="R1993" s="143" t="e">
        <v>#N/A</v>
      </c>
    </row>
    <row r="1994" spans="14:18" x14ac:dyDescent="0.2">
      <c r="N1994" s="139" t="str">
        <f t="shared" si="37"/>
        <v>1w</v>
      </c>
      <c r="O1994" s="146">
        <f>_xll.qlCalendarAdvance(Calendar,O1993,N1994,"f",FALSE)</f>
        <v>53147</v>
      </c>
      <c r="P1994" s="140">
        <f>_xll.qlInterestRateIndexValueDate(IborIndex,O1994)</f>
        <v>53149</v>
      </c>
      <c r="Q1994" s="141" t="e">
        <v>#N/A</v>
      </c>
      <c r="R1994" s="143" t="e">
        <v>#N/A</v>
      </c>
    </row>
    <row r="1995" spans="14:18" x14ac:dyDescent="0.2">
      <c r="N1995" s="139" t="str">
        <f t="shared" si="37"/>
        <v>1w</v>
      </c>
      <c r="O1995" s="146">
        <f>_xll.qlCalendarAdvance(Calendar,O1994,N1995,"f",FALSE)</f>
        <v>53154</v>
      </c>
      <c r="P1995" s="140">
        <f>_xll.qlInterestRateIndexValueDate(IborIndex,O1995)</f>
        <v>53156</v>
      </c>
      <c r="Q1995" s="141" t="e">
        <v>#N/A</v>
      </c>
      <c r="R1995" s="143" t="e">
        <v>#N/A</v>
      </c>
    </row>
    <row r="1996" spans="14:18" x14ac:dyDescent="0.2">
      <c r="N1996" s="139" t="str">
        <f t="shared" si="37"/>
        <v>1w</v>
      </c>
      <c r="O1996" s="146">
        <f>_xll.qlCalendarAdvance(Calendar,O1995,N1996,"f",FALSE)</f>
        <v>53161</v>
      </c>
      <c r="P1996" s="140">
        <f>_xll.qlInterestRateIndexValueDate(IborIndex,O1996)</f>
        <v>53163</v>
      </c>
      <c r="Q1996" s="141" t="e">
        <v>#N/A</v>
      </c>
      <c r="R1996" s="143" t="e">
        <v>#N/A</v>
      </c>
    </row>
    <row r="1997" spans="14:18" x14ac:dyDescent="0.2">
      <c r="N1997" s="139" t="str">
        <f t="shared" si="37"/>
        <v>1w</v>
      </c>
      <c r="O1997" s="146">
        <f>_xll.qlCalendarAdvance(Calendar,O1996,N1997,"f",FALSE)</f>
        <v>53168</v>
      </c>
      <c r="P1997" s="140">
        <f>_xll.qlInterestRateIndexValueDate(IborIndex,O1997)</f>
        <v>53170</v>
      </c>
      <c r="Q1997" s="141" t="e">
        <v>#N/A</v>
      </c>
      <c r="R1997" s="143" t="e">
        <v>#N/A</v>
      </c>
    </row>
    <row r="1998" spans="14:18" x14ac:dyDescent="0.2">
      <c r="N1998" s="139" t="str">
        <f t="shared" si="37"/>
        <v>1w</v>
      </c>
      <c r="O1998" s="146">
        <f>_xll.qlCalendarAdvance(Calendar,O1997,N1998,"f",FALSE)</f>
        <v>53175</v>
      </c>
      <c r="P1998" s="140">
        <f>_xll.qlInterestRateIndexValueDate(IborIndex,O1998)</f>
        <v>53177</v>
      </c>
      <c r="Q1998" s="141" t="e">
        <v>#N/A</v>
      </c>
      <c r="R1998" s="143" t="e">
        <v>#N/A</v>
      </c>
    </row>
    <row r="1999" spans="14:18" x14ac:dyDescent="0.2">
      <c r="N1999" s="139" t="str">
        <f t="shared" si="37"/>
        <v>1w</v>
      </c>
      <c r="O1999" s="146">
        <f>_xll.qlCalendarAdvance(Calendar,O1998,N1999,"f",FALSE)</f>
        <v>53182</v>
      </c>
      <c r="P1999" s="140">
        <f>_xll.qlInterestRateIndexValueDate(IborIndex,O1999)</f>
        <v>53184</v>
      </c>
      <c r="Q1999" s="141" t="e">
        <v>#N/A</v>
      </c>
      <c r="R1999" s="143" t="e">
        <v>#N/A</v>
      </c>
    </row>
    <row r="2000" spans="14:18" x14ac:dyDescent="0.2">
      <c r="N2000" s="139" t="str">
        <f t="shared" si="37"/>
        <v>1w</v>
      </c>
      <c r="O2000" s="146">
        <f>_xll.qlCalendarAdvance(Calendar,O1999,N2000,"f",FALSE)</f>
        <v>53189</v>
      </c>
      <c r="P2000" s="140">
        <f>_xll.qlInterestRateIndexValueDate(IborIndex,O2000)</f>
        <v>53191</v>
      </c>
      <c r="Q2000" s="141" t="e">
        <v>#N/A</v>
      </c>
      <c r="R2000" s="143" t="e">
        <v>#N/A</v>
      </c>
    </row>
    <row r="2001" spans="14:18" x14ac:dyDescent="0.2">
      <c r="N2001" s="139" t="str">
        <f t="shared" si="37"/>
        <v>1w</v>
      </c>
      <c r="O2001" s="146">
        <f>_xll.qlCalendarAdvance(Calendar,O2000,N2001,"f",FALSE)</f>
        <v>53196</v>
      </c>
      <c r="P2001" s="140">
        <f>_xll.qlInterestRateIndexValueDate(IborIndex,O2001)</f>
        <v>53198</v>
      </c>
      <c r="Q2001" s="141" t="e">
        <v>#N/A</v>
      </c>
      <c r="R2001" s="143" t="e">
        <v>#N/A</v>
      </c>
    </row>
    <row r="2002" spans="14:18" x14ac:dyDescent="0.2">
      <c r="N2002" s="139" t="str">
        <f t="shared" si="37"/>
        <v>1w</v>
      </c>
      <c r="O2002" s="146">
        <f>_xll.qlCalendarAdvance(Calendar,O2001,N2002,"f",FALSE)</f>
        <v>53203</v>
      </c>
      <c r="P2002" s="140">
        <f>_xll.qlInterestRateIndexValueDate(IborIndex,O2002)</f>
        <v>53205</v>
      </c>
      <c r="Q2002" s="141" t="e">
        <v>#N/A</v>
      </c>
      <c r="R2002" s="143" t="e">
        <v>#N/A</v>
      </c>
    </row>
    <row r="2003" spans="14:18" x14ac:dyDescent="0.2">
      <c r="N2003" s="139" t="str">
        <f t="shared" si="37"/>
        <v>1w</v>
      </c>
      <c r="O2003" s="146">
        <f>_xll.qlCalendarAdvance(Calendar,O2002,N2003,"f",FALSE)</f>
        <v>53210</v>
      </c>
      <c r="P2003" s="140">
        <f>_xll.qlInterestRateIndexValueDate(IborIndex,O2003)</f>
        <v>53212</v>
      </c>
      <c r="Q2003" s="141" t="e">
        <v>#N/A</v>
      </c>
      <c r="R2003" s="143" t="e">
        <v>#N/A</v>
      </c>
    </row>
    <row r="2004" spans="14:18" x14ac:dyDescent="0.2">
      <c r="N2004" s="139" t="str">
        <f t="shared" si="37"/>
        <v>1w</v>
      </c>
      <c r="O2004" s="146">
        <f>_xll.qlCalendarAdvance(Calendar,O2003,N2004,"f",FALSE)</f>
        <v>53217</v>
      </c>
      <c r="P2004" s="140">
        <f>_xll.qlInterestRateIndexValueDate(IborIndex,O2004)</f>
        <v>53219</v>
      </c>
      <c r="Q2004" s="141" t="e">
        <v>#N/A</v>
      </c>
      <c r="R2004" s="143" t="e">
        <v>#N/A</v>
      </c>
    </row>
    <row r="2005" spans="14:18" x14ac:dyDescent="0.2">
      <c r="N2005" s="139" t="str">
        <f t="shared" ref="N2005:N2068" si="38">N2004</f>
        <v>1w</v>
      </c>
      <c r="O2005" s="146">
        <f>_xll.qlCalendarAdvance(Calendar,O2004,N2005,"f",FALSE)</f>
        <v>53224</v>
      </c>
      <c r="P2005" s="140">
        <f>_xll.qlInterestRateIndexValueDate(IborIndex,O2005)</f>
        <v>53226</v>
      </c>
      <c r="Q2005" s="141" t="e">
        <v>#N/A</v>
      </c>
      <c r="R2005" s="143" t="e">
        <v>#N/A</v>
      </c>
    </row>
    <row r="2006" spans="14:18" x14ac:dyDescent="0.2">
      <c r="N2006" s="139" t="str">
        <f t="shared" si="38"/>
        <v>1w</v>
      </c>
      <c r="O2006" s="146">
        <f>_xll.qlCalendarAdvance(Calendar,O2005,N2006,"f",FALSE)</f>
        <v>53231</v>
      </c>
      <c r="P2006" s="140">
        <f>_xll.qlInterestRateIndexValueDate(IborIndex,O2006)</f>
        <v>53233</v>
      </c>
      <c r="Q2006" s="141" t="e">
        <v>#N/A</v>
      </c>
      <c r="R2006" s="143" t="e">
        <v>#N/A</v>
      </c>
    </row>
    <row r="2007" spans="14:18" x14ac:dyDescent="0.2">
      <c r="N2007" s="139" t="str">
        <f t="shared" si="38"/>
        <v>1w</v>
      </c>
      <c r="O2007" s="146">
        <f>_xll.qlCalendarAdvance(Calendar,O2006,N2007,"f",FALSE)</f>
        <v>53238</v>
      </c>
      <c r="P2007" s="140">
        <f>_xll.qlInterestRateIndexValueDate(IborIndex,O2007)</f>
        <v>53240</v>
      </c>
      <c r="Q2007" s="141" t="e">
        <v>#N/A</v>
      </c>
      <c r="R2007" s="143" t="e">
        <v>#N/A</v>
      </c>
    </row>
    <row r="2008" spans="14:18" x14ac:dyDescent="0.2">
      <c r="N2008" s="139" t="str">
        <f t="shared" si="38"/>
        <v>1w</v>
      </c>
      <c r="O2008" s="146">
        <f>_xll.qlCalendarAdvance(Calendar,O2007,N2008,"f",FALSE)</f>
        <v>53245</v>
      </c>
      <c r="P2008" s="140">
        <f>_xll.qlInterestRateIndexValueDate(IborIndex,O2008)</f>
        <v>53247</v>
      </c>
      <c r="Q2008" s="141" t="e">
        <v>#N/A</v>
      </c>
      <c r="R2008" s="143" t="e">
        <v>#N/A</v>
      </c>
    </row>
    <row r="2009" spans="14:18" x14ac:dyDescent="0.2">
      <c r="N2009" s="139" t="str">
        <f t="shared" si="38"/>
        <v>1w</v>
      </c>
      <c r="O2009" s="146">
        <f>_xll.qlCalendarAdvance(Calendar,O2008,N2009,"f",FALSE)</f>
        <v>53252</v>
      </c>
      <c r="P2009" s="140">
        <f>_xll.qlInterestRateIndexValueDate(IborIndex,O2009)</f>
        <v>53254</v>
      </c>
      <c r="Q2009" s="141" t="e">
        <v>#N/A</v>
      </c>
      <c r="R2009" s="143" t="e">
        <v>#N/A</v>
      </c>
    </row>
    <row r="2010" spans="14:18" x14ac:dyDescent="0.2">
      <c r="N2010" s="139" t="str">
        <f t="shared" si="38"/>
        <v>1w</v>
      </c>
      <c r="O2010" s="146">
        <f>_xll.qlCalendarAdvance(Calendar,O2009,N2010,"f",FALSE)</f>
        <v>53259</v>
      </c>
      <c r="P2010" s="140">
        <f>_xll.qlInterestRateIndexValueDate(IborIndex,O2010)</f>
        <v>53261</v>
      </c>
      <c r="Q2010" s="141" t="e">
        <v>#N/A</v>
      </c>
      <c r="R2010" s="143" t="e">
        <v>#N/A</v>
      </c>
    </row>
    <row r="2011" spans="14:18" x14ac:dyDescent="0.2">
      <c r="N2011" s="139" t="str">
        <f t="shared" si="38"/>
        <v>1w</v>
      </c>
      <c r="O2011" s="146">
        <f>_xll.qlCalendarAdvance(Calendar,O2010,N2011,"f",FALSE)</f>
        <v>53266</v>
      </c>
      <c r="P2011" s="140">
        <f>_xll.qlInterestRateIndexValueDate(IborIndex,O2011)</f>
        <v>53268</v>
      </c>
      <c r="Q2011" s="141" t="e">
        <v>#N/A</v>
      </c>
      <c r="R2011" s="143" t="e">
        <v>#N/A</v>
      </c>
    </row>
    <row r="2012" spans="14:18" x14ac:dyDescent="0.2">
      <c r="N2012" s="139" t="str">
        <f t="shared" si="38"/>
        <v>1w</v>
      </c>
      <c r="O2012" s="146">
        <f>_xll.qlCalendarAdvance(Calendar,O2011,N2012,"f",FALSE)</f>
        <v>53273</v>
      </c>
      <c r="P2012" s="140">
        <f>_xll.qlInterestRateIndexValueDate(IborIndex,O2012)</f>
        <v>53275</v>
      </c>
      <c r="Q2012" s="141" t="e">
        <v>#N/A</v>
      </c>
      <c r="R2012" s="143" t="e">
        <v>#N/A</v>
      </c>
    </row>
    <row r="2013" spans="14:18" x14ac:dyDescent="0.2">
      <c r="N2013" s="139" t="str">
        <f t="shared" si="38"/>
        <v>1w</v>
      </c>
      <c r="O2013" s="146">
        <f>_xll.qlCalendarAdvance(Calendar,O2012,N2013,"f",FALSE)</f>
        <v>53280</v>
      </c>
      <c r="P2013" s="140">
        <f>_xll.qlInterestRateIndexValueDate(IborIndex,O2013)</f>
        <v>53282</v>
      </c>
      <c r="Q2013" s="141" t="e">
        <v>#N/A</v>
      </c>
      <c r="R2013" s="143" t="e">
        <v>#N/A</v>
      </c>
    </row>
    <row r="2014" spans="14:18" x14ac:dyDescent="0.2">
      <c r="N2014" s="139" t="str">
        <f t="shared" si="38"/>
        <v>1w</v>
      </c>
      <c r="O2014" s="146">
        <f>_xll.qlCalendarAdvance(Calendar,O2013,N2014,"f",FALSE)</f>
        <v>53287</v>
      </c>
      <c r="P2014" s="140">
        <f>_xll.qlInterestRateIndexValueDate(IborIndex,O2014)</f>
        <v>53289</v>
      </c>
      <c r="Q2014" s="141" t="e">
        <v>#N/A</v>
      </c>
      <c r="R2014" s="143" t="e">
        <v>#N/A</v>
      </c>
    </row>
    <row r="2015" spans="14:18" x14ac:dyDescent="0.2">
      <c r="N2015" s="139" t="str">
        <f t="shared" si="38"/>
        <v>1w</v>
      </c>
      <c r="O2015" s="146">
        <f>_xll.qlCalendarAdvance(Calendar,O2014,N2015,"f",FALSE)</f>
        <v>53294</v>
      </c>
      <c r="P2015" s="140">
        <f>_xll.qlInterestRateIndexValueDate(IborIndex,O2015)</f>
        <v>53296</v>
      </c>
      <c r="Q2015" s="141" t="e">
        <v>#N/A</v>
      </c>
      <c r="R2015" s="143" t="e">
        <v>#N/A</v>
      </c>
    </row>
    <row r="2016" spans="14:18" x14ac:dyDescent="0.2">
      <c r="N2016" s="139" t="str">
        <f t="shared" si="38"/>
        <v>1w</v>
      </c>
      <c r="O2016" s="146">
        <f>_xll.qlCalendarAdvance(Calendar,O2015,N2016,"f",FALSE)</f>
        <v>53301</v>
      </c>
      <c r="P2016" s="140">
        <f>_xll.qlInterestRateIndexValueDate(IborIndex,O2016)</f>
        <v>53303</v>
      </c>
      <c r="Q2016" s="141" t="e">
        <v>#N/A</v>
      </c>
      <c r="R2016" s="143" t="e">
        <v>#N/A</v>
      </c>
    </row>
    <row r="2017" spans="14:18" x14ac:dyDescent="0.2">
      <c r="N2017" s="139" t="str">
        <f t="shared" si="38"/>
        <v>1w</v>
      </c>
      <c r="O2017" s="146">
        <f>_xll.qlCalendarAdvance(Calendar,O2016,N2017,"f",FALSE)</f>
        <v>53308</v>
      </c>
      <c r="P2017" s="140">
        <f>_xll.qlInterestRateIndexValueDate(IborIndex,O2017)</f>
        <v>53310</v>
      </c>
      <c r="Q2017" s="141" t="e">
        <v>#N/A</v>
      </c>
      <c r="R2017" s="143" t="e">
        <v>#N/A</v>
      </c>
    </row>
    <row r="2018" spans="14:18" x14ac:dyDescent="0.2">
      <c r="N2018" s="139" t="str">
        <f t="shared" si="38"/>
        <v>1w</v>
      </c>
      <c r="O2018" s="146">
        <f>_xll.qlCalendarAdvance(Calendar,O2017,N2018,"f",FALSE)</f>
        <v>53315</v>
      </c>
      <c r="P2018" s="140">
        <f>_xll.qlInterestRateIndexValueDate(IborIndex,O2018)</f>
        <v>53317</v>
      </c>
      <c r="Q2018" s="141" t="e">
        <v>#N/A</v>
      </c>
      <c r="R2018" s="143" t="e">
        <v>#N/A</v>
      </c>
    </row>
    <row r="2019" spans="14:18" x14ac:dyDescent="0.2">
      <c r="N2019" s="139" t="str">
        <f t="shared" si="38"/>
        <v>1w</v>
      </c>
      <c r="O2019" s="146">
        <f>_xll.qlCalendarAdvance(Calendar,O2018,N2019,"f",FALSE)</f>
        <v>53323</v>
      </c>
      <c r="P2019" s="140">
        <f>_xll.qlInterestRateIndexValueDate(IborIndex,O2019)</f>
        <v>53325</v>
      </c>
      <c r="Q2019" s="141" t="e">
        <v>#N/A</v>
      </c>
      <c r="R2019" s="143" t="e">
        <v>#N/A</v>
      </c>
    </row>
    <row r="2020" spans="14:18" x14ac:dyDescent="0.2">
      <c r="N2020" s="139" t="str">
        <f t="shared" si="38"/>
        <v>1w</v>
      </c>
      <c r="O2020" s="146">
        <f>_xll.qlCalendarAdvance(Calendar,O2019,N2020,"f",FALSE)</f>
        <v>53330</v>
      </c>
      <c r="P2020" s="140">
        <f>_xll.qlInterestRateIndexValueDate(IborIndex,O2020)</f>
        <v>53332</v>
      </c>
      <c r="Q2020" s="141" t="e">
        <v>#N/A</v>
      </c>
      <c r="R2020" s="143" t="e">
        <v>#N/A</v>
      </c>
    </row>
    <row r="2021" spans="14:18" x14ac:dyDescent="0.2">
      <c r="N2021" s="139" t="str">
        <f t="shared" si="38"/>
        <v>1w</v>
      </c>
      <c r="O2021" s="146">
        <f>_xll.qlCalendarAdvance(Calendar,O2020,N2021,"f",FALSE)</f>
        <v>53337</v>
      </c>
      <c r="P2021" s="140">
        <f>_xll.qlInterestRateIndexValueDate(IborIndex,O2021)</f>
        <v>53339</v>
      </c>
      <c r="Q2021" s="141" t="e">
        <v>#N/A</v>
      </c>
      <c r="R2021" s="143" t="e">
        <v>#N/A</v>
      </c>
    </row>
    <row r="2022" spans="14:18" x14ac:dyDescent="0.2">
      <c r="N2022" s="139" t="str">
        <f t="shared" si="38"/>
        <v>1w</v>
      </c>
      <c r="O2022" s="146">
        <f>_xll.qlCalendarAdvance(Calendar,O2021,N2022,"f",FALSE)</f>
        <v>53344</v>
      </c>
      <c r="P2022" s="140">
        <f>_xll.qlInterestRateIndexValueDate(IborIndex,O2022)</f>
        <v>53346</v>
      </c>
      <c r="Q2022" s="141" t="e">
        <v>#N/A</v>
      </c>
      <c r="R2022" s="143" t="e">
        <v>#N/A</v>
      </c>
    </row>
    <row r="2023" spans="14:18" x14ac:dyDescent="0.2">
      <c r="N2023" s="139" t="str">
        <f t="shared" si="38"/>
        <v>1w</v>
      </c>
      <c r="O2023" s="146">
        <f>_xll.qlCalendarAdvance(Calendar,O2022,N2023,"f",FALSE)</f>
        <v>53351</v>
      </c>
      <c r="P2023" s="140">
        <f>_xll.qlInterestRateIndexValueDate(IborIndex,O2023)</f>
        <v>53353</v>
      </c>
      <c r="Q2023" s="141" t="e">
        <v>#N/A</v>
      </c>
      <c r="R2023" s="143" t="e">
        <v>#N/A</v>
      </c>
    </row>
    <row r="2024" spans="14:18" x14ac:dyDescent="0.2">
      <c r="N2024" s="139" t="str">
        <f t="shared" si="38"/>
        <v>1w</v>
      </c>
      <c r="O2024" s="146">
        <f>_xll.qlCalendarAdvance(Calendar,O2023,N2024,"f",FALSE)</f>
        <v>53358</v>
      </c>
      <c r="P2024" s="140">
        <f>_xll.qlInterestRateIndexValueDate(IborIndex,O2024)</f>
        <v>53360</v>
      </c>
      <c r="Q2024" s="141" t="e">
        <v>#N/A</v>
      </c>
      <c r="R2024" s="143" t="e">
        <v>#N/A</v>
      </c>
    </row>
    <row r="2025" spans="14:18" x14ac:dyDescent="0.2">
      <c r="N2025" s="139" t="str">
        <f t="shared" si="38"/>
        <v>1w</v>
      </c>
      <c r="O2025" s="146">
        <f>_xll.qlCalendarAdvance(Calendar,O2024,N2025,"f",FALSE)</f>
        <v>53365</v>
      </c>
      <c r="P2025" s="140">
        <f>_xll.qlInterestRateIndexValueDate(IborIndex,O2025)</f>
        <v>53367</v>
      </c>
      <c r="Q2025" s="141" t="e">
        <v>#N/A</v>
      </c>
      <c r="R2025" s="143" t="e">
        <v>#N/A</v>
      </c>
    </row>
    <row r="2026" spans="14:18" x14ac:dyDescent="0.2">
      <c r="N2026" s="139" t="str">
        <f t="shared" si="38"/>
        <v>1w</v>
      </c>
      <c r="O2026" s="146">
        <f>_xll.qlCalendarAdvance(Calendar,O2025,N2026,"f",FALSE)</f>
        <v>53372</v>
      </c>
      <c r="P2026" s="140">
        <f>_xll.qlInterestRateIndexValueDate(IborIndex,O2026)</f>
        <v>53374</v>
      </c>
      <c r="Q2026" s="141" t="e">
        <v>#N/A</v>
      </c>
      <c r="R2026" s="143" t="e">
        <v>#N/A</v>
      </c>
    </row>
    <row r="2027" spans="14:18" x14ac:dyDescent="0.2">
      <c r="N2027" s="139" t="str">
        <f t="shared" si="38"/>
        <v>1w</v>
      </c>
      <c r="O2027" s="146">
        <f>_xll.qlCalendarAdvance(Calendar,O2026,N2027,"f",FALSE)</f>
        <v>53379</v>
      </c>
      <c r="P2027" s="140">
        <f>_xll.qlInterestRateIndexValueDate(IborIndex,O2027)</f>
        <v>53381</v>
      </c>
      <c r="Q2027" s="141" t="e">
        <v>#N/A</v>
      </c>
      <c r="R2027" s="143" t="e">
        <v>#N/A</v>
      </c>
    </row>
    <row r="2028" spans="14:18" x14ac:dyDescent="0.2">
      <c r="N2028" s="139" t="str">
        <f t="shared" si="38"/>
        <v>1w</v>
      </c>
      <c r="O2028" s="146">
        <f>_xll.qlCalendarAdvance(Calendar,O2027,N2028,"f",FALSE)</f>
        <v>53386</v>
      </c>
      <c r="P2028" s="140">
        <f>_xll.qlInterestRateIndexValueDate(IborIndex,O2028)</f>
        <v>53388</v>
      </c>
      <c r="Q2028" s="141" t="e">
        <v>#N/A</v>
      </c>
      <c r="R2028" s="143" t="e">
        <v>#N/A</v>
      </c>
    </row>
    <row r="2029" spans="14:18" x14ac:dyDescent="0.2">
      <c r="N2029" s="139" t="str">
        <f t="shared" si="38"/>
        <v>1w</v>
      </c>
      <c r="O2029" s="146">
        <f>_xll.qlCalendarAdvance(Calendar,O2028,N2029,"f",FALSE)</f>
        <v>53393</v>
      </c>
      <c r="P2029" s="140">
        <f>_xll.qlInterestRateIndexValueDate(IborIndex,O2029)</f>
        <v>53395</v>
      </c>
      <c r="Q2029" s="141" t="e">
        <v>#N/A</v>
      </c>
      <c r="R2029" s="143" t="e">
        <v>#N/A</v>
      </c>
    </row>
    <row r="2030" spans="14:18" x14ac:dyDescent="0.2">
      <c r="N2030" s="139" t="str">
        <f t="shared" si="38"/>
        <v>1w</v>
      </c>
      <c r="O2030" s="146">
        <f>_xll.qlCalendarAdvance(Calendar,O2029,N2030,"f",FALSE)</f>
        <v>53400</v>
      </c>
      <c r="P2030" s="140">
        <f>_xll.qlInterestRateIndexValueDate(IborIndex,O2030)</f>
        <v>53402</v>
      </c>
      <c r="Q2030" s="141" t="e">
        <v>#N/A</v>
      </c>
      <c r="R2030" s="143" t="e">
        <v>#N/A</v>
      </c>
    </row>
    <row r="2031" spans="14:18" x14ac:dyDescent="0.2">
      <c r="N2031" s="139" t="str">
        <f t="shared" si="38"/>
        <v>1w</v>
      </c>
      <c r="O2031" s="146">
        <f>_xll.qlCalendarAdvance(Calendar,O2030,N2031,"f",FALSE)</f>
        <v>53407</v>
      </c>
      <c r="P2031" s="140">
        <f>_xll.qlInterestRateIndexValueDate(IborIndex,O2031)</f>
        <v>53413</v>
      </c>
      <c r="Q2031" s="141" t="e">
        <v>#N/A</v>
      </c>
      <c r="R2031" s="143" t="e">
        <v>#N/A</v>
      </c>
    </row>
    <row r="2032" spans="14:18" x14ac:dyDescent="0.2">
      <c r="N2032" s="139" t="str">
        <f t="shared" si="38"/>
        <v>1w</v>
      </c>
      <c r="O2032" s="146">
        <f>_xll.qlCalendarAdvance(Calendar,O2031,N2032,"f",FALSE)</f>
        <v>53414</v>
      </c>
      <c r="P2032" s="140">
        <f>_xll.qlInterestRateIndexValueDate(IborIndex,O2032)</f>
        <v>53416</v>
      </c>
      <c r="Q2032" s="141" t="e">
        <v>#N/A</v>
      </c>
      <c r="R2032" s="143" t="e">
        <v>#N/A</v>
      </c>
    </row>
    <row r="2033" spans="14:18" x14ac:dyDescent="0.2">
      <c r="N2033" s="139" t="str">
        <f t="shared" si="38"/>
        <v>1w</v>
      </c>
      <c r="O2033" s="146">
        <f>_xll.qlCalendarAdvance(Calendar,O2032,N2033,"f",FALSE)</f>
        <v>53421</v>
      </c>
      <c r="P2033" s="140">
        <f>_xll.qlInterestRateIndexValueDate(IborIndex,O2033)</f>
        <v>53423</v>
      </c>
      <c r="Q2033" s="141" t="e">
        <v>#N/A</v>
      </c>
      <c r="R2033" s="143" t="e">
        <v>#N/A</v>
      </c>
    </row>
    <row r="2034" spans="14:18" x14ac:dyDescent="0.2">
      <c r="N2034" s="139" t="str">
        <f t="shared" si="38"/>
        <v>1w</v>
      </c>
      <c r="O2034" s="146">
        <f>_xll.qlCalendarAdvance(Calendar,O2033,N2034,"f",FALSE)</f>
        <v>53428</v>
      </c>
      <c r="P2034" s="140">
        <f>_xll.qlInterestRateIndexValueDate(IborIndex,O2034)</f>
        <v>53430</v>
      </c>
      <c r="Q2034" s="141" t="e">
        <v>#N/A</v>
      </c>
      <c r="R2034" s="143" t="e">
        <v>#N/A</v>
      </c>
    </row>
    <row r="2035" spans="14:18" x14ac:dyDescent="0.2">
      <c r="N2035" s="139" t="str">
        <f t="shared" si="38"/>
        <v>1w</v>
      </c>
      <c r="O2035" s="146">
        <f>_xll.qlCalendarAdvance(Calendar,O2034,N2035,"f",FALSE)</f>
        <v>53435</v>
      </c>
      <c r="P2035" s="140">
        <f>_xll.qlInterestRateIndexValueDate(IborIndex,O2035)</f>
        <v>53437</v>
      </c>
      <c r="Q2035" s="141" t="e">
        <v>#N/A</v>
      </c>
      <c r="R2035" s="143" t="e">
        <v>#N/A</v>
      </c>
    </row>
    <row r="2036" spans="14:18" x14ac:dyDescent="0.2">
      <c r="N2036" s="139" t="str">
        <f t="shared" si="38"/>
        <v>1w</v>
      </c>
      <c r="O2036" s="146">
        <f>_xll.qlCalendarAdvance(Calendar,O2035,N2036,"f",FALSE)</f>
        <v>53442</v>
      </c>
      <c r="P2036" s="140">
        <f>_xll.qlInterestRateIndexValueDate(IborIndex,O2036)</f>
        <v>53444</v>
      </c>
      <c r="Q2036" s="141" t="e">
        <v>#N/A</v>
      </c>
      <c r="R2036" s="143" t="e">
        <v>#N/A</v>
      </c>
    </row>
    <row r="2037" spans="14:18" x14ac:dyDescent="0.2">
      <c r="N2037" s="139" t="str">
        <f t="shared" si="38"/>
        <v>1w</v>
      </c>
      <c r="O2037" s="146">
        <f>_xll.qlCalendarAdvance(Calendar,O2036,N2037,"f",FALSE)</f>
        <v>53449</v>
      </c>
      <c r="P2037" s="140">
        <f>_xll.qlInterestRateIndexValueDate(IborIndex,O2037)</f>
        <v>53454</v>
      </c>
      <c r="Q2037" s="141" t="e">
        <v>#N/A</v>
      </c>
      <c r="R2037" s="143" t="e">
        <v>#N/A</v>
      </c>
    </row>
    <row r="2038" spans="14:18" x14ac:dyDescent="0.2">
      <c r="N2038" s="139" t="str">
        <f t="shared" si="38"/>
        <v>1w</v>
      </c>
      <c r="O2038" s="146">
        <f>_xll.qlCalendarAdvance(Calendar,O2037,N2038,"f",FALSE)</f>
        <v>53456</v>
      </c>
      <c r="P2038" s="140">
        <f>_xll.qlInterestRateIndexValueDate(IborIndex,O2038)</f>
        <v>53458</v>
      </c>
      <c r="Q2038" s="141" t="e">
        <v>#N/A</v>
      </c>
      <c r="R2038" s="143" t="e">
        <v>#N/A</v>
      </c>
    </row>
    <row r="2039" spans="14:18" x14ac:dyDescent="0.2">
      <c r="N2039" s="139" t="str">
        <f t="shared" si="38"/>
        <v>1w</v>
      </c>
      <c r="O2039" s="146">
        <f>_xll.qlCalendarAdvance(Calendar,O2038,N2039,"f",FALSE)</f>
        <v>53463</v>
      </c>
      <c r="P2039" s="140">
        <f>_xll.qlInterestRateIndexValueDate(IborIndex,O2039)</f>
        <v>53465</v>
      </c>
      <c r="Q2039" s="141" t="e">
        <v>#N/A</v>
      </c>
      <c r="R2039" s="143" t="e">
        <v>#N/A</v>
      </c>
    </row>
    <row r="2040" spans="14:18" x14ac:dyDescent="0.2">
      <c r="N2040" s="139" t="str">
        <f t="shared" si="38"/>
        <v>1w</v>
      </c>
      <c r="O2040" s="146">
        <f>_xll.qlCalendarAdvance(Calendar,O2039,N2040,"f",FALSE)</f>
        <v>53470</v>
      </c>
      <c r="P2040" s="140">
        <f>_xll.qlInterestRateIndexValueDate(IborIndex,O2040)</f>
        <v>53472</v>
      </c>
      <c r="Q2040" s="141" t="e">
        <v>#N/A</v>
      </c>
      <c r="R2040" s="143" t="e">
        <v>#N/A</v>
      </c>
    </row>
    <row r="2041" spans="14:18" x14ac:dyDescent="0.2">
      <c r="N2041" s="139" t="str">
        <f t="shared" si="38"/>
        <v>1w</v>
      </c>
      <c r="O2041" s="146">
        <f>_xll.qlCalendarAdvance(Calendar,O2040,N2041,"f",FALSE)</f>
        <v>53477</v>
      </c>
      <c r="P2041" s="140">
        <f>_xll.qlInterestRateIndexValueDate(IborIndex,O2041)</f>
        <v>53479</v>
      </c>
      <c r="Q2041" s="141" t="e">
        <v>#N/A</v>
      </c>
      <c r="R2041" s="143" t="e">
        <v>#N/A</v>
      </c>
    </row>
    <row r="2042" spans="14:18" x14ac:dyDescent="0.2">
      <c r="N2042" s="139" t="str">
        <f t="shared" si="38"/>
        <v>1w</v>
      </c>
      <c r="O2042" s="146">
        <f>_xll.qlCalendarAdvance(Calendar,O2041,N2042,"f",FALSE)</f>
        <v>53484</v>
      </c>
      <c r="P2042" s="140">
        <f>_xll.qlInterestRateIndexValueDate(IborIndex,O2042)</f>
        <v>53486</v>
      </c>
      <c r="Q2042" s="141" t="e">
        <v>#N/A</v>
      </c>
      <c r="R2042" s="143" t="e">
        <v>#N/A</v>
      </c>
    </row>
    <row r="2043" spans="14:18" x14ac:dyDescent="0.2">
      <c r="N2043" s="139" t="str">
        <f t="shared" si="38"/>
        <v>1w</v>
      </c>
      <c r="O2043" s="146">
        <f>_xll.qlCalendarAdvance(Calendar,O2042,N2043,"f",FALSE)</f>
        <v>53491</v>
      </c>
      <c r="P2043" s="140">
        <f>_xll.qlInterestRateIndexValueDate(IborIndex,O2043)</f>
        <v>53493</v>
      </c>
      <c r="Q2043" s="141" t="e">
        <v>#N/A</v>
      </c>
      <c r="R2043" s="143" t="e">
        <v>#N/A</v>
      </c>
    </row>
    <row r="2044" spans="14:18" x14ac:dyDescent="0.2">
      <c r="N2044" s="139" t="str">
        <f t="shared" si="38"/>
        <v>1w</v>
      </c>
      <c r="O2044" s="146">
        <f>_xll.qlCalendarAdvance(Calendar,O2043,N2044,"f",FALSE)</f>
        <v>53498</v>
      </c>
      <c r="P2044" s="140">
        <f>_xll.qlInterestRateIndexValueDate(IborIndex,O2044)</f>
        <v>53503</v>
      </c>
      <c r="Q2044" s="141" t="e">
        <v>#N/A</v>
      </c>
      <c r="R2044" s="143" t="e">
        <v>#N/A</v>
      </c>
    </row>
    <row r="2045" spans="14:18" x14ac:dyDescent="0.2">
      <c r="N2045" s="139" t="str">
        <f t="shared" si="38"/>
        <v>1w</v>
      </c>
      <c r="O2045" s="146">
        <f>_xll.qlCalendarAdvance(Calendar,O2044,N2045,"f",FALSE)</f>
        <v>53505</v>
      </c>
      <c r="P2045" s="140">
        <f>_xll.qlInterestRateIndexValueDate(IborIndex,O2045)</f>
        <v>53507</v>
      </c>
      <c r="Q2045" s="141" t="e">
        <v>#N/A</v>
      </c>
      <c r="R2045" s="143" t="e">
        <v>#N/A</v>
      </c>
    </row>
    <row r="2046" spans="14:18" x14ac:dyDescent="0.2">
      <c r="N2046" s="139" t="str">
        <f t="shared" si="38"/>
        <v>1w</v>
      </c>
      <c r="O2046" s="146">
        <f>_xll.qlCalendarAdvance(Calendar,O2045,N2046,"f",FALSE)</f>
        <v>53512</v>
      </c>
      <c r="P2046" s="140">
        <f>_xll.qlInterestRateIndexValueDate(IborIndex,O2046)</f>
        <v>53514</v>
      </c>
      <c r="Q2046" s="141" t="e">
        <v>#N/A</v>
      </c>
      <c r="R2046" s="143" t="e">
        <v>#N/A</v>
      </c>
    </row>
    <row r="2047" spans="14:18" x14ac:dyDescent="0.2">
      <c r="N2047" s="139" t="str">
        <f t="shared" si="38"/>
        <v>1w</v>
      </c>
      <c r="O2047" s="146">
        <f>_xll.qlCalendarAdvance(Calendar,O2046,N2047,"f",FALSE)</f>
        <v>53519</v>
      </c>
      <c r="P2047" s="140">
        <f>_xll.qlInterestRateIndexValueDate(IborIndex,O2047)</f>
        <v>53521</v>
      </c>
      <c r="Q2047" s="141" t="e">
        <v>#N/A</v>
      </c>
      <c r="R2047" s="143" t="e">
        <v>#N/A</v>
      </c>
    </row>
    <row r="2048" spans="14:18" x14ac:dyDescent="0.2">
      <c r="N2048" s="139" t="str">
        <f t="shared" si="38"/>
        <v>1w</v>
      </c>
      <c r="O2048" s="146">
        <f>_xll.qlCalendarAdvance(Calendar,O2047,N2048,"f",FALSE)</f>
        <v>53526</v>
      </c>
      <c r="P2048" s="140">
        <f>_xll.qlInterestRateIndexValueDate(IborIndex,O2048)</f>
        <v>53528</v>
      </c>
      <c r="Q2048" s="141" t="e">
        <v>#N/A</v>
      </c>
      <c r="R2048" s="143" t="e">
        <v>#N/A</v>
      </c>
    </row>
    <row r="2049" spans="14:18" x14ac:dyDescent="0.2">
      <c r="N2049" s="139" t="str">
        <f t="shared" si="38"/>
        <v>1w</v>
      </c>
      <c r="O2049" s="146">
        <f>_xll.qlCalendarAdvance(Calendar,O2048,N2049,"f",FALSE)</f>
        <v>53533</v>
      </c>
      <c r="P2049" s="140">
        <f>_xll.qlInterestRateIndexValueDate(IborIndex,O2049)</f>
        <v>53535</v>
      </c>
      <c r="Q2049" s="141" t="e">
        <v>#N/A</v>
      </c>
      <c r="R2049" s="143" t="e">
        <v>#N/A</v>
      </c>
    </row>
    <row r="2050" spans="14:18" x14ac:dyDescent="0.2">
      <c r="N2050" s="139" t="str">
        <f t="shared" si="38"/>
        <v>1w</v>
      </c>
      <c r="O2050" s="146">
        <f>_xll.qlCalendarAdvance(Calendar,O2049,N2050,"f",FALSE)</f>
        <v>53540</v>
      </c>
      <c r="P2050" s="140">
        <f>_xll.qlInterestRateIndexValueDate(IborIndex,O2050)</f>
        <v>53542</v>
      </c>
      <c r="Q2050" s="141" t="e">
        <v>#N/A</v>
      </c>
      <c r="R2050" s="143" t="e">
        <v>#N/A</v>
      </c>
    </row>
    <row r="2051" spans="14:18" x14ac:dyDescent="0.2">
      <c r="N2051" s="139" t="str">
        <f t="shared" si="38"/>
        <v>1w</v>
      </c>
      <c r="O2051" s="146">
        <f>_xll.qlCalendarAdvance(Calendar,O2050,N2051,"f",FALSE)</f>
        <v>53547</v>
      </c>
      <c r="P2051" s="140">
        <f>_xll.qlInterestRateIndexValueDate(IborIndex,O2051)</f>
        <v>53549</v>
      </c>
      <c r="Q2051" s="141" t="e">
        <v>#N/A</v>
      </c>
      <c r="R2051" s="143" t="e">
        <v>#N/A</v>
      </c>
    </row>
    <row r="2052" spans="14:18" x14ac:dyDescent="0.2">
      <c r="N2052" s="139" t="str">
        <f t="shared" si="38"/>
        <v>1w</v>
      </c>
      <c r="O2052" s="146">
        <f>_xll.qlCalendarAdvance(Calendar,O2051,N2052,"f",FALSE)</f>
        <v>53554</v>
      </c>
      <c r="P2052" s="140">
        <f>_xll.qlInterestRateIndexValueDate(IborIndex,O2052)</f>
        <v>53556</v>
      </c>
      <c r="Q2052" s="141" t="e">
        <v>#N/A</v>
      </c>
      <c r="R2052" s="143" t="e">
        <v>#N/A</v>
      </c>
    </row>
    <row r="2053" spans="14:18" x14ac:dyDescent="0.2">
      <c r="N2053" s="139" t="str">
        <f t="shared" si="38"/>
        <v>1w</v>
      </c>
      <c r="O2053" s="146">
        <f>_xll.qlCalendarAdvance(Calendar,O2052,N2053,"f",FALSE)</f>
        <v>53561</v>
      </c>
      <c r="P2053" s="140">
        <f>_xll.qlInterestRateIndexValueDate(IborIndex,O2053)</f>
        <v>53563</v>
      </c>
      <c r="Q2053" s="141" t="e">
        <v>#N/A</v>
      </c>
      <c r="R2053" s="143" t="e">
        <v>#N/A</v>
      </c>
    </row>
    <row r="2054" spans="14:18" x14ac:dyDescent="0.2">
      <c r="N2054" s="139" t="str">
        <f t="shared" si="38"/>
        <v>1w</v>
      </c>
      <c r="O2054" s="146">
        <f>_xll.qlCalendarAdvance(Calendar,O2053,N2054,"f",FALSE)</f>
        <v>53568</v>
      </c>
      <c r="P2054" s="140">
        <f>_xll.qlInterestRateIndexValueDate(IborIndex,O2054)</f>
        <v>53570</v>
      </c>
      <c r="Q2054" s="141" t="e">
        <v>#N/A</v>
      </c>
      <c r="R2054" s="143" t="e">
        <v>#N/A</v>
      </c>
    </row>
    <row r="2055" spans="14:18" x14ac:dyDescent="0.2">
      <c r="N2055" s="139" t="str">
        <f t="shared" si="38"/>
        <v>1w</v>
      </c>
      <c r="O2055" s="146">
        <f>_xll.qlCalendarAdvance(Calendar,O2054,N2055,"f",FALSE)</f>
        <v>53575</v>
      </c>
      <c r="P2055" s="140">
        <f>_xll.qlInterestRateIndexValueDate(IborIndex,O2055)</f>
        <v>53577</v>
      </c>
      <c r="Q2055" s="141" t="e">
        <v>#N/A</v>
      </c>
      <c r="R2055" s="143" t="e">
        <v>#N/A</v>
      </c>
    </row>
    <row r="2056" spans="14:18" x14ac:dyDescent="0.2">
      <c r="N2056" s="139" t="str">
        <f t="shared" si="38"/>
        <v>1w</v>
      </c>
      <c r="O2056" s="146">
        <f>_xll.qlCalendarAdvance(Calendar,O2055,N2056,"f",FALSE)</f>
        <v>53582</v>
      </c>
      <c r="P2056" s="140">
        <f>_xll.qlInterestRateIndexValueDate(IborIndex,O2056)</f>
        <v>53584</v>
      </c>
      <c r="Q2056" s="141" t="e">
        <v>#N/A</v>
      </c>
      <c r="R2056" s="143" t="e">
        <v>#N/A</v>
      </c>
    </row>
    <row r="2057" spans="14:18" x14ac:dyDescent="0.2">
      <c r="N2057" s="139" t="str">
        <f t="shared" si="38"/>
        <v>1w</v>
      </c>
      <c r="O2057" s="146">
        <f>_xll.qlCalendarAdvance(Calendar,O2056,N2057,"f",FALSE)</f>
        <v>53589</v>
      </c>
      <c r="P2057" s="140">
        <f>_xll.qlInterestRateIndexValueDate(IborIndex,O2057)</f>
        <v>53591</v>
      </c>
      <c r="Q2057" s="141" t="e">
        <v>#N/A</v>
      </c>
      <c r="R2057" s="143" t="e">
        <v>#N/A</v>
      </c>
    </row>
    <row r="2058" spans="14:18" x14ac:dyDescent="0.2">
      <c r="N2058" s="139" t="str">
        <f t="shared" si="38"/>
        <v>1w</v>
      </c>
      <c r="O2058" s="146">
        <f>_xll.qlCalendarAdvance(Calendar,O2057,N2058,"f",FALSE)</f>
        <v>53596</v>
      </c>
      <c r="P2058" s="140">
        <f>_xll.qlInterestRateIndexValueDate(IborIndex,O2058)</f>
        <v>53598</v>
      </c>
      <c r="Q2058" s="141" t="e">
        <v>#N/A</v>
      </c>
      <c r="R2058" s="143" t="e">
        <v>#N/A</v>
      </c>
    </row>
    <row r="2059" spans="14:18" x14ac:dyDescent="0.2">
      <c r="N2059" s="139" t="str">
        <f t="shared" si="38"/>
        <v>1w</v>
      </c>
      <c r="O2059" s="146">
        <f>_xll.qlCalendarAdvance(Calendar,O2058,N2059,"f",FALSE)</f>
        <v>53603</v>
      </c>
      <c r="P2059" s="140">
        <f>_xll.qlInterestRateIndexValueDate(IborIndex,O2059)</f>
        <v>53605</v>
      </c>
      <c r="Q2059" s="141" t="e">
        <v>#N/A</v>
      </c>
      <c r="R2059" s="143" t="e">
        <v>#N/A</v>
      </c>
    </row>
    <row r="2060" spans="14:18" x14ac:dyDescent="0.2">
      <c r="N2060" s="139" t="str">
        <f t="shared" si="38"/>
        <v>1w</v>
      </c>
      <c r="O2060" s="146">
        <f>_xll.qlCalendarAdvance(Calendar,O2059,N2060,"f",FALSE)</f>
        <v>53610</v>
      </c>
      <c r="P2060" s="140">
        <f>_xll.qlInterestRateIndexValueDate(IborIndex,O2060)</f>
        <v>53612</v>
      </c>
      <c r="Q2060" s="141" t="e">
        <v>#N/A</v>
      </c>
      <c r="R2060" s="143" t="e">
        <v>#N/A</v>
      </c>
    </row>
    <row r="2061" spans="14:18" x14ac:dyDescent="0.2">
      <c r="N2061" s="139" t="str">
        <f t="shared" si="38"/>
        <v>1w</v>
      </c>
      <c r="O2061" s="146">
        <f>_xll.qlCalendarAdvance(Calendar,O2060,N2061,"f",FALSE)</f>
        <v>53617</v>
      </c>
      <c r="P2061" s="140">
        <f>_xll.qlInterestRateIndexValueDate(IborIndex,O2061)</f>
        <v>53619</v>
      </c>
      <c r="Q2061" s="141" t="e">
        <v>#N/A</v>
      </c>
      <c r="R2061" s="143" t="e">
        <v>#N/A</v>
      </c>
    </row>
    <row r="2062" spans="14:18" x14ac:dyDescent="0.2">
      <c r="N2062" s="139" t="str">
        <f t="shared" si="38"/>
        <v>1w</v>
      </c>
      <c r="O2062" s="146">
        <f>_xll.qlCalendarAdvance(Calendar,O2061,N2062,"f",FALSE)</f>
        <v>53624</v>
      </c>
      <c r="P2062" s="140">
        <f>_xll.qlInterestRateIndexValueDate(IborIndex,O2062)</f>
        <v>53626</v>
      </c>
      <c r="Q2062" s="141" t="e">
        <v>#N/A</v>
      </c>
      <c r="R2062" s="143" t="e">
        <v>#N/A</v>
      </c>
    </row>
    <row r="2063" spans="14:18" x14ac:dyDescent="0.2">
      <c r="N2063" s="139" t="str">
        <f t="shared" si="38"/>
        <v>1w</v>
      </c>
      <c r="O2063" s="146">
        <f>_xll.qlCalendarAdvance(Calendar,O2062,N2063,"f",FALSE)</f>
        <v>53631</v>
      </c>
      <c r="P2063" s="140">
        <f>_xll.qlInterestRateIndexValueDate(IborIndex,O2063)</f>
        <v>53633</v>
      </c>
      <c r="Q2063" s="141" t="e">
        <v>#N/A</v>
      </c>
      <c r="R2063" s="143" t="e">
        <v>#N/A</v>
      </c>
    </row>
    <row r="2064" spans="14:18" x14ac:dyDescent="0.2">
      <c r="N2064" s="139" t="str">
        <f t="shared" si="38"/>
        <v>1w</v>
      </c>
      <c r="O2064" s="146">
        <f>_xll.qlCalendarAdvance(Calendar,O2063,N2064,"f",FALSE)</f>
        <v>53638</v>
      </c>
      <c r="P2064" s="140">
        <f>_xll.qlInterestRateIndexValueDate(IborIndex,O2064)</f>
        <v>53640</v>
      </c>
      <c r="Q2064" s="141" t="e">
        <v>#N/A</v>
      </c>
      <c r="R2064" s="143" t="e">
        <v>#N/A</v>
      </c>
    </row>
    <row r="2065" spans="14:18" x14ac:dyDescent="0.2">
      <c r="N2065" s="139" t="str">
        <f t="shared" si="38"/>
        <v>1w</v>
      </c>
      <c r="O2065" s="146">
        <f>_xll.qlCalendarAdvance(Calendar,O2064,N2065,"f",FALSE)</f>
        <v>53645</v>
      </c>
      <c r="P2065" s="140">
        <f>_xll.qlInterestRateIndexValueDate(IborIndex,O2065)</f>
        <v>53647</v>
      </c>
      <c r="Q2065" s="141" t="e">
        <v>#N/A</v>
      </c>
      <c r="R2065" s="143" t="e">
        <v>#N/A</v>
      </c>
    </row>
    <row r="2066" spans="14:18" x14ac:dyDescent="0.2">
      <c r="N2066" s="139" t="str">
        <f t="shared" si="38"/>
        <v>1w</v>
      </c>
      <c r="O2066" s="146">
        <f>_xll.qlCalendarAdvance(Calendar,O2065,N2066,"f",FALSE)</f>
        <v>53652</v>
      </c>
      <c r="P2066" s="140">
        <f>_xll.qlInterestRateIndexValueDate(IborIndex,O2066)</f>
        <v>53654</v>
      </c>
      <c r="Q2066" s="141" t="e">
        <v>#N/A</v>
      </c>
      <c r="R2066" s="143" t="e">
        <v>#N/A</v>
      </c>
    </row>
    <row r="2067" spans="14:18" x14ac:dyDescent="0.2">
      <c r="N2067" s="139" t="str">
        <f t="shared" si="38"/>
        <v>1w</v>
      </c>
      <c r="O2067" s="146">
        <f>_xll.qlCalendarAdvance(Calendar,O2066,N2067,"f",FALSE)</f>
        <v>53659</v>
      </c>
      <c r="P2067" s="140">
        <f>_xll.qlInterestRateIndexValueDate(IborIndex,O2067)</f>
        <v>53661</v>
      </c>
      <c r="Q2067" s="141" t="e">
        <v>#N/A</v>
      </c>
      <c r="R2067" s="143" t="e">
        <v>#N/A</v>
      </c>
    </row>
    <row r="2068" spans="14:18" x14ac:dyDescent="0.2">
      <c r="N2068" s="139" t="str">
        <f t="shared" si="38"/>
        <v>1w</v>
      </c>
      <c r="O2068" s="146">
        <f>_xll.qlCalendarAdvance(Calendar,O2067,N2068,"f",FALSE)</f>
        <v>53666</v>
      </c>
      <c r="P2068" s="140">
        <f>_xll.qlInterestRateIndexValueDate(IborIndex,O2068)</f>
        <v>53668</v>
      </c>
      <c r="Q2068" s="141" t="e">
        <v>#N/A</v>
      </c>
      <c r="R2068" s="143" t="e">
        <v>#N/A</v>
      </c>
    </row>
    <row r="2069" spans="14:18" x14ac:dyDescent="0.2">
      <c r="N2069" s="139" t="str">
        <f t="shared" ref="N2069:N2132" si="39">N2068</f>
        <v>1w</v>
      </c>
      <c r="O2069" s="146">
        <f>_xll.qlCalendarAdvance(Calendar,O2068,N2069,"f",FALSE)</f>
        <v>53673</v>
      </c>
      <c r="P2069" s="140">
        <f>_xll.qlInterestRateIndexValueDate(IborIndex,O2069)</f>
        <v>53675</v>
      </c>
      <c r="Q2069" s="141" t="e">
        <v>#N/A</v>
      </c>
      <c r="R2069" s="143" t="e">
        <v>#N/A</v>
      </c>
    </row>
    <row r="2070" spans="14:18" x14ac:dyDescent="0.2">
      <c r="N2070" s="139" t="str">
        <f t="shared" si="39"/>
        <v>1w</v>
      </c>
      <c r="O2070" s="146">
        <f>_xll.qlCalendarAdvance(Calendar,O2069,N2070,"f",FALSE)</f>
        <v>53680</v>
      </c>
      <c r="P2070" s="140">
        <f>_xll.qlInterestRateIndexValueDate(IborIndex,O2070)</f>
        <v>53682</v>
      </c>
      <c r="Q2070" s="141" t="e">
        <v>#N/A</v>
      </c>
      <c r="R2070" s="143" t="e">
        <v>#N/A</v>
      </c>
    </row>
    <row r="2071" spans="14:18" x14ac:dyDescent="0.2">
      <c r="N2071" s="139" t="str">
        <f t="shared" si="39"/>
        <v>1w</v>
      </c>
      <c r="O2071" s="146">
        <f>_xll.qlCalendarAdvance(Calendar,O2070,N2071,"f",FALSE)</f>
        <v>53688</v>
      </c>
      <c r="P2071" s="140">
        <f>_xll.qlInterestRateIndexValueDate(IborIndex,O2071)</f>
        <v>53694</v>
      </c>
      <c r="Q2071" s="141" t="e">
        <v>#N/A</v>
      </c>
      <c r="R2071" s="143" t="e">
        <v>#N/A</v>
      </c>
    </row>
    <row r="2072" spans="14:18" x14ac:dyDescent="0.2">
      <c r="N2072" s="139" t="str">
        <f t="shared" si="39"/>
        <v>1w</v>
      </c>
      <c r="O2072" s="146">
        <f>_xll.qlCalendarAdvance(Calendar,O2071,N2072,"f",FALSE)</f>
        <v>53695</v>
      </c>
      <c r="P2072" s="140">
        <f>_xll.qlInterestRateIndexValueDate(IborIndex,O2072)</f>
        <v>53699</v>
      </c>
      <c r="Q2072" s="141" t="e">
        <v>#N/A</v>
      </c>
      <c r="R2072" s="143" t="e">
        <v>#N/A</v>
      </c>
    </row>
    <row r="2073" spans="14:18" x14ac:dyDescent="0.2">
      <c r="N2073" s="139" t="str">
        <f t="shared" si="39"/>
        <v>1w</v>
      </c>
      <c r="O2073" s="146">
        <f>_xll.qlCalendarAdvance(Calendar,O2072,N2073,"f",FALSE)</f>
        <v>53702</v>
      </c>
      <c r="P2073" s="140">
        <f>_xll.qlInterestRateIndexValueDate(IborIndex,O2073)</f>
        <v>53706</v>
      </c>
      <c r="Q2073" s="141" t="e">
        <v>#N/A</v>
      </c>
      <c r="R2073" s="143" t="e">
        <v>#N/A</v>
      </c>
    </row>
    <row r="2074" spans="14:18" x14ac:dyDescent="0.2">
      <c r="N2074" s="139" t="str">
        <f t="shared" si="39"/>
        <v>1w</v>
      </c>
      <c r="O2074" s="146">
        <f>_xll.qlCalendarAdvance(Calendar,O2073,N2074,"f",FALSE)</f>
        <v>53709</v>
      </c>
      <c r="P2074" s="140">
        <f>_xll.qlInterestRateIndexValueDate(IborIndex,O2074)</f>
        <v>53713</v>
      </c>
      <c r="Q2074" s="141" t="e">
        <v>#N/A</v>
      </c>
      <c r="R2074" s="143" t="e">
        <v>#N/A</v>
      </c>
    </row>
    <row r="2075" spans="14:18" x14ac:dyDescent="0.2">
      <c r="N2075" s="139" t="str">
        <f t="shared" si="39"/>
        <v>1w</v>
      </c>
      <c r="O2075" s="146">
        <f>_xll.qlCalendarAdvance(Calendar,O2074,N2075,"f",FALSE)</f>
        <v>53716</v>
      </c>
      <c r="P2075" s="140">
        <f>_xll.qlInterestRateIndexValueDate(IborIndex,O2075)</f>
        <v>53720</v>
      </c>
      <c r="Q2075" s="141" t="e">
        <v>#N/A</v>
      </c>
      <c r="R2075" s="143" t="e">
        <v>#N/A</v>
      </c>
    </row>
    <row r="2076" spans="14:18" x14ac:dyDescent="0.2">
      <c r="N2076" s="139" t="str">
        <f t="shared" si="39"/>
        <v>1w</v>
      </c>
      <c r="O2076" s="146">
        <f>_xll.qlCalendarAdvance(Calendar,O2075,N2076,"f",FALSE)</f>
        <v>53723</v>
      </c>
      <c r="P2076" s="140">
        <f>_xll.qlInterestRateIndexValueDate(IborIndex,O2076)</f>
        <v>53727</v>
      </c>
      <c r="Q2076" s="141" t="e">
        <v>#N/A</v>
      </c>
      <c r="R2076" s="143" t="e">
        <v>#N/A</v>
      </c>
    </row>
    <row r="2077" spans="14:18" x14ac:dyDescent="0.2">
      <c r="N2077" s="139" t="str">
        <f t="shared" si="39"/>
        <v>1w</v>
      </c>
      <c r="O2077" s="146">
        <f>_xll.qlCalendarAdvance(Calendar,O2076,N2077,"f",FALSE)</f>
        <v>53730</v>
      </c>
      <c r="P2077" s="140">
        <f>_xll.qlInterestRateIndexValueDate(IborIndex,O2077)</f>
        <v>53734</v>
      </c>
      <c r="Q2077" s="141" t="e">
        <v>#N/A</v>
      </c>
      <c r="R2077" s="143" t="e">
        <v>#N/A</v>
      </c>
    </row>
    <row r="2078" spans="14:18" x14ac:dyDescent="0.2">
      <c r="N2078" s="139" t="str">
        <f t="shared" si="39"/>
        <v>1w</v>
      </c>
      <c r="O2078" s="146">
        <f>_xll.qlCalendarAdvance(Calendar,O2077,N2078,"f",FALSE)</f>
        <v>53737</v>
      </c>
      <c r="P2078" s="140">
        <f>_xll.qlInterestRateIndexValueDate(IborIndex,O2078)</f>
        <v>53741</v>
      </c>
      <c r="Q2078" s="141" t="e">
        <v>#N/A</v>
      </c>
      <c r="R2078" s="143" t="e">
        <v>#N/A</v>
      </c>
    </row>
    <row r="2079" spans="14:18" x14ac:dyDescent="0.2">
      <c r="N2079" s="139" t="str">
        <f t="shared" si="39"/>
        <v>1w</v>
      </c>
      <c r="O2079" s="146">
        <f>_xll.qlCalendarAdvance(Calendar,O2078,N2079,"f",FALSE)</f>
        <v>53744</v>
      </c>
      <c r="P2079" s="140">
        <f>_xll.qlInterestRateIndexValueDate(IborIndex,O2079)</f>
        <v>53748</v>
      </c>
      <c r="Q2079" s="141" t="e">
        <v>#N/A</v>
      </c>
      <c r="R2079" s="143" t="e">
        <v>#N/A</v>
      </c>
    </row>
    <row r="2080" spans="14:18" x14ac:dyDescent="0.2">
      <c r="N2080" s="139" t="str">
        <f t="shared" si="39"/>
        <v>1w</v>
      </c>
      <c r="O2080" s="146">
        <f>_xll.qlCalendarAdvance(Calendar,O2079,N2080,"f",FALSE)</f>
        <v>53751</v>
      </c>
      <c r="P2080" s="140">
        <f>_xll.qlInterestRateIndexValueDate(IborIndex,O2080)</f>
        <v>53755</v>
      </c>
      <c r="Q2080" s="141" t="e">
        <v>#N/A</v>
      </c>
      <c r="R2080" s="143" t="e">
        <v>#N/A</v>
      </c>
    </row>
    <row r="2081" spans="14:18" x14ac:dyDescent="0.2">
      <c r="N2081" s="139" t="str">
        <f t="shared" si="39"/>
        <v>1w</v>
      </c>
      <c r="O2081" s="146">
        <f>_xll.qlCalendarAdvance(Calendar,O2080,N2081,"f",FALSE)</f>
        <v>53758</v>
      </c>
      <c r="P2081" s="140">
        <f>_xll.qlInterestRateIndexValueDate(IborIndex,O2081)</f>
        <v>53762</v>
      </c>
      <c r="Q2081" s="141" t="e">
        <v>#N/A</v>
      </c>
      <c r="R2081" s="143" t="e">
        <v>#N/A</v>
      </c>
    </row>
    <row r="2082" spans="14:18" x14ac:dyDescent="0.2">
      <c r="N2082" s="139" t="str">
        <f t="shared" si="39"/>
        <v>1w</v>
      </c>
      <c r="O2082" s="146">
        <f>_xll.qlCalendarAdvance(Calendar,O2081,N2082,"f",FALSE)</f>
        <v>53765</v>
      </c>
      <c r="P2082" s="140">
        <f>_xll.qlInterestRateIndexValueDate(IborIndex,O2082)</f>
        <v>53769</v>
      </c>
      <c r="Q2082" s="141" t="e">
        <v>#N/A</v>
      </c>
      <c r="R2082" s="143" t="e">
        <v>#N/A</v>
      </c>
    </row>
    <row r="2083" spans="14:18" x14ac:dyDescent="0.2">
      <c r="N2083" s="139" t="str">
        <f t="shared" si="39"/>
        <v>1w</v>
      </c>
      <c r="O2083" s="146">
        <f>_xll.qlCalendarAdvance(Calendar,O2082,N2083,"f",FALSE)</f>
        <v>53772</v>
      </c>
      <c r="P2083" s="140">
        <f>_xll.qlInterestRateIndexValueDate(IborIndex,O2083)</f>
        <v>53776</v>
      </c>
      <c r="Q2083" s="141" t="e">
        <v>#N/A</v>
      </c>
      <c r="R2083" s="143" t="e">
        <v>#N/A</v>
      </c>
    </row>
    <row r="2084" spans="14:18" x14ac:dyDescent="0.2">
      <c r="N2084" s="139" t="str">
        <f t="shared" si="39"/>
        <v>1w</v>
      </c>
      <c r="O2084" s="146">
        <f>_xll.qlCalendarAdvance(Calendar,O2083,N2084,"f",FALSE)</f>
        <v>53779</v>
      </c>
      <c r="P2084" s="140">
        <f>_xll.qlInterestRateIndexValueDate(IborIndex,O2084)</f>
        <v>53783</v>
      </c>
      <c r="Q2084" s="141" t="e">
        <v>#N/A</v>
      </c>
      <c r="R2084" s="143" t="e">
        <v>#N/A</v>
      </c>
    </row>
    <row r="2085" spans="14:18" x14ac:dyDescent="0.2">
      <c r="N2085" s="139" t="str">
        <f t="shared" si="39"/>
        <v>1w</v>
      </c>
      <c r="O2085" s="146">
        <f>_xll.qlCalendarAdvance(Calendar,O2084,N2085,"f",FALSE)</f>
        <v>53786</v>
      </c>
      <c r="P2085" s="140">
        <f>_xll.qlInterestRateIndexValueDate(IborIndex,O2085)</f>
        <v>53790</v>
      </c>
      <c r="Q2085" s="141" t="e">
        <v>#N/A</v>
      </c>
      <c r="R2085" s="143" t="e">
        <v>#N/A</v>
      </c>
    </row>
    <row r="2086" spans="14:18" x14ac:dyDescent="0.2">
      <c r="N2086" s="139" t="str">
        <f t="shared" si="39"/>
        <v>1w</v>
      </c>
      <c r="O2086" s="146">
        <f>_xll.qlCalendarAdvance(Calendar,O2085,N2086,"f",FALSE)</f>
        <v>53793</v>
      </c>
      <c r="P2086" s="140">
        <f>_xll.qlInterestRateIndexValueDate(IborIndex,O2086)</f>
        <v>53799</v>
      </c>
      <c r="Q2086" s="141" t="e">
        <v>#N/A</v>
      </c>
      <c r="R2086" s="143" t="e">
        <v>#N/A</v>
      </c>
    </row>
    <row r="2087" spans="14:18" x14ac:dyDescent="0.2">
      <c r="N2087" s="139" t="str">
        <f t="shared" si="39"/>
        <v>1w</v>
      </c>
      <c r="O2087" s="146">
        <f>_xll.qlCalendarAdvance(Calendar,O2086,N2087,"f",FALSE)</f>
        <v>53800</v>
      </c>
      <c r="P2087" s="140">
        <f>_xll.qlInterestRateIndexValueDate(IborIndex,O2087)</f>
        <v>53804</v>
      </c>
      <c r="Q2087" s="141" t="e">
        <v>#N/A</v>
      </c>
      <c r="R2087" s="143" t="e">
        <v>#N/A</v>
      </c>
    </row>
    <row r="2088" spans="14:18" x14ac:dyDescent="0.2">
      <c r="N2088" s="139" t="str">
        <f t="shared" si="39"/>
        <v>1w</v>
      </c>
      <c r="O2088" s="146">
        <f>_xll.qlCalendarAdvance(Calendar,O2087,N2088,"f",FALSE)</f>
        <v>53807</v>
      </c>
      <c r="P2088" s="140">
        <f>_xll.qlInterestRateIndexValueDate(IborIndex,O2088)</f>
        <v>53811</v>
      </c>
      <c r="Q2088" s="141" t="e">
        <v>#N/A</v>
      </c>
      <c r="R2088" s="143" t="e">
        <v>#N/A</v>
      </c>
    </row>
    <row r="2089" spans="14:18" x14ac:dyDescent="0.2">
      <c r="N2089" s="139" t="str">
        <f t="shared" si="39"/>
        <v>1w</v>
      </c>
      <c r="O2089" s="146">
        <f>_xll.qlCalendarAdvance(Calendar,O2088,N2089,"f",FALSE)</f>
        <v>53814</v>
      </c>
      <c r="P2089" s="140">
        <f>_xll.qlInterestRateIndexValueDate(IborIndex,O2089)</f>
        <v>53818</v>
      </c>
      <c r="Q2089" s="141" t="e">
        <v>#N/A</v>
      </c>
      <c r="R2089" s="143" t="e">
        <v>#N/A</v>
      </c>
    </row>
    <row r="2090" spans="14:18" x14ac:dyDescent="0.2">
      <c r="N2090" s="139" t="str">
        <f t="shared" si="39"/>
        <v>1w</v>
      </c>
      <c r="O2090" s="146">
        <f>_xll.qlCalendarAdvance(Calendar,O2089,N2090,"f",FALSE)</f>
        <v>53821</v>
      </c>
      <c r="P2090" s="140">
        <f>_xll.qlInterestRateIndexValueDate(IborIndex,O2090)</f>
        <v>53825</v>
      </c>
      <c r="Q2090" s="141" t="e">
        <v>#N/A</v>
      </c>
      <c r="R2090" s="143" t="e">
        <v>#N/A</v>
      </c>
    </row>
    <row r="2091" spans="14:18" x14ac:dyDescent="0.2">
      <c r="N2091" s="139" t="str">
        <f t="shared" si="39"/>
        <v>1w</v>
      </c>
      <c r="O2091" s="146">
        <f>_xll.qlCalendarAdvance(Calendar,O2090,N2091,"f",FALSE)</f>
        <v>53828</v>
      </c>
      <c r="P2091" s="140">
        <f>_xll.qlInterestRateIndexValueDate(IborIndex,O2091)</f>
        <v>53832</v>
      </c>
      <c r="Q2091" s="141" t="e">
        <v>#N/A</v>
      </c>
      <c r="R2091" s="143" t="e">
        <v>#N/A</v>
      </c>
    </row>
    <row r="2092" spans="14:18" x14ac:dyDescent="0.2">
      <c r="N2092" s="139" t="str">
        <f t="shared" si="39"/>
        <v>1w</v>
      </c>
      <c r="O2092" s="146">
        <f>_xll.qlCalendarAdvance(Calendar,O2091,N2092,"f",FALSE)</f>
        <v>53836</v>
      </c>
      <c r="P2092" s="140">
        <f>_xll.qlInterestRateIndexValueDate(IborIndex,O2092)</f>
        <v>53840</v>
      </c>
      <c r="Q2092" s="141" t="e">
        <v>#N/A</v>
      </c>
      <c r="R2092" s="143" t="e">
        <v>#N/A</v>
      </c>
    </row>
    <row r="2093" spans="14:18" x14ac:dyDescent="0.2">
      <c r="N2093" s="139" t="str">
        <f t="shared" si="39"/>
        <v>1w</v>
      </c>
      <c r="O2093" s="146">
        <f>_xll.qlCalendarAdvance(Calendar,O2092,N2093,"f",FALSE)</f>
        <v>53843</v>
      </c>
      <c r="P2093" s="140">
        <f>_xll.qlInterestRateIndexValueDate(IborIndex,O2093)</f>
        <v>53848</v>
      </c>
      <c r="Q2093" s="141" t="e">
        <v>#N/A</v>
      </c>
      <c r="R2093" s="143" t="e">
        <v>#N/A</v>
      </c>
    </row>
    <row r="2094" spans="14:18" x14ac:dyDescent="0.2">
      <c r="N2094" s="139" t="str">
        <f t="shared" si="39"/>
        <v>1w</v>
      </c>
      <c r="O2094" s="146">
        <f>_xll.qlCalendarAdvance(Calendar,O2093,N2094,"f",FALSE)</f>
        <v>53850</v>
      </c>
      <c r="P2094" s="140">
        <f>_xll.qlInterestRateIndexValueDate(IborIndex,O2094)</f>
        <v>53854</v>
      </c>
      <c r="Q2094" s="141" t="e">
        <v>#N/A</v>
      </c>
      <c r="R2094" s="143" t="e">
        <v>#N/A</v>
      </c>
    </row>
    <row r="2095" spans="14:18" x14ac:dyDescent="0.2">
      <c r="N2095" s="139" t="str">
        <f t="shared" si="39"/>
        <v>1w</v>
      </c>
      <c r="O2095" s="146">
        <f>_xll.qlCalendarAdvance(Calendar,O2094,N2095,"f",FALSE)</f>
        <v>53857</v>
      </c>
      <c r="P2095" s="140">
        <f>_xll.qlInterestRateIndexValueDate(IborIndex,O2095)</f>
        <v>53861</v>
      </c>
      <c r="Q2095" s="141" t="e">
        <v>#N/A</v>
      </c>
      <c r="R2095" s="143" t="e">
        <v>#N/A</v>
      </c>
    </row>
    <row r="2096" spans="14:18" x14ac:dyDescent="0.2">
      <c r="N2096" s="139" t="str">
        <f t="shared" si="39"/>
        <v>1w</v>
      </c>
      <c r="O2096" s="146">
        <f>_xll.qlCalendarAdvance(Calendar,O2095,N2096,"f",FALSE)</f>
        <v>53867</v>
      </c>
      <c r="P2096" s="140">
        <f>_xll.qlInterestRateIndexValueDate(IborIndex,O2096)</f>
        <v>53869</v>
      </c>
      <c r="Q2096" s="141" t="e">
        <v>#N/A</v>
      </c>
      <c r="R2096" s="143" t="e">
        <v>#N/A</v>
      </c>
    </row>
    <row r="2097" spans="14:18" x14ac:dyDescent="0.2">
      <c r="N2097" s="139" t="str">
        <f t="shared" si="39"/>
        <v>1w</v>
      </c>
      <c r="O2097" s="146">
        <f>_xll.qlCalendarAdvance(Calendar,O2096,N2097,"f",FALSE)</f>
        <v>53874</v>
      </c>
      <c r="P2097" s="140">
        <f>_xll.qlInterestRateIndexValueDate(IborIndex,O2097)</f>
        <v>53876</v>
      </c>
      <c r="Q2097" s="141" t="e">
        <v>#N/A</v>
      </c>
      <c r="R2097" s="143" t="e">
        <v>#N/A</v>
      </c>
    </row>
    <row r="2098" spans="14:18" x14ac:dyDescent="0.2">
      <c r="N2098" s="139" t="str">
        <f t="shared" si="39"/>
        <v>1w</v>
      </c>
      <c r="O2098" s="146">
        <f>_xll.qlCalendarAdvance(Calendar,O2097,N2098,"f",FALSE)</f>
        <v>53881</v>
      </c>
      <c r="P2098" s="140">
        <f>_xll.qlInterestRateIndexValueDate(IborIndex,O2098)</f>
        <v>53883</v>
      </c>
      <c r="Q2098" s="141" t="e">
        <v>#N/A</v>
      </c>
      <c r="R2098" s="143" t="e">
        <v>#N/A</v>
      </c>
    </row>
    <row r="2099" spans="14:18" x14ac:dyDescent="0.2">
      <c r="N2099" s="139" t="str">
        <f t="shared" si="39"/>
        <v>1w</v>
      </c>
      <c r="O2099" s="146">
        <f>_xll.qlCalendarAdvance(Calendar,O2098,N2099,"f",FALSE)</f>
        <v>53888</v>
      </c>
      <c r="P2099" s="140">
        <f>_xll.qlInterestRateIndexValueDate(IborIndex,O2099)</f>
        <v>53890</v>
      </c>
      <c r="Q2099" s="141" t="e">
        <v>#N/A</v>
      </c>
      <c r="R2099" s="143" t="e">
        <v>#N/A</v>
      </c>
    </row>
    <row r="2100" spans="14:18" x14ac:dyDescent="0.2">
      <c r="N2100" s="139" t="str">
        <f t="shared" si="39"/>
        <v>1w</v>
      </c>
      <c r="O2100" s="146">
        <f>_xll.qlCalendarAdvance(Calendar,O2099,N2100,"f",FALSE)</f>
        <v>53895</v>
      </c>
      <c r="P2100" s="140">
        <f>_xll.qlInterestRateIndexValueDate(IborIndex,O2100)</f>
        <v>53897</v>
      </c>
      <c r="Q2100" s="141" t="e">
        <v>#N/A</v>
      </c>
      <c r="R2100" s="143" t="e">
        <v>#N/A</v>
      </c>
    </row>
    <row r="2101" spans="14:18" x14ac:dyDescent="0.2">
      <c r="N2101" s="139" t="str">
        <f t="shared" si="39"/>
        <v>1w</v>
      </c>
      <c r="O2101" s="146">
        <f>_xll.qlCalendarAdvance(Calendar,O2100,N2101,"f",FALSE)</f>
        <v>53902</v>
      </c>
      <c r="P2101" s="140">
        <f>_xll.qlInterestRateIndexValueDate(IborIndex,O2101)</f>
        <v>53904</v>
      </c>
      <c r="Q2101" s="141" t="e">
        <v>#N/A</v>
      </c>
      <c r="R2101" s="143" t="e">
        <v>#N/A</v>
      </c>
    </row>
    <row r="2102" spans="14:18" x14ac:dyDescent="0.2">
      <c r="N2102" s="139" t="str">
        <f t="shared" si="39"/>
        <v>1w</v>
      </c>
      <c r="O2102" s="146">
        <f>_xll.qlCalendarAdvance(Calendar,O2101,N2102,"f",FALSE)</f>
        <v>53909</v>
      </c>
      <c r="P2102" s="140">
        <f>_xll.qlInterestRateIndexValueDate(IborIndex,O2102)</f>
        <v>53911</v>
      </c>
      <c r="Q2102" s="141" t="e">
        <v>#N/A</v>
      </c>
      <c r="R2102" s="143" t="e">
        <v>#N/A</v>
      </c>
    </row>
    <row r="2103" spans="14:18" x14ac:dyDescent="0.2">
      <c r="N2103" s="139" t="str">
        <f t="shared" si="39"/>
        <v>1w</v>
      </c>
      <c r="O2103" s="146">
        <f>_xll.qlCalendarAdvance(Calendar,O2102,N2103,"f",FALSE)</f>
        <v>53916</v>
      </c>
      <c r="P2103" s="140">
        <f>_xll.qlInterestRateIndexValueDate(IborIndex,O2103)</f>
        <v>53918</v>
      </c>
      <c r="Q2103" s="141" t="e">
        <v>#N/A</v>
      </c>
      <c r="R2103" s="143" t="e">
        <v>#N/A</v>
      </c>
    </row>
    <row r="2104" spans="14:18" x14ac:dyDescent="0.2">
      <c r="N2104" s="139" t="str">
        <f t="shared" si="39"/>
        <v>1w</v>
      </c>
      <c r="O2104" s="146">
        <f>_xll.qlCalendarAdvance(Calendar,O2103,N2104,"f",FALSE)</f>
        <v>53923</v>
      </c>
      <c r="P2104" s="140">
        <f>_xll.qlInterestRateIndexValueDate(IborIndex,O2104)</f>
        <v>53925</v>
      </c>
      <c r="Q2104" s="141" t="e">
        <v>#N/A</v>
      </c>
      <c r="R2104" s="143" t="e">
        <v>#N/A</v>
      </c>
    </row>
    <row r="2105" spans="14:18" x14ac:dyDescent="0.2">
      <c r="N2105" s="139" t="str">
        <f t="shared" si="39"/>
        <v>1w</v>
      </c>
      <c r="O2105" s="146">
        <f>_xll.qlCalendarAdvance(Calendar,O2104,N2105,"f",FALSE)</f>
        <v>53930</v>
      </c>
      <c r="P2105" s="140">
        <f>_xll.qlInterestRateIndexValueDate(IborIndex,O2105)</f>
        <v>53932</v>
      </c>
      <c r="Q2105" s="141" t="e">
        <v>#N/A</v>
      </c>
      <c r="R2105" s="143" t="e">
        <v>#N/A</v>
      </c>
    </row>
    <row r="2106" spans="14:18" x14ac:dyDescent="0.2">
      <c r="N2106" s="139" t="str">
        <f t="shared" si="39"/>
        <v>1w</v>
      </c>
      <c r="O2106" s="146">
        <f>_xll.qlCalendarAdvance(Calendar,O2105,N2106,"f",FALSE)</f>
        <v>53937</v>
      </c>
      <c r="P2106" s="140">
        <f>_xll.qlInterestRateIndexValueDate(IborIndex,O2106)</f>
        <v>53939</v>
      </c>
      <c r="Q2106" s="141" t="e">
        <v>#N/A</v>
      </c>
      <c r="R2106" s="143" t="e">
        <v>#N/A</v>
      </c>
    </row>
    <row r="2107" spans="14:18" x14ac:dyDescent="0.2">
      <c r="N2107" s="139" t="str">
        <f t="shared" si="39"/>
        <v>1w</v>
      </c>
      <c r="O2107" s="146">
        <f>_xll.qlCalendarAdvance(Calendar,O2106,N2107,"f",FALSE)</f>
        <v>53944</v>
      </c>
      <c r="P2107" s="140">
        <f>_xll.qlInterestRateIndexValueDate(IborIndex,O2107)</f>
        <v>53946</v>
      </c>
      <c r="Q2107" s="141" t="e">
        <v>#N/A</v>
      </c>
      <c r="R2107" s="143" t="e">
        <v>#N/A</v>
      </c>
    </row>
    <row r="2108" spans="14:18" x14ac:dyDescent="0.2">
      <c r="N2108" s="139" t="str">
        <f t="shared" si="39"/>
        <v>1w</v>
      </c>
      <c r="O2108" s="146">
        <f>_xll.qlCalendarAdvance(Calendar,O2107,N2108,"f",FALSE)</f>
        <v>53951</v>
      </c>
      <c r="P2108" s="140">
        <f>_xll.qlInterestRateIndexValueDate(IborIndex,O2108)</f>
        <v>53953</v>
      </c>
      <c r="Q2108" s="141" t="e">
        <v>#N/A</v>
      </c>
      <c r="R2108" s="143" t="e">
        <v>#N/A</v>
      </c>
    </row>
    <row r="2109" spans="14:18" x14ac:dyDescent="0.2">
      <c r="N2109" s="139" t="str">
        <f t="shared" si="39"/>
        <v>1w</v>
      </c>
      <c r="O2109" s="146">
        <f>_xll.qlCalendarAdvance(Calendar,O2108,N2109,"f",FALSE)</f>
        <v>53958</v>
      </c>
      <c r="P2109" s="140">
        <f>_xll.qlInterestRateIndexValueDate(IborIndex,O2109)</f>
        <v>53960</v>
      </c>
      <c r="Q2109" s="141" t="e">
        <v>#N/A</v>
      </c>
      <c r="R2109" s="143" t="e">
        <v>#N/A</v>
      </c>
    </row>
    <row r="2110" spans="14:18" x14ac:dyDescent="0.2">
      <c r="N2110" s="139" t="str">
        <f t="shared" si="39"/>
        <v>1w</v>
      </c>
      <c r="O2110" s="146">
        <f>_xll.qlCalendarAdvance(Calendar,O2109,N2110,"f",FALSE)</f>
        <v>53965</v>
      </c>
      <c r="P2110" s="140">
        <f>_xll.qlInterestRateIndexValueDate(IborIndex,O2110)</f>
        <v>53967</v>
      </c>
      <c r="Q2110" s="141" t="e">
        <v>#N/A</v>
      </c>
      <c r="R2110" s="143" t="e">
        <v>#N/A</v>
      </c>
    </row>
    <row r="2111" spans="14:18" x14ac:dyDescent="0.2">
      <c r="N2111" s="139" t="str">
        <f t="shared" si="39"/>
        <v>1w</v>
      </c>
      <c r="O2111" s="146">
        <f>_xll.qlCalendarAdvance(Calendar,O2110,N2111,"f",FALSE)</f>
        <v>53972</v>
      </c>
      <c r="P2111" s="140">
        <f>_xll.qlInterestRateIndexValueDate(IborIndex,O2111)</f>
        <v>53974</v>
      </c>
      <c r="Q2111" s="141" t="e">
        <v>#N/A</v>
      </c>
      <c r="R2111" s="143" t="e">
        <v>#N/A</v>
      </c>
    </row>
    <row r="2112" spans="14:18" x14ac:dyDescent="0.2">
      <c r="N2112" s="139" t="str">
        <f t="shared" si="39"/>
        <v>1w</v>
      </c>
      <c r="O2112" s="146">
        <f>_xll.qlCalendarAdvance(Calendar,O2111,N2112,"f",FALSE)</f>
        <v>53979</v>
      </c>
      <c r="P2112" s="140">
        <f>_xll.qlInterestRateIndexValueDate(IborIndex,O2112)</f>
        <v>53981</v>
      </c>
      <c r="Q2112" s="141" t="e">
        <v>#N/A</v>
      </c>
      <c r="R2112" s="143" t="e">
        <v>#N/A</v>
      </c>
    </row>
    <row r="2113" spans="14:18" x14ac:dyDescent="0.2">
      <c r="N2113" s="139" t="str">
        <f t="shared" si="39"/>
        <v>1w</v>
      </c>
      <c r="O2113" s="146">
        <f>_xll.qlCalendarAdvance(Calendar,O2112,N2113,"f",FALSE)</f>
        <v>53986</v>
      </c>
      <c r="P2113" s="140">
        <f>_xll.qlInterestRateIndexValueDate(IborIndex,O2113)</f>
        <v>53988</v>
      </c>
      <c r="Q2113" s="141" t="e">
        <v>#N/A</v>
      </c>
      <c r="R2113" s="143" t="e">
        <v>#N/A</v>
      </c>
    </row>
    <row r="2114" spans="14:18" x14ac:dyDescent="0.2">
      <c r="N2114" s="139" t="str">
        <f t="shared" si="39"/>
        <v>1w</v>
      </c>
      <c r="O2114" s="146">
        <f>_xll.qlCalendarAdvance(Calendar,O2113,N2114,"f",FALSE)</f>
        <v>53993</v>
      </c>
      <c r="P2114" s="140">
        <f>_xll.qlInterestRateIndexValueDate(IborIndex,O2114)</f>
        <v>53995</v>
      </c>
      <c r="Q2114" s="141" t="e">
        <v>#N/A</v>
      </c>
      <c r="R2114" s="143" t="e">
        <v>#N/A</v>
      </c>
    </row>
    <row r="2115" spans="14:18" x14ac:dyDescent="0.2">
      <c r="N2115" s="139" t="str">
        <f t="shared" si="39"/>
        <v>1w</v>
      </c>
      <c r="O2115" s="146">
        <f>_xll.qlCalendarAdvance(Calendar,O2114,N2115,"f",FALSE)</f>
        <v>54000</v>
      </c>
      <c r="P2115" s="140">
        <f>_xll.qlInterestRateIndexValueDate(IborIndex,O2115)</f>
        <v>54002</v>
      </c>
      <c r="Q2115" s="141" t="e">
        <v>#N/A</v>
      </c>
      <c r="R2115" s="143" t="e">
        <v>#N/A</v>
      </c>
    </row>
    <row r="2116" spans="14:18" x14ac:dyDescent="0.2">
      <c r="N2116" s="139" t="str">
        <f t="shared" si="39"/>
        <v>1w</v>
      </c>
      <c r="O2116" s="146">
        <f>_xll.qlCalendarAdvance(Calendar,O2115,N2116,"f",FALSE)</f>
        <v>54007</v>
      </c>
      <c r="P2116" s="140">
        <f>_xll.qlInterestRateIndexValueDate(IborIndex,O2116)</f>
        <v>54009</v>
      </c>
      <c r="Q2116" s="141" t="e">
        <v>#N/A</v>
      </c>
      <c r="R2116" s="143" t="e">
        <v>#N/A</v>
      </c>
    </row>
    <row r="2117" spans="14:18" x14ac:dyDescent="0.2">
      <c r="N2117" s="139" t="str">
        <f t="shared" si="39"/>
        <v>1w</v>
      </c>
      <c r="O2117" s="146">
        <f>_xll.qlCalendarAdvance(Calendar,O2116,N2117,"f",FALSE)</f>
        <v>54014</v>
      </c>
      <c r="P2117" s="140">
        <f>_xll.qlInterestRateIndexValueDate(IborIndex,O2117)</f>
        <v>54016</v>
      </c>
      <c r="Q2117" s="141" t="e">
        <v>#N/A</v>
      </c>
      <c r="R2117" s="143" t="e">
        <v>#N/A</v>
      </c>
    </row>
    <row r="2118" spans="14:18" x14ac:dyDescent="0.2">
      <c r="N2118" s="139" t="str">
        <f t="shared" si="39"/>
        <v>1w</v>
      </c>
      <c r="O2118" s="146">
        <f>_xll.qlCalendarAdvance(Calendar,O2117,N2118,"f",FALSE)</f>
        <v>54021</v>
      </c>
      <c r="P2118" s="140">
        <f>_xll.qlInterestRateIndexValueDate(IborIndex,O2118)</f>
        <v>54023</v>
      </c>
      <c r="Q2118" s="141" t="e">
        <v>#N/A</v>
      </c>
      <c r="R2118" s="143" t="e">
        <v>#N/A</v>
      </c>
    </row>
    <row r="2119" spans="14:18" x14ac:dyDescent="0.2">
      <c r="N2119" s="139" t="str">
        <f t="shared" si="39"/>
        <v>1w</v>
      </c>
      <c r="O2119" s="146">
        <f>_xll.qlCalendarAdvance(Calendar,O2118,N2119,"f",FALSE)</f>
        <v>54028</v>
      </c>
      <c r="P2119" s="140">
        <f>_xll.qlInterestRateIndexValueDate(IborIndex,O2119)</f>
        <v>54030</v>
      </c>
      <c r="Q2119" s="141" t="e">
        <v>#N/A</v>
      </c>
      <c r="R2119" s="143" t="e">
        <v>#N/A</v>
      </c>
    </row>
    <row r="2120" spans="14:18" x14ac:dyDescent="0.2">
      <c r="N2120" s="139" t="str">
        <f t="shared" si="39"/>
        <v>1w</v>
      </c>
      <c r="O2120" s="146">
        <f>_xll.qlCalendarAdvance(Calendar,O2119,N2120,"f",FALSE)</f>
        <v>54035</v>
      </c>
      <c r="P2120" s="140">
        <f>_xll.qlInterestRateIndexValueDate(IborIndex,O2120)</f>
        <v>54037</v>
      </c>
      <c r="Q2120" s="141" t="e">
        <v>#N/A</v>
      </c>
      <c r="R2120" s="143" t="e">
        <v>#N/A</v>
      </c>
    </row>
    <row r="2121" spans="14:18" x14ac:dyDescent="0.2">
      <c r="N2121" s="139" t="str">
        <f t="shared" si="39"/>
        <v>1w</v>
      </c>
      <c r="O2121" s="146">
        <f>_xll.qlCalendarAdvance(Calendar,O2120,N2121,"f",FALSE)</f>
        <v>54042</v>
      </c>
      <c r="P2121" s="140">
        <f>_xll.qlInterestRateIndexValueDate(IborIndex,O2121)</f>
        <v>54044</v>
      </c>
      <c r="Q2121" s="141" t="e">
        <v>#N/A</v>
      </c>
      <c r="R2121" s="143" t="e">
        <v>#N/A</v>
      </c>
    </row>
    <row r="2122" spans="14:18" x14ac:dyDescent="0.2">
      <c r="N2122" s="139" t="str">
        <f t="shared" si="39"/>
        <v>1w</v>
      </c>
      <c r="O2122" s="146">
        <f>_xll.qlCalendarAdvance(Calendar,O2121,N2122,"f",FALSE)</f>
        <v>54049</v>
      </c>
      <c r="P2122" s="140">
        <f>_xll.qlInterestRateIndexValueDate(IborIndex,O2122)</f>
        <v>54056</v>
      </c>
      <c r="Q2122" s="141" t="e">
        <v>#N/A</v>
      </c>
      <c r="R2122" s="143" t="e">
        <v>#N/A</v>
      </c>
    </row>
    <row r="2123" spans="14:18" x14ac:dyDescent="0.2">
      <c r="N2123" s="139" t="str">
        <f t="shared" si="39"/>
        <v>1w</v>
      </c>
      <c r="O2123" s="146">
        <f>_xll.qlCalendarAdvance(Calendar,O2122,N2123,"f",FALSE)</f>
        <v>54056</v>
      </c>
      <c r="P2123" s="140">
        <f>_xll.qlInterestRateIndexValueDate(IborIndex,O2123)</f>
        <v>54060</v>
      </c>
      <c r="Q2123" s="141" t="e">
        <v>#N/A</v>
      </c>
      <c r="R2123" s="143" t="e">
        <v>#N/A</v>
      </c>
    </row>
    <row r="2124" spans="14:18" x14ac:dyDescent="0.2">
      <c r="N2124" s="139" t="str">
        <f t="shared" si="39"/>
        <v>1w</v>
      </c>
      <c r="O2124" s="146">
        <f>_xll.qlCalendarAdvance(Calendar,O2123,N2124,"f",FALSE)</f>
        <v>54064</v>
      </c>
      <c r="P2124" s="140">
        <f>_xll.qlInterestRateIndexValueDate(IborIndex,O2124)</f>
        <v>54066</v>
      </c>
      <c r="Q2124" s="141" t="e">
        <v>#N/A</v>
      </c>
      <c r="R2124" s="143" t="e">
        <v>#N/A</v>
      </c>
    </row>
    <row r="2125" spans="14:18" x14ac:dyDescent="0.2">
      <c r="N2125" s="139" t="str">
        <f t="shared" si="39"/>
        <v>1w</v>
      </c>
      <c r="O2125" s="146">
        <f>_xll.qlCalendarAdvance(Calendar,O2124,N2125,"f",FALSE)</f>
        <v>54071</v>
      </c>
      <c r="P2125" s="140">
        <f>_xll.qlInterestRateIndexValueDate(IborIndex,O2125)</f>
        <v>54073</v>
      </c>
      <c r="Q2125" s="141" t="e">
        <v>#N/A</v>
      </c>
      <c r="R2125" s="143" t="e">
        <v>#N/A</v>
      </c>
    </row>
    <row r="2126" spans="14:18" x14ac:dyDescent="0.2">
      <c r="N2126" s="139" t="str">
        <f t="shared" si="39"/>
        <v>1w</v>
      </c>
      <c r="O2126" s="146">
        <f>_xll.qlCalendarAdvance(Calendar,O2125,N2126,"f",FALSE)</f>
        <v>54078</v>
      </c>
      <c r="P2126" s="140">
        <f>_xll.qlInterestRateIndexValueDate(IborIndex,O2126)</f>
        <v>54080</v>
      </c>
      <c r="Q2126" s="141" t="e">
        <v>#N/A</v>
      </c>
      <c r="R2126" s="143" t="e">
        <v>#N/A</v>
      </c>
    </row>
    <row r="2127" spans="14:18" x14ac:dyDescent="0.2">
      <c r="N2127" s="139" t="str">
        <f t="shared" si="39"/>
        <v>1w</v>
      </c>
      <c r="O2127" s="146">
        <f>_xll.qlCalendarAdvance(Calendar,O2126,N2127,"f",FALSE)</f>
        <v>54085</v>
      </c>
      <c r="P2127" s="140">
        <f>_xll.qlInterestRateIndexValueDate(IborIndex,O2127)</f>
        <v>54087</v>
      </c>
      <c r="Q2127" s="141" t="e">
        <v>#N/A</v>
      </c>
      <c r="R2127" s="143" t="e">
        <v>#N/A</v>
      </c>
    </row>
    <row r="2128" spans="14:18" x14ac:dyDescent="0.2">
      <c r="N2128" s="139" t="str">
        <f t="shared" si="39"/>
        <v>1w</v>
      </c>
      <c r="O2128" s="146">
        <f>_xll.qlCalendarAdvance(Calendar,O2127,N2128,"f",FALSE)</f>
        <v>54092</v>
      </c>
      <c r="P2128" s="140">
        <f>_xll.qlInterestRateIndexValueDate(IborIndex,O2128)</f>
        <v>54094</v>
      </c>
      <c r="Q2128" s="141" t="e">
        <v>#N/A</v>
      </c>
      <c r="R2128" s="143" t="e">
        <v>#N/A</v>
      </c>
    </row>
    <row r="2129" spans="14:18" x14ac:dyDescent="0.2">
      <c r="N2129" s="139" t="str">
        <f t="shared" si="39"/>
        <v>1w</v>
      </c>
      <c r="O2129" s="146">
        <f>_xll.qlCalendarAdvance(Calendar,O2128,N2129,"f",FALSE)</f>
        <v>54099</v>
      </c>
      <c r="P2129" s="140">
        <f>_xll.qlInterestRateIndexValueDate(IborIndex,O2129)</f>
        <v>54101</v>
      </c>
      <c r="Q2129" s="141" t="e">
        <v>#N/A</v>
      </c>
      <c r="R2129" s="143" t="e">
        <v>#N/A</v>
      </c>
    </row>
    <row r="2130" spans="14:18" x14ac:dyDescent="0.2">
      <c r="N2130" s="139" t="str">
        <f t="shared" si="39"/>
        <v>1w</v>
      </c>
      <c r="O2130" s="146">
        <f>_xll.qlCalendarAdvance(Calendar,O2129,N2130,"f",FALSE)</f>
        <v>54106</v>
      </c>
      <c r="P2130" s="140">
        <f>_xll.qlInterestRateIndexValueDate(IborIndex,O2130)</f>
        <v>54108</v>
      </c>
      <c r="Q2130" s="141" t="e">
        <v>#N/A</v>
      </c>
      <c r="R2130" s="143" t="e">
        <v>#N/A</v>
      </c>
    </row>
    <row r="2131" spans="14:18" x14ac:dyDescent="0.2">
      <c r="N2131" s="139" t="str">
        <f t="shared" si="39"/>
        <v>1w</v>
      </c>
      <c r="O2131" s="146">
        <f>_xll.qlCalendarAdvance(Calendar,O2130,N2131,"f",FALSE)</f>
        <v>54113</v>
      </c>
      <c r="P2131" s="140">
        <f>_xll.qlInterestRateIndexValueDate(IborIndex,O2131)</f>
        <v>54115</v>
      </c>
      <c r="Q2131" s="141" t="e">
        <v>#N/A</v>
      </c>
      <c r="R2131" s="143" t="e">
        <v>#N/A</v>
      </c>
    </row>
    <row r="2132" spans="14:18" x14ac:dyDescent="0.2">
      <c r="N2132" s="139" t="str">
        <f t="shared" si="39"/>
        <v>1w</v>
      </c>
      <c r="O2132" s="146">
        <f>_xll.qlCalendarAdvance(Calendar,O2131,N2132,"f",FALSE)</f>
        <v>54120</v>
      </c>
      <c r="P2132" s="140">
        <f>_xll.qlInterestRateIndexValueDate(IborIndex,O2132)</f>
        <v>54122</v>
      </c>
      <c r="Q2132" s="141" t="e">
        <v>#N/A</v>
      </c>
      <c r="R2132" s="143" t="e">
        <v>#N/A</v>
      </c>
    </row>
    <row r="2133" spans="14:18" x14ac:dyDescent="0.2">
      <c r="N2133" s="139" t="str">
        <f t="shared" ref="N2133:N2196" si="40">N2132</f>
        <v>1w</v>
      </c>
      <c r="O2133" s="146">
        <f>_xll.qlCalendarAdvance(Calendar,O2132,N2133,"f",FALSE)</f>
        <v>54127</v>
      </c>
      <c r="P2133" s="140">
        <f>_xll.qlInterestRateIndexValueDate(IborIndex,O2133)</f>
        <v>54129</v>
      </c>
      <c r="Q2133" s="141" t="e">
        <v>#N/A</v>
      </c>
      <c r="R2133" s="143" t="e">
        <v>#N/A</v>
      </c>
    </row>
    <row r="2134" spans="14:18" x14ac:dyDescent="0.2">
      <c r="N2134" s="139" t="str">
        <f t="shared" si="40"/>
        <v>1w</v>
      </c>
      <c r="O2134" s="146">
        <f>_xll.qlCalendarAdvance(Calendar,O2133,N2134,"f",FALSE)</f>
        <v>54134</v>
      </c>
      <c r="P2134" s="140">
        <f>_xll.qlInterestRateIndexValueDate(IborIndex,O2134)</f>
        <v>54136</v>
      </c>
      <c r="Q2134" s="141" t="e">
        <v>#N/A</v>
      </c>
      <c r="R2134" s="143" t="e">
        <v>#N/A</v>
      </c>
    </row>
    <row r="2135" spans="14:18" x14ac:dyDescent="0.2">
      <c r="N2135" s="139" t="str">
        <f t="shared" si="40"/>
        <v>1w</v>
      </c>
      <c r="O2135" s="146">
        <f>_xll.qlCalendarAdvance(Calendar,O2134,N2135,"f",FALSE)</f>
        <v>54141</v>
      </c>
      <c r="P2135" s="140">
        <f>_xll.qlInterestRateIndexValueDate(IborIndex,O2135)</f>
        <v>54143</v>
      </c>
      <c r="Q2135" s="141" t="e">
        <v>#N/A</v>
      </c>
      <c r="R2135" s="143" t="e">
        <v>#N/A</v>
      </c>
    </row>
    <row r="2136" spans="14:18" x14ac:dyDescent="0.2">
      <c r="N2136" s="139" t="str">
        <f t="shared" si="40"/>
        <v>1w</v>
      </c>
      <c r="O2136" s="146">
        <f>_xll.qlCalendarAdvance(Calendar,O2135,N2136,"f",FALSE)</f>
        <v>54148</v>
      </c>
      <c r="P2136" s="140">
        <f>_xll.qlInterestRateIndexValueDate(IborIndex,O2136)</f>
        <v>54150</v>
      </c>
      <c r="Q2136" s="141" t="e">
        <v>#N/A</v>
      </c>
      <c r="R2136" s="143" t="e">
        <v>#N/A</v>
      </c>
    </row>
    <row r="2137" spans="14:18" x14ac:dyDescent="0.2">
      <c r="N2137" s="139" t="str">
        <f t="shared" si="40"/>
        <v>1w</v>
      </c>
      <c r="O2137" s="146">
        <f>_xll.qlCalendarAdvance(Calendar,O2136,N2137,"f",FALSE)</f>
        <v>54155</v>
      </c>
      <c r="P2137" s="140">
        <f>_xll.qlInterestRateIndexValueDate(IborIndex,O2137)</f>
        <v>54157</v>
      </c>
      <c r="Q2137" s="141" t="e">
        <v>#N/A</v>
      </c>
      <c r="R2137" s="143" t="e">
        <v>#N/A</v>
      </c>
    </row>
    <row r="2138" spans="14:18" x14ac:dyDescent="0.2">
      <c r="N2138" s="139" t="str">
        <f t="shared" si="40"/>
        <v>1w</v>
      </c>
      <c r="O2138" s="146">
        <f>_xll.qlCalendarAdvance(Calendar,O2137,N2138,"f",FALSE)</f>
        <v>54162</v>
      </c>
      <c r="P2138" s="140">
        <f>_xll.qlInterestRateIndexValueDate(IborIndex,O2138)</f>
        <v>54164</v>
      </c>
      <c r="Q2138" s="141" t="e">
        <v>#N/A</v>
      </c>
      <c r="R2138" s="143" t="e">
        <v>#N/A</v>
      </c>
    </row>
    <row r="2139" spans="14:18" x14ac:dyDescent="0.2">
      <c r="N2139" s="139" t="str">
        <f t="shared" si="40"/>
        <v>1w</v>
      </c>
      <c r="O2139" s="146">
        <f>_xll.qlCalendarAdvance(Calendar,O2138,N2139,"f",FALSE)</f>
        <v>54169</v>
      </c>
      <c r="P2139" s="140">
        <f>_xll.qlInterestRateIndexValueDate(IborIndex,O2139)</f>
        <v>54171</v>
      </c>
      <c r="Q2139" s="141" t="e">
        <v>#N/A</v>
      </c>
      <c r="R2139" s="143" t="e">
        <v>#N/A</v>
      </c>
    </row>
    <row r="2140" spans="14:18" x14ac:dyDescent="0.2">
      <c r="N2140" s="139" t="str">
        <f t="shared" si="40"/>
        <v>1w</v>
      </c>
      <c r="O2140" s="146">
        <f>_xll.qlCalendarAdvance(Calendar,O2139,N2140,"f",FALSE)</f>
        <v>54176</v>
      </c>
      <c r="P2140" s="140">
        <f>_xll.qlInterestRateIndexValueDate(IborIndex,O2140)</f>
        <v>54178</v>
      </c>
      <c r="Q2140" s="141" t="e">
        <v>#N/A</v>
      </c>
      <c r="R2140" s="143" t="e">
        <v>#N/A</v>
      </c>
    </row>
    <row r="2141" spans="14:18" x14ac:dyDescent="0.2">
      <c r="N2141" s="139" t="str">
        <f t="shared" si="40"/>
        <v>1w</v>
      </c>
      <c r="O2141" s="146">
        <f>_xll.qlCalendarAdvance(Calendar,O2140,N2141,"f",FALSE)</f>
        <v>54183</v>
      </c>
      <c r="P2141" s="140">
        <f>_xll.qlInterestRateIndexValueDate(IborIndex,O2141)</f>
        <v>54185</v>
      </c>
      <c r="Q2141" s="141" t="e">
        <v>#N/A</v>
      </c>
      <c r="R2141" s="143" t="e">
        <v>#N/A</v>
      </c>
    </row>
    <row r="2142" spans="14:18" x14ac:dyDescent="0.2">
      <c r="N2142" s="139" t="str">
        <f t="shared" si="40"/>
        <v>1w</v>
      </c>
      <c r="O2142" s="146">
        <f>_xll.qlCalendarAdvance(Calendar,O2141,N2142,"f",FALSE)</f>
        <v>54190</v>
      </c>
      <c r="P2142" s="140">
        <f>_xll.qlInterestRateIndexValueDate(IborIndex,O2142)</f>
        <v>54193</v>
      </c>
      <c r="Q2142" s="141" t="e">
        <v>#N/A</v>
      </c>
      <c r="R2142" s="143" t="e">
        <v>#N/A</v>
      </c>
    </row>
    <row r="2143" spans="14:18" x14ac:dyDescent="0.2">
      <c r="N2143" s="139" t="str">
        <f t="shared" si="40"/>
        <v>1w</v>
      </c>
      <c r="O2143" s="146">
        <f>_xll.qlCalendarAdvance(Calendar,O2142,N2143,"f",FALSE)</f>
        <v>54197</v>
      </c>
      <c r="P2143" s="140">
        <f>_xll.qlInterestRateIndexValueDate(IborIndex,O2143)</f>
        <v>54199</v>
      </c>
      <c r="Q2143" s="141" t="e">
        <v>#N/A</v>
      </c>
      <c r="R2143" s="143" t="e">
        <v>#N/A</v>
      </c>
    </row>
    <row r="2144" spans="14:18" x14ac:dyDescent="0.2">
      <c r="N2144" s="139" t="str">
        <f t="shared" si="40"/>
        <v>1w</v>
      </c>
      <c r="O2144" s="146">
        <f>_xll.qlCalendarAdvance(Calendar,O2143,N2144,"f",FALSE)</f>
        <v>54204</v>
      </c>
      <c r="P2144" s="140">
        <f>_xll.qlInterestRateIndexValueDate(IborIndex,O2144)</f>
        <v>54206</v>
      </c>
      <c r="Q2144" s="141" t="e">
        <v>#N/A</v>
      </c>
      <c r="R2144" s="143" t="e">
        <v>#N/A</v>
      </c>
    </row>
    <row r="2145" spans="14:18" x14ac:dyDescent="0.2">
      <c r="N2145" s="139" t="str">
        <f t="shared" si="40"/>
        <v>1w</v>
      </c>
      <c r="O2145" s="146">
        <f>_xll.qlCalendarAdvance(Calendar,O2144,N2145,"f",FALSE)</f>
        <v>54211</v>
      </c>
      <c r="P2145" s="140">
        <f>_xll.qlInterestRateIndexValueDate(IborIndex,O2145)</f>
        <v>54213</v>
      </c>
      <c r="Q2145" s="141" t="e">
        <v>#N/A</v>
      </c>
      <c r="R2145" s="143" t="e">
        <v>#N/A</v>
      </c>
    </row>
    <row r="2146" spans="14:18" x14ac:dyDescent="0.2">
      <c r="N2146" s="139" t="str">
        <f t="shared" si="40"/>
        <v>1w</v>
      </c>
      <c r="O2146" s="146">
        <f>_xll.qlCalendarAdvance(Calendar,O2145,N2146,"f",FALSE)</f>
        <v>54218</v>
      </c>
      <c r="P2146" s="140">
        <f>_xll.qlInterestRateIndexValueDate(IborIndex,O2146)</f>
        <v>54220</v>
      </c>
      <c r="Q2146" s="141" t="e">
        <v>#N/A</v>
      </c>
      <c r="R2146" s="143" t="e">
        <v>#N/A</v>
      </c>
    </row>
    <row r="2147" spans="14:18" x14ac:dyDescent="0.2">
      <c r="N2147" s="139" t="str">
        <f t="shared" si="40"/>
        <v>1w</v>
      </c>
      <c r="O2147" s="146">
        <f>_xll.qlCalendarAdvance(Calendar,O2146,N2147,"f",FALSE)</f>
        <v>54225</v>
      </c>
      <c r="P2147" s="140">
        <f>_xll.qlInterestRateIndexValueDate(IborIndex,O2147)</f>
        <v>54227</v>
      </c>
      <c r="Q2147" s="141" t="e">
        <v>#N/A</v>
      </c>
      <c r="R2147" s="143" t="e">
        <v>#N/A</v>
      </c>
    </row>
    <row r="2148" spans="14:18" x14ac:dyDescent="0.2">
      <c r="N2148" s="139" t="str">
        <f t="shared" si="40"/>
        <v>1w</v>
      </c>
      <c r="O2148" s="146">
        <f>_xll.qlCalendarAdvance(Calendar,O2147,N2148,"f",FALSE)</f>
        <v>54232</v>
      </c>
      <c r="P2148" s="140">
        <f>_xll.qlInterestRateIndexValueDate(IborIndex,O2148)</f>
        <v>54234</v>
      </c>
      <c r="Q2148" s="141" t="e">
        <v>#N/A</v>
      </c>
      <c r="R2148" s="143" t="e">
        <v>#N/A</v>
      </c>
    </row>
    <row r="2149" spans="14:18" x14ac:dyDescent="0.2">
      <c r="N2149" s="139" t="str">
        <f t="shared" si="40"/>
        <v>1w</v>
      </c>
      <c r="O2149" s="146">
        <f>_xll.qlCalendarAdvance(Calendar,O2148,N2149,"f",FALSE)</f>
        <v>54239</v>
      </c>
      <c r="P2149" s="140">
        <f>_xll.qlInterestRateIndexValueDate(IborIndex,O2149)</f>
        <v>54241</v>
      </c>
      <c r="Q2149" s="141" t="e">
        <v>#N/A</v>
      </c>
      <c r="R2149" s="143" t="e">
        <v>#N/A</v>
      </c>
    </row>
    <row r="2150" spans="14:18" x14ac:dyDescent="0.2">
      <c r="N2150" s="139" t="str">
        <f t="shared" si="40"/>
        <v>1w</v>
      </c>
      <c r="O2150" s="146">
        <f>_xll.qlCalendarAdvance(Calendar,O2149,N2150,"f",FALSE)</f>
        <v>54246</v>
      </c>
      <c r="P2150" s="140">
        <f>_xll.qlInterestRateIndexValueDate(IborIndex,O2150)</f>
        <v>54248</v>
      </c>
      <c r="Q2150" s="141" t="e">
        <v>#N/A</v>
      </c>
      <c r="R2150" s="143" t="e">
        <v>#N/A</v>
      </c>
    </row>
    <row r="2151" spans="14:18" x14ac:dyDescent="0.2">
      <c r="N2151" s="139" t="str">
        <f t="shared" si="40"/>
        <v>1w</v>
      </c>
      <c r="O2151" s="146">
        <f>_xll.qlCalendarAdvance(Calendar,O2150,N2151,"f",FALSE)</f>
        <v>54253</v>
      </c>
      <c r="P2151" s="140">
        <f>_xll.qlInterestRateIndexValueDate(IborIndex,O2151)</f>
        <v>54255</v>
      </c>
      <c r="Q2151" s="141" t="e">
        <v>#N/A</v>
      </c>
      <c r="R2151" s="143" t="e">
        <v>#N/A</v>
      </c>
    </row>
    <row r="2152" spans="14:18" x14ac:dyDescent="0.2">
      <c r="N2152" s="139" t="str">
        <f t="shared" si="40"/>
        <v>1w</v>
      </c>
      <c r="O2152" s="146">
        <f>_xll.qlCalendarAdvance(Calendar,O2151,N2152,"f",FALSE)</f>
        <v>54260</v>
      </c>
      <c r="P2152" s="140">
        <f>_xll.qlInterestRateIndexValueDate(IborIndex,O2152)</f>
        <v>54262</v>
      </c>
      <c r="Q2152" s="141" t="e">
        <v>#N/A</v>
      </c>
      <c r="R2152" s="143" t="e">
        <v>#N/A</v>
      </c>
    </row>
    <row r="2153" spans="14:18" x14ac:dyDescent="0.2">
      <c r="N2153" s="139" t="str">
        <f t="shared" si="40"/>
        <v>1w</v>
      </c>
      <c r="O2153" s="146">
        <f>_xll.qlCalendarAdvance(Calendar,O2152,N2153,"f",FALSE)</f>
        <v>54267</v>
      </c>
      <c r="P2153" s="140">
        <f>_xll.qlInterestRateIndexValueDate(IborIndex,O2153)</f>
        <v>54269</v>
      </c>
      <c r="Q2153" s="141" t="e">
        <v>#N/A</v>
      </c>
      <c r="R2153" s="143" t="e">
        <v>#N/A</v>
      </c>
    </row>
    <row r="2154" spans="14:18" x14ac:dyDescent="0.2">
      <c r="N2154" s="139" t="str">
        <f t="shared" si="40"/>
        <v>1w</v>
      </c>
      <c r="O2154" s="146">
        <f>_xll.qlCalendarAdvance(Calendar,O2153,N2154,"f",FALSE)</f>
        <v>54274</v>
      </c>
      <c r="P2154" s="140">
        <f>_xll.qlInterestRateIndexValueDate(IborIndex,O2154)</f>
        <v>54276</v>
      </c>
      <c r="Q2154" s="141" t="e">
        <v>#N/A</v>
      </c>
      <c r="R2154" s="143" t="e">
        <v>#N/A</v>
      </c>
    </row>
    <row r="2155" spans="14:18" x14ac:dyDescent="0.2">
      <c r="N2155" s="139" t="str">
        <f t="shared" si="40"/>
        <v>1w</v>
      </c>
      <c r="O2155" s="146">
        <f>_xll.qlCalendarAdvance(Calendar,O2154,N2155,"f",FALSE)</f>
        <v>54281</v>
      </c>
      <c r="P2155" s="140">
        <f>_xll.qlInterestRateIndexValueDate(IborIndex,O2155)</f>
        <v>54283</v>
      </c>
      <c r="Q2155" s="141" t="e">
        <v>#N/A</v>
      </c>
      <c r="R2155" s="143" t="e">
        <v>#N/A</v>
      </c>
    </row>
    <row r="2156" spans="14:18" x14ac:dyDescent="0.2">
      <c r="N2156" s="139" t="str">
        <f t="shared" si="40"/>
        <v>1w</v>
      </c>
      <c r="O2156" s="146">
        <f>_xll.qlCalendarAdvance(Calendar,O2155,N2156,"f",FALSE)</f>
        <v>54288</v>
      </c>
      <c r="P2156" s="140">
        <f>_xll.qlInterestRateIndexValueDate(IborIndex,O2156)</f>
        <v>54290</v>
      </c>
      <c r="Q2156" s="141" t="e">
        <v>#N/A</v>
      </c>
      <c r="R2156" s="143" t="e">
        <v>#N/A</v>
      </c>
    </row>
    <row r="2157" spans="14:18" x14ac:dyDescent="0.2">
      <c r="N2157" s="139" t="str">
        <f t="shared" si="40"/>
        <v>1w</v>
      </c>
      <c r="O2157" s="146">
        <f>_xll.qlCalendarAdvance(Calendar,O2156,N2157,"f",FALSE)</f>
        <v>54295</v>
      </c>
      <c r="P2157" s="140">
        <f>_xll.qlInterestRateIndexValueDate(IborIndex,O2157)</f>
        <v>54297</v>
      </c>
      <c r="Q2157" s="141" t="e">
        <v>#N/A</v>
      </c>
      <c r="R2157" s="143" t="e">
        <v>#N/A</v>
      </c>
    </row>
    <row r="2158" spans="14:18" x14ac:dyDescent="0.2">
      <c r="N2158" s="139" t="str">
        <f t="shared" si="40"/>
        <v>1w</v>
      </c>
      <c r="O2158" s="146">
        <f>_xll.qlCalendarAdvance(Calendar,O2157,N2158,"f",FALSE)</f>
        <v>54302</v>
      </c>
      <c r="P2158" s="140">
        <f>_xll.qlInterestRateIndexValueDate(IborIndex,O2158)</f>
        <v>54304</v>
      </c>
      <c r="Q2158" s="141" t="e">
        <v>#N/A</v>
      </c>
      <c r="R2158" s="143" t="e">
        <v>#N/A</v>
      </c>
    </row>
    <row r="2159" spans="14:18" x14ac:dyDescent="0.2">
      <c r="N2159" s="139" t="str">
        <f t="shared" si="40"/>
        <v>1w</v>
      </c>
      <c r="O2159" s="146">
        <f>_xll.qlCalendarAdvance(Calendar,O2158,N2159,"f",FALSE)</f>
        <v>54309</v>
      </c>
      <c r="P2159" s="140">
        <f>_xll.qlInterestRateIndexValueDate(IborIndex,O2159)</f>
        <v>54311</v>
      </c>
      <c r="Q2159" s="141" t="e">
        <v>#N/A</v>
      </c>
      <c r="R2159" s="143" t="e">
        <v>#N/A</v>
      </c>
    </row>
    <row r="2160" spans="14:18" x14ac:dyDescent="0.2">
      <c r="N2160" s="139" t="str">
        <f t="shared" si="40"/>
        <v>1w</v>
      </c>
      <c r="O2160" s="146">
        <f>_xll.qlCalendarAdvance(Calendar,O2159,N2160,"f",FALSE)</f>
        <v>54316</v>
      </c>
      <c r="P2160" s="140">
        <f>_xll.qlInterestRateIndexValueDate(IborIndex,O2160)</f>
        <v>54318</v>
      </c>
      <c r="Q2160" s="141" t="e">
        <v>#N/A</v>
      </c>
      <c r="R2160" s="143" t="e">
        <v>#N/A</v>
      </c>
    </row>
    <row r="2161" spans="14:18" x14ac:dyDescent="0.2">
      <c r="N2161" s="139" t="str">
        <f t="shared" si="40"/>
        <v>1w</v>
      </c>
      <c r="O2161" s="146">
        <f>_xll.qlCalendarAdvance(Calendar,O2160,N2161,"f",FALSE)</f>
        <v>54323</v>
      </c>
      <c r="P2161" s="140">
        <f>_xll.qlInterestRateIndexValueDate(IborIndex,O2161)</f>
        <v>54325</v>
      </c>
      <c r="Q2161" s="141" t="e">
        <v>#N/A</v>
      </c>
      <c r="R2161" s="143" t="e">
        <v>#N/A</v>
      </c>
    </row>
    <row r="2162" spans="14:18" x14ac:dyDescent="0.2">
      <c r="N2162" s="139" t="str">
        <f t="shared" si="40"/>
        <v>1w</v>
      </c>
      <c r="O2162" s="146">
        <f>_xll.qlCalendarAdvance(Calendar,O2161,N2162,"f",FALSE)</f>
        <v>54330</v>
      </c>
      <c r="P2162" s="140">
        <f>_xll.qlInterestRateIndexValueDate(IborIndex,O2162)</f>
        <v>54332</v>
      </c>
      <c r="Q2162" s="141" t="e">
        <v>#N/A</v>
      </c>
      <c r="R2162" s="143" t="e">
        <v>#N/A</v>
      </c>
    </row>
    <row r="2163" spans="14:18" x14ac:dyDescent="0.2">
      <c r="N2163" s="139" t="str">
        <f t="shared" si="40"/>
        <v>1w</v>
      </c>
      <c r="O2163" s="146">
        <f>_xll.qlCalendarAdvance(Calendar,O2162,N2163,"f",FALSE)</f>
        <v>54337</v>
      </c>
      <c r="P2163" s="140">
        <f>_xll.qlInterestRateIndexValueDate(IborIndex,O2163)</f>
        <v>54339</v>
      </c>
      <c r="Q2163" s="141" t="e">
        <v>#N/A</v>
      </c>
      <c r="R2163" s="143" t="e">
        <v>#N/A</v>
      </c>
    </row>
    <row r="2164" spans="14:18" x14ac:dyDescent="0.2">
      <c r="N2164" s="139" t="str">
        <f t="shared" si="40"/>
        <v>1w</v>
      </c>
      <c r="O2164" s="146">
        <f>_xll.qlCalendarAdvance(Calendar,O2163,N2164,"f",FALSE)</f>
        <v>54344</v>
      </c>
      <c r="P2164" s="140">
        <f>_xll.qlInterestRateIndexValueDate(IborIndex,O2164)</f>
        <v>54346</v>
      </c>
      <c r="Q2164" s="141" t="e">
        <v>#N/A</v>
      </c>
      <c r="R2164" s="143" t="e">
        <v>#N/A</v>
      </c>
    </row>
    <row r="2165" spans="14:18" x14ac:dyDescent="0.2">
      <c r="N2165" s="139" t="str">
        <f t="shared" si="40"/>
        <v>1w</v>
      </c>
      <c r="O2165" s="146">
        <f>_xll.qlCalendarAdvance(Calendar,O2164,N2165,"f",FALSE)</f>
        <v>54351</v>
      </c>
      <c r="P2165" s="140">
        <f>_xll.qlInterestRateIndexValueDate(IborIndex,O2165)</f>
        <v>54353</v>
      </c>
      <c r="Q2165" s="141" t="e">
        <v>#N/A</v>
      </c>
      <c r="R2165" s="143" t="e">
        <v>#N/A</v>
      </c>
    </row>
    <row r="2166" spans="14:18" x14ac:dyDescent="0.2">
      <c r="N2166" s="139" t="str">
        <f t="shared" si="40"/>
        <v>1w</v>
      </c>
      <c r="O2166" s="146">
        <f>_xll.qlCalendarAdvance(Calendar,O2165,N2166,"f",FALSE)</f>
        <v>54358</v>
      </c>
      <c r="P2166" s="140">
        <f>_xll.qlInterestRateIndexValueDate(IborIndex,O2166)</f>
        <v>54360</v>
      </c>
      <c r="Q2166" s="141" t="e">
        <v>#N/A</v>
      </c>
      <c r="R2166" s="143" t="e">
        <v>#N/A</v>
      </c>
    </row>
    <row r="2167" spans="14:18" x14ac:dyDescent="0.2">
      <c r="N2167" s="139" t="str">
        <f t="shared" si="40"/>
        <v>1w</v>
      </c>
      <c r="O2167" s="146">
        <f>_xll.qlCalendarAdvance(Calendar,O2166,N2167,"f",FALSE)</f>
        <v>54365</v>
      </c>
      <c r="P2167" s="140">
        <f>_xll.qlInterestRateIndexValueDate(IborIndex,O2167)</f>
        <v>54367</v>
      </c>
      <c r="Q2167" s="141" t="e">
        <v>#N/A</v>
      </c>
      <c r="R2167" s="143" t="e">
        <v>#N/A</v>
      </c>
    </row>
    <row r="2168" spans="14:18" x14ac:dyDescent="0.2">
      <c r="N2168" s="139" t="str">
        <f t="shared" si="40"/>
        <v>1w</v>
      </c>
      <c r="O2168" s="146">
        <f>_xll.qlCalendarAdvance(Calendar,O2167,N2168,"f",FALSE)</f>
        <v>54372</v>
      </c>
      <c r="P2168" s="140">
        <f>_xll.qlInterestRateIndexValueDate(IborIndex,O2168)</f>
        <v>54374</v>
      </c>
      <c r="Q2168" s="141" t="e">
        <v>#N/A</v>
      </c>
      <c r="R2168" s="143" t="e">
        <v>#N/A</v>
      </c>
    </row>
    <row r="2169" spans="14:18" x14ac:dyDescent="0.2">
      <c r="N2169" s="139" t="str">
        <f t="shared" si="40"/>
        <v>1w</v>
      </c>
      <c r="O2169" s="146">
        <f>_xll.qlCalendarAdvance(Calendar,O2168,N2169,"f",FALSE)</f>
        <v>54379</v>
      </c>
      <c r="P2169" s="140">
        <f>_xll.qlInterestRateIndexValueDate(IborIndex,O2169)</f>
        <v>54381</v>
      </c>
      <c r="Q2169" s="141" t="e">
        <v>#N/A</v>
      </c>
      <c r="R2169" s="143" t="e">
        <v>#N/A</v>
      </c>
    </row>
    <row r="2170" spans="14:18" x14ac:dyDescent="0.2">
      <c r="N2170" s="139" t="str">
        <f t="shared" si="40"/>
        <v>1w</v>
      </c>
      <c r="O2170" s="146">
        <f>_xll.qlCalendarAdvance(Calendar,O2169,N2170,"f",FALSE)</f>
        <v>54386</v>
      </c>
      <c r="P2170" s="140">
        <f>_xll.qlInterestRateIndexValueDate(IborIndex,O2170)</f>
        <v>54388</v>
      </c>
      <c r="Q2170" s="141" t="e">
        <v>#N/A</v>
      </c>
      <c r="R2170" s="143" t="e">
        <v>#N/A</v>
      </c>
    </row>
    <row r="2171" spans="14:18" x14ac:dyDescent="0.2">
      <c r="N2171" s="139" t="str">
        <f t="shared" si="40"/>
        <v>1w</v>
      </c>
      <c r="O2171" s="146">
        <f>_xll.qlCalendarAdvance(Calendar,O2170,N2171,"f",FALSE)</f>
        <v>54393</v>
      </c>
      <c r="P2171" s="140">
        <f>_xll.qlInterestRateIndexValueDate(IborIndex,O2171)</f>
        <v>54395</v>
      </c>
      <c r="Q2171" s="141" t="e">
        <v>#N/A</v>
      </c>
      <c r="R2171" s="143" t="e">
        <v>#N/A</v>
      </c>
    </row>
    <row r="2172" spans="14:18" x14ac:dyDescent="0.2">
      <c r="N2172" s="139" t="str">
        <f t="shared" si="40"/>
        <v>1w</v>
      </c>
      <c r="O2172" s="146">
        <f>_xll.qlCalendarAdvance(Calendar,O2171,N2172,"f",FALSE)</f>
        <v>54400</v>
      </c>
      <c r="P2172" s="140">
        <f>_xll.qlInterestRateIndexValueDate(IborIndex,O2172)</f>
        <v>54402</v>
      </c>
      <c r="Q2172" s="141" t="e">
        <v>#N/A</v>
      </c>
      <c r="R2172" s="143" t="e">
        <v>#N/A</v>
      </c>
    </row>
    <row r="2173" spans="14:18" x14ac:dyDescent="0.2">
      <c r="N2173" s="139" t="str">
        <f t="shared" si="40"/>
        <v>1w</v>
      </c>
      <c r="O2173" s="146">
        <f>_xll.qlCalendarAdvance(Calendar,O2172,N2173,"f",FALSE)</f>
        <v>54407</v>
      </c>
      <c r="P2173" s="140">
        <f>_xll.qlInterestRateIndexValueDate(IborIndex,O2173)</f>
        <v>54409</v>
      </c>
      <c r="Q2173" s="141" t="e">
        <v>#N/A</v>
      </c>
      <c r="R2173" s="143" t="e">
        <v>#N/A</v>
      </c>
    </row>
    <row r="2174" spans="14:18" x14ac:dyDescent="0.2">
      <c r="N2174" s="139" t="str">
        <f t="shared" si="40"/>
        <v>1w</v>
      </c>
      <c r="O2174" s="146">
        <f>_xll.qlCalendarAdvance(Calendar,O2173,N2174,"f",FALSE)</f>
        <v>54414</v>
      </c>
      <c r="P2174" s="140">
        <f>_xll.qlInterestRateIndexValueDate(IborIndex,O2174)</f>
        <v>54420</v>
      </c>
      <c r="Q2174" s="141" t="e">
        <v>#N/A</v>
      </c>
      <c r="R2174" s="143" t="e">
        <v>#N/A</v>
      </c>
    </row>
    <row r="2175" spans="14:18" x14ac:dyDescent="0.2">
      <c r="N2175" s="139" t="str">
        <f t="shared" si="40"/>
        <v>1w</v>
      </c>
      <c r="O2175" s="146">
        <f>_xll.qlCalendarAdvance(Calendar,O2174,N2175,"f",FALSE)</f>
        <v>54421</v>
      </c>
      <c r="P2175" s="140">
        <f>_xll.qlInterestRateIndexValueDate(IborIndex,O2175)</f>
        <v>54427</v>
      </c>
      <c r="Q2175" s="141" t="e">
        <v>#N/A</v>
      </c>
      <c r="R2175" s="143" t="e">
        <v>#N/A</v>
      </c>
    </row>
    <row r="2176" spans="14:18" x14ac:dyDescent="0.2">
      <c r="N2176" s="139" t="str">
        <f t="shared" si="40"/>
        <v>1w</v>
      </c>
      <c r="O2176" s="146">
        <f>_xll.qlCalendarAdvance(Calendar,O2175,N2176,"f",FALSE)</f>
        <v>54428</v>
      </c>
      <c r="P2176" s="140">
        <f>_xll.qlInterestRateIndexValueDate(IborIndex,O2176)</f>
        <v>54431</v>
      </c>
      <c r="Q2176" s="141" t="e">
        <v>#N/A</v>
      </c>
      <c r="R2176" s="143" t="e">
        <v>#N/A</v>
      </c>
    </row>
    <row r="2177" spans="14:18" x14ac:dyDescent="0.2">
      <c r="N2177" s="139" t="str">
        <f t="shared" si="40"/>
        <v>1w</v>
      </c>
      <c r="O2177" s="146">
        <f>_xll.qlCalendarAdvance(Calendar,O2176,N2177,"f",FALSE)</f>
        <v>54435</v>
      </c>
      <c r="P2177" s="140">
        <f>_xll.qlInterestRateIndexValueDate(IborIndex,O2177)</f>
        <v>54437</v>
      </c>
      <c r="Q2177" s="141" t="e">
        <v>#N/A</v>
      </c>
      <c r="R2177" s="143" t="e">
        <v>#N/A</v>
      </c>
    </row>
    <row r="2178" spans="14:18" x14ac:dyDescent="0.2">
      <c r="N2178" s="139" t="str">
        <f t="shared" si="40"/>
        <v>1w</v>
      </c>
      <c r="O2178" s="146">
        <f>_xll.qlCalendarAdvance(Calendar,O2177,N2178,"f",FALSE)</f>
        <v>54442</v>
      </c>
      <c r="P2178" s="140">
        <f>_xll.qlInterestRateIndexValueDate(IborIndex,O2178)</f>
        <v>54444</v>
      </c>
      <c r="Q2178" s="141" t="e">
        <v>#N/A</v>
      </c>
      <c r="R2178" s="143" t="e">
        <v>#N/A</v>
      </c>
    </row>
    <row r="2179" spans="14:18" x14ac:dyDescent="0.2">
      <c r="N2179" s="139" t="str">
        <f t="shared" si="40"/>
        <v>1w</v>
      </c>
      <c r="O2179" s="146">
        <f>_xll.qlCalendarAdvance(Calendar,O2178,N2179,"f",FALSE)</f>
        <v>54449</v>
      </c>
      <c r="P2179" s="140">
        <f>_xll.qlInterestRateIndexValueDate(IborIndex,O2179)</f>
        <v>54451</v>
      </c>
      <c r="Q2179" s="141" t="e">
        <v>#N/A</v>
      </c>
      <c r="R2179" s="143" t="e">
        <v>#N/A</v>
      </c>
    </row>
    <row r="2180" spans="14:18" x14ac:dyDescent="0.2">
      <c r="N2180" s="139" t="str">
        <f t="shared" si="40"/>
        <v>1w</v>
      </c>
      <c r="O2180" s="146">
        <f>_xll.qlCalendarAdvance(Calendar,O2179,N2180,"f",FALSE)</f>
        <v>54456</v>
      </c>
      <c r="P2180" s="140">
        <f>_xll.qlInterestRateIndexValueDate(IborIndex,O2180)</f>
        <v>54458</v>
      </c>
      <c r="Q2180" s="141" t="e">
        <v>#N/A</v>
      </c>
      <c r="R2180" s="143" t="e">
        <v>#N/A</v>
      </c>
    </row>
    <row r="2181" spans="14:18" x14ac:dyDescent="0.2">
      <c r="N2181" s="139" t="str">
        <f t="shared" si="40"/>
        <v>1w</v>
      </c>
      <c r="O2181" s="146">
        <f>_xll.qlCalendarAdvance(Calendar,O2180,N2181,"f",FALSE)</f>
        <v>54463</v>
      </c>
      <c r="P2181" s="140">
        <f>_xll.qlInterestRateIndexValueDate(IborIndex,O2181)</f>
        <v>54465</v>
      </c>
      <c r="Q2181" s="141" t="e">
        <v>#N/A</v>
      </c>
      <c r="R2181" s="143" t="e">
        <v>#N/A</v>
      </c>
    </row>
    <row r="2182" spans="14:18" x14ac:dyDescent="0.2">
      <c r="N2182" s="139" t="str">
        <f t="shared" si="40"/>
        <v>1w</v>
      </c>
      <c r="O2182" s="146">
        <f>_xll.qlCalendarAdvance(Calendar,O2181,N2182,"f",FALSE)</f>
        <v>54470</v>
      </c>
      <c r="P2182" s="140">
        <f>_xll.qlInterestRateIndexValueDate(IborIndex,O2182)</f>
        <v>54472</v>
      </c>
      <c r="Q2182" s="141" t="e">
        <v>#N/A</v>
      </c>
      <c r="R2182" s="143" t="e">
        <v>#N/A</v>
      </c>
    </row>
    <row r="2183" spans="14:18" x14ac:dyDescent="0.2">
      <c r="N2183" s="139" t="str">
        <f t="shared" si="40"/>
        <v>1w</v>
      </c>
      <c r="O2183" s="146">
        <f>_xll.qlCalendarAdvance(Calendar,O2182,N2183,"f",FALSE)</f>
        <v>54477</v>
      </c>
      <c r="P2183" s="140">
        <f>_xll.qlInterestRateIndexValueDate(IborIndex,O2183)</f>
        <v>54479</v>
      </c>
      <c r="Q2183" s="141" t="e">
        <v>#N/A</v>
      </c>
      <c r="R2183" s="143" t="e">
        <v>#N/A</v>
      </c>
    </row>
    <row r="2184" spans="14:18" x14ac:dyDescent="0.2">
      <c r="N2184" s="139" t="str">
        <f t="shared" si="40"/>
        <v>1w</v>
      </c>
      <c r="O2184" s="146">
        <f>_xll.qlCalendarAdvance(Calendar,O2183,N2184,"f",FALSE)</f>
        <v>54484</v>
      </c>
      <c r="P2184" s="140">
        <f>_xll.qlInterestRateIndexValueDate(IborIndex,O2184)</f>
        <v>54486</v>
      </c>
      <c r="Q2184" s="141" t="e">
        <v>#N/A</v>
      </c>
      <c r="R2184" s="143" t="e">
        <v>#N/A</v>
      </c>
    </row>
    <row r="2185" spans="14:18" x14ac:dyDescent="0.2">
      <c r="N2185" s="139" t="str">
        <f t="shared" si="40"/>
        <v>1w</v>
      </c>
      <c r="O2185" s="146">
        <f>_xll.qlCalendarAdvance(Calendar,O2184,N2185,"f",FALSE)</f>
        <v>54491</v>
      </c>
      <c r="P2185" s="140">
        <f>_xll.qlInterestRateIndexValueDate(IborIndex,O2185)</f>
        <v>54493</v>
      </c>
      <c r="Q2185" s="141" t="e">
        <v>#N/A</v>
      </c>
      <c r="R2185" s="143" t="e">
        <v>#N/A</v>
      </c>
    </row>
    <row r="2186" spans="14:18" x14ac:dyDescent="0.2">
      <c r="N2186" s="139" t="str">
        <f t="shared" si="40"/>
        <v>1w</v>
      </c>
      <c r="O2186" s="146">
        <f>_xll.qlCalendarAdvance(Calendar,O2185,N2186,"f",FALSE)</f>
        <v>54498</v>
      </c>
      <c r="P2186" s="140">
        <f>_xll.qlInterestRateIndexValueDate(IborIndex,O2186)</f>
        <v>54500</v>
      </c>
      <c r="Q2186" s="141" t="e">
        <v>#N/A</v>
      </c>
      <c r="R2186" s="143" t="e">
        <v>#N/A</v>
      </c>
    </row>
    <row r="2187" spans="14:18" x14ac:dyDescent="0.2">
      <c r="N2187" s="139" t="str">
        <f t="shared" si="40"/>
        <v>1w</v>
      </c>
      <c r="O2187" s="146">
        <f>_xll.qlCalendarAdvance(Calendar,O2186,N2187,"f",FALSE)</f>
        <v>54505</v>
      </c>
      <c r="P2187" s="140">
        <f>_xll.qlInterestRateIndexValueDate(IborIndex,O2187)</f>
        <v>54507</v>
      </c>
      <c r="Q2187" s="141" t="e">
        <v>#N/A</v>
      </c>
      <c r="R2187" s="143" t="e">
        <v>#N/A</v>
      </c>
    </row>
    <row r="2188" spans="14:18" x14ac:dyDescent="0.2">
      <c r="N2188" s="139" t="str">
        <f t="shared" si="40"/>
        <v>1w</v>
      </c>
      <c r="O2188" s="146">
        <f>_xll.qlCalendarAdvance(Calendar,O2187,N2188,"f",FALSE)</f>
        <v>54512</v>
      </c>
      <c r="P2188" s="140">
        <f>_xll.qlInterestRateIndexValueDate(IborIndex,O2188)</f>
        <v>54514</v>
      </c>
      <c r="Q2188" s="141" t="e">
        <v>#N/A</v>
      </c>
      <c r="R2188" s="143" t="e">
        <v>#N/A</v>
      </c>
    </row>
    <row r="2189" spans="14:18" x14ac:dyDescent="0.2">
      <c r="N2189" s="139" t="str">
        <f t="shared" si="40"/>
        <v>1w</v>
      </c>
      <c r="O2189" s="146">
        <f>_xll.qlCalendarAdvance(Calendar,O2188,N2189,"f",FALSE)</f>
        <v>54519</v>
      </c>
      <c r="P2189" s="140">
        <f>_xll.qlInterestRateIndexValueDate(IborIndex,O2189)</f>
        <v>54521</v>
      </c>
      <c r="Q2189" s="141" t="e">
        <v>#N/A</v>
      </c>
      <c r="R2189" s="143" t="e">
        <v>#N/A</v>
      </c>
    </row>
    <row r="2190" spans="14:18" x14ac:dyDescent="0.2">
      <c r="N2190" s="139" t="str">
        <f t="shared" si="40"/>
        <v>1w</v>
      </c>
      <c r="O2190" s="146">
        <f>_xll.qlCalendarAdvance(Calendar,O2189,N2190,"f",FALSE)</f>
        <v>54526</v>
      </c>
      <c r="P2190" s="140">
        <f>_xll.qlInterestRateIndexValueDate(IborIndex,O2190)</f>
        <v>54528</v>
      </c>
      <c r="Q2190" s="141" t="e">
        <v>#N/A</v>
      </c>
      <c r="R2190" s="143" t="e">
        <v>#N/A</v>
      </c>
    </row>
    <row r="2191" spans="14:18" x14ac:dyDescent="0.2">
      <c r="N2191" s="139" t="str">
        <f t="shared" si="40"/>
        <v>1w</v>
      </c>
      <c r="O2191" s="146">
        <f>_xll.qlCalendarAdvance(Calendar,O2190,N2191,"f",FALSE)</f>
        <v>54533</v>
      </c>
      <c r="P2191" s="140">
        <f>_xll.qlInterestRateIndexValueDate(IborIndex,O2191)</f>
        <v>54535</v>
      </c>
      <c r="Q2191" s="141" t="e">
        <v>#N/A</v>
      </c>
      <c r="R2191" s="143" t="e">
        <v>#N/A</v>
      </c>
    </row>
    <row r="2192" spans="14:18" x14ac:dyDescent="0.2">
      <c r="N2192" s="139" t="str">
        <f t="shared" si="40"/>
        <v>1w</v>
      </c>
      <c r="O2192" s="146">
        <f>_xll.qlCalendarAdvance(Calendar,O2191,N2192,"f",FALSE)</f>
        <v>54540</v>
      </c>
      <c r="P2192" s="140">
        <f>_xll.qlInterestRateIndexValueDate(IborIndex,O2192)</f>
        <v>54542</v>
      </c>
      <c r="Q2192" s="141" t="e">
        <v>#N/A</v>
      </c>
      <c r="R2192" s="143" t="e">
        <v>#N/A</v>
      </c>
    </row>
    <row r="2193" spans="14:18" x14ac:dyDescent="0.2">
      <c r="N2193" s="139" t="str">
        <f t="shared" si="40"/>
        <v>1w</v>
      </c>
      <c r="O2193" s="146">
        <f>_xll.qlCalendarAdvance(Calendar,O2192,N2193,"f",FALSE)</f>
        <v>54547</v>
      </c>
      <c r="P2193" s="140">
        <f>_xll.qlInterestRateIndexValueDate(IborIndex,O2193)</f>
        <v>54549</v>
      </c>
      <c r="Q2193" s="141" t="e">
        <v>#N/A</v>
      </c>
      <c r="R2193" s="143" t="e">
        <v>#N/A</v>
      </c>
    </row>
    <row r="2194" spans="14:18" x14ac:dyDescent="0.2">
      <c r="N2194" s="139" t="str">
        <f t="shared" si="40"/>
        <v>1w</v>
      </c>
      <c r="O2194" s="146">
        <f>_xll.qlCalendarAdvance(Calendar,O2193,N2194,"f",FALSE)</f>
        <v>54554</v>
      </c>
      <c r="P2194" s="140">
        <f>_xll.qlInterestRateIndexValueDate(IborIndex,O2194)</f>
        <v>54556</v>
      </c>
      <c r="Q2194" s="141" t="e">
        <v>#N/A</v>
      </c>
      <c r="R2194" s="143" t="e">
        <v>#N/A</v>
      </c>
    </row>
    <row r="2195" spans="14:18" x14ac:dyDescent="0.2">
      <c r="N2195" s="139" t="str">
        <f t="shared" si="40"/>
        <v>1w</v>
      </c>
      <c r="O2195" s="146">
        <f>_xll.qlCalendarAdvance(Calendar,O2194,N2195,"f",FALSE)</f>
        <v>54561</v>
      </c>
      <c r="P2195" s="140">
        <f>_xll.qlInterestRateIndexValueDate(IborIndex,O2195)</f>
        <v>54563</v>
      </c>
      <c r="Q2195" s="141" t="e">
        <v>#N/A</v>
      </c>
      <c r="R2195" s="143" t="e">
        <v>#N/A</v>
      </c>
    </row>
    <row r="2196" spans="14:18" x14ac:dyDescent="0.2">
      <c r="N2196" s="139" t="str">
        <f t="shared" si="40"/>
        <v>1w</v>
      </c>
      <c r="O2196" s="146">
        <f>_xll.qlCalendarAdvance(Calendar,O2195,N2196,"f",FALSE)</f>
        <v>54568</v>
      </c>
      <c r="P2196" s="140">
        <f>_xll.qlInterestRateIndexValueDate(IborIndex,O2196)</f>
        <v>54571</v>
      </c>
      <c r="Q2196" s="141" t="e">
        <v>#N/A</v>
      </c>
      <c r="R2196" s="143" t="e">
        <v>#N/A</v>
      </c>
    </row>
    <row r="2197" spans="14:18" x14ac:dyDescent="0.2">
      <c r="N2197" s="139" t="str">
        <f t="shared" ref="N2197:N2260" si="41">N2196</f>
        <v>1w</v>
      </c>
      <c r="O2197" s="146">
        <f>_xll.qlCalendarAdvance(Calendar,O2196,N2197,"f",FALSE)</f>
        <v>54575</v>
      </c>
      <c r="P2197" s="140">
        <f>_xll.qlInterestRateIndexValueDate(IborIndex,O2197)</f>
        <v>54577</v>
      </c>
      <c r="Q2197" s="141" t="e">
        <v>#N/A</v>
      </c>
      <c r="R2197" s="143" t="e">
        <v>#N/A</v>
      </c>
    </row>
    <row r="2198" spans="14:18" x14ac:dyDescent="0.2">
      <c r="N2198" s="139" t="str">
        <f t="shared" si="41"/>
        <v>1w</v>
      </c>
      <c r="O2198" s="146">
        <f>_xll.qlCalendarAdvance(Calendar,O2197,N2198,"f",FALSE)</f>
        <v>54582</v>
      </c>
      <c r="P2198" s="140">
        <f>_xll.qlInterestRateIndexValueDate(IborIndex,O2198)</f>
        <v>54584</v>
      </c>
      <c r="Q2198" s="141" t="e">
        <v>#N/A</v>
      </c>
      <c r="R2198" s="143" t="e">
        <v>#N/A</v>
      </c>
    </row>
    <row r="2199" spans="14:18" x14ac:dyDescent="0.2">
      <c r="N2199" s="139" t="str">
        <f t="shared" si="41"/>
        <v>1w</v>
      </c>
      <c r="O2199" s="146">
        <f>_xll.qlCalendarAdvance(Calendar,O2198,N2199,"f",FALSE)</f>
        <v>54589</v>
      </c>
      <c r="P2199" s="140">
        <f>_xll.qlInterestRateIndexValueDate(IborIndex,O2199)</f>
        <v>54591</v>
      </c>
      <c r="Q2199" s="141" t="e">
        <v>#N/A</v>
      </c>
      <c r="R2199" s="143" t="e">
        <v>#N/A</v>
      </c>
    </row>
    <row r="2200" spans="14:18" x14ac:dyDescent="0.2">
      <c r="N2200" s="139" t="str">
        <f t="shared" si="41"/>
        <v>1w</v>
      </c>
      <c r="O2200" s="146">
        <f>_xll.qlCalendarAdvance(Calendar,O2199,N2200,"f",FALSE)</f>
        <v>54596</v>
      </c>
      <c r="P2200" s="140">
        <f>_xll.qlInterestRateIndexValueDate(IborIndex,O2200)</f>
        <v>54598</v>
      </c>
      <c r="Q2200" s="141" t="e">
        <v>#N/A</v>
      </c>
      <c r="R2200" s="143" t="e">
        <v>#N/A</v>
      </c>
    </row>
    <row r="2201" spans="14:18" x14ac:dyDescent="0.2">
      <c r="N2201" s="139" t="str">
        <f t="shared" si="41"/>
        <v>1w</v>
      </c>
      <c r="O2201" s="146">
        <f>_xll.qlCalendarAdvance(Calendar,O2200,N2201,"f",FALSE)</f>
        <v>54603</v>
      </c>
      <c r="P2201" s="140">
        <f>_xll.qlInterestRateIndexValueDate(IborIndex,O2201)</f>
        <v>54605</v>
      </c>
      <c r="Q2201" s="141" t="e">
        <v>#N/A</v>
      </c>
      <c r="R2201" s="143" t="e">
        <v>#N/A</v>
      </c>
    </row>
    <row r="2202" spans="14:18" x14ac:dyDescent="0.2">
      <c r="N2202" s="139" t="str">
        <f t="shared" si="41"/>
        <v>1w</v>
      </c>
      <c r="O2202" s="146">
        <f>_xll.qlCalendarAdvance(Calendar,O2201,N2202,"f",FALSE)</f>
        <v>54610</v>
      </c>
      <c r="P2202" s="140">
        <f>_xll.qlInterestRateIndexValueDate(IborIndex,O2202)</f>
        <v>54612</v>
      </c>
      <c r="Q2202" s="141" t="e">
        <v>#N/A</v>
      </c>
      <c r="R2202" s="143" t="e">
        <v>#N/A</v>
      </c>
    </row>
    <row r="2203" spans="14:18" x14ac:dyDescent="0.2">
      <c r="N2203" s="139" t="str">
        <f t="shared" si="41"/>
        <v>1w</v>
      </c>
      <c r="O2203" s="146">
        <f>_xll.qlCalendarAdvance(Calendar,O2202,N2203,"f",FALSE)</f>
        <v>54617</v>
      </c>
      <c r="P2203" s="140">
        <f>_xll.qlInterestRateIndexValueDate(IborIndex,O2203)</f>
        <v>54619</v>
      </c>
      <c r="Q2203" s="141" t="e">
        <v>#N/A</v>
      </c>
      <c r="R2203" s="143" t="e">
        <v>#N/A</v>
      </c>
    </row>
    <row r="2204" spans="14:18" x14ac:dyDescent="0.2">
      <c r="N2204" s="139" t="str">
        <f t="shared" si="41"/>
        <v>1w</v>
      </c>
      <c r="O2204" s="146">
        <f>_xll.qlCalendarAdvance(Calendar,O2203,N2204,"f",FALSE)</f>
        <v>54624</v>
      </c>
      <c r="P2204" s="140">
        <f>_xll.qlInterestRateIndexValueDate(IborIndex,O2204)</f>
        <v>54626</v>
      </c>
      <c r="Q2204" s="141" t="e">
        <v>#N/A</v>
      </c>
      <c r="R2204" s="143" t="e">
        <v>#N/A</v>
      </c>
    </row>
    <row r="2205" spans="14:18" x14ac:dyDescent="0.2">
      <c r="N2205" s="139" t="str">
        <f t="shared" si="41"/>
        <v>1w</v>
      </c>
      <c r="O2205" s="146">
        <f>_xll.qlCalendarAdvance(Calendar,O2204,N2205,"f",FALSE)</f>
        <v>54631</v>
      </c>
      <c r="P2205" s="140">
        <f>_xll.qlInterestRateIndexValueDate(IborIndex,O2205)</f>
        <v>54633</v>
      </c>
      <c r="Q2205" s="141" t="e">
        <v>#N/A</v>
      </c>
      <c r="R2205" s="143" t="e">
        <v>#N/A</v>
      </c>
    </row>
    <row r="2206" spans="14:18" x14ac:dyDescent="0.2">
      <c r="N2206" s="139" t="str">
        <f t="shared" si="41"/>
        <v>1w</v>
      </c>
      <c r="O2206" s="146">
        <f>_xll.qlCalendarAdvance(Calendar,O2205,N2206,"f",FALSE)</f>
        <v>54638</v>
      </c>
      <c r="P2206" s="140">
        <f>_xll.qlInterestRateIndexValueDate(IborIndex,O2206)</f>
        <v>54640</v>
      </c>
      <c r="Q2206" s="141" t="e">
        <v>#N/A</v>
      </c>
      <c r="R2206" s="143" t="e">
        <v>#N/A</v>
      </c>
    </row>
    <row r="2207" spans="14:18" x14ac:dyDescent="0.2">
      <c r="N2207" s="139" t="str">
        <f t="shared" si="41"/>
        <v>1w</v>
      </c>
      <c r="O2207" s="146">
        <f>_xll.qlCalendarAdvance(Calendar,O2206,N2207,"f",FALSE)</f>
        <v>54645</v>
      </c>
      <c r="P2207" s="140">
        <f>_xll.qlInterestRateIndexValueDate(IborIndex,O2207)</f>
        <v>54647</v>
      </c>
      <c r="Q2207" s="141" t="e">
        <v>#N/A</v>
      </c>
      <c r="R2207" s="143" t="e">
        <v>#N/A</v>
      </c>
    </row>
    <row r="2208" spans="14:18" x14ac:dyDescent="0.2">
      <c r="N2208" s="139" t="str">
        <f t="shared" si="41"/>
        <v>1w</v>
      </c>
      <c r="O2208" s="146">
        <f>_xll.qlCalendarAdvance(Calendar,O2207,N2208,"f",FALSE)</f>
        <v>54652</v>
      </c>
      <c r="P2208" s="140">
        <f>_xll.qlInterestRateIndexValueDate(IborIndex,O2208)</f>
        <v>54654</v>
      </c>
      <c r="Q2208" s="141" t="e">
        <v>#N/A</v>
      </c>
      <c r="R2208" s="143" t="e">
        <v>#N/A</v>
      </c>
    </row>
    <row r="2209" spans="14:18" x14ac:dyDescent="0.2">
      <c r="N2209" s="139" t="str">
        <f t="shared" si="41"/>
        <v>1w</v>
      </c>
      <c r="O2209" s="146">
        <f>_xll.qlCalendarAdvance(Calendar,O2208,N2209,"f",FALSE)</f>
        <v>54659</v>
      </c>
      <c r="P2209" s="140">
        <f>_xll.qlInterestRateIndexValueDate(IborIndex,O2209)</f>
        <v>54661</v>
      </c>
      <c r="Q2209" s="141" t="e">
        <v>#N/A</v>
      </c>
      <c r="R2209" s="143" t="e">
        <v>#N/A</v>
      </c>
    </row>
    <row r="2210" spans="14:18" x14ac:dyDescent="0.2">
      <c r="N2210" s="139" t="str">
        <f t="shared" si="41"/>
        <v>1w</v>
      </c>
      <c r="O2210" s="146">
        <f>_xll.qlCalendarAdvance(Calendar,O2209,N2210,"f",FALSE)</f>
        <v>54666</v>
      </c>
      <c r="P2210" s="140">
        <f>_xll.qlInterestRateIndexValueDate(IborIndex,O2210)</f>
        <v>54668</v>
      </c>
      <c r="Q2210" s="141" t="e">
        <v>#N/A</v>
      </c>
      <c r="R2210" s="143" t="e">
        <v>#N/A</v>
      </c>
    </row>
    <row r="2211" spans="14:18" x14ac:dyDescent="0.2">
      <c r="N2211" s="139" t="str">
        <f t="shared" si="41"/>
        <v>1w</v>
      </c>
      <c r="O2211" s="146">
        <f>_xll.qlCalendarAdvance(Calendar,O2210,N2211,"f",FALSE)</f>
        <v>54673</v>
      </c>
      <c r="P2211" s="140">
        <f>_xll.qlInterestRateIndexValueDate(IborIndex,O2211)</f>
        <v>54675</v>
      </c>
      <c r="Q2211" s="141" t="e">
        <v>#N/A</v>
      </c>
      <c r="R2211" s="143" t="e">
        <v>#N/A</v>
      </c>
    </row>
    <row r="2212" spans="14:18" x14ac:dyDescent="0.2">
      <c r="N2212" s="139" t="str">
        <f t="shared" si="41"/>
        <v>1w</v>
      </c>
      <c r="O2212" s="146">
        <f>_xll.qlCalendarAdvance(Calendar,O2211,N2212,"f",FALSE)</f>
        <v>54680</v>
      </c>
      <c r="P2212" s="140">
        <f>_xll.qlInterestRateIndexValueDate(IborIndex,O2212)</f>
        <v>54682</v>
      </c>
      <c r="Q2212" s="141" t="e">
        <v>#N/A</v>
      </c>
      <c r="R2212" s="143" t="e">
        <v>#N/A</v>
      </c>
    </row>
    <row r="2213" spans="14:18" x14ac:dyDescent="0.2">
      <c r="N2213" s="139" t="str">
        <f t="shared" si="41"/>
        <v>1w</v>
      </c>
      <c r="O2213" s="146">
        <f>_xll.qlCalendarAdvance(Calendar,O2212,N2213,"f",FALSE)</f>
        <v>54687</v>
      </c>
      <c r="P2213" s="140">
        <f>_xll.qlInterestRateIndexValueDate(IborIndex,O2213)</f>
        <v>54689</v>
      </c>
      <c r="Q2213" s="141" t="e">
        <v>#N/A</v>
      </c>
      <c r="R2213" s="143" t="e">
        <v>#N/A</v>
      </c>
    </row>
    <row r="2214" spans="14:18" x14ac:dyDescent="0.2">
      <c r="N2214" s="139" t="str">
        <f t="shared" si="41"/>
        <v>1w</v>
      </c>
      <c r="O2214" s="146">
        <f>_xll.qlCalendarAdvance(Calendar,O2213,N2214,"f",FALSE)</f>
        <v>54694</v>
      </c>
      <c r="P2214" s="140">
        <f>_xll.qlInterestRateIndexValueDate(IborIndex,O2214)</f>
        <v>54696</v>
      </c>
      <c r="Q2214" s="141" t="e">
        <v>#N/A</v>
      </c>
      <c r="R2214" s="143" t="e">
        <v>#N/A</v>
      </c>
    </row>
    <row r="2215" spans="14:18" x14ac:dyDescent="0.2">
      <c r="N2215" s="139" t="str">
        <f t="shared" si="41"/>
        <v>1w</v>
      </c>
      <c r="O2215" s="146">
        <f>_xll.qlCalendarAdvance(Calendar,O2214,N2215,"f",FALSE)</f>
        <v>54701</v>
      </c>
      <c r="P2215" s="140">
        <f>_xll.qlInterestRateIndexValueDate(IborIndex,O2215)</f>
        <v>54703</v>
      </c>
      <c r="Q2215" s="141" t="e">
        <v>#N/A</v>
      </c>
      <c r="R2215" s="143" t="e">
        <v>#N/A</v>
      </c>
    </row>
    <row r="2216" spans="14:18" x14ac:dyDescent="0.2">
      <c r="N2216" s="139" t="str">
        <f t="shared" si="41"/>
        <v>1w</v>
      </c>
      <c r="O2216" s="146">
        <f>_xll.qlCalendarAdvance(Calendar,O2215,N2216,"f",FALSE)</f>
        <v>54708</v>
      </c>
      <c r="P2216" s="140">
        <f>_xll.qlInterestRateIndexValueDate(IborIndex,O2216)</f>
        <v>54710</v>
      </c>
      <c r="Q2216" s="141" t="e">
        <v>#N/A</v>
      </c>
      <c r="R2216" s="143" t="e">
        <v>#N/A</v>
      </c>
    </row>
    <row r="2217" spans="14:18" x14ac:dyDescent="0.2">
      <c r="N2217" s="139" t="str">
        <f t="shared" si="41"/>
        <v>1w</v>
      </c>
      <c r="O2217" s="146">
        <f>_xll.qlCalendarAdvance(Calendar,O2216,N2217,"f",FALSE)</f>
        <v>54715</v>
      </c>
      <c r="P2217" s="140">
        <f>_xll.qlInterestRateIndexValueDate(IborIndex,O2217)</f>
        <v>54717</v>
      </c>
      <c r="Q2217" s="141" t="e">
        <v>#N/A</v>
      </c>
      <c r="R2217" s="143" t="e">
        <v>#N/A</v>
      </c>
    </row>
    <row r="2218" spans="14:18" x14ac:dyDescent="0.2">
      <c r="N2218" s="139" t="str">
        <f t="shared" si="41"/>
        <v>1w</v>
      </c>
      <c r="O2218" s="146">
        <f>_xll.qlCalendarAdvance(Calendar,O2217,N2218,"f",FALSE)</f>
        <v>54722</v>
      </c>
      <c r="P2218" s="140">
        <f>_xll.qlInterestRateIndexValueDate(IborIndex,O2218)</f>
        <v>54724</v>
      </c>
      <c r="Q2218" s="141" t="e">
        <v>#N/A</v>
      </c>
      <c r="R2218" s="143" t="e">
        <v>#N/A</v>
      </c>
    </row>
    <row r="2219" spans="14:18" x14ac:dyDescent="0.2">
      <c r="N2219" s="139" t="str">
        <f t="shared" si="41"/>
        <v>1w</v>
      </c>
      <c r="O2219" s="146">
        <f>_xll.qlCalendarAdvance(Calendar,O2218,N2219,"f",FALSE)</f>
        <v>54729</v>
      </c>
      <c r="P2219" s="140">
        <f>_xll.qlInterestRateIndexValueDate(IborIndex,O2219)</f>
        <v>54731</v>
      </c>
      <c r="Q2219" s="141" t="e">
        <v>#N/A</v>
      </c>
      <c r="R2219" s="143" t="e">
        <v>#N/A</v>
      </c>
    </row>
    <row r="2220" spans="14:18" x14ac:dyDescent="0.2">
      <c r="N2220" s="139" t="str">
        <f t="shared" si="41"/>
        <v>1w</v>
      </c>
      <c r="O2220" s="146">
        <f>_xll.qlCalendarAdvance(Calendar,O2219,N2220,"f",FALSE)</f>
        <v>54736</v>
      </c>
      <c r="P2220" s="140">
        <f>_xll.qlInterestRateIndexValueDate(IborIndex,O2220)</f>
        <v>54738</v>
      </c>
      <c r="Q2220" s="141" t="e">
        <v>#N/A</v>
      </c>
      <c r="R2220" s="143" t="e">
        <v>#N/A</v>
      </c>
    </row>
    <row r="2221" spans="14:18" x14ac:dyDescent="0.2">
      <c r="N2221" s="139" t="str">
        <f t="shared" si="41"/>
        <v>1w</v>
      </c>
      <c r="O2221" s="146">
        <f>_xll.qlCalendarAdvance(Calendar,O2220,N2221,"f",FALSE)</f>
        <v>54743</v>
      </c>
      <c r="P2221" s="140">
        <f>_xll.qlInterestRateIndexValueDate(IborIndex,O2221)</f>
        <v>54745</v>
      </c>
      <c r="Q2221" s="141" t="e">
        <v>#N/A</v>
      </c>
      <c r="R2221" s="143" t="e">
        <v>#N/A</v>
      </c>
    </row>
    <row r="2222" spans="14:18" x14ac:dyDescent="0.2">
      <c r="N2222" s="139" t="str">
        <f t="shared" si="41"/>
        <v>1w</v>
      </c>
      <c r="O2222" s="146">
        <f>_xll.qlCalendarAdvance(Calendar,O2221,N2222,"f",FALSE)</f>
        <v>54750</v>
      </c>
      <c r="P2222" s="140">
        <f>_xll.qlInterestRateIndexValueDate(IborIndex,O2222)</f>
        <v>54752</v>
      </c>
      <c r="Q2222" s="141" t="e">
        <v>#N/A</v>
      </c>
      <c r="R2222" s="143" t="e">
        <v>#N/A</v>
      </c>
    </row>
    <row r="2223" spans="14:18" x14ac:dyDescent="0.2">
      <c r="N2223" s="139" t="str">
        <f t="shared" si="41"/>
        <v>1w</v>
      </c>
      <c r="O2223" s="146">
        <f>_xll.qlCalendarAdvance(Calendar,O2222,N2223,"f",FALSE)</f>
        <v>54757</v>
      </c>
      <c r="P2223" s="140">
        <f>_xll.qlInterestRateIndexValueDate(IborIndex,O2223)</f>
        <v>54759</v>
      </c>
      <c r="Q2223" s="141" t="e">
        <v>#N/A</v>
      </c>
      <c r="R2223" s="143" t="e">
        <v>#N/A</v>
      </c>
    </row>
    <row r="2224" spans="14:18" x14ac:dyDescent="0.2">
      <c r="N2224" s="139" t="str">
        <f t="shared" si="41"/>
        <v>1w</v>
      </c>
      <c r="O2224" s="146">
        <f>_xll.qlCalendarAdvance(Calendar,O2223,N2224,"f",FALSE)</f>
        <v>54764</v>
      </c>
      <c r="P2224" s="140">
        <f>_xll.qlInterestRateIndexValueDate(IborIndex,O2224)</f>
        <v>54766</v>
      </c>
      <c r="Q2224" s="141" t="e">
        <v>#N/A</v>
      </c>
      <c r="R2224" s="143" t="e">
        <v>#N/A</v>
      </c>
    </row>
    <row r="2225" spans="14:18" x14ac:dyDescent="0.2">
      <c r="N2225" s="139" t="str">
        <f t="shared" si="41"/>
        <v>1w</v>
      </c>
      <c r="O2225" s="146">
        <f>_xll.qlCalendarAdvance(Calendar,O2224,N2225,"f",FALSE)</f>
        <v>54771</v>
      </c>
      <c r="P2225" s="140">
        <f>_xll.qlInterestRateIndexValueDate(IborIndex,O2225)</f>
        <v>54773</v>
      </c>
      <c r="Q2225" s="141" t="e">
        <v>#N/A</v>
      </c>
      <c r="R2225" s="143" t="e">
        <v>#N/A</v>
      </c>
    </row>
    <row r="2226" spans="14:18" x14ac:dyDescent="0.2">
      <c r="N2226" s="139" t="str">
        <f t="shared" si="41"/>
        <v>1w</v>
      </c>
      <c r="O2226" s="146">
        <f>_xll.qlCalendarAdvance(Calendar,O2225,N2226,"f",FALSE)</f>
        <v>54778</v>
      </c>
      <c r="P2226" s="140">
        <f>_xll.qlInterestRateIndexValueDate(IborIndex,O2226)</f>
        <v>54780</v>
      </c>
      <c r="Q2226" s="141" t="e">
        <v>#N/A</v>
      </c>
      <c r="R2226" s="143" t="e">
        <v>#N/A</v>
      </c>
    </row>
    <row r="2227" spans="14:18" x14ac:dyDescent="0.2">
      <c r="N2227" s="139" t="str">
        <f t="shared" si="41"/>
        <v>1w</v>
      </c>
      <c r="O2227" s="146">
        <f>_xll.qlCalendarAdvance(Calendar,O2226,N2227,"f",FALSE)</f>
        <v>54785</v>
      </c>
      <c r="P2227" s="140">
        <f>_xll.qlInterestRateIndexValueDate(IborIndex,O2227)</f>
        <v>54787</v>
      </c>
      <c r="Q2227" s="141" t="e">
        <v>#N/A</v>
      </c>
      <c r="R2227" s="143" t="e">
        <v>#N/A</v>
      </c>
    </row>
    <row r="2228" spans="14:18" x14ac:dyDescent="0.2">
      <c r="N2228" s="139" t="str">
        <f t="shared" si="41"/>
        <v>1w</v>
      </c>
      <c r="O2228" s="146">
        <f>_xll.qlCalendarAdvance(Calendar,O2227,N2228,"f",FALSE)</f>
        <v>54792</v>
      </c>
      <c r="P2228" s="140">
        <f>_xll.qlInterestRateIndexValueDate(IborIndex,O2228)</f>
        <v>54795</v>
      </c>
      <c r="Q2228" s="141" t="e">
        <v>#N/A</v>
      </c>
      <c r="R2228" s="143" t="e">
        <v>#N/A</v>
      </c>
    </row>
    <row r="2229" spans="14:18" x14ac:dyDescent="0.2">
      <c r="N2229" s="139" t="str">
        <f t="shared" si="41"/>
        <v>1w</v>
      </c>
      <c r="O2229" s="146">
        <f>_xll.qlCalendarAdvance(Calendar,O2228,N2229,"f",FALSE)</f>
        <v>54799</v>
      </c>
      <c r="P2229" s="140">
        <f>_xll.qlInterestRateIndexValueDate(IborIndex,O2229)</f>
        <v>54801</v>
      </c>
      <c r="Q2229" s="141" t="e">
        <v>#N/A</v>
      </c>
      <c r="R2229" s="143" t="e">
        <v>#N/A</v>
      </c>
    </row>
    <row r="2230" spans="14:18" x14ac:dyDescent="0.2">
      <c r="N2230" s="139" t="str">
        <f t="shared" si="41"/>
        <v>1w</v>
      </c>
      <c r="O2230" s="146">
        <f>_xll.qlCalendarAdvance(Calendar,O2229,N2230,"f",FALSE)</f>
        <v>54806</v>
      </c>
      <c r="P2230" s="140">
        <f>_xll.qlInterestRateIndexValueDate(IborIndex,O2230)</f>
        <v>54808</v>
      </c>
      <c r="Q2230" s="141" t="e">
        <v>#N/A</v>
      </c>
      <c r="R2230" s="143" t="e">
        <v>#N/A</v>
      </c>
    </row>
    <row r="2231" spans="14:18" x14ac:dyDescent="0.2">
      <c r="N2231" s="139" t="str">
        <f t="shared" si="41"/>
        <v>1w</v>
      </c>
      <c r="O2231" s="146">
        <f>_xll.qlCalendarAdvance(Calendar,O2230,N2231,"f",FALSE)</f>
        <v>54813</v>
      </c>
      <c r="P2231" s="140">
        <f>_xll.qlInterestRateIndexValueDate(IborIndex,O2231)</f>
        <v>54815</v>
      </c>
      <c r="Q2231" s="141" t="e">
        <v>#N/A</v>
      </c>
      <c r="R2231" s="143" t="e">
        <v>#N/A</v>
      </c>
    </row>
    <row r="2232" spans="14:18" x14ac:dyDescent="0.2">
      <c r="N2232" s="139" t="str">
        <f t="shared" si="41"/>
        <v>1w</v>
      </c>
      <c r="O2232" s="146">
        <f>_xll.qlCalendarAdvance(Calendar,O2231,N2232,"f",FALSE)</f>
        <v>54820</v>
      </c>
      <c r="P2232" s="140">
        <f>_xll.qlInterestRateIndexValueDate(IborIndex,O2232)</f>
        <v>54822</v>
      </c>
      <c r="Q2232" s="141" t="e">
        <v>#N/A</v>
      </c>
      <c r="R2232" s="143" t="e">
        <v>#N/A</v>
      </c>
    </row>
    <row r="2233" spans="14:18" x14ac:dyDescent="0.2">
      <c r="N2233" s="139" t="str">
        <f t="shared" si="41"/>
        <v>1w</v>
      </c>
      <c r="O2233" s="146">
        <f>_xll.qlCalendarAdvance(Calendar,O2232,N2233,"f",FALSE)</f>
        <v>54827</v>
      </c>
      <c r="P2233" s="140">
        <f>_xll.qlInterestRateIndexValueDate(IborIndex,O2233)</f>
        <v>54829</v>
      </c>
      <c r="Q2233" s="141" t="e">
        <v>#N/A</v>
      </c>
      <c r="R2233" s="143" t="e">
        <v>#N/A</v>
      </c>
    </row>
    <row r="2234" spans="14:18" x14ac:dyDescent="0.2">
      <c r="N2234" s="139" t="str">
        <f t="shared" si="41"/>
        <v>1w</v>
      </c>
      <c r="O2234" s="146">
        <f>_xll.qlCalendarAdvance(Calendar,O2233,N2234,"f",FALSE)</f>
        <v>54834</v>
      </c>
      <c r="P2234" s="140">
        <f>_xll.qlInterestRateIndexValueDate(IborIndex,O2234)</f>
        <v>54836</v>
      </c>
      <c r="Q2234" s="141" t="e">
        <v>#N/A</v>
      </c>
      <c r="R2234" s="143" t="e">
        <v>#N/A</v>
      </c>
    </row>
    <row r="2235" spans="14:18" x14ac:dyDescent="0.2">
      <c r="N2235" s="139" t="str">
        <f t="shared" si="41"/>
        <v>1w</v>
      </c>
      <c r="O2235" s="146">
        <f>_xll.qlCalendarAdvance(Calendar,O2234,N2235,"f",FALSE)</f>
        <v>54841</v>
      </c>
      <c r="P2235" s="140">
        <f>_xll.qlInterestRateIndexValueDate(IborIndex,O2235)</f>
        <v>54843</v>
      </c>
      <c r="Q2235" s="141" t="e">
        <v>#N/A</v>
      </c>
      <c r="R2235" s="143" t="e">
        <v>#N/A</v>
      </c>
    </row>
    <row r="2236" spans="14:18" x14ac:dyDescent="0.2">
      <c r="N2236" s="139" t="str">
        <f t="shared" si="41"/>
        <v>1w</v>
      </c>
      <c r="O2236" s="146">
        <f>_xll.qlCalendarAdvance(Calendar,O2235,N2236,"f",FALSE)</f>
        <v>54848</v>
      </c>
      <c r="P2236" s="140">
        <f>_xll.qlInterestRateIndexValueDate(IborIndex,O2236)</f>
        <v>54850</v>
      </c>
      <c r="Q2236" s="141" t="e">
        <v>#N/A</v>
      </c>
      <c r="R2236" s="143" t="e">
        <v>#N/A</v>
      </c>
    </row>
    <row r="2237" spans="14:18" x14ac:dyDescent="0.2">
      <c r="N2237" s="139" t="str">
        <f t="shared" si="41"/>
        <v>1w</v>
      </c>
      <c r="O2237" s="146">
        <f>_xll.qlCalendarAdvance(Calendar,O2236,N2237,"f",FALSE)</f>
        <v>54855</v>
      </c>
      <c r="P2237" s="140">
        <f>_xll.qlInterestRateIndexValueDate(IborIndex,O2237)</f>
        <v>54857</v>
      </c>
      <c r="Q2237" s="141" t="e">
        <v>#N/A</v>
      </c>
      <c r="R2237" s="143" t="e">
        <v>#N/A</v>
      </c>
    </row>
    <row r="2238" spans="14:18" x14ac:dyDescent="0.2">
      <c r="N2238" s="139" t="str">
        <f t="shared" si="41"/>
        <v>1w</v>
      </c>
      <c r="O2238" s="146">
        <f>_xll.qlCalendarAdvance(Calendar,O2237,N2238,"f",FALSE)</f>
        <v>54862</v>
      </c>
      <c r="P2238" s="140">
        <f>_xll.qlInterestRateIndexValueDate(IborIndex,O2238)</f>
        <v>54864</v>
      </c>
      <c r="Q2238" s="141" t="e">
        <v>#N/A</v>
      </c>
      <c r="R2238" s="143" t="e">
        <v>#N/A</v>
      </c>
    </row>
    <row r="2239" spans="14:18" x14ac:dyDescent="0.2">
      <c r="N2239" s="139" t="str">
        <f t="shared" si="41"/>
        <v>1w</v>
      </c>
      <c r="O2239" s="146">
        <f>_xll.qlCalendarAdvance(Calendar,O2238,N2239,"f",FALSE)</f>
        <v>54869</v>
      </c>
      <c r="P2239" s="140">
        <f>_xll.qlInterestRateIndexValueDate(IborIndex,O2239)</f>
        <v>54871</v>
      </c>
      <c r="Q2239" s="141" t="e">
        <v>#N/A</v>
      </c>
      <c r="R2239" s="143" t="e">
        <v>#N/A</v>
      </c>
    </row>
    <row r="2240" spans="14:18" x14ac:dyDescent="0.2">
      <c r="N2240" s="139" t="str">
        <f t="shared" si="41"/>
        <v>1w</v>
      </c>
      <c r="O2240" s="146">
        <f>_xll.qlCalendarAdvance(Calendar,O2239,N2240,"f",FALSE)</f>
        <v>54876</v>
      </c>
      <c r="P2240" s="140">
        <f>_xll.qlInterestRateIndexValueDate(IborIndex,O2240)</f>
        <v>54878</v>
      </c>
      <c r="Q2240" s="141" t="e">
        <v>#N/A</v>
      </c>
      <c r="R2240" s="143" t="e">
        <v>#N/A</v>
      </c>
    </row>
    <row r="2241" spans="14:18" x14ac:dyDescent="0.2">
      <c r="N2241" s="139" t="str">
        <f t="shared" si="41"/>
        <v>1w</v>
      </c>
      <c r="O2241" s="146">
        <f>_xll.qlCalendarAdvance(Calendar,O2240,N2241,"f",FALSE)</f>
        <v>54883</v>
      </c>
      <c r="P2241" s="140">
        <f>_xll.qlInterestRateIndexValueDate(IborIndex,O2241)</f>
        <v>54885</v>
      </c>
      <c r="Q2241" s="141" t="e">
        <v>#N/A</v>
      </c>
      <c r="R2241" s="143" t="e">
        <v>#N/A</v>
      </c>
    </row>
    <row r="2242" spans="14:18" x14ac:dyDescent="0.2">
      <c r="N2242" s="139" t="str">
        <f t="shared" si="41"/>
        <v>1w</v>
      </c>
      <c r="O2242" s="146">
        <f>_xll.qlCalendarAdvance(Calendar,O2241,N2242,"f",FALSE)</f>
        <v>54890</v>
      </c>
      <c r="P2242" s="140">
        <f>_xll.qlInterestRateIndexValueDate(IborIndex,O2242)</f>
        <v>54892</v>
      </c>
      <c r="Q2242" s="141" t="e">
        <v>#N/A</v>
      </c>
      <c r="R2242" s="143" t="e">
        <v>#N/A</v>
      </c>
    </row>
    <row r="2243" spans="14:18" x14ac:dyDescent="0.2">
      <c r="N2243" s="139" t="str">
        <f t="shared" si="41"/>
        <v>1w</v>
      </c>
      <c r="O2243" s="146">
        <f>_xll.qlCalendarAdvance(Calendar,O2242,N2243,"f",FALSE)</f>
        <v>54897</v>
      </c>
      <c r="P2243" s="140">
        <f>_xll.qlInterestRateIndexValueDate(IborIndex,O2243)</f>
        <v>54899</v>
      </c>
      <c r="Q2243" s="141" t="e">
        <v>#N/A</v>
      </c>
      <c r="R2243" s="143" t="e">
        <v>#N/A</v>
      </c>
    </row>
    <row r="2244" spans="14:18" x14ac:dyDescent="0.2">
      <c r="N2244" s="139" t="str">
        <f t="shared" si="41"/>
        <v>1w</v>
      </c>
      <c r="O2244" s="146">
        <f>_xll.qlCalendarAdvance(Calendar,O2243,N2244,"f",FALSE)</f>
        <v>54904</v>
      </c>
      <c r="P2244" s="140">
        <f>_xll.qlInterestRateIndexValueDate(IborIndex,O2244)</f>
        <v>54906</v>
      </c>
      <c r="Q2244" s="141" t="e">
        <v>#N/A</v>
      </c>
      <c r="R2244" s="143" t="e">
        <v>#N/A</v>
      </c>
    </row>
    <row r="2245" spans="14:18" x14ac:dyDescent="0.2">
      <c r="N2245" s="139" t="str">
        <f t="shared" si="41"/>
        <v>1w</v>
      </c>
      <c r="O2245" s="146">
        <f>_xll.qlCalendarAdvance(Calendar,O2244,N2245,"f",FALSE)</f>
        <v>54911</v>
      </c>
      <c r="P2245" s="140">
        <f>_xll.qlInterestRateIndexValueDate(IborIndex,O2245)</f>
        <v>54913</v>
      </c>
      <c r="Q2245" s="141" t="e">
        <v>#N/A</v>
      </c>
      <c r="R2245" s="143" t="e">
        <v>#N/A</v>
      </c>
    </row>
    <row r="2246" spans="14:18" x14ac:dyDescent="0.2">
      <c r="N2246" s="139" t="str">
        <f t="shared" si="41"/>
        <v>1w</v>
      </c>
      <c r="O2246" s="146">
        <f>_xll.qlCalendarAdvance(Calendar,O2245,N2246,"f",FALSE)</f>
        <v>54918</v>
      </c>
      <c r="P2246" s="140">
        <f>_xll.qlInterestRateIndexValueDate(IborIndex,O2246)</f>
        <v>54920</v>
      </c>
      <c r="Q2246" s="141" t="e">
        <v>#N/A</v>
      </c>
      <c r="R2246" s="143" t="e">
        <v>#N/A</v>
      </c>
    </row>
    <row r="2247" spans="14:18" x14ac:dyDescent="0.2">
      <c r="N2247" s="139" t="str">
        <f t="shared" si="41"/>
        <v>1w</v>
      </c>
      <c r="O2247" s="146">
        <f>_xll.qlCalendarAdvance(Calendar,O2246,N2247,"f",FALSE)</f>
        <v>54925</v>
      </c>
      <c r="P2247" s="140">
        <f>_xll.qlInterestRateIndexValueDate(IborIndex,O2247)</f>
        <v>54928</v>
      </c>
      <c r="Q2247" s="141" t="e">
        <v>#N/A</v>
      </c>
      <c r="R2247" s="143" t="e">
        <v>#N/A</v>
      </c>
    </row>
    <row r="2248" spans="14:18" x14ac:dyDescent="0.2">
      <c r="N2248" s="139" t="str">
        <f t="shared" si="41"/>
        <v>1w</v>
      </c>
      <c r="O2248" s="146">
        <f>_xll.qlCalendarAdvance(Calendar,O2247,N2248,"f",FALSE)</f>
        <v>54932</v>
      </c>
      <c r="P2248" s="140">
        <f>_xll.qlInterestRateIndexValueDate(IborIndex,O2248)</f>
        <v>54934</v>
      </c>
      <c r="Q2248" s="141" t="e">
        <v>#N/A</v>
      </c>
      <c r="R2248" s="143" t="e">
        <v>#N/A</v>
      </c>
    </row>
    <row r="2249" spans="14:18" x14ac:dyDescent="0.2">
      <c r="N2249" s="139" t="str">
        <f t="shared" si="41"/>
        <v>1w</v>
      </c>
      <c r="O2249" s="146">
        <f>_xll.qlCalendarAdvance(Calendar,O2248,N2249,"f",FALSE)</f>
        <v>54939</v>
      </c>
      <c r="P2249" s="140">
        <f>_xll.qlInterestRateIndexValueDate(IborIndex,O2249)</f>
        <v>54941</v>
      </c>
      <c r="Q2249" s="141" t="e">
        <v>#N/A</v>
      </c>
      <c r="R2249" s="143" t="e">
        <v>#N/A</v>
      </c>
    </row>
    <row r="2250" spans="14:18" x14ac:dyDescent="0.2">
      <c r="N2250" s="139" t="str">
        <f t="shared" si="41"/>
        <v>1w</v>
      </c>
      <c r="O2250" s="146">
        <f>_xll.qlCalendarAdvance(Calendar,O2249,N2250,"f",FALSE)</f>
        <v>54946</v>
      </c>
      <c r="P2250" s="140">
        <f>_xll.qlInterestRateIndexValueDate(IborIndex,O2250)</f>
        <v>54948</v>
      </c>
      <c r="Q2250" s="141" t="e">
        <v>#N/A</v>
      </c>
      <c r="R2250" s="143" t="e">
        <v>#N/A</v>
      </c>
    </row>
    <row r="2251" spans="14:18" x14ac:dyDescent="0.2">
      <c r="N2251" s="139" t="str">
        <f t="shared" si="41"/>
        <v>1w</v>
      </c>
      <c r="O2251" s="146">
        <f>_xll.qlCalendarAdvance(Calendar,O2250,N2251,"f",FALSE)</f>
        <v>54953</v>
      </c>
      <c r="P2251" s="140">
        <f>_xll.qlInterestRateIndexValueDate(IborIndex,O2251)</f>
        <v>54955</v>
      </c>
      <c r="Q2251" s="141" t="e">
        <v>#N/A</v>
      </c>
      <c r="R2251" s="143" t="e">
        <v>#N/A</v>
      </c>
    </row>
    <row r="2252" spans="14:18" x14ac:dyDescent="0.2">
      <c r="N2252" s="139" t="str">
        <f t="shared" si="41"/>
        <v>1w</v>
      </c>
      <c r="O2252" s="146">
        <f>_xll.qlCalendarAdvance(Calendar,O2251,N2252,"f",FALSE)</f>
        <v>54960</v>
      </c>
      <c r="P2252" s="140">
        <f>_xll.qlInterestRateIndexValueDate(IborIndex,O2252)</f>
        <v>54962</v>
      </c>
      <c r="Q2252" s="141" t="e">
        <v>#N/A</v>
      </c>
      <c r="R2252" s="143" t="e">
        <v>#N/A</v>
      </c>
    </row>
    <row r="2253" spans="14:18" x14ac:dyDescent="0.2">
      <c r="N2253" s="139" t="str">
        <f t="shared" si="41"/>
        <v>1w</v>
      </c>
      <c r="O2253" s="146">
        <f>_xll.qlCalendarAdvance(Calendar,O2252,N2253,"f",FALSE)</f>
        <v>54967</v>
      </c>
      <c r="P2253" s="140">
        <f>_xll.qlInterestRateIndexValueDate(IborIndex,O2253)</f>
        <v>54969</v>
      </c>
      <c r="Q2253" s="141" t="e">
        <v>#N/A</v>
      </c>
      <c r="R2253" s="143" t="e">
        <v>#N/A</v>
      </c>
    </row>
    <row r="2254" spans="14:18" x14ac:dyDescent="0.2">
      <c r="N2254" s="139" t="str">
        <f t="shared" si="41"/>
        <v>1w</v>
      </c>
      <c r="O2254" s="146">
        <f>_xll.qlCalendarAdvance(Calendar,O2253,N2254,"f",FALSE)</f>
        <v>54974</v>
      </c>
      <c r="P2254" s="140">
        <f>_xll.qlInterestRateIndexValueDate(IborIndex,O2254)</f>
        <v>54976</v>
      </c>
      <c r="Q2254" s="141" t="e">
        <v>#N/A</v>
      </c>
      <c r="R2254" s="143" t="e">
        <v>#N/A</v>
      </c>
    </row>
    <row r="2255" spans="14:18" x14ac:dyDescent="0.2">
      <c r="N2255" s="139" t="str">
        <f t="shared" si="41"/>
        <v>1w</v>
      </c>
      <c r="O2255" s="146">
        <f>_xll.qlCalendarAdvance(Calendar,O2254,N2255,"f",FALSE)</f>
        <v>54981</v>
      </c>
      <c r="P2255" s="140">
        <f>_xll.qlInterestRateIndexValueDate(IborIndex,O2255)</f>
        <v>54983</v>
      </c>
      <c r="Q2255" s="141" t="e">
        <v>#N/A</v>
      </c>
      <c r="R2255" s="143" t="e">
        <v>#N/A</v>
      </c>
    </row>
    <row r="2256" spans="14:18" x14ac:dyDescent="0.2">
      <c r="N2256" s="139" t="str">
        <f t="shared" si="41"/>
        <v>1w</v>
      </c>
      <c r="O2256" s="146">
        <f>_xll.qlCalendarAdvance(Calendar,O2255,N2256,"f",FALSE)</f>
        <v>54988</v>
      </c>
      <c r="P2256" s="140">
        <f>_xll.qlInterestRateIndexValueDate(IborIndex,O2256)</f>
        <v>54990</v>
      </c>
      <c r="Q2256" s="141" t="e">
        <v>#N/A</v>
      </c>
      <c r="R2256" s="143" t="e">
        <v>#N/A</v>
      </c>
    </row>
    <row r="2257" spans="14:18" x14ac:dyDescent="0.2">
      <c r="N2257" s="139" t="str">
        <f t="shared" si="41"/>
        <v>1w</v>
      </c>
      <c r="O2257" s="146">
        <f>_xll.qlCalendarAdvance(Calendar,O2256,N2257,"f",FALSE)</f>
        <v>54995</v>
      </c>
      <c r="P2257" s="140">
        <f>_xll.qlInterestRateIndexValueDate(IborIndex,O2257)</f>
        <v>54997</v>
      </c>
      <c r="Q2257" s="141" t="e">
        <v>#N/A</v>
      </c>
      <c r="R2257" s="143" t="e">
        <v>#N/A</v>
      </c>
    </row>
    <row r="2258" spans="14:18" x14ac:dyDescent="0.2">
      <c r="N2258" s="139" t="str">
        <f t="shared" si="41"/>
        <v>1w</v>
      </c>
      <c r="O2258" s="146">
        <f>_xll.qlCalendarAdvance(Calendar,O2257,N2258,"f",FALSE)</f>
        <v>55002</v>
      </c>
      <c r="P2258" s="140">
        <f>_xll.qlInterestRateIndexValueDate(IborIndex,O2258)</f>
        <v>55004</v>
      </c>
      <c r="Q2258" s="141" t="e">
        <v>#N/A</v>
      </c>
      <c r="R2258" s="143" t="e">
        <v>#N/A</v>
      </c>
    </row>
    <row r="2259" spans="14:18" x14ac:dyDescent="0.2">
      <c r="N2259" s="139" t="str">
        <f t="shared" si="41"/>
        <v>1w</v>
      </c>
      <c r="O2259" s="146">
        <f>_xll.qlCalendarAdvance(Calendar,O2258,N2259,"f",FALSE)</f>
        <v>55009</v>
      </c>
      <c r="P2259" s="140">
        <f>_xll.qlInterestRateIndexValueDate(IborIndex,O2259)</f>
        <v>55011</v>
      </c>
      <c r="Q2259" s="141" t="e">
        <v>#N/A</v>
      </c>
      <c r="R2259" s="143" t="e">
        <v>#N/A</v>
      </c>
    </row>
    <row r="2260" spans="14:18" x14ac:dyDescent="0.2">
      <c r="N2260" s="139" t="str">
        <f t="shared" si="41"/>
        <v>1w</v>
      </c>
      <c r="O2260" s="146">
        <f>_xll.qlCalendarAdvance(Calendar,O2259,N2260,"f",FALSE)</f>
        <v>55016</v>
      </c>
      <c r="P2260" s="140">
        <f>_xll.qlInterestRateIndexValueDate(IborIndex,O2260)</f>
        <v>55018</v>
      </c>
      <c r="Q2260" s="141" t="e">
        <v>#N/A</v>
      </c>
      <c r="R2260" s="143" t="e">
        <v>#N/A</v>
      </c>
    </row>
    <row r="2261" spans="14:18" x14ac:dyDescent="0.2">
      <c r="N2261" s="139" t="str">
        <f t="shared" ref="N2261:N2324" si="42">N2260</f>
        <v>1w</v>
      </c>
      <c r="O2261" s="146">
        <f>_xll.qlCalendarAdvance(Calendar,O2260,N2261,"f",FALSE)</f>
        <v>55023</v>
      </c>
      <c r="P2261" s="140">
        <f>_xll.qlInterestRateIndexValueDate(IborIndex,O2261)</f>
        <v>55025</v>
      </c>
      <c r="Q2261" s="141" t="e">
        <v>#N/A</v>
      </c>
      <c r="R2261" s="143" t="e">
        <v>#N/A</v>
      </c>
    </row>
    <row r="2262" spans="14:18" x14ac:dyDescent="0.2">
      <c r="N2262" s="139" t="str">
        <f t="shared" si="42"/>
        <v>1w</v>
      </c>
      <c r="O2262" s="146">
        <f>_xll.qlCalendarAdvance(Calendar,O2261,N2262,"f",FALSE)</f>
        <v>55030</v>
      </c>
      <c r="P2262" s="140">
        <f>_xll.qlInterestRateIndexValueDate(IborIndex,O2262)</f>
        <v>55032</v>
      </c>
      <c r="Q2262" s="141" t="e">
        <v>#N/A</v>
      </c>
      <c r="R2262" s="143" t="e">
        <v>#N/A</v>
      </c>
    </row>
    <row r="2263" spans="14:18" x14ac:dyDescent="0.2">
      <c r="N2263" s="139" t="str">
        <f t="shared" si="42"/>
        <v>1w</v>
      </c>
      <c r="O2263" s="146">
        <f>_xll.qlCalendarAdvance(Calendar,O2262,N2263,"f",FALSE)</f>
        <v>55037</v>
      </c>
      <c r="P2263" s="140">
        <f>_xll.qlInterestRateIndexValueDate(IborIndex,O2263)</f>
        <v>55039</v>
      </c>
      <c r="Q2263" s="141" t="e">
        <v>#N/A</v>
      </c>
      <c r="R2263" s="143" t="e">
        <v>#N/A</v>
      </c>
    </row>
    <row r="2264" spans="14:18" x14ac:dyDescent="0.2">
      <c r="N2264" s="139" t="str">
        <f t="shared" si="42"/>
        <v>1w</v>
      </c>
      <c r="O2264" s="146">
        <f>_xll.qlCalendarAdvance(Calendar,O2263,N2264,"f",FALSE)</f>
        <v>55044</v>
      </c>
      <c r="P2264" s="140">
        <f>_xll.qlInterestRateIndexValueDate(IborIndex,O2264)</f>
        <v>55046</v>
      </c>
      <c r="Q2264" s="141" t="e">
        <v>#N/A</v>
      </c>
      <c r="R2264" s="143" t="e">
        <v>#N/A</v>
      </c>
    </row>
    <row r="2265" spans="14:18" x14ac:dyDescent="0.2">
      <c r="N2265" s="139" t="str">
        <f t="shared" si="42"/>
        <v>1w</v>
      </c>
      <c r="O2265" s="146">
        <f>_xll.qlCalendarAdvance(Calendar,O2264,N2265,"f",FALSE)</f>
        <v>55051</v>
      </c>
      <c r="P2265" s="140">
        <f>_xll.qlInterestRateIndexValueDate(IborIndex,O2265)</f>
        <v>55053</v>
      </c>
      <c r="Q2265" s="141" t="e">
        <v>#N/A</v>
      </c>
      <c r="R2265" s="143" t="e">
        <v>#N/A</v>
      </c>
    </row>
    <row r="2266" spans="14:18" x14ac:dyDescent="0.2">
      <c r="N2266" s="139" t="str">
        <f t="shared" si="42"/>
        <v>1w</v>
      </c>
      <c r="O2266" s="146">
        <f>_xll.qlCalendarAdvance(Calendar,O2265,N2266,"f",FALSE)</f>
        <v>55058</v>
      </c>
      <c r="P2266" s="140">
        <f>_xll.qlInterestRateIndexValueDate(IborIndex,O2266)</f>
        <v>55060</v>
      </c>
      <c r="Q2266" s="141" t="e">
        <v>#N/A</v>
      </c>
      <c r="R2266" s="143" t="e">
        <v>#N/A</v>
      </c>
    </row>
    <row r="2267" spans="14:18" x14ac:dyDescent="0.2">
      <c r="N2267" s="139" t="str">
        <f t="shared" si="42"/>
        <v>1w</v>
      </c>
      <c r="O2267" s="146">
        <f>_xll.qlCalendarAdvance(Calendar,O2266,N2267,"f",FALSE)</f>
        <v>55065</v>
      </c>
      <c r="P2267" s="140">
        <f>_xll.qlInterestRateIndexValueDate(IborIndex,O2267)</f>
        <v>55067</v>
      </c>
      <c r="Q2267" s="141" t="e">
        <v>#N/A</v>
      </c>
      <c r="R2267" s="143" t="e">
        <v>#N/A</v>
      </c>
    </row>
    <row r="2268" spans="14:18" x14ac:dyDescent="0.2">
      <c r="N2268" s="139" t="str">
        <f t="shared" si="42"/>
        <v>1w</v>
      </c>
      <c r="O2268" s="146">
        <f>_xll.qlCalendarAdvance(Calendar,O2267,N2268,"f",FALSE)</f>
        <v>55072</v>
      </c>
      <c r="P2268" s="140">
        <f>_xll.qlInterestRateIndexValueDate(IborIndex,O2268)</f>
        <v>55074</v>
      </c>
      <c r="Q2268" s="141" t="e">
        <v>#N/A</v>
      </c>
      <c r="R2268" s="143" t="e">
        <v>#N/A</v>
      </c>
    </row>
    <row r="2269" spans="14:18" x14ac:dyDescent="0.2">
      <c r="N2269" s="139" t="str">
        <f t="shared" si="42"/>
        <v>1w</v>
      </c>
      <c r="O2269" s="146">
        <f>_xll.qlCalendarAdvance(Calendar,O2268,N2269,"f",FALSE)</f>
        <v>55079</v>
      </c>
      <c r="P2269" s="140">
        <f>_xll.qlInterestRateIndexValueDate(IborIndex,O2269)</f>
        <v>55081</v>
      </c>
      <c r="Q2269" s="141" t="e">
        <v>#N/A</v>
      </c>
      <c r="R2269" s="143" t="e">
        <v>#N/A</v>
      </c>
    </row>
    <row r="2270" spans="14:18" x14ac:dyDescent="0.2">
      <c r="N2270" s="139" t="str">
        <f t="shared" si="42"/>
        <v>1w</v>
      </c>
      <c r="O2270" s="146">
        <f>_xll.qlCalendarAdvance(Calendar,O2269,N2270,"f",FALSE)</f>
        <v>55086</v>
      </c>
      <c r="P2270" s="140">
        <f>_xll.qlInterestRateIndexValueDate(IborIndex,O2270)</f>
        <v>55088</v>
      </c>
      <c r="Q2270" s="141" t="e">
        <v>#N/A</v>
      </c>
      <c r="R2270" s="143" t="e">
        <v>#N/A</v>
      </c>
    </row>
    <row r="2271" spans="14:18" x14ac:dyDescent="0.2">
      <c r="N2271" s="139" t="str">
        <f t="shared" si="42"/>
        <v>1w</v>
      </c>
      <c r="O2271" s="146">
        <f>_xll.qlCalendarAdvance(Calendar,O2270,N2271,"f",FALSE)</f>
        <v>55093</v>
      </c>
      <c r="P2271" s="140">
        <f>_xll.qlInterestRateIndexValueDate(IborIndex,O2271)</f>
        <v>55095</v>
      </c>
      <c r="Q2271" s="141" t="e">
        <v>#N/A</v>
      </c>
      <c r="R2271" s="143" t="e">
        <v>#N/A</v>
      </c>
    </row>
    <row r="2272" spans="14:18" x14ac:dyDescent="0.2">
      <c r="N2272" s="139" t="str">
        <f t="shared" si="42"/>
        <v>1w</v>
      </c>
      <c r="O2272" s="146">
        <f>_xll.qlCalendarAdvance(Calendar,O2271,N2272,"f",FALSE)</f>
        <v>55100</v>
      </c>
      <c r="P2272" s="140">
        <f>_xll.qlInterestRateIndexValueDate(IborIndex,O2272)</f>
        <v>55102</v>
      </c>
      <c r="Q2272" s="141" t="e">
        <v>#N/A</v>
      </c>
      <c r="R2272" s="143" t="e">
        <v>#N/A</v>
      </c>
    </row>
    <row r="2273" spans="14:18" x14ac:dyDescent="0.2">
      <c r="N2273" s="139" t="str">
        <f t="shared" si="42"/>
        <v>1w</v>
      </c>
      <c r="O2273" s="146">
        <f>_xll.qlCalendarAdvance(Calendar,O2272,N2273,"f",FALSE)</f>
        <v>55107</v>
      </c>
      <c r="P2273" s="140">
        <f>_xll.qlInterestRateIndexValueDate(IborIndex,O2273)</f>
        <v>55109</v>
      </c>
      <c r="Q2273" s="141" t="e">
        <v>#N/A</v>
      </c>
      <c r="R2273" s="143" t="e">
        <v>#N/A</v>
      </c>
    </row>
    <row r="2274" spans="14:18" x14ac:dyDescent="0.2">
      <c r="N2274" s="139" t="str">
        <f t="shared" si="42"/>
        <v>1w</v>
      </c>
      <c r="O2274" s="146">
        <f>_xll.qlCalendarAdvance(Calendar,O2273,N2274,"f",FALSE)</f>
        <v>55114</v>
      </c>
      <c r="P2274" s="140">
        <f>_xll.qlInterestRateIndexValueDate(IborIndex,O2274)</f>
        <v>55116</v>
      </c>
      <c r="Q2274" s="141" t="e">
        <v>#N/A</v>
      </c>
      <c r="R2274" s="143" t="e">
        <v>#N/A</v>
      </c>
    </row>
    <row r="2275" spans="14:18" x14ac:dyDescent="0.2">
      <c r="N2275" s="139" t="str">
        <f t="shared" si="42"/>
        <v>1w</v>
      </c>
      <c r="O2275" s="146">
        <f>_xll.qlCalendarAdvance(Calendar,O2274,N2275,"f",FALSE)</f>
        <v>55121</v>
      </c>
      <c r="P2275" s="140">
        <f>_xll.qlInterestRateIndexValueDate(IborIndex,O2275)</f>
        <v>55123</v>
      </c>
      <c r="Q2275" s="141" t="e">
        <v>#N/A</v>
      </c>
      <c r="R2275" s="143" t="e">
        <v>#N/A</v>
      </c>
    </row>
    <row r="2276" spans="14:18" x14ac:dyDescent="0.2">
      <c r="N2276" s="139" t="str">
        <f t="shared" si="42"/>
        <v>1w</v>
      </c>
      <c r="O2276" s="146">
        <f>_xll.qlCalendarAdvance(Calendar,O2275,N2276,"f",FALSE)</f>
        <v>55128</v>
      </c>
      <c r="P2276" s="140">
        <f>_xll.qlInterestRateIndexValueDate(IborIndex,O2276)</f>
        <v>55130</v>
      </c>
      <c r="Q2276" s="141" t="e">
        <v>#N/A</v>
      </c>
      <c r="R2276" s="143" t="e">
        <v>#N/A</v>
      </c>
    </row>
    <row r="2277" spans="14:18" x14ac:dyDescent="0.2">
      <c r="N2277" s="139" t="str">
        <f t="shared" si="42"/>
        <v>1w</v>
      </c>
      <c r="O2277" s="146">
        <f>_xll.qlCalendarAdvance(Calendar,O2276,N2277,"f",FALSE)</f>
        <v>55135</v>
      </c>
      <c r="P2277" s="140">
        <f>_xll.qlInterestRateIndexValueDate(IborIndex,O2277)</f>
        <v>55137</v>
      </c>
      <c r="Q2277" s="141" t="e">
        <v>#N/A</v>
      </c>
      <c r="R2277" s="143" t="e">
        <v>#N/A</v>
      </c>
    </row>
    <row r="2278" spans="14:18" x14ac:dyDescent="0.2">
      <c r="N2278" s="139" t="str">
        <f t="shared" si="42"/>
        <v>1w</v>
      </c>
      <c r="O2278" s="146">
        <f>_xll.qlCalendarAdvance(Calendar,O2277,N2278,"f",FALSE)</f>
        <v>55142</v>
      </c>
      <c r="P2278" s="140">
        <f>_xll.qlInterestRateIndexValueDate(IborIndex,O2278)</f>
        <v>55144</v>
      </c>
      <c r="Q2278" s="141" t="e">
        <v>#N/A</v>
      </c>
      <c r="R2278" s="143" t="e">
        <v>#N/A</v>
      </c>
    </row>
    <row r="2279" spans="14:18" x14ac:dyDescent="0.2">
      <c r="N2279" s="139" t="str">
        <f t="shared" si="42"/>
        <v>1w</v>
      </c>
      <c r="O2279" s="146">
        <f>_xll.qlCalendarAdvance(Calendar,O2278,N2279,"f",FALSE)</f>
        <v>55149</v>
      </c>
      <c r="P2279" s="140">
        <f>_xll.qlInterestRateIndexValueDate(IborIndex,O2279)</f>
        <v>55151</v>
      </c>
      <c r="Q2279" s="141" t="e">
        <v>#N/A</v>
      </c>
      <c r="R2279" s="143" t="e">
        <v>#N/A</v>
      </c>
    </row>
    <row r="2280" spans="14:18" x14ac:dyDescent="0.2">
      <c r="N2280" s="139" t="str">
        <f t="shared" si="42"/>
        <v>1w</v>
      </c>
      <c r="O2280" s="146">
        <f>_xll.qlCalendarAdvance(Calendar,O2279,N2280,"f",FALSE)</f>
        <v>55156</v>
      </c>
      <c r="P2280" s="140">
        <f>_xll.qlInterestRateIndexValueDate(IborIndex,O2280)</f>
        <v>55158</v>
      </c>
      <c r="Q2280" s="141" t="e">
        <v>#N/A</v>
      </c>
      <c r="R2280" s="143" t="e">
        <v>#N/A</v>
      </c>
    </row>
    <row r="2281" spans="14:18" x14ac:dyDescent="0.2">
      <c r="N2281" s="139" t="str">
        <f t="shared" si="42"/>
        <v>1w</v>
      </c>
      <c r="O2281" s="146">
        <f>_xll.qlCalendarAdvance(Calendar,O2280,N2281,"f",FALSE)</f>
        <v>55163</v>
      </c>
      <c r="P2281" s="140">
        <f>_xll.qlInterestRateIndexValueDate(IborIndex,O2281)</f>
        <v>55165</v>
      </c>
      <c r="Q2281" s="141" t="e">
        <v>#N/A</v>
      </c>
      <c r="R2281" s="143" t="e">
        <v>#N/A</v>
      </c>
    </row>
    <row r="2282" spans="14:18" x14ac:dyDescent="0.2">
      <c r="N2282" s="139" t="str">
        <f t="shared" si="42"/>
        <v>1w</v>
      </c>
      <c r="O2282" s="146">
        <f>_xll.qlCalendarAdvance(Calendar,O2281,N2282,"f",FALSE)</f>
        <v>55170</v>
      </c>
      <c r="P2282" s="140">
        <f>_xll.qlInterestRateIndexValueDate(IborIndex,O2282)</f>
        <v>55172</v>
      </c>
      <c r="Q2282" s="141" t="e">
        <v>#N/A</v>
      </c>
      <c r="R2282" s="143" t="e">
        <v>#N/A</v>
      </c>
    </row>
    <row r="2283" spans="14:18" x14ac:dyDescent="0.2">
      <c r="N2283" s="139" t="str">
        <f t="shared" si="42"/>
        <v>1w</v>
      </c>
      <c r="O2283" s="146">
        <f>_xll.qlCalendarAdvance(Calendar,O2282,N2283,"f",FALSE)</f>
        <v>55177</v>
      </c>
      <c r="P2283" s="140">
        <f>_xll.qlInterestRateIndexValueDate(IborIndex,O2283)</f>
        <v>55179</v>
      </c>
      <c r="Q2283" s="141" t="e">
        <v>#N/A</v>
      </c>
      <c r="R2283" s="143" t="e">
        <v>#N/A</v>
      </c>
    </row>
    <row r="2284" spans="14:18" x14ac:dyDescent="0.2">
      <c r="N2284" s="139" t="str">
        <f t="shared" si="42"/>
        <v>1w</v>
      </c>
      <c r="O2284" s="146">
        <f>_xll.qlCalendarAdvance(Calendar,O2283,N2284,"f",FALSE)</f>
        <v>55184</v>
      </c>
      <c r="P2284" s="140">
        <f>_xll.qlInterestRateIndexValueDate(IborIndex,O2284)</f>
        <v>55186</v>
      </c>
      <c r="Q2284" s="141" t="e">
        <v>#N/A</v>
      </c>
      <c r="R2284" s="143" t="e">
        <v>#N/A</v>
      </c>
    </row>
    <row r="2285" spans="14:18" x14ac:dyDescent="0.2">
      <c r="N2285" s="139" t="str">
        <f t="shared" si="42"/>
        <v>1w</v>
      </c>
      <c r="O2285" s="146">
        <f>_xll.qlCalendarAdvance(Calendar,O2284,N2285,"f",FALSE)</f>
        <v>55191</v>
      </c>
      <c r="P2285" s="140">
        <f>_xll.qlInterestRateIndexValueDate(IborIndex,O2285)</f>
        <v>55193</v>
      </c>
      <c r="Q2285" s="141" t="e">
        <v>#N/A</v>
      </c>
      <c r="R2285" s="143" t="e">
        <v>#N/A</v>
      </c>
    </row>
    <row r="2286" spans="14:18" x14ac:dyDescent="0.2">
      <c r="N2286" s="139" t="str">
        <f t="shared" si="42"/>
        <v>1w</v>
      </c>
      <c r="O2286" s="146">
        <f>_xll.qlCalendarAdvance(Calendar,O2285,N2286,"f",FALSE)</f>
        <v>55198</v>
      </c>
      <c r="P2286" s="140">
        <f>_xll.qlInterestRateIndexValueDate(IborIndex,O2286)</f>
        <v>55200</v>
      </c>
      <c r="Q2286" s="141" t="e">
        <v>#N/A</v>
      </c>
      <c r="R2286" s="143" t="e">
        <v>#N/A</v>
      </c>
    </row>
    <row r="2287" spans="14:18" x14ac:dyDescent="0.2">
      <c r="N2287" s="139" t="str">
        <f t="shared" si="42"/>
        <v>1w</v>
      </c>
      <c r="O2287" s="146">
        <f>_xll.qlCalendarAdvance(Calendar,O2286,N2287,"f",FALSE)</f>
        <v>55205</v>
      </c>
      <c r="P2287" s="140">
        <f>_xll.qlInterestRateIndexValueDate(IborIndex,O2287)</f>
        <v>55207</v>
      </c>
      <c r="Q2287" s="141" t="e">
        <v>#N/A</v>
      </c>
      <c r="R2287" s="143" t="e">
        <v>#N/A</v>
      </c>
    </row>
    <row r="2288" spans="14:18" x14ac:dyDescent="0.2">
      <c r="N2288" s="139" t="str">
        <f t="shared" si="42"/>
        <v>1w</v>
      </c>
      <c r="O2288" s="146">
        <f>_xll.qlCalendarAdvance(Calendar,O2287,N2288,"f",FALSE)</f>
        <v>55212</v>
      </c>
      <c r="P2288" s="140">
        <f>_xll.qlInterestRateIndexValueDate(IborIndex,O2288)</f>
        <v>55214</v>
      </c>
      <c r="Q2288" s="141" t="e">
        <v>#N/A</v>
      </c>
      <c r="R2288" s="143" t="e">
        <v>#N/A</v>
      </c>
    </row>
    <row r="2289" spans="14:18" x14ac:dyDescent="0.2">
      <c r="N2289" s="139" t="str">
        <f t="shared" si="42"/>
        <v>1w</v>
      </c>
      <c r="O2289" s="146">
        <f>_xll.qlCalendarAdvance(Calendar,O2288,N2289,"f",FALSE)</f>
        <v>55219</v>
      </c>
      <c r="P2289" s="140">
        <f>_xll.qlInterestRateIndexValueDate(IborIndex,O2289)</f>
        <v>55221</v>
      </c>
      <c r="Q2289" s="141" t="e">
        <v>#N/A</v>
      </c>
      <c r="R2289" s="143" t="e">
        <v>#N/A</v>
      </c>
    </row>
    <row r="2290" spans="14:18" x14ac:dyDescent="0.2">
      <c r="N2290" s="139" t="str">
        <f t="shared" si="42"/>
        <v>1w</v>
      </c>
      <c r="O2290" s="146">
        <f>_xll.qlCalendarAdvance(Calendar,O2289,N2290,"f",FALSE)</f>
        <v>55226</v>
      </c>
      <c r="P2290" s="140">
        <f>_xll.qlInterestRateIndexValueDate(IborIndex,O2290)</f>
        <v>55228</v>
      </c>
      <c r="Q2290" s="141" t="e">
        <v>#N/A</v>
      </c>
      <c r="R2290" s="143" t="e">
        <v>#N/A</v>
      </c>
    </row>
    <row r="2291" spans="14:18" x14ac:dyDescent="0.2">
      <c r="N2291" s="139" t="str">
        <f t="shared" si="42"/>
        <v>1w</v>
      </c>
      <c r="O2291" s="146">
        <f>_xll.qlCalendarAdvance(Calendar,O2290,N2291,"f",FALSE)</f>
        <v>55233</v>
      </c>
      <c r="P2291" s="140">
        <f>_xll.qlInterestRateIndexValueDate(IborIndex,O2291)</f>
        <v>55235</v>
      </c>
      <c r="Q2291" s="141" t="e">
        <v>#N/A</v>
      </c>
      <c r="R2291" s="143" t="e">
        <v>#N/A</v>
      </c>
    </row>
    <row r="2292" spans="14:18" x14ac:dyDescent="0.2">
      <c r="N2292" s="139" t="str">
        <f t="shared" si="42"/>
        <v>1w</v>
      </c>
      <c r="O2292" s="146">
        <f>_xll.qlCalendarAdvance(Calendar,O2291,N2292,"f",FALSE)</f>
        <v>55240</v>
      </c>
      <c r="P2292" s="140">
        <f>_xll.qlInterestRateIndexValueDate(IborIndex,O2292)</f>
        <v>55242</v>
      </c>
      <c r="Q2292" s="141" t="e">
        <v>#N/A</v>
      </c>
      <c r="R2292" s="143" t="e">
        <v>#N/A</v>
      </c>
    </row>
    <row r="2293" spans="14:18" x14ac:dyDescent="0.2">
      <c r="N2293" s="139" t="str">
        <f t="shared" si="42"/>
        <v>1w</v>
      </c>
      <c r="O2293" s="146">
        <f>_xll.qlCalendarAdvance(Calendar,O2292,N2293,"f",FALSE)</f>
        <v>55247</v>
      </c>
      <c r="P2293" s="140">
        <f>_xll.qlInterestRateIndexValueDate(IborIndex,O2293)</f>
        <v>55249</v>
      </c>
      <c r="Q2293" s="141" t="e">
        <v>#N/A</v>
      </c>
      <c r="R2293" s="143" t="e">
        <v>#N/A</v>
      </c>
    </row>
    <row r="2294" spans="14:18" x14ac:dyDescent="0.2">
      <c r="N2294" s="139" t="str">
        <f t="shared" si="42"/>
        <v>1w</v>
      </c>
      <c r="O2294" s="146">
        <f>_xll.qlCalendarAdvance(Calendar,O2293,N2294,"f",FALSE)</f>
        <v>55254</v>
      </c>
      <c r="P2294" s="140">
        <f>_xll.qlInterestRateIndexValueDate(IborIndex,O2294)</f>
        <v>55256</v>
      </c>
      <c r="Q2294" s="141" t="e">
        <v>#N/A</v>
      </c>
      <c r="R2294" s="143" t="e">
        <v>#N/A</v>
      </c>
    </row>
    <row r="2295" spans="14:18" x14ac:dyDescent="0.2">
      <c r="N2295" s="139" t="str">
        <f t="shared" si="42"/>
        <v>1w</v>
      </c>
      <c r="O2295" s="146">
        <f>_xll.qlCalendarAdvance(Calendar,O2294,N2295,"f",FALSE)</f>
        <v>55261</v>
      </c>
      <c r="P2295" s="140">
        <f>_xll.qlInterestRateIndexValueDate(IborIndex,O2295)</f>
        <v>55263</v>
      </c>
      <c r="Q2295" s="141" t="e">
        <v>#N/A</v>
      </c>
      <c r="R2295" s="143" t="e">
        <v>#N/A</v>
      </c>
    </row>
    <row r="2296" spans="14:18" x14ac:dyDescent="0.2">
      <c r="N2296" s="139" t="str">
        <f t="shared" si="42"/>
        <v>1w</v>
      </c>
      <c r="O2296" s="146">
        <f>_xll.qlCalendarAdvance(Calendar,O2295,N2296,"f",FALSE)</f>
        <v>55268</v>
      </c>
      <c r="P2296" s="140">
        <f>_xll.qlInterestRateIndexValueDate(IborIndex,O2296)</f>
        <v>55270</v>
      </c>
      <c r="Q2296" s="141" t="e">
        <v>#N/A</v>
      </c>
      <c r="R2296" s="143" t="e">
        <v>#N/A</v>
      </c>
    </row>
    <row r="2297" spans="14:18" x14ac:dyDescent="0.2">
      <c r="N2297" s="139" t="str">
        <f t="shared" si="42"/>
        <v>1w</v>
      </c>
      <c r="O2297" s="146">
        <f>_xll.qlCalendarAdvance(Calendar,O2296,N2297,"f",FALSE)</f>
        <v>55275</v>
      </c>
      <c r="P2297" s="140">
        <f>_xll.qlInterestRateIndexValueDate(IborIndex,O2297)</f>
        <v>55277</v>
      </c>
      <c r="Q2297" s="141" t="e">
        <v>#N/A</v>
      </c>
      <c r="R2297" s="143" t="e">
        <v>#N/A</v>
      </c>
    </row>
    <row r="2298" spans="14:18" x14ac:dyDescent="0.2">
      <c r="N2298" s="139" t="str">
        <f t="shared" si="42"/>
        <v>1w</v>
      </c>
      <c r="O2298" s="146">
        <f>_xll.qlCalendarAdvance(Calendar,O2297,N2298,"f",FALSE)</f>
        <v>55282</v>
      </c>
      <c r="P2298" s="140">
        <f>_xll.qlInterestRateIndexValueDate(IborIndex,O2298)</f>
        <v>55285</v>
      </c>
      <c r="Q2298" s="141" t="e">
        <v>#N/A</v>
      </c>
      <c r="R2298" s="143" t="e">
        <v>#N/A</v>
      </c>
    </row>
    <row r="2299" spans="14:18" x14ac:dyDescent="0.2">
      <c r="N2299" s="139" t="str">
        <f t="shared" si="42"/>
        <v>1w</v>
      </c>
      <c r="O2299" s="146">
        <f>_xll.qlCalendarAdvance(Calendar,O2298,N2299,"f",FALSE)</f>
        <v>55289</v>
      </c>
      <c r="P2299" s="140">
        <f>_xll.qlInterestRateIndexValueDate(IborIndex,O2299)</f>
        <v>55291</v>
      </c>
      <c r="Q2299" s="141" t="e">
        <v>#N/A</v>
      </c>
      <c r="R2299" s="143" t="e">
        <v>#N/A</v>
      </c>
    </row>
    <row r="2300" spans="14:18" x14ac:dyDescent="0.2">
      <c r="N2300" s="139" t="str">
        <f t="shared" si="42"/>
        <v>1w</v>
      </c>
      <c r="O2300" s="146">
        <f>_xll.qlCalendarAdvance(Calendar,O2299,N2300,"f",FALSE)</f>
        <v>55296</v>
      </c>
      <c r="P2300" s="140">
        <f>_xll.qlInterestRateIndexValueDate(IborIndex,O2300)</f>
        <v>55298</v>
      </c>
      <c r="Q2300" s="141" t="e">
        <v>#N/A</v>
      </c>
      <c r="R2300" s="143" t="e">
        <v>#N/A</v>
      </c>
    </row>
    <row r="2301" spans="14:18" x14ac:dyDescent="0.2">
      <c r="N2301" s="139" t="str">
        <f t="shared" si="42"/>
        <v>1w</v>
      </c>
      <c r="O2301" s="146">
        <f>_xll.qlCalendarAdvance(Calendar,O2300,N2301,"f",FALSE)</f>
        <v>55303</v>
      </c>
      <c r="P2301" s="140">
        <f>_xll.qlInterestRateIndexValueDate(IborIndex,O2301)</f>
        <v>55305</v>
      </c>
      <c r="Q2301" s="141" t="e">
        <v>#N/A</v>
      </c>
      <c r="R2301" s="143" t="e">
        <v>#N/A</v>
      </c>
    </row>
    <row r="2302" spans="14:18" x14ac:dyDescent="0.2">
      <c r="N2302" s="139" t="str">
        <f t="shared" si="42"/>
        <v>1w</v>
      </c>
      <c r="O2302" s="146">
        <f>_xll.qlCalendarAdvance(Calendar,O2301,N2302,"f",FALSE)</f>
        <v>55310</v>
      </c>
      <c r="P2302" s="140">
        <f>_xll.qlInterestRateIndexValueDate(IborIndex,O2302)</f>
        <v>55312</v>
      </c>
      <c r="Q2302" s="141" t="e">
        <v>#N/A</v>
      </c>
      <c r="R2302" s="143" t="e">
        <v>#N/A</v>
      </c>
    </row>
    <row r="2303" spans="14:18" x14ac:dyDescent="0.2">
      <c r="N2303" s="139" t="str">
        <f t="shared" si="42"/>
        <v>1w</v>
      </c>
      <c r="O2303" s="146">
        <f>_xll.qlCalendarAdvance(Calendar,O2302,N2303,"f",FALSE)</f>
        <v>55317</v>
      </c>
      <c r="P2303" s="140">
        <f>_xll.qlInterestRateIndexValueDate(IborIndex,O2303)</f>
        <v>55319</v>
      </c>
      <c r="Q2303" s="141" t="e">
        <v>#N/A</v>
      </c>
      <c r="R2303" s="143" t="e">
        <v>#N/A</v>
      </c>
    </row>
    <row r="2304" spans="14:18" x14ac:dyDescent="0.2">
      <c r="N2304" s="139" t="str">
        <f t="shared" si="42"/>
        <v>1w</v>
      </c>
      <c r="O2304" s="146">
        <f>_xll.qlCalendarAdvance(Calendar,O2303,N2304,"f",FALSE)</f>
        <v>55324</v>
      </c>
      <c r="P2304" s="140">
        <f>_xll.qlInterestRateIndexValueDate(IborIndex,O2304)</f>
        <v>55326</v>
      </c>
      <c r="Q2304" s="141" t="e">
        <v>#N/A</v>
      </c>
      <c r="R2304" s="143" t="e">
        <v>#N/A</v>
      </c>
    </row>
    <row r="2305" spans="14:18" x14ac:dyDescent="0.2">
      <c r="N2305" s="139" t="str">
        <f t="shared" si="42"/>
        <v>1w</v>
      </c>
      <c r="O2305" s="146">
        <f>_xll.qlCalendarAdvance(Calendar,O2304,N2305,"f",FALSE)</f>
        <v>55331</v>
      </c>
      <c r="P2305" s="140">
        <f>_xll.qlInterestRateIndexValueDate(IborIndex,O2305)</f>
        <v>55333</v>
      </c>
      <c r="Q2305" s="141" t="e">
        <v>#N/A</v>
      </c>
      <c r="R2305" s="143" t="e">
        <v>#N/A</v>
      </c>
    </row>
    <row r="2306" spans="14:18" x14ac:dyDescent="0.2">
      <c r="N2306" s="139" t="str">
        <f t="shared" si="42"/>
        <v>1w</v>
      </c>
      <c r="O2306" s="146">
        <f>_xll.qlCalendarAdvance(Calendar,O2305,N2306,"f",FALSE)</f>
        <v>55338</v>
      </c>
      <c r="P2306" s="140">
        <f>_xll.qlInterestRateIndexValueDate(IborIndex,O2306)</f>
        <v>55340</v>
      </c>
      <c r="Q2306" s="141" t="e">
        <v>#N/A</v>
      </c>
      <c r="R2306" s="143" t="e">
        <v>#N/A</v>
      </c>
    </row>
    <row r="2307" spans="14:18" x14ac:dyDescent="0.2">
      <c r="N2307" s="139" t="str">
        <f t="shared" si="42"/>
        <v>1w</v>
      </c>
      <c r="O2307" s="146">
        <f>_xll.qlCalendarAdvance(Calendar,O2306,N2307,"f",FALSE)</f>
        <v>55345</v>
      </c>
      <c r="P2307" s="140">
        <f>_xll.qlInterestRateIndexValueDate(IborIndex,O2307)</f>
        <v>55347</v>
      </c>
      <c r="Q2307" s="141" t="e">
        <v>#N/A</v>
      </c>
      <c r="R2307" s="143" t="e">
        <v>#N/A</v>
      </c>
    </row>
    <row r="2308" spans="14:18" x14ac:dyDescent="0.2">
      <c r="N2308" s="139" t="str">
        <f t="shared" si="42"/>
        <v>1w</v>
      </c>
      <c r="O2308" s="146">
        <f>_xll.qlCalendarAdvance(Calendar,O2307,N2308,"f",FALSE)</f>
        <v>55352</v>
      </c>
      <c r="P2308" s="140">
        <f>_xll.qlInterestRateIndexValueDate(IborIndex,O2308)</f>
        <v>55354</v>
      </c>
      <c r="Q2308" s="141" t="e">
        <v>#N/A</v>
      </c>
      <c r="R2308" s="143" t="e">
        <v>#N/A</v>
      </c>
    </row>
    <row r="2309" spans="14:18" x14ac:dyDescent="0.2">
      <c r="N2309" s="139" t="str">
        <f t="shared" si="42"/>
        <v>1w</v>
      </c>
      <c r="O2309" s="146">
        <f>_xll.qlCalendarAdvance(Calendar,O2308,N2309,"f",FALSE)</f>
        <v>55359</v>
      </c>
      <c r="P2309" s="140">
        <f>_xll.qlInterestRateIndexValueDate(IborIndex,O2309)</f>
        <v>55361</v>
      </c>
      <c r="Q2309" s="141" t="e">
        <v>#N/A</v>
      </c>
      <c r="R2309" s="143" t="e">
        <v>#N/A</v>
      </c>
    </row>
    <row r="2310" spans="14:18" x14ac:dyDescent="0.2">
      <c r="N2310" s="139" t="str">
        <f t="shared" si="42"/>
        <v>1w</v>
      </c>
      <c r="O2310" s="146">
        <f>_xll.qlCalendarAdvance(Calendar,O2309,N2310,"f",FALSE)</f>
        <v>55366</v>
      </c>
      <c r="P2310" s="140">
        <f>_xll.qlInterestRateIndexValueDate(IborIndex,O2310)</f>
        <v>55368</v>
      </c>
      <c r="Q2310" s="141" t="e">
        <v>#N/A</v>
      </c>
      <c r="R2310" s="143" t="e">
        <v>#N/A</v>
      </c>
    </row>
    <row r="2311" spans="14:18" x14ac:dyDescent="0.2">
      <c r="N2311" s="139" t="str">
        <f t="shared" si="42"/>
        <v>1w</v>
      </c>
      <c r="O2311" s="146">
        <f>_xll.qlCalendarAdvance(Calendar,O2310,N2311,"f",FALSE)</f>
        <v>55373</v>
      </c>
      <c r="P2311" s="140">
        <f>_xll.qlInterestRateIndexValueDate(IborIndex,O2311)</f>
        <v>55375</v>
      </c>
      <c r="Q2311" s="141" t="e">
        <v>#N/A</v>
      </c>
      <c r="R2311" s="143" t="e">
        <v>#N/A</v>
      </c>
    </row>
    <row r="2312" spans="14:18" x14ac:dyDescent="0.2">
      <c r="N2312" s="139" t="str">
        <f t="shared" si="42"/>
        <v>1w</v>
      </c>
      <c r="O2312" s="146">
        <f>_xll.qlCalendarAdvance(Calendar,O2311,N2312,"f",FALSE)</f>
        <v>55380</v>
      </c>
      <c r="P2312" s="140">
        <f>_xll.qlInterestRateIndexValueDate(IborIndex,O2312)</f>
        <v>55382</v>
      </c>
      <c r="Q2312" s="141" t="e">
        <v>#N/A</v>
      </c>
      <c r="R2312" s="143" t="e">
        <v>#N/A</v>
      </c>
    </row>
    <row r="2313" spans="14:18" x14ac:dyDescent="0.2">
      <c r="N2313" s="139" t="str">
        <f t="shared" si="42"/>
        <v>1w</v>
      </c>
      <c r="O2313" s="146">
        <f>_xll.qlCalendarAdvance(Calendar,O2312,N2313,"f",FALSE)</f>
        <v>55387</v>
      </c>
      <c r="P2313" s="140">
        <f>_xll.qlInterestRateIndexValueDate(IborIndex,O2313)</f>
        <v>55389</v>
      </c>
      <c r="Q2313" s="141" t="e">
        <v>#N/A</v>
      </c>
      <c r="R2313" s="143" t="e">
        <v>#N/A</v>
      </c>
    </row>
    <row r="2314" spans="14:18" x14ac:dyDescent="0.2">
      <c r="N2314" s="139" t="str">
        <f t="shared" si="42"/>
        <v>1w</v>
      </c>
      <c r="O2314" s="146">
        <f>_xll.qlCalendarAdvance(Calendar,O2313,N2314,"f",FALSE)</f>
        <v>55394</v>
      </c>
      <c r="P2314" s="140">
        <f>_xll.qlInterestRateIndexValueDate(IborIndex,O2314)</f>
        <v>55396</v>
      </c>
      <c r="Q2314" s="141" t="e">
        <v>#N/A</v>
      </c>
      <c r="R2314" s="143" t="e">
        <v>#N/A</v>
      </c>
    </row>
    <row r="2315" spans="14:18" x14ac:dyDescent="0.2">
      <c r="N2315" s="139" t="str">
        <f t="shared" si="42"/>
        <v>1w</v>
      </c>
      <c r="O2315" s="146">
        <f>_xll.qlCalendarAdvance(Calendar,O2314,N2315,"f",FALSE)</f>
        <v>55401</v>
      </c>
      <c r="P2315" s="140">
        <f>_xll.qlInterestRateIndexValueDate(IborIndex,O2315)</f>
        <v>55403</v>
      </c>
      <c r="Q2315" s="141" t="e">
        <v>#N/A</v>
      </c>
      <c r="R2315" s="143" t="e">
        <v>#N/A</v>
      </c>
    </row>
    <row r="2316" spans="14:18" x14ac:dyDescent="0.2">
      <c r="N2316" s="139" t="str">
        <f t="shared" si="42"/>
        <v>1w</v>
      </c>
      <c r="O2316" s="146">
        <f>_xll.qlCalendarAdvance(Calendar,O2315,N2316,"f",FALSE)</f>
        <v>55408</v>
      </c>
      <c r="P2316" s="140">
        <f>_xll.qlInterestRateIndexValueDate(IborIndex,O2316)</f>
        <v>55410</v>
      </c>
      <c r="Q2316" s="141" t="e">
        <v>#N/A</v>
      </c>
      <c r="R2316" s="143" t="e">
        <v>#N/A</v>
      </c>
    </row>
    <row r="2317" spans="14:18" x14ac:dyDescent="0.2">
      <c r="N2317" s="139" t="str">
        <f t="shared" si="42"/>
        <v>1w</v>
      </c>
      <c r="O2317" s="146">
        <f>_xll.qlCalendarAdvance(Calendar,O2316,N2317,"f",FALSE)</f>
        <v>55415</v>
      </c>
      <c r="P2317" s="140">
        <f>_xll.qlInterestRateIndexValueDate(IborIndex,O2317)</f>
        <v>55417</v>
      </c>
      <c r="Q2317" s="141" t="e">
        <v>#N/A</v>
      </c>
      <c r="R2317" s="143" t="e">
        <v>#N/A</v>
      </c>
    </row>
    <row r="2318" spans="14:18" x14ac:dyDescent="0.2">
      <c r="N2318" s="139" t="str">
        <f t="shared" si="42"/>
        <v>1w</v>
      </c>
      <c r="O2318" s="146">
        <f>_xll.qlCalendarAdvance(Calendar,O2317,N2318,"f",FALSE)</f>
        <v>55422</v>
      </c>
      <c r="P2318" s="140">
        <f>_xll.qlInterestRateIndexValueDate(IborIndex,O2318)</f>
        <v>55424</v>
      </c>
      <c r="Q2318" s="141" t="e">
        <v>#N/A</v>
      </c>
      <c r="R2318" s="143" t="e">
        <v>#N/A</v>
      </c>
    </row>
    <row r="2319" spans="14:18" x14ac:dyDescent="0.2">
      <c r="N2319" s="139" t="str">
        <f t="shared" si="42"/>
        <v>1w</v>
      </c>
      <c r="O2319" s="146">
        <f>_xll.qlCalendarAdvance(Calendar,O2318,N2319,"f",FALSE)</f>
        <v>55429</v>
      </c>
      <c r="P2319" s="140">
        <f>_xll.qlInterestRateIndexValueDate(IborIndex,O2319)</f>
        <v>55431</v>
      </c>
      <c r="Q2319" s="141" t="e">
        <v>#N/A</v>
      </c>
      <c r="R2319" s="143" t="e">
        <v>#N/A</v>
      </c>
    </row>
    <row r="2320" spans="14:18" x14ac:dyDescent="0.2">
      <c r="N2320" s="139" t="str">
        <f t="shared" si="42"/>
        <v>1w</v>
      </c>
      <c r="O2320" s="146">
        <f>_xll.qlCalendarAdvance(Calendar,O2319,N2320,"f",FALSE)</f>
        <v>55436</v>
      </c>
      <c r="P2320" s="140">
        <f>_xll.qlInterestRateIndexValueDate(IborIndex,O2320)</f>
        <v>55438</v>
      </c>
      <c r="Q2320" s="141" t="e">
        <v>#N/A</v>
      </c>
      <c r="R2320" s="143" t="e">
        <v>#N/A</v>
      </c>
    </row>
    <row r="2321" spans="14:18" x14ac:dyDescent="0.2">
      <c r="N2321" s="139" t="str">
        <f t="shared" si="42"/>
        <v>1w</v>
      </c>
      <c r="O2321" s="146">
        <f>_xll.qlCalendarAdvance(Calendar,O2320,N2321,"f",FALSE)</f>
        <v>55443</v>
      </c>
      <c r="P2321" s="140">
        <f>_xll.qlInterestRateIndexValueDate(IborIndex,O2321)</f>
        <v>55445</v>
      </c>
      <c r="Q2321" s="141" t="e">
        <v>#N/A</v>
      </c>
      <c r="R2321" s="143" t="e">
        <v>#N/A</v>
      </c>
    </row>
    <row r="2322" spans="14:18" x14ac:dyDescent="0.2">
      <c r="N2322" s="139" t="str">
        <f t="shared" si="42"/>
        <v>1w</v>
      </c>
      <c r="O2322" s="146">
        <f>_xll.qlCalendarAdvance(Calendar,O2321,N2322,"f",FALSE)</f>
        <v>55450</v>
      </c>
      <c r="P2322" s="140">
        <f>_xll.qlInterestRateIndexValueDate(IborIndex,O2322)</f>
        <v>55452</v>
      </c>
      <c r="Q2322" s="141" t="e">
        <v>#N/A</v>
      </c>
      <c r="R2322" s="143" t="e">
        <v>#N/A</v>
      </c>
    </row>
    <row r="2323" spans="14:18" x14ac:dyDescent="0.2">
      <c r="N2323" s="139" t="str">
        <f t="shared" si="42"/>
        <v>1w</v>
      </c>
      <c r="O2323" s="146">
        <f>_xll.qlCalendarAdvance(Calendar,O2322,N2323,"f",FALSE)</f>
        <v>55457</v>
      </c>
      <c r="P2323" s="140">
        <f>_xll.qlInterestRateIndexValueDate(IborIndex,O2323)</f>
        <v>55459</v>
      </c>
      <c r="Q2323" s="141" t="e">
        <v>#N/A</v>
      </c>
      <c r="R2323" s="143" t="e">
        <v>#N/A</v>
      </c>
    </row>
    <row r="2324" spans="14:18" x14ac:dyDescent="0.2">
      <c r="N2324" s="139" t="str">
        <f t="shared" si="42"/>
        <v>1w</v>
      </c>
      <c r="O2324" s="146">
        <f>_xll.qlCalendarAdvance(Calendar,O2323,N2324,"f",FALSE)</f>
        <v>55464</v>
      </c>
      <c r="P2324" s="140">
        <f>_xll.qlInterestRateIndexValueDate(IborIndex,O2324)</f>
        <v>55466</v>
      </c>
      <c r="Q2324" s="141" t="e">
        <v>#N/A</v>
      </c>
      <c r="R2324" s="143" t="e">
        <v>#N/A</v>
      </c>
    </row>
    <row r="2325" spans="14:18" x14ac:dyDescent="0.2">
      <c r="N2325" s="139" t="str">
        <f t="shared" ref="N2325:N2388" si="43">N2324</f>
        <v>1w</v>
      </c>
      <c r="O2325" s="146">
        <f>_xll.qlCalendarAdvance(Calendar,O2324,N2325,"f",FALSE)</f>
        <v>55471</v>
      </c>
      <c r="P2325" s="140">
        <f>_xll.qlInterestRateIndexValueDate(IborIndex,O2325)</f>
        <v>55473</v>
      </c>
      <c r="Q2325" s="141" t="e">
        <v>#N/A</v>
      </c>
      <c r="R2325" s="143" t="e">
        <v>#N/A</v>
      </c>
    </row>
    <row r="2326" spans="14:18" x14ac:dyDescent="0.2">
      <c r="N2326" s="139" t="str">
        <f t="shared" si="43"/>
        <v>1w</v>
      </c>
      <c r="O2326" s="146">
        <f>_xll.qlCalendarAdvance(Calendar,O2325,N2326,"f",FALSE)</f>
        <v>55478</v>
      </c>
      <c r="P2326" s="140">
        <f>_xll.qlInterestRateIndexValueDate(IborIndex,O2326)</f>
        <v>55480</v>
      </c>
      <c r="Q2326" s="141" t="e">
        <v>#N/A</v>
      </c>
      <c r="R2326" s="143" t="e">
        <v>#N/A</v>
      </c>
    </row>
    <row r="2327" spans="14:18" x14ac:dyDescent="0.2">
      <c r="N2327" s="139" t="str">
        <f t="shared" si="43"/>
        <v>1w</v>
      </c>
      <c r="O2327" s="146">
        <f>_xll.qlCalendarAdvance(Calendar,O2326,N2327,"f",FALSE)</f>
        <v>55485</v>
      </c>
      <c r="P2327" s="140">
        <f>_xll.qlInterestRateIndexValueDate(IborIndex,O2327)</f>
        <v>55487</v>
      </c>
      <c r="Q2327" s="141" t="e">
        <v>#N/A</v>
      </c>
      <c r="R2327" s="143" t="e">
        <v>#N/A</v>
      </c>
    </row>
    <row r="2328" spans="14:18" x14ac:dyDescent="0.2">
      <c r="N2328" s="139" t="str">
        <f t="shared" si="43"/>
        <v>1w</v>
      </c>
      <c r="O2328" s="146">
        <f>_xll.qlCalendarAdvance(Calendar,O2327,N2328,"f",FALSE)</f>
        <v>55492</v>
      </c>
      <c r="P2328" s="140">
        <f>_xll.qlInterestRateIndexValueDate(IborIndex,O2328)</f>
        <v>55494</v>
      </c>
      <c r="Q2328" s="141" t="e">
        <v>#N/A</v>
      </c>
      <c r="R2328" s="143" t="e">
        <v>#N/A</v>
      </c>
    </row>
    <row r="2329" spans="14:18" x14ac:dyDescent="0.2">
      <c r="N2329" s="139" t="str">
        <f t="shared" si="43"/>
        <v>1w</v>
      </c>
      <c r="O2329" s="146">
        <f>_xll.qlCalendarAdvance(Calendar,O2328,N2329,"f",FALSE)</f>
        <v>55499</v>
      </c>
      <c r="P2329" s="140">
        <f>_xll.qlInterestRateIndexValueDate(IborIndex,O2329)</f>
        <v>55501</v>
      </c>
      <c r="Q2329" s="141" t="e">
        <v>#N/A</v>
      </c>
      <c r="R2329" s="143" t="e">
        <v>#N/A</v>
      </c>
    </row>
    <row r="2330" spans="14:18" x14ac:dyDescent="0.2">
      <c r="N2330" s="139" t="str">
        <f t="shared" si="43"/>
        <v>1w</v>
      </c>
      <c r="O2330" s="146">
        <f>_xll.qlCalendarAdvance(Calendar,O2329,N2330,"f",FALSE)</f>
        <v>55506</v>
      </c>
      <c r="P2330" s="140">
        <f>_xll.qlInterestRateIndexValueDate(IborIndex,O2330)</f>
        <v>55508</v>
      </c>
      <c r="Q2330" s="141" t="e">
        <v>#N/A</v>
      </c>
      <c r="R2330" s="143" t="e">
        <v>#N/A</v>
      </c>
    </row>
    <row r="2331" spans="14:18" x14ac:dyDescent="0.2">
      <c r="N2331" s="139" t="str">
        <f t="shared" si="43"/>
        <v>1w</v>
      </c>
      <c r="O2331" s="146">
        <f>_xll.qlCalendarAdvance(Calendar,O2330,N2331,"f",FALSE)</f>
        <v>55514</v>
      </c>
      <c r="P2331" s="140">
        <f>_xll.qlInterestRateIndexValueDate(IborIndex,O2331)</f>
        <v>55516</v>
      </c>
      <c r="Q2331" s="141" t="e">
        <v>#N/A</v>
      </c>
      <c r="R2331" s="143" t="e">
        <v>#N/A</v>
      </c>
    </row>
    <row r="2332" spans="14:18" x14ac:dyDescent="0.2">
      <c r="N2332" s="139" t="str">
        <f t="shared" si="43"/>
        <v>1w</v>
      </c>
      <c r="O2332" s="146">
        <f>_xll.qlCalendarAdvance(Calendar,O2331,N2332,"f",FALSE)</f>
        <v>55521</v>
      </c>
      <c r="P2332" s="140">
        <f>_xll.qlInterestRateIndexValueDate(IborIndex,O2332)</f>
        <v>55523</v>
      </c>
      <c r="Q2332" s="141" t="e">
        <v>#N/A</v>
      </c>
      <c r="R2332" s="143" t="e">
        <v>#N/A</v>
      </c>
    </row>
    <row r="2333" spans="14:18" x14ac:dyDescent="0.2">
      <c r="N2333" s="139" t="str">
        <f t="shared" si="43"/>
        <v>1w</v>
      </c>
      <c r="O2333" s="146">
        <f>_xll.qlCalendarAdvance(Calendar,O2332,N2333,"f",FALSE)</f>
        <v>55528</v>
      </c>
      <c r="P2333" s="140">
        <f>_xll.qlInterestRateIndexValueDate(IborIndex,O2333)</f>
        <v>55530</v>
      </c>
      <c r="Q2333" s="141" t="e">
        <v>#N/A</v>
      </c>
      <c r="R2333" s="143" t="e">
        <v>#N/A</v>
      </c>
    </row>
    <row r="2334" spans="14:18" x14ac:dyDescent="0.2">
      <c r="N2334" s="139" t="str">
        <f t="shared" si="43"/>
        <v>1w</v>
      </c>
      <c r="O2334" s="146">
        <f>_xll.qlCalendarAdvance(Calendar,O2333,N2334,"f",FALSE)</f>
        <v>55535</v>
      </c>
      <c r="P2334" s="140">
        <f>_xll.qlInterestRateIndexValueDate(IborIndex,O2334)</f>
        <v>55537</v>
      </c>
      <c r="Q2334" s="141" t="e">
        <v>#N/A</v>
      </c>
      <c r="R2334" s="143" t="e">
        <v>#N/A</v>
      </c>
    </row>
    <row r="2335" spans="14:18" x14ac:dyDescent="0.2">
      <c r="N2335" s="139" t="str">
        <f t="shared" si="43"/>
        <v>1w</v>
      </c>
      <c r="O2335" s="146">
        <f>_xll.qlCalendarAdvance(Calendar,O2334,N2335,"f",FALSE)</f>
        <v>55542</v>
      </c>
      <c r="P2335" s="140">
        <f>_xll.qlInterestRateIndexValueDate(IborIndex,O2335)</f>
        <v>55544</v>
      </c>
      <c r="Q2335" s="141" t="e">
        <v>#N/A</v>
      </c>
      <c r="R2335" s="143" t="e">
        <v>#N/A</v>
      </c>
    </row>
    <row r="2336" spans="14:18" x14ac:dyDescent="0.2">
      <c r="N2336" s="139" t="str">
        <f t="shared" si="43"/>
        <v>1w</v>
      </c>
      <c r="O2336" s="146">
        <f>_xll.qlCalendarAdvance(Calendar,O2335,N2336,"f",FALSE)</f>
        <v>55549</v>
      </c>
      <c r="P2336" s="140">
        <f>_xll.qlInterestRateIndexValueDate(IborIndex,O2336)</f>
        <v>55551</v>
      </c>
      <c r="Q2336" s="141" t="e">
        <v>#N/A</v>
      </c>
      <c r="R2336" s="143" t="e">
        <v>#N/A</v>
      </c>
    </row>
    <row r="2337" spans="14:18" x14ac:dyDescent="0.2">
      <c r="N2337" s="139" t="str">
        <f t="shared" si="43"/>
        <v>1w</v>
      </c>
      <c r="O2337" s="146">
        <f>_xll.qlCalendarAdvance(Calendar,O2336,N2337,"f",FALSE)</f>
        <v>55556</v>
      </c>
      <c r="P2337" s="140">
        <f>_xll.qlInterestRateIndexValueDate(IborIndex,O2337)</f>
        <v>55558</v>
      </c>
      <c r="Q2337" s="141" t="e">
        <v>#N/A</v>
      </c>
      <c r="R2337" s="143" t="e">
        <v>#N/A</v>
      </c>
    </row>
    <row r="2338" spans="14:18" x14ac:dyDescent="0.2">
      <c r="N2338" s="139" t="str">
        <f t="shared" si="43"/>
        <v>1w</v>
      </c>
      <c r="O2338" s="146">
        <f>_xll.qlCalendarAdvance(Calendar,O2337,N2338,"f",FALSE)</f>
        <v>55563</v>
      </c>
      <c r="P2338" s="140">
        <f>_xll.qlInterestRateIndexValueDate(IborIndex,O2338)</f>
        <v>55565</v>
      </c>
      <c r="Q2338" s="141" t="e">
        <v>#N/A</v>
      </c>
      <c r="R2338" s="143" t="e">
        <v>#N/A</v>
      </c>
    </row>
    <row r="2339" spans="14:18" x14ac:dyDescent="0.2">
      <c r="N2339" s="139" t="str">
        <f t="shared" si="43"/>
        <v>1w</v>
      </c>
      <c r="O2339" s="146">
        <f>_xll.qlCalendarAdvance(Calendar,O2338,N2339,"f",FALSE)</f>
        <v>55570</v>
      </c>
      <c r="P2339" s="140">
        <f>_xll.qlInterestRateIndexValueDate(IborIndex,O2339)</f>
        <v>55572</v>
      </c>
      <c r="Q2339" s="141" t="e">
        <v>#N/A</v>
      </c>
      <c r="R2339" s="143" t="e">
        <v>#N/A</v>
      </c>
    </row>
    <row r="2340" spans="14:18" x14ac:dyDescent="0.2">
      <c r="N2340" s="139" t="str">
        <f t="shared" si="43"/>
        <v>1w</v>
      </c>
      <c r="O2340" s="146">
        <f>_xll.qlCalendarAdvance(Calendar,O2339,N2340,"f",FALSE)</f>
        <v>55577</v>
      </c>
      <c r="P2340" s="140">
        <f>_xll.qlInterestRateIndexValueDate(IborIndex,O2340)</f>
        <v>55579</v>
      </c>
      <c r="Q2340" s="141" t="e">
        <v>#N/A</v>
      </c>
      <c r="R2340" s="143" t="e">
        <v>#N/A</v>
      </c>
    </row>
    <row r="2341" spans="14:18" x14ac:dyDescent="0.2">
      <c r="N2341" s="139" t="str">
        <f t="shared" si="43"/>
        <v>1w</v>
      </c>
      <c r="O2341" s="146">
        <f>_xll.qlCalendarAdvance(Calendar,O2340,N2341,"f",FALSE)</f>
        <v>55584</v>
      </c>
      <c r="P2341" s="140">
        <f>_xll.qlInterestRateIndexValueDate(IborIndex,O2341)</f>
        <v>55586</v>
      </c>
      <c r="Q2341" s="141" t="e">
        <v>#N/A</v>
      </c>
      <c r="R2341" s="143" t="e">
        <v>#N/A</v>
      </c>
    </row>
    <row r="2342" spans="14:18" x14ac:dyDescent="0.2">
      <c r="N2342" s="139" t="str">
        <f t="shared" si="43"/>
        <v>1w</v>
      </c>
      <c r="O2342" s="146">
        <f>_xll.qlCalendarAdvance(Calendar,O2341,N2342,"f",FALSE)</f>
        <v>55591</v>
      </c>
      <c r="P2342" s="140">
        <f>_xll.qlInterestRateIndexValueDate(IborIndex,O2342)</f>
        <v>55593</v>
      </c>
      <c r="Q2342" s="141" t="e">
        <v>#N/A</v>
      </c>
      <c r="R2342" s="143" t="e">
        <v>#N/A</v>
      </c>
    </row>
    <row r="2343" spans="14:18" x14ac:dyDescent="0.2">
      <c r="N2343" s="139" t="str">
        <f t="shared" si="43"/>
        <v>1w</v>
      </c>
      <c r="O2343" s="146">
        <f>_xll.qlCalendarAdvance(Calendar,O2342,N2343,"f",FALSE)</f>
        <v>55598</v>
      </c>
      <c r="P2343" s="140">
        <f>_xll.qlInterestRateIndexValueDate(IborIndex,O2343)</f>
        <v>55600</v>
      </c>
      <c r="Q2343" s="141" t="e">
        <v>#N/A</v>
      </c>
      <c r="R2343" s="143" t="e">
        <v>#N/A</v>
      </c>
    </row>
    <row r="2344" spans="14:18" x14ac:dyDescent="0.2">
      <c r="N2344" s="139" t="str">
        <f t="shared" si="43"/>
        <v>1w</v>
      </c>
      <c r="O2344" s="146">
        <f>_xll.qlCalendarAdvance(Calendar,O2343,N2344,"f",FALSE)</f>
        <v>55605</v>
      </c>
      <c r="P2344" s="140">
        <f>_xll.qlInterestRateIndexValueDate(IborIndex,O2344)</f>
        <v>55607</v>
      </c>
      <c r="Q2344" s="141" t="e">
        <v>#N/A</v>
      </c>
      <c r="R2344" s="143" t="e">
        <v>#N/A</v>
      </c>
    </row>
    <row r="2345" spans="14:18" x14ac:dyDescent="0.2">
      <c r="N2345" s="139" t="str">
        <f t="shared" si="43"/>
        <v>1w</v>
      </c>
      <c r="O2345" s="146">
        <f>_xll.qlCalendarAdvance(Calendar,O2344,N2345,"f",FALSE)</f>
        <v>55612</v>
      </c>
      <c r="P2345" s="140">
        <f>_xll.qlInterestRateIndexValueDate(IborIndex,O2345)</f>
        <v>55614</v>
      </c>
      <c r="Q2345" s="141" t="e">
        <v>#N/A</v>
      </c>
      <c r="R2345" s="143" t="e">
        <v>#N/A</v>
      </c>
    </row>
    <row r="2346" spans="14:18" x14ac:dyDescent="0.2">
      <c r="N2346" s="139" t="str">
        <f t="shared" si="43"/>
        <v>1w</v>
      </c>
      <c r="O2346" s="146">
        <f>_xll.qlCalendarAdvance(Calendar,O2345,N2346,"f",FALSE)</f>
        <v>55619</v>
      </c>
      <c r="P2346" s="140">
        <f>_xll.qlInterestRateIndexValueDate(IborIndex,O2346)</f>
        <v>55621</v>
      </c>
      <c r="Q2346" s="141" t="e">
        <v>#N/A</v>
      </c>
      <c r="R2346" s="143" t="e">
        <v>#N/A</v>
      </c>
    </row>
    <row r="2347" spans="14:18" x14ac:dyDescent="0.2">
      <c r="N2347" s="139" t="str">
        <f t="shared" si="43"/>
        <v>1w</v>
      </c>
      <c r="O2347" s="146">
        <f>_xll.qlCalendarAdvance(Calendar,O2346,N2347,"f",FALSE)</f>
        <v>55626</v>
      </c>
      <c r="P2347" s="140">
        <f>_xll.qlInterestRateIndexValueDate(IborIndex,O2347)</f>
        <v>55632</v>
      </c>
      <c r="Q2347" s="141" t="e">
        <v>#N/A</v>
      </c>
      <c r="R2347" s="143" t="e">
        <v>#N/A</v>
      </c>
    </row>
    <row r="2348" spans="14:18" x14ac:dyDescent="0.2">
      <c r="N2348" s="139" t="str">
        <f t="shared" si="43"/>
        <v>1w</v>
      </c>
      <c r="O2348" s="146">
        <f>_xll.qlCalendarAdvance(Calendar,O2347,N2348,"f",FALSE)</f>
        <v>55633</v>
      </c>
      <c r="P2348" s="140">
        <f>_xll.qlInterestRateIndexValueDate(IborIndex,O2348)</f>
        <v>55635</v>
      </c>
      <c r="Q2348" s="141" t="e">
        <v>#N/A</v>
      </c>
      <c r="R2348" s="143" t="e">
        <v>#N/A</v>
      </c>
    </row>
    <row r="2349" spans="14:18" x14ac:dyDescent="0.2">
      <c r="N2349" s="139" t="str">
        <f t="shared" si="43"/>
        <v>1w</v>
      </c>
      <c r="O2349" s="146">
        <f>_xll.qlCalendarAdvance(Calendar,O2348,N2349,"f",FALSE)</f>
        <v>55641</v>
      </c>
      <c r="P2349" s="140">
        <f>_xll.qlInterestRateIndexValueDate(IborIndex,O2349)</f>
        <v>55645</v>
      </c>
      <c r="Q2349" s="141" t="e">
        <v>#N/A</v>
      </c>
      <c r="R2349" s="143" t="e">
        <v>#N/A</v>
      </c>
    </row>
    <row r="2350" spans="14:18" x14ac:dyDescent="0.2">
      <c r="N2350" s="139" t="str">
        <f t="shared" si="43"/>
        <v>1w</v>
      </c>
      <c r="O2350" s="146">
        <f>_xll.qlCalendarAdvance(Calendar,O2349,N2350,"f",FALSE)</f>
        <v>55648</v>
      </c>
      <c r="P2350" s="140">
        <f>_xll.qlInterestRateIndexValueDate(IborIndex,O2350)</f>
        <v>55652</v>
      </c>
      <c r="Q2350" s="141" t="e">
        <v>#N/A</v>
      </c>
      <c r="R2350" s="143" t="e">
        <v>#N/A</v>
      </c>
    </row>
    <row r="2351" spans="14:18" x14ac:dyDescent="0.2">
      <c r="N2351" s="139" t="str">
        <f t="shared" si="43"/>
        <v>1w</v>
      </c>
      <c r="O2351" s="146">
        <f>_xll.qlCalendarAdvance(Calendar,O2350,N2351,"f",FALSE)</f>
        <v>55655</v>
      </c>
      <c r="P2351" s="140">
        <f>_xll.qlInterestRateIndexValueDate(IborIndex,O2351)</f>
        <v>55659</v>
      </c>
      <c r="Q2351" s="141" t="e">
        <v>#N/A</v>
      </c>
      <c r="R2351" s="143" t="e">
        <v>#N/A</v>
      </c>
    </row>
    <row r="2352" spans="14:18" x14ac:dyDescent="0.2">
      <c r="N2352" s="139" t="str">
        <f t="shared" si="43"/>
        <v>1w</v>
      </c>
      <c r="O2352" s="146">
        <f>_xll.qlCalendarAdvance(Calendar,O2351,N2352,"f",FALSE)</f>
        <v>55662</v>
      </c>
      <c r="P2352" s="140">
        <f>_xll.qlInterestRateIndexValueDate(IborIndex,O2352)</f>
        <v>55666</v>
      </c>
      <c r="Q2352" s="141" t="e">
        <v>#N/A</v>
      </c>
      <c r="R2352" s="143" t="e">
        <v>#N/A</v>
      </c>
    </row>
    <row r="2353" spans="14:18" x14ac:dyDescent="0.2">
      <c r="N2353" s="139" t="str">
        <f t="shared" si="43"/>
        <v>1w</v>
      </c>
      <c r="O2353" s="146">
        <f>_xll.qlCalendarAdvance(Calendar,O2352,N2353,"f",FALSE)</f>
        <v>55670</v>
      </c>
      <c r="P2353" s="140">
        <f>_xll.qlInterestRateIndexValueDate(IborIndex,O2353)</f>
        <v>55674</v>
      </c>
      <c r="Q2353" s="141" t="e">
        <v>#N/A</v>
      </c>
      <c r="R2353" s="143" t="e">
        <v>#N/A</v>
      </c>
    </row>
    <row r="2354" spans="14:18" x14ac:dyDescent="0.2">
      <c r="N2354" s="139" t="str">
        <f t="shared" si="43"/>
        <v>1w</v>
      </c>
      <c r="O2354" s="146">
        <f>_xll.qlCalendarAdvance(Calendar,O2353,N2354,"f",FALSE)</f>
        <v>55677</v>
      </c>
      <c r="P2354" s="140">
        <f>_xll.qlInterestRateIndexValueDate(IborIndex,O2354)</f>
        <v>55682</v>
      </c>
      <c r="Q2354" s="141" t="e">
        <v>#N/A</v>
      </c>
      <c r="R2354" s="143" t="e">
        <v>#N/A</v>
      </c>
    </row>
    <row r="2355" spans="14:18" x14ac:dyDescent="0.2">
      <c r="N2355" s="139" t="str">
        <f t="shared" si="43"/>
        <v>1w</v>
      </c>
      <c r="O2355" s="146">
        <f>_xll.qlCalendarAdvance(Calendar,O2354,N2355,"f",FALSE)</f>
        <v>55684</v>
      </c>
      <c r="P2355" s="140">
        <f>_xll.qlInterestRateIndexValueDate(IborIndex,O2355)</f>
        <v>55688</v>
      </c>
      <c r="Q2355" s="141" t="e">
        <v>#N/A</v>
      </c>
      <c r="R2355" s="143" t="e">
        <v>#N/A</v>
      </c>
    </row>
    <row r="2356" spans="14:18" x14ac:dyDescent="0.2">
      <c r="N2356" s="139" t="str">
        <f t="shared" si="43"/>
        <v>1w</v>
      </c>
      <c r="O2356" s="146">
        <f>_xll.qlCalendarAdvance(Calendar,O2355,N2356,"f",FALSE)</f>
        <v>55694</v>
      </c>
      <c r="P2356" s="140">
        <f>_xll.qlInterestRateIndexValueDate(IborIndex,O2356)</f>
        <v>55696</v>
      </c>
      <c r="Q2356" s="141" t="e">
        <v>#N/A</v>
      </c>
      <c r="R2356" s="143" t="e">
        <v>#N/A</v>
      </c>
    </row>
    <row r="2357" spans="14:18" x14ac:dyDescent="0.2">
      <c r="N2357" s="139" t="str">
        <f t="shared" si="43"/>
        <v>1w</v>
      </c>
      <c r="O2357" s="146">
        <f>_xll.qlCalendarAdvance(Calendar,O2356,N2357,"f",FALSE)</f>
        <v>55701</v>
      </c>
      <c r="P2357" s="140">
        <f>_xll.qlInterestRateIndexValueDate(IborIndex,O2357)</f>
        <v>55703</v>
      </c>
      <c r="Q2357" s="141" t="e">
        <v>#N/A</v>
      </c>
      <c r="R2357" s="143" t="e">
        <v>#N/A</v>
      </c>
    </row>
    <row r="2358" spans="14:18" x14ac:dyDescent="0.2">
      <c r="N2358" s="139" t="str">
        <f t="shared" si="43"/>
        <v>1w</v>
      </c>
      <c r="O2358" s="146">
        <f>_xll.qlCalendarAdvance(Calendar,O2357,N2358,"f",FALSE)</f>
        <v>55708</v>
      </c>
      <c r="P2358" s="140">
        <f>_xll.qlInterestRateIndexValueDate(IborIndex,O2358)</f>
        <v>55710</v>
      </c>
      <c r="Q2358" s="141" t="e">
        <v>#N/A</v>
      </c>
      <c r="R2358" s="143" t="e">
        <v>#N/A</v>
      </c>
    </row>
    <row r="2359" spans="14:18" x14ac:dyDescent="0.2">
      <c r="N2359" s="139" t="str">
        <f t="shared" si="43"/>
        <v>1w</v>
      </c>
      <c r="O2359" s="146">
        <f>_xll.qlCalendarAdvance(Calendar,O2358,N2359,"f",FALSE)</f>
        <v>55715</v>
      </c>
      <c r="P2359" s="140">
        <f>_xll.qlInterestRateIndexValueDate(IborIndex,O2359)</f>
        <v>55717</v>
      </c>
      <c r="Q2359" s="141" t="e">
        <v>#N/A</v>
      </c>
      <c r="R2359" s="143" t="e">
        <v>#N/A</v>
      </c>
    </row>
    <row r="2360" spans="14:18" x14ac:dyDescent="0.2">
      <c r="N2360" s="139" t="str">
        <f t="shared" si="43"/>
        <v>1w</v>
      </c>
      <c r="O2360" s="146">
        <f>_xll.qlCalendarAdvance(Calendar,O2359,N2360,"f",FALSE)</f>
        <v>55722</v>
      </c>
      <c r="P2360" s="140">
        <f>_xll.qlInterestRateIndexValueDate(IborIndex,O2360)</f>
        <v>55724</v>
      </c>
      <c r="Q2360" s="141" t="e">
        <v>#N/A</v>
      </c>
      <c r="R2360" s="143" t="e">
        <v>#N/A</v>
      </c>
    </row>
    <row r="2361" spans="14:18" x14ac:dyDescent="0.2">
      <c r="N2361" s="139" t="str">
        <f t="shared" si="43"/>
        <v>1w</v>
      </c>
      <c r="O2361" s="146">
        <f>_xll.qlCalendarAdvance(Calendar,O2360,N2361,"f",FALSE)</f>
        <v>55729</v>
      </c>
      <c r="P2361" s="140">
        <f>_xll.qlInterestRateIndexValueDate(IborIndex,O2361)</f>
        <v>55731</v>
      </c>
      <c r="Q2361" s="141" t="e">
        <v>#N/A</v>
      </c>
      <c r="R2361" s="143" t="e">
        <v>#N/A</v>
      </c>
    </row>
    <row r="2362" spans="14:18" x14ac:dyDescent="0.2">
      <c r="N2362" s="139" t="str">
        <f t="shared" si="43"/>
        <v>1w</v>
      </c>
      <c r="O2362" s="146">
        <f>_xll.qlCalendarAdvance(Calendar,O2361,N2362,"f",FALSE)</f>
        <v>55736</v>
      </c>
      <c r="P2362" s="140">
        <f>_xll.qlInterestRateIndexValueDate(IborIndex,O2362)</f>
        <v>55738</v>
      </c>
      <c r="Q2362" s="141" t="e">
        <v>#N/A</v>
      </c>
      <c r="R2362" s="143" t="e">
        <v>#N/A</v>
      </c>
    </row>
    <row r="2363" spans="14:18" x14ac:dyDescent="0.2">
      <c r="N2363" s="139" t="str">
        <f t="shared" si="43"/>
        <v>1w</v>
      </c>
      <c r="O2363" s="146">
        <f>_xll.qlCalendarAdvance(Calendar,O2362,N2363,"f",FALSE)</f>
        <v>55743</v>
      </c>
      <c r="P2363" s="140">
        <f>_xll.qlInterestRateIndexValueDate(IborIndex,O2363)</f>
        <v>55745</v>
      </c>
      <c r="Q2363" s="141" t="e">
        <v>#N/A</v>
      </c>
      <c r="R2363" s="143" t="e">
        <v>#N/A</v>
      </c>
    </row>
    <row r="2364" spans="14:18" x14ac:dyDescent="0.2">
      <c r="N2364" s="139" t="str">
        <f t="shared" si="43"/>
        <v>1w</v>
      </c>
      <c r="O2364" s="146">
        <f>_xll.qlCalendarAdvance(Calendar,O2363,N2364,"f",FALSE)</f>
        <v>55750</v>
      </c>
      <c r="P2364" s="140">
        <f>_xll.qlInterestRateIndexValueDate(IborIndex,O2364)</f>
        <v>55752</v>
      </c>
      <c r="Q2364" s="141" t="e">
        <v>#N/A</v>
      </c>
      <c r="R2364" s="143" t="e">
        <v>#N/A</v>
      </c>
    </row>
    <row r="2365" spans="14:18" x14ac:dyDescent="0.2">
      <c r="N2365" s="139" t="str">
        <f t="shared" si="43"/>
        <v>1w</v>
      </c>
      <c r="O2365" s="146">
        <f>_xll.qlCalendarAdvance(Calendar,O2364,N2365,"f",FALSE)</f>
        <v>55757</v>
      </c>
      <c r="P2365" s="140">
        <f>_xll.qlInterestRateIndexValueDate(IborIndex,O2365)</f>
        <v>55759</v>
      </c>
      <c r="Q2365" s="141" t="e">
        <v>#N/A</v>
      </c>
      <c r="R2365" s="143" t="e">
        <v>#N/A</v>
      </c>
    </row>
    <row r="2366" spans="14:18" x14ac:dyDescent="0.2">
      <c r="N2366" s="139" t="str">
        <f t="shared" si="43"/>
        <v>1w</v>
      </c>
      <c r="O2366" s="146">
        <f>_xll.qlCalendarAdvance(Calendar,O2365,N2366,"f",FALSE)</f>
        <v>55764</v>
      </c>
      <c r="P2366" s="140">
        <f>_xll.qlInterestRateIndexValueDate(IborIndex,O2366)</f>
        <v>55766</v>
      </c>
      <c r="Q2366" s="141" t="e">
        <v>#N/A</v>
      </c>
      <c r="R2366" s="143" t="e">
        <v>#N/A</v>
      </c>
    </row>
    <row r="2367" spans="14:18" x14ac:dyDescent="0.2">
      <c r="N2367" s="139" t="str">
        <f t="shared" si="43"/>
        <v>1w</v>
      </c>
      <c r="O2367" s="146">
        <f>_xll.qlCalendarAdvance(Calendar,O2366,N2367,"f",FALSE)</f>
        <v>55771</v>
      </c>
      <c r="P2367" s="140">
        <f>_xll.qlInterestRateIndexValueDate(IborIndex,O2367)</f>
        <v>55773</v>
      </c>
      <c r="Q2367" s="141" t="e">
        <v>#N/A</v>
      </c>
      <c r="R2367" s="143" t="e">
        <v>#N/A</v>
      </c>
    </row>
    <row r="2368" spans="14:18" x14ac:dyDescent="0.2">
      <c r="N2368" s="139" t="str">
        <f t="shared" si="43"/>
        <v>1w</v>
      </c>
      <c r="O2368" s="146">
        <f>_xll.qlCalendarAdvance(Calendar,O2367,N2368,"f",FALSE)</f>
        <v>55778</v>
      </c>
      <c r="P2368" s="140">
        <f>_xll.qlInterestRateIndexValueDate(IborIndex,O2368)</f>
        <v>55780</v>
      </c>
      <c r="Q2368" s="141" t="e">
        <v>#N/A</v>
      </c>
      <c r="R2368" s="143" t="e">
        <v>#N/A</v>
      </c>
    </row>
    <row r="2369" spans="14:18" x14ac:dyDescent="0.2">
      <c r="N2369" s="139" t="str">
        <f t="shared" si="43"/>
        <v>1w</v>
      </c>
      <c r="O2369" s="146">
        <f>_xll.qlCalendarAdvance(Calendar,O2368,N2369,"f",FALSE)</f>
        <v>55785</v>
      </c>
      <c r="P2369" s="140">
        <f>_xll.qlInterestRateIndexValueDate(IborIndex,O2369)</f>
        <v>55787</v>
      </c>
      <c r="Q2369" s="141" t="e">
        <v>#N/A</v>
      </c>
      <c r="R2369" s="143" t="e">
        <v>#N/A</v>
      </c>
    </row>
    <row r="2370" spans="14:18" x14ac:dyDescent="0.2">
      <c r="N2370" s="139" t="str">
        <f t="shared" si="43"/>
        <v>1w</v>
      </c>
      <c r="O2370" s="146">
        <f>_xll.qlCalendarAdvance(Calendar,O2369,N2370,"f",FALSE)</f>
        <v>55792</v>
      </c>
      <c r="P2370" s="140">
        <f>_xll.qlInterestRateIndexValueDate(IborIndex,O2370)</f>
        <v>55794</v>
      </c>
      <c r="Q2370" s="141" t="e">
        <v>#N/A</v>
      </c>
      <c r="R2370" s="143" t="e">
        <v>#N/A</v>
      </c>
    </row>
    <row r="2371" spans="14:18" x14ac:dyDescent="0.2">
      <c r="N2371" s="139" t="str">
        <f t="shared" si="43"/>
        <v>1w</v>
      </c>
      <c r="O2371" s="146">
        <f>_xll.qlCalendarAdvance(Calendar,O2370,N2371,"f",FALSE)</f>
        <v>55799</v>
      </c>
      <c r="P2371" s="140">
        <f>_xll.qlInterestRateIndexValueDate(IborIndex,O2371)</f>
        <v>55801</v>
      </c>
      <c r="Q2371" s="141" t="e">
        <v>#N/A</v>
      </c>
      <c r="R2371" s="143" t="e">
        <v>#N/A</v>
      </c>
    </row>
    <row r="2372" spans="14:18" x14ac:dyDescent="0.2">
      <c r="N2372" s="139" t="str">
        <f t="shared" si="43"/>
        <v>1w</v>
      </c>
      <c r="O2372" s="146">
        <f>_xll.qlCalendarAdvance(Calendar,O2371,N2372,"f",FALSE)</f>
        <v>55806</v>
      </c>
      <c r="P2372" s="140">
        <f>_xll.qlInterestRateIndexValueDate(IborIndex,O2372)</f>
        <v>55808</v>
      </c>
      <c r="Q2372" s="141" t="e">
        <v>#N/A</v>
      </c>
      <c r="R2372" s="143" t="e">
        <v>#N/A</v>
      </c>
    </row>
    <row r="2373" spans="14:18" x14ac:dyDescent="0.2">
      <c r="N2373" s="139" t="str">
        <f t="shared" si="43"/>
        <v>1w</v>
      </c>
      <c r="O2373" s="146">
        <f>_xll.qlCalendarAdvance(Calendar,O2372,N2373,"f",FALSE)</f>
        <v>55813</v>
      </c>
      <c r="P2373" s="140">
        <f>_xll.qlInterestRateIndexValueDate(IborIndex,O2373)</f>
        <v>55815</v>
      </c>
      <c r="Q2373" s="141" t="e">
        <v>#N/A</v>
      </c>
      <c r="R2373" s="143" t="e">
        <v>#N/A</v>
      </c>
    </row>
    <row r="2374" spans="14:18" x14ac:dyDescent="0.2">
      <c r="N2374" s="139" t="str">
        <f t="shared" si="43"/>
        <v>1w</v>
      </c>
      <c r="O2374" s="146">
        <f>_xll.qlCalendarAdvance(Calendar,O2373,N2374,"f",FALSE)</f>
        <v>55820</v>
      </c>
      <c r="P2374" s="140">
        <f>_xll.qlInterestRateIndexValueDate(IborIndex,O2374)</f>
        <v>55822</v>
      </c>
      <c r="Q2374" s="141" t="e">
        <v>#N/A</v>
      </c>
      <c r="R2374" s="143" t="e">
        <v>#N/A</v>
      </c>
    </row>
    <row r="2375" spans="14:18" x14ac:dyDescent="0.2">
      <c r="N2375" s="139" t="str">
        <f t="shared" si="43"/>
        <v>1w</v>
      </c>
      <c r="O2375" s="146">
        <f>_xll.qlCalendarAdvance(Calendar,O2374,N2375,"f",FALSE)</f>
        <v>55827</v>
      </c>
      <c r="P2375" s="140">
        <f>_xll.qlInterestRateIndexValueDate(IborIndex,O2375)</f>
        <v>55829</v>
      </c>
      <c r="Q2375" s="141" t="e">
        <v>#N/A</v>
      </c>
      <c r="R2375" s="143" t="e">
        <v>#N/A</v>
      </c>
    </row>
    <row r="2376" spans="14:18" x14ac:dyDescent="0.2">
      <c r="N2376" s="139" t="str">
        <f t="shared" si="43"/>
        <v>1w</v>
      </c>
      <c r="O2376" s="146">
        <f>_xll.qlCalendarAdvance(Calendar,O2375,N2376,"f",FALSE)</f>
        <v>55834</v>
      </c>
      <c r="P2376" s="140">
        <f>_xll.qlInterestRateIndexValueDate(IborIndex,O2376)</f>
        <v>55836</v>
      </c>
      <c r="Q2376" s="141" t="e">
        <v>#N/A</v>
      </c>
      <c r="R2376" s="143" t="e">
        <v>#N/A</v>
      </c>
    </row>
    <row r="2377" spans="14:18" x14ac:dyDescent="0.2">
      <c r="N2377" s="139" t="str">
        <f t="shared" si="43"/>
        <v>1w</v>
      </c>
      <c r="O2377" s="146">
        <f>_xll.qlCalendarAdvance(Calendar,O2376,N2377,"f",FALSE)</f>
        <v>55841</v>
      </c>
      <c r="P2377" s="140">
        <f>_xll.qlInterestRateIndexValueDate(IborIndex,O2377)</f>
        <v>55843</v>
      </c>
      <c r="Q2377" s="141" t="e">
        <v>#N/A</v>
      </c>
      <c r="R2377" s="143" t="e">
        <v>#N/A</v>
      </c>
    </row>
    <row r="2378" spans="14:18" x14ac:dyDescent="0.2">
      <c r="N2378" s="139" t="str">
        <f t="shared" si="43"/>
        <v>1w</v>
      </c>
      <c r="O2378" s="146">
        <f>_xll.qlCalendarAdvance(Calendar,O2377,N2378,"f",FALSE)</f>
        <v>55848</v>
      </c>
      <c r="P2378" s="140">
        <f>_xll.qlInterestRateIndexValueDate(IborIndex,O2378)</f>
        <v>55850</v>
      </c>
      <c r="Q2378" s="141" t="e">
        <v>#N/A</v>
      </c>
      <c r="R2378" s="143" t="e">
        <v>#N/A</v>
      </c>
    </row>
    <row r="2379" spans="14:18" x14ac:dyDescent="0.2">
      <c r="N2379" s="139" t="str">
        <f t="shared" si="43"/>
        <v>1w</v>
      </c>
      <c r="O2379" s="146">
        <f>_xll.qlCalendarAdvance(Calendar,O2378,N2379,"f",FALSE)</f>
        <v>55855</v>
      </c>
      <c r="P2379" s="140">
        <f>_xll.qlInterestRateIndexValueDate(IborIndex,O2379)</f>
        <v>55857</v>
      </c>
      <c r="Q2379" s="141" t="e">
        <v>#N/A</v>
      </c>
      <c r="R2379" s="143" t="e">
        <v>#N/A</v>
      </c>
    </row>
    <row r="2380" spans="14:18" x14ac:dyDescent="0.2">
      <c r="N2380" s="139" t="str">
        <f t="shared" si="43"/>
        <v>1w</v>
      </c>
      <c r="O2380" s="146">
        <f>_xll.qlCalendarAdvance(Calendar,O2379,N2380,"f",FALSE)</f>
        <v>55862</v>
      </c>
      <c r="P2380" s="140">
        <f>_xll.qlInterestRateIndexValueDate(IborIndex,O2380)</f>
        <v>55864</v>
      </c>
      <c r="Q2380" s="141" t="e">
        <v>#N/A</v>
      </c>
      <c r="R2380" s="143" t="e">
        <v>#N/A</v>
      </c>
    </row>
    <row r="2381" spans="14:18" x14ac:dyDescent="0.2">
      <c r="N2381" s="139" t="str">
        <f t="shared" si="43"/>
        <v>1w</v>
      </c>
      <c r="O2381" s="146">
        <f>_xll.qlCalendarAdvance(Calendar,O2380,N2381,"f",FALSE)</f>
        <v>55869</v>
      </c>
      <c r="P2381" s="140">
        <f>_xll.qlInterestRateIndexValueDate(IborIndex,O2381)</f>
        <v>55871</v>
      </c>
      <c r="Q2381" s="141" t="e">
        <v>#N/A</v>
      </c>
      <c r="R2381" s="143" t="e">
        <v>#N/A</v>
      </c>
    </row>
    <row r="2382" spans="14:18" x14ac:dyDescent="0.2">
      <c r="N2382" s="139" t="str">
        <f t="shared" si="43"/>
        <v>1w</v>
      </c>
      <c r="O2382" s="146">
        <f>_xll.qlCalendarAdvance(Calendar,O2381,N2382,"f",FALSE)</f>
        <v>55876</v>
      </c>
      <c r="P2382" s="140">
        <f>_xll.qlInterestRateIndexValueDate(IborIndex,O2382)</f>
        <v>55883</v>
      </c>
      <c r="Q2382" s="141" t="e">
        <v>#N/A</v>
      </c>
      <c r="R2382" s="143" t="e">
        <v>#N/A</v>
      </c>
    </row>
    <row r="2383" spans="14:18" x14ac:dyDescent="0.2">
      <c r="N2383" s="139" t="str">
        <f t="shared" si="43"/>
        <v>1w</v>
      </c>
      <c r="O2383" s="146">
        <f>_xll.qlCalendarAdvance(Calendar,O2382,N2383,"f",FALSE)</f>
        <v>55883</v>
      </c>
      <c r="P2383" s="140">
        <f>_xll.qlInterestRateIndexValueDate(IborIndex,O2383)</f>
        <v>55887</v>
      </c>
      <c r="Q2383" s="141" t="e">
        <v>#N/A</v>
      </c>
      <c r="R2383" s="143" t="e">
        <v>#N/A</v>
      </c>
    </row>
    <row r="2384" spans="14:18" x14ac:dyDescent="0.2">
      <c r="N2384" s="139" t="str">
        <f t="shared" si="43"/>
        <v>1w</v>
      </c>
      <c r="O2384" s="146">
        <f>_xll.qlCalendarAdvance(Calendar,O2383,N2384,"f",FALSE)</f>
        <v>55891</v>
      </c>
      <c r="P2384" s="140">
        <f>_xll.qlInterestRateIndexValueDate(IborIndex,O2384)</f>
        <v>55893</v>
      </c>
      <c r="Q2384" s="141" t="e">
        <v>#N/A</v>
      </c>
      <c r="R2384" s="143" t="e">
        <v>#N/A</v>
      </c>
    </row>
    <row r="2385" spans="14:18" x14ac:dyDescent="0.2">
      <c r="N2385" s="139" t="str">
        <f t="shared" si="43"/>
        <v>1w</v>
      </c>
      <c r="O2385" s="146">
        <f>_xll.qlCalendarAdvance(Calendar,O2384,N2385,"f",FALSE)</f>
        <v>55898</v>
      </c>
      <c r="P2385" s="140">
        <f>_xll.qlInterestRateIndexValueDate(IborIndex,O2385)</f>
        <v>55900</v>
      </c>
      <c r="Q2385" s="141" t="e">
        <v>#N/A</v>
      </c>
      <c r="R2385" s="143" t="e">
        <v>#N/A</v>
      </c>
    </row>
    <row r="2386" spans="14:18" x14ac:dyDescent="0.2">
      <c r="N2386" s="139" t="str">
        <f t="shared" si="43"/>
        <v>1w</v>
      </c>
      <c r="O2386" s="146">
        <f>_xll.qlCalendarAdvance(Calendar,O2385,N2386,"f",FALSE)</f>
        <v>55905</v>
      </c>
      <c r="P2386" s="140">
        <f>_xll.qlInterestRateIndexValueDate(IborIndex,O2386)</f>
        <v>55907</v>
      </c>
      <c r="Q2386" s="141" t="e">
        <v>#N/A</v>
      </c>
      <c r="R2386" s="143" t="e">
        <v>#N/A</v>
      </c>
    </row>
    <row r="2387" spans="14:18" x14ac:dyDescent="0.2">
      <c r="N2387" s="139" t="str">
        <f t="shared" si="43"/>
        <v>1w</v>
      </c>
      <c r="O2387" s="146">
        <f>_xll.qlCalendarAdvance(Calendar,O2386,N2387,"f",FALSE)</f>
        <v>55912</v>
      </c>
      <c r="P2387" s="140">
        <f>_xll.qlInterestRateIndexValueDate(IborIndex,O2387)</f>
        <v>55914</v>
      </c>
      <c r="Q2387" s="141" t="e">
        <v>#N/A</v>
      </c>
      <c r="R2387" s="143" t="e">
        <v>#N/A</v>
      </c>
    </row>
    <row r="2388" spans="14:18" x14ac:dyDescent="0.2">
      <c r="N2388" s="139" t="str">
        <f t="shared" si="43"/>
        <v>1w</v>
      </c>
      <c r="O2388" s="146">
        <f>_xll.qlCalendarAdvance(Calendar,O2387,N2388,"f",FALSE)</f>
        <v>55919</v>
      </c>
      <c r="P2388" s="140">
        <f>_xll.qlInterestRateIndexValueDate(IborIndex,O2388)</f>
        <v>55921</v>
      </c>
      <c r="Q2388" s="141" t="e">
        <v>#N/A</v>
      </c>
      <c r="R2388" s="143" t="e">
        <v>#N/A</v>
      </c>
    </row>
    <row r="2389" spans="14:18" x14ac:dyDescent="0.2">
      <c r="N2389" s="139" t="str">
        <f t="shared" ref="N2389:N2452" si="44">N2388</f>
        <v>1w</v>
      </c>
      <c r="O2389" s="146">
        <f>_xll.qlCalendarAdvance(Calendar,O2388,N2389,"f",FALSE)</f>
        <v>55926</v>
      </c>
      <c r="P2389" s="140">
        <f>_xll.qlInterestRateIndexValueDate(IborIndex,O2389)</f>
        <v>55928</v>
      </c>
      <c r="Q2389" s="141" t="e">
        <v>#N/A</v>
      </c>
      <c r="R2389" s="143" t="e">
        <v>#N/A</v>
      </c>
    </row>
    <row r="2390" spans="14:18" x14ac:dyDescent="0.2">
      <c r="N2390" s="139" t="str">
        <f t="shared" si="44"/>
        <v>1w</v>
      </c>
      <c r="O2390" s="146">
        <f>_xll.qlCalendarAdvance(Calendar,O2389,N2390,"f",FALSE)</f>
        <v>55933</v>
      </c>
      <c r="P2390" s="140">
        <f>_xll.qlInterestRateIndexValueDate(IborIndex,O2390)</f>
        <v>55935</v>
      </c>
      <c r="Q2390" s="141" t="e">
        <v>#N/A</v>
      </c>
      <c r="R2390" s="143" t="e">
        <v>#N/A</v>
      </c>
    </row>
    <row r="2391" spans="14:18" x14ac:dyDescent="0.2">
      <c r="N2391" s="139" t="str">
        <f t="shared" si="44"/>
        <v>1w</v>
      </c>
      <c r="O2391" s="146">
        <f>_xll.qlCalendarAdvance(Calendar,O2390,N2391,"f",FALSE)</f>
        <v>55940</v>
      </c>
      <c r="P2391" s="140">
        <f>_xll.qlInterestRateIndexValueDate(IborIndex,O2391)</f>
        <v>55942</v>
      </c>
      <c r="Q2391" s="141" t="e">
        <v>#N/A</v>
      </c>
      <c r="R2391" s="143" t="e">
        <v>#N/A</v>
      </c>
    </row>
    <row r="2392" spans="14:18" x14ac:dyDescent="0.2">
      <c r="N2392" s="139" t="str">
        <f t="shared" si="44"/>
        <v>1w</v>
      </c>
      <c r="O2392" s="146">
        <f>_xll.qlCalendarAdvance(Calendar,O2391,N2392,"f",FALSE)</f>
        <v>55947</v>
      </c>
      <c r="P2392" s="140">
        <f>_xll.qlInterestRateIndexValueDate(IborIndex,O2392)</f>
        <v>55949</v>
      </c>
      <c r="Q2392" s="141" t="e">
        <v>#N/A</v>
      </c>
      <c r="R2392" s="143" t="e">
        <v>#N/A</v>
      </c>
    </row>
    <row r="2393" spans="14:18" x14ac:dyDescent="0.2">
      <c r="N2393" s="139" t="str">
        <f t="shared" si="44"/>
        <v>1w</v>
      </c>
      <c r="O2393" s="146">
        <f>_xll.qlCalendarAdvance(Calendar,O2392,N2393,"f",FALSE)</f>
        <v>55954</v>
      </c>
      <c r="P2393" s="140">
        <f>_xll.qlInterestRateIndexValueDate(IborIndex,O2393)</f>
        <v>55956</v>
      </c>
      <c r="Q2393" s="141" t="e">
        <v>#N/A</v>
      </c>
      <c r="R2393" s="143" t="e">
        <v>#N/A</v>
      </c>
    </row>
    <row r="2394" spans="14:18" x14ac:dyDescent="0.2">
      <c r="N2394" s="139" t="str">
        <f t="shared" si="44"/>
        <v>1w</v>
      </c>
      <c r="O2394" s="146">
        <f>_xll.qlCalendarAdvance(Calendar,O2393,N2394,"f",FALSE)</f>
        <v>55961</v>
      </c>
      <c r="P2394" s="140">
        <f>_xll.qlInterestRateIndexValueDate(IborIndex,O2394)</f>
        <v>55963</v>
      </c>
      <c r="Q2394" s="141" t="e">
        <v>#N/A</v>
      </c>
      <c r="R2394" s="143" t="e">
        <v>#N/A</v>
      </c>
    </row>
    <row r="2395" spans="14:18" x14ac:dyDescent="0.2">
      <c r="N2395" s="139" t="str">
        <f t="shared" si="44"/>
        <v>1w</v>
      </c>
      <c r="O2395" s="146">
        <f>_xll.qlCalendarAdvance(Calendar,O2394,N2395,"f",FALSE)</f>
        <v>55968</v>
      </c>
      <c r="P2395" s="140">
        <f>_xll.qlInterestRateIndexValueDate(IborIndex,O2395)</f>
        <v>55970</v>
      </c>
      <c r="Q2395" s="141" t="e">
        <v>#N/A</v>
      </c>
      <c r="R2395" s="143" t="e">
        <v>#N/A</v>
      </c>
    </row>
    <row r="2396" spans="14:18" x14ac:dyDescent="0.2">
      <c r="N2396" s="139" t="str">
        <f t="shared" si="44"/>
        <v>1w</v>
      </c>
      <c r="O2396" s="146">
        <f>_xll.qlCalendarAdvance(Calendar,O2395,N2396,"f",FALSE)</f>
        <v>55975</v>
      </c>
      <c r="P2396" s="140">
        <f>_xll.qlInterestRateIndexValueDate(IborIndex,O2396)</f>
        <v>55977</v>
      </c>
      <c r="Q2396" s="141" t="e">
        <v>#N/A</v>
      </c>
      <c r="R2396" s="143" t="e">
        <v>#N/A</v>
      </c>
    </row>
    <row r="2397" spans="14:18" x14ac:dyDescent="0.2">
      <c r="N2397" s="139" t="str">
        <f t="shared" si="44"/>
        <v>1w</v>
      </c>
      <c r="O2397" s="146">
        <f>_xll.qlCalendarAdvance(Calendar,O2396,N2397,"f",FALSE)</f>
        <v>55982</v>
      </c>
      <c r="P2397" s="140">
        <f>_xll.qlInterestRateIndexValueDate(IborIndex,O2397)</f>
        <v>55984</v>
      </c>
      <c r="Q2397" s="141" t="e">
        <v>#N/A</v>
      </c>
      <c r="R2397" s="143" t="e">
        <v>#N/A</v>
      </c>
    </row>
    <row r="2398" spans="14:18" x14ac:dyDescent="0.2">
      <c r="N2398" s="139" t="str">
        <f t="shared" si="44"/>
        <v>1w</v>
      </c>
      <c r="O2398" s="146">
        <f>_xll.qlCalendarAdvance(Calendar,O2397,N2398,"f",FALSE)</f>
        <v>55989</v>
      </c>
      <c r="P2398" s="140">
        <f>_xll.qlInterestRateIndexValueDate(IborIndex,O2398)</f>
        <v>55991</v>
      </c>
      <c r="Q2398" s="141" t="e">
        <v>#N/A</v>
      </c>
      <c r="R2398" s="143" t="e">
        <v>#N/A</v>
      </c>
    </row>
    <row r="2399" spans="14:18" x14ac:dyDescent="0.2">
      <c r="N2399" s="139" t="str">
        <f t="shared" si="44"/>
        <v>1w</v>
      </c>
      <c r="O2399" s="146">
        <f>_xll.qlCalendarAdvance(Calendar,O2398,N2399,"f",FALSE)</f>
        <v>55996</v>
      </c>
      <c r="P2399" s="140">
        <f>_xll.qlInterestRateIndexValueDate(IborIndex,O2399)</f>
        <v>55998</v>
      </c>
      <c r="Q2399" s="141" t="e">
        <v>#N/A</v>
      </c>
      <c r="R2399" s="143" t="e">
        <v>#N/A</v>
      </c>
    </row>
    <row r="2400" spans="14:18" x14ac:dyDescent="0.2">
      <c r="N2400" s="139" t="str">
        <f t="shared" si="44"/>
        <v>1w</v>
      </c>
      <c r="O2400" s="146">
        <f>_xll.qlCalendarAdvance(Calendar,O2399,N2400,"f",FALSE)</f>
        <v>56003</v>
      </c>
      <c r="P2400" s="140">
        <f>_xll.qlInterestRateIndexValueDate(IborIndex,O2400)</f>
        <v>56006</v>
      </c>
      <c r="Q2400" s="141" t="e">
        <v>#N/A</v>
      </c>
      <c r="R2400" s="143" t="e">
        <v>#N/A</v>
      </c>
    </row>
    <row r="2401" spans="14:18" x14ac:dyDescent="0.2">
      <c r="N2401" s="139" t="str">
        <f t="shared" si="44"/>
        <v>1w</v>
      </c>
      <c r="O2401" s="146">
        <f>_xll.qlCalendarAdvance(Calendar,O2400,N2401,"f",FALSE)</f>
        <v>56010</v>
      </c>
      <c r="P2401" s="140">
        <f>_xll.qlInterestRateIndexValueDate(IborIndex,O2401)</f>
        <v>56012</v>
      </c>
      <c r="Q2401" s="141" t="e">
        <v>#N/A</v>
      </c>
      <c r="R2401" s="143" t="e">
        <v>#N/A</v>
      </c>
    </row>
    <row r="2402" spans="14:18" x14ac:dyDescent="0.2">
      <c r="N2402" s="139" t="str">
        <f t="shared" si="44"/>
        <v>1w</v>
      </c>
      <c r="O2402" s="146">
        <f>_xll.qlCalendarAdvance(Calendar,O2401,N2402,"f",FALSE)</f>
        <v>56017</v>
      </c>
      <c r="P2402" s="140">
        <f>_xll.qlInterestRateIndexValueDate(IborIndex,O2402)</f>
        <v>56020</v>
      </c>
      <c r="Q2402" s="141" t="e">
        <v>#N/A</v>
      </c>
      <c r="R2402" s="143" t="e">
        <v>#N/A</v>
      </c>
    </row>
    <row r="2403" spans="14:18" x14ac:dyDescent="0.2">
      <c r="N2403" s="139" t="str">
        <f t="shared" si="44"/>
        <v>1w</v>
      </c>
      <c r="O2403" s="146">
        <f>_xll.qlCalendarAdvance(Calendar,O2402,N2403,"f",FALSE)</f>
        <v>56024</v>
      </c>
      <c r="P2403" s="140">
        <f>_xll.qlInterestRateIndexValueDate(IborIndex,O2403)</f>
        <v>56026</v>
      </c>
      <c r="Q2403" s="141" t="e">
        <v>#N/A</v>
      </c>
      <c r="R2403" s="143" t="e">
        <v>#N/A</v>
      </c>
    </row>
    <row r="2404" spans="14:18" x14ac:dyDescent="0.2">
      <c r="N2404" s="139" t="str">
        <f t="shared" si="44"/>
        <v>1w</v>
      </c>
      <c r="O2404" s="146">
        <f>_xll.qlCalendarAdvance(Calendar,O2403,N2404,"f",FALSE)</f>
        <v>56031</v>
      </c>
      <c r="P2404" s="140">
        <f>_xll.qlInterestRateIndexValueDate(IborIndex,O2404)</f>
        <v>56033</v>
      </c>
      <c r="Q2404" s="141" t="e">
        <v>#N/A</v>
      </c>
      <c r="R2404" s="143" t="e">
        <v>#N/A</v>
      </c>
    </row>
    <row r="2405" spans="14:18" x14ac:dyDescent="0.2">
      <c r="N2405" s="139" t="str">
        <f t="shared" si="44"/>
        <v>1w</v>
      </c>
      <c r="O2405" s="146">
        <f>_xll.qlCalendarAdvance(Calendar,O2404,N2405,"f",FALSE)</f>
        <v>56038</v>
      </c>
      <c r="P2405" s="140">
        <f>_xll.qlInterestRateIndexValueDate(IborIndex,O2405)</f>
        <v>56040</v>
      </c>
      <c r="Q2405" s="141" t="e">
        <v>#N/A</v>
      </c>
      <c r="R2405" s="143" t="e">
        <v>#N/A</v>
      </c>
    </row>
    <row r="2406" spans="14:18" x14ac:dyDescent="0.2">
      <c r="N2406" s="139" t="str">
        <f t="shared" si="44"/>
        <v>1w</v>
      </c>
      <c r="O2406" s="146">
        <f>_xll.qlCalendarAdvance(Calendar,O2405,N2406,"f",FALSE)</f>
        <v>56045</v>
      </c>
      <c r="P2406" s="140">
        <f>_xll.qlInterestRateIndexValueDate(IborIndex,O2406)</f>
        <v>56047</v>
      </c>
      <c r="Q2406" s="141" t="e">
        <v>#N/A</v>
      </c>
      <c r="R2406" s="143" t="e">
        <v>#N/A</v>
      </c>
    </row>
    <row r="2407" spans="14:18" x14ac:dyDescent="0.2">
      <c r="N2407" s="139" t="str">
        <f t="shared" si="44"/>
        <v>1w</v>
      </c>
      <c r="O2407" s="146">
        <f>_xll.qlCalendarAdvance(Calendar,O2406,N2407,"f",FALSE)</f>
        <v>56052</v>
      </c>
      <c r="P2407" s="140">
        <f>_xll.qlInterestRateIndexValueDate(IborIndex,O2407)</f>
        <v>56054</v>
      </c>
      <c r="Q2407" s="141" t="e">
        <v>#N/A</v>
      </c>
      <c r="R2407" s="143" t="e">
        <v>#N/A</v>
      </c>
    </row>
    <row r="2408" spans="14:18" x14ac:dyDescent="0.2">
      <c r="N2408" s="139" t="str">
        <f t="shared" si="44"/>
        <v>1w</v>
      </c>
      <c r="O2408" s="146">
        <f>_xll.qlCalendarAdvance(Calendar,O2407,N2408,"f",FALSE)</f>
        <v>56059</v>
      </c>
      <c r="P2408" s="140">
        <f>_xll.qlInterestRateIndexValueDate(IborIndex,O2408)</f>
        <v>56061</v>
      </c>
      <c r="Q2408" s="141" t="e">
        <v>#N/A</v>
      </c>
      <c r="R2408" s="143" t="e">
        <v>#N/A</v>
      </c>
    </row>
    <row r="2409" spans="14:18" x14ac:dyDescent="0.2">
      <c r="N2409" s="139" t="str">
        <f t="shared" si="44"/>
        <v>1w</v>
      </c>
      <c r="O2409" s="146">
        <f>_xll.qlCalendarAdvance(Calendar,O2408,N2409,"f",FALSE)</f>
        <v>56066</v>
      </c>
      <c r="P2409" s="140">
        <f>_xll.qlInterestRateIndexValueDate(IborIndex,O2409)</f>
        <v>56068</v>
      </c>
      <c r="Q2409" s="141" t="e">
        <v>#N/A</v>
      </c>
      <c r="R2409" s="143" t="e">
        <v>#N/A</v>
      </c>
    </row>
    <row r="2410" spans="14:18" x14ac:dyDescent="0.2">
      <c r="N2410" s="139" t="str">
        <f t="shared" si="44"/>
        <v>1w</v>
      </c>
      <c r="O2410" s="146">
        <f>_xll.qlCalendarAdvance(Calendar,O2409,N2410,"f",FALSE)</f>
        <v>56073</v>
      </c>
      <c r="P2410" s="140">
        <f>_xll.qlInterestRateIndexValueDate(IborIndex,O2410)</f>
        <v>56075</v>
      </c>
      <c r="Q2410" s="141" t="e">
        <v>#N/A</v>
      </c>
      <c r="R2410" s="143" t="e">
        <v>#N/A</v>
      </c>
    </row>
    <row r="2411" spans="14:18" x14ac:dyDescent="0.2">
      <c r="N2411" s="139" t="str">
        <f t="shared" si="44"/>
        <v>1w</v>
      </c>
      <c r="O2411" s="146">
        <f>_xll.qlCalendarAdvance(Calendar,O2410,N2411,"f",FALSE)</f>
        <v>56080</v>
      </c>
      <c r="P2411" s="140">
        <f>_xll.qlInterestRateIndexValueDate(IborIndex,O2411)</f>
        <v>56082</v>
      </c>
      <c r="Q2411" s="141" t="e">
        <v>#N/A</v>
      </c>
      <c r="R2411" s="143" t="e">
        <v>#N/A</v>
      </c>
    </row>
    <row r="2412" spans="14:18" x14ac:dyDescent="0.2">
      <c r="N2412" s="139" t="str">
        <f t="shared" si="44"/>
        <v>1w</v>
      </c>
      <c r="O2412" s="146">
        <f>_xll.qlCalendarAdvance(Calendar,O2411,N2412,"f",FALSE)</f>
        <v>56087</v>
      </c>
      <c r="P2412" s="140">
        <f>_xll.qlInterestRateIndexValueDate(IborIndex,O2412)</f>
        <v>56089</v>
      </c>
      <c r="Q2412" s="141" t="e">
        <v>#N/A</v>
      </c>
      <c r="R2412" s="143" t="e">
        <v>#N/A</v>
      </c>
    </row>
    <row r="2413" spans="14:18" x14ac:dyDescent="0.2">
      <c r="N2413" s="139" t="str">
        <f t="shared" si="44"/>
        <v>1w</v>
      </c>
      <c r="O2413" s="146">
        <f>_xll.qlCalendarAdvance(Calendar,O2412,N2413,"f",FALSE)</f>
        <v>56094</v>
      </c>
      <c r="P2413" s="140">
        <f>_xll.qlInterestRateIndexValueDate(IborIndex,O2413)</f>
        <v>56096</v>
      </c>
      <c r="Q2413" s="141" t="e">
        <v>#N/A</v>
      </c>
      <c r="R2413" s="143" t="e">
        <v>#N/A</v>
      </c>
    </row>
    <row r="2414" spans="14:18" x14ac:dyDescent="0.2">
      <c r="N2414" s="139" t="str">
        <f t="shared" si="44"/>
        <v>1w</v>
      </c>
      <c r="O2414" s="146">
        <f>_xll.qlCalendarAdvance(Calendar,O2413,N2414,"f",FALSE)</f>
        <v>56101</v>
      </c>
      <c r="P2414" s="140">
        <f>_xll.qlInterestRateIndexValueDate(IborIndex,O2414)</f>
        <v>56103</v>
      </c>
      <c r="Q2414" s="141" t="e">
        <v>#N/A</v>
      </c>
      <c r="R2414" s="143" t="e">
        <v>#N/A</v>
      </c>
    </row>
    <row r="2415" spans="14:18" x14ac:dyDescent="0.2">
      <c r="N2415" s="139" t="str">
        <f t="shared" si="44"/>
        <v>1w</v>
      </c>
      <c r="O2415" s="146">
        <f>_xll.qlCalendarAdvance(Calendar,O2414,N2415,"f",FALSE)</f>
        <v>56108</v>
      </c>
      <c r="P2415" s="140">
        <f>_xll.qlInterestRateIndexValueDate(IborIndex,O2415)</f>
        <v>56110</v>
      </c>
      <c r="Q2415" s="141" t="e">
        <v>#N/A</v>
      </c>
      <c r="R2415" s="143" t="e">
        <v>#N/A</v>
      </c>
    </row>
    <row r="2416" spans="14:18" x14ac:dyDescent="0.2">
      <c r="N2416" s="139" t="str">
        <f t="shared" si="44"/>
        <v>1w</v>
      </c>
      <c r="O2416" s="146">
        <f>_xll.qlCalendarAdvance(Calendar,O2415,N2416,"f",FALSE)</f>
        <v>56115</v>
      </c>
      <c r="P2416" s="140">
        <f>_xll.qlInterestRateIndexValueDate(IborIndex,O2416)</f>
        <v>56117</v>
      </c>
      <c r="Q2416" s="141" t="e">
        <v>#N/A</v>
      </c>
      <c r="R2416" s="143" t="e">
        <v>#N/A</v>
      </c>
    </row>
    <row r="2417" spans="14:18" x14ac:dyDescent="0.2">
      <c r="N2417" s="139" t="str">
        <f t="shared" si="44"/>
        <v>1w</v>
      </c>
      <c r="O2417" s="146">
        <f>_xll.qlCalendarAdvance(Calendar,O2416,N2417,"f",FALSE)</f>
        <v>56122</v>
      </c>
      <c r="P2417" s="140">
        <f>_xll.qlInterestRateIndexValueDate(IborIndex,O2417)</f>
        <v>56124</v>
      </c>
      <c r="Q2417" s="141" t="e">
        <v>#N/A</v>
      </c>
      <c r="R2417" s="143" t="e">
        <v>#N/A</v>
      </c>
    </row>
    <row r="2418" spans="14:18" x14ac:dyDescent="0.2">
      <c r="N2418" s="139" t="str">
        <f t="shared" si="44"/>
        <v>1w</v>
      </c>
      <c r="O2418" s="146">
        <f>_xll.qlCalendarAdvance(Calendar,O2417,N2418,"f",FALSE)</f>
        <v>56129</v>
      </c>
      <c r="P2418" s="140">
        <f>_xll.qlInterestRateIndexValueDate(IborIndex,O2418)</f>
        <v>56131</v>
      </c>
      <c r="Q2418" s="141" t="e">
        <v>#N/A</v>
      </c>
      <c r="R2418" s="143" t="e">
        <v>#N/A</v>
      </c>
    </row>
    <row r="2419" spans="14:18" x14ac:dyDescent="0.2">
      <c r="N2419" s="139" t="str">
        <f t="shared" si="44"/>
        <v>1w</v>
      </c>
      <c r="O2419" s="146">
        <f>_xll.qlCalendarAdvance(Calendar,O2418,N2419,"f",FALSE)</f>
        <v>56136</v>
      </c>
      <c r="P2419" s="140">
        <f>_xll.qlInterestRateIndexValueDate(IborIndex,O2419)</f>
        <v>56138</v>
      </c>
      <c r="Q2419" s="141" t="e">
        <v>#N/A</v>
      </c>
      <c r="R2419" s="143" t="e">
        <v>#N/A</v>
      </c>
    </row>
    <row r="2420" spans="14:18" x14ac:dyDescent="0.2">
      <c r="N2420" s="139" t="str">
        <f t="shared" si="44"/>
        <v>1w</v>
      </c>
      <c r="O2420" s="146">
        <f>_xll.qlCalendarAdvance(Calendar,O2419,N2420,"f",FALSE)</f>
        <v>56143</v>
      </c>
      <c r="P2420" s="140">
        <f>_xll.qlInterestRateIndexValueDate(IborIndex,O2420)</f>
        <v>56145</v>
      </c>
      <c r="Q2420" s="141" t="e">
        <v>#N/A</v>
      </c>
      <c r="R2420" s="143" t="e">
        <v>#N/A</v>
      </c>
    </row>
    <row r="2421" spans="14:18" x14ac:dyDescent="0.2">
      <c r="N2421" s="139" t="str">
        <f t="shared" si="44"/>
        <v>1w</v>
      </c>
      <c r="O2421" s="146">
        <f>_xll.qlCalendarAdvance(Calendar,O2420,N2421,"f",FALSE)</f>
        <v>56150</v>
      </c>
      <c r="P2421" s="140">
        <f>_xll.qlInterestRateIndexValueDate(IborIndex,O2421)</f>
        <v>56152</v>
      </c>
      <c r="Q2421" s="141" t="e">
        <v>#N/A</v>
      </c>
      <c r="R2421" s="143" t="e">
        <v>#N/A</v>
      </c>
    </row>
    <row r="2422" spans="14:18" x14ac:dyDescent="0.2">
      <c r="N2422" s="139" t="str">
        <f t="shared" si="44"/>
        <v>1w</v>
      </c>
      <c r="O2422" s="146">
        <f>_xll.qlCalendarAdvance(Calendar,O2421,N2422,"f",FALSE)</f>
        <v>56157</v>
      </c>
      <c r="P2422" s="140">
        <f>_xll.qlInterestRateIndexValueDate(IborIndex,O2422)</f>
        <v>56159</v>
      </c>
      <c r="Q2422" s="141" t="e">
        <v>#N/A</v>
      </c>
      <c r="R2422" s="143" t="e">
        <v>#N/A</v>
      </c>
    </row>
    <row r="2423" spans="14:18" x14ac:dyDescent="0.2">
      <c r="N2423" s="139" t="str">
        <f t="shared" si="44"/>
        <v>1w</v>
      </c>
      <c r="O2423" s="146">
        <f>_xll.qlCalendarAdvance(Calendar,O2422,N2423,"f",FALSE)</f>
        <v>56164</v>
      </c>
      <c r="P2423" s="140">
        <f>_xll.qlInterestRateIndexValueDate(IborIndex,O2423)</f>
        <v>56166</v>
      </c>
      <c r="Q2423" s="141" t="e">
        <v>#N/A</v>
      </c>
      <c r="R2423" s="143" t="e">
        <v>#N/A</v>
      </c>
    </row>
    <row r="2424" spans="14:18" x14ac:dyDescent="0.2">
      <c r="N2424" s="139" t="str">
        <f t="shared" si="44"/>
        <v>1w</v>
      </c>
      <c r="O2424" s="146">
        <f>_xll.qlCalendarAdvance(Calendar,O2423,N2424,"f",FALSE)</f>
        <v>56171</v>
      </c>
      <c r="P2424" s="140">
        <f>_xll.qlInterestRateIndexValueDate(IborIndex,O2424)</f>
        <v>56173</v>
      </c>
      <c r="Q2424" s="141" t="e">
        <v>#N/A</v>
      </c>
      <c r="R2424" s="143" t="e">
        <v>#N/A</v>
      </c>
    </row>
    <row r="2425" spans="14:18" x14ac:dyDescent="0.2">
      <c r="N2425" s="139" t="str">
        <f t="shared" si="44"/>
        <v>1w</v>
      </c>
      <c r="O2425" s="146">
        <f>_xll.qlCalendarAdvance(Calendar,O2424,N2425,"f",FALSE)</f>
        <v>56178</v>
      </c>
      <c r="P2425" s="140">
        <f>_xll.qlInterestRateIndexValueDate(IborIndex,O2425)</f>
        <v>56180</v>
      </c>
      <c r="Q2425" s="141" t="e">
        <v>#N/A</v>
      </c>
      <c r="R2425" s="143" t="e">
        <v>#N/A</v>
      </c>
    </row>
    <row r="2426" spans="14:18" x14ac:dyDescent="0.2">
      <c r="N2426" s="139" t="str">
        <f t="shared" si="44"/>
        <v>1w</v>
      </c>
      <c r="O2426" s="146">
        <f>_xll.qlCalendarAdvance(Calendar,O2425,N2426,"f",FALSE)</f>
        <v>56185</v>
      </c>
      <c r="P2426" s="140">
        <f>_xll.qlInterestRateIndexValueDate(IborIndex,O2426)</f>
        <v>56187</v>
      </c>
      <c r="Q2426" s="141" t="e">
        <v>#N/A</v>
      </c>
      <c r="R2426" s="143" t="e">
        <v>#N/A</v>
      </c>
    </row>
    <row r="2427" spans="14:18" x14ac:dyDescent="0.2">
      <c r="N2427" s="139" t="str">
        <f t="shared" si="44"/>
        <v>1w</v>
      </c>
      <c r="O2427" s="146">
        <f>_xll.qlCalendarAdvance(Calendar,O2426,N2427,"f",FALSE)</f>
        <v>56192</v>
      </c>
      <c r="P2427" s="140">
        <f>_xll.qlInterestRateIndexValueDate(IborIndex,O2427)</f>
        <v>56194</v>
      </c>
      <c r="Q2427" s="141" t="e">
        <v>#N/A</v>
      </c>
      <c r="R2427" s="143" t="e">
        <v>#N/A</v>
      </c>
    </row>
    <row r="2428" spans="14:18" x14ac:dyDescent="0.2">
      <c r="N2428" s="139" t="str">
        <f t="shared" si="44"/>
        <v>1w</v>
      </c>
      <c r="O2428" s="146">
        <f>_xll.qlCalendarAdvance(Calendar,O2427,N2428,"f",FALSE)</f>
        <v>56199</v>
      </c>
      <c r="P2428" s="140">
        <f>_xll.qlInterestRateIndexValueDate(IborIndex,O2428)</f>
        <v>56201</v>
      </c>
      <c r="Q2428" s="141" t="e">
        <v>#N/A</v>
      </c>
      <c r="R2428" s="143" t="e">
        <v>#N/A</v>
      </c>
    </row>
    <row r="2429" spans="14:18" x14ac:dyDescent="0.2">
      <c r="N2429" s="139" t="str">
        <f t="shared" si="44"/>
        <v>1w</v>
      </c>
      <c r="O2429" s="146">
        <f>_xll.qlCalendarAdvance(Calendar,O2428,N2429,"f",FALSE)</f>
        <v>56206</v>
      </c>
      <c r="P2429" s="140">
        <f>_xll.qlInterestRateIndexValueDate(IborIndex,O2429)</f>
        <v>56208</v>
      </c>
      <c r="Q2429" s="141" t="e">
        <v>#N/A</v>
      </c>
      <c r="R2429" s="143" t="e">
        <v>#N/A</v>
      </c>
    </row>
    <row r="2430" spans="14:18" x14ac:dyDescent="0.2">
      <c r="N2430" s="139" t="str">
        <f t="shared" si="44"/>
        <v>1w</v>
      </c>
      <c r="O2430" s="146">
        <f>_xll.qlCalendarAdvance(Calendar,O2429,N2430,"f",FALSE)</f>
        <v>56213</v>
      </c>
      <c r="P2430" s="140">
        <f>_xll.qlInterestRateIndexValueDate(IborIndex,O2430)</f>
        <v>56215</v>
      </c>
      <c r="Q2430" s="141" t="e">
        <v>#N/A</v>
      </c>
      <c r="R2430" s="143" t="e">
        <v>#N/A</v>
      </c>
    </row>
    <row r="2431" spans="14:18" x14ac:dyDescent="0.2">
      <c r="N2431" s="139" t="str">
        <f t="shared" si="44"/>
        <v>1w</v>
      </c>
      <c r="O2431" s="146">
        <f>_xll.qlCalendarAdvance(Calendar,O2430,N2431,"f",FALSE)</f>
        <v>56220</v>
      </c>
      <c r="P2431" s="140">
        <f>_xll.qlInterestRateIndexValueDate(IborIndex,O2431)</f>
        <v>56222</v>
      </c>
      <c r="Q2431" s="141" t="e">
        <v>#N/A</v>
      </c>
      <c r="R2431" s="143" t="e">
        <v>#N/A</v>
      </c>
    </row>
    <row r="2432" spans="14:18" x14ac:dyDescent="0.2">
      <c r="N2432" s="139" t="str">
        <f t="shared" si="44"/>
        <v>1w</v>
      </c>
      <c r="O2432" s="146">
        <f>_xll.qlCalendarAdvance(Calendar,O2431,N2432,"f",FALSE)</f>
        <v>56227</v>
      </c>
      <c r="P2432" s="140">
        <f>_xll.qlInterestRateIndexValueDate(IborIndex,O2432)</f>
        <v>56229</v>
      </c>
      <c r="Q2432" s="141" t="e">
        <v>#N/A</v>
      </c>
      <c r="R2432" s="143" t="e">
        <v>#N/A</v>
      </c>
    </row>
    <row r="2433" spans="14:18" x14ac:dyDescent="0.2">
      <c r="N2433" s="139" t="str">
        <f t="shared" si="44"/>
        <v>1w</v>
      </c>
      <c r="O2433" s="146">
        <f>_xll.qlCalendarAdvance(Calendar,O2432,N2433,"f",FALSE)</f>
        <v>56234</v>
      </c>
      <c r="P2433" s="140">
        <f>_xll.qlInterestRateIndexValueDate(IborIndex,O2433)</f>
        <v>56236</v>
      </c>
      <c r="Q2433" s="141" t="e">
        <v>#N/A</v>
      </c>
      <c r="R2433" s="143" t="e">
        <v>#N/A</v>
      </c>
    </row>
    <row r="2434" spans="14:18" x14ac:dyDescent="0.2">
      <c r="N2434" s="139" t="str">
        <f t="shared" si="44"/>
        <v>1w</v>
      </c>
      <c r="O2434" s="146">
        <f>_xll.qlCalendarAdvance(Calendar,O2433,N2434,"f",FALSE)</f>
        <v>56241</v>
      </c>
      <c r="P2434" s="140">
        <f>_xll.qlInterestRateIndexValueDate(IborIndex,O2434)</f>
        <v>56248</v>
      </c>
      <c r="Q2434" s="141" t="e">
        <v>#N/A</v>
      </c>
      <c r="R2434" s="143" t="e">
        <v>#N/A</v>
      </c>
    </row>
    <row r="2435" spans="14:18" x14ac:dyDescent="0.2">
      <c r="N2435" s="139" t="str">
        <f t="shared" si="44"/>
        <v>1w</v>
      </c>
      <c r="O2435" s="146">
        <f>_xll.qlCalendarAdvance(Calendar,O2434,N2435,"f",FALSE)</f>
        <v>56248</v>
      </c>
      <c r="P2435" s="140">
        <f>_xll.qlInterestRateIndexValueDate(IborIndex,O2435)</f>
        <v>56254</v>
      </c>
      <c r="Q2435" s="141" t="e">
        <v>#N/A</v>
      </c>
      <c r="R2435" s="143" t="e">
        <v>#N/A</v>
      </c>
    </row>
    <row r="2436" spans="14:18" x14ac:dyDescent="0.2">
      <c r="N2436" s="139" t="str">
        <f t="shared" si="44"/>
        <v>1w</v>
      </c>
      <c r="O2436" s="146">
        <f>_xll.qlCalendarAdvance(Calendar,O2435,N2436,"f",FALSE)</f>
        <v>56256</v>
      </c>
      <c r="P2436" s="140">
        <f>_xll.qlInterestRateIndexValueDate(IborIndex,O2436)</f>
        <v>56258</v>
      </c>
      <c r="Q2436" s="141" t="e">
        <v>#N/A</v>
      </c>
      <c r="R2436" s="143" t="e">
        <v>#N/A</v>
      </c>
    </row>
    <row r="2437" spans="14:18" x14ac:dyDescent="0.2">
      <c r="N2437" s="139" t="str">
        <f t="shared" si="44"/>
        <v>1w</v>
      </c>
      <c r="O2437" s="146">
        <f>_xll.qlCalendarAdvance(Calendar,O2436,N2437,"f",FALSE)</f>
        <v>56263</v>
      </c>
      <c r="P2437" s="140">
        <f>_xll.qlInterestRateIndexValueDate(IborIndex,O2437)</f>
        <v>56265</v>
      </c>
      <c r="Q2437" s="141" t="e">
        <v>#N/A</v>
      </c>
      <c r="R2437" s="143" t="e">
        <v>#N/A</v>
      </c>
    </row>
    <row r="2438" spans="14:18" x14ac:dyDescent="0.2">
      <c r="N2438" s="139" t="str">
        <f t="shared" si="44"/>
        <v>1w</v>
      </c>
      <c r="O2438" s="146">
        <f>_xll.qlCalendarAdvance(Calendar,O2437,N2438,"f",FALSE)</f>
        <v>56270</v>
      </c>
      <c r="P2438" s="140">
        <f>_xll.qlInterestRateIndexValueDate(IborIndex,O2438)</f>
        <v>56272</v>
      </c>
      <c r="Q2438" s="141" t="e">
        <v>#N/A</v>
      </c>
      <c r="R2438" s="143" t="e">
        <v>#N/A</v>
      </c>
    </row>
    <row r="2439" spans="14:18" x14ac:dyDescent="0.2">
      <c r="N2439" s="139" t="str">
        <f t="shared" si="44"/>
        <v>1w</v>
      </c>
      <c r="O2439" s="146">
        <f>_xll.qlCalendarAdvance(Calendar,O2438,N2439,"f",FALSE)</f>
        <v>56277</v>
      </c>
      <c r="P2439" s="140">
        <f>_xll.qlInterestRateIndexValueDate(IborIndex,O2439)</f>
        <v>56279</v>
      </c>
      <c r="Q2439" s="141" t="e">
        <v>#N/A</v>
      </c>
      <c r="R2439" s="143" t="e">
        <v>#N/A</v>
      </c>
    </row>
    <row r="2440" spans="14:18" x14ac:dyDescent="0.2">
      <c r="N2440" s="139" t="str">
        <f t="shared" si="44"/>
        <v>1w</v>
      </c>
      <c r="O2440" s="146">
        <f>_xll.qlCalendarAdvance(Calendar,O2439,N2440,"f",FALSE)</f>
        <v>56284</v>
      </c>
      <c r="P2440" s="140">
        <f>_xll.qlInterestRateIndexValueDate(IborIndex,O2440)</f>
        <v>56286</v>
      </c>
      <c r="Q2440" s="141" t="e">
        <v>#N/A</v>
      </c>
      <c r="R2440" s="143" t="e">
        <v>#N/A</v>
      </c>
    </row>
    <row r="2441" spans="14:18" x14ac:dyDescent="0.2">
      <c r="N2441" s="139" t="str">
        <f t="shared" si="44"/>
        <v>1w</v>
      </c>
      <c r="O2441" s="146">
        <f>_xll.qlCalendarAdvance(Calendar,O2440,N2441,"f",FALSE)</f>
        <v>56291</v>
      </c>
      <c r="P2441" s="140">
        <f>_xll.qlInterestRateIndexValueDate(IborIndex,O2441)</f>
        <v>56293</v>
      </c>
      <c r="Q2441" s="141" t="e">
        <v>#N/A</v>
      </c>
      <c r="R2441" s="143" t="e">
        <v>#N/A</v>
      </c>
    </row>
    <row r="2442" spans="14:18" x14ac:dyDescent="0.2">
      <c r="N2442" s="139" t="str">
        <f t="shared" si="44"/>
        <v>1w</v>
      </c>
      <c r="O2442" s="146">
        <f>_xll.qlCalendarAdvance(Calendar,O2441,N2442,"f",FALSE)</f>
        <v>56298</v>
      </c>
      <c r="P2442" s="140">
        <f>_xll.qlInterestRateIndexValueDate(IborIndex,O2442)</f>
        <v>56300</v>
      </c>
      <c r="Q2442" s="141" t="e">
        <v>#N/A</v>
      </c>
      <c r="R2442" s="143" t="e">
        <v>#N/A</v>
      </c>
    </row>
    <row r="2443" spans="14:18" x14ac:dyDescent="0.2">
      <c r="N2443" s="139" t="str">
        <f t="shared" si="44"/>
        <v>1w</v>
      </c>
      <c r="O2443" s="146">
        <f>_xll.qlCalendarAdvance(Calendar,O2442,N2443,"f",FALSE)</f>
        <v>56305</v>
      </c>
      <c r="P2443" s="140">
        <f>_xll.qlInterestRateIndexValueDate(IborIndex,O2443)</f>
        <v>56307</v>
      </c>
      <c r="Q2443" s="141" t="e">
        <v>#N/A</v>
      </c>
      <c r="R2443" s="143" t="e">
        <v>#N/A</v>
      </c>
    </row>
    <row r="2444" spans="14:18" x14ac:dyDescent="0.2">
      <c r="N2444" s="139" t="str">
        <f t="shared" si="44"/>
        <v>1w</v>
      </c>
      <c r="O2444" s="146">
        <f>_xll.qlCalendarAdvance(Calendar,O2443,N2444,"f",FALSE)</f>
        <v>56312</v>
      </c>
      <c r="P2444" s="140">
        <f>_xll.qlInterestRateIndexValueDate(IborIndex,O2444)</f>
        <v>56314</v>
      </c>
      <c r="Q2444" s="141" t="e">
        <v>#N/A</v>
      </c>
      <c r="R2444" s="143" t="e">
        <v>#N/A</v>
      </c>
    </row>
    <row r="2445" spans="14:18" x14ac:dyDescent="0.2">
      <c r="N2445" s="139" t="str">
        <f t="shared" si="44"/>
        <v>1w</v>
      </c>
      <c r="O2445" s="146">
        <f>_xll.qlCalendarAdvance(Calendar,O2444,N2445,"f",FALSE)</f>
        <v>56319</v>
      </c>
      <c r="P2445" s="140">
        <f>_xll.qlInterestRateIndexValueDate(IborIndex,O2445)</f>
        <v>56321</v>
      </c>
      <c r="Q2445" s="141" t="e">
        <v>#N/A</v>
      </c>
      <c r="R2445" s="143" t="e">
        <v>#N/A</v>
      </c>
    </row>
    <row r="2446" spans="14:18" x14ac:dyDescent="0.2">
      <c r="N2446" s="139" t="str">
        <f t="shared" si="44"/>
        <v>1w</v>
      </c>
      <c r="O2446" s="146">
        <f>_xll.qlCalendarAdvance(Calendar,O2445,N2446,"f",FALSE)</f>
        <v>56326</v>
      </c>
      <c r="P2446" s="140">
        <f>_xll.qlInterestRateIndexValueDate(IborIndex,O2446)</f>
        <v>56328</v>
      </c>
      <c r="Q2446" s="141" t="e">
        <v>#N/A</v>
      </c>
      <c r="R2446" s="143" t="e">
        <v>#N/A</v>
      </c>
    </row>
    <row r="2447" spans="14:18" x14ac:dyDescent="0.2">
      <c r="N2447" s="139" t="str">
        <f t="shared" si="44"/>
        <v>1w</v>
      </c>
      <c r="O2447" s="146">
        <f>_xll.qlCalendarAdvance(Calendar,O2446,N2447,"f",FALSE)</f>
        <v>56333</v>
      </c>
      <c r="P2447" s="140">
        <f>_xll.qlInterestRateIndexValueDate(IborIndex,O2447)</f>
        <v>56339</v>
      </c>
      <c r="Q2447" s="141" t="e">
        <v>#N/A</v>
      </c>
      <c r="R2447" s="143" t="e">
        <v>#N/A</v>
      </c>
    </row>
    <row r="2448" spans="14:18" x14ac:dyDescent="0.2">
      <c r="N2448" s="139" t="str">
        <f t="shared" si="44"/>
        <v>1w</v>
      </c>
      <c r="O2448" s="146">
        <f>_xll.qlCalendarAdvance(Calendar,O2447,N2448,"f",FALSE)</f>
        <v>56340</v>
      </c>
      <c r="P2448" s="140">
        <f>_xll.qlInterestRateIndexValueDate(IborIndex,O2448)</f>
        <v>56342</v>
      </c>
      <c r="Q2448" s="141" t="e">
        <v>#N/A</v>
      </c>
      <c r="R2448" s="143" t="e">
        <v>#N/A</v>
      </c>
    </row>
    <row r="2449" spans="14:18" x14ac:dyDescent="0.2">
      <c r="N2449" s="139" t="str">
        <f t="shared" si="44"/>
        <v>1w</v>
      </c>
      <c r="O2449" s="146">
        <f>_xll.qlCalendarAdvance(Calendar,O2448,N2449,"f",FALSE)</f>
        <v>56347</v>
      </c>
      <c r="P2449" s="140">
        <f>_xll.qlInterestRateIndexValueDate(IborIndex,O2449)</f>
        <v>56349</v>
      </c>
      <c r="Q2449" s="141" t="e">
        <v>#N/A</v>
      </c>
      <c r="R2449" s="143" t="e">
        <v>#N/A</v>
      </c>
    </row>
    <row r="2450" spans="14:18" x14ac:dyDescent="0.2">
      <c r="N2450" s="139" t="str">
        <f t="shared" si="44"/>
        <v>1w</v>
      </c>
      <c r="O2450" s="146">
        <f>_xll.qlCalendarAdvance(Calendar,O2449,N2450,"f",FALSE)</f>
        <v>56354</v>
      </c>
      <c r="P2450" s="140">
        <f>_xll.qlInterestRateIndexValueDate(IborIndex,O2450)</f>
        <v>56356</v>
      </c>
      <c r="Q2450" s="141" t="e">
        <v>#N/A</v>
      </c>
      <c r="R2450" s="143" t="e">
        <v>#N/A</v>
      </c>
    </row>
    <row r="2451" spans="14:18" x14ac:dyDescent="0.2">
      <c r="N2451" s="139" t="str">
        <f t="shared" si="44"/>
        <v>1w</v>
      </c>
      <c r="O2451" s="146">
        <f>_xll.qlCalendarAdvance(Calendar,O2450,N2451,"f",FALSE)</f>
        <v>56361</v>
      </c>
      <c r="P2451" s="140">
        <f>_xll.qlInterestRateIndexValueDate(IborIndex,O2451)</f>
        <v>56363</v>
      </c>
      <c r="Q2451" s="141" t="e">
        <v>#N/A</v>
      </c>
      <c r="R2451" s="143" t="e">
        <v>#N/A</v>
      </c>
    </row>
    <row r="2452" spans="14:18" x14ac:dyDescent="0.2">
      <c r="N2452" s="139" t="str">
        <f t="shared" si="44"/>
        <v>1w</v>
      </c>
      <c r="O2452" s="146">
        <f>_xll.qlCalendarAdvance(Calendar,O2451,N2452,"f",FALSE)</f>
        <v>56368</v>
      </c>
      <c r="P2452" s="140">
        <f>_xll.qlInterestRateIndexValueDate(IborIndex,O2452)</f>
        <v>56373</v>
      </c>
      <c r="Q2452" s="141" t="e">
        <v>#N/A</v>
      </c>
      <c r="R2452" s="143" t="e">
        <v>#N/A</v>
      </c>
    </row>
    <row r="2453" spans="14:18" x14ac:dyDescent="0.2">
      <c r="N2453" s="139" t="str">
        <f t="shared" ref="N2453:N2516" si="45">N2452</f>
        <v>1w</v>
      </c>
      <c r="O2453" s="146">
        <f>_xll.qlCalendarAdvance(Calendar,O2452,N2453,"f",FALSE)</f>
        <v>56375</v>
      </c>
      <c r="P2453" s="140">
        <f>_xll.qlInterestRateIndexValueDate(IborIndex,O2453)</f>
        <v>56380</v>
      </c>
      <c r="Q2453" s="141" t="e">
        <v>#N/A</v>
      </c>
      <c r="R2453" s="143" t="e">
        <v>#N/A</v>
      </c>
    </row>
    <row r="2454" spans="14:18" x14ac:dyDescent="0.2">
      <c r="N2454" s="139" t="str">
        <f t="shared" si="45"/>
        <v>1w</v>
      </c>
      <c r="O2454" s="146">
        <f>_xll.qlCalendarAdvance(Calendar,O2453,N2454,"f",FALSE)</f>
        <v>56382</v>
      </c>
      <c r="P2454" s="140">
        <f>_xll.qlInterestRateIndexValueDate(IborIndex,O2454)</f>
        <v>56384</v>
      </c>
      <c r="Q2454" s="141" t="e">
        <v>#N/A</v>
      </c>
      <c r="R2454" s="143" t="e">
        <v>#N/A</v>
      </c>
    </row>
    <row r="2455" spans="14:18" x14ac:dyDescent="0.2">
      <c r="N2455" s="139" t="str">
        <f t="shared" si="45"/>
        <v>1w</v>
      </c>
      <c r="O2455" s="146">
        <f>_xll.qlCalendarAdvance(Calendar,O2454,N2455,"f",FALSE)</f>
        <v>56389</v>
      </c>
      <c r="P2455" s="140">
        <f>_xll.qlInterestRateIndexValueDate(IborIndex,O2455)</f>
        <v>56391</v>
      </c>
      <c r="Q2455" s="141" t="e">
        <v>#N/A</v>
      </c>
      <c r="R2455" s="143" t="e">
        <v>#N/A</v>
      </c>
    </row>
    <row r="2456" spans="14:18" x14ac:dyDescent="0.2">
      <c r="N2456" s="139" t="str">
        <f t="shared" si="45"/>
        <v>1w</v>
      </c>
      <c r="O2456" s="146">
        <f>_xll.qlCalendarAdvance(Calendar,O2455,N2456,"f",FALSE)</f>
        <v>56396</v>
      </c>
      <c r="P2456" s="140">
        <f>_xll.qlInterestRateIndexValueDate(IborIndex,O2456)</f>
        <v>56398</v>
      </c>
      <c r="Q2456" s="141" t="e">
        <v>#N/A</v>
      </c>
      <c r="R2456" s="143" t="e">
        <v>#N/A</v>
      </c>
    </row>
    <row r="2457" spans="14:18" x14ac:dyDescent="0.2">
      <c r="N2457" s="139" t="str">
        <f t="shared" si="45"/>
        <v>1w</v>
      </c>
      <c r="O2457" s="146">
        <f>_xll.qlCalendarAdvance(Calendar,O2456,N2457,"f",FALSE)</f>
        <v>56403</v>
      </c>
      <c r="P2457" s="140">
        <f>_xll.qlInterestRateIndexValueDate(IborIndex,O2457)</f>
        <v>56405</v>
      </c>
      <c r="Q2457" s="141" t="e">
        <v>#N/A</v>
      </c>
      <c r="R2457" s="143" t="e">
        <v>#N/A</v>
      </c>
    </row>
    <row r="2458" spans="14:18" x14ac:dyDescent="0.2">
      <c r="N2458" s="139" t="str">
        <f t="shared" si="45"/>
        <v>1w</v>
      </c>
      <c r="O2458" s="146">
        <f>_xll.qlCalendarAdvance(Calendar,O2457,N2458,"f",FALSE)</f>
        <v>56410</v>
      </c>
      <c r="P2458" s="140">
        <f>_xll.qlInterestRateIndexValueDate(IborIndex,O2458)</f>
        <v>56412</v>
      </c>
      <c r="Q2458" s="141" t="e">
        <v>#N/A</v>
      </c>
      <c r="R2458" s="143" t="e">
        <v>#N/A</v>
      </c>
    </row>
    <row r="2459" spans="14:18" x14ac:dyDescent="0.2">
      <c r="N2459" s="139" t="str">
        <f t="shared" si="45"/>
        <v>1w</v>
      </c>
      <c r="O2459" s="146">
        <f>_xll.qlCalendarAdvance(Calendar,O2458,N2459,"f",FALSE)</f>
        <v>56417</v>
      </c>
      <c r="P2459" s="140">
        <f>_xll.qlInterestRateIndexValueDate(IborIndex,O2459)</f>
        <v>56422</v>
      </c>
      <c r="Q2459" s="141" t="e">
        <v>#N/A</v>
      </c>
      <c r="R2459" s="143" t="e">
        <v>#N/A</v>
      </c>
    </row>
    <row r="2460" spans="14:18" x14ac:dyDescent="0.2">
      <c r="N2460" s="139" t="str">
        <f t="shared" si="45"/>
        <v>1w</v>
      </c>
      <c r="O2460" s="146">
        <f>_xll.qlCalendarAdvance(Calendar,O2459,N2460,"f",FALSE)</f>
        <v>56424</v>
      </c>
      <c r="P2460" s="140">
        <f>_xll.qlInterestRateIndexValueDate(IborIndex,O2460)</f>
        <v>56426</v>
      </c>
      <c r="Q2460" s="141" t="e">
        <v>#N/A</v>
      </c>
      <c r="R2460" s="143" t="e">
        <v>#N/A</v>
      </c>
    </row>
    <row r="2461" spans="14:18" x14ac:dyDescent="0.2">
      <c r="N2461" s="139" t="str">
        <f t="shared" si="45"/>
        <v>1w</v>
      </c>
      <c r="O2461" s="146">
        <f>_xll.qlCalendarAdvance(Calendar,O2460,N2461,"f",FALSE)</f>
        <v>56431</v>
      </c>
      <c r="P2461" s="140">
        <f>_xll.qlInterestRateIndexValueDate(IborIndex,O2461)</f>
        <v>56433</v>
      </c>
      <c r="Q2461" s="141" t="e">
        <v>#N/A</v>
      </c>
      <c r="R2461" s="143" t="e">
        <v>#N/A</v>
      </c>
    </row>
    <row r="2462" spans="14:18" x14ac:dyDescent="0.2">
      <c r="N2462" s="139" t="str">
        <f t="shared" si="45"/>
        <v>1w</v>
      </c>
      <c r="O2462" s="146">
        <f>_xll.qlCalendarAdvance(Calendar,O2461,N2462,"f",FALSE)</f>
        <v>56438</v>
      </c>
      <c r="P2462" s="140">
        <f>_xll.qlInterestRateIndexValueDate(IborIndex,O2462)</f>
        <v>56440</v>
      </c>
      <c r="Q2462" s="141" t="e">
        <v>#N/A</v>
      </c>
      <c r="R2462" s="143" t="e">
        <v>#N/A</v>
      </c>
    </row>
    <row r="2463" spans="14:18" x14ac:dyDescent="0.2">
      <c r="N2463" s="139" t="str">
        <f t="shared" si="45"/>
        <v>1w</v>
      </c>
      <c r="O2463" s="146">
        <f>_xll.qlCalendarAdvance(Calendar,O2462,N2463,"f",FALSE)</f>
        <v>56445</v>
      </c>
      <c r="P2463" s="140">
        <f>_xll.qlInterestRateIndexValueDate(IborIndex,O2463)</f>
        <v>56447</v>
      </c>
      <c r="Q2463" s="141" t="e">
        <v>#N/A</v>
      </c>
      <c r="R2463" s="143" t="e">
        <v>#N/A</v>
      </c>
    </row>
    <row r="2464" spans="14:18" x14ac:dyDescent="0.2">
      <c r="N2464" s="139" t="str">
        <f t="shared" si="45"/>
        <v>1w</v>
      </c>
      <c r="O2464" s="146">
        <f>_xll.qlCalendarAdvance(Calendar,O2463,N2464,"f",FALSE)</f>
        <v>56452</v>
      </c>
      <c r="P2464" s="140">
        <f>_xll.qlInterestRateIndexValueDate(IborIndex,O2464)</f>
        <v>56454</v>
      </c>
      <c r="Q2464" s="141" t="e">
        <v>#N/A</v>
      </c>
      <c r="R2464" s="143" t="e">
        <v>#N/A</v>
      </c>
    </row>
    <row r="2465" spans="14:18" x14ac:dyDescent="0.2">
      <c r="N2465" s="139" t="str">
        <f t="shared" si="45"/>
        <v>1w</v>
      </c>
      <c r="O2465" s="146">
        <f>_xll.qlCalendarAdvance(Calendar,O2464,N2465,"f",FALSE)</f>
        <v>56459</v>
      </c>
      <c r="P2465" s="140">
        <f>_xll.qlInterestRateIndexValueDate(IborIndex,O2465)</f>
        <v>56461</v>
      </c>
      <c r="Q2465" s="141" t="e">
        <v>#N/A</v>
      </c>
      <c r="R2465" s="143" t="e">
        <v>#N/A</v>
      </c>
    </row>
    <row r="2466" spans="14:18" x14ac:dyDescent="0.2">
      <c r="N2466" s="139" t="str">
        <f t="shared" si="45"/>
        <v>1w</v>
      </c>
      <c r="O2466" s="146">
        <f>_xll.qlCalendarAdvance(Calendar,O2465,N2466,"f",FALSE)</f>
        <v>56466</v>
      </c>
      <c r="P2466" s="140">
        <f>_xll.qlInterestRateIndexValueDate(IborIndex,O2466)</f>
        <v>56468</v>
      </c>
      <c r="Q2466" s="141" t="e">
        <v>#N/A</v>
      </c>
      <c r="R2466" s="143" t="e">
        <v>#N/A</v>
      </c>
    </row>
    <row r="2467" spans="14:18" x14ac:dyDescent="0.2">
      <c r="N2467" s="139" t="str">
        <f t="shared" si="45"/>
        <v>1w</v>
      </c>
      <c r="O2467" s="146">
        <f>_xll.qlCalendarAdvance(Calendar,O2466,N2467,"f",FALSE)</f>
        <v>56473</v>
      </c>
      <c r="P2467" s="140">
        <f>_xll.qlInterestRateIndexValueDate(IborIndex,O2467)</f>
        <v>56475</v>
      </c>
      <c r="Q2467" s="141" t="e">
        <v>#N/A</v>
      </c>
      <c r="R2467" s="143" t="e">
        <v>#N/A</v>
      </c>
    </row>
    <row r="2468" spans="14:18" x14ac:dyDescent="0.2">
      <c r="N2468" s="139" t="str">
        <f t="shared" si="45"/>
        <v>1w</v>
      </c>
      <c r="O2468" s="146">
        <f>_xll.qlCalendarAdvance(Calendar,O2467,N2468,"f",FALSE)</f>
        <v>56480</v>
      </c>
      <c r="P2468" s="140">
        <f>_xll.qlInterestRateIndexValueDate(IborIndex,O2468)</f>
        <v>56482</v>
      </c>
      <c r="Q2468" s="141" t="e">
        <v>#N/A</v>
      </c>
      <c r="R2468" s="143" t="e">
        <v>#N/A</v>
      </c>
    </row>
    <row r="2469" spans="14:18" x14ac:dyDescent="0.2">
      <c r="N2469" s="139" t="str">
        <f t="shared" si="45"/>
        <v>1w</v>
      </c>
      <c r="O2469" s="146">
        <f>_xll.qlCalendarAdvance(Calendar,O2468,N2469,"f",FALSE)</f>
        <v>56487</v>
      </c>
      <c r="P2469" s="140">
        <f>_xll.qlInterestRateIndexValueDate(IborIndex,O2469)</f>
        <v>56489</v>
      </c>
      <c r="Q2469" s="141" t="e">
        <v>#N/A</v>
      </c>
      <c r="R2469" s="143" t="e">
        <v>#N/A</v>
      </c>
    </row>
    <row r="2470" spans="14:18" x14ac:dyDescent="0.2">
      <c r="N2470" s="139" t="str">
        <f t="shared" si="45"/>
        <v>1w</v>
      </c>
      <c r="O2470" s="146">
        <f>_xll.qlCalendarAdvance(Calendar,O2469,N2470,"f",FALSE)</f>
        <v>56494</v>
      </c>
      <c r="P2470" s="140">
        <f>_xll.qlInterestRateIndexValueDate(IborIndex,O2470)</f>
        <v>56496</v>
      </c>
      <c r="Q2470" s="141" t="e">
        <v>#N/A</v>
      </c>
      <c r="R2470" s="143" t="e">
        <v>#N/A</v>
      </c>
    </row>
    <row r="2471" spans="14:18" x14ac:dyDescent="0.2">
      <c r="N2471" s="139" t="str">
        <f t="shared" si="45"/>
        <v>1w</v>
      </c>
      <c r="O2471" s="146">
        <f>_xll.qlCalendarAdvance(Calendar,O2470,N2471,"f",FALSE)</f>
        <v>56501</v>
      </c>
      <c r="P2471" s="140">
        <f>_xll.qlInterestRateIndexValueDate(IborIndex,O2471)</f>
        <v>56503</v>
      </c>
      <c r="Q2471" s="141" t="e">
        <v>#N/A</v>
      </c>
      <c r="R2471" s="143" t="e">
        <v>#N/A</v>
      </c>
    </row>
    <row r="2472" spans="14:18" x14ac:dyDescent="0.2">
      <c r="N2472" s="139" t="str">
        <f t="shared" si="45"/>
        <v>1w</v>
      </c>
      <c r="O2472" s="146">
        <f>_xll.qlCalendarAdvance(Calendar,O2471,N2472,"f",FALSE)</f>
        <v>56508</v>
      </c>
      <c r="P2472" s="140">
        <f>_xll.qlInterestRateIndexValueDate(IborIndex,O2472)</f>
        <v>56510</v>
      </c>
      <c r="Q2472" s="141" t="e">
        <v>#N/A</v>
      </c>
      <c r="R2472" s="143" t="e">
        <v>#N/A</v>
      </c>
    </row>
    <row r="2473" spans="14:18" x14ac:dyDescent="0.2">
      <c r="N2473" s="139" t="str">
        <f t="shared" si="45"/>
        <v>1w</v>
      </c>
      <c r="O2473" s="146">
        <f>_xll.qlCalendarAdvance(Calendar,O2472,N2473,"f",FALSE)</f>
        <v>56515</v>
      </c>
      <c r="P2473" s="140">
        <f>_xll.qlInterestRateIndexValueDate(IborIndex,O2473)</f>
        <v>56517</v>
      </c>
      <c r="Q2473" s="141" t="e">
        <v>#N/A</v>
      </c>
      <c r="R2473" s="143" t="e">
        <v>#N/A</v>
      </c>
    </row>
    <row r="2474" spans="14:18" x14ac:dyDescent="0.2">
      <c r="N2474" s="139" t="str">
        <f t="shared" si="45"/>
        <v>1w</v>
      </c>
      <c r="O2474" s="146">
        <f>_xll.qlCalendarAdvance(Calendar,O2473,N2474,"f",FALSE)</f>
        <v>56522</v>
      </c>
      <c r="P2474" s="140">
        <f>_xll.qlInterestRateIndexValueDate(IborIndex,O2474)</f>
        <v>56524</v>
      </c>
      <c r="Q2474" s="141" t="e">
        <v>#N/A</v>
      </c>
      <c r="R2474" s="143" t="e">
        <v>#N/A</v>
      </c>
    </row>
    <row r="2475" spans="14:18" x14ac:dyDescent="0.2">
      <c r="N2475" s="139" t="str">
        <f t="shared" si="45"/>
        <v>1w</v>
      </c>
      <c r="O2475" s="146">
        <f>_xll.qlCalendarAdvance(Calendar,O2474,N2475,"f",FALSE)</f>
        <v>56529</v>
      </c>
      <c r="P2475" s="140">
        <f>_xll.qlInterestRateIndexValueDate(IborIndex,O2475)</f>
        <v>56531</v>
      </c>
      <c r="Q2475" s="141" t="e">
        <v>#N/A</v>
      </c>
      <c r="R2475" s="143" t="e">
        <v>#N/A</v>
      </c>
    </row>
    <row r="2476" spans="14:18" x14ac:dyDescent="0.2">
      <c r="N2476" s="139" t="str">
        <f t="shared" si="45"/>
        <v>1w</v>
      </c>
      <c r="O2476" s="146">
        <f>_xll.qlCalendarAdvance(Calendar,O2475,N2476,"f",FALSE)</f>
        <v>56536</v>
      </c>
      <c r="P2476" s="140">
        <f>_xll.qlInterestRateIndexValueDate(IborIndex,O2476)</f>
        <v>56538</v>
      </c>
      <c r="Q2476" s="141" t="e">
        <v>#N/A</v>
      </c>
      <c r="R2476" s="143" t="e">
        <v>#N/A</v>
      </c>
    </row>
    <row r="2477" spans="14:18" x14ac:dyDescent="0.2">
      <c r="N2477" s="139" t="str">
        <f t="shared" si="45"/>
        <v>1w</v>
      </c>
      <c r="O2477" s="146">
        <f>_xll.qlCalendarAdvance(Calendar,O2476,N2477,"f",FALSE)</f>
        <v>56543</v>
      </c>
      <c r="P2477" s="140">
        <f>_xll.qlInterestRateIndexValueDate(IborIndex,O2477)</f>
        <v>56545</v>
      </c>
      <c r="Q2477" s="141" t="e">
        <v>#N/A</v>
      </c>
      <c r="R2477" s="143" t="e">
        <v>#N/A</v>
      </c>
    </row>
    <row r="2478" spans="14:18" x14ac:dyDescent="0.2">
      <c r="N2478" s="139" t="str">
        <f t="shared" si="45"/>
        <v>1w</v>
      </c>
      <c r="O2478" s="146">
        <f>_xll.qlCalendarAdvance(Calendar,O2477,N2478,"f",FALSE)</f>
        <v>56550</v>
      </c>
      <c r="P2478" s="140">
        <f>_xll.qlInterestRateIndexValueDate(IborIndex,O2478)</f>
        <v>56552</v>
      </c>
      <c r="Q2478" s="141" t="e">
        <v>#N/A</v>
      </c>
      <c r="R2478" s="143" t="e">
        <v>#N/A</v>
      </c>
    </row>
    <row r="2479" spans="14:18" x14ac:dyDescent="0.2">
      <c r="N2479" s="139" t="str">
        <f t="shared" si="45"/>
        <v>1w</v>
      </c>
      <c r="O2479" s="146">
        <f>_xll.qlCalendarAdvance(Calendar,O2478,N2479,"f",FALSE)</f>
        <v>56557</v>
      </c>
      <c r="P2479" s="140">
        <f>_xll.qlInterestRateIndexValueDate(IborIndex,O2479)</f>
        <v>56559</v>
      </c>
      <c r="Q2479" s="141" t="e">
        <v>#N/A</v>
      </c>
      <c r="R2479" s="143" t="e">
        <v>#N/A</v>
      </c>
    </row>
    <row r="2480" spans="14:18" x14ac:dyDescent="0.2">
      <c r="N2480" s="139" t="str">
        <f t="shared" si="45"/>
        <v>1w</v>
      </c>
      <c r="O2480" s="146">
        <f>_xll.qlCalendarAdvance(Calendar,O2479,N2480,"f",FALSE)</f>
        <v>56564</v>
      </c>
      <c r="P2480" s="140">
        <f>_xll.qlInterestRateIndexValueDate(IborIndex,O2480)</f>
        <v>56566</v>
      </c>
      <c r="Q2480" s="141" t="e">
        <v>#N/A</v>
      </c>
      <c r="R2480" s="143" t="e">
        <v>#N/A</v>
      </c>
    </row>
    <row r="2481" spans="14:18" x14ac:dyDescent="0.2">
      <c r="N2481" s="139" t="str">
        <f t="shared" si="45"/>
        <v>1w</v>
      </c>
      <c r="O2481" s="146">
        <f>_xll.qlCalendarAdvance(Calendar,O2480,N2481,"f",FALSE)</f>
        <v>56571</v>
      </c>
      <c r="P2481" s="140">
        <f>_xll.qlInterestRateIndexValueDate(IborIndex,O2481)</f>
        <v>56573</v>
      </c>
      <c r="Q2481" s="141" t="e">
        <v>#N/A</v>
      </c>
      <c r="R2481" s="143" t="e">
        <v>#N/A</v>
      </c>
    </row>
    <row r="2482" spans="14:18" x14ac:dyDescent="0.2">
      <c r="N2482" s="139" t="str">
        <f t="shared" si="45"/>
        <v>1w</v>
      </c>
      <c r="O2482" s="146">
        <f>_xll.qlCalendarAdvance(Calendar,O2481,N2482,"f",FALSE)</f>
        <v>56578</v>
      </c>
      <c r="P2482" s="140">
        <f>_xll.qlInterestRateIndexValueDate(IborIndex,O2482)</f>
        <v>56580</v>
      </c>
      <c r="Q2482" s="141" t="e">
        <v>#N/A</v>
      </c>
      <c r="R2482" s="143" t="e">
        <v>#N/A</v>
      </c>
    </row>
    <row r="2483" spans="14:18" x14ac:dyDescent="0.2">
      <c r="N2483" s="139" t="str">
        <f t="shared" si="45"/>
        <v>1w</v>
      </c>
      <c r="O2483" s="146">
        <f>_xll.qlCalendarAdvance(Calendar,O2482,N2483,"f",FALSE)</f>
        <v>56585</v>
      </c>
      <c r="P2483" s="140">
        <f>_xll.qlInterestRateIndexValueDate(IborIndex,O2483)</f>
        <v>56587</v>
      </c>
      <c r="Q2483" s="141" t="e">
        <v>#N/A</v>
      </c>
      <c r="R2483" s="143" t="e">
        <v>#N/A</v>
      </c>
    </row>
    <row r="2484" spans="14:18" x14ac:dyDescent="0.2">
      <c r="N2484" s="139" t="str">
        <f t="shared" si="45"/>
        <v>1w</v>
      </c>
      <c r="O2484" s="146">
        <f>_xll.qlCalendarAdvance(Calendar,O2483,N2484,"f",FALSE)</f>
        <v>56592</v>
      </c>
      <c r="P2484" s="140">
        <f>_xll.qlInterestRateIndexValueDate(IborIndex,O2484)</f>
        <v>56594</v>
      </c>
      <c r="Q2484" s="141" t="e">
        <v>#N/A</v>
      </c>
      <c r="R2484" s="143" t="e">
        <v>#N/A</v>
      </c>
    </row>
    <row r="2485" spans="14:18" x14ac:dyDescent="0.2">
      <c r="N2485" s="139" t="str">
        <f t="shared" si="45"/>
        <v>1w</v>
      </c>
      <c r="O2485" s="146">
        <f>_xll.qlCalendarAdvance(Calendar,O2484,N2485,"f",FALSE)</f>
        <v>56599</v>
      </c>
      <c r="P2485" s="140">
        <f>_xll.qlInterestRateIndexValueDate(IborIndex,O2485)</f>
        <v>56601</v>
      </c>
      <c r="Q2485" s="141" t="e">
        <v>#N/A</v>
      </c>
      <c r="R2485" s="143" t="e">
        <v>#N/A</v>
      </c>
    </row>
    <row r="2486" spans="14:18" x14ac:dyDescent="0.2">
      <c r="N2486" s="139" t="str">
        <f t="shared" si="45"/>
        <v>1w</v>
      </c>
      <c r="O2486" s="146">
        <f>_xll.qlCalendarAdvance(Calendar,O2485,N2486,"f",FALSE)</f>
        <v>56606</v>
      </c>
      <c r="P2486" s="140">
        <f>_xll.qlInterestRateIndexValueDate(IborIndex,O2486)</f>
        <v>56612</v>
      </c>
      <c r="Q2486" s="141" t="e">
        <v>#N/A</v>
      </c>
      <c r="R2486" s="143" t="e">
        <v>#N/A</v>
      </c>
    </row>
    <row r="2487" spans="14:18" x14ac:dyDescent="0.2">
      <c r="N2487" s="139" t="str">
        <f t="shared" si="45"/>
        <v>1w</v>
      </c>
      <c r="O2487" s="146">
        <f>_xll.qlCalendarAdvance(Calendar,O2486,N2487,"f",FALSE)</f>
        <v>56613</v>
      </c>
      <c r="P2487" s="140">
        <f>_xll.qlInterestRateIndexValueDate(IborIndex,O2487)</f>
        <v>56619</v>
      </c>
      <c r="Q2487" s="141" t="e">
        <v>#N/A</v>
      </c>
      <c r="R2487" s="143" t="e">
        <v>#N/A</v>
      </c>
    </row>
    <row r="2488" spans="14:18" x14ac:dyDescent="0.2">
      <c r="N2488" s="139" t="str">
        <f t="shared" si="45"/>
        <v>1w</v>
      </c>
      <c r="O2488" s="146">
        <f>_xll.qlCalendarAdvance(Calendar,O2487,N2488,"f",FALSE)</f>
        <v>56621</v>
      </c>
      <c r="P2488" s="140">
        <f>_xll.qlInterestRateIndexValueDate(IborIndex,O2488)</f>
        <v>56625</v>
      </c>
      <c r="Q2488" s="141" t="e">
        <v>#N/A</v>
      </c>
      <c r="R2488" s="143" t="e">
        <v>#N/A</v>
      </c>
    </row>
    <row r="2489" spans="14:18" x14ac:dyDescent="0.2">
      <c r="N2489" s="139" t="str">
        <f t="shared" si="45"/>
        <v>1w</v>
      </c>
      <c r="O2489" s="146">
        <f>_xll.qlCalendarAdvance(Calendar,O2488,N2489,"f",FALSE)</f>
        <v>56628</v>
      </c>
      <c r="P2489" s="140">
        <f>_xll.qlInterestRateIndexValueDate(IborIndex,O2489)</f>
        <v>56632</v>
      </c>
      <c r="Q2489" s="141" t="e">
        <v>#N/A</v>
      </c>
      <c r="R2489" s="143" t="e">
        <v>#N/A</v>
      </c>
    </row>
    <row r="2490" spans="14:18" x14ac:dyDescent="0.2">
      <c r="N2490" s="139" t="str">
        <f t="shared" si="45"/>
        <v>1w</v>
      </c>
      <c r="O2490" s="146">
        <f>_xll.qlCalendarAdvance(Calendar,O2489,N2490,"f",FALSE)</f>
        <v>56635</v>
      </c>
      <c r="P2490" s="140">
        <f>_xll.qlInterestRateIndexValueDate(IborIndex,O2490)</f>
        <v>56639</v>
      </c>
      <c r="Q2490" s="141" t="e">
        <v>#N/A</v>
      </c>
      <c r="R2490" s="143" t="e">
        <v>#N/A</v>
      </c>
    </row>
    <row r="2491" spans="14:18" x14ac:dyDescent="0.2">
      <c r="N2491" s="139" t="str">
        <f t="shared" si="45"/>
        <v>1w</v>
      </c>
      <c r="O2491" s="146">
        <f>_xll.qlCalendarAdvance(Calendar,O2490,N2491,"f",FALSE)</f>
        <v>56642</v>
      </c>
      <c r="P2491" s="140">
        <f>_xll.qlInterestRateIndexValueDate(IborIndex,O2491)</f>
        <v>56646</v>
      </c>
      <c r="Q2491" s="141" t="e">
        <v>#N/A</v>
      </c>
      <c r="R2491" s="143" t="e">
        <v>#N/A</v>
      </c>
    </row>
    <row r="2492" spans="14:18" x14ac:dyDescent="0.2">
      <c r="N2492" s="139" t="str">
        <f t="shared" si="45"/>
        <v>1w</v>
      </c>
      <c r="O2492" s="146">
        <f>_xll.qlCalendarAdvance(Calendar,O2491,N2492,"f",FALSE)</f>
        <v>56649</v>
      </c>
      <c r="P2492" s="140">
        <f>_xll.qlInterestRateIndexValueDate(IborIndex,O2492)</f>
        <v>56653</v>
      </c>
      <c r="Q2492" s="141" t="e">
        <v>#N/A</v>
      </c>
      <c r="R2492" s="143" t="e">
        <v>#N/A</v>
      </c>
    </row>
    <row r="2493" spans="14:18" x14ac:dyDescent="0.2">
      <c r="N2493" s="139" t="str">
        <f t="shared" si="45"/>
        <v>1w</v>
      </c>
      <c r="O2493" s="146">
        <f>_xll.qlCalendarAdvance(Calendar,O2492,N2493,"f",FALSE)</f>
        <v>56656</v>
      </c>
      <c r="P2493" s="140">
        <f>_xll.qlInterestRateIndexValueDate(IborIndex,O2493)</f>
        <v>56660</v>
      </c>
      <c r="Q2493" s="141" t="e">
        <v>#N/A</v>
      </c>
      <c r="R2493" s="143" t="e">
        <v>#N/A</v>
      </c>
    </row>
    <row r="2494" spans="14:18" x14ac:dyDescent="0.2">
      <c r="N2494" s="139" t="str">
        <f t="shared" si="45"/>
        <v>1w</v>
      </c>
      <c r="O2494" s="146">
        <f>_xll.qlCalendarAdvance(Calendar,O2493,N2494,"f",FALSE)</f>
        <v>56663</v>
      </c>
      <c r="P2494" s="140">
        <f>_xll.qlInterestRateIndexValueDate(IborIndex,O2494)</f>
        <v>56667</v>
      </c>
      <c r="Q2494" s="141" t="e">
        <v>#N/A</v>
      </c>
      <c r="R2494" s="143" t="e">
        <v>#N/A</v>
      </c>
    </row>
    <row r="2495" spans="14:18" x14ac:dyDescent="0.2">
      <c r="N2495" s="139" t="str">
        <f t="shared" si="45"/>
        <v>1w</v>
      </c>
      <c r="O2495" s="146">
        <f>_xll.qlCalendarAdvance(Calendar,O2494,N2495,"f",FALSE)</f>
        <v>56670</v>
      </c>
      <c r="P2495" s="140">
        <f>_xll.qlInterestRateIndexValueDate(IborIndex,O2495)</f>
        <v>56674</v>
      </c>
      <c r="Q2495" s="141" t="e">
        <v>#N/A</v>
      </c>
      <c r="R2495" s="143" t="e">
        <v>#N/A</v>
      </c>
    </row>
    <row r="2496" spans="14:18" x14ac:dyDescent="0.2">
      <c r="N2496" s="139" t="str">
        <f t="shared" si="45"/>
        <v>1w</v>
      </c>
      <c r="O2496" s="146">
        <f>_xll.qlCalendarAdvance(Calendar,O2495,N2496,"f",FALSE)</f>
        <v>56677</v>
      </c>
      <c r="P2496" s="140">
        <f>_xll.qlInterestRateIndexValueDate(IborIndex,O2496)</f>
        <v>56681</v>
      </c>
      <c r="Q2496" s="141" t="e">
        <v>#N/A</v>
      </c>
      <c r="R2496" s="143" t="e">
        <v>#N/A</v>
      </c>
    </row>
    <row r="2497" spans="14:18" x14ac:dyDescent="0.2">
      <c r="N2497" s="139" t="str">
        <f t="shared" si="45"/>
        <v>1w</v>
      </c>
      <c r="O2497" s="146">
        <f>_xll.qlCalendarAdvance(Calendar,O2496,N2497,"f",FALSE)</f>
        <v>56684</v>
      </c>
      <c r="P2497" s="140">
        <f>_xll.qlInterestRateIndexValueDate(IborIndex,O2497)</f>
        <v>56688</v>
      </c>
      <c r="Q2497" s="141" t="e">
        <v>#N/A</v>
      </c>
      <c r="R2497" s="143" t="e">
        <v>#N/A</v>
      </c>
    </row>
    <row r="2498" spans="14:18" x14ac:dyDescent="0.2">
      <c r="N2498" s="139" t="str">
        <f t="shared" si="45"/>
        <v>1w</v>
      </c>
      <c r="O2498" s="146">
        <f>_xll.qlCalendarAdvance(Calendar,O2497,N2498,"f",FALSE)</f>
        <v>56691</v>
      </c>
      <c r="P2498" s="140">
        <f>_xll.qlInterestRateIndexValueDate(IborIndex,O2498)</f>
        <v>56695</v>
      </c>
      <c r="Q2498" s="141" t="e">
        <v>#N/A</v>
      </c>
      <c r="R2498" s="143" t="e">
        <v>#N/A</v>
      </c>
    </row>
    <row r="2499" spans="14:18" x14ac:dyDescent="0.2">
      <c r="N2499" s="139" t="str">
        <f t="shared" si="45"/>
        <v>1w</v>
      </c>
      <c r="O2499" s="146">
        <f>_xll.qlCalendarAdvance(Calendar,O2498,N2499,"f",FALSE)</f>
        <v>56698</v>
      </c>
      <c r="P2499" s="140">
        <f>_xll.qlInterestRateIndexValueDate(IborIndex,O2499)</f>
        <v>56702</v>
      </c>
      <c r="Q2499" s="141" t="e">
        <v>#N/A</v>
      </c>
      <c r="R2499" s="143" t="e">
        <v>#N/A</v>
      </c>
    </row>
    <row r="2500" spans="14:18" x14ac:dyDescent="0.2">
      <c r="N2500" s="139" t="str">
        <f t="shared" si="45"/>
        <v>1w</v>
      </c>
      <c r="O2500" s="146">
        <f>_xll.qlCalendarAdvance(Calendar,O2499,N2500,"f",FALSE)</f>
        <v>56705</v>
      </c>
      <c r="P2500" s="140">
        <f>_xll.qlInterestRateIndexValueDate(IborIndex,O2500)</f>
        <v>56709</v>
      </c>
      <c r="Q2500" s="141" t="e">
        <v>#N/A</v>
      </c>
      <c r="R2500" s="143" t="e">
        <v>#N/A</v>
      </c>
    </row>
    <row r="2501" spans="14:18" x14ac:dyDescent="0.2">
      <c r="N2501" s="139" t="str">
        <f t="shared" si="45"/>
        <v>1w</v>
      </c>
      <c r="O2501" s="146">
        <f>_xll.qlCalendarAdvance(Calendar,O2500,N2501,"f",FALSE)</f>
        <v>56712</v>
      </c>
      <c r="P2501" s="140">
        <f>_xll.qlInterestRateIndexValueDate(IborIndex,O2501)</f>
        <v>56716</v>
      </c>
      <c r="Q2501" s="141" t="e">
        <v>#N/A</v>
      </c>
      <c r="R2501" s="143" t="e">
        <v>#N/A</v>
      </c>
    </row>
    <row r="2502" spans="14:18" x14ac:dyDescent="0.2">
      <c r="N2502" s="139" t="str">
        <f t="shared" si="45"/>
        <v>1w</v>
      </c>
      <c r="O2502" s="146">
        <f>_xll.qlCalendarAdvance(Calendar,O2501,N2502,"f",FALSE)</f>
        <v>56719</v>
      </c>
      <c r="P2502" s="140">
        <f>_xll.qlInterestRateIndexValueDate(IborIndex,O2502)</f>
        <v>56725</v>
      </c>
      <c r="Q2502" s="141" t="e">
        <v>#N/A</v>
      </c>
      <c r="R2502" s="143" t="e">
        <v>#N/A</v>
      </c>
    </row>
    <row r="2503" spans="14:18" x14ac:dyDescent="0.2">
      <c r="N2503" s="139" t="str">
        <f t="shared" si="45"/>
        <v>1w</v>
      </c>
      <c r="O2503" s="146">
        <f>_xll.qlCalendarAdvance(Calendar,O2502,N2503,"f",FALSE)</f>
        <v>56726</v>
      </c>
      <c r="P2503" s="140">
        <f>_xll.qlInterestRateIndexValueDate(IborIndex,O2503)</f>
        <v>56730</v>
      </c>
      <c r="Q2503" s="141" t="e">
        <v>#N/A</v>
      </c>
      <c r="R2503" s="143" t="e">
        <v>#N/A</v>
      </c>
    </row>
    <row r="2504" spans="14:18" x14ac:dyDescent="0.2">
      <c r="N2504" s="139" t="str">
        <f t="shared" si="45"/>
        <v>1w</v>
      </c>
      <c r="O2504" s="146">
        <f>_xll.qlCalendarAdvance(Calendar,O2503,N2504,"f",FALSE)</f>
        <v>56733</v>
      </c>
      <c r="P2504" s="140">
        <f>_xll.qlInterestRateIndexValueDate(IborIndex,O2504)</f>
        <v>56737</v>
      </c>
      <c r="Q2504" s="141" t="e">
        <v>#N/A</v>
      </c>
      <c r="R2504" s="143" t="e">
        <v>#N/A</v>
      </c>
    </row>
    <row r="2505" spans="14:18" x14ac:dyDescent="0.2">
      <c r="N2505" s="139" t="str">
        <f t="shared" si="45"/>
        <v>1w</v>
      </c>
      <c r="O2505" s="146">
        <f>_xll.qlCalendarAdvance(Calendar,O2504,N2505,"f",FALSE)</f>
        <v>56740</v>
      </c>
      <c r="P2505" s="140">
        <f>_xll.qlInterestRateIndexValueDate(IborIndex,O2505)</f>
        <v>56744</v>
      </c>
      <c r="Q2505" s="141" t="e">
        <v>#N/A</v>
      </c>
      <c r="R2505" s="143" t="e">
        <v>#N/A</v>
      </c>
    </row>
    <row r="2506" spans="14:18" x14ac:dyDescent="0.2">
      <c r="N2506" s="139" t="str">
        <f t="shared" si="45"/>
        <v>1w</v>
      </c>
      <c r="O2506" s="146">
        <f>_xll.qlCalendarAdvance(Calendar,O2505,N2506,"f",FALSE)</f>
        <v>56747</v>
      </c>
      <c r="P2506" s="140">
        <f>_xll.qlInterestRateIndexValueDate(IborIndex,O2506)</f>
        <v>56751</v>
      </c>
      <c r="Q2506" s="141" t="e">
        <v>#N/A</v>
      </c>
      <c r="R2506" s="143" t="e">
        <v>#N/A</v>
      </c>
    </row>
    <row r="2507" spans="14:18" x14ac:dyDescent="0.2">
      <c r="N2507" s="139" t="str">
        <f t="shared" si="45"/>
        <v>1w</v>
      </c>
      <c r="O2507" s="146">
        <f>_xll.qlCalendarAdvance(Calendar,O2506,N2507,"f",FALSE)</f>
        <v>56754</v>
      </c>
      <c r="P2507" s="140">
        <f>_xll.qlInterestRateIndexValueDate(IborIndex,O2507)</f>
        <v>56758</v>
      </c>
      <c r="Q2507" s="141" t="e">
        <v>#N/A</v>
      </c>
      <c r="R2507" s="143" t="e">
        <v>#N/A</v>
      </c>
    </row>
    <row r="2508" spans="14:18" x14ac:dyDescent="0.2">
      <c r="N2508" s="139" t="str">
        <f t="shared" si="45"/>
        <v>1w</v>
      </c>
      <c r="O2508" s="146">
        <f>_xll.qlCalendarAdvance(Calendar,O2507,N2508,"f",FALSE)</f>
        <v>56762</v>
      </c>
      <c r="P2508" s="140">
        <f>_xll.qlInterestRateIndexValueDate(IborIndex,O2508)</f>
        <v>56766</v>
      </c>
      <c r="Q2508" s="141" t="e">
        <v>#N/A</v>
      </c>
      <c r="R2508" s="143" t="e">
        <v>#N/A</v>
      </c>
    </row>
    <row r="2509" spans="14:18" x14ac:dyDescent="0.2">
      <c r="N2509" s="139" t="str">
        <f t="shared" si="45"/>
        <v>1w</v>
      </c>
      <c r="O2509" s="146">
        <f>_xll.qlCalendarAdvance(Calendar,O2508,N2509,"f",FALSE)</f>
        <v>56769</v>
      </c>
      <c r="P2509" s="140">
        <f>_xll.qlInterestRateIndexValueDate(IborIndex,O2509)</f>
        <v>56774</v>
      </c>
      <c r="Q2509" s="141" t="e">
        <v>#N/A</v>
      </c>
      <c r="R2509" s="143" t="e">
        <v>#N/A</v>
      </c>
    </row>
    <row r="2510" spans="14:18" x14ac:dyDescent="0.2">
      <c r="N2510" s="139" t="str">
        <f t="shared" si="45"/>
        <v>1w</v>
      </c>
      <c r="O2510" s="146">
        <f>_xll.qlCalendarAdvance(Calendar,O2509,N2510,"f",FALSE)</f>
        <v>56776</v>
      </c>
      <c r="P2510" s="140">
        <f>_xll.qlInterestRateIndexValueDate(IborIndex,O2510)</f>
        <v>56780</v>
      </c>
      <c r="Q2510" s="141" t="e">
        <v>#N/A</v>
      </c>
      <c r="R2510" s="143" t="e">
        <v>#N/A</v>
      </c>
    </row>
    <row r="2511" spans="14:18" x14ac:dyDescent="0.2">
      <c r="N2511" s="139" t="str">
        <f t="shared" si="45"/>
        <v>1w</v>
      </c>
      <c r="O2511" s="146">
        <f>_xll.qlCalendarAdvance(Calendar,O2510,N2511,"f",FALSE)</f>
        <v>56783</v>
      </c>
      <c r="P2511" s="140">
        <f>_xll.qlInterestRateIndexValueDate(IborIndex,O2511)</f>
        <v>56787</v>
      </c>
      <c r="Q2511" s="141" t="e">
        <v>#N/A</v>
      </c>
      <c r="R2511" s="143" t="e">
        <v>#N/A</v>
      </c>
    </row>
    <row r="2512" spans="14:18" x14ac:dyDescent="0.2">
      <c r="N2512" s="139" t="str">
        <f t="shared" si="45"/>
        <v>1w</v>
      </c>
      <c r="O2512" s="146">
        <f>_xll.qlCalendarAdvance(Calendar,O2511,N2512,"f",FALSE)</f>
        <v>56793</v>
      </c>
      <c r="P2512" s="140">
        <f>_xll.qlInterestRateIndexValueDate(IborIndex,O2512)</f>
        <v>56795</v>
      </c>
      <c r="Q2512" s="141" t="e">
        <v>#N/A</v>
      </c>
      <c r="R2512" s="143" t="e">
        <v>#N/A</v>
      </c>
    </row>
    <row r="2513" spans="14:18" x14ac:dyDescent="0.2">
      <c r="N2513" s="139" t="str">
        <f t="shared" si="45"/>
        <v>1w</v>
      </c>
      <c r="O2513" s="146">
        <f>_xll.qlCalendarAdvance(Calendar,O2512,N2513,"f",FALSE)</f>
        <v>56800</v>
      </c>
      <c r="P2513" s="140">
        <f>_xll.qlInterestRateIndexValueDate(IborIndex,O2513)</f>
        <v>56802</v>
      </c>
      <c r="Q2513" s="141" t="e">
        <v>#N/A</v>
      </c>
      <c r="R2513" s="143" t="e">
        <v>#N/A</v>
      </c>
    </row>
    <row r="2514" spans="14:18" x14ac:dyDescent="0.2">
      <c r="N2514" s="139" t="str">
        <f t="shared" si="45"/>
        <v>1w</v>
      </c>
      <c r="O2514" s="146">
        <f>_xll.qlCalendarAdvance(Calendar,O2513,N2514,"f",FALSE)</f>
        <v>56807</v>
      </c>
      <c r="P2514" s="140">
        <f>_xll.qlInterestRateIndexValueDate(IborIndex,O2514)</f>
        <v>56809</v>
      </c>
      <c r="Q2514" s="141" t="e">
        <v>#N/A</v>
      </c>
      <c r="R2514" s="143" t="e">
        <v>#N/A</v>
      </c>
    </row>
    <row r="2515" spans="14:18" x14ac:dyDescent="0.2">
      <c r="N2515" s="139" t="str">
        <f t="shared" si="45"/>
        <v>1w</v>
      </c>
      <c r="O2515" s="146">
        <f>_xll.qlCalendarAdvance(Calendar,O2514,N2515,"f",FALSE)</f>
        <v>56814</v>
      </c>
      <c r="P2515" s="140">
        <f>_xll.qlInterestRateIndexValueDate(IborIndex,O2515)</f>
        <v>56816</v>
      </c>
      <c r="Q2515" s="141" t="e">
        <v>#N/A</v>
      </c>
      <c r="R2515" s="143" t="e">
        <v>#N/A</v>
      </c>
    </row>
    <row r="2516" spans="14:18" x14ac:dyDescent="0.2">
      <c r="N2516" s="139" t="str">
        <f t="shared" si="45"/>
        <v>1w</v>
      </c>
      <c r="O2516" s="146">
        <f>_xll.qlCalendarAdvance(Calendar,O2515,N2516,"f",FALSE)</f>
        <v>56821</v>
      </c>
      <c r="P2516" s="140">
        <f>_xll.qlInterestRateIndexValueDate(IborIndex,O2516)</f>
        <v>56823</v>
      </c>
      <c r="Q2516" s="141" t="e">
        <v>#N/A</v>
      </c>
      <c r="R2516" s="143" t="e">
        <v>#N/A</v>
      </c>
    </row>
    <row r="2517" spans="14:18" x14ac:dyDescent="0.2">
      <c r="N2517" s="139" t="str">
        <f t="shared" ref="N2517:N2580" si="46">N2516</f>
        <v>1w</v>
      </c>
      <c r="O2517" s="146">
        <f>_xll.qlCalendarAdvance(Calendar,O2516,N2517,"f",FALSE)</f>
        <v>56828</v>
      </c>
      <c r="P2517" s="140">
        <f>_xll.qlInterestRateIndexValueDate(IborIndex,O2517)</f>
        <v>56830</v>
      </c>
      <c r="Q2517" s="141" t="e">
        <v>#N/A</v>
      </c>
      <c r="R2517" s="143" t="e">
        <v>#N/A</v>
      </c>
    </row>
    <row r="2518" spans="14:18" x14ac:dyDescent="0.2">
      <c r="N2518" s="139" t="str">
        <f t="shared" si="46"/>
        <v>1w</v>
      </c>
      <c r="O2518" s="146">
        <f>_xll.qlCalendarAdvance(Calendar,O2517,N2518,"f",FALSE)</f>
        <v>56835</v>
      </c>
      <c r="P2518" s="140">
        <f>_xll.qlInterestRateIndexValueDate(IborIndex,O2518)</f>
        <v>56837</v>
      </c>
      <c r="Q2518" s="141" t="e">
        <v>#N/A</v>
      </c>
      <c r="R2518" s="143" t="e">
        <v>#N/A</v>
      </c>
    </row>
    <row r="2519" spans="14:18" x14ac:dyDescent="0.2">
      <c r="N2519" s="139" t="str">
        <f t="shared" si="46"/>
        <v>1w</v>
      </c>
      <c r="O2519" s="146">
        <f>_xll.qlCalendarAdvance(Calendar,O2518,N2519,"f",FALSE)</f>
        <v>56842</v>
      </c>
      <c r="P2519" s="140">
        <f>_xll.qlInterestRateIndexValueDate(IborIndex,O2519)</f>
        <v>56844</v>
      </c>
      <c r="Q2519" s="141" t="e">
        <v>#N/A</v>
      </c>
      <c r="R2519" s="143" t="e">
        <v>#N/A</v>
      </c>
    </row>
    <row r="2520" spans="14:18" x14ac:dyDescent="0.2">
      <c r="N2520" s="139" t="str">
        <f t="shared" si="46"/>
        <v>1w</v>
      </c>
      <c r="O2520" s="146">
        <f>_xll.qlCalendarAdvance(Calendar,O2519,N2520,"f",FALSE)</f>
        <v>56849</v>
      </c>
      <c r="P2520" s="140">
        <f>_xll.qlInterestRateIndexValueDate(IborIndex,O2520)</f>
        <v>56851</v>
      </c>
      <c r="Q2520" s="141" t="e">
        <v>#N/A</v>
      </c>
      <c r="R2520" s="143" t="e">
        <v>#N/A</v>
      </c>
    </row>
    <row r="2521" spans="14:18" x14ac:dyDescent="0.2">
      <c r="N2521" s="139" t="str">
        <f t="shared" si="46"/>
        <v>1w</v>
      </c>
      <c r="O2521" s="146">
        <f>_xll.qlCalendarAdvance(Calendar,O2520,N2521,"f",FALSE)</f>
        <v>56856</v>
      </c>
      <c r="P2521" s="140">
        <f>_xll.qlInterestRateIndexValueDate(IborIndex,O2521)</f>
        <v>56858</v>
      </c>
      <c r="Q2521" s="141" t="e">
        <v>#N/A</v>
      </c>
      <c r="R2521" s="143" t="e">
        <v>#N/A</v>
      </c>
    </row>
    <row r="2522" spans="14:18" x14ac:dyDescent="0.2">
      <c r="N2522" s="139" t="str">
        <f t="shared" si="46"/>
        <v>1w</v>
      </c>
      <c r="O2522" s="146">
        <f>_xll.qlCalendarAdvance(Calendar,O2521,N2522,"f",FALSE)</f>
        <v>56863</v>
      </c>
      <c r="P2522" s="140">
        <f>_xll.qlInterestRateIndexValueDate(IborIndex,O2522)</f>
        <v>56865</v>
      </c>
      <c r="Q2522" s="141" t="e">
        <v>#N/A</v>
      </c>
      <c r="R2522" s="143" t="e">
        <v>#N/A</v>
      </c>
    </row>
    <row r="2523" spans="14:18" x14ac:dyDescent="0.2">
      <c r="N2523" s="139" t="str">
        <f t="shared" si="46"/>
        <v>1w</v>
      </c>
      <c r="O2523" s="146">
        <f>_xll.qlCalendarAdvance(Calendar,O2522,N2523,"f",FALSE)</f>
        <v>56870</v>
      </c>
      <c r="P2523" s="140">
        <f>_xll.qlInterestRateIndexValueDate(IborIndex,O2523)</f>
        <v>56872</v>
      </c>
      <c r="Q2523" s="141" t="e">
        <v>#N/A</v>
      </c>
      <c r="R2523" s="143" t="e">
        <v>#N/A</v>
      </c>
    </row>
    <row r="2524" spans="14:18" x14ac:dyDescent="0.2">
      <c r="N2524" s="139" t="str">
        <f t="shared" si="46"/>
        <v>1w</v>
      </c>
      <c r="O2524" s="146">
        <f>_xll.qlCalendarAdvance(Calendar,O2523,N2524,"f",FALSE)</f>
        <v>56877</v>
      </c>
      <c r="P2524" s="140">
        <f>_xll.qlInterestRateIndexValueDate(IborIndex,O2524)</f>
        <v>56879</v>
      </c>
      <c r="Q2524" s="141" t="e">
        <v>#N/A</v>
      </c>
      <c r="R2524" s="143" t="e">
        <v>#N/A</v>
      </c>
    </row>
    <row r="2525" spans="14:18" x14ac:dyDescent="0.2">
      <c r="N2525" s="139" t="str">
        <f t="shared" si="46"/>
        <v>1w</v>
      </c>
      <c r="O2525" s="146">
        <f>_xll.qlCalendarAdvance(Calendar,O2524,N2525,"f",FALSE)</f>
        <v>56884</v>
      </c>
      <c r="P2525" s="140">
        <f>_xll.qlInterestRateIndexValueDate(IborIndex,O2525)</f>
        <v>56886</v>
      </c>
      <c r="Q2525" s="141" t="e">
        <v>#N/A</v>
      </c>
      <c r="R2525" s="143" t="e">
        <v>#N/A</v>
      </c>
    </row>
    <row r="2526" spans="14:18" x14ac:dyDescent="0.2">
      <c r="N2526" s="139" t="str">
        <f t="shared" si="46"/>
        <v>1w</v>
      </c>
      <c r="O2526" s="146">
        <f>_xll.qlCalendarAdvance(Calendar,O2525,N2526,"f",FALSE)</f>
        <v>56891</v>
      </c>
      <c r="P2526" s="140">
        <f>_xll.qlInterestRateIndexValueDate(IborIndex,O2526)</f>
        <v>56893</v>
      </c>
      <c r="Q2526" s="141" t="e">
        <v>#N/A</v>
      </c>
      <c r="R2526" s="143" t="e">
        <v>#N/A</v>
      </c>
    </row>
    <row r="2527" spans="14:18" x14ac:dyDescent="0.2">
      <c r="N2527" s="139" t="str">
        <f t="shared" si="46"/>
        <v>1w</v>
      </c>
      <c r="O2527" s="146">
        <f>_xll.qlCalendarAdvance(Calendar,O2526,N2527,"f",FALSE)</f>
        <v>56898</v>
      </c>
      <c r="P2527" s="140">
        <f>_xll.qlInterestRateIndexValueDate(IborIndex,O2527)</f>
        <v>56900</v>
      </c>
      <c r="Q2527" s="141" t="e">
        <v>#N/A</v>
      </c>
      <c r="R2527" s="143" t="e">
        <v>#N/A</v>
      </c>
    </row>
    <row r="2528" spans="14:18" x14ac:dyDescent="0.2">
      <c r="N2528" s="139" t="str">
        <f t="shared" si="46"/>
        <v>1w</v>
      </c>
      <c r="O2528" s="146">
        <f>_xll.qlCalendarAdvance(Calendar,O2527,N2528,"f",FALSE)</f>
        <v>56905</v>
      </c>
      <c r="P2528" s="140">
        <f>_xll.qlInterestRateIndexValueDate(IborIndex,O2528)</f>
        <v>56907</v>
      </c>
      <c r="Q2528" s="141" t="e">
        <v>#N/A</v>
      </c>
      <c r="R2528" s="143" t="e">
        <v>#N/A</v>
      </c>
    </row>
    <row r="2529" spans="14:18" x14ac:dyDescent="0.2">
      <c r="N2529" s="139" t="str">
        <f t="shared" si="46"/>
        <v>1w</v>
      </c>
      <c r="O2529" s="146">
        <f>_xll.qlCalendarAdvance(Calendar,O2528,N2529,"f",FALSE)</f>
        <v>56912</v>
      </c>
      <c r="P2529" s="140">
        <f>_xll.qlInterestRateIndexValueDate(IborIndex,O2529)</f>
        <v>56914</v>
      </c>
      <c r="Q2529" s="141" t="e">
        <v>#N/A</v>
      </c>
      <c r="R2529" s="143" t="e">
        <v>#N/A</v>
      </c>
    </row>
    <row r="2530" spans="14:18" x14ac:dyDescent="0.2">
      <c r="N2530" s="139" t="str">
        <f t="shared" si="46"/>
        <v>1w</v>
      </c>
      <c r="O2530" s="146">
        <f>_xll.qlCalendarAdvance(Calendar,O2529,N2530,"f",FALSE)</f>
        <v>56919</v>
      </c>
      <c r="P2530" s="140">
        <f>_xll.qlInterestRateIndexValueDate(IborIndex,O2530)</f>
        <v>56921</v>
      </c>
      <c r="Q2530" s="141" t="e">
        <v>#N/A</v>
      </c>
      <c r="R2530" s="143" t="e">
        <v>#N/A</v>
      </c>
    </row>
    <row r="2531" spans="14:18" x14ac:dyDescent="0.2">
      <c r="N2531" s="139" t="str">
        <f t="shared" si="46"/>
        <v>1w</v>
      </c>
      <c r="O2531" s="146">
        <f>_xll.qlCalendarAdvance(Calendar,O2530,N2531,"f",FALSE)</f>
        <v>56926</v>
      </c>
      <c r="P2531" s="140">
        <f>_xll.qlInterestRateIndexValueDate(IborIndex,O2531)</f>
        <v>56928</v>
      </c>
      <c r="Q2531" s="141" t="e">
        <v>#N/A</v>
      </c>
      <c r="R2531" s="143" t="e">
        <v>#N/A</v>
      </c>
    </row>
    <row r="2532" spans="14:18" x14ac:dyDescent="0.2">
      <c r="N2532" s="139" t="str">
        <f t="shared" si="46"/>
        <v>1w</v>
      </c>
      <c r="O2532" s="146">
        <f>_xll.qlCalendarAdvance(Calendar,O2531,N2532,"f",FALSE)</f>
        <v>56933</v>
      </c>
      <c r="P2532" s="140">
        <f>_xll.qlInterestRateIndexValueDate(IborIndex,O2532)</f>
        <v>56935</v>
      </c>
      <c r="Q2532" s="141" t="e">
        <v>#N/A</v>
      </c>
      <c r="R2532" s="143" t="e">
        <v>#N/A</v>
      </c>
    </row>
    <row r="2533" spans="14:18" x14ac:dyDescent="0.2">
      <c r="N2533" s="139" t="str">
        <f t="shared" si="46"/>
        <v>1w</v>
      </c>
      <c r="O2533" s="146">
        <f>_xll.qlCalendarAdvance(Calendar,O2532,N2533,"f",FALSE)</f>
        <v>56940</v>
      </c>
      <c r="P2533" s="140">
        <f>_xll.qlInterestRateIndexValueDate(IborIndex,O2533)</f>
        <v>56942</v>
      </c>
      <c r="Q2533" s="141" t="e">
        <v>#N/A</v>
      </c>
      <c r="R2533" s="143" t="e">
        <v>#N/A</v>
      </c>
    </row>
    <row r="2534" spans="14:18" x14ac:dyDescent="0.2">
      <c r="N2534" s="139" t="str">
        <f t="shared" si="46"/>
        <v>1w</v>
      </c>
      <c r="O2534" s="146">
        <f>_xll.qlCalendarAdvance(Calendar,O2533,N2534,"f",FALSE)</f>
        <v>56947</v>
      </c>
      <c r="P2534" s="140">
        <f>_xll.qlInterestRateIndexValueDate(IborIndex,O2534)</f>
        <v>56949</v>
      </c>
      <c r="Q2534" s="141" t="e">
        <v>#N/A</v>
      </c>
      <c r="R2534" s="143" t="e">
        <v>#N/A</v>
      </c>
    </row>
    <row r="2535" spans="14:18" x14ac:dyDescent="0.2">
      <c r="N2535" s="139" t="str">
        <f t="shared" si="46"/>
        <v>1w</v>
      </c>
      <c r="O2535" s="146">
        <f>_xll.qlCalendarAdvance(Calendar,O2534,N2535,"f",FALSE)</f>
        <v>56954</v>
      </c>
      <c r="P2535" s="140">
        <f>_xll.qlInterestRateIndexValueDate(IborIndex,O2535)</f>
        <v>56956</v>
      </c>
      <c r="Q2535" s="141" t="e">
        <v>#N/A</v>
      </c>
      <c r="R2535" s="143" t="e">
        <v>#N/A</v>
      </c>
    </row>
    <row r="2536" spans="14:18" x14ac:dyDescent="0.2">
      <c r="N2536" s="139" t="str">
        <f t="shared" si="46"/>
        <v>1w</v>
      </c>
      <c r="O2536" s="146">
        <f>_xll.qlCalendarAdvance(Calendar,O2535,N2536,"f",FALSE)</f>
        <v>56961</v>
      </c>
      <c r="P2536" s="140">
        <f>_xll.qlInterestRateIndexValueDate(IborIndex,O2536)</f>
        <v>56963</v>
      </c>
      <c r="Q2536" s="141" t="e">
        <v>#N/A</v>
      </c>
      <c r="R2536" s="143" t="e">
        <v>#N/A</v>
      </c>
    </row>
    <row r="2537" spans="14:18" x14ac:dyDescent="0.2">
      <c r="N2537" s="139" t="str">
        <f t="shared" si="46"/>
        <v>1w</v>
      </c>
      <c r="O2537" s="146">
        <f>_xll.qlCalendarAdvance(Calendar,O2536,N2537,"f",FALSE)</f>
        <v>56968</v>
      </c>
      <c r="P2537" s="140">
        <f>_xll.qlInterestRateIndexValueDate(IborIndex,O2537)</f>
        <v>56970</v>
      </c>
      <c r="Q2537" s="141" t="e">
        <v>#N/A</v>
      </c>
      <c r="R2537" s="143" t="e">
        <v>#N/A</v>
      </c>
    </row>
    <row r="2538" spans="14:18" x14ac:dyDescent="0.2">
      <c r="N2538" s="139" t="str">
        <f t="shared" si="46"/>
        <v>1w</v>
      </c>
      <c r="O2538" s="146">
        <f>_xll.qlCalendarAdvance(Calendar,O2537,N2538,"f",FALSE)</f>
        <v>56975</v>
      </c>
      <c r="P2538" s="140">
        <f>_xll.qlInterestRateIndexValueDate(IborIndex,O2538)</f>
        <v>56977</v>
      </c>
      <c r="Q2538" s="141" t="e">
        <v>#N/A</v>
      </c>
      <c r="R2538" s="143" t="e">
        <v>#N/A</v>
      </c>
    </row>
    <row r="2539" spans="14:18" x14ac:dyDescent="0.2">
      <c r="N2539" s="139" t="str">
        <f t="shared" si="46"/>
        <v>1w</v>
      </c>
      <c r="O2539" s="146">
        <f>_xll.qlCalendarAdvance(Calendar,O2538,N2539,"f",FALSE)</f>
        <v>56982</v>
      </c>
      <c r="P2539" s="140">
        <f>_xll.qlInterestRateIndexValueDate(IborIndex,O2539)</f>
        <v>56984</v>
      </c>
      <c r="Q2539" s="141" t="e">
        <v>#N/A</v>
      </c>
      <c r="R2539" s="143" t="e">
        <v>#N/A</v>
      </c>
    </row>
    <row r="2540" spans="14:18" x14ac:dyDescent="0.2">
      <c r="N2540" s="139" t="str">
        <f t="shared" si="46"/>
        <v>1w</v>
      </c>
      <c r="O2540" s="146">
        <f>_xll.qlCalendarAdvance(Calendar,O2539,N2540,"f",FALSE)</f>
        <v>56989</v>
      </c>
      <c r="P2540" s="140">
        <f>_xll.qlInterestRateIndexValueDate(IborIndex,O2540)</f>
        <v>56991</v>
      </c>
      <c r="Q2540" s="141" t="e">
        <v>#N/A</v>
      </c>
      <c r="R2540" s="143" t="e">
        <v>#N/A</v>
      </c>
    </row>
    <row r="2541" spans="14:18" x14ac:dyDescent="0.2">
      <c r="N2541" s="139" t="str">
        <f t="shared" si="46"/>
        <v>1w</v>
      </c>
      <c r="O2541" s="146">
        <f>_xll.qlCalendarAdvance(Calendar,O2540,N2541,"f",FALSE)</f>
        <v>56996</v>
      </c>
      <c r="P2541" s="140">
        <f>_xll.qlInterestRateIndexValueDate(IborIndex,O2541)</f>
        <v>56998</v>
      </c>
      <c r="Q2541" s="141" t="e">
        <v>#N/A</v>
      </c>
      <c r="R2541" s="143" t="e">
        <v>#N/A</v>
      </c>
    </row>
    <row r="2542" spans="14:18" x14ac:dyDescent="0.2">
      <c r="N2542" s="139" t="str">
        <f t="shared" si="46"/>
        <v>1w</v>
      </c>
      <c r="O2542" s="146">
        <f>_xll.qlCalendarAdvance(Calendar,O2541,N2542,"f",FALSE)</f>
        <v>57003</v>
      </c>
      <c r="P2542" s="140">
        <f>_xll.qlInterestRateIndexValueDate(IborIndex,O2542)</f>
        <v>57005</v>
      </c>
      <c r="Q2542" s="141" t="e">
        <v>#N/A</v>
      </c>
      <c r="R2542" s="143" t="e">
        <v>#N/A</v>
      </c>
    </row>
    <row r="2543" spans="14:18" x14ac:dyDescent="0.2">
      <c r="N2543" s="139" t="str">
        <f t="shared" si="46"/>
        <v>1w</v>
      </c>
      <c r="O2543" s="146">
        <f>_xll.qlCalendarAdvance(Calendar,O2542,N2543,"f",FALSE)</f>
        <v>57010</v>
      </c>
      <c r="P2543" s="140">
        <f>_xll.qlInterestRateIndexValueDate(IborIndex,O2543)</f>
        <v>57012</v>
      </c>
      <c r="Q2543" s="141" t="e">
        <v>#N/A</v>
      </c>
      <c r="R2543" s="143" t="e">
        <v>#N/A</v>
      </c>
    </row>
    <row r="2544" spans="14:18" x14ac:dyDescent="0.2">
      <c r="N2544" s="139" t="str">
        <f t="shared" si="46"/>
        <v>1w</v>
      </c>
      <c r="O2544" s="146">
        <f>_xll.qlCalendarAdvance(Calendar,O2543,N2544,"f",FALSE)</f>
        <v>57017</v>
      </c>
      <c r="P2544" s="140">
        <f>_xll.qlInterestRateIndexValueDate(IborIndex,O2544)</f>
        <v>57019</v>
      </c>
      <c r="Q2544" s="141" t="e">
        <v>#N/A</v>
      </c>
      <c r="R2544" s="143" t="e">
        <v>#N/A</v>
      </c>
    </row>
    <row r="2545" spans="14:18" x14ac:dyDescent="0.2">
      <c r="N2545" s="139" t="str">
        <f t="shared" si="46"/>
        <v>1w</v>
      </c>
      <c r="O2545" s="146">
        <f>_xll.qlCalendarAdvance(Calendar,O2544,N2545,"f",FALSE)</f>
        <v>57024</v>
      </c>
      <c r="P2545" s="140">
        <f>_xll.qlInterestRateIndexValueDate(IborIndex,O2545)</f>
        <v>57026</v>
      </c>
      <c r="Q2545" s="141" t="e">
        <v>#N/A</v>
      </c>
      <c r="R2545" s="143" t="e">
        <v>#N/A</v>
      </c>
    </row>
    <row r="2546" spans="14:18" x14ac:dyDescent="0.2">
      <c r="N2546" s="139" t="str">
        <f t="shared" si="46"/>
        <v>1w</v>
      </c>
      <c r="O2546" s="146">
        <f>_xll.qlCalendarAdvance(Calendar,O2545,N2546,"f",FALSE)</f>
        <v>57031</v>
      </c>
      <c r="P2546" s="140">
        <f>_xll.qlInterestRateIndexValueDate(IborIndex,O2546)</f>
        <v>57033</v>
      </c>
      <c r="Q2546" s="141" t="e">
        <v>#N/A</v>
      </c>
      <c r="R2546" s="143" t="e">
        <v>#N/A</v>
      </c>
    </row>
    <row r="2547" spans="14:18" x14ac:dyDescent="0.2">
      <c r="N2547" s="139" t="str">
        <f t="shared" si="46"/>
        <v>1w</v>
      </c>
      <c r="O2547" s="146">
        <f>_xll.qlCalendarAdvance(Calendar,O2546,N2547,"f",FALSE)</f>
        <v>57038</v>
      </c>
      <c r="P2547" s="140">
        <f>_xll.qlInterestRateIndexValueDate(IborIndex,O2547)</f>
        <v>57040</v>
      </c>
      <c r="Q2547" s="141" t="e">
        <v>#N/A</v>
      </c>
      <c r="R2547" s="143" t="e">
        <v>#N/A</v>
      </c>
    </row>
    <row r="2548" spans="14:18" x14ac:dyDescent="0.2">
      <c r="N2548" s="139" t="str">
        <f t="shared" si="46"/>
        <v>1w</v>
      </c>
      <c r="O2548" s="146">
        <f>_xll.qlCalendarAdvance(Calendar,O2547,N2548,"f",FALSE)</f>
        <v>57045</v>
      </c>
      <c r="P2548" s="140">
        <f>_xll.qlInterestRateIndexValueDate(IborIndex,O2548)</f>
        <v>57047</v>
      </c>
      <c r="Q2548" s="141" t="e">
        <v>#N/A</v>
      </c>
      <c r="R2548" s="143" t="e">
        <v>#N/A</v>
      </c>
    </row>
    <row r="2549" spans="14:18" x14ac:dyDescent="0.2">
      <c r="N2549" s="139" t="str">
        <f t="shared" si="46"/>
        <v>1w</v>
      </c>
      <c r="O2549" s="146">
        <f>_xll.qlCalendarAdvance(Calendar,O2548,N2549,"f",FALSE)</f>
        <v>57052</v>
      </c>
      <c r="P2549" s="140">
        <f>_xll.qlInterestRateIndexValueDate(IborIndex,O2549)</f>
        <v>57054</v>
      </c>
      <c r="Q2549" s="141" t="e">
        <v>#N/A</v>
      </c>
      <c r="R2549" s="143" t="e">
        <v>#N/A</v>
      </c>
    </row>
    <row r="2550" spans="14:18" x14ac:dyDescent="0.2">
      <c r="N2550" s="139" t="str">
        <f t="shared" si="46"/>
        <v>1w</v>
      </c>
      <c r="O2550" s="146">
        <f>_xll.qlCalendarAdvance(Calendar,O2549,N2550,"f",FALSE)</f>
        <v>57059</v>
      </c>
      <c r="P2550" s="140">
        <f>_xll.qlInterestRateIndexValueDate(IborIndex,O2550)</f>
        <v>57061</v>
      </c>
      <c r="Q2550" s="141" t="e">
        <v>#N/A</v>
      </c>
      <c r="R2550" s="143" t="e">
        <v>#N/A</v>
      </c>
    </row>
    <row r="2551" spans="14:18" x14ac:dyDescent="0.2">
      <c r="N2551" s="139" t="str">
        <f t="shared" si="46"/>
        <v>1w</v>
      </c>
      <c r="O2551" s="146">
        <f>_xll.qlCalendarAdvance(Calendar,O2550,N2551,"f",FALSE)</f>
        <v>57066</v>
      </c>
      <c r="P2551" s="140">
        <f>_xll.qlInterestRateIndexValueDate(IborIndex,O2551)</f>
        <v>57068</v>
      </c>
      <c r="Q2551" s="141" t="e">
        <v>#N/A</v>
      </c>
      <c r="R2551" s="143" t="e">
        <v>#N/A</v>
      </c>
    </row>
    <row r="2552" spans="14:18" x14ac:dyDescent="0.2">
      <c r="N2552" s="139" t="str">
        <f t="shared" si="46"/>
        <v>1w</v>
      </c>
      <c r="O2552" s="146">
        <f>_xll.qlCalendarAdvance(Calendar,O2551,N2552,"f",FALSE)</f>
        <v>57074</v>
      </c>
      <c r="P2552" s="140">
        <f>_xll.qlInterestRateIndexValueDate(IborIndex,O2552)</f>
        <v>57076</v>
      </c>
      <c r="Q2552" s="141" t="e">
        <v>#N/A</v>
      </c>
      <c r="R2552" s="143" t="e">
        <v>#N/A</v>
      </c>
    </row>
    <row r="2553" spans="14:18" x14ac:dyDescent="0.2">
      <c r="N2553" s="139" t="str">
        <f t="shared" si="46"/>
        <v>1w</v>
      </c>
      <c r="O2553" s="146">
        <f>_xll.qlCalendarAdvance(Calendar,O2552,N2553,"f",FALSE)</f>
        <v>57081</v>
      </c>
      <c r="P2553" s="140">
        <f>_xll.qlInterestRateIndexValueDate(IborIndex,O2553)</f>
        <v>57083</v>
      </c>
      <c r="Q2553" s="141" t="e">
        <v>#N/A</v>
      </c>
      <c r="R2553" s="143" t="e">
        <v>#N/A</v>
      </c>
    </row>
    <row r="2554" spans="14:18" x14ac:dyDescent="0.2">
      <c r="N2554" s="139" t="str">
        <f t="shared" si="46"/>
        <v>1w</v>
      </c>
      <c r="O2554" s="146">
        <f>_xll.qlCalendarAdvance(Calendar,O2553,N2554,"f",FALSE)</f>
        <v>57088</v>
      </c>
      <c r="P2554" s="140">
        <f>_xll.qlInterestRateIndexValueDate(IborIndex,O2554)</f>
        <v>57090</v>
      </c>
      <c r="Q2554" s="141" t="e">
        <v>#N/A</v>
      </c>
      <c r="R2554" s="143" t="e">
        <v>#N/A</v>
      </c>
    </row>
    <row r="2555" spans="14:18" x14ac:dyDescent="0.2">
      <c r="N2555" s="139" t="str">
        <f t="shared" si="46"/>
        <v>1w</v>
      </c>
      <c r="O2555" s="146">
        <f>_xll.qlCalendarAdvance(Calendar,O2554,N2555,"f",FALSE)</f>
        <v>57095</v>
      </c>
      <c r="P2555" s="140">
        <f>_xll.qlInterestRateIndexValueDate(IborIndex,O2555)</f>
        <v>57097</v>
      </c>
      <c r="Q2555" s="141" t="e">
        <v>#N/A</v>
      </c>
      <c r="R2555" s="143" t="e">
        <v>#N/A</v>
      </c>
    </row>
    <row r="2556" spans="14:18" x14ac:dyDescent="0.2">
      <c r="N2556" s="139" t="str">
        <f t="shared" si="46"/>
        <v>1w</v>
      </c>
      <c r="O2556" s="146">
        <f>_xll.qlCalendarAdvance(Calendar,O2555,N2556,"f",FALSE)</f>
        <v>57102</v>
      </c>
      <c r="P2556" s="140">
        <f>_xll.qlInterestRateIndexValueDate(IborIndex,O2556)</f>
        <v>57104</v>
      </c>
      <c r="Q2556" s="141" t="e">
        <v>#N/A</v>
      </c>
      <c r="R2556" s="143" t="e">
        <v>#N/A</v>
      </c>
    </row>
    <row r="2557" spans="14:18" x14ac:dyDescent="0.2">
      <c r="N2557" s="139" t="str">
        <f t="shared" si="46"/>
        <v>1w</v>
      </c>
      <c r="O2557" s="146">
        <f>_xll.qlCalendarAdvance(Calendar,O2556,N2557,"f",FALSE)</f>
        <v>57109</v>
      </c>
      <c r="P2557" s="140">
        <f>_xll.qlInterestRateIndexValueDate(IborIndex,O2557)</f>
        <v>57112</v>
      </c>
      <c r="Q2557" s="141" t="e">
        <v>#N/A</v>
      </c>
      <c r="R2557" s="143" t="e">
        <v>#N/A</v>
      </c>
    </row>
    <row r="2558" spans="14:18" x14ac:dyDescent="0.2">
      <c r="N2558" s="139" t="str">
        <f t="shared" si="46"/>
        <v>1w</v>
      </c>
      <c r="O2558" s="146">
        <f>_xll.qlCalendarAdvance(Calendar,O2557,N2558,"f",FALSE)</f>
        <v>57116</v>
      </c>
      <c r="P2558" s="140">
        <f>_xll.qlInterestRateIndexValueDate(IborIndex,O2558)</f>
        <v>57118</v>
      </c>
      <c r="Q2558" s="141" t="e">
        <v>#N/A</v>
      </c>
      <c r="R2558" s="143" t="e">
        <v>#N/A</v>
      </c>
    </row>
    <row r="2559" spans="14:18" x14ac:dyDescent="0.2">
      <c r="N2559" s="139" t="str">
        <f t="shared" si="46"/>
        <v>1w</v>
      </c>
      <c r="O2559" s="146">
        <f>_xll.qlCalendarAdvance(Calendar,O2558,N2559,"f",FALSE)</f>
        <v>57123</v>
      </c>
      <c r="P2559" s="140">
        <f>_xll.qlInterestRateIndexValueDate(IborIndex,O2559)</f>
        <v>57125</v>
      </c>
      <c r="Q2559" s="141" t="e">
        <v>#N/A</v>
      </c>
      <c r="R2559" s="143" t="e">
        <v>#N/A</v>
      </c>
    </row>
    <row r="2560" spans="14:18" x14ac:dyDescent="0.2">
      <c r="N2560" s="139" t="str">
        <f t="shared" si="46"/>
        <v>1w</v>
      </c>
      <c r="O2560" s="146">
        <f>_xll.qlCalendarAdvance(Calendar,O2559,N2560,"f",FALSE)</f>
        <v>57130</v>
      </c>
      <c r="P2560" s="140">
        <f>_xll.qlInterestRateIndexValueDate(IborIndex,O2560)</f>
        <v>57132</v>
      </c>
      <c r="Q2560" s="141" t="e">
        <v>#N/A</v>
      </c>
      <c r="R2560" s="143" t="e">
        <v>#N/A</v>
      </c>
    </row>
    <row r="2561" spans="14:18" x14ac:dyDescent="0.2">
      <c r="N2561" s="139" t="str">
        <f t="shared" si="46"/>
        <v>1w</v>
      </c>
      <c r="O2561" s="146">
        <f>_xll.qlCalendarAdvance(Calendar,O2560,N2561,"f",FALSE)</f>
        <v>57137</v>
      </c>
      <c r="P2561" s="140">
        <f>_xll.qlInterestRateIndexValueDate(IborIndex,O2561)</f>
        <v>57139</v>
      </c>
      <c r="Q2561" s="141" t="e">
        <v>#N/A</v>
      </c>
      <c r="R2561" s="143" t="e">
        <v>#N/A</v>
      </c>
    </row>
    <row r="2562" spans="14:18" x14ac:dyDescent="0.2">
      <c r="N2562" s="139" t="str">
        <f t="shared" si="46"/>
        <v>1w</v>
      </c>
      <c r="O2562" s="146">
        <f>_xll.qlCalendarAdvance(Calendar,O2561,N2562,"f",FALSE)</f>
        <v>57144</v>
      </c>
      <c r="P2562" s="140">
        <f>_xll.qlInterestRateIndexValueDate(IborIndex,O2562)</f>
        <v>57146</v>
      </c>
      <c r="Q2562" s="141" t="e">
        <v>#N/A</v>
      </c>
      <c r="R2562" s="143" t="e">
        <v>#N/A</v>
      </c>
    </row>
    <row r="2563" spans="14:18" x14ac:dyDescent="0.2">
      <c r="N2563" s="139" t="str">
        <f t="shared" si="46"/>
        <v>1w</v>
      </c>
      <c r="O2563" s="146">
        <f>_xll.qlCalendarAdvance(Calendar,O2562,N2563,"f",FALSE)</f>
        <v>57151</v>
      </c>
      <c r="P2563" s="140">
        <f>_xll.qlInterestRateIndexValueDate(IborIndex,O2563)</f>
        <v>57153</v>
      </c>
      <c r="Q2563" s="141" t="e">
        <v>#N/A</v>
      </c>
      <c r="R2563" s="143" t="e">
        <v>#N/A</v>
      </c>
    </row>
    <row r="2564" spans="14:18" x14ac:dyDescent="0.2">
      <c r="N2564" s="139" t="str">
        <f t="shared" si="46"/>
        <v>1w</v>
      </c>
      <c r="O2564" s="146">
        <f>_xll.qlCalendarAdvance(Calendar,O2563,N2564,"f",FALSE)</f>
        <v>57158</v>
      </c>
      <c r="P2564" s="140">
        <f>_xll.qlInterestRateIndexValueDate(IborIndex,O2564)</f>
        <v>57160</v>
      </c>
      <c r="Q2564" s="141" t="e">
        <v>#N/A</v>
      </c>
      <c r="R2564" s="143" t="e">
        <v>#N/A</v>
      </c>
    </row>
    <row r="2565" spans="14:18" x14ac:dyDescent="0.2">
      <c r="N2565" s="139" t="str">
        <f t="shared" si="46"/>
        <v>1w</v>
      </c>
      <c r="O2565" s="146">
        <f>_xll.qlCalendarAdvance(Calendar,O2564,N2565,"f",FALSE)</f>
        <v>57165</v>
      </c>
      <c r="P2565" s="140">
        <f>_xll.qlInterestRateIndexValueDate(IborIndex,O2565)</f>
        <v>57167</v>
      </c>
      <c r="Q2565" s="141" t="e">
        <v>#N/A</v>
      </c>
      <c r="R2565" s="143" t="e">
        <v>#N/A</v>
      </c>
    </row>
    <row r="2566" spans="14:18" x14ac:dyDescent="0.2">
      <c r="N2566" s="139" t="str">
        <f t="shared" si="46"/>
        <v>1w</v>
      </c>
      <c r="O2566" s="146">
        <f>_xll.qlCalendarAdvance(Calendar,O2565,N2566,"f",FALSE)</f>
        <v>57172</v>
      </c>
      <c r="P2566" s="140">
        <f>_xll.qlInterestRateIndexValueDate(IborIndex,O2566)</f>
        <v>57174</v>
      </c>
      <c r="Q2566" s="141" t="e">
        <v>#N/A</v>
      </c>
      <c r="R2566" s="143" t="e">
        <v>#N/A</v>
      </c>
    </row>
    <row r="2567" spans="14:18" x14ac:dyDescent="0.2">
      <c r="N2567" s="139" t="str">
        <f t="shared" si="46"/>
        <v>1w</v>
      </c>
      <c r="O2567" s="146">
        <f>_xll.qlCalendarAdvance(Calendar,O2566,N2567,"f",FALSE)</f>
        <v>57179</v>
      </c>
      <c r="P2567" s="140">
        <f>_xll.qlInterestRateIndexValueDate(IborIndex,O2567)</f>
        <v>57181</v>
      </c>
      <c r="Q2567" s="141" t="e">
        <v>#N/A</v>
      </c>
      <c r="R2567" s="143" t="e">
        <v>#N/A</v>
      </c>
    </row>
    <row r="2568" spans="14:18" x14ac:dyDescent="0.2">
      <c r="N2568" s="139" t="str">
        <f t="shared" si="46"/>
        <v>1w</v>
      </c>
      <c r="O2568" s="146">
        <f>_xll.qlCalendarAdvance(Calendar,O2567,N2568,"f",FALSE)</f>
        <v>57186</v>
      </c>
      <c r="P2568" s="140">
        <f>_xll.qlInterestRateIndexValueDate(IborIndex,O2568)</f>
        <v>57188</v>
      </c>
      <c r="Q2568" s="141" t="e">
        <v>#N/A</v>
      </c>
      <c r="R2568" s="143" t="e">
        <v>#N/A</v>
      </c>
    </row>
    <row r="2569" spans="14:18" x14ac:dyDescent="0.2">
      <c r="N2569" s="139" t="str">
        <f t="shared" si="46"/>
        <v>1w</v>
      </c>
      <c r="O2569" s="146">
        <f>_xll.qlCalendarAdvance(Calendar,O2568,N2569,"f",FALSE)</f>
        <v>57193</v>
      </c>
      <c r="P2569" s="140">
        <f>_xll.qlInterestRateIndexValueDate(IborIndex,O2569)</f>
        <v>57195</v>
      </c>
      <c r="Q2569" s="141" t="e">
        <v>#N/A</v>
      </c>
      <c r="R2569" s="143" t="e">
        <v>#N/A</v>
      </c>
    </row>
    <row r="2570" spans="14:18" x14ac:dyDescent="0.2">
      <c r="N2570" s="139" t="str">
        <f t="shared" si="46"/>
        <v>1w</v>
      </c>
      <c r="O2570" s="146">
        <f>_xll.qlCalendarAdvance(Calendar,O2569,N2570,"f",FALSE)</f>
        <v>57200</v>
      </c>
      <c r="P2570" s="140">
        <f>_xll.qlInterestRateIndexValueDate(IborIndex,O2570)</f>
        <v>57202</v>
      </c>
      <c r="Q2570" s="141" t="e">
        <v>#N/A</v>
      </c>
      <c r="R2570" s="143" t="e">
        <v>#N/A</v>
      </c>
    </row>
    <row r="2571" spans="14:18" x14ac:dyDescent="0.2">
      <c r="N2571" s="139" t="str">
        <f t="shared" si="46"/>
        <v>1w</v>
      </c>
      <c r="O2571" s="146">
        <f>_xll.qlCalendarAdvance(Calendar,O2570,N2571,"f",FALSE)</f>
        <v>57207</v>
      </c>
      <c r="P2571" s="140">
        <f>_xll.qlInterestRateIndexValueDate(IborIndex,O2571)</f>
        <v>57209</v>
      </c>
      <c r="Q2571" s="141" t="e">
        <v>#N/A</v>
      </c>
      <c r="R2571" s="143" t="e">
        <v>#N/A</v>
      </c>
    </row>
    <row r="2572" spans="14:18" x14ac:dyDescent="0.2">
      <c r="N2572" s="139" t="str">
        <f t="shared" si="46"/>
        <v>1w</v>
      </c>
      <c r="O2572" s="146">
        <f>_xll.qlCalendarAdvance(Calendar,O2571,N2572,"f",FALSE)</f>
        <v>57214</v>
      </c>
      <c r="P2572" s="140">
        <f>_xll.qlInterestRateIndexValueDate(IborIndex,O2572)</f>
        <v>57216</v>
      </c>
      <c r="Q2572" s="141" t="e">
        <v>#N/A</v>
      </c>
      <c r="R2572" s="143" t="e">
        <v>#N/A</v>
      </c>
    </row>
    <row r="2573" spans="14:18" x14ac:dyDescent="0.2">
      <c r="N2573" s="139" t="str">
        <f t="shared" si="46"/>
        <v>1w</v>
      </c>
      <c r="O2573" s="146">
        <f>_xll.qlCalendarAdvance(Calendar,O2572,N2573,"f",FALSE)</f>
        <v>57221</v>
      </c>
      <c r="P2573" s="140">
        <f>_xll.qlInterestRateIndexValueDate(IborIndex,O2573)</f>
        <v>57223</v>
      </c>
      <c r="Q2573" s="141" t="e">
        <v>#N/A</v>
      </c>
      <c r="R2573" s="143" t="e">
        <v>#N/A</v>
      </c>
    </row>
    <row r="2574" spans="14:18" x14ac:dyDescent="0.2">
      <c r="N2574" s="139" t="str">
        <f t="shared" si="46"/>
        <v>1w</v>
      </c>
      <c r="O2574" s="146">
        <f>_xll.qlCalendarAdvance(Calendar,O2573,N2574,"f",FALSE)</f>
        <v>57228</v>
      </c>
      <c r="P2574" s="140">
        <f>_xll.qlInterestRateIndexValueDate(IborIndex,O2574)</f>
        <v>57230</v>
      </c>
      <c r="Q2574" s="141" t="e">
        <v>#N/A</v>
      </c>
      <c r="R2574" s="143" t="e">
        <v>#N/A</v>
      </c>
    </row>
    <row r="2575" spans="14:18" x14ac:dyDescent="0.2">
      <c r="N2575" s="139" t="str">
        <f t="shared" si="46"/>
        <v>1w</v>
      </c>
      <c r="O2575" s="146">
        <f>_xll.qlCalendarAdvance(Calendar,O2574,N2575,"f",FALSE)</f>
        <v>57235</v>
      </c>
      <c r="P2575" s="140">
        <f>_xll.qlInterestRateIndexValueDate(IborIndex,O2575)</f>
        <v>57237</v>
      </c>
      <c r="Q2575" s="141" t="e">
        <v>#N/A</v>
      </c>
      <c r="R2575" s="143" t="e">
        <v>#N/A</v>
      </c>
    </row>
    <row r="2576" spans="14:18" x14ac:dyDescent="0.2">
      <c r="N2576" s="139" t="str">
        <f t="shared" si="46"/>
        <v>1w</v>
      </c>
      <c r="O2576" s="146">
        <f>_xll.qlCalendarAdvance(Calendar,O2575,N2576,"f",FALSE)</f>
        <v>57242</v>
      </c>
      <c r="P2576" s="140">
        <f>_xll.qlInterestRateIndexValueDate(IborIndex,O2576)</f>
        <v>57244</v>
      </c>
      <c r="Q2576" s="141" t="e">
        <v>#N/A</v>
      </c>
      <c r="R2576" s="143" t="e">
        <v>#N/A</v>
      </c>
    </row>
    <row r="2577" spans="14:18" x14ac:dyDescent="0.2">
      <c r="N2577" s="139" t="str">
        <f t="shared" si="46"/>
        <v>1w</v>
      </c>
      <c r="O2577" s="146">
        <f>_xll.qlCalendarAdvance(Calendar,O2576,N2577,"f",FALSE)</f>
        <v>57249</v>
      </c>
      <c r="P2577" s="140">
        <f>_xll.qlInterestRateIndexValueDate(IborIndex,O2577)</f>
        <v>57251</v>
      </c>
      <c r="Q2577" s="141" t="e">
        <v>#N/A</v>
      </c>
      <c r="R2577" s="143" t="e">
        <v>#N/A</v>
      </c>
    </row>
    <row r="2578" spans="14:18" x14ac:dyDescent="0.2">
      <c r="N2578" s="139" t="str">
        <f t="shared" si="46"/>
        <v>1w</v>
      </c>
      <c r="O2578" s="146">
        <f>_xll.qlCalendarAdvance(Calendar,O2577,N2578,"f",FALSE)</f>
        <v>57256</v>
      </c>
      <c r="P2578" s="140">
        <f>_xll.qlInterestRateIndexValueDate(IborIndex,O2578)</f>
        <v>57258</v>
      </c>
      <c r="Q2578" s="141" t="e">
        <v>#N/A</v>
      </c>
      <c r="R2578" s="143" t="e">
        <v>#N/A</v>
      </c>
    </row>
    <row r="2579" spans="14:18" x14ac:dyDescent="0.2">
      <c r="N2579" s="139" t="str">
        <f t="shared" si="46"/>
        <v>1w</v>
      </c>
      <c r="O2579" s="146">
        <f>_xll.qlCalendarAdvance(Calendar,O2578,N2579,"f",FALSE)</f>
        <v>57263</v>
      </c>
      <c r="P2579" s="140">
        <f>_xll.qlInterestRateIndexValueDate(IborIndex,O2579)</f>
        <v>57265</v>
      </c>
      <c r="Q2579" s="141" t="e">
        <v>#N/A</v>
      </c>
      <c r="R2579" s="143" t="e">
        <v>#N/A</v>
      </c>
    </row>
    <row r="2580" spans="14:18" x14ac:dyDescent="0.2">
      <c r="N2580" s="139" t="str">
        <f t="shared" si="46"/>
        <v>1w</v>
      </c>
      <c r="O2580" s="146">
        <f>_xll.qlCalendarAdvance(Calendar,O2579,N2580,"f",FALSE)</f>
        <v>57270</v>
      </c>
      <c r="P2580" s="140">
        <f>_xll.qlInterestRateIndexValueDate(IborIndex,O2580)</f>
        <v>57272</v>
      </c>
      <c r="Q2580" s="141" t="e">
        <v>#N/A</v>
      </c>
      <c r="R2580" s="143" t="e">
        <v>#N/A</v>
      </c>
    </row>
    <row r="2581" spans="14:18" x14ac:dyDescent="0.2">
      <c r="N2581" s="139" t="str">
        <f t="shared" ref="N2581:N2644" si="47">N2580</f>
        <v>1w</v>
      </c>
      <c r="O2581" s="146">
        <f>_xll.qlCalendarAdvance(Calendar,O2580,N2581,"f",FALSE)</f>
        <v>57277</v>
      </c>
      <c r="P2581" s="140">
        <f>_xll.qlInterestRateIndexValueDate(IborIndex,O2581)</f>
        <v>57279</v>
      </c>
      <c r="Q2581" s="141" t="e">
        <v>#N/A</v>
      </c>
      <c r="R2581" s="143" t="e">
        <v>#N/A</v>
      </c>
    </row>
    <row r="2582" spans="14:18" x14ac:dyDescent="0.2">
      <c r="N2582" s="139" t="str">
        <f t="shared" si="47"/>
        <v>1w</v>
      </c>
      <c r="O2582" s="146">
        <f>_xll.qlCalendarAdvance(Calendar,O2581,N2582,"f",FALSE)</f>
        <v>57284</v>
      </c>
      <c r="P2582" s="140">
        <f>_xll.qlInterestRateIndexValueDate(IborIndex,O2582)</f>
        <v>57286</v>
      </c>
      <c r="Q2582" s="141" t="e">
        <v>#N/A</v>
      </c>
      <c r="R2582" s="143" t="e">
        <v>#N/A</v>
      </c>
    </row>
    <row r="2583" spans="14:18" x14ac:dyDescent="0.2">
      <c r="N2583" s="139" t="str">
        <f t="shared" si="47"/>
        <v>1w</v>
      </c>
      <c r="O2583" s="146">
        <f>_xll.qlCalendarAdvance(Calendar,O2582,N2583,"f",FALSE)</f>
        <v>57291</v>
      </c>
      <c r="P2583" s="140">
        <f>_xll.qlInterestRateIndexValueDate(IborIndex,O2583)</f>
        <v>57293</v>
      </c>
      <c r="Q2583" s="141" t="e">
        <v>#N/A</v>
      </c>
      <c r="R2583" s="143" t="e">
        <v>#N/A</v>
      </c>
    </row>
    <row r="2584" spans="14:18" x14ac:dyDescent="0.2">
      <c r="N2584" s="139" t="str">
        <f t="shared" si="47"/>
        <v>1w</v>
      </c>
      <c r="O2584" s="146">
        <f>_xll.qlCalendarAdvance(Calendar,O2583,N2584,"f",FALSE)</f>
        <v>57298</v>
      </c>
      <c r="P2584" s="140">
        <f>_xll.qlInterestRateIndexValueDate(IborIndex,O2584)</f>
        <v>57300</v>
      </c>
      <c r="Q2584" s="141" t="e">
        <v>#N/A</v>
      </c>
      <c r="R2584" s="143" t="e">
        <v>#N/A</v>
      </c>
    </row>
    <row r="2585" spans="14:18" x14ac:dyDescent="0.2">
      <c r="N2585" s="139" t="str">
        <f t="shared" si="47"/>
        <v>1w</v>
      </c>
      <c r="O2585" s="146">
        <f>_xll.qlCalendarAdvance(Calendar,O2584,N2585,"f",FALSE)</f>
        <v>57305</v>
      </c>
      <c r="P2585" s="140">
        <f>_xll.qlInterestRateIndexValueDate(IborIndex,O2585)</f>
        <v>57307</v>
      </c>
      <c r="Q2585" s="141" t="e">
        <v>#N/A</v>
      </c>
      <c r="R2585" s="143" t="e">
        <v>#N/A</v>
      </c>
    </row>
    <row r="2586" spans="14:18" x14ac:dyDescent="0.2">
      <c r="N2586" s="139" t="str">
        <f t="shared" si="47"/>
        <v>1w</v>
      </c>
      <c r="O2586" s="146">
        <f>_xll.qlCalendarAdvance(Calendar,O2585,N2586,"f",FALSE)</f>
        <v>57312</v>
      </c>
      <c r="P2586" s="140">
        <f>_xll.qlInterestRateIndexValueDate(IborIndex,O2586)</f>
        <v>57314</v>
      </c>
      <c r="Q2586" s="141" t="e">
        <v>#N/A</v>
      </c>
      <c r="R2586" s="143" t="e">
        <v>#N/A</v>
      </c>
    </row>
    <row r="2587" spans="14:18" x14ac:dyDescent="0.2">
      <c r="N2587" s="139" t="str">
        <f t="shared" si="47"/>
        <v>1w</v>
      </c>
      <c r="O2587" s="146">
        <f>_xll.qlCalendarAdvance(Calendar,O2586,N2587,"f",FALSE)</f>
        <v>57319</v>
      </c>
      <c r="P2587" s="140">
        <f>_xll.qlInterestRateIndexValueDate(IborIndex,O2587)</f>
        <v>57321</v>
      </c>
      <c r="Q2587" s="141" t="e">
        <v>#N/A</v>
      </c>
      <c r="R2587" s="143" t="e">
        <v>#N/A</v>
      </c>
    </row>
    <row r="2588" spans="14:18" x14ac:dyDescent="0.2">
      <c r="N2588" s="139" t="str">
        <f t="shared" si="47"/>
        <v>1w</v>
      </c>
      <c r="O2588" s="146">
        <f>_xll.qlCalendarAdvance(Calendar,O2587,N2588,"f",FALSE)</f>
        <v>57326</v>
      </c>
      <c r="P2588" s="140">
        <f>_xll.qlInterestRateIndexValueDate(IborIndex,O2588)</f>
        <v>57328</v>
      </c>
      <c r="Q2588" s="141" t="e">
        <v>#N/A</v>
      </c>
      <c r="R2588" s="143" t="e">
        <v>#N/A</v>
      </c>
    </row>
    <row r="2589" spans="14:18" x14ac:dyDescent="0.2">
      <c r="N2589" s="139" t="str">
        <f t="shared" si="47"/>
        <v>1w</v>
      </c>
      <c r="O2589" s="146">
        <f>_xll.qlCalendarAdvance(Calendar,O2588,N2589,"f",FALSE)</f>
        <v>57333</v>
      </c>
      <c r="P2589" s="140">
        <f>_xll.qlInterestRateIndexValueDate(IborIndex,O2589)</f>
        <v>57335</v>
      </c>
      <c r="Q2589" s="141" t="e">
        <v>#N/A</v>
      </c>
      <c r="R2589" s="143" t="e">
        <v>#N/A</v>
      </c>
    </row>
    <row r="2590" spans="14:18" x14ac:dyDescent="0.2">
      <c r="N2590" s="139" t="str">
        <f t="shared" si="47"/>
        <v>1w</v>
      </c>
      <c r="O2590" s="146">
        <f>_xll.qlCalendarAdvance(Calendar,O2589,N2590,"f",FALSE)</f>
        <v>57341</v>
      </c>
      <c r="P2590" s="140">
        <f>_xll.qlInterestRateIndexValueDate(IborIndex,O2590)</f>
        <v>57343</v>
      </c>
      <c r="Q2590" s="141" t="e">
        <v>#N/A</v>
      </c>
      <c r="R2590" s="143" t="e">
        <v>#N/A</v>
      </c>
    </row>
    <row r="2591" spans="14:18" x14ac:dyDescent="0.2">
      <c r="N2591" s="139" t="str">
        <f t="shared" si="47"/>
        <v>1w</v>
      </c>
      <c r="O2591" s="146">
        <f>_xll.qlCalendarAdvance(Calendar,O2590,N2591,"f",FALSE)</f>
        <v>57348</v>
      </c>
      <c r="P2591" s="140">
        <f>_xll.qlInterestRateIndexValueDate(IborIndex,O2591)</f>
        <v>57350</v>
      </c>
      <c r="Q2591" s="141" t="e">
        <v>#N/A</v>
      </c>
      <c r="R2591" s="143" t="e">
        <v>#N/A</v>
      </c>
    </row>
    <row r="2592" spans="14:18" x14ac:dyDescent="0.2">
      <c r="N2592" s="139" t="str">
        <f t="shared" si="47"/>
        <v>1w</v>
      </c>
      <c r="O2592" s="146">
        <f>_xll.qlCalendarAdvance(Calendar,O2591,N2592,"f",FALSE)</f>
        <v>57355</v>
      </c>
      <c r="P2592" s="140">
        <f>_xll.qlInterestRateIndexValueDate(IborIndex,O2592)</f>
        <v>57357</v>
      </c>
      <c r="Q2592" s="141" t="e">
        <v>#N/A</v>
      </c>
      <c r="R2592" s="143" t="e">
        <v>#N/A</v>
      </c>
    </row>
    <row r="2593" spans="14:18" x14ac:dyDescent="0.2">
      <c r="N2593" s="139" t="str">
        <f t="shared" si="47"/>
        <v>1w</v>
      </c>
      <c r="O2593" s="146">
        <f>_xll.qlCalendarAdvance(Calendar,O2592,N2593,"f",FALSE)</f>
        <v>57362</v>
      </c>
      <c r="P2593" s="140">
        <f>_xll.qlInterestRateIndexValueDate(IborIndex,O2593)</f>
        <v>57364</v>
      </c>
      <c r="Q2593" s="141" t="e">
        <v>#N/A</v>
      </c>
      <c r="R2593" s="143" t="e">
        <v>#N/A</v>
      </c>
    </row>
    <row r="2594" spans="14:18" x14ac:dyDescent="0.2">
      <c r="N2594" s="139" t="str">
        <f t="shared" si="47"/>
        <v>1w</v>
      </c>
      <c r="O2594" s="146">
        <f>_xll.qlCalendarAdvance(Calendar,O2593,N2594,"f",FALSE)</f>
        <v>57369</v>
      </c>
      <c r="P2594" s="140">
        <f>_xll.qlInterestRateIndexValueDate(IborIndex,O2594)</f>
        <v>57371</v>
      </c>
      <c r="Q2594" s="141" t="e">
        <v>#N/A</v>
      </c>
      <c r="R2594" s="143" t="e">
        <v>#N/A</v>
      </c>
    </row>
    <row r="2595" spans="14:18" x14ac:dyDescent="0.2">
      <c r="N2595" s="139" t="str">
        <f t="shared" si="47"/>
        <v>1w</v>
      </c>
      <c r="O2595" s="146">
        <f>_xll.qlCalendarAdvance(Calendar,O2594,N2595,"f",FALSE)</f>
        <v>57376</v>
      </c>
      <c r="P2595" s="140">
        <f>_xll.qlInterestRateIndexValueDate(IborIndex,O2595)</f>
        <v>57378</v>
      </c>
      <c r="Q2595" s="141" t="e">
        <v>#N/A</v>
      </c>
      <c r="R2595" s="143" t="e">
        <v>#N/A</v>
      </c>
    </row>
    <row r="2596" spans="14:18" x14ac:dyDescent="0.2">
      <c r="N2596" s="139" t="str">
        <f t="shared" si="47"/>
        <v>1w</v>
      </c>
      <c r="O2596" s="146">
        <f>_xll.qlCalendarAdvance(Calendar,O2595,N2596,"f",FALSE)</f>
        <v>57383</v>
      </c>
      <c r="P2596" s="140">
        <f>_xll.qlInterestRateIndexValueDate(IborIndex,O2596)</f>
        <v>57385</v>
      </c>
      <c r="Q2596" s="141" t="e">
        <v>#N/A</v>
      </c>
      <c r="R2596" s="143" t="e">
        <v>#N/A</v>
      </c>
    </row>
    <row r="2597" spans="14:18" x14ac:dyDescent="0.2">
      <c r="N2597" s="139" t="str">
        <f t="shared" si="47"/>
        <v>1w</v>
      </c>
      <c r="O2597" s="146">
        <f>_xll.qlCalendarAdvance(Calendar,O2596,N2597,"f",FALSE)</f>
        <v>57390</v>
      </c>
      <c r="P2597" s="140">
        <f>_xll.qlInterestRateIndexValueDate(IborIndex,O2597)</f>
        <v>57392</v>
      </c>
      <c r="Q2597" s="141" t="e">
        <v>#N/A</v>
      </c>
      <c r="R2597" s="143" t="e">
        <v>#N/A</v>
      </c>
    </row>
    <row r="2598" spans="14:18" x14ac:dyDescent="0.2">
      <c r="N2598" s="139" t="str">
        <f t="shared" si="47"/>
        <v>1w</v>
      </c>
      <c r="O2598" s="146">
        <f>_xll.qlCalendarAdvance(Calendar,O2597,N2598,"f",FALSE)</f>
        <v>57397</v>
      </c>
      <c r="P2598" s="140">
        <f>_xll.qlInterestRateIndexValueDate(IborIndex,O2598)</f>
        <v>57399</v>
      </c>
      <c r="Q2598" s="141" t="e">
        <v>#N/A</v>
      </c>
      <c r="R2598" s="143" t="e">
        <v>#N/A</v>
      </c>
    </row>
    <row r="2599" spans="14:18" x14ac:dyDescent="0.2">
      <c r="N2599" s="139" t="str">
        <f t="shared" si="47"/>
        <v>1w</v>
      </c>
      <c r="O2599" s="146">
        <f>_xll.qlCalendarAdvance(Calendar,O2598,N2599,"f",FALSE)</f>
        <v>57404</v>
      </c>
      <c r="P2599" s="140">
        <f>_xll.qlInterestRateIndexValueDate(IborIndex,O2599)</f>
        <v>57406</v>
      </c>
      <c r="Q2599" s="141" t="e">
        <v>#N/A</v>
      </c>
      <c r="R2599" s="143" t="e">
        <v>#N/A</v>
      </c>
    </row>
    <row r="2600" spans="14:18" x14ac:dyDescent="0.2">
      <c r="N2600" s="139" t="str">
        <f t="shared" si="47"/>
        <v>1w</v>
      </c>
      <c r="O2600" s="146">
        <f>_xll.qlCalendarAdvance(Calendar,O2599,N2600,"f",FALSE)</f>
        <v>57411</v>
      </c>
      <c r="P2600" s="140">
        <f>_xll.qlInterestRateIndexValueDate(IborIndex,O2600)</f>
        <v>57413</v>
      </c>
      <c r="Q2600" s="141" t="e">
        <v>#N/A</v>
      </c>
      <c r="R2600" s="143" t="e">
        <v>#N/A</v>
      </c>
    </row>
    <row r="2601" spans="14:18" x14ac:dyDescent="0.2">
      <c r="N2601" s="139" t="str">
        <f t="shared" si="47"/>
        <v>1w</v>
      </c>
      <c r="O2601" s="146">
        <f>_xll.qlCalendarAdvance(Calendar,O2600,N2601,"f",FALSE)</f>
        <v>57418</v>
      </c>
      <c r="P2601" s="140">
        <f>_xll.qlInterestRateIndexValueDate(IborIndex,O2601)</f>
        <v>57420</v>
      </c>
      <c r="Q2601" s="141" t="e">
        <v>#N/A</v>
      </c>
      <c r="R2601" s="143" t="e">
        <v>#N/A</v>
      </c>
    </row>
    <row r="2602" spans="14:18" x14ac:dyDescent="0.2">
      <c r="N2602" s="139" t="str">
        <f t="shared" si="47"/>
        <v>1w</v>
      </c>
      <c r="O2602" s="146">
        <f>_xll.qlCalendarAdvance(Calendar,O2601,N2602,"f",FALSE)</f>
        <v>57425</v>
      </c>
      <c r="P2602" s="140">
        <f>_xll.qlInterestRateIndexValueDate(IborIndex,O2602)</f>
        <v>57427</v>
      </c>
      <c r="Q2602" s="141" t="e">
        <v>#N/A</v>
      </c>
      <c r="R2602" s="143" t="e">
        <v>#N/A</v>
      </c>
    </row>
    <row r="2603" spans="14:18" x14ac:dyDescent="0.2">
      <c r="N2603" s="139" t="str">
        <f t="shared" si="47"/>
        <v>1w</v>
      </c>
      <c r="O2603" s="146">
        <f>_xll.qlCalendarAdvance(Calendar,O2602,N2603,"f",FALSE)</f>
        <v>57432</v>
      </c>
      <c r="P2603" s="140">
        <f>_xll.qlInterestRateIndexValueDate(IborIndex,O2603)</f>
        <v>57434</v>
      </c>
      <c r="Q2603" s="141" t="e">
        <v>#N/A</v>
      </c>
      <c r="R2603" s="143" t="e">
        <v>#N/A</v>
      </c>
    </row>
    <row r="2604" spans="14:18" x14ac:dyDescent="0.2">
      <c r="N2604" s="139" t="str">
        <f t="shared" si="47"/>
        <v>1w</v>
      </c>
      <c r="O2604" s="146">
        <f>_xll.qlCalendarAdvance(Calendar,O2603,N2604,"f",FALSE)</f>
        <v>57439</v>
      </c>
      <c r="P2604" s="140">
        <f>_xll.qlInterestRateIndexValueDate(IborIndex,O2604)</f>
        <v>57441</v>
      </c>
      <c r="Q2604" s="141" t="e">
        <v>#N/A</v>
      </c>
      <c r="R2604" s="143" t="e">
        <v>#N/A</v>
      </c>
    </row>
    <row r="2605" spans="14:18" x14ac:dyDescent="0.2">
      <c r="N2605" s="139" t="str">
        <f t="shared" si="47"/>
        <v>1w</v>
      </c>
      <c r="O2605" s="146">
        <f>_xll.qlCalendarAdvance(Calendar,O2604,N2605,"f",FALSE)</f>
        <v>57446</v>
      </c>
      <c r="P2605" s="140">
        <f>_xll.qlInterestRateIndexValueDate(IborIndex,O2605)</f>
        <v>57448</v>
      </c>
      <c r="Q2605" s="141" t="e">
        <v>#N/A</v>
      </c>
      <c r="R2605" s="143" t="e">
        <v>#N/A</v>
      </c>
    </row>
    <row r="2606" spans="14:18" x14ac:dyDescent="0.2">
      <c r="N2606" s="139" t="str">
        <f t="shared" si="47"/>
        <v>1w</v>
      </c>
      <c r="O2606" s="146">
        <f>_xll.qlCalendarAdvance(Calendar,O2605,N2606,"f",FALSE)</f>
        <v>57453</v>
      </c>
      <c r="P2606" s="140">
        <f>_xll.qlInterestRateIndexValueDate(IborIndex,O2606)</f>
        <v>57459</v>
      </c>
      <c r="Q2606" s="141" t="e">
        <v>#N/A</v>
      </c>
      <c r="R2606" s="143" t="e">
        <v>#N/A</v>
      </c>
    </row>
    <row r="2607" spans="14:18" x14ac:dyDescent="0.2">
      <c r="N2607" s="139" t="str">
        <f t="shared" si="47"/>
        <v>1w</v>
      </c>
      <c r="O2607" s="146">
        <f>_xll.qlCalendarAdvance(Calendar,O2606,N2607,"f",FALSE)</f>
        <v>57460</v>
      </c>
      <c r="P2607" s="140">
        <f>_xll.qlInterestRateIndexValueDate(IborIndex,O2607)</f>
        <v>57462</v>
      </c>
      <c r="Q2607" s="141" t="e">
        <v>#N/A</v>
      </c>
      <c r="R2607" s="143" t="e">
        <v>#N/A</v>
      </c>
    </row>
    <row r="2608" spans="14:18" x14ac:dyDescent="0.2">
      <c r="N2608" s="139" t="str">
        <f t="shared" si="47"/>
        <v>1w</v>
      </c>
      <c r="O2608" s="146">
        <f>_xll.qlCalendarAdvance(Calendar,O2607,N2608,"f",FALSE)</f>
        <v>57467</v>
      </c>
      <c r="P2608" s="140">
        <f>_xll.qlInterestRateIndexValueDate(IborIndex,O2608)</f>
        <v>57469</v>
      </c>
      <c r="Q2608" s="141" t="e">
        <v>#N/A</v>
      </c>
      <c r="R2608" s="143" t="e">
        <v>#N/A</v>
      </c>
    </row>
    <row r="2609" spans="14:18" x14ac:dyDescent="0.2">
      <c r="N2609" s="139" t="str">
        <f t="shared" si="47"/>
        <v>1w</v>
      </c>
      <c r="O2609" s="146">
        <f>_xll.qlCalendarAdvance(Calendar,O2608,N2609,"f",FALSE)</f>
        <v>57474</v>
      </c>
      <c r="P2609" s="140">
        <f>_xll.qlInterestRateIndexValueDate(IborIndex,O2609)</f>
        <v>57476</v>
      </c>
      <c r="Q2609" s="141" t="e">
        <v>#N/A</v>
      </c>
      <c r="R2609" s="143" t="e">
        <v>#N/A</v>
      </c>
    </row>
    <row r="2610" spans="14:18" x14ac:dyDescent="0.2">
      <c r="N2610" s="139" t="str">
        <f t="shared" si="47"/>
        <v>1w</v>
      </c>
      <c r="O2610" s="146">
        <f>_xll.qlCalendarAdvance(Calendar,O2609,N2610,"f",FALSE)</f>
        <v>57481</v>
      </c>
      <c r="P2610" s="140">
        <f>_xll.qlInterestRateIndexValueDate(IborIndex,O2610)</f>
        <v>57483</v>
      </c>
      <c r="Q2610" s="141" t="e">
        <v>#N/A</v>
      </c>
      <c r="R2610" s="143" t="e">
        <v>#N/A</v>
      </c>
    </row>
    <row r="2611" spans="14:18" x14ac:dyDescent="0.2">
      <c r="N2611" s="139" t="str">
        <f t="shared" si="47"/>
        <v>1w</v>
      </c>
      <c r="O2611" s="146">
        <f>_xll.qlCalendarAdvance(Calendar,O2610,N2611,"f",FALSE)</f>
        <v>57488</v>
      </c>
      <c r="P2611" s="140">
        <f>_xll.qlInterestRateIndexValueDate(IborIndex,O2611)</f>
        <v>57490</v>
      </c>
      <c r="Q2611" s="141" t="e">
        <v>#N/A</v>
      </c>
      <c r="R2611" s="143" t="e">
        <v>#N/A</v>
      </c>
    </row>
    <row r="2612" spans="14:18" x14ac:dyDescent="0.2">
      <c r="N2612" s="139" t="str">
        <f t="shared" si="47"/>
        <v>1w</v>
      </c>
      <c r="O2612" s="146">
        <f>_xll.qlCalendarAdvance(Calendar,O2611,N2612,"f",FALSE)</f>
        <v>57495</v>
      </c>
      <c r="P2612" s="140">
        <f>_xll.qlInterestRateIndexValueDate(IborIndex,O2612)</f>
        <v>57500</v>
      </c>
      <c r="Q2612" s="141" t="e">
        <v>#N/A</v>
      </c>
      <c r="R2612" s="143" t="e">
        <v>#N/A</v>
      </c>
    </row>
    <row r="2613" spans="14:18" x14ac:dyDescent="0.2">
      <c r="N2613" s="139" t="str">
        <f t="shared" si="47"/>
        <v>1w</v>
      </c>
      <c r="O2613" s="146">
        <f>_xll.qlCalendarAdvance(Calendar,O2612,N2613,"f",FALSE)</f>
        <v>57502</v>
      </c>
      <c r="P2613" s="140">
        <f>_xll.qlInterestRateIndexValueDate(IborIndex,O2613)</f>
        <v>57504</v>
      </c>
      <c r="Q2613" s="141" t="e">
        <v>#N/A</v>
      </c>
      <c r="R2613" s="143" t="e">
        <v>#N/A</v>
      </c>
    </row>
    <row r="2614" spans="14:18" x14ac:dyDescent="0.2">
      <c r="N2614" s="139" t="str">
        <f t="shared" si="47"/>
        <v>1w</v>
      </c>
      <c r="O2614" s="146">
        <f>_xll.qlCalendarAdvance(Calendar,O2613,N2614,"f",FALSE)</f>
        <v>57509</v>
      </c>
      <c r="P2614" s="140">
        <f>_xll.qlInterestRateIndexValueDate(IborIndex,O2614)</f>
        <v>57511</v>
      </c>
      <c r="Q2614" s="141" t="e">
        <v>#N/A</v>
      </c>
      <c r="R2614" s="143" t="e">
        <v>#N/A</v>
      </c>
    </row>
    <row r="2615" spans="14:18" x14ac:dyDescent="0.2">
      <c r="N2615" s="139" t="str">
        <f t="shared" si="47"/>
        <v>1w</v>
      </c>
      <c r="O2615" s="146">
        <f>_xll.qlCalendarAdvance(Calendar,O2614,N2615,"f",FALSE)</f>
        <v>57516</v>
      </c>
      <c r="P2615" s="140">
        <f>_xll.qlInterestRateIndexValueDate(IborIndex,O2615)</f>
        <v>57521</v>
      </c>
      <c r="Q2615" s="141" t="e">
        <v>#N/A</v>
      </c>
      <c r="R2615" s="143" t="e">
        <v>#N/A</v>
      </c>
    </row>
    <row r="2616" spans="14:18" x14ac:dyDescent="0.2">
      <c r="N2616" s="139" t="str">
        <f t="shared" si="47"/>
        <v>1w</v>
      </c>
      <c r="O2616" s="146">
        <f>_xll.qlCalendarAdvance(Calendar,O2615,N2616,"f",FALSE)</f>
        <v>57523</v>
      </c>
      <c r="P2616" s="140">
        <f>_xll.qlInterestRateIndexValueDate(IborIndex,O2616)</f>
        <v>57525</v>
      </c>
      <c r="Q2616" s="141" t="e">
        <v>#N/A</v>
      </c>
      <c r="R2616" s="143" t="e">
        <v>#N/A</v>
      </c>
    </row>
    <row r="2617" spans="14:18" x14ac:dyDescent="0.2">
      <c r="N2617" s="139" t="str">
        <f t="shared" si="47"/>
        <v>1w</v>
      </c>
      <c r="O2617" s="146">
        <f>_xll.qlCalendarAdvance(Calendar,O2616,N2617,"f",FALSE)</f>
        <v>57530</v>
      </c>
      <c r="P2617" s="140">
        <f>_xll.qlInterestRateIndexValueDate(IborIndex,O2617)</f>
        <v>57532</v>
      </c>
      <c r="Q2617" s="141" t="e">
        <v>#N/A</v>
      </c>
      <c r="R2617" s="143" t="e">
        <v>#N/A</v>
      </c>
    </row>
    <row r="2618" spans="14:18" x14ac:dyDescent="0.2">
      <c r="N2618" s="139" t="str">
        <f t="shared" si="47"/>
        <v>1w</v>
      </c>
      <c r="O2618" s="146">
        <f>_xll.qlCalendarAdvance(Calendar,O2617,N2618,"f",FALSE)</f>
        <v>57537</v>
      </c>
      <c r="P2618" s="140">
        <f>_xll.qlInterestRateIndexValueDate(IborIndex,O2618)</f>
        <v>57539</v>
      </c>
      <c r="Q2618" s="141" t="e">
        <v>#N/A</v>
      </c>
      <c r="R2618" s="143" t="e">
        <v>#N/A</v>
      </c>
    </row>
    <row r="2619" spans="14:18" x14ac:dyDescent="0.2">
      <c r="N2619" s="139" t="str">
        <f t="shared" si="47"/>
        <v>1w</v>
      </c>
      <c r="O2619" s="146">
        <f>_xll.qlCalendarAdvance(Calendar,O2618,N2619,"f",FALSE)</f>
        <v>57544</v>
      </c>
      <c r="P2619" s="140">
        <f>_xll.qlInterestRateIndexValueDate(IborIndex,O2619)</f>
        <v>57546</v>
      </c>
      <c r="Q2619" s="141" t="e">
        <v>#N/A</v>
      </c>
      <c r="R2619" s="143" t="e">
        <v>#N/A</v>
      </c>
    </row>
    <row r="2620" spans="14:18" x14ac:dyDescent="0.2">
      <c r="N2620" s="139" t="str">
        <f t="shared" si="47"/>
        <v>1w</v>
      </c>
      <c r="O2620" s="146">
        <f>_xll.qlCalendarAdvance(Calendar,O2619,N2620,"f",FALSE)</f>
        <v>57551</v>
      </c>
      <c r="P2620" s="140">
        <f>_xll.qlInterestRateIndexValueDate(IborIndex,O2620)</f>
        <v>57553</v>
      </c>
      <c r="Q2620" s="141" t="e">
        <v>#N/A</v>
      </c>
      <c r="R2620" s="143" t="e">
        <v>#N/A</v>
      </c>
    </row>
    <row r="2621" spans="14:18" x14ac:dyDescent="0.2">
      <c r="N2621" s="139" t="str">
        <f t="shared" si="47"/>
        <v>1w</v>
      </c>
      <c r="O2621" s="146">
        <f>_xll.qlCalendarAdvance(Calendar,O2620,N2621,"f",FALSE)</f>
        <v>57558</v>
      </c>
      <c r="P2621" s="140">
        <f>_xll.qlInterestRateIndexValueDate(IborIndex,O2621)</f>
        <v>57560</v>
      </c>
      <c r="Q2621" s="141" t="e">
        <v>#N/A</v>
      </c>
      <c r="R2621" s="143" t="e">
        <v>#N/A</v>
      </c>
    </row>
    <row r="2622" spans="14:18" x14ac:dyDescent="0.2">
      <c r="N2622" s="139" t="str">
        <f t="shared" si="47"/>
        <v>1w</v>
      </c>
      <c r="O2622" s="146">
        <f>_xll.qlCalendarAdvance(Calendar,O2621,N2622,"f",FALSE)</f>
        <v>57565</v>
      </c>
      <c r="P2622" s="140">
        <f>_xll.qlInterestRateIndexValueDate(IborIndex,O2622)</f>
        <v>57567</v>
      </c>
      <c r="Q2622" s="141" t="e">
        <v>#N/A</v>
      </c>
      <c r="R2622" s="143" t="e">
        <v>#N/A</v>
      </c>
    </row>
    <row r="2623" spans="14:18" x14ac:dyDescent="0.2">
      <c r="N2623" s="139" t="str">
        <f t="shared" si="47"/>
        <v>1w</v>
      </c>
      <c r="O2623" s="146">
        <f>_xll.qlCalendarAdvance(Calendar,O2622,N2623,"f",FALSE)</f>
        <v>57572</v>
      </c>
      <c r="P2623" s="140">
        <f>_xll.qlInterestRateIndexValueDate(IborIndex,O2623)</f>
        <v>57574</v>
      </c>
      <c r="Q2623" s="141" t="e">
        <v>#N/A</v>
      </c>
      <c r="R2623" s="143" t="e">
        <v>#N/A</v>
      </c>
    </row>
    <row r="2624" spans="14:18" x14ac:dyDescent="0.2">
      <c r="N2624" s="139" t="str">
        <f t="shared" si="47"/>
        <v>1w</v>
      </c>
      <c r="O2624" s="146">
        <f>_xll.qlCalendarAdvance(Calendar,O2623,N2624,"f",FALSE)</f>
        <v>57579</v>
      </c>
      <c r="P2624" s="140">
        <f>_xll.qlInterestRateIndexValueDate(IborIndex,O2624)</f>
        <v>57581</v>
      </c>
      <c r="Q2624" s="141" t="e">
        <v>#N/A</v>
      </c>
      <c r="R2624" s="143" t="e">
        <v>#N/A</v>
      </c>
    </row>
    <row r="2625" spans="14:18" x14ac:dyDescent="0.2">
      <c r="N2625" s="139" t="str">
        <f t="shared" si="47"/>
        <v>1w</v>
      </c>
      <c r="O2625" s="146">
        <f>_xll.qlCalendarAdvance(Calendar,O2624,N2625,"f",FALSE)</f>
        <v>57586</v>
      </c>
      <c r="P2625" s="140">
        <f>_xll.qlInterestRateIndexValueDate(IborIndex,O2625)</f>
        <v>57588</v>
      </c>
      <c r="Q2625" s="141" t="e">
        <v>#N/A</v>
      </c>
      <c r="R2625" s="143" t="e">
        <v>#N/A</v>
      </c>
    </row>
    <row r="2626" spans="14:18" x14ac:dyDescent="0.2">
      <c r="N2626" s="139" t="str">
        <f t="shared" si="47"/>
        <v>1w</v>
      </c>
      <c r="O2626" s="146">
        <f>_xll.qlCalendarAdvance(Calendar,O2625,N2626,"f",FALSE)</f>
        <v>57593</v>
      </c>
      <c r="P2626" s="140">
        <f>_xll.qlInterestRateIndexValueDate(IborIndex,O2626)</f>
        <v>57595</v>
      </c>
      <c r="Q2626" s="141" t="e">
        <v>#N/A</v>
      </c>
      <c r="R2626" s="143" t="e">
        <v>#N/A</v>
      </c>
    </row>
    <row r="2627" spans="14:18" x14ac:dyDescent="0.2">
      <c r="N2627" s="139" t="str">
        <f t="shared" si="47"/>
        <v>1w</v>
      </c>
      <c r="O2627" s="146">
        <f>_xll.qlCalendarAdvance(Calendar,O2626,N2627,"f",FALSE)</f>
        <v>57600</v>
      </c>
      <c r="P2627" s="140">
        <f>_xll.qlInterestRateIndexValueDate(IborIndex,O2627)</f>
        <v>57602</v>
      </c>
      <c r="Q2627" s="141" t="e">
        <v>#N/A</v>
      </c>
      <c r="R2627" s="143" t="e">
        <v>#N/A</v>
      </c>
    </row>
    <row r="2628" spans="14:18" x14ac:dyDescent="0.2">
      <c r="N2628" s="139" t="str">
        <f t="shared" si="47"/>
        <v>1w</v>
      </c>
      <c r="O2628" s="146">
        <f>_xll.qlCalendarAdvance(Calendar,O2627,N2628,"f",FALSE)</f>
        <v>57607</v>
      </c>
      <c r="P2628" s="140">
        <f>_xll.qlInterestRateIndexValueDate(IborIndex,O2628)</f>
        <v>57609</v>
      </c>
      <c r="Q2628" s="141" t="e">
        <v>#N/A</v>
      </c>
      <c r="R2628" s="143" t="e">
        <v>#N/A</v>
      </c>
    </row>
    <row r="2629" spans="14:18" x14ac:dyDescent="0.2">
      <c r="N2629" s="139" t="str">
        <f t="shared" si="47"/>
        <v>1w</v>
      </c>
      <c r="O2629" s="146">
        <f>_xll.qlCalendarAdvance(Calendar,O2628,N2629,"f",FALSE)</f>
        <v>57614</v>
      </c>
      <c r="P2629" s="140">
        <f>_xll.qlInterestRateIndexValueDate(IborIndex,O2629)</f>
        <v>57616</v>
      </c>
      <c r="Q2629" s="141" t="e">
        <v>#N/A</v>
      </c>
      <c r="R2629" s="143" t="e">
        <v>#N/A</v>
      </c>
    </row>
    <row r="2630" spans="14:18" x14ac:dyDescent="0.2">
      <c r="N2630" s="139" t="str">
        <f t="shared" si="47"/>
        <v>1w</v>
      </c>
      <c r="O2630" s="146">
        <f>_xll.qlCalendarAdvance(Calendar,O2629,N2630,"f",FALSE)</f>
        <v>57621</v>
      </c>
      <c r="P2630" s="140">
        <f>_xll.qlInterestRateIndexValueDate(IborIndex,O2630)</f>
        <v>57623</v>
      </c>
      <c r="Q2630" s="141" t="e">
        <v>#N/A</v>
      </c>
      <c r="R2630" s="143" t="e">
        <v>#N/A</v>
      </c>
    </row>
    <row r="2631" spans="14:18" x14ac:dyDescent="0.2">
      <c r="N2631" s="139" t="str">
        <f t="shared" si="47"/>
        <v>1w</v>
      </c>
      <c r="O2631" s="146">
        <f>_xll.qlCalendarAdvance(Calendar,O2630,N2631,"f",FALSE)</f>
        <v>57628</v>
      </c>
      <c r="P2631" s="140">
        <f>_xll.qlInterestRateIndexValueDate(IborIndex,O2631)</f>
        <v>57630</v>
      </c>
      <c r="Q2631" s="141" t="e">
        <v>#N/A</v>
      </c>
      <c r="R2631" s="143" t="e">
        <v>#N/A</v>
      </c>
    </row>
    <row r="2632" spans="14:18" x14ac:dyDescent="0.2">
      <c r="N2632" s="139" t="str">
        <f t="shared" si="47"/>
        <v>1w</v>
      </c>
      <c r="O2632" s="146">
        <f>_xll.qlCalendarAdvance(Calendar,O2631,N2632,"f",FALSE)</f>
        <v>57635</v>
      </c>
      <c r="P2632" s="140">
        <f>_xll.qlInterestRateIndexValueDate(IborIndex,O2632)</f>
        <v>57637</v>
      </c>
      <c r="Q2632" s="141" t="e">
        <v>#N/A</v>
      </c>
      <c r="R2632" s="143" t="e">
        <v>#N/A</v>
      </c>
    </row>
    <row r="2633" spans="14:18" x14ac:dyDescent="0.2">
      <c r="N2633" s="139" t="str">
        <f t="shared" si="47"/>
        <v>1w</v>
      </c>
      <c r="O2633" s="146">
        <f>_xll.qlCalendarAdvance(Calendar,O2632,N2633,"f",FALSE)</f>
        <v>57642</v>
      </c>
      <c r="P2633" s="140">
        <f>_xll.qlInterestRateIndexValueDate(IborIndex,O2633)</f>
        <v>57644</v>
      </c>
      <c r="Q2633" s="141" t="e">
        <v>#N/A</v>
      </c>
      <c r="R2633" s="143" t="e">
        <v>#N/A</v>
      </c>
    </row>
    <row r="2634" spans="14:18" x14ac:dyDescent="0.2">
      <c r="N2634" s="139" t="str">
        <f t="shared" si="47"/>
        <v>1w</v>
      </c>
      <c r="O2634" s="146">
        <f>_xll.qlCalendarAdvance(Calendar,O2633,N2634,"f",FALSE)</f>
        <v>57649</v>
      </c>
      <c r="P2634" s="140">
        <f>_xll.qlInterestRateIndexValueDate(IborIndex,O2634)</f>
        <v>57651</v>
      </c>
      <c r="Q2634" s="141" t="e">
        <v>#N/A</v>
      </c>
      <c r="R2634" s="143" t="e">
        <v>#N/A</v>
      </c>
    </row>
    <row r="2635" spans="14:18" x14ac:dyDescent="0.2">
      <c r="N2635" s="139" t="str">
        <f t="shared" si="47"/>
        <v>1w</v>
      </c>
      <c r="O2635" s="146">
        <f>_xll.qlCalendarAdvance(Calendar,O2634,N2635,"f",FALSE)</f>
        <v>57656</v>
      </c>
      <c r="P2635" s="140">
        <f>_xll.qlInterestRateIndexValueDate(IborIndex,O2635)</f>
        <v>57658</v>
      </c>
      <c r="Q2635" s="141" t="e">
        <v>#N/A</v>
      </c>
      <c r="R2635" s="143" t="e">
        <v>#N/A</v>
      </c>
    </row>
    <row r="2636" spans="14:18" x14ac:dyDescent="0.2">
      <c r="N2636" s="139" t="str">
        <f t="shared" si="47"/>
        <v>1w</v>
      </c>
      <c r="O2636" s="146">
        <f>_xll.qlCalendarAdvance(Calendar,O2635,N2636,"f",FALSE)</f>
        <v>57663</v>
      </c>
      <c r="P2636" s="140">
        <f>_xll.qlInterestRateIndexValueDate(IborIndex,O2636)</f>
        <v>57665</v>
      </c>
      <c r="Q2636" s="141" t="e">
        <v>#N/A</v>
      </c>
      <c r="R2636" s="143" t="e">
        <v>#N/A</v>
      </c>
    </row>
    <row r="2637" spans="14:18" x14ac:dyDescent="0.2">
      <c r="N2637" s="139" t="str">
        <f t="shared" si="47"/>
        <v>1w</v>
      </c>
      <c r="O2637" s="146">
        <f>_xll.qlCalendarAdvance(Calendar,O2636,N2637,"f",FALSE)</f>
        <v>57670</v>
      </c>
      <c r="P2637" s="140">
        <f>_xll.qlInterestRateIndexValueDate(IborIndex,O2637)</f>
        <v>57672</v>
      </c>
      <c r="Q2637" s="141" t="e">
        <v>#N/A</v>
      </c>
      <c r="R2637" s="143" t="e">
        <v>#N/A</v>
      </c>
    </row>
    <row r="2638" spans="14:18" x14ac:dyDescent="0.2">
      <c r="N2638" s="139" t="str">
        <f t="shared" si="47"/>
        <v>1w</v>
      </c>
      <c r="O2638" s="146">
        <f>_xll.qlCalendarAdvance(Calendar,O2637,N2638,"f",FALSE)</f>
        <v>57677</v>
      </c>
      <c r="P2638" s="140">
        <f>_xll.qlInterestRateIndexValueDate(IborIndex,O2638)</f>
        <v>57679</v>
      </c>
      <c r="Q2638" s="141" t="e">
        <v>#N/A</v>
      </c>
      <c r="R2638" s="143" t="e">
        <v>#N/A</v>
      </c>
    </row>
    <row r="2639" spans="14:18" x14ac:dyDescent="0.2">
      <c r="N2639" s="139" t="str">
        <f t="shared" si="47"/>
        <v>1w</v>
      </c>
      <c r="O2639" s="146">
        <f>_xll.qlCalendarAdvance(Calendar,O2638,N2639,"f",FALSE)</f>
        <v>57684</v>
      </c>
      <c r="P2639" s="140">
        <f>_xll.qlInterestRateIndexValueDate(IborIndex,O2639)</f>
        <v>57686</v>
      </c>
      <c r="Q2639" s="141" t="e">
        <v>#N/A</v>
      </c>
      <c r="R2639" s="143" t="e">
        <v>#N/A</v>
      </c>
    </row>
    <row r="2640" spans="14:18" x14ac:dyDescent="0.2">
      <c r="N2640" s="139" t="str">
        <f t="shared" si="47"/>
        <v>1w</v>
      </c>
      <c r="O2640" s="146">
        <f>_xll.qlCalendarAdvance(Calendar,O2639,N2640,"f",FALSE)</f>
        <v>57691</v>
      </c>
      <c r="P2640" s="140">
        <f>_xll.qlInterestRateIndexValueDate(IborIndex,O2640)</f>
        <v>57693</v>
      </c>
      <c r="Q2640" s="141" t="e">
        <v>#N/A</v>
      </c>
      <c r="R2640" s="143" t="e">
        <v>#N/A</v>
      </c>
    </row>
    <row r="2641" spans="14:18" x14ac:dyDescent="0.2">
      <c r="N2641" s="139" t="str">
        <f t="shared" si="47"/>
        <v>1w</v>
      </c>
      <c r="O2641" s="146">
        <f>_xll.qlCalendarAdvance(Calendar,O2640,N2641,"f",FALSE)</f>
        <v>57698</v>
      </c>
      <c r="P2641" s="140">
        <f>_xll.qlInterestRateIndexValueDate(IborIndex,O2641)</f>
        <v>57700</v>
      </c>
      <c r="Q2641" s="141" t="e">
        <v>#N/A</v>
      </c>
      <c r="R2641" s="143" t="e">
        <v>#N/A</v>
      </c>
    </row>
    <row r="2642" spans="14:18" x14ac:dyDescent="0.2">
      <c r="N2642" s="139" t="str">
        <f t="shared" si="47"/>
        <v>1w</v>
      </c>
      <c r="O2642" s="146">
        <f>_xll.qlCalendarAdvance(Calendar,O2641,N2642,"f",FALSE)</f>
        <v>57706</v>
      </c>
      <c r="P2642" s="140">
        <f>_xll.qlInterestRateIndexValueDate(IborIndex,O2642)</f>
        <v>57712</v>
      </c>
      <c r="Q2642" s="141" t="e">
        <v>#N/A</v>
      </c>
      <c r="R2642" s="143" t="e">
        <v>#N/A</v>
      </c>
    </row>
    <row r="2643" spans="14:18" x14ac:dyDescent="0.2">
      <c r="N2643" s="139" t="str">
        <f t="shared" si="47"/>
        <v>1w</v>
      </c>
      <c r="O2643" s="146">
        <f>_xll.qlCalendarAdvance(Calendar,O2642,N2643,"f",FALSE)</f>
        <v>57713</v>
      </c>
      <c r="P2643" s="140">
        <f>_xll.qlInterestRateIndexValueDate(IborIndex,O2643)</f>
        <v>57717</v>
      </c>
      <c r="Q2643" s="141" t="e">
        <v>#N/A</v>
      </c>
      <c r="R2643" s="143" t="e">
        <v>#N/A</v>
      </c>
    </row>
    <row r="2644" spans="14:18" x14ac:dyDescent="0.2">
      <c r="N2644" s="139" t="str">
        <f t="shared" si="47"/>
        <v>1w</v>
      </c>
      <c r="O2644" s="146">
        <f>_xll.qlCalendarAdvance(Calendar,O2643,N2644,"f",FALSE)</f>
        <v>57720</v>
      </c>
      <c r="P2644" s="140">
        <f>_xll.qlInterestRateIndexValueDate(IborIndex,O2644)</f>
        <v>57724</v>
      </c>
      <c r="Q2644" s="141" t="e">
        <v>#N/A</v>
      </c>
      <c r="R2644" s="143" t="e">
        <v>#N/A</v>
      </c>
    </row>
    <row r="2645" spans="14:18" x14ac:dyDescent="0.2">
      <c r="N2645" s="139" t="str">
        <f t="shared" ref="N2645:N2708" si="48">N2644</f>
        <v>1w</v>
      </c>
      <c r="O2645" s="146">
        <f>_xll.qlCalendarAdvance(Calendar,O2644,N2645,"f",FALSE)</f>
        <v>57727</v>
      </c>
      <c r="P2645" s="140">
        <f>_xll.qlInterestRateIndexValueDate(IborIndex,O2645)</f>
        <v>57731</v>
      </c>
      <c r="Q2645" s="141" t="e">
        <v>#N/A</v>
      </c>
      <c r="R2645" s="143" t="e">
        <v>#N/A</v>
      </c>
    </row>
    <row r="2646" spans="14:18" x14ac:dyDescent="0.2">
      <c r="N2646" s="139" t="str">
        <f t="shared" si="48"/>
        <v>1w</v>
      </c>
      <c r="O2646" s="146">
        <f>_xll.qlCalendarAdvance(Calendar,O2645,N2646,"f",FALSE)</f>
        <v>57734</v>
      </c>
      <c r="P2646" s="140">
        <f>_xll.qlInterestRateIndexValueDate(IborIndex,O2646)</f>
        <v>57738</v>
      </c>
      <c r="Q2646" s="141" t="e">
        <v>#N/A</v>
      </c>
      <c r="R2646" s="143" t="e">
        <v>#N/A</v>
      </c>
    </row>
    <row r="2647" spans="14:18" x14ac:dyDescent="0.2">
      <c r="N2647" s="139" t="str">
        <f t="shared" si="48"/>
        <v>1w</v>
      </c>
      <c r="O2647" s="146">
        <f>_xll.qlCalendarAdvance(Calendar,O2646,N2647,"f",FALSE)</f>
        <v>57741</v>
      </c>
      <c r="P2647" s="140">
        <f>_xll.qlInterestRateIndexValueDate(IborIndex,O2647)</f>
        <v>57745</v>
      </c>
      <c r="Q2647" s="141" t="e">
        <v>#N/A</v>
      </c>
      <c r="R2647" s="143" t="e">
        <v>#N/A</v>
      </c>
    </row>
    <row r="2648" spans="14:18" x14ac:dyDescent="0.2">
      <c r="N2648" s="139" t="str">
        <f t="shared" si="48"/>
        <v>1w</v>
      </c>
      <c r="O2648" s="146">
        <f>_xll.qlCalendarAdvance(Calendar,O2647,N2648,"f",FALSE)</f>
        <v>57748</v>
      </c>
      <c r="P2648" s="140">
        <f>_xll.qlInterestRateIndexValueDate(IborIndex,O2648)</f>
        <v>57752</v>
      </c>
      <c r="Q2648" s="141" t="e">
        <v>#N/A</v>
      </c>
      <c r="R2648" s="143" t="e">
        <v>#N/A</v>
      </c>
    </row>
    <row r="2649" spans="14:18" x14ac:dyDescent="0.2">
      <c r="N2649" s="139" t="str">
        <f t="shared" si="48"/>
        <v>1w</v>
      </c>
      <c r="O2649" s="146">
        <f>_xll.qlCalendarAdvance(Calendar,O2648,N2649,"f",FALSE)</f>
        <v>57755</v>
      </c>
      <c r="P2649" s="140">
        <f>_xll.qlInterestRateIndexValueDate(IborIndex,O2649)</f>
        <v>57759</v>
      </c>
      <c r="Q2649" s="141" t="e">
        <v>#N/A</v>
      </c>
      <c r="R2649" s="143" t="e">
        <v>#N/A</v>
      </c>
    </row>
    <row r="2650" spans="14:18" x14ac:dyDescent="0.2">
      <c r="N2650" s="139" t="str">
        <f t="shared" si="48"/>
        <v>1w</v>
      </c>
      <c r="O2650" s="146">
        <f>_xll.qlCalendarAdvance(Calendar,O2649,N2650,"f",FALSE)</f>
        <v>57762</v>
      </c>
      <c r="P2650" s="140">
        <f>_xll.qlInterestRateIndexValueDate(IborIndex,O2650)</f>
        <v>57766</v>
      </c>
      <c r="Q2650" s="141" t="e">
        <v>#N/A</v>
      </c>
      <c r="R2650" s="143" t="e">
        <v>#N/A</v>
      </c>
    </row>
    <row r="2651" spans="14:18" x14ac:dyDescent="0.2">
      <c r="N2651" s="139" t="str">
        <f t="shared" si="48"/>
        <v>1w</v>
      </c>
      <c r="O2651" s="146">
        <f>_xll.qlCalendarAdvance(Calendar,O2650,N2651,"f",FALSE)</f>
        <v>57769</v>
      </c>
      <c r="P2651" s="140">
        <f>_xll.qlInterestRateIndexValueDate(IborIndex,O2651)</f>
        <v>57773</v>
      </c>
      <c r="Q2651" s="141" t="e">
        <v>#N/A</v>
      </c>
      <c r="R2651" s="143" t="e">
        <v>#N/A</v>
      </c>
    </row>
    <row r="2652" spans="14:18" x14ac:dyDescent="0.2">
      <c r="N2652" s="139" t="str">
        <f t="shared" si="48"/>
        <v>1w</v>
      </c>
      <c r="O2652" s="146">
        <f>_xll.qlCalendarAdvance(Calendar,O2651,N2652,"f",FALSE)</f>
        <v>57776</v>
      </c>
      <c r="P2652" s="140">
        <f>_xll.qlInterestRateIndexValueDate(IborIndex,O2652)</f>
        <v>57780</v>
      </c>
      <c r="Q2652" s="141" t="e">
        <v>#N/A</v>
      </c>
      <c r="R2652" s="143" t="e">
        <v>#N/A</v>
      </c>
    </row>
    <row r="2653" spans="14:18" x14ac:dyDescent="0.2">
      <c r="N2653" s="139" t="str">
        <f t="shared" si="48"/>
        <v>1w</v>
      </c>
      <c r="O2653" s="146">
        <f>_xll.qlCalendarAdvance(Calendar,O2652,N2653,"f",FALSE)</f>
        <v>57783</v>
      </c>
      <c r="P2653" s="140">
        <f>_xll.qlInterestRateIndexValueDate(IborIndex,O2653)</f>
        <v>57787</v>
      </c>
      <c r="Q2653" s="141" t="e">
        <v>#N/A</v>
      </c>
      <c r="R2653" s="143" t="e">
        <v>#N/A</v>
      </c>
    </row>
    <row r="2654" spans="14:18" x14ac:dyDescent="0.2">
      <c r="N2654" s="139" t="str">
        <f t="shared" si="48"/>
        <v>1w</v>
      </c>
      <c r="O2654" s="146">
        <f>_xll.qlCalendarAdvance(Calendar,O2653,N2654,"f",FALSE)</f>
        <v>57790</v>
      </c>
      <c r="P2654" s="140">
        <f>_xll.qlInterestRateIndexValueDate(IborIndex,O2654)</f>
        <v>57794</v>
      </c>
      <c r="Q2654" s="141" t="e">
        <v>#N/A</v>
      </c>
      <c r="R2654" s="143" t="e">
        <v>#N/A</v>
      </c>
    </row>
    <row r="2655" spans="14:18" x14ac:dyDescent="0.2">
      <c r="N2655" s="139" t="str">
        <f t="shared" si="48"/>
        <v>1w</v>
      </c>
      <c r="O2655" s="146">
        <f>_xll.qlCalendarAdvance(Calendar,O2654,N2655,"f",FALSE)</f>
        <v>57797</v>
      </c>
      <c r="P2655" s="140">
        <f>_xll.qlInterestRateIndexValueDate(IborIndex,O2655)</f>
        <v>57801</v>
      </c>
      <c r="Q2655" s="141" t="e">
        <v>#N/A</v>
      </c>
      <c r="R2655" s="143" t="e">
        <v>#N/A</v>
      </c>
    </row>
    <row r="2656" spans="14:18" x14ac:dyDescent="0.2">
      <c r="N2656" s="139" t="str">
        <f t="shared" si="48"/>
        <v>1w</v>
      </c>
      <c r="O2656" s="146">
        <f>_xll.qlCalendarAdvance(Calendar,O2655,N2656,"f",FALSE)</f>
        <v>57804</v>
      </c>
      <c r="P2656" s="140">
        <f>_xll.qlInterestRateIndexValueDate(IborIndex,O2656)</f>
        <v>57808</v>
      </c>
      <c r="Q2656" s="141" t="e">
        <v>#N/A</v>
      </c>
      <c r="R2656" s="143" t="e">
        <v>#N/A</v>
      </c>
    </row>
    <row r="2657" spans="14:18" x14ac:dyDescent="0.2">
      <c r="N2657" s="139" t="str">
        <f t="shared" si="48"/>
        <v>1w</v>
      </c>
      <c r="O2657" s="146">
        <f>_xll.qlCalendarAdvance(Calendar,O2656,N2657,"f",FALSE)</f>
        <v>57811</v>
      </c>
      <c r="P2657" s="140">
        <f>_xll.qlInterestRateIndexValueDate(IborIndex,O2657)</f>
        <v>57817</v>
      </c>
      <c r="Q2657" s="141" t="e">
        <v>#N/A</v>
      </c>
      <c r="R2657" s="143" t="e">
        <v>#N/A</v>
      </c>
    </row>
    <row r="2658" spans="14:18" x14ac:dyDescent="0.2">
      <c r="N2658" s="139" t="str">
        <f t="shared" si="48"/>
        <v>1w</v>
      </c>
      <c r="O2658" s="146">
        <f>_xll.qlCalendarAdvance(Calendar,O2657,N2658,"f",FALSE)</f>
        <v>57818</v>
      </c>
      <c r="P2658" s="140">
        <f>_xll.qlInterestRateIndexValueDate(IborIndex,O2658)</f>
        <v>57822</v>
      </c>
      <c r="Q2658" s="141" t="e">
        <v>#N/A</v>
      </c>
      <c r="R2658" s="143" t="e">
        <v>#N/A</v>
      </c>
    </row>
    <row r="2659" spans="14:18" x14ac:dyDescent="0.2">
      <c r="N2659" s="139" t="str">
        <f t="shared" si="48"/>
        <v>1w</v>
      </c>
      <c r="O2659" s="146">
        <f>_xll.qlCalendarAdvance(Calendar,O2658,N2659,"f",FALSE)</f>
        <v>57825</v>
      </c>
      <c r="P2659" s="140">
        <f>_xll.qlInterestRateIndexValueDate(IborIndex,O2659)</f>
        <v>57829</v>
      </c>
      <c r="Q2659" s="141" t="e">
        <v>#N/A</v>
      </c>
      <c r="R2659" s="143" t="e">
        <v>#N/A</v>
      </c>
    </row>
    <row r="2660" spans="14:18" x14ac:dyDescent="0.2">
      <c r="N2660" s="139" t="str">
        <f t="shared" si="48"/>
        <v>1w</v>
      </c>
      <c r="O2660" s="146">
        <f>_xll.qlCalendarAdvance(Calendar,O2659,N2660,"f",FALSE)</f>
        <v>57832</v>
      </c>
      <c r="P2660" s="140">
        <f>_xll.qlInterestRateIndexValueDate(IborIndex,O2660)</f>
        <v>57836</v>
      </c>
      <c r="Q2660" s="141" t="e">
        <v>#N/A</v>
      </c>
      <c r="R2660" s="143" t="e">
        <v>#N/A</v>
      </c>
    </row>
    <row r="2661" spans="14:18" x14ac:dyDescent="0.2">
      <c r="N2661" s="139" t="str">
        <f t="shared" si="48"/>
        <v>1w</v>
      </c>
      <c r="O2661" s="146">
        <f>_xll.qlCalendarAdvance(Calendar,O2660,N2661,"f",FALSE)</f>
        <v>57839</v>
      </c>
      <c r="P2661" s="140">
        <f>_xll.qlInterestRateIndexValueDate(IborIndex,O2661)</f>
        <v>57843</v>
      </c>
      <c r="Q2661" s="141" t="e">
        <v>#N/A</v>
      </c>
      <c r="R2661" s="143" t="e">
        <v>#N/A</v>
      </c>
    </row>
    <row r="2662" spans="14:18" x14ac:dyDescent="0.2">
      <c r="N2662" s="139" t="str">
        <f t="shared" si="48"/>
        <v>1w</v>
      </c>
      <c r="O2662" s="146">
        <f>_xll.qlCalendarAdvance(Calendar,O2661,N2662,"f",FALSE)</f>
        <v>57846</v>
      </c>
      <c r="P2662" s="140">
        <f>_xll.qlInterestRateIndexValueDate(IborIndex,O2662)</f>
        <v>57850</v>
      </c>
      <c r="Q2662" s="141" t="e">
        <v>#N/A</v>
      </c>
      <c r="R2662" s="143" t="e">
        <v>#N/A</v>
      </c>
    </row>
    <row r="2663" spans="14:18" x14ac:dyDescent="0.2">
      <c r="N2663" s="139" t="str">
        <f t="shared" si="48"/>
        <v>1w</v>
      </c>
      <c r="O2663" s="146">
        <f>_xll.qlCalendarAdvance(Calendar,O2662,N2663,"f",FALSE)</f>
        <v>57854</v>
      </c>
      <c r="P2663" s="140">
        <f>_xll.qlInterestRateIndexValueDate(IborIndex,O2663)</f>
        <v>57858</v>
      </c>
      <c r="Q2663" s="141" t="e">
        <v>#N/A</v>
      </c>
      <c r="R2663" s="143" t="e">
        <v>#N/A</v>
      </c>
    </row>
    <row r="2664" spans="14:18" x14ac:dyDescent="0.2">
      <c r="N2664" s="139" t="str">
        <f t="shared" si="48"/>
        <v>1w</v>
      </c>
      <c r="O2664" s="146">
        <f>_xll.qlCalendarAdvance(Calendar,O2663,N2664,"f",FALSE)</f>
        <v>57861</v>
      </c>
      <c r="P2664" s="140">
        <f>_xll.qlInterestRateIndexValueDate(IborIndex,O2664)</f>
        <v>57866</v>
      </c>
      <c r="Q2664" s="141" t="e">
        <v>#N/A</v>
      </c>
      <c r="R2664" s="143" t="e">
        <v>#N/A</v>
      </c>
    </row>
    <row r="2665" spans="14:18" x14ac:dyDescent="0.2">
      <c r="N2665" s="139" t="str">
        <f t="shared" si="48"/>
        <v>1w</v>
      </c>
      <c r="O2665" s="146">
        <f>_xll.qlCalendarAdvance(Calendar,O2664,N2665,"f",FALSE)</f>
        <v>57868</v>
      </c>
      <c r="P2665" s="140">
        <f>_xll.qlInterestRateIndexValueDate(IborIndex,O2665)</f>
        <v>57872</v>
      </c>
      <c r="Q2665" s="141" t="e">
        <v>#N/A</v>
      </c>
      <c r="R2665" s="143" t="e">
        <v>#N/A</v>
      </c>
    </row>
    <row r="2666" spans="14:18" x14ac:dyDescent="0.2">
      <c r="N2666" s="139" t="str">
        <f t="shared" si="48"/>
        <v>1w</v>
      </c>
      <c r="O2666" s="146">
        <f>_xll.qlCalendarAdvance(Calendar,O2665,N2666,"f",FALSE)</f>
        <v>57875</v>
      </c>
      <c r="P2666" s="140">
        <f>_xll.qlInterestRateIndexValueDate(IborIndex,O2666)</f>
        <v>57879</v>
      </c>
      <c r="Q2666" s="141" t="e">
        <v>#N/A</v>
      </c>
      <c r="R2666" s="143" t="e">
        <v>#N/A</v>
      </c>
    </row>
    <row r="2667" spans="14:18" x14ac:dyDescent="0.2">
      <c r="N2667" s="139" t="str">
        <f t="shared" si="48"/>
        <v>1w</v>
      </c>
      <c r="O2667" s="146">
        <f>_xll.qlCalendarAdvance(Calendar,O2666,N2667,"f",FALSE)</f>
        <v>57885</v>
      </c>
      <c r="P2667" s="140">
        <f>_xll.qlInterestRateIndexValueDate(IborIndex,O2667)</f>
        <v>57887</v>
      </c>
      <c r="Q2667" s="141" t="e">
        <v>#N/A</v>
      </c>
      <c r="R2667" s="143" t="e">
        <v>#N/A</v>
      </c>
    </row>
    <row r="2668" spans="14:18" x14ac:dyDescent="0.2">
      <c r="N2668" s="139" t="str">
        <f t="shared" si="48"/>
        <v>1w</v>
      </c>
      <c r="O2668" s="146">
        <f>_xll.qlCalendarAdvance(Calendar,O2667,N2668,"f",FALSE)</f>
        <v>57892</v>
      </c>
      <c r="P2668" s="140">
        <f>_xll.qlInterestRateIndexValueDate(IborIndex,O2668)</f>
        <v>57894</v>
      </c>
      <c r="Q2668" s="141" t="e">
        <v>#N/A</v>
      </c>
      <c r="R2668" s="143" t="e">
        <v>#N/A</v>
      </c>
    </row>
    <row r="2669" spans="14:18" x14ac:dyDescent="0.2">
      <c r="N2669" s="139" t="str">
        <f t="shared" si="48"/>
        <v>1w</v>
      </c>
      <c r="O2669" s="146">
        <f>_xll.qlCalendarAdvance(Calendar,O2668,N2669,"f",FALSE)</f>
        <v>57899</v>
      </c>
      <c r="P2669" s="140">
        <f>_xll.qlInterestRateIndexValueDate(IborIndex,O2669)</f>
        <v>57901</v>
      </c>
      <c r="Q2669" s="141" t="e">
        <v>#N/A</v>
      </c>
      <c r="R2669" s="143" t="e">
        <v>#N/A</v>
      </c>
    </row>
    <row r="2670" spans="14:18" x14ac:dyDescent="0.2">
      <c r="N2670" s="139" t="str">
        <f t="shared" si="48"/>
        <v>1w</v>
      </c>
      <c r="O2670" s="146">
        <f>_xll.qlCalendarAdvance(Calendar,O2669,N2670,"f",FALSE)</f>
        <v>57906</v>
      </c>
      <c r="P2670" s="140">
        <f>_xll.qlInterestRateIndexValueDate(IborIndex,O2670)</f>
        <v>57908</v>
      </c>
      <c r="Q2670" s="141" t="e">
        <v>#N/A</v>
      </c>
      <c r="R2670" s="143" t="e">
        <v>#N/A</v>
      </c>
    </row>
    <row r="2671" spans="14:18" x14ac:dyDescent="0.2">
      <c r="N2671" s="139" t="str">
        <f t="shared" si="48"/>
        <v>1w</v>
      </c>
      <c r="O2671" s="146">
        <f>_xll.qlCalendarAdvance(Calendar,O2670,N2671,"f",FALSE)</f>
        <v>57913</v>
      </c>
      <c r="P2671" s="140">
        <f>_xll.qlInterestRateIndexValueDate(IborIndex,O2671)</f>
        <v>57915</v>
      </c>
      <c r="Q2671" s="141" t="e">
        <v>#N/A</v>
      </c>
      <c r="R2671" s="143" t="e">
        <v>#N/A</v>
      </c>
    </row>
    <row r="2672" spans="14:18" x14ac:dyDescent="0.2">
      <c r="N2672" s="139" t="str">
        <f t="shared" si="48"/>
        <v>1w</v>
      </c>
      <c r="O2672" s="146">
        <f>_xll.qlCalendarAdvance(Calendar,O2671,N2672,"f",FALSE)</f>
        <v>57920</v>
      </c>
      <c r="P2672" s="140">
        <f>_xll.qlInterestRateIndexValueDate(IborIndex,O2672)</f>
        <v>57922</v>
      </c>
      <c r="Q2672" s="141" t="e">
        <v>#N/A</v>
      </c>
      <c r="R2672" s="143" t="e">
        <v>#N/A</v>
      </c>
    </row>
    <row r="2673" spans="14:18" x14ac:dyDescent="0.2">
      <c r="N2673" s="139" t="str">
        <f t="shared" si="48"/>
        <v>1w</v>
      </c>
      <c r="O2673" s="146">
        <f>_xll.qlCalendarAdvance(Calendar,O2672,N2673,"f",FALSE)</f>
        <v>57927</v>
      </c>
      <c r="P2673" s="140">
        <f>_xll.qlInterestRateIndexValueDate(IborIndex,O2673)</f>
        <v>57929</v>
      </c>
      <c r="Q2673" s="141" t="e">
        <v>#N/A</v>
      </c>
      <c r="R2673" s="143" t="e">
        <v>#N/A</v>
      </c>
    </row>
    <row r="2674" spans="14:18" x14ac:dyDescent="0.2">
      <c r="N2674" s="139" t="str">
        <f t="shared" si="48"/>
        <v>1w</v>
      </c>
      <c r="O2674" s="146">
        <f>_xll.qlCalendarAdvance(Calendar,O2673,N2674,"f",FALSE)</f>
        <v>57934</v>
      </c>
      <c r="P2674" s="140">
        <f>_xll.qlInterestRateIndexValueDate(IborIndex,O2674)</f>
        <v>57936</v>
      </c>
      <c r="Q2674" s="141" t="e">
        <v>#N/A</v>
      </c>
      <c r="R2674" s="143" t="e">
        <v>#N/A</v>
      </c>
    </row>
    <row r="2675" spans="14:18" x14ac:dyDescent="0.2">
      <c r="N2675" s="139" t="str">
        <f t="shared" si="48"/>
        <v>1w</v>
      </c>
      <c r="O2675" s="146">
        <f>_xll.qlCalendarAdvance(Calendar,O2674,N2675,"f",FALSE)</f>
        <v>57941</v>
      </c>
      <c r="P2675" s="140">
        <f>_xll.qlInterestRateIndexValueDate(IborIndex,O2675)</f>
        <v>57943</v>
      </c>
      <c r="Q2675" s="141" t="e">
        <v>#N/A</v>
      </c>
      <c r="R2675" s="143" t="e">
        <v>#N/A</v>
      </c>
    </row>
    <row r="2676" spans="14:18" x14ac:dyDescent="0.2">
      <c r="N2676" s="139" t="str">
        <f t="shared" si="48"/>
        <v>1w</v>
      </c>
      <c r="O2676" s="146">
        <f>_xll.qlCalendarAdvance(Calendar,O2675,N2676,"f",FALSE)</f>
        <v>57948</v>
      </c>
      <c r="P2676" s="140">
        <f>_xll.qlInterestRateIndexValueDate(IborIndex,O2676)</f>
        <v>57950</v>
      </c>
      <c r="Q2676" s="141" t="e">
        <v>#N/A</v>
      </c>
      <c r="R2676" s="143" t="e">
        <v>#N/A</v>
      </c>
    </row>
    <row r="2677" spans="14:18" x14ac:dyDescent="0.2">
      <c r="N2677" s="139" t="str">
        <f t="shared" si="48"/>
        <v>1w</v>
      </c>
      <c r="O2677" s="146">
        <f>_xll.qlCalendarAdvance(Calendar,O2676,N2677,"f",FALSE)</f>
        <v>57955</v>
      </c>
      <c r="P2677" s="140">
        <f>_xll.qlInterestRateIndexValueDate(IborIndex,O2677)</f>
        <v>57957</v>
      </c>
      <c r="Q2677" s="141" t="e">
        <v>#N/A</v>
      </c>
      <c r="R2677" s="143" t="e">
        <v>#N/A</v>
      </c>
    </row>
    <row r="2678" spans="14:18" x14ac:dyDescent="0.2">
      <c r="N2678" s="139" t="str">
        <f t="shared" si="48"/>
        <v>1w</v>
      </c>
      <c r="O2678" s="146">
        <f>_xll.qlCalendarAdvance(Calendar,O2677,N2678,"f",FALSE)</f>
        <v>57962</v>
      </c>
      <c r="P2678" s="140">
        <f>_xll.qlInterestRateIndexValueDate(IborIndex,O2678)</f>
        <v>57964</v>
      </c>
      <c r="Q2678" s="141" t="e">
        <v>#N/A</v>
      </c>
      <c r="R2678" s="143" t="e">
        <v>#N/A</v>
      </c>
    </row>
    <row r="2679" spans="14:18" x14ac:dyDescent="0.2">
      <c r="N2679" s="139" t="str">
        <f t="shared" si="48"/>
        <v>1w</v>
      </c>
      <c r="O2679" s="146">
        <f>_xll.qlCalendarAdvance(Calendar,O2678,N2679,"f",FALSE)</f>
        <v>57969</v>
      </c>
      <c r="P2679" s="140">
        <f>_xll.qlInterestRateIndexValueDate(IborIndex,O2679)</f>
        <v>57971</v>
      </c>
      <c r="Q2679" s="141" t="e">
        <v>#N/A</v>
      </c>
      <c r="R2679" s="143" t="e">
        <v>#N/A</v>
      </c>
    </row>
    <row r="2680" spans="14:18" x14ac:dyDescent="0.2">
      <c r="N2680" s="139" t="str">
        <f t="shared" si="48"/>
        <v>1w</v>
      </c>
      <c r="O2680" s="146">
        <f>_xll.qlCalendarAdvance(Calendar,O2679,N2680,"f",FALSE)</f>
        <v>57976</v>
      </c>
      <c r="P2680" s="140">
        <f>_xll.qlInterestRateIndexValueDate(IborIndex,O2680)</f>
        <v>57978</v>
      </c>
      <c r="Q2680" s="141" t="e">
        <v>#N/A</v>
      </c>
      <c r="R2680" s="143" t="e">
        <v>#N/A</v>
      </c>
    </row>
    <row r="2681" spans="14:18" x14ac:dyDescent="0.2">
      <c r="N2681" s="139" t="str">
        <f t="shared" si="48"/>
        <v>1w</v>
      </c>
      <c r="O2681" s="146">
        <f>_xll.qlCalendarAdvance(Calendar,O2680,N2681,"f",FALSE)</f>
        <v>57983</v>
      </c>
      <c r="P2681" s="140">
        <f>_xll.qlInterestRateIndexValueDate(IborIndex,O2681)</f>
        <v>57985</v>
      </c>
      <c r="Q2681" s="141" t="e">
        <v>#N/A</v>
      </c>
      <c r="R2681" s="143" t="e">
        <v>#N/A</v>
      </c>
    </row>
    <row r="2682" spans="14:18" x14ac:dyDescent="0.2">
      <c r="N2682" s="139" t="str">
        <f t="shared" si="48"/>
        <v>1w</v>
      </c>
      <c r="O2682" s="146">
        <f>_xll.qlCalendarAdvance(Calendar,O2681,N2682,"f",FALSE)</f>
        <v>57990</v>
      </c>
      <c r="P2682" s="140">
        <f>_xll.qlInterestRateIndexValueDate(IborIndex,O2682)</f>
        <v>57992</v>
      </c>
      <c r="Q2682" s="141" t="e">
        <v>#N/A</v>
      </c>
      <c r="R2682" s="143" t="e">
        <v>#N/A</v>
      </c>
    </row>
    <row r="2683" spans="14:18" x14ac:dyDescent="0.2">
      <c r="N2683" s="139" t="str">
        <f t="shared" si="48"/>
        <v>1w</v>
      </c>
      <c r="O2683" s="146">
        <f>_xll.qlCalendarAdvance(Calendar,O2682,N2683,"f",FALSE)</f>
        <v>57997</v>
      </c>
      <c r="P2683" s="140">
        <f>_xll.qlInterestRateIndexValueDate(IborIndex,O2683)</f>
        <v>57999</v>
      </c>
      <c r="Q2683" s="141" t="e">
        <v>#N/A</v>
      </c>
      <c r="R2683" s="143" t="e">
        <v>#N/A</v>
      </c>
    </row>
    <row r="2684" spans="14:18" x14ac:dyDescent="0.2">
      <c r="N2684" s="139" t="str">
        <f t="shared" si="48"/>
        <v>1w</v>
      </c>
      <c r="O2684" s="146">
        <f>_xll.qlCalendarAdvance(Calendar,O2683,N2684,"f",FALSE)</f>
        <v>58004</v>
      </c>
      <c r="P2684" s="140">
        <f>_xll.qlInterestRateIndexValueDate(IborIndex,O2684)</f>
        <v>58006</v>
      </c>
      <c r="Q2684" s="141" t="e">
        <v>#N/A</v>
      </c>
      <c r="R2684" s="143" t="e">
        <v>#N/A</v>
      </c>
    </row>
    <row r="2685" spans="14:18" x14ac:dyDescent="0.2">
      <c r="N2685" s="139" t="str">
        <f t="shared" si="48"/>
        <v>1w</v>
      </c>
      <c r="O2685" s="146">
        <f>_xll.qlCalendarAdvance(Calendar,O2684,N2685,"f",FALSE)</f>
        <v>58011</v>
      </c>
      <c r="P2685" s="140">
        <f>_xll.qlInterestRateIndexValueDate(IborIndex,O2685)</f>
        <v>58013</v>
      </c>
      <c r="Q2685" s="141" t="e">
        <v>#N/A</v>
      </c>
      <c r="R2685" s="143" t="e">
        <v>#N/A</v>
      </c>
    </row>
    <row r="2686" spans="14:18" x14ac:dyDescent="0.2">
      <c r="N2686" s="139" t="str">
        <f t="shared" si="48"/>
        <v>1w</v>
      </c>
      <c r="O2686" s="146">
        <f>_xll.qlCalendarAdvance(Calendar,O2685,N2686,"f",FALSE)</f>
        <v>58018</v>
      </c>
      <c r="P2686" s="140">
        <f>_xll.qlInterestRateIndexValueDate(IborIndex,O2686)</f>
        <v>58020</v>
      </c>
      <c r="Q2686" s="141" t="e">
        <v>#N/A</v>
      </c>
      <c r="R2686" s="143" t="e">
        <v>#N/A</v>
      </c>
    </row>
    <row r="2687" spans="14:18" x14ac:dyDescent="0.2">
      <c r="N2687" s="139" t="str">
        <f t="shared" si="48"/>
        <v>1w</v>
      </c>
      <c r="O2687" s="146">
        <f>_xll.qlCalendarAdvance(Calendar,O2686,N2687,"f",FALSE)</f>
        <v>58025</v>
      </c>
      <c r="P2687" s="140">
        <f>_xll.qlInterestRateIndexValueDate(IborIndex,O2687)</f>
        <v>58027</v>
      </c>
      <c r="Q2687" s="141" t="e">
        <v>#N/A</v>
      </c>
      <c r="R2687" s="143" t="e">
        <v>#N/A</v>
      </c>
    </row>
    <row r="2688" spans="14:18" x14ac:dyDescent="0.2">
      <c r="N2688" s="139" t="str">
        <f t="shared" si="48"/>
        <v>1w</v>
      </c>
      <c r="O2688" s="146">
        <f>_xll.qlCalendarAdvance(Calendar,O2687,N2688,"f",FALSE)</f>
        <v>58032</v>
      </c>
      <c r="P2688" s="140">
        <f>_xll.qlInterestRateIndexValueDate(IborIndex,O2688)</f>
        <v>58034</v>
      </c>
      <c r="Q2688" s="141" t="e">
        <v>#N/A</v>
      </c>
      <c r="R2688" s="143" t="e">
        <v>#N/A</v>
      </c>
    </row>
    <row r="2689" spans="14:18" x14ac:dyDescent="0.2">
      <c r="N2689" s="139" t="str">
        <f t="shared" si="48"/>
        <v>1w</v>
      </c>
      <c r="O2689" s="146">
        <f>_xll.qlCalendarAdvance(Calendar,O2688,N2689,"f",FALSE)</f>
        <v>58039</v>
      </c>
      <c r="P2689" s="140">
        <f>_xll.qlInterestRateIndexValueDate(IborIndex,O2689)</f>
        <v>58041</v>
      </c>
      <c r="Q2689" s="141" t="e">
        <v>#N/A</v>
      </c>
      <c r="R2689" s="143" t="e">
        <v>#N/A</v>
      </c>
    </row>
    <row r="2690" spans="14:18" x14ac:dyDescent="0.2">
      <c r="N2690" s="139" t="str">
        <f t="shared" si="48"/>
        <v>1w</v>
      </c>
      <c r="O2690" s="146">
        <f>_xll.qlCalendarAdvance(Calendar,O2689,N2690,"f",FALSE)</f>
        <v>58046</v>
      </c>
      <c r="P2690" s="140">
        <f>_xll.qlInterestRateIndexValueDate(IborIndex,O2690)</f>
        <v>58048</v>
      </c>
      <c r="Q2690" s="141" t="e">
        <v>#N/A</v>
      </c>
      <c r="R2690" s="143" t="e">
        <v>#N/A</v>
      </c>
    </row>
    <row r="2691" spans="14:18" x14ac:dyDescent="0.2">
      <c r="N2691" s="139" t="str">
        <f t="shared" si="48"/>
        <v>1w</v>
      </c>
      <c r="O2691" s="146">
        <f>_xll.qlCalendarAdvance(Calendar,O2690,N2691,"f",FALSE)</f>
        <v>58053</v>
      </c>
      <c r="P2691" s="140">
        <f>_xll.qlInterestRateIndexValueDate(IborIndex,O2691)</f>
        <v>58055</v>
      </c>
      <c r="Q2691" s="141" t="e">
        <v>#N/A</v>
      </c>
      <c r="R2691" s="143" t="e">
        <v>#N/A</v>
      </c>
    </row>
    <row r="2692" spans="14:18" x14ac:dyDescent="0.2">
      <c r="N2692" s="139" t="str">
        <f t="shared" si="48"/>
        <v>1w</v>
      </c>
      <c r="O2692" s="146">
        <f>_xll.qlCalendarAdvance(Calendar,O2691,N2692,"f",FALSE)</f>
        <v>58060</v>
      </c>
      <c r="P2692" s="140">
        <f>_xll.qlInterestRateIndexValueDate(IborIndex,O2692)</f>
        <v>58062</v>
      </c>
      <c r="Q2692" s="141" t="e">
        <v>#N/A</v>
      </c>
      <c r="R2692" s="143" t="e">
        <v>#N/A</v>
      </c>
    </row>
    <row r="2693" spans="14:18" x14ac:dyDescent="0.2">
      <c r="N2693" s="139" t="str">
        <f t="shared" si="48"/>
        <v>1w</v>
      </c>
      <c r="O2693" s="146">
        <f>_xll.qlCalendarAdvance(Calendar,O2692,N2693,"f",FALSE)</f>
        <v>58067</v>
      </c>
      <c r="P2693" s="140">
        <f>_xll.qlInterestRateIndexValueDate(IborIndex,O2693)</f>
        <v>58074</v>
      </c>
      <c r="Q2693" s="141" t="e">
        <v>#N/A</v>
      </c>
      <c r="R2693" s="143" t="e">
        <v>#N/A</v>
      </c>
    </row>
    <row r="2694" spans="14:18" x14ac:dyDescent="0.2">
      <c r="N2694" s="139" t="str">
        <f t="shared" si="48"/>
        <v>1w</v>
      </c>
      <c r="O2694" s="146">
        <f>_xll.qlCalendarAdvance(Calendar,O2693,N2694,"f",FALSE)</f>
        <v>58074</v>
      </c>
      <c r="P2694" s="140">
        <f>_xll.qlInterestRateIndexValueDate(IborIndex,O2694)</f>
        <v>58078</v>
      </c>
      <c r="Q2694" s="141" t="e">
        <v>#N/A</v>
      </c>
      <c r="R2694" s="143" t="e">
        <v>#N/A</v>
      </c>
    </row>
    <row r="2695" spans="14:18" x14ac:dyDescent="0.2">
      <c r="N2695" s="139" t="str">
        <f t="shared" si="48"/>
        <v>1w</v>
      </c>
      <c r="O2695" s="146">
        <f>_xll.qlCalendarAdvance(Calendar,O2694,N2695,"f",FALSE)</f>
        <v>58082</v>
      </c>
      <c r="P2695" s="140">
        <f>_xll.qlInterestRateIndexValueDate(IborIndex,O2695)</f>
        <v>58084</v>
      </c>
      <c r="Q2695" s="141" t="e">
        <v>#N/A</v>
      </c>
      <c r="R2695" s="143" t="e">
        <v>#N/A</v>
      </c>
    </row>
    <row r="2696" spans="14:18" x14ac:dyDescent="0.2">
      <c r="N2696" s="139" t="str">
        <f t="shared" si="48"/>
        <v>1w</v>
      </c>
      <c r="O2696" s="146">
        <f>_xll.qlCalendarAdvance(Calendar,O2695,N2696,"f",FALSE)</f>
        <v>58089</v>
      </c>
      <c r="P2696" s="140">
        <f>_xll.qlInterestRateIndexValueDate(IborIndex,O2696)</f>
        <v>58091</v>
      </c>
      <c r="Q2696" s="141" t="e">
        <v>#N/A</v>
      </c>
      <c r="R2696" s="143" t="e">
        <v>#N/A</v>
      </c>
    </row>
    <row r="2697" spans="14:18" x14ac:dyDescent="0.2">
      <c r="N2697" s="139" t="str">
        <f t="shared" si="48"/>
        <v>1w</v>
      </c>
      <c r="O2697" s="146">
        <f>_xll.qlCalendarAdvance(Calendar,O2696,N2697,"f",FALSE)</f>
        <v>58096</v>
      </c>
      <c r="P2697" s="140">
        <f>_xll.qlInterestRateIndexValueDate(IborIndex,O2697)</f>
        <v>58098</v>
      </c>
      <c r="Q2697" s="141" t="e">
        <v>#N/A</v>
      </c>
      <c r="R2697" s="143" t="e">
        <v>#N/A</v>
      </c>
    </row>
    <row r="2698" spans="14:18" x14ac:dyDescent="0.2">
      <c r="N2698" s="139" t="str">
        <f t="shared" si="48"/>
        <v>1w</v>
      </c>
      <c r="O2698" s="146">
        <f>_xll.qlCalendarAdvance(Calendar,O2697,N2698,"f",FALSE)</f>
        <v>58103</v>
      </c>
      <c r="P2698" s="140">
        <f>_xll.qlInterestRateIndexValueDate(IborIndex,O2698)</f>
        <v>58105</v>
      </c>
      <c r="Q2698" s="141" t="e">
        <v>#N/A</v>
      </c>
      <c r="R2698" s="143" t="e">
        <v>#N/A</v>
      </c>
    </row>
    <row r="2699" spans="14:18" x14ac:dyDescent="0.2">
      <c r="N2699" s="139" t="str">
        <f t="shared" si="48"/>
        <v>1w</v>
      </c>
      <c r="O2699" s="146">
        <f>_xll.qlCalendarAdvance(Calendar,O2698,N2699,"f",FALSE)</f>
        <v>58110</v>
      </c>
      <c r="P2699" s="140">
        <f>_xll.qlInterestRateIndexValueDate(IborIndex,O2699)</f>
        <v>58112</v>
      </c>
      <c r="Q2699" s="141" t="e">
        <v>#N/A</v>
      </c>
      <c r="R2699" s="143" t="e">
        <v>#N/A</v>
      </c>
    </row>
    <row r="2700" spans="14:18" x14ac:dyDescent="0.2">
      <c r="N2700" s="139" t="str">
        <f t="shared" si="48"/>
        <v>1w</v>
      </c>
      <c r="O2700" s="146">
        <f>_xll.qlCalendarAdvance(Calendar,O2699,N2700,"f",FALSE)</f>
        <v>58117</v>
      </c>
      <c r="P2700" s="140">
        <f>_xll.qlInterestRateIndexValueDate(IborIndex,O2700)</f>
        <v>58119</v>
      </c>
      <c r="Q2700" s="141" t="e">
        <v>#N/A</v>
      </c>
      <c r="R2700" s="143" t="e">
        <v>#N/A</v>
      </c>
    </row>
    <row r="2701" spans="14:18" x14ac:dyDescent="0.2">
      <c r="N2701" s="139" t="str">
        <f t="shared" si="48"/>
        <v>1w</v>
      </c>
      <c r="O2701" s="146">
        <f>_xll.qlCalendarAdvance(Calendar,O2700,N2701,"f",FALSE)</f>
        <v>58124</v>
      </c>
      <c r="P2701" s="140">
        <f>_xll.qlInterestRateIndexValueDate(IborIndex,O2701)</f>
        <v>58126</v>
      </c>
      <c r="Q2701" s="141" t="e">
        <v>#N/A</v>
      </c>
      <c r="R2701" s="143" t="e">
        <v>#N/A</v>
      </c>
    </row>
    <row r="2702" spans="14:18" x14ac:dyDescent="0.2">
      <c r="N2702" s="139" t="str">
        <f t="shared" si="48"/>
        <v>1w</v>
      </c>
      <c r="O2702" s="146">
        <f>_xll.qlCalendarAdvance(Calendar,O2701,N2702,"f",FALSE)</f>
        <v>58131</v>
      </c>
      <c r="P2702" s="140">
        <f>_xll.qlInterestRateIndexValueDate(IborIndex,O2702)</f>
        <v>58133</v>
      </c>
      <c r="Q2702" s="141" t="e">
        <v>#N/A</v>
      </c>
      <c r="R2702" s="143" t="e">
        <v>#N/A</v>
      </c>
    </row>
    <row r="2703" spans="14:18" x14ac:dyDescent="0.2">
      <c r="N2703" s="139" t="str">
        <f t="shared" si="48"/>
        <v>1w</v>
      </c>
      <c r="O2703" s="146">
        <f>_xll.qlCalendarAdvance(Calendar,O2702,N2703,"f",FALSE)</f>
        <v>58138</v>
      </c>
      <c r="P2703" s="140">
        <f>_xll.qlInterestRateIndexValueDate(IborIndex,O2703)</f>
        <v>58140</v>
      </c>
      <c r="Q2703" s="141" t="e">
        <v>#N/A</v>
      </c>
      <c r="R2703" s="143" t="e">
        <v>#N/A</v>
      </c>
    </row>
    <row r="2704" spans="14:18" x14ac:dyDescent="0.2">
      <c r="N2704" s="139" t="str">
        <f t="shared" si="48"/>
        <v>1w</v>
      </c>
      <c r="O2704" s="146">
        <f>_xll.qlCalendarAdvance(Calendar,O2703,N2704,"f",FALSE)</f>
        <v>58145</v>
      </c>
      <c r="P2704" s="140">
        <f>_xll.qlInterestRateIndexValueDate(IborIndex,O2704)</f>
        <v>58147</v>
      </c>
      <c r="Q2704" s="141" t="e">
        <v>#N/A</v>
      </c>
      <c r="R2704" s="143" t="e">
        <v>#N/A</v>
      </c>
    </row>
    <row r="2705" spans="14:18" x14ac:dyDescent="0.2">
      <c r="N2705" s="139" t="str">
        <f t="shared" si="48"/>
        <v>1w</v>
      </c>
      <c r="O2705" s="146">
        <f>_xll.qlCalendarAdvance(Calendar,O2704,N2705,"f",FALSE)</f>
        <v>58152</v>
      </c>
      <c r="P2705" s="140">
        <f>_xll.qlInterestRateIndexValueDate(IborIndex,O2705)</f>
        <v>58154</v>
      </c>
      <c r="Q2705" s="141" t="e">
        <v>#N/A</v>
      </c>
      <c r="R2705" s="143" t="e">
        <v>#N/A</v>
      </c>
    </row>
    <row r="2706" spans="14:18" x14ac:dyDescent="0.2">
      <c r="N2706" s="139" t="str">
        <f t="shared" si="48"/>
        <v>1w</v>
      </c>
      <c r="O2706" s="146">
        <f>_xll.qlCalendarAdvance(Calendar,O2705,N2706,"f",FALSE)</f>
        <v>58159</v>
      </c>
      <c r="P2706" s="140">
        <f>_xll.qlInterestRateIndexValueDate(IborIndex,O2706)</f>
        <v>58161</v>
      </c>
      <c r="Q2706" s="141" t="e">
        <v>#N/A</v>
      </c>
      <c r="R2706" s="143" t="e">
        <v>#N/A</v>
      </c>
    </row>
    <row r="2707" spans="14:18" x14ac:dyDescent="0.2">
      <c r="N2707" s="139" t="str">
        <f t="shared" si="48"/>
        <v>1w</v>
      </c>
      <c r="O2707" s="146">
        <f>_xll.qlCalendarAdvance(Calendar,O2706,N2707,"f",FALSE)</f>
        <v>58166</v>
      </c>
      <c r="P2707" s="140">
        <f>_xll.qlInterestRateIndexValueDate(IborIndex,O2707)</f>
        <v>58168</v>
      </c>
      <c r="Q2707" s="141" t="e">
        <v>#N/A</v>
      </c>
      <c r="R2707" s="143" t="e">
        <v>#N/A</v>
      </c>
    </row>
    <row r="2708" spans="14:18" x14ac:dyDescent="0.2">
      <c r="N2708" s="139" t="str">
        <f t="shared" si="48"/>
        <v>1w</v>
      </c>
      <c r="O2708" s="146">
        <f>_xll.qlCalendarAdvance(Calendar,O2707,N2708,"f",FALSE)</f>
        <v>58173</v>
      </c>
      <c r="P2708" s="140">
        <f>_xll.qlInterestRateIndexValueDate(IborIndex,O2708)</f>
        <v>58175</v>
      </c>
      <c r="Q2708" s="141" t="e">
        <v>#N/A</v>
      </c>
      <c r="R2708" s="143" t="e">
        <v>#N/A</v>
      </c>
    </row>
    <row r="2709" spans="14:18" x14ac:dyDescent="0.2">
      <c r="N2709" s="139" t="str">
        <f t="shared" ref="N2709:N2772" si="49">N2708</f>
        <v>1w</v>
      </c>
      <c r="O2709" s="146">
        <f>_xll.qlCalendarAdvance(Calendar,O2708,N2709,"f",FALSE)</f>
        <v>58180</v>
      </c>
      <c r="P2709" s="140">
        <f>_xll.qlInterestRateIndexValueDate(IborIndex,O2709)</f>
        <v>58182</v>
      </c>
      <c r="Q2709" s="141" t="e">
        <v>#N/A</v>
      </c>
      <c r="R2709" s="143" t="e">
        <v>#N/A</v>
      </c>
    </row>
    <row r="2710" spans="14:18" x14ac:dyDescent="0.2">
      <c r="N2710" s="139" t="str">
        <f t="shared" si="49"/>
        <v>1w</v>
      </c>
      <c r="O2710" s="146">
        <f>_xll.qlCalendarAdvance(Calendar,O2709,N2710,"f",FALSE)</f>
        <v>58187</v>
      </c>
      <c r="P2710" s="140">
        <f>_xll.qlInterestRateIndexValueDate(IborIndex,O2710)</f>
        <v>58189</v>
      </c>
      <c r="Q2710" s="141" t="e">
        <v>#N/A</v>
      </c>
      <c r="R2710" s="143" t="e">
        <v>#N/A</v>
      </c>
    </row>
    <row r="2711" spans="14:18" x14ac:dyDescent="0.2">
      <c r="N2711" s="139" t="str">
        <f t="shared" si="49"/>
        <v>1w</v>
      </c>
      <c r="O2711" s="146">
        <f>_xll.qlCalendarAdvance(Calendar,O2710,N2711,"f",FALSE)</f>
        <v>58194</v>
      </c>
      <c r="P2711" s="140">
        <f>_xll.qlInterestRateIndexValueDate(IborIndex,O2711)</f>
        <v>58197</v>
      </c>
      <c r="Q2711" s="141" t="e">
        <v>#N/A</v>
      </c>
      <c r="R2711" s="143" t="e">
        <v>#N/A</v>
      </c>
    </row>
    <row r="2712" spans="14:18" x14ac:dyDescent="0.2">
      <c r="N2712" s="139" t="str">
        <f t="shared" si="49"/>
        <v>1w</v>
      </c>
      <c r="O2712" s="146">
        <f>_xll.qlCalendarAdvance(Calendar,O2711,N2712,"f",FALSE)</f>
        <v>58201</v>
      </c>
      <c r="P2712" s="140">
        <f>_xll.qlInterestRateIndexValueDate(IborIndex,O2712)</f>
        <v>58204</v>
      </c>
      <c r="Q2712" s="141" t="e">
        <v>#N/A</v>
      </c>
      <c r="R2712" s="143" t="e">
        <v>#N/A</v>
      </c>
    </row>
    <row r="2713" spans="14:18" x14ac:dyDescent="0.2">
      <c r="N2713" s="139" t="str">
        <f t="shared" si="49"/>
        <v>1w</v>
      </c>
      <c r="O2713" s="146">
        <f>_xll.qlCalendarAdvance(Calendar,O2712,N2713,"f",FALSE)</f>
        <v>58208</v>
      </c>
      <c r="P2713" s="140">
        <f>_xll.qlInterestRateIndexValueDate(IborIndex,O2713)</f>
        <v>58210</v>
      </c>
      <c r="Q2713" s="141" t="e">
        <v>#N/A</v>
      </c>
      <c r="R2713" s="143" t="e">
        <v>#N/A</v>
      </c>
    </row>
    <row r="2714" spans="14:18" x14ac:dyDescent="0.2">
      <c r="N2714" s="139" t="str">
        <f t="shared" si="49"/>
        <v>1w</v>
      </c>
      <c r="O2714" s="146">
        <f>_xll.qlCalendarAdvance(Calendar,O2713,N2714,"f",FALSE)</f>
        <v>58215</v>
      </c>
      <c r="P2714" s="140">
        <f>_xll.qlInterestRateIndexValueDate(IborIndex,O2714)</f>
        <v>58217</v>
      </c>
      <c r="Q2714" s="141" t="e">
        <v>#N/A</v>
      </c>
      <c r="R2714" s="143" t="e">
        <v>#N/A</v>
      </c>
    </row>
    <row r="2715" spans="14:18" x14ac:dyDescent="0.2">
      <c r="N2715" s="139" t="str">
        <f t="shared" si="49"/>
        <v>1w</v>
      </c>
      <c r="O2715" s="146">
        <f>_xll.qlCalendarAdvance(Calendar,O2714,N2715,"f",FALSE)</f>
        <v>58222</v>
      </c>
      <c r="P2715" s="140">
        <f>_xll.qlInterestRateIndexValueDate(IborIndex,O2715)</f>
        <v>58224</v>
      </c>
      <c r="Q2715" s="141" t="e">
        <v>#N/A</v>
      </c>
      <c r="R2715" s="143" t="e">
        <v>#N/A</v>
      </c>
    </row>
    <row r="2716" spans="14:18" x14ac:dyDescent="0.2">
      <c r="N2716" s="139" t="str">
        <f t="shared" si="49"/>
        <v>1w</v>
      </c>
      <c r="O2716" s="146">
        <f>_xll.qlCalendarAdvance(Calendar,O2715,N2716,"f",FALSE)</f>
        <v>58229</v>
      </c>
      <c r="P2716" s="140">
        <f>_xll.qlInterestRateIndexValueDate(IborIndex,O2716)</f>
        <v>58231</v>
      </c>
      <c r="Q2716" s="141" t="e">
        <v>#N/A</v>
      </c>
      <c r="R2716" s="143" t="e">
        <v>#N/A</v>
      </c>
    </row>
    <row r="2717" spans="14:18" x14ac:dyDescent="0.2">
      <c r="N2717" s="139" t="str">
        <f t="shared" si="49"/>
        <v>1w</v>
      </c>
      <c r="O2717" s="146">
        <f>_xll.qlCalendarAdvance(Calendar,O2716,N2717,"f",FALSE)</f>
        <v>58236</v>
      </c>
      <c r="P2717" s="140">
        <f>_xll.qlInterestRateIndexValueDate(IborIndex,O2717)</f>
        <v>58238</v>
      </c>
      <c r="Q2717" s="141" t="e">
        <v>#N/A</v>
      </c>
      <c r="R2717" s="143" t="e">
        <v>#N/A</v>
      </c>
    </row>
    <row r="2718" spans="14:18" x14ac:dyDescent="0.2">
      <c r="N2718" s="139" t="str">
        <f t="shared" si="49"/>
        <v>1w</v>
      </c>
      <c r="O2718" s="146">
        <f>_xll.qlCalendarAdvance(Calendar,O2717,N2718,"f",FALSE)</f>
        <v>58243</v>
      </c>
      <c r="P2718" s="140">
        <f>_xll.qlInterestRateIndexValueDate(IborIndex,O2718)</f>
        <v>58245</v>
      </c>
      <c r="Q2718" s="141" t="e">
        <v>#N/A</v>
      </c>
      <c r="R2718" s="143" t="e">
        <v>#N/A</v>
      </c>
    </row>
    <row r="2719" spans="14:18" x14ac:dyDescent="0.2">
      <c r="N2719" s="139" t="str">
        <f t="shared" si="49"/>
        <v>1w</v>
      </c>
      <c r="O2719" s="146">
        <f>_xll.qlCalendarAdvance(Calendar,O2718,N2719,"f",FALSE)</f>
        <v>58250</v>
      </c>
      <c r="P2719" s="140">
        <f>_xll.qlInterestRateIndexValueDate(IborIndex,O2719)</f>
        <v>58252</v>
      </c>
      <c r="Q2719" s="141" t="e">
        <v>#N/A</v>
      </c>
      <c r="R2719" s="143" t="e">
        <v>#N/A</v>
      </c>
    </row>
    <row r="2720" spans="14:18" x14ac:dyDescent="0.2">
      <c r="N2720" s="139" t="str">
        <f t="shared" si="49"/>
        <v>1w</v>
      </c>
      <c r="O2720" s="146">
        <f>_xll.qlCalendarAdvance(Calendar,O2719,N2720,"f",FALSE)</f>
        <v>58257</v>
      </c>
      <c r="P2720" s="140">
        <f>_xll.qlInterestRateIndexValueDate(IborIndex,O2720)</f>
        <v>58259</v>
      </c>
      <c r="Q2720" s="141" t="e">
        <v>#N/A</v>
      </c>
      <c r="R2720" s="143" t="e">
        <v>#N/A</v>
      </c>
    </row>
    <row r="2721" spans="14:18" x14ac:dyDescent="0.2">
      <c r="N2721" s="139" t="str">
        <f t="shared" si="49"/>
        <v>1w</v>
      </c>
      <c r="O2721" s="146">
        <f>_xll.qlCalendarAdvance(Calendar,O2720,N2721,"f",FALSE)</f>
        <v>58264</v>
      </c>
      <c r="P2721" s="140">
        <f>_xll.qlInterestRateIndexValueDate(IborIndex,O2721)</f>
        <v>58266</v>
      </c>
      <c r="Q2721" s="141" t="e">
        <v>#N/A</v>
      </c>
      <c r="R2721" s="143" t="e">
        <v>#N/A</v>
      </c>
    </row>
    <row r="2722" spans="14:18" x14ac:dyDescent="0.2">
      <c r="N2722" s="139" t="str">
        <f t="shared" si="49"/>
        <v>1w</v>
      </c>
      <c r="O2722" s="146">
        <f>_xll.qlCalendarAdvance(Calendar,O2721,N2722,"f",FALSE)</f>
        <v>58271</v>
      </c>
      <c r="P2722" s="140">
        <f>_xll.qlInterestRateIndexValueDate(IborIndex,O2722)</f>
        <v>58273</v>
      </c>
      <c r="Q2722" s="141" t="e">
        <v>#N/A</v>
      </c>
      <c r="R2722" s="143" t="e">
        <v>#N/A</v>
      </c>
    </row>
    <row r="2723" spans="14:18" x14ac:dyDescent="0.2">
      <c r="N2723" s="139" t="str">
        <f t="shared" si="49"/>
        <v>1w</v>
      </c>
      <c r="O2723" s="146">
        <f>_xll.qlCalendarAdvance(Calendar,O2722,N2723,"f",FALSE)</f>
        <v>58278</v>
      </c>
      <c r="P2723" s="140">
        <f>_xll.qlInterestRateIndexValueDate(IborIndex,O2723)</f>
        <v>58280</v>
      </c>
      <c r="Q2723" s="141" t="e">
        <v>#N/A</v>
      </c>
      <c r="R2723" s="143" t="e">
        <v>#N/A</v>
      </c>
    </row>
    <row r="2724" spans="14:18" x14ac:dyDescent="0.2">
      <c r="N2724" s="139" t="str">
        <f t="shared" si="49"/>
        <v>1w</v>
      </c>
      <c r="O2724" s="146">
        <f>_xll.qlCalendarAdvance(Calendar,O2723,N2724,"f",FALSE)</f>
        <v>58285</v>
      </c>
      <c r="P2724" s="140">
        <f>_xll.qlInterestRateIndexValueDate(IborIndex,O2724)</f>
        <v>58287</v>
      </c>
      <c r="Q2724" s="141" t="e">
        <v>#N/A</v>
      </c>
      <c r="R2724" s="143" t="e">
        <v>#N/A</v>
      </c>
    </row>
    <row r="2725" spans="14:18" x14ac:dyDescent="0.2">
      <c r="N2725" s="139" t="str">
        <f t="shared" si="49"/>
        <v>1w</v>
      </c>
      <c r="O2725" s="146">
        <f>_xll.qlCalendarAdvance(Calendar,O2724,N2725,"f",FALSE)</f>
        <v>58292</v>
      </c>
      <c r="P2725" s="140">
        <f>_xll.qlInterestRateIndexValueDate(IborIndex,O2725)</f>
        <v>58294</v>
      </c>
      <c r="Q2725" s="141" t="e">
        <v>#N/A</v>
      </c>
      <c r="R2725" s="143" t="e">
        <v>#N/A</v>
      </c>
    </row>
    <row r="2726" spans="14:18" x14ac:dyDescent="0.2">
      <c r="N2726" s="139" t="str">
        <f t="shared" si="49"/>
        <v>1w</v>
      </c>
      <c r="O2726" s="146">
        <f>_xll.qlCalendarAdvance(Calendar,O2725,N2726,"f",FALSE)</f>
        <v>58299</v>
      </c>
      <c r="P2726" s="140">
        <f>_xll.qlInterestRateIndexValueDate(IborIndex,O2726)</f>
        <v>58301</v>
      </c>
      <c r="Q2726" s="141" t="e">
        <v>#N/A</v>
      </c>
      <c r="R2726" s="143" t="e">
        <v>#N/A</v>
      </c>
    </row>
    <row r="2727" spans="14:18" x14ac:dyDescent="0.2">
      <c r="N2727" s="139" t="str">
        <f t="shared" si="49"/>
        <v>1w</v>
      </c>
      <c r="O2727" s="146">
        <f>_xll.qlCalendarAdvance(Calendar,O2726,N2727,"f",FALSE)</f>
        <v>58306</v>
      </c>
      <c r="P2727" s="140">
        <f>_xll.qlInterestRateIndexValueDate(IborIndex,O2727)</f>
        <v>58308</v>
      </c>
      <c r="Q2727" s="141" t="e">
        <v>#N/A</v>
      </c>
      <c r="R2727" s="143" t="e">
        <v>#N/A</v>
      </c>
    </row>
    <row r="2728" spans="14:18" x14ac:dyDescent="0.2">
      <c r="N2728" s="139" t="str">
        <f t="shared" si="49"/>
        <v>1w</v>
      </c>
      <c r="O2728" s="146">
        <f>_xll.qlCalendarAdvance(Calendar,O2727,N2728,"f",FALSE)</f>
        <v>58313</v>
      </c>
      <c r="P2728" s="140">
        <f>_xll.qlInterestRateIndexValueDate(IborIndex,O2728)</f>
        <v>58315</v>
      </c>
      <c r="Q2728" s="141" t="e">
        <v>#N/A</v>
      </c>
      <c r="R2728" s="143" t="e">
        <v>#N/A</v>
      </c>
    </row>
    <row r="2729" spans="14:18" x14ac:dyDescent="0.2">
      <c r="N2729" s="139" t="str">
        <f t="shared" si="49"/>
        <v>1w</v>
      </c>
      <c r="O2729" s="146">
        <f>_xll.qlCalendarAdvance(Calendar,O2728,N2729,"f",FALSE)</f>
        <v>58320</v>
      </c>
      <c r="P2729" s="140">
        <f>_xll.qlInterestRateIndexValueDate(IborIndex,O2729)</f>
        <v>58322</v>
      </c>
      <c r="Q2729" s="141" t="e">
        <v>#N/A</v>
      </c>
      <c r="R2729" s="143" t="e">
        <v>#N/A</v>
      </c>
    </row>
    <row r="2730" spans="14:18" x14ac:dyDescent="0.2">
      <c r="N2730" s="139" t="str">
        <f t="shared" si="49"/>
        <v>1w</v>
      </c>
      <c r="O2730" s="146">
        <f>_xll.qlCalendarAdvance(Calendar,O2729,N2730,"f",FALSE)</f>
        <v>58327</v>
      </c>
      <c r="P2730" s="140">
        <f>_xll.qlInterestRateIndexValueDate(IborIndex,O2730)</f>
        <v>58329</v>
      </c>
      <c r="Q2730" s="141" t="e">
        <v>#N/A</v>
      </c>
      <c r="R2730" s="143" t="e">
        <v>#N/A</v>
      </c>
    </row>
    <row r="2731" spans="14:18" x14ac:dyDescent="0.2">
      <c r="N2731" s="139" t="str">
        <f t="shared" si="49"/>
        <v>1w</v>
      </c>
      <c r="O2731" s="146">
        <f>_xll.qlCalendarAdvance(Calendar,O2730,N2731,"f",FALSE)</f>
        <v>58334</v>
      </c>
      <c r="P2731" s="140">
        <f>_xll.qlInterestRateIndexValueDate(IborIndex,O2731)</f>
        <v>58336</v>
      </c>
      <c r="Q2731" s="141" t="e">
        <v>#N/A</v>
      </c>
      <c r="R2731" s="143" t="e">
        <v>#N/A</v>
      </c>
    </row>
    <row r="2732" spans="14:18" x14ac:dyDescent="0.2">
      <c r="N2732" s="139" t="str">
        <f t="shared" si="49"/>
        <v>1w</v>
      </c>
      <c r="O2732" s="146">
        <f>_xll.qlCalendarAdvance(Calendar,O2731,N2732,"f",FALSE)</f>
        <v>58341</v>
      </c>
      <c r="P2732" s="140">
        <f>_xll.qlInterestRateIndexValueDate(IborIndex,O2732)</f>
        <v>58343</v>
      </c>
      <c r="Q2732" s="141" t="e">
        <v>#N/A</v>
      </c>
      <c r="R2732" s="143" t="e">
        <v>#N/A</v>
      </c>
    </row>
    <row r="2733" spans="14:18" x14ac:dyDescent="0.2">
      <c r="N2733" s="139" t="str">
        <f t="shared" si="49"/>
        <v>1w</v>
      </c>
      <c r="O2733" s="146">
        <f>_xll.qlCalendarAdvance(Calendar,O2732,N2733,"f",FALSE)</f>
        <v>58348</v>
      </c>
      <c r="P2733" s="140">
        <f>_xll.qlInterestRateIndexValueDate(IborIndex,O2733)</f>
        <v>58350</v>
      </c>
      <c r="Q2733" s="141" t="e">
        <v>#N/A</v>
      </c>
      <c r="R2733" s="143" t="e">
        <v>#N/A</v>
      </c>
    </row>
    <row r="2734" spans="14:18" x14ac:dyDescent="0.2">
      <c r="N2734" s="139" t="str">
        <f t="shared" si="49"/>
        <v>1w</v>
      </c>
      <c r="O2734" s="146">
        <f>_xll.qlCalendarAdvance(Calendar,O2733,N2734,"f",FALSE)</f>
        <v>58355</v>
      </c>
      <c r="P2734" s="140">
        <f>_xll.qlInterestRateIndexValueDate(IborIndex,O2734)</f>
        <v>58357</v>
      </c>
      <c r="Q2734" s="141" t="e">
        <v>#N/A</v>
      </c>
      <c r="R2734" s="143" t="e">
        <v>#N/A</v>
      </c>
    </row>
    <row r="2735" spans="14:18" x14ac:dyDescent="0.2">
      <c r="N2735" s="139" t="str">
        <f t="shared" si="49"/>
        <v>1w</v>
      </c>
      <c r="O2735" s="146">
        <f>_xll.qlCalendarAdvance(Calendar,O2734,N2735,"f",FALSE)</f>
        <v>58362</v>
      </c>
      <c r="P2735" s="140">
        <f>_xll.qlInterestRateIndexValueDate(IborIndex,O2735)</f>
        <v>58364</v>
      </c>
      <c r="Q2735" s="141" t="e">
        <v>#N/A</v>
      </c>
      <c r="R2735" s="143" t="e">
        <v>#N/A</v>
      </c>
    </row>
    <row r="2736" spans="14:18" x14ac:dyDescent="0.2">
      <c r="N2736" s="139" t="str">
        <f t="shared" si="49"/>
        <v>1w</v>
      </c>
      <c r="O2736" s="146">
        <f>_xll.qlCalendarAdvance(Calendar,O2735,N2736,"f",FALSE)</f>
        <v>58369</v>
      </c>
      <c r="P2736" s="140">
        <f>_xll.qlInterestRateIndexValueDate(IborIndex,O2736)</f>
        <v>58371</v>
      </c>
      <c r="Q2736" s="141" t="e">
        <v>#N/A</v>
      </c>
      <c r="R2736" s="143" t="e">
        <v>#N/A</v>
      </c>
    </row>
    <row r="2737" spans="14:18" x14ac:dyDescent="0.2">
      <c r="N2737" s="139" t="str">
        <f t="shared" si="49"/>
        <v>1w</v>
      </c>
      <c r="O2737" s="146">
        <f>_xll.qlCalendarAdvance(Calendar,O2736,N2737,"f",FALSE)</f>
        <v>58376</v>
      </c>
      <c r="P2737" s="140">
        <f>_xll.qlInterestRateIndexValueDate(IborIndex,O2737)</f>
        <v>58378</v>
      </c>
      <c r="Q2737" s="141" t="e">
        <v>#N/A</v>
      </c>
      <c r="R2737" s="143" t="e">
        <v>#N/A</v>
      </c>
    </row>
    <row r="2738" spans="14:18" x14ac:dyDescent="0.2">
      <c r="N2738" s="139" t="str">
        <f t="shared" si="49"/>
        <v>1w</v>
      </c>
      <c r="O2738" s="146">
        <f>_xll.qlCalendarAdvance(Calendar,O2737,N2738,"f",FALSE)</f>
        <v>58383</v>
      </c>
      <c r="P2738" s="140">
        <f>_xll.qlInterestRateIndexValueDate(IborIndex,O2738)</f>
        <v>58385</v>
      </c>
      <c r="Q2738" s="141" t="e">
        <v>#N/A</v>
      </c>
      <c r="R2738" s="143" t="e">
        <v>#N/A</v>
      </c>
    </row>
    <row r="2739" spans="14:18" x14ac:dyDescent="0.2">
      <c r="N2739" s="139" t="str">
        <f t="shared" si="49"/>
        <v>1w</v>
      </c>
      <c r="O2739" s="146">
        <f>_xll.qlCalendarAdvance(Calendar,O2738,N2739,"f",FALSE)</f>
        <v>58390</v>
      </c>
      <c r="P2739" s="140">
        <f>_xll.qlInterestRateIndexValueDate(IborIndex,O2739)</f>
        <v>58392</v>
      </c>
      <c r="Q2739" s="141" t="e">
        <v>#N/A</v>
      </c>
      <c r="R2739" s="143" t="e">
        <v>#N/A</v>
      </c>
    </row>
    <row r="2740" spans="14:18" x14ac:dyDescent="0.2">
      <c r="N2740" s="139" t="str">
        <f t="shared" si="49"/>
        <v>1w</v>
      </c>
      <c r="O2740" s="146">
        <f>_xll.qlCalendarAdvance(Calendar,O2739,N2740,"f",FALSE)</f>
        <v>58397</v>
      </c>
      <c r="P2740" s="140">
        <f>_xll.qlInterestRateIndexValueDate(IborIndex,O2740)</f>
        <v>58399</v>
      </c>
      <c r="Q2740" s="141" t="e">
        <v>#N/A</v>
      </c>
      <c r="R2740" s="143" t="e">
        <v>#N/A</v>
      </c>
    </row>
    <row r="2741" spans="14:18" x14ac:dyDescent="0.2">
      <c r="N2741" s="139" t="str">
        <f t="shared" si="49"/>
        <v>1w</v>
      </c>
      <c r="O2741" s="146">
        <f>_xll.qlCalendarAdvance(Calendar,O2740,N2741,"f",FALSE)</f>
        <v>58404</v>
      </c>
      <c r="P2741" s="140">
        <f>_xll.qlInterestRateIndexValueDate(IborIndex,O2741)</f>
        <v>58406</v>
      </c>
      <c r="Q2741" s="141" t="e">
        <v>#N/A</v>
      </c>
      <c r="R2741" s="143" t="e">
        <v>#N/A</v>
      </c>
    </row>
    <row r="2742" spans="14:18" x14ac:dyDescent="0.2">
      <c r="N2742" s="139" t="str">
        <f t="shared" si="49"/>
        <v>1w</v>
      </c>
      <c r="O2742" s="146">
        <f>_xll.qlCalendarAdvance(Calendar,O2741,N2742,"f",FALSE)</f>
        <v>58411</v>
      </c>
      <c r="P2742" s="140">
        <f>_xll.qlInterestRateIndexValueDate(IborIndex,O2742)</f>
        <v>58413</v>
      </c>
      <c r="Q2742" s="141" t="e">
        <v>#N/A</v>
      </c>
      <c r="R2742" s="143" t="e">
        <v>#N/A</v>
      </c>
    </row>
    <row r="2743" spans="14:18" x14ac:dyDescent="0.2">
      <c r="N2743" s="139" t="str">
        <f t="shared" si="49"/>
        <v>1w</v>
      </c>
      <c r="O2743" s="146">
        <f>_xll.qlCalendarAdvance(Calendar,O2742,N2743,"f",FALSE)</f>
        <v>58418</v>
      </c>
      <c r="P2743" s="140">
        <f>_xll.qlInterestRateIndexValueDate(IborIndex,O2743)</f>
        <v>58420</v>
      </c>
      <c r="Q2743" s="141" t="e">
        <v>#N/A</v>
      </c>
      <c r="R2743" s="143" t="e">
        <v>#N/A</v>
      </c>
    </row>
    <row r="2744" spans="14:18" x14ac:dyDescent="0.2">
      <c r="N2744" s="139" t="str">
        <f t="shared" si="49"/>
        <v>1w</v>
      </c>
      <c r="O2744" s="146">
        <f>_xll.qlCalendarAdvance(Calendar,O2743,N2744,"f",FALSE)</f>
        <v>58425</v>
      </c>
      <c r="P2744" s="140">
        <f>_xll.qlInterestRateIndexValueDate(IborIndex,O2744)</f>
        <v>58427</v>
      </c>
      <c r="Q2744" s="141" t="e">
        <v>#N/A</v>
      </c>
      <c r="R2744" s="143" t="e">
        <v>#N/A</v>
      </c>
    </row>
    <row r="2745" spans="14:18" x14ac:dyDescent="0.2">
      <c r="N2745" s="139" t="str">
        <f t="shared" si="49"/>
        <v>1w</v>
      </c>
      <c r="O2745" s="146">
        <f>_xll.qlCalendarAdvance(Calendar,O2744,N2745,"f",FALSE)</f>
        <v>58432</v>
      </c>
      <c r="P2745" s="140">
        <f>_xll.qlInterestRateIndexValueDate(IborIndex,O2745)</f>
        <v>58439</v>
      </c>
      <c r="Q2745" s="141" t="e">
        <v>#N/A</v>
      </c>
      <c r="R2745" s="143" t="e">
        <v>#N/A</v>
      </c>
    </row>
    <row r="2746" spans="14:18" x14ac:dyDescent="0.2">
      <c r="N2746" s="139" t="str">
        <f t="shared" si="49"/>
        <v>1w</v>
      </c>
      <c r="O2746" s="146">
        <f>_xll.qlCalendarAdvance(Calendar,O2745,N2746,"f",FALSE)</f>
        <v>58439</v>
      </c>
      <c r="P2746" s="140">
        <f>_xll.qlInterestRateIndexValueDate(IborIndex,O2746)</f>
        <v>58445</v>
      </c>
      <c r="Q2746" s="141" t="e">
        <v>#N/A</v>
      </c>
      <c r="R2746" s="143" t="e">
        <v>#N/A</v>
      </c>
    </row>
    <row r="2747" spans="14:18" x14ac:dyDescent="0.2">
      <c r="N2747" s="139" t="str">
        <f t="shared" si="49"/>
        <v>1w</v>
      </c>
      <c r="O2747" s="146">
        <f>_xll.qlCalendarAdvance(Calendar,O2746,N2747,"f",FALSE)</f>
        <v>58447</v>
      </c>
      <c r="P2747" s="140">
        <f>_xll.qlInterestRateIndexValueDate(IborIndex,O2747)</f>
        <v>58449</v>
      </c>
      <c r="Q2747" s="141" t="e">
        <v>#N/A</v>
      </c>
      <c r="R2747" s="143" t="e">
        <v>#N/A</v>
      </c>
    </row>
    <row r="2748" spans="14:18" x14ac:dyDescent="0.2">
      <c r="N2748" s="139" t="str">
        <f t="shared" si="49"/>
        <v>1w</v>
      </c>
      <c r="O2748" s="146">
        <f>_xll.qlCalendarAdvance(Calendar,O2747,N2748,"f",FALSE)</f>
        <v>58454</v>
      </c>
      <c r="P2748" s="140">
        <f>_xll.qlInterestRateIndexValueDate(IborIndex,O2748)</f>
        <v>58456</v>
      </c>
      <c r="Q2748" s="141" t="e">
        <v>#N/A</v>
      </c>
      <c r="R2748" s="143" t="e">
        <v>#N/A</v>
      </c>
    </row>
    <row r="2749" spans="14:18" x14ac:dyDescent="0.2">
      <c r="N2749" s="139" t="str">
        <f t="shared" si="49"/>
        <v>1w</v>
      </c>
      <c r="O2749" s="146">
        <f>_xll.qlCalendarAdvance(Calendar,O2748,N2749,"f",FALSE)</f>
        <v>58461</v>
      </c>
      <c r="P2749" s="140">
        <f>_xll.qlInterestRateIndexValueDate(IborIndex,O2749)</f>
        <v>58463</v>
      </c>
      <c r="Q2749" s="141" t="e">
        <v>#N/A</v>
      </c>
      <c r="R2749" s="143" t="e">
        <v>#N/A</v>
      </c>
    </row>
    <row r="2750" spans="14:18" x14ac:dyDescent="0.2">
      <c r="N2750" s="139" t="str">
        <f t="shared" si="49"/>
        <v>1w</v>
      </c>
      <c r="O2750" s="146">
        <f>_xll.qlCalendarAdvance(Calendar,O2749,N2750,"f",FALSE)</f>
        <v>58468</v>
      </c>
      <c r="P2750" s="140">
        <f>_xll.qlInterestRateIndexValueDate(IborIndex,O2750)</f>
        <v>58470</v>
      </c>
      <c r="Q2750" s="141" t="e">
        <v>#N/A</v>
      </c>
      <c r="R2750" s="143" t="e">
        <v>#N/A</v>
      </c>
    </row>
    <row r="2751" spans="14:18" x14ac:dyDescent="0.2">
      <c r="N2751" s="139" t="str">
        <f t="shared" si="49"/>
        <v>1w</v>
      </c>
      <c r="O2751" s="146">
        <f>_xll.qlCalendarAdvance(Calendar,O2750,N2751,"f",FALSE)</f>
        <v>58475</v>
      </c>
      <c r="P2751" s="140">
        <f>_xll.qlInterestRateIndexValueDate(IborIndex,O2751)</f>
        <v>58477</v>
      </c>
      <c r="Q2751" s="141" t="e">
        <v>#N/A</v>
      </c>
      <c r="R2751" s="143" t="e">
        <v>#N/A</v>
      </c>
    </row>
    <row r="2752" spans="14:18" x14ac:dyDescent="0.2">
      <c r="N2752" s="139" t="str">
        <f t="shared" si="49"/>
        <v>1w</v>
      </c>
      <c r="O2752" s="146">
        <f>_xll.qlCalendarAdvance(Calendar,O2751,N2752,"f",FALSE)</f>
        <v>58482</v>
      </c>
      <c r="P2752" s="140">
        <f>_xll.qlInterestRateIndexValueDate(IborIndex,O2752)</f>
        <v>58484</v>
      </c>
      <c r="Q2752" s="141" t="e">
        <v>#N/A</v>
      </c>
      <c r="R2752" s="143" t="e">
        <v>#N/A</v>
      </c>
    </row>
    <row r="2753" spans="14:18" x14ac:dyDescent="0.2">
      <c r="N2753" s="139" t="str">
        <f t="shared" si="49"/>
        <v>1w</v>
      </c>
      <c r="O2753" s="146">
        <f>_xll.qlCalendarAdvance(Calendar,O2752,N2753,"f",FALSE)</f>
        <v>58489</v>
      </c>
      <c r="P2753" s="140">
        <f>_xll.qlInterestRateIndexValueDate(IborIndex,O2753)</f>
        <v>58491</v>
      </c>
      <c r="Q2753" s="141" t="e">
        <v>#N/A</v>
      </c>
      <c r="R2753" s="143" t="e">
        <v>#N/A</v>
      </c>
    </row>
    <row r="2754" spans="14:18" x14ac:dyDescent="0.2">
      <c r="N2754" s="139" t="str">
        <f t="shared" si="49"/>
        <v>1w</v>
      </c>
      <c r="O2754" s="146">
        <f>_xll.qlCalendarAdvance(Calendar,O2753,N2754,"f",FALSE)</f>
        <v>58496</v>
      </c>
      <c r="P2754" s="140">
        <f>_xll.qlInterestRateIndexValueDate(IborIndex,O2754)</f>
        <v>58498</v>
      </c>
      <c r="Q2754" s="141" t="e">
        <v>#N/A</v>
      </c>
      <c r="R2754" s="143" t="e">
        <v>#N/A</v>
      </c>
    </row>
    <row r="2755" spans="14:18" x14ac:dyDescent="0.2">
      <c r="N2755" s="139" t="str">
        <f t="shared" si="49"/>
        <v>1w</v>
      </c>
      <c r="O2755" s="146">
        <f>_xll.qlCalendarAdvance(Calendar,O2754,N2755,"f",FALSE)</f>
        <v>58503</v>
      </c>
      <c r="P2755" s="140">
        <f>_xll.qlInterestRateIndexValueDate(IborIndex,O2755)</f>
        <v>58505</v>
      </c>
      <c r="Q2755" s="141" t="e">
        <v>#N/A</v>
      </c>
      <c r="R2755" s="143" t="e">
        <v>#N/A</v>
      </c>
    </row>
    <row r="2756" spans="14:18" x14ac:dyDescent="0.2">
      <c r="N2756" s="139" t="str">
        <f t="shared" si="49"/>
        <v>1w</v>
      </c>
      <c r="O2756" s="146">
        <f>_xll.qlCalendarAdvance(Calendar,O2755,N2756,"f",FALSE)</f>
        <v>58510</v>
      </c>
      <c r="P2756" s="140">
        <f>_xll.qlInterestRateIndexValueDate(IborIndex,O2756)</f>
        <v>58512</v>
      </c>
      <c r="Q2756" s="141" t="e">
        <v>#N/A</v>
      </c>
      <c r="R2756" s="143" t="e">
        <v>#N/A</v>
      </c>
    </row>
    <row r="2757" spans="14:18" x14ac:dyDescent="0.2">
      <c r="N2757" s="139" t="str">
        <f t="shared" si="49"/>
        <v>1w</v>
      </c>
      <c r="O2757" s="146">
        <f>_xll.qlCalendarAdvance(Calendar,O2756,N2757,"f",FALSE)</f>
        <v>58517</v>
      </c>
      <c r="P2757" s="140">
        <f>_xll.qlInterestRateIndexValueDate(IborIndex,O2757)</f>
        <v>58519</v>
      </c>
      <c r="Q2757" s="141" t="e">
        <v>#N/A</v>
      </c>
      <c r="R2757" s="143" t="e">
        <v>#N/A</v>
      </c>
    </row>
    <row r="2758" spans="14:18" x14ac:dyDescent="0.2">
      <c r="N2758" s="139" t="str">
        <f t="shared" si="49"/>
        <v>1w</v>
      </c>
      <c r="O2758" s="146">
        <f>_xll.qlCalendarAdvance(Calendar,O2757,N2758,"f",FALSE)</f>
        <v>58524</v>
      </c>
      <c r="P2758" s="140">
        <f>_xll.qlInterestRateIndexValueDate(IborIndex,O2758)</f>
        <v>58526</v>
      </c>
      <c r="Q2758" s="141" t="e">
        <v>#N/A</v>
      </c>
      <c r="R2758" s="143" t="e">
        <v>#N/A</v>
      </c>
    </row>
    <row r="2759" spans="14:18" x14ac:dyDescent="0.2">
      <c r="N2759" s="139" t="str">
        <f t="shared" si="49"/>
        <v>1w</v>
      </c>
      <c r="O2759" s="146">
        <f>_xll.qlCalendarAdvance(Calendar,O2758,N2759,"f",FALSE)</f>
        <v>58531</v>
      </c>
      <c r="P2759" s="140">
        <f>_xll.qlInterestRateIndexValueDate(IborIndex,O2759)</f>
        <v>58533</v>
      </c>
      <c r="Q2759" s="141" t="e">
        <v>#N/A</v>
      </c>
      <c r="R2759" s="143" t="e">
        <v>#N/A</v>
      </c>
    </row>
    <row r="2760" spans="14:18" x14ac:dyDescent="0.2">
      <c r="N2760" s="139" t="str">
        <f t="shared" si="49"/>
        <v>1w</v>
      </c>
      <c r="O2760" s="146">
        <f>_xll.qlCalendarAdvance(Calendar,O2759,N2760,"f",FALSE)</f>
        <v>58538</v>
      </c>
      <c r="P2760" s="140">
        <f>_xll.qlInterestRateIndexValueDate(IborIndex,O2760)</f>
        <v>58540</v>
      </c>
      <c r="Q2760" s="141" t="e">
        <v>#N/A</v>
      </c>
      <c r="R2760" s="143" t="e">
        <v>#N/A</v>
      </c>
    </row>
    <row r="2761" spans="14:18" x14ac:dyDescent="0.2">
      <c r="N2761" s="139" t="str">
        <f t="shared" si="49"/>
        <v>1w</v>
      </c>
      <c r="O2761" s="146">
        <f>_xll.qlCalendarAdvance(Calendar,O2760,N2761,"f",FALSE)</f>
        <v>58545</v>
      </c>
      <c r="P2761" s="140">
        <f>_xll.qlInterestRateIndexValueDate(IborIndex,O2761)</f>
        <v>58551</v>
      </c>
      <c r="Q2761" s="141" t="e">
        <v>#N/A</v>
      </c>
      <c r="R2761" s="143" t="e">
        <v>#N/A</v>
      </c>
    </row>
    <row r="2762" spans="14:18" x14ac:dyDescent="0.2">
      <c r="N2762" s="139" t="str">
        <f t="shared" si="49"/>
        <v>1w</v>
      </c>
      <c r="O2762" s="146">
        <f>_xll.qlCalendarAdvance(Calendar,O2761,N2762,"f",FALSE)</f>
        <v>58552</v>
      </c>
      <c r="P2762" s="140">
        <f>_xll.qlInterestRateIndexValueDate(IborIndex,O2762)</f>
        <v>58554</v>
      </c>
      <c r="Q2762" s="141" t="e">
        <v>#N/A</v>
      </c>
      <c r="R2762" s="143" t="e">
        <v>#N/A</v>
      </c>
    </row>
    <row r="2763" spans="14:18" x14ac:dyDescent="0.2">
      <c r="N2763" s="139" t="str">
        <f t="shared" si="49"/>
        <v>1w</v>
      </c>
      <c r="O2763" s="146">
        <f>_xll.qlCalendarAdvance(Calendar,O2762,N2763,"f",FALSE)</f>
        <v>58559</v>
      </c>
      <c r="P2763" s="140">
        <f>_xll.qlInterestRateIndexValueDate(IborIndex,O2763)</f>
        <v>58561</v>
      </c>
      <c r="Q2763" s="141" t="e">
        <v>#N/A</v>
      </c>
      <c r="R2763" s="143" t="e">
        <v>#N/A</v>
      </c>
    </row>
    <row r="2764" spans="14:18" x14ac:dyDescent="0.2">
      <c r="N2764" s="139" t="str">
        <f t="shared" si="49"/>
        <v>1w</v>
      </c>
      <c r="O2764" s="146">
        <f>_xll.qlCalendarAdvance(Calendar,O2763,N2764,"f",FALSE)</f>
        <v>58566</v>
      </c>
      <c r="P2764" s="140">
        <f>_xll.qlInterestRateIndexValueDate(IborIndex,O2764)</f>
        <v>58568</v>
      </c>
      <c r="Q2764" s="141" t="e">
        <v>#N/A</v>
      </c>
      <c r="R2764" s="143" t="e">
        <v>#N/A</v>
      </c>
    </row>
    <row r="2765" spans="14:18" x14ac:dyDescent="0.2">
      <c r="N2765" s="139" t="str">
        <f t="shared" si="49"/>
        <v>1w</v>
      </c>
      <c r="O2765" s="146">
        <f>_xll.qlCalendarAdvance(Calendar,O2764,N2765,"f",FALSE)</f>
        <v>58573</v>
      </c>
      <c r="P2765" s="140">
        <f>_xll.qlInterestRateIndexValueDate(IborIndex,O2765)</f>
        <v>58575</v>
      </c>
      <c r="Q2765" s="141" t="e">
        <v>#N/A</v>
      </c>
      <c r="R2765" s="143" t="e">
        <v>#N/A</v>
      </c>
    </row>
    <row r="2766" spans="14:18" x14ac:dyDescent="0.2">
      <c r="N2766" s="139" t="str">
        <f t="shared" si="49"/>
        <v>1w</v>
      </c>
      <c r="O2766" s="146">
        <f>_xll.qlCalendarAdvance(Calendar,O2765,N2766,"f",FALSE)</f>
        <v>58580</v>
      </c>
      <c r="P2766" s="140">
        <f>_xll.qlInterestRateIndexValueDate(IborIndex,O2766)</f>
        <v>58582</v>
      </c>
      <c r="Q2766" s="141" t="e">
        <v>#N/A</v>
      </c>
      <c r="R2766" s="143" t="e">
        <v>#N/A</v>
      </c>
    </row>
    <row r="2767" spans="14:18" x14ac:dyDescent="0.2">
      <c r="N2767" s="139" t="str">
        <f t="shared" si="49"/>
        <v>1w</v>
      </c>
      <c r="O2767" s="146">
        <f>_xll.qlCalendarAdvance(Calendar,O2766,N2767,"f",FALSE)</f>
        <v>58587</v>
      </c>
      <c r="P2767" s="140">
        <f>_xll.qlInterestRateIndexValueDate(IborIndex,O2767)</f>
        <v>58592</v>
      </c>
      <c r="Q2767" s="141" t="e">
        <v>#N/A</v>
      </c>
      <c r="R2767" s="143" t="e">
        <v>#N/A</v>
      </c>
    </row>
    <row r="2768" spans="14:18" x14ac:dyDescent="0.2">
      <c r="N2768" s="139" t="str">
        <f t="shared" si="49"/>
        <v>1w</v>
      </c>
      <c r="O2768" s="146">
        <f>_xll.qlCalendarAdvance(Calendar,O2767,N2768,"f",FALSE)</f>
        <v>58594</v>
      </c>
      <c r="P2768" s="140">
        <f>_xll.qlInterestRateIndexValueDate(IborIndex,O2768)</f>
        <v>58596</v>
      </c>
      <c r="Q2768" s="141" t="e">
        <v>#N/A</v>
      </c>
      <c r="R2768" s="143" t="e">
        <v>#N/A</v>
      </c>
    </row>
    <row r="2769" spans="14:18" x14ac:dyDescent="0.2">
      <c r="N2769" s="139" t="str">
        <f t="shared" si="49"/>
        <v>1w</v>
      </c>
      <c r="O2769" s="146">
        <f>_xll.qlCalendarAdvance(Calendar,O2768,N2769,"f",FALSE)</f>
        <v>58601</v>
      </c>
      <c r="P2769" s="140">
        <f>_xll.qlInterestRateIndexValueDate(IborIndex,O2769)</f>
        <v>58603</v>
      </c>
      <c r="Q2769" s="141" t="e">
        <v>#N/A</v>
      </c>
      <c r="R2769" s="143" t="e">
        <v>#N/A</v>
      </c>
    </row>
    <row r="2770" spans="14:18" x14ac:dyDescent="0.2">
      <c r="N2770" s="139" t="str">
        <f t="shared" si="49"/>
        <v>1w</v>
      </c>
      <c r="O2770" s="146">
        <f>_xll.qlCalendarAdvance(Calendar,O2769,N2770,"f",FALSE)</f>
        <v>58608</v>
      </c>
      <c r="P2770" s="140">
        <f>_xll.qlInterestRateIndexValueDate(IborIndex,O2770)</f>
        <v>58610</v>
      </c>
      <c r="Q2770" s="141" t="e">
        <v>#N/A</v>
      </c>
      <c r="R2770" s="143" t="e">
        <v>#N/A</v>
      </c>
    </row>
    <row r="2771" spans="14:18" x14ac:dyDescent="0.2">
      <c r="N2771" s="139" t="str">
        <f t="shared" si="49"/>
        <v>1w</v>
      </c>
      <c r="O2771" s="146">
        <f>_xll.qlCalendarAdvance(Calendar,O2770,N2771,"f",FALSE)</f>
        <v>58615</v>
      </c>
      <c r="P2771" s="140">
        <f>_xll.qlInterestRateIndexValueDate(IborIndex,O2771)</f>
        <v>58620</v>
      </c>
      <c r="Q2771" s="141" t="e">
        <v>#N/A</v>
      </c>
      <c r="R2771" s="143" t="e">
        <v>#N/A</v>
      </c>
    </row>
    <row r="2772" spans="14:18" x14ac:dyDescent="0.2">
      <c r="N2772" s="139" t="str">
        <f t="shared" si="49"/>
        <v>1w</v>
      </c>
      <c r="O2772" s="146">
        <f>_xll.qlCalendarAdvance(Calendar,O2771,N2772,"f",FALSE)</f>
        <v>58622</v>
      </c>
      <c r="P2772" s="140">
        <f>_xll.qlInterestRateIndexValueDate(IborIndex,O2772)</f>
        <v>58624</v>
      </c>
      <c r="Q2772" s="141" t="e">
        <v>#N/A</v>
      </c>
      <c r="R2772" s="143" t="e">
        <v>#N/A</v>
      </c>
    </row>
    <row r="2773" spans="14:18" x14ac:dyDescent="0.2">
      <c r="N2773" s="139" t="str">
        <f t="shared" ref="N2773:N2836" si="50">N2772</f>
        <v>1w</v>
      </c>
      <c r="O2773" s="146">
        <f>_xll.qlCalendarAdvance(Calendar,O2772,N2773,"f",FALSE)</f>
        <v>58629</v>
      </c>
      <c r="P2773" s="140">
        <f>_xll.qlInterestRateIndexValueDate(IborIndex,O2773)</f>
        <v>58631</v>
      </c>
      <c r="Q2773" s="141" t="e">
        <v>#N/A</v>
      </c>
      <c r="R2773" s="143" t="e">
        <v>#N/A</v>
      </c>
    </row>
    <row r="2774" spans="14:18" x14ac:dyDescent="0.2">
      <c r="N2774" s="139" t="str">
        <f t="shared" si="50"/>
        <v>1w</v>
      </c>
      <c r="O2774" s="146">
        <f>_xll.qlCalendarAdvance(Calendar,O2773,N2774,"f",FALSE)</f>
        <v>58636</v>
      </c>
      <c r="P2774" s="140">
        <f>_xll.qlInterestRateIndexValueDate(IborIndex,O2774)</f>
        <v>58638</v>
      </c>
      <c r="Q2774" s="141" t="e">
        <v>#N/A</v>
      </c>
      <c r="R2774" s="143" t="e">
        <v>#N/A</v>
      </c>
    </row>
    <row r="2775" spans="14:18" x14ac:dyDescent="0.2">
      <c r="N2775" s="139" t="str">
        <f t="shared" si="50"/>
        <v>1w</v>
      </c>
      <c r="O2775" s="146">
        <f>_xll.qlCalendarAdvance(Calendar,O2774,N2775,"f",FALSE)</f>
        <v>58643</v>
      </c>
      <c r="P2775" s="140">
        <f>_xll.qlInterestRateIndexValueDate(IborIndex,O2775)</f>
        <v>58645</v>
      </c>
      <c r="Q2775" s="141" t="e">
        <v>#N/A</v>
      </c>
      <c r="R2775" s="143" t="e">
        <v>#N/A</v>
      </c>
    </row>
    <row r="2776" spans="14:18" x14ac:dyDescent="0.2">
      <c r="N2776" s="139" t="str">
        <f t="shared" si="50"/>
        <v>1w</v>
      </c>
      <c r="O2776" s="146">
        <f>_xll.qlCalendarAdvance(Calendar,O2775,N2776,"f",FALSE)</f>
        <v>58650</v>
      </c>
      <c r="P2776" s="140">
        <f>_xll.qlInterestRateIndexValueDate(IborIndex,O2776)</f>
        <v>58652</v>
      </c>
      <c r="Q2776" s="141" t="e">
        <v>#N/A</v>
      </c>
      <c r="R2776" s="143" t="e">
        <v>#N/A</v>
      </c>
    </row>
    <row r="2777" spans="14:18" x14ac:dyDescent="0.2">
      <c r="N2777" s="139" t="str">
        <f t="shared" si="50"/>
        <v>1w</v>
      </c>
      <c r="O2777" s="146">
        <f>_xll.qlCalendarAdvance(Calendar,O2776,N2777,"f",FALSE)</f>
        <v>58657</v>
      </c>
      <c r="P2777" s="140">
        <f>_xll.qlInterestRateIndexValueDate(IborIndex,O2777)</f>
        <v>58659</v>
      </c>
      <c r="Q2777" s="141" t="e">
        <v>#N/A</v>
      </c>
      <c r="R2777" s="143" t="e">
        <v>#N/A</v>
      </c>
    </row>
    <row r="2778" spans="14:18" x14ac:dyDescent="0.2">
      <c r="N2778" s="139" t="str">
        <f t="shared" si="50"/>
        <v>1w</v>
      </c>
      <c r="O2778" s="146">
        <f>_xll.qlCalendarAdvance(Calendar,O2777,N2778,"f",FALSE)</f>
        <v>58664</v>
      </c>
      <c r="P2778" s="140">
        <f>_xll.qlInterestRateIndexValueDate(IborIndex,O2778)</f>
        <v>58666</v>
      </c>
      <c r="Q2778" s="141" t="e">
        <v>#N/A</v>
      </c>
      <c r="R2778" s="143" t="e">
        <v>#N/A</v>
      </c>
    </row>
    <row r="2779" spans="14:18" x14ac:dyDescent="0.2">
      <c r="N2779" s="139" t="str">
        <f t="shared" si="50"/>
        <v>1w</v>
      </c>
      <c r="O2779" s="146">
        <f>_xll.qlCalendarAdvance(Calendar,O2778,N2779,"f",FALSE)</f>
        <v>58671</v>
      </c>
      <c r="P2779" s="140">
        <f>_xll.qlInterestRateIndexValueDate(IborIndex,O2779)</f>
        <v>58673</v>
      </c>
      <c r="Q2779" s="141" t="e">
        <v>#N/A</v>
      </c>
      <c r="R2779" s="143" t="e">
        <v>#N/A</v>
      </c>
    </row>
    <row r="2780" spans="14:18" x14ac:dyDescent="0.2">
      <c r="N2780" s="139" t="str">
        <f t="shared" si="50"/>
        <v>1w</v>
      </c>
      <c r="O2780" s="146">
        <f>_xll.qlCalendarAdvance(Calendar,O2779,N2780,"f",FALSE)</f>
        <v>58678</v>
      </c>
      <c r="P2780" s="140">
        <f>_xll.qlInterestRateIndexValueDate(IborIndex,O2780)</f>
        <v>58680</v>
      </c>
      <c r="Q2780" s="141" t="e">
        <v>#N/A</v>
      </c>
      <c r="R2780" s="143" t="e">
        <v>#N/A</v>
      </c>
    </row>
    <row r="2781" spans="14:18" x14ac:dyDescent="0.2">
      <c r="N2781" s="139" t="str">
        <f t="shared" si="50"/>
        <v>1w</v>
      </c>
      <c r="O2781" s="146">
        <f>_xll.qlCalendarAdvance(Calendar,O2780,N2781,"f",FALSE)</f>
        <v>58685</v>
      </c>
      <c r="P2781" s="140">
        <f>_xll.qlInterestRateIndexValueDate(IborIndex,O2781)</f>
        <v>58687</v>
      </c>
      <c r="Q2781" s="141" t="e">
        <v>#N/A</v>
      </c>
      <c r="R2781" s="143" t="e">
        <v>#N/A</v>
      </c>
    </row>
    <row r="2782" spans="14:18" x14ac:dyDescent="0.2">
      <c r="N2782" s="139" t="str">
        <f t="shared" si="50"/>
        <v>1w</v>
      </c>
      <c r="O2782" s="146">
        <f>_xll.qlCalendarAdvance(Calendar,O2781,N2782,"f",FALSE)</f>
        <v>58692</v>
      </c>
      <c r="P2782" s="140">
        <f>_xll.qlInterestRateIndexValueDate(IborIndex,O2782)</f>
        <v>58694</v>
      </c>
      <c r="Q2782" s="141" t="e">
        <v>#N/A</v>
      </c>
      <c r="R2782" s="143" t="e">
        <v>#N/A</v>
      </c>
    </row>
    <row r="2783" spans="14:18" x14ac:dyDescent="0.2">
      <c r="N2783" s="139" t="str">
        <f t="shared" si="50"/>
        <v>1w</v>
      </c>
      <c r="O2783" s="146">
        <f>_xll.qlCalendarAdvance(Calendar,O2782,N2783,"f",FALSE)</f>
        <v>58699</v>
      </c>
      <c r="P2783" s="140">
        <f>_xll.qlInterestRateIndexValueDate(IborIndex,O2783)</f>
        <v>58701</v>
      </c>
      <c r="Q2783" s="141" t="e">
        <v>#N/A</v>
      </c>
      <c r="R2783" s="143" t="e">
        <v>#N/A</v>
      </c>
    </row>
    <row r="2784" spans="14:18" x14ac:dyDescent="0.2">
      <c r="N2784" s="139" t="str">
        <f t="shared" si="50"/>
        <v>1w</v>
      </c>
      <c r="O2784" s="146">
        <f>_xll.qlCalendarAdvance(Calendar,O2783,N2784,"f",FALSE)</f>
        <v>58706</v>
      </c>
      <c r="P2784" s="140">
        <f>_xll.qlInterestRateIndexValueDate(IborIndex,O2784)</f>
        <v>58708</v>
      </c>
      <c r="Q2784" s="141" t="e">
        <v>#N/A</v>
      </c>
      <c r="R2784" s="143" t="e">
        <v>#N/A</v>
      </c>
    </row>
    <row r="2785" spans="14:18" x14ac:dyDescent="0.2">
      <c r="N2785" s="139" t="str">
        <f t="shared" si="50"/>
        <v>1w</v>
      </c>
      <c r="O2785" s="146">
        <f>_xll.qlCalendarAdvance(Calendar,O2784,N2785,"f",FALSE)</f>
        <v>58713</v>
      </c>
      <c r="P2785" s="140">
        <f>_xll.qlInterestRateIndexValueDate(IborIndex,O2785)</f>
        <v>58715</v>
      </c>
      <c r="Q2785" s="141" t="e">
        <v>#N/A</v>
      </c>
      <c r="R2785" s="143" t="e">
        <v>#N/A</v>
      </c>
    </row>
    <row r="2786" spans="14:18" x14ac:dyDescent="0.2">
      <c r="N2786" s="139" t="str">
        <f t="shared" si="50"/>
        <v>1w</v>
      </c>
      <c r="O2786" s="146">
        <f>_xll.qlCalendarAdvance(Calendar,O2785,N2786,"f",FALSE)</f>
        <v>58720</v>
      </c>
      <c r="P2786" s="140">
        <f>_xll.qlInterestRateIndexValueDate(IborIndex,O2786)</f>
        <v>58722</v>
      </c>
      <c r="Q2786" s="141" t="e">
        <v>#N/A</v>
      </c>
      <c r="R2786" s="143" t="e">
        <v>#N/A</v>
      </c>
    </row>
    <row r="2787" spans="14:18" x14ac:dyDescent="0.2">
      <c r="N2787" s="139" t="str">
        <f t="shared" si="50"/>
        <v>1w</v>
      </c>
      <c r="O2787" s="146">
        <f>_xll.qlCalendarAdvance(Calendar,O2786,N2787,"f",FALSE)</f>
        <v>58727</v>
      </c>
      <c r="P2787" s="140">
        <f>_xll.qlInterestRateIndexValueDate(IborIndex,O2787)</f>
        <v>58729</v>
      </c>
      <c r="Q2787" s="141" t="e">
        <v>#N/A</v>
      </c>
      <c r="R2787" s="143" t="e">
        <v>#N/A</v>
      </c>
    </row>
    <row r="2788" spans="14:18" x14ac:dyDescent="0.2">
      <c r="N2788" s="139" t="str">
        <f t="shared" si="50"/>
        <v>1w</v>
      </c>
      <c r="O2788" s="146">
        <f>_xll.qlCalendarAdvance(Calendar,O2787,N2788,"f",FALSE)</f>
        <v>58734</v>
      </c>
      <c r="P2788" s="140">
        <f>_xll.qlInterestRateIndexValueDate(IborIndex,O2788)</f>
        <v>58736</v>
      </c>
      <c r="Q2788" s="141" t="e">
        <v>#N/A</v>
      </c>
      <c r="R2788" s="143" t="e">
        <v>#N/A</v>
      </c>
    </row>
    <row r="2789" spans="14:18" x14ac:dyDescent="0.2">
      <c r="N2789" s="139" t="str">
        <f t="shared" si="50"/>
        <v>1w</v>
      </c>
      <c r="O2789" s="146">
        <f>_xll.qlCalendarAdvance(Calendar,O2788,N2789,"f",FALSE)</f>
        <v>58741</v>
      </c>
      <c r="P2789" s="140">
        <f>_xll.qlInterestRateIndexValueDate(IborIndex,O2789)</f>
        <v>58743</v>
      </c>
      <c r="Q2789" s="141" t="e">
        <v>#N/A</v>
      </c>
      <c r="R2789" s="143" t="e">
        <v>#N/A</v>
      </c>
    </row>
    <row r="2790" spans="14:18" x14ac:dyDescent="0.2">
      <c r="N2790" s="139" t="str">
        <f t="shared" si="50"/>
        <v>1w</v>
      </c>
      <c r="O2790" s="146">
        <f>_xll.qlCalendarAdvance(Calendar,O2789,N2790,"f",FALSE)</f>
        <v>58748</v>
      </c>
      <c r="P2790" s="140">
        <f>_xll.qlInterestRateIndexValueDate(IborIndex,O2790)</f>
        <v>58750</v>
      </c>
      <c r="Q2790" s="141" t="e">
        <v>#N/A</v>
      </c>
      <c r="R2790" s="143" t="e">
        <v>#N/A</v>
      </c>
    </row>
    <row r="2791" spans="14:18" x14ac:dyDescent="0.2">
      <c r="N2791" s="139" t="str">
        <f t="shared" si="50"/>
        <v>1w</v>
      </c>
      <c r="O2791" s="146">
        <f>_xll.qlCalendarAdvance(Calendar,O2790,N2791,"f",FALSE)</f>
        <v>58755</v>
      </c>
      <c r="P2791" s="140">
        <f>_xll.qlInterestRateIndexValueDate(IborIndex,O2791)</f>
        <v>58757</v>
      </c>
      <c r="Q2791" s="141" t="e">
        <v>#N/A</v>
      </c>
      <c r="R2791" s="143" t="e">
        <v>#N/A</v>
      </c>
    </row>
    <row r="2792" spans="14:18" x14ac:dyDescent="0.2">
      <c r="N2792" s="139" t="str">
        <f t="shared" si="50"/>
        <v>1w</v>
      </c>
      <c r="O2792" s="146">
        <f>_xll.qlCalendarAdvance(Calendar,O2791,N2792,"f",FALSE)</f>
        <v>58762</v>
      </c>
      <c r="P2792" s="140">
        <f>_xll.qlInterestRateIndexValueDate(IborIndex,O2792)</f>
        <v>58764</v>
      </c>
      <c r="Q2792" s="141" t="e">
        <v>#N/A</v>
      </c>
      <c r="R2792" s="143" t="e">
        <v>#N/A</v>
      </c>
    </row>
    <row r="2793" spans="14:18" x14ac:dyDescent="0.2">
      <c r="N2793" s="139" t="str">
        <f t="shared" si="50"/>
        <v>1w</v>
      </c>
      <c r="O2793" s="146">
        <f>_xll.qlCalendarAdvance(Calendar,O2792,N2793,"f",FALSE)</f>
        <v>58769</v>
      </c>
      <c r="P2793" s="140">
        <f>_xll.qlInterestRateIndexValueDate(IborIndex,O2793)</f>
        <v>58771</v>
      </c>
      <c r="Q2793" s="141" t="e">
        <v>#N/A</v>
      </c>
      <c r="R2793" s="143" t="e">
        <v>#N/A</v>
      </c>
    </row>
    <row r="2794" spans="14:18" x14ac:dyDescent="0.2">
      <c r="N2794" s="139" t="str">
        <f t="shared" si="50"/>
        <v>1w</v>
      </c>
      <c r="O2794" s="146">
        <f>_xll.qlCalendarAdvance(Calendar,O2793,N2794,"f",FALSE)</f>
        <v>58776</v>
      </c>
      <c r="P2794" s="140">
        <f>_xll.qlInterestRateIndexValueDate(IborIndex,O2794)</f>
        <v>58778</v>
      </c>
      <c r="Q2794" s="141" t="e">
        <v>#N/A</v>
      </c>
      <c r="R2794" s="143" t="e">
        <v>#N/A</v>
      </c>
    </row>
    <row r="2795" spans="14:18" x14ac:dyDescent="0.2">
      <c r="N2795" s="139" t="str">
        <f t="shared" si="50"/>
        <v>1w</v>
      </c>
      <c r="O2795" s="146">
        <f>_xll.qlCalendarAdvance(Calendar,O2794,N2795,"f",FALSE)</f>
        <v>58783</v>
      </c>
      <c r="P2795" s="140">
        <f>_xll.qlInterestRateIndexValueDate(IborIndex,O2795)</f>
        <v>58785</v>
      </c>
      <c r="Q2795" s="141" t="e">
        <v>#N/A</v>
      </c>
      <c r="R2795" s="143" t="e">
        <v>#N/A</v>
      </c>
    </row>
    <row r="2796" spans="14:18" x14ac:dyDescent="0.2">
      <c r="N2796" s="139" t="str">
        <f t="shared" si="50"/>
        <v>1w</v>
      </c>
      <c r="O2796" s="146">
        <f>_xll.qlCalendarAdvance(Calendar,O2795,N2796,"f",FALSE)</f>
        <v>58790</v>
      </c>
      <c r="P2796" s="140">
        <f>_xll.qlInterestRateIndexValueDate(IborIndex,O2796)</f>
        <v>58792</v>
      </c>
      <c r="Q2796" s="141" t="e">
        <v>#N/A</v>
      </c>
      <c r="R2796" s="143" t="e">
        <v>#N/A</v>
      </c>
    </row>
    <row r="2797" spans="14:18" x14ac:dyDescent="0.2">
      <c r="N2797" s="139" t="str">
        <f t="shared" si="50"/>
        <v>1w</v>
      </c>
      <c r="O2797" s="146">
        <f>_xll.qlCalendarAdvance(Calendar,O2796,N2797,"f",FALSE)</f>
        <v>58797</v>
      </c>
      <c r="P2797" s="140">
        <f>_xll.qlInterestRateIndexValueDate(IborIndex,O2797)</f>
        <v>58802</v>
      </c>
      <c r="Q2797" s="141" t="e">
        <v>#N/A</v>
      </c>
      <c r="R2797" s="143" t="e">
        <v>#N/A</v>
      </c>
    </row>
    <row r="2798" spans="14:18" x14ac:dyDescent="0.2">
      <c r="N2798" s="139" t="str">
        <f t="shared" si="50"/>
        <v>1w</v>
      </c>
      <c r="O2798" s="146">
        <f>_xll.qlCalendarAdvance(Calendar,O2797,N2798,"f",FALSE)</f>
        <v>58804</v>
      </c>
      <c r="P2798" s="140">
        <f>_xll.qlInterestRateIndexValueDate(IborIndex,O2798)</f>
        <v>58809</v>
      </c>
      <c r="Q2798" s="141" t="e">
        <v>#N/A</v>
      </c>
      <c r="R2798" s="143" t="e">
        <v>#N/A</v>
      </c>
    </row>
    <row r="2799" spans="14:18" x14ac:dyDescent="0.2">
      <c r="N2799" s="139" t="str">
        <f t="shared" si="50"/>
        <v>1w</v>
      </c>
      <c r="O2799" s="146">
        <f>_xll.qlCalendarAdvance(Calendar,O2798,N2799,"f",FALSE)</f>
        <v>58811</v>
      </c>
      <c r="P2799" s="140">
        <f>_xll.qlInterestRateIndexValueDate(IborIndex,O2799)</f>
        <v>58816</v>
      </c>
      <c r="Q2799" s="141" t="e">
        <v>#N/A</v>
      </c>
      <c r="R2799" s="143" t="e">
        <v>#N/A</v>
      </c>
    </row>
    <row r="2800" spans="14:18" x14ac:dyDescent="0.2">
      <c r="N2800" s="139" t="str">
        <f t="shared" si="50"/>
        <v>1w</v>
      </c>
      <c r="O2800" s="146">
        <f>_xll.qlCalendarAdvance(Calendar,O2799,N2800,"f",FALSE)</f>
        <v>58818</v>
      </c>
      <c r="P2800" s="140">
        <f>_xll.qlInterestRateIndexValueDate(IborIndex,O2800)</f>
        <v>58820</v>
      </c>
      <c r="Q2800" s="141" t="e">
        <v>#N/A</v>
      </c>
      <c r="R2800" s="143" t="e">
        <v>#N/A</v>
      </c>
    </row>
    <row r="2801" spans="14:18" x14ac:dyDescent="0.2">
      <c r="N2801" s="139" t="str">
        <f t="shared" si="50"/>
        <v>1w</v>
      </c>
      <c r="O2801" s="146">
        <f>_xll.qlCalendarAdvance(Calendar,O2800,N2801,"f",FALSE)</f>
        <v>58825</v>
      </c>
      <c r="P2801" s="140">
        <f>_xll.qlInterestRateIndexValueDate(IborIndex,O2801)</f>
        <v>58827</v>
      </c>
      <c r="Q2801" s="141" t="e">
        <v>#N/A</v>
      </c>
      <c r="R2801" s="143" t="e">
        <v>#N/A</v>
      </c>
    </row>
    <row r="2802" spans="14:18" x14ac:dyDescent="0.2">
      <c r="N2802" s="139" t="str">
        <f t="shared" si="50"/>
        <v>1w</v>
      </c>
      <c r="O2802" s="146">
        <f>_xll.qlCalendarAdvance(Calendar,O2801,N2802,"f",FALSE)</f>
        <v>58832</v>
      </c>
      <c r="P2802" s="140">
        <f>_xll.qlInterestRateIndexValueDate(IborIndex,O2802)</f>
        <v>58834</v>
      </c>
      <c r="Q2802" s="141" t="e">
        <v>#N/A</v>
      </c>
      <c r="R2802" s="143" t="e">
        <v>#N/A</v>
      </c>
    </row>
    <row r="2803" spans="14:18" x14ac:dyDescent="0.2">
      <c r="N2803" s="139" t="str">
        <f t="shared" si="50"/>
        <v>1w</v>
      </c>
      <c r="O2803" s="146">
        <f>_xll.qlCalendarAdvance(Calendar,O2802,N2803,"f",FALSE)</f>
        <v>58839</v>
      </c>
      <c r="P2803" s="140">
        <f>_xll.qlInterestRateIndexValueDate(IborIndex,O2803)</f>
        <v>58841</v>
      </c>
      <c r="Q2803" s="141" t="e">
        <v>#N/A</v>
      </c>
      <c r="R2803" s="143" t="e">
        <v>#N/A</v>
      </c>
    </row>
    <row r="2804" spans="14:18" x14ac:dyDescent="0.2">
      <c r="N2804" s="139" t="str">
        <f t="shared" si="50"/>
        <v>1w</v>
      </c>
      <c r="O2804" s="146">
        <f>_xll.qlCalendarAdvance(Calendar,O2803,N2804,"f",FALSE)</f>
        <v>58846</v>
      </c>
      <c r="P2804" s="140">
        <f>_xll.qlInterestRateIndexValueDate(IborIndex,O2804)</f>
        <v>58848</v>
      </c>
      <c r="Q2804" s="141" t="e">
        <v>#N/A</v>
      </c>
      <c r="R2804" s="143" t="e">
        <v>#N/A</v>
      </c>
    </row>
    <row r="2805" spans="14:18" x14ac:dyDescent="0.2">
      <c r="N2805" s="139" t="str">
        <f t="shared" si="50"/>
        <v>1w</v>
      </c>
      <c r="O2805" s="146">
        <f>_xll.qlCalendarAdvance(Calendar,O2804,N2805,"f",FALSE)</f>
        <v>58853</v>
      </c>
      <c r="P2805" s="140">
        <f>_xll.qlInterestRateIndexValueDate(IborIndex,O2805)</f>
        <v>58855</v>
      </c>
      <c r="Q2805" s="141" t="e">
        <v>#N/A</v>
      </c>
      <c r="R2805" s="143" t="e">
        <v>#N/A</v>
      </c>
    </row>
    <row r="2806" spans="14:18" x14ac:dyDescent="0.2">
      <c r="N2806" s="139" t="str">
        <f t="shared" si="50"/>
        <v>1w</v>
      </c>
      <c r="O2806" s="146">
        <f>_xll.qlCalendarAdvance(Calendar,O2805,N2806,"f",FALSE)</f>
        <v>58860</v>
      </c>
      <c r="P2806" s="140">
        <f>_xll.qlInterestRateIndexValueDate(IborIndex,O2806)</f>
        <v>58862</v>
      </c>
      <c r="Q2806" s="141" t="e">
        <v>#N/A</v>
      </c>
      <c r="R2806" s="143" t="e">
        <v>#N/A</v>
      </c>
    </row>
    <row r="2807" spans="14:18" x14ac:dyDescent="0.2">
      <c r="N2807" s="139" t="str">
        <f t="shared" si="50"/>
        <v>1w</v>
      </c>
      <c r="O2807" s="146">
        <f>_xll.qlCalendarAdvance(Calendar,O2806,N2807,"f",FALSE)</f>
        <v>58867</v>
      </c>
      <c r="P2807" s="140">
        <f>_xll.qlInterestRateIndexValueDate(IborIndex,O2807)</f>
        <v>58869</v>
      </c>
      <c r="Q2807" s="141" t="e">
        <v>#N/A</v>
      </c>
      <c r="R2807" s="143" t="e">
        <v>#N/A</v>
      </c>
    </row>
    <row r="2808" spans="14:18" x14ac:dyDescent="0.2">
      <c r="N2808" s="139" t="str">
        <f t="shared" si="50"/>
        <v>1w</v>
      </c>
      <c r="O2808" s="146">
        <f>_xll.qlCalendarAdvance(Calendar,O2807,N2808,"f",FALSE)</f>
        <v>58874</v>
      </c>
      <c r="P2808" s="140">
        <f>_xll.qlInterestRateIndexValueDate(IborIndex,O2808)</f>
        <v>58876</v>
      </c>
      <c r="Q2808" s="141" t="e">
        <v>#N/A</v>
      </c>
      <c r="R2808" s="143" t="e">
        <v>#N/A</v>
      </c>
    </row>
    <row r="2809" spans="14:18" x14ac:dyDescent="0.2">
      <c r="N2809" s="139" t="str">
        <f t="shared" si="50"/>
        <v>1w</v>
      </c>
      <c r="O2809" s="146">
        <f>_xll.qlCalendarAdvance(Calendar,O2808,N2809,"f",FALSE)</f>
        <v>58881</v>
      </c>
      <c r="P2809" s="140">
        <f>_xll.qlInterestRateIndexValueDate(IborIndex,O2809)</f>
        <v>58883</v>
      </c>
      <c r="Q2809" s="141" t="e">
        <v>#N/A</v>
      </c>
      <c r="R2809" s="143" t="e">
        <v>#N/A</v>
      </c>
    </row>
    <row r="2810" spans="14:18" x14ac:dyDescent="0.2">
      <c r="N2810" s="139" t="str">
        <f t="shared" si="50"/>
        <v>1w</v>
      </c>
      <c r="O2810" s="146">
        <f>_xll.qlCalendarAdvance(Calendar,O2809,N2810,"f",FALSE)</f>
        <v>58888</v>
      </c>
      <c r="P2810" s="140">
        <f>_xll.qlInterestRateIndexValueDate(IborIndex,O2810)</f>
        <v>58890</v>
      </c>
      <c r="Q2810" s="141" t="e">
        <v>#N/A</v>
      </c>
      <c r="R2810" s="143" t="e">
        <v>#N/A</v>
      </c>
    </row>
    <row r="2811" spans="14:18" x14ac:dyDescent="0.2">
      <c r="N2811" s="139" t="str">
        <f t="shared" si="50"/>
        <v>1w</v>
      </c>
      <c r="O2811" s="146">
        <f>_xll.qlCalendarAdvance(Calendar,O2810,N2811,"f",FALSE)</f>
        <v>58895</v>
      </c>
      <c r="P2811" s="140">
        <f>_xll.qlInterestRateIndexValueDate(IborIndex,O2811)</f>
        <v>58897</v>
      </c>
      <c r="Q2811" s="141" t="e">
        <v>#N/A</v>
      </c>
      <c r="R2811" s="143" t="e">
        <v>#N/A</v>
      </c>
    </row>
    <row r="2812" spans="14:18" x14ac:dyDescent="0.2">
      <c r="N2812" s="139" t="str">
        <f t="shared" si="50"/>
        <v>1w</v>
      </c>
      <c r="O2812" s="146">
        <f>_xll.qlCalendarAdvance(Calendar,O2811,N2812,"f",FALSE)</f>
        <v>58902</v>
      </c>
      <c r="P2812" s="140">
        <f>_xll.qlInterestRateIndexValueDate(IborIndex,O2812)</f>
        <v>58908</v>
      </c>
      <c r="Q2812" s="141" t="e">
        <v>#N/A</v>
      </c>
      <c r="R2812" s="143" t="e">
        <v>#N/A</v>
      </c>
    </row>
    <row r="2813" spans="14:18" x14ac:dyDescent="0.2">
      <c r="N2813" s="139" t="str">
        <f t="shared" si="50"/>
        <v>1w</v>
      </c>
      <c r="O2813" s="146">
        <f>_xll.qlCalendarAdvance(Calendar,O2812,N2813,"f",FALSE)</f>
        <v>58909</v>
      </c>
      <c r="P2813" s="140">
        <f>_xll.qlInterestRateIndexValueDate(IborIndex,O2813)</f>
        <v>58911</v>
      </c>
      <c r="Q2813" s="141" t="e">
        <v>#N/A</v>
      </c>
      <c r="R2813" s="143" t="e">
        <v>#N/A</v>
      </c>
    </row>
    <row r="2814" spans="14:18" x14ac:dyDescent="0.2">
      <c r="N2814" s="139" t="str">
        <f t="shared" si="50"/>
        <v>1w</v>
      </c>
      <c r="O2814" s="146">
        <f>_xll.qlCalendarAdvance(Calendar,O2813,N2814,"f",FALSE)</f>
        <v>58916</v>
      </c>
      <c r="P2814" s="140">
        <f>_xll.qlInterestRateIndexValueDate(IborIndex,O2814)</f>
        <v>58918</v>
      </c>
      <c r="Q2814" s="141" t="e">
        <v>#N/A</v>
      </c>
      <c r="R2814" s="143" t="e">
        <v>#N/A</v>
      </c>
    </row>
    <row r="2815" spans="14:18" x14ac:dyDescent="0.2">
      <c r="N2815" s="139" t="str">
        <f t="shared" si="50"/>
        <v>1w</v>
      </c>
      <c r="O2815" s="146">
        <f>_xll.qlCalendarAdvance(Calendar,O2814,N2815,"f",FALSE)</f>
        <v>58923</v>
      </c>
      <c r="P2815" s="140">
        <f>_xll.qlInterestRateIndexValueDate(IborIndex,O2815)</f>
        <v>58925</v>
      </c>
      <c r="Q2815" s="141" t="e">
        <v>#N/A</v>
      </c>
      <c r="R2815" s="143" t="e">
        <v>#N/A</v>
      </c>
    </row>
    <row r="2816" spans="14:18" x14ac:dyDescent="0.2">
      <c r="N2816" s="139" t="str">
        <f t="shared" si="50"/>
        <v>1w</v>
      </c>
      <c r="O2816" s="146">
        <f>_xll.qlCalendarAdvance(Calendar,O2815,N2816,"f",FALSE)</f>
        <v>58930</v>
      </c>
      <c r="P2816" s="140">
        <f>_xll.qlInterestRateIndexValueDate(IborIndex,O2816)</f>
        <v>58932</v>
      </c>
      <c r="Q2816" s="141" t="e">
        <v>#N/A</v>
      </c>
      <c r="R2816" s="143" t="e">
        <v>#N/A</v>
      </c>
    </row>
    <row r="2817" spans="14:18" x14ac:dyDescent="0.2">
      <c r="N2817" s="139" t="str">
        <f t="shared" si="50"/>
        <v>1w</v>
      </c>
      <c r="O2817" s="146">
        <f>_xll.qlCalendarAdvance(Calendar,O2816,N2817,"f",FALSE)</f>
        <v>58937</v>
      </c>
      <c r="P2817" s="140">
        <f>_xll.qlInterestRateIndexValueDate(IborIndex,O2817)</f>
        <v>58939</v>
      </c>
      <c r="Q2817" s="141" t="e">
        <v>#N/A</v>
      </c>
      <c r="R2817" s="143" t="e">
        <v>#N/A</v>
      </c>
    </row>
    <row r="2818" spans="14:18" x14ac:dyDescent="0.2">
      <c r="N2818" s="139" t="str">
        <f t="shared" si="50"/>
        <v>1w</v>
      </c>
      <c r="O2818" s="146">
        <f>_xll.qlCalendarAdvance(Calendar,O2817,N2818,"f",FALSE)</f>
        <v>58944</v>
      </c>
      <c r="P2818" s="140">
        <f>_xll.qlInterestRateIndexValueDate(IborIndex,O2818)</f>
        <v>58949</v>
      </c>
      <c r="Q2818" s="141" t="e">
        <v>#N/A</v>
      </c>
      <c r="R2818" s="143" t="e">
        <v>#N/A</v>
      </c>
    </row>
    <row r="2819" spans="14:18" x14ac:dyDescent="0.2">
      <c r="N2819" s="139" t="str">
        <f t="shared" si="50"/>
        <v>1w</v>
      </c>
      <c r="O2819" s="146">
        <f>_xll.qlCalendarAdvance(Calendar,O2818,N2819,"f",FALSE)</f>
        <v>58951</v>
      </c>
      <c r="P2819" s="140">
        <f>_xll.qlInterestRateIndexValueDate(IborIndex,O2819)</f>
        <v>58953</v>
      </c>
      <c r="Q2819" s="141" t="e">
        <v>#N/A</v>
      </c>
      <c r="R2819" s="143" t="e">
        <v>#N/A</v>
      </c>
    </row>
    <row r="2820" spans="14:18" x14ac:dyDescent="0.2">
      <c r="N2820" s="139" t="str">
        <f t="shared" si="50"/>
        <v>1w</v>
      </c>
      <c r="O2820" s="146">
        <f>_xll.qlCalendarAdvance(Calendar,O2819,N2820,"f",FALSE)</f>
        <v>58958</v>
      </c>
      <c r="P2820" s="140">
        <f>_xll.qlInterestRateIndexValueDate(IborIndex,O2820)</f>
        <v>58960</v>
      </c>
      <c r="Q2820" s="141" t="e">
        <v>#N/A</v>
      </c>
      <c r="R2820" s="143" t="e">
        <v>#N/A</v>
      </c>
    </row>
    <row r="2821" spans="14:18" x14ac:dyDescent="0.2">
      <c r="N2821" s="139" t="str">
        <f t="shared" si="50"/>
        <v>1w</v>
      </c>
      <c r="O2821" s="146">
        <f>_xll.qlCalendarAdvance(Calendar,O2820,N2821,"f",FALSE)</f>
        <v>58965</v>
      </c>
      <c r="P2821" s="140">
        <f>_xll.qlInterestRateIndexValueDate(IborIndex,O2821)</f>
        <v>58967</v>
      </c>
      <c r="Q2821" s="141" t="e">
        <v>#N/A</v>
      </c>
      <c r="R2821" s="143" t="e">
        <v>#N/A</v>
      </c>
    </row>
    <row r="2822" spans="14:18" x14ac:dyDescent="0.2">
      <c r="N2822" s="139" t="str">
        <f t="shared" si="50"/>
        <v>1w</v>
      </c>
      <c r="O2822" s="146">
        <f>_xll.qlCalendarAdvance(Calendar,O2821,N2822,"f",FALSE)</f>
        <v>58972</v>
      </c>
      <c r="P2822" s="140">
        <f>_xll.qlInterestRateIndexValueDate(IborIndex,O2822)</f>
        <v>58974</v>
      </c>
      <c r="Q2822" s="141" t="e">
        <v>#N/A</v>
      </c>
      <c r="R2822" s="143" t="e">
        <v>#N/A</v>
      </c>
    </row>
    <row r="2823" spans="14:18" x14ac:dyDescent="0.2">
      <c r="N2823" s="139" t="str">
        <f t="shared" si="50"/>
        <v>1w</v>
      </c>
      <c r="O2823" s="146">
        <f>_xll.qlCalendarAdvance(Calendar,O2822,N2823,"f",FALSE)</f>
        <v>58979</v>
      </c>
      <c r="P2823" s="140">
        <f>_xll.qlInterestRateIndexValueDate(IborIndex,O2823)</f>
        <v>58984</v>
      </c>
      <c r="Q2823" s="141" t="e">
        <v>#N/A</v>
      </c>
      <c r="R2823" s="143" t="e">
        <v>#N/A</v>
      </c>
    </row>
    <row r="2824" spans="14:18" x14ac:dyDescent="0.2">
      <c r="N2824" s="139" t="str">
        <f t="shared" si="50"/>
        <v>1w</v>
      </c>
      <c r="O2824" s="146">
        <f>_xll.qlCalendarAdvance(Calendar,O2823,N2824,"f",FALSE)</f>
        <v>58986</v>
      </c>
      <c r="P2824" s="140">
        <f>_xll.qlInterestRateIndexValueDate(IborIndex,O2824)</f>
        <v>58988</v>
      </c>
      <c r="Q2824" s="141" t="e">
        <v>#N/A</v>
      </c>
      <c r="R2824" s="143" t="e">
        <v>#N/A</v>
      </c>
    </row>
    <row r="2825" spans="14:18" x14ac:dyDescent="0.2">
      <c r="N2825" s="139" t="str">
        <f t="shared" si="50"/>
        <v>1w</v>
      </c>
      <c r="O2825" s="146">
        <f>_xll.qlCalendarAdvance(Calendar,O2824,N2825,"f",FALSE)</f>
        <v>58993</v>
      </c>
      <c r="P2825" s="140">
        <f>_xll.qlInterestRateIndexValueDate(IborIndex,O2825)</f>
        <v>58995</v>
      </c>
      <c r="Q2825" s="141" t="e">
        <v>#N/A</v>
      </c>
      <c r="R2825" s="143" t="e">
        <v>#N/A</v>
      </c>
    </row>
    <row r="2826" spans="14:18" x14ac:dyDescent="0.2">
      <c r="N2826" s="139" t="str">
        <f t="shared" si="50"/>
        <v>1w</v>
      </c>
      <c r="O2826" s="146">
        <f>_xll.qlCalendarAdvance(Calendar,O2825,N2826,"f",FALSE)</f>
        <v>59000</v>
      </c>
      <c r="P2826" s="140">
        <f>_xll.qlInterestRateIndexValueDate(IborIndex,O2826)</f>
        <v>59002</v>
      </c>
      <c r="Q2826" s="141" t="e">
        <v>#N/A</v>
      </c>
      <c r="R2826" s="143" t="e">
        <v>#N/A</v>
      </c>
    </row>
    <row r="2827" spans="14:18" x14ac:dyDescent="0.2">
      <c r="N2827" s="139" t="str">
        <f t="shared" si="50"/>
        <v>1w</v>
      </c>
      <c r="O2827" s="146">
        <f>_xll.qlCalendarAdvance(Calendar,O2826,N2827,"f",FALSE)</f>
        <v>59007</v>
      </c>
      <c r="P2827" s="140">
        <f>_xll.qlInterestRateIndexValueDate(IborIndex,O2827)</f>
        <v>59009</v>
      </c>
      <c r="Q2827" s="141" t="e">
        <v>#N/A</v>
      </c>
      <c r="R2827" s="143" t="e">
        <v>#N/A</v>
      </c>
    </row>
    <row r="2828" spans="14:18" x14ac:dyDescent="0.2">
      <c r="N2828" s="139" t="str">
        <f t="shared" si="50"/>
        <v>1w</v>
      </c>
      <c r="O2828" s="146">
        <f>_xll.qlCalendarAdvance(Calendar,O2827,N2828,"f",FALSE)</f>
        <v>59014</v>
      </c>
      <c r="P2828" s="140">
        <f>_xll.qlInterestRateIndexValueDate(IborIndex,O2828)</f>
        <v>59016</v>
      </c>
      <c r="Q2828" s="141" t="e">
        <v>#N/A</v>
      </c>
      <c r="R2828" s="143" t="e">
        <v>#N/A</v>
      </c>
    </row>
    <row r="2829" spans="14:18" x14ac:dyDescent="0.2">
      <c r="N2829" s="139" t="str">
        <f t="shared" si="50"/>
        <v>1w</v>
      </c>
      <c r="O2829" s="146">
        <f>_xll.qlCalendarAdvance(Calendar,O2828,N2829,"f",FALSE)</f>
        <v>59021</v>
      </c>
      <c r="P2829" s="140">
        <f>_xll.qlInterestRateIndexValueDate(IborIndex,O2829)</f>
        <v>59023</v>
      </c>
      <c r="Q2829" s="141" t="e">
        <v>#N/A</v>
      </c>
      <c r="R2829" s="143" t="e">
        <v>#N/A</v>
      </c>
    </row>
    <row r="2830" spans="14:18" x14ac:dyDescent="0.2">
      <c r="N2830" s="139" t="str">
        <f t="shared" si="50"/>
        <v>1w</v>
      </c>
      <c r="O2830" s="146">
        <f>_xll.qlCalendarAdvance(Calendar,O2829,N2830,"f",FALSE)</f>
        <v>59028</v>
      </c>
      <c r="P2830" s="140">
        <f>_xll.qlInterestRateIndexValueDate(IborIndex,O2830)</f>
        <v>59030</v>
      </c>
      <c r="Q2830" s="141" t="e">
        <v>#N/A</v>
      </c>
      <c r="R2830" s="143" t="e">
        <v>#N/A</v>
      </c>
    </row>
    <row r="2831" spans="14:18" x14ac:dyDescent="0.2">
      <c r="N2831" s="139" t="str">
        <f t="shared" si="50"/>
        <v>1w</v>
      </c>
      <c r="O2831" s="146">
        <f>_xll.qlCalendarAdvance(Calendar,O2830,N2831,"f",FALSE)</f>
        <v>59035</v>
      </c>
      <c r="P2831" s="140">
        <f>_xll.qlInterestRateIndexValueDate(IborIndex,O2831)</f>
        <v>59037</v>
      </c>
      <c r="Q2831" s="141" t="e">
        <v>#N/A</v>
      </c>
      <c r="R2831" s="143" t="e">
        <v>#N/A</v>
      </c>
    </row>
    <row r="2832" spans="14:18" x14ac:dyDescent="0.2">
      <c r="N2832" s="139" t="str">
        <f t="shared" si="50"/>
        <v>1w</v>
      </c>
      <c r="O2832" s="146">
        <f>_xll.qlCalendarAdvance(Calendar,O2831,N2832,"f",FALSE)</f>
        <v>59042</v>
      </c>
      <c r="P2832" s="140">
        <f>_xll.qlInterestRateIndexValueDate(IborIndex,O2832)</f>
        <v>59044</v>
      </c>
      <c r="Q2832" s="141" t="e">
        <v>#N/A</v>
      </c>
      <c r="R2832" s="143" t="e">
        <v>#N/A</v>
      </c>
    </row>
    <row r="2833" spans="14:18" x14ac:dyDescent="0.2">
      <c r="N2833" s="139" t="str">
        <f t="shared" si="50"/>
        <v>1w</v>
      </c>
      <c r="O2833" s="146">
        <f>_xll.qlCalendarAdvance(Calendar,O2832,N2833,"f",FALSE)</f>
        <v>59049</v>
      </c>
      <c r="P2833" s="140">
        <f>_xll.qlInterestRateIndexValueDate(IborIndex,O2833)</f>
        <v>59051</v>
      </c>
      <c r="Q2833" s="141" t="e">
        <v>#N/A</v>
      </c>
      <c r="R2833" s="143" t="e">
        <v>#N/A</v>
      </c>
    </row>
    <row r="2834" spans="14:18" x14ac:dyDescent="0.2">
      <c r="N2834" s="139" t="str">
        <f t="shared" si="50"/>
        <v>1w</v>
      </c>
      <c r="O2834" s="146">
        <f>_xll.qlCalendarAdvance(Calendar,O2833,N2834,"f",FALSE)</f>
        <v>59056</v>
      </c>
      <c r="P2834" s="140">
        <f>_xll.qlInterestRateIndexValueDate(IborIndex,O2834)</f>
        <v>59058</v>
      </c>
      <c r="Q2834" s="141" t="e">
        <v>#N/A</v>
      </c>
      <c r="R2834" s="143" t="e">
        <v>#N/A</v>
      </c>
    </row>
    <row r="2835" spans="14:18" x14ac:dyDescent="0.2">
      <c r="N2835" s="139" t="str">
        <f t="shared" si="50"/>
        <v>1w</v>
      </c>
      <c r="O2835" s="146">
        <f>_xll.qlCalendarAdvance(Calendar,O2834,N2835,"f",FALSE)</f>
        <v>59063</v>
      </c>
      <c r="P2835" s="140">
        <f>_xll.qlInterestRateIndexValueDate(IborIndex,O2835)</f>
        <v>59065</v>
      </c>
      <c r="Q2835" s="141" t="e">
        <v>#N/A</v>
      </c>
      <c r="R2835" s="143" t="e">
        <v>#N/A</v>
      </c>
    </row>
    <row r="2836" spans="14:18" x14ac:dyDescent="0.2">
      <c r="N2836" s="139" t="str">
        <f t="shared" si="50"/>
        <v>1w</v>
      </c>
      <c r="O2836" s="146">
        <f>_xll.qlCalendarAdvance(Calendar,O2835,N2836,"f",FALSE)</f>
        <v>59070</v>
      </c>
      <c r="P2836" s="140">
        <f>_xll.qlInterestRateIndexValueDate(IborIndex,O2836)</f>
        <v>59072</v>
      </c>
      <c r="Q2836" s="141" t="e">
        <v>#N/A</v>
      </c>
      <c r="R2836" s="143" t="e">
        <v>#N/A</v>
      </c>
    </row>
    <row r="2837" spans="14:18" x14ac:dyDescent="0.2">
      <c r="N2837" s="139" t="str">
        <f t="shared" ref="N2837:N2900" si="51">N2836</f>
        <v>1w</v>
      </c>
      <c r="O2837" s="146">
        <f>_xll.qlCalendarAdvance(Calendar,O2836,N2837,"f",FALSE)</f>
        <v>59077</v>
      </c>
      <c r="P2837" s="140">
        <f>_xll.qlInterestRateIndexValueDate(IborIndex,O2837)</f>
        <v>59079</v>
      </c>
      <c r="Q2837" s="141" t="e">
        <v>#N/A</v>
      </c>
      <c r="R2837" s="143" t="e">
        <v>#N/A</v>
      </c>
    </row>
    <row r="2838" spans="14:18" x14ac:dyDescent="0.2">
      <c r="N2838" s="139" t="str">
        <f t="shared" si="51"/>
        <v>1w</v>
      </c>
      <c r="O2838" s="146">
        <f>_xll.qlCalendarAdvance(Calendar,O2837,N2838,"f",FALSE)</f>
        <v>59084</v>
      </c>
      <c r="P2838" s="140">
        <f>_xll.qlInterestRateIndexValueDate(IborIndex,O2838)</f>
        <v>59086</v>
      </c>
      <c r="Q2838" s="141" t="e">
        <v>#N/A</v>
      </c>
      <c r="R2838" s="143" t="e">
        <v>#N/A</v>
      </c>
    </row>
    <row r="2839" spans="14:18" x14ac:dyDescent="0.2">
      <c r="N2839" s="139" t="str">
        <f t="shared" si="51"/>
        <v>1w</v>
      </c>
      <c r="O2839" s="146">
        <f>_xll.qlCalendarAdvance(Calendar,O2838,N2839,"f",FALSE)</f>
        <v>59091</v>
      </c>
      <c r="P2839" s="140">
        <f>_xll.qlInterestRateIndexValueDate(IborIndex,O2839)</f>
        <v>59093</v>
      </c>
      <c r="Q2839" s="141" t="e">
        <v>#N/A</v>
      </c>
      <c r="R2839" s="143" t="e">
        <v>#N/A</v>
      </c>
    </row>
    <row r="2840" spans="14:18" x14ac:dyDescent="0.2">
      <c r="N2840" s="139" t="str">
        <f t="shared" si="51"/>
        <v>1w</v>
      </c>
      <c r="O2840" s="146">
        <f>_xll.qlCalendarAdvance(Calendar,O2839,N2840,"f",FALSE)</f>
        <v>59098</v>
      </c>
      <c r="P2840" s="140">
        <f>_xll.qlInterestRateIndexValueDate(IborIndex,O2840)</f>
        <v>59100</v>
      </c>
      <c r="Q2840" s="141" t="e">
        <v>#N/A</v>
      </c>
      <c r="R2840" s="143" t="e">
        <v>#N/A</v>
      </c>
    </row>
    <row r="2841" spans="14:18" x14ac:dyDescent="0.2">
      <c r="N2841" s="139" t="str">
        <f t="shared" si="51"/>
        <v>1w</v>
      </c>
      <c r="O2841" s="146">
        <f>_xll.qlCalendarAdvance(Calendar,O2840,N2841,"f",FALSE)</f>
        <v>59105</v>
      </c>
      <c r="P2841" s="140">
        <f>_xll.qlInterestRateIndexValueDate(IborIndex,O2841)</f>
        <v>59107</v>
      </c>
      <c r="Q2841" s="141" t="e">
        <v>#N/A</v>
      </c>
      <c r="R2841" s="143" t="e">
        <v>#N/A</v>
      </c>
    </row>
    <row r="2842" spans="14:18" x14ac:dyDescent="0.2">
      <c r="N2842" s="139" t="str">
        <f t="shared" si="51"/>
        <v>1w</v>
      </c>
      <c r="O2842" s="146">
        <f>_xll.qlCalendarAdvance(Calendar,O2841,N2842,"f",FALSE)</f>
        <v>59112</v>
      </c>
      <c r="P2842" s="140">
        <f>_xll.qlInterestRateIndexValueDate(IborIndex,O2842)</f>
        <v>59114</v>
      </c>
      <c r="Q2842" s="141" t="e">
        <v>#N/A</v>
      </c>
      <c r="R2842" s="143" t="e">
        <v>#N/A</v>
      </c>
    </row>
    <row r="2843" spans="14:18" x14ac:dyDescent="0.2">
      <c r="N2843" s="139" t="str">
        <f t="shared" si="51"/>
        <v>1w</v>
      </c>
      <c r="O2843" s="146">
        <f>_xll.qlCalendarAdvance(Calendar,O2842,N2843,"f",FALSE)</f>
        <v>59119</v>
      </c>
      <c r="P2843" s="140">
        <f>_xll.qlInterestRateIndexValueDate(IborIndex,O2843)</f>
        <v>59121</v>
      </c>
      <c r="Q2843" s="141" t="e">
        <v>#N/A</v>
      </c>
      <c r="R2843" s="143" t="e">
        <v>#N/A</v>
      </c>
    </row>
    <row r="2844" spans="14:18" x14ac:dyDescent="0.2">
      <c r="N2844" s="139" t="str">
        <f t="shared" si="51"/>
        <v>1w</v>
      </c>
      <c r="O2844" s="146">
        <f>_xll.qlCalendarAdvance(Calendar,O2843,N2844,"f",FALSE)</f>
        <v>59126</v>
      </c>
      <c r="P2844" s="140">
        <f>_xll.qlInterestRateIndexValueDate(IborIndex,O2844)</f>
        <v>59128</v>
      </c>
      <c r="Q2844" s="141" t="e">
        <v>#N/A</v>
      </c>
      <c r="R2844" s="143" t="e">
        <v>#N/A</v>
      </c>
    </row>
    <row r="2845" spans="14:18" x14ac:dyDescent="0.2">
      <c r="N2845" s="139" t="str">
        <f t="shared" si="51"/>
        <v>1w</v>
      </c>
      <c r="O2845" s="146">
        <f>_xll.qlCalendarAdvance(Calendar,O2844,N2845,"f",FALSE)</f>
        <v>59133</v>
      </c>
      <c r="P2845" s="140">
        <f>_xll.qlInterestRateIndexValueDate(IborIndex,O2845)</f>
        <v>59135</v>
      </c>
      <c r="Q2845" s="141" t="e">
        <v>#N/A</v>
      </c>
      <c r="R2845" s="143" t="e">
        <v>#N/A</v>
      </c>
    </row>
    <row r="2846" spans="14:18" x14ac:dyDescent="0.2">
      <c r="N2846" s="139" t="str">
        <f t="shared" si="51"/>
        <v>1w</v>
      </c>
      <c r="O2846" s="146">
        <f>_xll.qlCalendarAdvance(Calendar,O2845,N2846,"f",FALSE)</f>
        <v>59140</v>
      </c>
      <c r="P2846" s="140">
        <f>_xll.qlInterestRateIndexValueDate(IborIndex,O2846)</f>
        <v>59142</v>
      </c>
      <c r="Q2846" s="141" t="e">
        <v>#N/A</v>
      </c>
      <c r="R2846" s="143" t="e">
        <v>#N/A</v>
      </c>
    </row>
    <row r="2847" spans="14:18" x14ac:dyDescent="0.2">
      <c r="N2847" s="139" t="str">
        <f t="shared" si="51"/>
        <v>1w</v>
      </c>
      <c r="O2847" s="146">
        <f>_xll.qlCalendarAdvance(Calendar,O2846,N2847,"f",FALSE)</f>
        <v>59147</v>
      </c>
      <c r="P2847" s="140">
        <f>_xll.qlInterestRateIndexValueDate(IborIndex,O2847)</f>
        <v>59149</v>
      </c>
      <c r="Q2847" s="141" t="e">
        <v>#N/A</v>
      </c>
      <c r="R2847" s="143" t="e">
        <v>#N/A</v>
      </c>
    </row>
    <row r="2848" spans="14:18" x14ac:dyDescent="0.2">
      <c r="N2848" s="139" t="str">
        <f t="shared" si="51"/>
        <v>1w</v>
      </c>
      <c r="O2848" s="146">
        <f>_xll.qlCalendarAdvance(Calendar,O2847,N2848,"f",FALSE)</f>
        <v>59154</v>
      </c>
      <c r="P2848" s="140">
        <f>_xll.qlInterestRateIndexValueDate(IborIndex,O2848)</f>
        <v>59156</v>
      </c>
      <c r="Q2848" s="141" t="e">
        <v>#N/A</v>
      </c>
      <c r="R2848" s="143" t="e">
        <v>#N/A</v>
      </c>
    </row>
    <row r="2849" spans="14:18" x14ac:dyDescent="0.2">
      <c r="N2849" s="139" t="str">
        <f t="shared" si="51"/>
        <v>1w</v>
      </c>
      <c r="O2849" s="146">
        <f>_xll.qlCalendarAdvance(Calendar,O2848,N2849,"f",FALSE)</f>
        <v>59161</v>
      </c>
      <c r="P2849" s="140">
        <f>_xll.qlInterestRateIndexValueDate(IborIndex,O2849)</f>
        <v>59163</v>
      </c>
      <c r="Q2849" s="141" t="e">
        <v>#N/A</v>
      </c>
      <c r="R2849" s="143" t="e">
        <v>#N/A</v>
      </c>
    </row>
    <row r="2850" spans="14:18" x14ac:dyDescent="0.2">
      <c r="N2850" s="139" t="str">
        <f t="shared" si="51"/>
        <v>1w</v>
      </c>
      <c r="O2850" s="146">
        <f>_xll.qlCalendarAdvance(Calendar,O2849,N2850,"f",FALSE)</f>
        <v>59168</v>
      </c>
      <c r="P2850" s="140">
        <f>_xll.qlInterestRateIndexValueDate(IborIndex,O2850)</f>
        <v>59170</v>
      </c>
      <c r="Q2850" s="141" t="e">
        <v>#N/A</v>
      </c>
      <c r="R2850" s="143" t="e">
        <v>#N/A</v>
      </c>
    </row>
    <row r="2851" spans="14:18" x14ac:dyDescent="0.2">
      <c r="N2851" s="139" t="str">
        <f t="shared" si="51"/>
        <v>1w</v>
      </c>
      <c r="O2851" s="146">
        <f>_xll.qlCalendarAdvance(Calendar,O2850,N2851,"f",FALSE)</f>
        <v>59175</v>
      </c>
      <c r="P2851" s="140">
        <f>_xll.qlInterestRateIndexValueDate(IborIndex,O2851)</f>
        <v>59180</v>
      </c>
      <c r="Q2851" s="141" t="e">
        <v>#N/A</v>
      </c>
      <c r="R2851" s="143" t="e">
        <v>#N/A</v>
      </c>
    </row>
    <row r="2852" spans="14:18" x14ac:dyDescent="0.2">
      <c r="N2852" s="139" t="str">
        <f t="shared" si="51"/>
        <v>1w</v>
      </c>
      <c r="O2852" s="146">
        <f>_xll.qlCalendarAdvance(Calendar,O2851,N2852,"f",FALSE)</f>
        <v>59182</v>
      </c>
      <c r="P2852" s="140">
        <f>_xll.qlInterestRateIndexValueDate(IborIndex,O2852)</f>
        <v>59184</v>
      </c>
      <c r="Q2852" s="141" t="e">
        <v>#N/A</v>
      </c>
      <c r="R2852" s="143" t="e">
        <v>#N/A</v>
      </c>
    </row>
    <row r="2853" spans="14:18" x14ac:dyDescent="0.2">
      <c r="N2853" s="139" t="str">
        <f t="shared" si="51"/>
        <v>1w</v>
      </c>
      <c r="O2853" s="146">
        <f>_xll.qlCalendarAdvance(Calendar,O2852,N2853,"f",FALSE)</f>
        <v>59189</v>
      </c>
      <c r="P2853" s="140">
        <f>_xll.qlInterestRateIndexValueDate(IborIndex,O2853)</f>
        <v>59191</v>
      </c>
      <c r="Q2853" s="141" t="e">
        <v>#N/A</v>
      </c>
      <c r="R2853" s="143" t="e">
        <v>#N/A</v>
      </c>
    </row>
    <row r="2854" spans="14:18" x14ac:dyDescent="0.2">
      <c r="N2854" s="139" t="str">
        <f t="shared" si="51"/>
        <v>1w</v>
      </c>
      <c r="O2854" s="146">
        <f>_xll.qlCalendarAdvance(Calendar,O2853,N2854,"f",FALSE)</f>
        <v>59196</v>
      </c>
      <c r="P2854" s="140">
        <f>_xll.qlInterestRateIndexValueDate(IborIndex,O2854)</f>
        <v>59198</v>
      </c>
      <c r="Q2854" s="141" t="e">
        <v>#N/A</v>
      </c>
      <c r="R2854" s="143" t="e">
        <v>#N/A</v>
      </c>
    </row>
    <row r="2855" spans="14:18" x14ac:dyDescent="0.2">
      <c r="N2855" s="139" t="str">
        <f t="shared" si="51"/>
        <v>1w</v>
      </c>
      <c r="O2855" s="146">
        <f>_xll.qlCalendarAdvance(Calendar,O2854,N2855,"f",FALSE)</f>
        <v>59203</v>
      </c>
      <c r="P2855" s="140">
        <f>_xll.qlInterestRateIndexValueDate(IborIndex,O2855)</f>
        <v>59205</v>
      </c>
      <c r="Q2855" s="141" t="e">
        <v>#N/A</v>
      </c>
      <c r="R2855" s="143" t="e">
        <v>#N/A</v>
      </c>
    </row>
    <row r="2856" spans="14:18" x14ac:dyDescent="0.2">
      <c r="N2856" s="139" t="str">
        <f t="shared" si="51"/>
        <v>1w</v>
      </c>
      <c r="O2856" s="146">
        <f>_xll.qlCalendarAdvance(Calendar,O2855,N2856,"f",FALSE)</f>
        <v>59210</v>
      </c>
      <c r="P2856" s="140">
        <f>_xll.qlInterestRateIndexValueDate(IborIndex,O2856)</f>
        <v>59212</v>
      </c>
      <c r="Q2856" s="141" t="e">
        <v>#N/A</v>
      </c>
      <c r="R2856" s="143" t="e">
        <v>#N/A</v>
      </c>
    </row>
    <row r="2857" spans="14:18" x14ac:dyDescent="0.2">
      <c r="N2857" s="139" t="str">
        <f t="shared" si="51"/>
        <v>1w</v>
      </c>
      <c r="O2857" s="146">
        <f>_xll.qlCalendarAdvance(Calendar,O2856,N2857,"f",FALSE)</f>
        <v>59217</v>
      </c>
      <c r="P2857" s="140">
        <f>_xll.qlInterestRateIndexValueDate(IborIndex,O2857)</f>
        <v>59219</v>
      </c>
      <c r="Q2857" s="141" t="e">
        <v>#N/A</v>
      </c>
      <c r="R2857" s="143" t="e">
        <v>#N/A</v>
      </c>
    </row>
    <row r="2858" spans="14:18" x14ac:dyDescent="0.2">
      <c r="N2858" s="139" t="str">
        <f t="shared" si="51"/>
        <v>1w</v>
      </c>
      <c r="O2858" s="146">
        <f>_xll.qlCalendarAdvance(Calendar,O2857,N2858,"f",FALSE)</f>
        <v>59224</v>
      </c>
      <c r="P2858" s="140">
        <f>_xll.qlInterestRateIndexValueDate(IborIndex,O2858)</f>
        <v>59226</v>
      </c>
      <c r="Q2858" s="141" t="e">
        <v>#N/A</v>
      </c>
      <c r="R2858" s="143" t="e">
        <v>#N/A</v>
      </c>
    </row>
    <row r="2859" spans="14:18" x14ac:dyDescent="0.2">
      <c r="N2859" s="139" t="str">
        <f t="shared" si="51"/>
        <v>1w</v>
      </c>
      <c r="O2859" s="146">
        <f>_xll.qlCalendarAdvance(Calendar,O2858,N2859,"f",FALSE)</f>
        <v>59231</v>
      </c>
      <c r="P2859" s="140">
        <f>_xll.qlInterestRateIndexValueDate(IborIndex,O2859)</f>
        <v>59233</v>
      </c>
      <c r="Q2859" s="141" t="e">
        <v>#N/A</v>
      </c>
      <c r="R2859" s="143" t="e">
        <v>#N/A</v>
      </c>
    </row>
    <row r="2860" spans="14:18" x14ac:dyDescent="0.2">
      <c r="N2860" s="139" t="str">
        <f t="shared" si="51"/>
        <v>1w</v>
      </c>
      <c r="O2860" s="146">
        <f>_xll.qlCalendarAdvance(Calendar,O2859,N2860,"f",FALSE)</f>
        <v>59238</v>
      </c>
      <c r="P2860" s="140">
        <f>_xll.qlInterestRateIndexValueDate(IborIndex,O2860)</f>
        <v>59240</v>
      </c>
      <c r="Q2860" s="141" t="e">
        <v>#N/A</v>
      </c>
      <c r="R2860" s="143" t="e">
        <v>#N/A</v>
      </c>
    </row>
    <row r="2861" spans="14:18" x14ac:dyDescent="0.2">
      <c r="N2861" s="139" t="str">
        <f t="shared" si="51"/>
        <v>1w</v>
      </c>
      <c r="O2861" s="146">
        <f>_xll.qlCalendarAdvance(Calendar,O2860,N2861,"f",FALSE)</f>
        <v>59245</v>
      </c>
      <c r="P2861" s="140">
        <f>_xll.qlInterestRateIndexValueDate(IborIndex,O2861)</f>
        <v>59247</v>
      </c>
      <c r="Q2861" s="141" t="e">
        <v>#N/A</v>
      </c>
      <c r="R2861" s="143" t="e">
        <v>#N/A</v>
      </c>
    </row>
    <row r="2862" spans="14:18" x14ac:dyDescent="0.2">
      <c r="N2862" s="139" t="str">
        <f t="shared" si="51"/>
        <v>1w</v>
      </c>
      <c r="O2862" s="146">
        <f>_xll.qlCalendarAdvance(Calendar,O2861,N2862,"f",FALSE)</f>
        <v>59252</v>
      </c>
      <c r="P2862" s="140">
        <f>_xll.qlInterestRateIndexValueDate(IborIndex,O2862)</f>
        <v>59258</v>
      </c>
      <c r="Q2862" s="141" t="e">
        <v>#N/A</v>
      </c>
      <c r="R2862" s="143" t="e">
        <v>#N/A</v>
      </c>
    </row>
    <row r="2863" spans="14:18" x14ac:dyDescent="0.2">
      <c r="N2863" s="139" t="str">
        <f t="shared" si="51"/>
        <v>1w</v>
      </c>
      <c r="O2863" s="146">
        <f>_xll.qlCalendarAdvance(Calendar,O2862,N2863,"f",FALSE)</f>
        <v>59259</v>
      </c>
      <c r="P2863" s="140">
        <f>_xll.qlInterestRateIndexValueDate(IborIndex,O2863)</f>
        <v>59261</v>
      </c>
      <c r="Q2863" s="141" t="e">
        <v>#N/A</v>
      </c>
      <c r="R2863" s="143" t="e">
        <v>#N/A</v>
      </c>
    </row>
    <row r="2864" spans="14:18" x14ac:dyDescent="0.2">
      <c r="N2864" s="139" t="str">
        <f t="shared" si="51"/>
        <v>1w</v>
      </c>
      <c r="O2864" s="146">
        <f>_xll.qlCalendarAdvance(Calendar,O2863,N2864,"f",FALSE)</f>
        <v>59266</v>
      </c>
      <c r="P2864" s="140">
        <f>_xll.qlInterestRateIndexValueDate(IborIndex,O2864)</f>
        <v>59268</v>
      </c>
      <c r="Q2864" s="141" t="e">
        <v>#N/A</v>
      </c>
      <c r="R2864" s="143" t="e">
        <v>#N/A</v>
      </c>
    </row>
    <row r="2865" spans="14:18" x14ac:dyDescent="0.2">
      <c r="N2865" s="139" t="str">
        <f t="shared" si="51"/>
        <v>1w</v>
      </c>
      <c r="O2865" s="146">
        <f>_xll.qlCalendarAdvance(Calendar,O2864,N2865,"f",FALSE)</f>
        <v>59273</v>
      </c>
      <c r="P2865" s="140">
        <f>_xll.qlInterestRateIndexValueDate(IborIndex,O2865)</f>
        <v>59275</v>
      </c>
      <c r="Q2865" s="141" t="e">
        <v>#N/A</v>
      </c>
      <c r="R2865" s="143" t="e">
        <v>#N/A</v>
      </c>
    </row>
    <row r="2866" spans="14:18" x14ac:dyDescent="0.2">
      <c r="N2866" s="139" t="str">
        <f t="shared" si="51"/>
        <v>1w</v>
      </c>
      <c r="O2866" s="146">
        <f>_xll.qlCalendarAdvance(Calendar,O2865,N2866,"f",FALSE)</f>
        <v>59280</v>
      </c>
      <c r="P2866" s="140">
        <f>_xll.qlInterestRateIndexValueDate(IborIndex,O2866)</f>
        <v>59282</v>
      </c>
      <c r="Q2866" s="141" t="e">
        <v>#N/A</v>
      </c>
      <c r="R2866" s="143" t="e">
        <v>#N/A</v>
      </c>
    </row>
    <row r="2867" spans="14:18" x14ac:dyDescent="0.2">
      <c r="N2867" s="139" t="str">
        <f t="shared" si="51"/>
        <v>1w</v>
      </c>
      <c r="O2867" s="146">
        <f>_xll.qlCalendarAdvance(Calendar,O2866,N2867,"f",FALSE)</f>
        <v>59287</v>
      </c>
      <c r="P2867" s="140">
        <f>_xll.qlInterestRateIndexValueDate(IborIndex,O2867)</f>
        <v>59289</v>
      </c>
      <c r="Q2867" s="141" t="e">
        <v>#N/A</v>
      </c>
      <c r="R2867" s="143" t="e">
        <v>#N/A</v>
      </c>
    </row>
    <row r="2868" spans="14:18" x14ac:dyDescent="0.2">
      <c r="N2868" s="139" t="str">
        <f t="shared" si="51"/>
        <v>1w</v>
      </c>
      <c r="O2868" s="146">
        <f>_xll.qlCalendarAdvance(Calendar,O2867,N2868,"f",FALSE)</f>
        <v>59294</v>
      </c>
      <c r="P2868" s="140">
        <f>_xll.qlInterestRateIndexValueDate(IborIndex,O2868)</f>
        <v>59299</v>
      </c>
      <c r="Q2868" s="141" t="e">
        <v>#N/A</v>
      </c>
      <c r="R2868" s="143" t="e">
        <v>#N/A</v>
      </c>
    </row>
    <row r="2869" spans="14:18" x14ac:dyDescent="0.2">
      <c r="N2869" s="139" t="str">
        <f t="shared" si="51"/>
        <v>1w</v>
      </c>
      <c r="O2869" s="146">
        <f>_xll.qlCalendarAdvance(Calendar,O2868,N2869,"f",FALSE)</f>
        <v>59301</v>
      </c>
      <c r="P2869" s="140">
        <f>_xll.qlInterestRateIndexValueDate(IborIndex,O2869)</f>
        <v>59303</v>
      </c>
      <c r="Q2869" s="141" t="e">
        <v>#N/A</v>
      </c>
      <c r="R2869" s="143" t="e">
        <v>#N/A</v>
      </c>
    </row>
    <row r="2870" spans="14:18" x14ac:dyDescent="0.2">
      <c r="N2870" s="139" t="str">
        <f t="shared" si="51"/>
        <v>1w</v>
      </c>
      <c r="O2870" s="146">
        <f>_xll.qlCalendarAdvance(Calendar,O2869,N2870,"f",FALSE)</f>
        <v>59308</v>
      </c>
      <c r="P2870" s="140">
        <f>_xll.qlInterestRateIndexValueDate(IborIndex,O2870)</f>
        <v>59310</v>
      </c>
      <c r="Q2870" s="141" t="e">
        <v>#N/A</v>
      </c>
      <c r="R2870" s="143" t="e">
        <v>#N/A</v>
      </c>
    </row>
    <row r="2871" spans="14:18" x14ac:dyDescent="0.2">
      <c r="N2871" s="139" t="str">
        <f t="shared" si="51"/>
        <v>1w</v>
      </c>
      <c r="O2871" s="146">
        <f>_xll.qlCalendarAdvance(Calendar,O2870,N2871,"f",FALSE)</f>
        <v>59315</v>
      </c>
      <c r="P2871" s="140">
        <f>_xll.qlInterestRateIndexValueDate(IborIndex,O2871)</f>
        <v>59317</v>
      </c>
      <c r="Q2871" s="141" t="e">
        <v>#N/A</v>
      </c>
      <c r="R2871" s="143" t="e">
        <v>#N/A</v>
      </c>
    </row>
    <row r="2872" spans="14:18" x14ac:dyDescent="0.2">
      <c r="N2872" s="139" t="str">
        <f t="shared" si="51"/>
        <v>1w</v>
      </c>
      <c r="O2872" s="146">
        <f>_xll.qlCalendarAdvance(Calendar,O2871,N2872,"f",FALSE)</f>
        <v>59322</v>
      </c>
      <c r="P2872" s="140">
        <f>_xll.qlInterestRateIndexValueDate(IborIndex,O2872)</f>
        <v>59324</v>
      </c>
      <c r="Q2872" s="141" t="e">
        <v>#N/A</v>
      </c>
      <c r="R2872" s="143" t="e">
        <v>#N/A</v>
      </c>
    </row>
    <row r="2873" spans="14:18" x14ac:dyDescent="0.2">
      <c r="N2873" s="139" t="str">
        <f t="shared" si="51"/>
        <v>1w</v>
      </c>
      <c r="O2873" s="146">
        <f>_xll.qlCalendarAdvance(Calendar,O2872,N2873,"f",FALSE)</f>
        <v>59329</v>
      </c>
      <c r="P2873" s="140">
        <f>_xll.qlInterestRateIndexValueDate(IborIndex,O2873)</f>
        <v>59331</v>
      </c>
      <c r="Q2873" s="141" t="e">
        <v>#N/A</v>
      </c>
      <c r="R2873" s="143" t="e">
        <v>#N/A</v>
      </c>
    </row>
    <row r="2874" spans="14:18" x14ac:dyDescent="0.2">
      <c r="N2874" s="139" t="str">
        <f t="shared" si="51"/>
        <v>1w</v>
      </c>
      <c r="O2874" s="146">
        <f>_xll.qlCalendarAdvance(Calendar,O2873,N2874,"f",FALSE)</f>
        <v>59336</v>
      </c>
      <c r="P2874" s="140">
        <f>_xll.qlInterestRateIndexValueDate(IborIndex,O2874)</f>
        <v>59338</v>
      </c>
      <c r="Q2874" s="141" t="e">
        <v>#N/A</v>
      </c>
      <c r="R2874" s="143" t="e">
        <v>#N/A</v>
      </c>
    </row>
    <row r="2875" spans="14:18" x14ac:dyDescent="0.2">
      <c r="N2875" s="139" t="str">
        <f t="shared" si="51"/>
        <v>1w</v>
      </c>
      <c r="O2875" s="146">
        <f>_xll.qlCalendarAdvance(Calendar,O2874,N2875,"f",FALSE)</f>
        <v>59343</v>
      </c>
      <c r="P2875" s="140">
        <f>_xll.qlInterestRateIndexValueDate(IborIndex,O2875)</f>
        <v>59348</v>
      </c>
      <c r="Q2875" s="141" t="e">
        <v>#N/A</v>
      </c>
      <c r="R2875" s="143" t="e">
        <v>#N/A</v>
      </c>
    </row>
    <row r="2876" spans="14:18" x14ac:dyDescent="0.2">
      <c r="N2876" s="139" t="str">
        <f t="shared" si="51"/>
        <v>1w</v>
      </c>
      <c r="O2876" s="146">
        <f>_xll.qlCalendarAdvance(Calendar,O2875,N2876,"f",FALSE)</f>
        <v>59350</v>
      </c>
      <c r="P2876" s="140">
        <f>_xll.qlInterestRateIndexValueDate(IborIndex,O2876)</f>
        <v>59352</v>
      </c>
      <c r="Q2876" s="141" t="e">
        <v>#N/A</v>
      </c>
      <c r="R2876" s="143" t="e">
        <v>#N/A</v>
      </c>
    </row>
    <row r="2877" spans="14:18" x14ac:dyDescent="0.2">
      <c r="N2877" s="139" t="str">
        <f t="shared" si="51"/>
        <v>1w</v>
      </c>
      <c r="O2877" s="146">
        <f>_xll.qlCalendarAdvance(Calendar,O2876,N2877,"f",FALSE)</f>
        <v>59357</v>
      </c>
      <c r="P2877" s="140">
        <f>_xll.qlInterestRateIndexValueDate(IborIndex,O2877)</f>
        <v>59359</v>
      </c>
      <c r="Q2877" s="141" t="e">
        <v>#N/A</v>
      </c>
      <c r="R2877" s="143" t="e">
        <v>#N/A</v>
      </c>
    </row>
    <row r="2878" spans="14:18" x14ac:dyDescent="0.2">
      <c r="N2878" s="139" t="str">
        <f t="shared" si="51"/>
        <v>1w</v>
      </c>
      <c r="O2878" s="146">
        <f>_xll.qlCalendarAdvance(Calendar,O2877,N2878,"f",FALSE)</f>
        <v>59364</v>
      </c>
      <c r="P2878" s="140">
        <f>_xll.qlInterestRateIndexValueDate(IborIndex,O2878)</f>
        <v>59366</v>
      </c>
      <c r="Q2878" s="141" t="e">
        <v>#N/A</v>
      </c>
      <c r="R2878" s="143" t="e">
        <v>#N/A</v>
      </c>
    </row>
    <row r="2879" spans="14:18" x14ac:dyDescent="0.2">
      <c r="N2879" s="139" t="str">
        <f t="shared" si="51"/>
        <v>1w</v>
      </c>
      <c r="O2879" s="146">
        <f>_xll.qlCalendarAdvance(Calendar,O2878,N2879,"f",FALSE)</f>
        <v>59371</v>
      </c>
      <c r="P2879" s="140">
        <f>_xll.qlInterestRateIndexValueDate(IborIndex,O2879)</f>
        <v>59373</v>
      </c>
      <c r="Q2879" s="141" t="e">
        <v>#N/A</v>
      </c>
      <c r="R2879" s="143" t="e">
        <v>#N/A</v>
      </c>
    </row>
    <row r="2880" spans="14:18" x14ac:dyDescent="0.2">
      <c r="N2880" s="139" t="str">
        <f t="shared" si="51"/>
        <v>1w</v>
      </c>
      <c r="O2880" s="146">
        <f>_xll.qlCalendarAdvance(Calendar,O2879,N2880,"f",FALSE)</f>
        <v>59378</v>
      </c>
      <c r="P2880" s="140">
        <f>_xll.qlInterestRateIndexValueDate(IborIndex,O2880)</f>
        <v>59380</v>
      </c>
      <c r="Q2880" s="141" t="e">
        <v>#N/A</v>
      </c>
      <c r="R2880" s="143" t="e">
        <v>#N/A</v>
      </c>
    </row>
    <row r="2881" spans="14:18" x14ac:dyDescent="0.2">
      <c r="N2881" s="139" t="str">
        <f t="shared" si="51"/>
        <v>1w</v>
      </c>
      <c r="O2881" s="146">
        <f>_xll.qlCalendarAdvance(Calendar,O2880,N2881,"f",FALSE)</f>
        <v>59385</v>
      </c>
      <c r="P2881" s="140">
        <f>_xll.qlInterestRateIndexValueDate(IborIndex,O2881)</f>
        <v>59387</v>
      </c>
      <c r="Q2881" s="141" t="e">
        <v>#N/A</v>
      </c>
      <c r="R2881" s="143" t="e">
        <v>#N/A</v>
      </c>
    </row>
    <row r="2882" spans="14:18" x14ac:dyDescent="0.2">
      <c r="N2882" s="139" t="str">
        <f t="shared" si="51"/>
        <v>1w</v>
      </c>
      <c r="O2882" s="146">
        <f>_xll.qlCalendarAdvance(Calendar,O2881,N2882,"f",FALSE)</f>
        <v>59392</v>
      </c>
      <c r="P2882" s="140">
        <f>_xll.qlInterestRateIndexValueDate(IborIndex,O2882)</f>
        <v>59394</v>
      </c>
      <c r="Q2882" s="141" t="e">
        <v>#N/A</v>
      </c>
      <c r="R2882" s="143" t="e">
        <v>#N/A</v>
      </c>
    </row>
    <row r="2883" spans="14:18" x14ac:dyDescent="0.2">
      <c r="N2883" s="139" t="str">
        <f t="shared" si="51"/>
        <v>1w</v>
      </c>
      <c r="O2883" s="146">
        <f>_xll.qlCalendarAdvance(Calendar,O2882,N2883,"f",FALSE)</f>
        <v>59399</v>
      </c>
      <c r="P2883" s="140">
        <f>_xll.qlInterestRateIndexValueDate(IborIndex,O2883)</f>
        <v>59401</v>
      </c>
      <c r="Q2883" s="141" t="e">
        <v>#N/A</v>
      </c>
      <c r="R2883" s="143" t="e">
        <v>#N/A</v>
      </c>
    </row>
    <row r="2884" spans="14:18" x14ac:dyDescent="0.2">
      <c r="N2884" s="139" t="str">
        <f t="shared" si="51"/>
        <v>1w</v>
      </c>
      <c r="O2884" s="146">
        <f>_xll.qlCalendarAdvance(Calendar,O2883,N2884,"f",FALSE)</f>
        <v>59406</v>
      </c>
      <c r="P2884" s="140">
        <f>_xll.qlInterestRateIndexValueDate(IborIndex,O2884)</f>
        <v>59408</v>
      </c>
      <c r="Q2884" s="141" t="e">
        <v>#N/A</v>
      </c>
      <c r="R2884" s="143" t="e">
        <v>#N/A</v>
      </c>
    </row>
    <row r="2885" spans="14:18" x14ac:dyDescent="0.2">
      <c r="N2885" s="139" t="str">
        <f t="shared" si="51"/>
        <v>1w</v>
      </c>
      <c r="O2885" s="146">
        <f>_xll.qlCalendarAdvance(Calendar,O2884,N2885,"f",FALSE)</f>
        <v>59413</v>
      </c>
      <c r="P2885" s="140">
        <f>_xll.qlInterestRateIndexValueDate(IborIndex,O2885)</f>
        <v>59415</v>
      </c>
      <c r="Q2885" s="141" t="e">
        <v>#N/A</v>
      </c>
      <c r="R2885" s="143" t="e">
        <v>#N/A</v>
      </c>
    </row>
    <row r="2886" spans="14:18" x14ac:dyDescent="0.2">
      <c r="N2886" s="139" t="str">
        <f t="shared" si="51"/>
        <v>1w</v>
      </c>
      <c r="O2886" s="146">
        <f>_xll.qlCalendarAdvance(Calendar,O2885,N2886,"f",FALSE)</f>
        <v>59420</v>
      </c>
      <c r="P2886" s="140">
        <f>_xll.qlInterestRateIndexValueDate(IborIndex,O2886)</f>
        <v>59422</v>
      </c>
      <c r="Q2886" s="141" t="e">
        <v>#N/A</v>
      </c>
      <c r="R2886" s="143" t="e">
        <v>#N/A</v>
      </c>
    </row>
    <row r="2887" spans="14:18" x14ac:dyDescent="0.2">
      <c r="N2887" s="139" t="str">
        <f t="shared" si="51"/>
        <v>1w</v>
      </c>
      <c r="O2887" s="146">
        <f>_xll.qlCalendarAdvance(Calendar,O2886,N2887,"f",FALSE)</f>
        <v>59427</v>
      </c>
      <c r="P2887" s="140">
        <f>_xll.qlInterestRateIndexValueDate(IborIndex,O2887)</f>
        <v>59429</v>
      </c>
      <c r="Q2887" s="141" t="e">
        <v>#N/A</v>
      </c>
      <c r="R2887" s="143" t="e">
        <v>#N/A</v>
      </c>
    </row>
    <row r="2888" spans="14:18" x14ac:dyDescent="0.2">
      <c r="N2888" s="139" t="str">
        <f t="shared" si="51"/>
        <v>1w</v>
      </c>
      <c r="O2888" s="146">
        <f>_xll.qlCalendarAdvance(Calendar,O2887,N2888,"f",FALSE)</f>
        <v>59434</v>
      </c>
      <c r="P2888" s="140">
        <f>_xll.qlInterestRateIndexValueDate(IborIndex,O2888)</f>
        <v>59436</v>
      </c>
      <c r="Q2888" s="141" t="e">
        <v>#N/A</v>
      </c>
      <c r="R2888" s="143" t="e">
        <v>#N/A</v>
      </c>
    </row>
    <row r="2889" spans="14:18" x14ac:dyDescent="0.2">
      <c r="N2889" s="139" t="str">
        <f t="shared" si="51"/>
        <v>1w</v>
      </c>
      <c r="O2889" s="146">
        <f>_xll.qlCalendarAdvance(Calendar,O2888,N2889,"f",FALSE)</f>
        <v>59441</v>
      </c>
      <c r="P2889" s="140">
        <f>_xll.qlInterestRateIndexValueDate(IborIndex,O2889)</f>
        <v>59443</v>
      </c>
      <c r="Q2889" s="141" t="e">
        <v>#N/A</v>
      </c>
      <c r="R2889" s="143" t="e">
        <v>#N/A</v>
      </c>
    </row>
    <row r="2890" spans="14:18" x14ac:dyDescent="0.2">
      <c r="N2890" s="139" t="str">
        <f t="shared" si="51"/>
        <v>1w</v>
      </c>
      <c r="O2890" s="146">
        <f>_xll.qlCalendarAdvance(Calendar,O2889,N2890,"f",FALSE)</f>
        <v>59448</v>
      </c>
      <c r="P2890" s="140">
        <f>_xll.qlInterestRateIndexValueDate(IborIndex,O2890)</f>
        <v>59450</v>
      </c>
      <c r="Q2890" s="141" t="e">
        <v>#N/A</v>
      </c>
      <c r="R2890" s="143" t="e">
        <v>#N/A</v>
      </c>
    </row>
    <row r="2891" spans="14:18" x14ac:dyDescent="0.2">
      <c r="N2891" s="139" t="str">
        <f t="shared" si="51"/>
        <v>1w</v>
      </c>
      <c r="O2891" s="146">
        <f>_xll.qlCalendarAdvance(Calendar,O2890,N2891,"f",FALSE)</f>
        <v>59455</v>
      </c>
      <c r="P2891" s="140">
        <f>_xll.qlInterestRateIndexValueDate(IborIndex,O2891)</f>
        <v>59457</v>
      </c>
      <c r="Q2891" s="141" t="e">
        <v>#N/A</v>
      </c>
      <c r="R2891" s="143" t="e">
        <v>#N/A</v>
      </c>
    </row>
    <row r="2892" spans="14:18" x14ac:dyDescent="0.2">
      <c r="N2892" s="139" t="str">
        <f t="shared" si="51"/>
        <v>1w</v>
      </c>
      <c r="O2892" s="146">
        <f>_xll.qlCalendarAdvance(Calendar,O2891,N2892,"f",FALSE)</f>
        <v>59462</v>
      </c>
      <c r="P2892" s="140">
        <f>_xll.qlInterestRateIndexValueDate(IborIndex,O2892)</f>
        <v>59464</v>
      </c>
      <c r="Q2892" s="141" t="e">
        <v>#N/A</v>
      </c>
      <c r="R2892" s="143" t="e">
        <v>#N/A</v>
      </c>
    </row>
    <row r="2893" spans="14:18" x14ac:dyDescent="0.2">
      <c r="N2893" s="139" t="str">
        <f t="shared" si="51"/>
        <v>1w</v>
      </c>
      <c r="O2893" s="146">
        <f>_xll.qlCalendarAdvance(Calendar,O2892,N2893,"f",FALSE)</f>
        <v>59469</v>
      </c>
      <c r="P2893" s="140">
        <f>_xll.qlInterestRateIndexValueDate(IborIndex,O2893)</f>
        <v>59471</v>
      </c>
      <c r="Q2893" s="141" t="e">
        <v>#N/A</v>
      </c>
      <c r="R2893" s="143" t="e">
        <v>#N/A</v>
      </c>
    </row>
    <row r="2894" spans="14:18" x14ac:dyDescent="0.2">
      <c r="N2894" s="139" t="str">
        <f t="shared" si="51"/>
        <v>1w</v>
      </c>
      <c r="O2894" s="146">
        <f>_xll.qlCalendarAdvance(Calendar,O2893,N2894,"f",FALSE)</f>
        <v>59476</v>
      </c>
      <c r="P2894" s="140">
        <f>_xll.qlInterestRateIndexValueDate(IborIndex,O2894)</f>
        <v>59478</v>
      </c>
      <c r="Q2894" s="141" t="e">
        <v>#N/A</v>
      </c>
      <c r="R2894" s="143" t="e">
        <v>#N/A</v>
      </c>
    </row>
    <row r="2895" spans="14:18" x14ac:dyDescent="0.2">
      <c r="N2895" s="139" t="str">
        <f t="shared" si="51"/>
        <v>1w</v>
      </c>
      <c r="O2895" s="146">
        <f>_xll.qlCalendarAdvance(Calendar,O2894,N2895,"f",FALSE)</f>
        <v>59483</v>
      </c>
      <c r="P2895" s="140">
        <f>_xll.qlInterestRateIndexValueDate(IborIndex,O2895)</f>
        <v>59485</v>
      </c>
      <c r="Q2895" s="141" t="e">
        <v>#N/A</v>
      </c>
      <c r="R2895" s="143" t="e">
        <v>#N/A</v>
      </c>
    </row>
    <row r="2896" spans="14:18" x14ac:dyDescent="0.2">
      <c r="N2896" s="139" t="str">
        <f t="shared" si="51"/>
        <v>1w</v>
      </c>
      <c r="O2896" s="146">
        <f>_xll.qlCalendarAdvance(Calendar,O2895,N2896,"f",FALSE)</f>
        <v>59490</v>
      </c>
      <c r="P2896" s="140">
        <f>_xll.qlInterestRateIndexValueDate(IborIndex,O2896)</f>
        <v>59492</v>
      </c>
      <c r="Q2896" s="141" t="e">
        <v>#N/A</v>
      </c>
      <c r="R2896" s="143" t="e">
        <v>#N/A</v>
      </c>
    </row>
    <row r="2897" spans="14:18" x14ac:dyDescent="0.2">
      <c r="N2897" s="139" t="str">
        <f t="shared" si="51"/>
        <v>1w</v>
      </c>
      <c r="O2897" s="146">
        <f>_xll.qlCalendarAdvance(Calendar,O2896,N2897,"f",FALSE)</f>
        <v>59497</v>
      </c>
      <c r="P2897" s="140">
        <f>_xll.qlInterestRateIndexValueDate(IborIndex,O2897)</f>
        <v>59499</v>
      </c>
      <c r="Q2897" s="141" t="e">
        <v>#N/A</v>
      </c>
      <c r="R2897" s="143" t="e">
        <v>#N/A</v>
      </c>
    </row>
    <row r="2898" spans="14:18" x14ac:dyDescent="0.2">
      <c r="N2898" s="139" t="str">
        <f t="shared" si="51"/>
        <v>1w</v>
      </c>
      <c r="O2898" s="146">
        <f>_xll.qlCalendarAdvance(Calendar,O2897,N2898,"f",FALSE)</f>
        <v>59504</v>
      </c>
      <c r="P2898" s="140">
        <f>_xll.qlInterestRateIndexValueDate(IborIndex,O2898)</f>
        <v>59506</v>
      </c>
      <c r="Q2898" s="141" t="e">
        <v>#N/A</v>
      </c>
      <c r="R2898" s="143" t="e">
        <v>#N/A</v>
      </c>
    </row>
    <row r="2899" spans="14:18" x14ac:dyDescent="0.2">
      <c r="N2899" s="139" t="str">
        <f t="shared" si="51"/>
        <v>1w</v>
      </c>
      <c r="O2899" s="146">
        <f>_xll.qlCalendarAdvance(Calendar,O2898,N2899,"f",FALSE)</f>
        <v>59511</v>
      </c>
      <c r="P2899" s="140">
        <f>_xll.qlInterestRateIndexValueDate(IborIndex,O2899)</f>
        <v>59513</v>
      </c>
      <c r="Q2899" s="141" t="e">
        <v>#N/A</v>
      </c>
      <c r="R2899" s="143" t="e">
        <v>#N/A</v>
      </c>
    </row>
    <row r="2900" spans="14:18" x14ac:dyDescent="0.2">
      <c r="N2900" s="139" t="str">
        <f t="shared" si="51"/>
        <v>1w</v>
      </c>
      <c r="O2900" s="146">
        <f>_xll.qlCalendarAdvance(Calendar,O2899,N2900,"f",FALSE)</f>
        <v>59518</v>
      </c>
      <c r="P2900" s="140">
        <f>_xll.qlInterestRateIndexValueDate(IborIndex,O2900)</f>
        <v>59520</v>
      </c>
      <c r="Q2900" s="141" t="e">
        <v>#N/A</v>
      </c>
      <c r="R2900" s="143" t="e">
        <v>#N/A</v>
      </c>
    </row>
    <row r="2901" spans="14:18" x14ac:dyDescent="0.2">
      <c r="N2901" s="139" t="str">
        <f t="shared" ref="N2901:N2964" si="52">N2900</f>
        <v>1w</v>
      </c>
      <c r="O2901" s="146">
        <f>_xll.qlCalendarAdvance(Calendar,O2900,N2901,"f",FALSE)</f>
        <v>59525</v>
      </c>
      <c r="P2901" s="140">
        <f>_xll.qlInterestRateIndexValueDate(IborIndex,O2901)</f>
        <v>59527</v>
      </c>
      <c r="Q2901" s="141" t="e">
        <v>#N/A</v>
      </c>
      <c r="R2901" s="143" t="e">
        <v>#N/A</v>
      </c>
    </row>
    <row r="2902" spans="14:18" x14ac:dyDescent="0.2">
      <c r="N2902" s="139" t="str">
        <f t="shared" si="52"/>
        <v>1w</v>
      </c>
      <c r="O2902" s="146">
        <f>_xll.qlCalendarAdvance(Calendar,O2901,N2902,"f",FALSE)</f>
        <v>59532</v>
      </c>
      <c r="P2902" s="140">
        <f>_xll.qlInterestRateIndexValueDate(IborIndex,O2902)</f>
        <v>59534</v>
      </c>
      <c r="Q2902" s="141" t="e">
        <v>#N/A</v>
      </c>
      <c r="R2902" s="143" t="e">
        <v>#N/A</v>
      </c>
    </row>
    <row r="2903" spans="14:18" x14ac:dyDescent="0.2">
      <c r="N2903" s="139" t="str">
        <f t="shared" si="52"/>
        <v>1w</v>
      </c>
      <c r="O2903" s="146">
        <f>_xll.qlCalendarAdvance(Calendar,O2902,N2903,"f",FALSE)</f>
        <v>59539</v>
      </c>
      <c r="P2903" s="140">
        <f>_xll.qlInterestRateIndexValueDate(IborIndex,O2903)</f>
        <v>59541</v>
      </c>
      <c r="Q2903" s="141" t="e">
        <v>#N/A</v>
      </c>
      <c r="R2903" s="143" t="e">
        <v>#N/A</v>
      </c>
    </row>
    <row r="2904" spans="14:18" x14ac:dyDescent="0.2">
      <c r="N2904" s="139" t="str">
        <f t="shared" si="52"/>
        <v>1w</v>
      </c>
      <c r="O2904" s="146">
        <f>_xll.qlCalendarAdvance(Calendar,O2903,N2904,"f",FALSE)</f>
        <v>59546</v>
      </c>
      <c r="P2904" s="140">
        <f>_xll.qlInterestRateIndexValueDate(IborIndex,O2904)</f>
        <v>59548</v>
      </c>
      <c r="Q2904" s="141" t="e">
        <v>#N/A</v>
      </c>
      <c r="R2904" s="143" t="e">
        <v>#N/A</v>
      </c>
    </row>
    <row r="2905" spans="14:18" x14ac:dyDescent="0.2">
      <c r="N2905" s="139" t="str">
        <f t="shared" si="52"/>
        <v>1w</v>
      </c>
      <c r="O2905" s="146">
        <f>_xll.qlCalendarAdvance(Calendar,O2904,N2905,"f",FALSE)</f>
        <v>59553</v>
      </c>
      <c r="P2905" s="140">
        <f>_xll.qlInterestRateIndexValueDate(IborIndex,O2905)</f>
        <v>59555</v>
      </c>
      <c r="Q2905" s="141" t="e">
        <v>#N/A</v>
      </c>
      <c r="R2905" s="143" t="e">
        <v>#N/A</v>
      </c>
    </row>
    <row r="2906" spans="14:18" x14ac:dyDescent="0.2">
      <c r="N2906" s="139" t="str">
        <f t="shared" si="52"/>
        <v>1w</v>
      </c>
      <c r="O2906" s="146">
        <f>_xll.qlCalendarAdvance(Calendar,O2905,N2906,"f",FALSE)</f>
        <v>59560</v>
      </c>
      <c r="P2906" s="140">
        <f>_xll.qlInterestRateIndexValueDate(IborIndex,O2906)</f>
        <v>59562</v>
      </c>
      <c r="Q2906" s="141" t="e">
        <v>#N/A</v>
      </c>
      <c r="R2906" s="143" t="e">
        <v>#N/A</v>
      </c>
    </row>
    <row r="2907" spans="14:18" x14ac:dyDescent="0.2">
      <c r="N2907" s="139" t="str">
        <f t="shared" si="52"/>
        <v>1w</v>
      </c>
      <c r="O2907" s="146">
        <f>_xll.qlCalendarAdvance(Calendar,O2906,N2907,"f",FALSE)</f>
        <v>59567</v>
      </c>
      <c r="P2907" s="140">
        <f>_xll.qlInterestRateIndexValueDate(IborIndex,O2907)</f>
        <v>59569</v>
      </c>
      <c r="Q2907" s="141" t="e">
        <v>#N/A</v>
      </c>
      <c r="R2907" s="143" t="e">
        <v>#N/A</v>
      </c>
    </row>
    <row r="2908" spans="14:18" x14ac:dyDescent="0.2">
      <c r="N2908" s="139" t="str">
        <f t="shared" si="52"/>
        <v>1w</v>
      </c>
      <c r="O2908" s="146">
        <f>_xll.qlCalendarAdvance(Calendar,O2907,N2908,"f",FALSE)</f>
        <v>59574</v>
      </c>
      <c r="P2908" s="140">
        <f>_xll.qlInterestRateIndexValueDate(IborIndex,O2908)</f>
        <v>59576</v>
      </c>
      <c r="Q2908" s="141" t="e">
        <v>#N/A</v>
      </c>
      <c r="R2908" s="143" t="e">
        <v>#N/A</v>
      </c>
    </row>
    <row r="2909" spans="14:18" x14ac:dyDescent="0.2">
      <c r="N2909" s="139" t="str">
        <f t="shared" si="52"/>
        <v>1w</v>
      </c>
      <c r="O2909" s="146">
        <f>_xll.qlCalendarAdvance(Calendar,O2908,N2909,"f",FALSE)</f>
        <v>59581</v>
      </c>
      <c r="P2909" s="140">
        <f>_xll.qlInterestRateIndexValueDate(IborIndex,O2909)</f>
        <v>59583</v>
      </c>
      <c r="Q2909" s="141" t="e">
        <v>#N/A</v>
      </c>
      <c r="R2909" s="143" t="e">
        <v>#N/A</v>
      </c>
    </row>
    <row r="2910" spans="14:18" x14ac:dyDescent="0.2">
      <c r="N2910" s="139" t="str">
        <f t="shared" si="52"/>
        <v>1w</v>
      </c>
      <c r="O2910" s="146">
        <f>_xll.qlCalendarAdvance(Calendar,O2909,N2910,"f",FALSE)</f>
        <v>59588</v>
      </c>
      <c r="P2910" s="140">
        <f>_xll.qlInterestRateIndexValueDate(IborIndex,O2910)</f>
        <v>59590</v>
      </c>
      <c r="Q2910" s="141" t="e">
        <v>#N/A</v>
      </c>
      <c r="R2910" s="143" t="e">
        <v>#N/A</v>
      </c>
    </row>
    <row r="2911" spans="14:18" x14ac:dyDescent="0.2">
      <c r="N2911" s="139" t="str">
        <f t="shared" si="52"/>
        <v>1w</v>
      </c>
      <c r="O2911" s="146">
        <f>_xll.qlCalendarAdvance(Calendar,O2910,N2911,"f",FALSE)</f>
        <v>59595</v>
      </c>
      <c r="P2911" s="140">
        <f>_xll.qlInterestRateIndexValueDate(IborIndex,O2911)</f>
        <v>59597</v>
      </c>
      <c r="Q2911" s="141" t="e">
        <v>#N/A</v>
      </c>
      <c r="R2911" s="143" t="e">
        <v>#N/A</v>
      </c>
    </row>
    <row r="2912" spans="14:18" x14ac:dyDescent="0.2">
      <c r="N2912" s="139" t="str">
        <f t="shared" si="52"/>
        <v>1w</v>
      </c>
      <c r="O2912" s="146">
        <f>_xll.qlCalendarAdvance(Calendar,O2911,N2912,"f",FALSE)</f>
        <v>59602</v>
      </c>
      <c r="P2912" s="140">
        <f>_xll.qlInterestRateIndexValueDate(IborIndex,O2912)</f>
        <v>59604</v>
      </c>
      <c r="Q2912" s="141" t="e">
        <v>#N/A</v>
      </c>
      <c r="R2912" s="143" t="e">
        <v>#N/A</v>
      </c>
    </row>
    <row r="2913" spans="14:18" x14ac:dyDescent="0.2">
      <c r="N2913" s="139" t="str">
        <f t="shared" si="52"/>
        <v>1w</v>
      </c>
      <c r="O2913" s="146">
        <f>_xll.qlCalendarAdvance(Calendar,O2912,N2913,"f",FALSE)</f>
        <v>59609</v>
      </c>
      <c r="P2913" s="140">
        <f>_xll.qlInterestRateIndexValueDate(IborIndex,O2913)</f>
        <v>59611</v>
      </c>
      <c r="Q2913" s="141" t="e">
        <v>#N/A</v>
      </c>
      <c r="R2913" s="143" t="e">
        <v>#N/A</v>
      </c>
    </row>
    <row r="2914" spans="14:18" x14ac:dyDescent="0.2">
      <c r="N2914" s="139" t="str">
        <f t="shared" si="52"/>
        <v>1w</v>
      </c>
      <c r="O2914" s="146">
        <f>_xll.qlCalendarAdvance(Calendar,O2913,N2914,"f",FALSE)</f>
        <v>59616</v>
      </c>
      <c r="P2914" s="140">
        <f>_xll.qlInterestRateIndexValueDate(IborIndex,O2914)</f>
        <v>59618</v>
      </c>
      <c r="Q2914" s="141" t="e">
        <v>#N/A</v>
      </c>
      <c r="R2914" s="143" t="e">
        <v>#N/A</v>
      </c>
    </row>
    <row r="2915" spans="14:18" x14ac:dyDescent="0.2">
      <c r="N2915" s="139" t="str">
        <f t="shared" si="52"/>
        <v>1w</v>
      </c>
      <c r="O2915" s="146">
        <f>_xll.qlCalendarAdvance(Calendar,O2914,N2915,"f",FALSE)</f>
        <v>59623</v>
      </c>
      <c r="P2915" s="140">
        <f>_xll.qlInterestRateIndexValueDate(IborIndex,O2915)</f>
        <v>59625</v>
      </c>
      <c r="Q2915" s="141" t="e">
        <v>#N/A</v>
      </c>
      <c r="R2915" s="143" t="e">
        <v>#N/A</v>
      </c>
    </row>
    <row r="2916" spans="14:18" x14ac:dyDescent="0.2">
      <c r="N2916" s="139" t="str">
        <f t="shared" si="52"/>
        <v>1w</v>
      </c>
      <c r="O2916" s="146">
        <f>_xll.qlCalendarAdvance(Calendar,O2915,N2916,"f",FALSE)</f>
        <v>59630</v>
      </c>
      <c r="P2916" s="140">
        <f>_xll.qlInterestRateIndexValueDate(IborIndex,O2916)</f>
        <v>59632</v>
      </c>
      <c r="Q2916" s="141" t="e">
        <v>#N/A</v>
      </c>
      <c r="R2916" s="143" t="e">
        <v>#N/A</v>
      </c>
    </row>
    <row r="2917" spans="14:18" x14ac:dyDescent="0.2">
      <c r="N2917" s="139" t="str">
        <f t="shared" si="52"/>
        <v>1w</v>
      </c>
      <c r="O2917" s="146">
        <f>_xll.qlCalendarAdvance(Calendar,O2916,N2917,"f",FALSE)</f>
        <v>59637</v>
      </c>
      <c r="P2917" s="140">
        <f>_xll.qlInterestRateIndexValueDate(IborIndex,O2917)</f>
        <v>59643</v>
      </c>
      <c r="Q2917" s="141" t="e">
        <v>#N/A</v>
      </c>
      <c r="R2917" s="143" t="e">
        <v>#N/A</v>
      </c>
    </row>
    <row r="2918" spans="14:18" x14ac:dyDescent="0.2">
      <c r="N2918" s="139" t="str">
        <f t="shared" si="52"/>
        <v>1w</v>
      </c>
      <c r="O2918" s="146">
        <f>_xll.qlCalendarAdvance(Calendar,O2917,N2918,"f",FALSE)</f>
        <v>59644</v>
      </c>
      <c r="P2918" s="140">
        <f>_xll.qlInterestRateIndexValueDate(IborIndex,O2918)</f>
        <v>59646</v>
      </c>
      <c r="Q2918" s="141" t="e">
        <v>#N/A</v>
      </c>
      <c r="R2918" s="143" t="e">
        <v>#N/A</v>
      </c>
    </row>
    <row r="2919" spans="14:18" x14ac:dyDescent="0.2">
      <c r="N2919" s="139" t="str">
        <f t="shared" si="52"/>
        <v>1w</v>
      </c>
      <c r="O2919" s="146">
        <f>_xll.qlCalendarAdvance(Calendar,O2918,N2919,"f",FALSE)</f>
        <v>59651</v>
      </c>
      <c r="P2919" s="140">
        <f>_xll.qlInterestRateIndexValueDate(IborIndex,O2919)</f>
        <v>59653</v>
      </c>
      <c r="Q2919" s="141" t="e">
        <v>#N/A</v>
      </c>
      <c r="R2919" s="143" t="e">
        <v>#N/A</v>
      </c>
    </row>
    <row r="2920" spans="14:18" x14ac:dyDescent="0.2">
      <c r="N2920" s="139" t="str">
        <f t="shared" si="52"/>
        <v>1w</v>
      </c>
      <c r="O2920" s="146">
        <f>_xll.qlCalendarAdvance(Calendar,O2919,N2920,"f",FALSE)</f>
        <v>59658</v>
      </c>
      <c r="P2920" s="140">
        <f>_xll.qlInterestRateIndexValueDate(IborIndex,O2920)</f>
        <v>59660</v>
      </c>
      <c r="Q2920" s="141" t="e">
        <v>#N/A</v>
      </c>
      <c r="R2920" s="143" t="e">
        <v>#N/A</v>
      </c>
    </row>
    <row r="2921" spans="14:18" x14ac:dyDescent="0.2">
      <c r="N2921" s="139" t="str">
        <f t="shared" si="52"/>
        <v>1w</v>
      </c>
      <c r="O2921" s="146">
        <f>_xll.qlCalendarAdvance(Calendar,O2920,N2921,"f",FALSE)</f>
        <v>59665</v>
      </c>
      <c r="P2921" s="140">
        <f>_xll.qlInterestRateIndexValueDate(IborIndex,O2921)</f>
        <v>59667</v>
      </c>
      <c r="Q2921" s="141" t="e">
        <v>#N/A</v>
      </c>
      <c r="R2921" s="143" t="e">
        <v>#N/A</v>
      </c>
    </row>
    <row r="2922" spans="14:18" x14ac:dyDescent="0.2">
      <c r="N2922" s="139" t="str">
        <f t="shared" si="52"/>
        <v>1w</v>
      </c>
      <c r="O2922" s="146">
        <f>_xll.qlCalendarAdvance(Calendar,O2921,N2922,"f",FALSE)</f>
        <v>59672</v>
      </c>
      <c r="P2922" s="140">
        <f>_xll.qlInterestRateIndexValueDate(IborIndex,O2922)</f>
        <v>59674</v>
      </c>
      <c r="Q2922" s="141" t="e">
        <v>#N/A</v>
      </c>
      <c r="R2922" s="143" t="e">
        <v>#N/A</v>
      </c>
    </row>
    <row r="2923" spans="14:18" x14ac:dyDescent="0.2">
      <c r="N2923" s="139" t="str">
        <f t="shared" si="52"/>
        <v>1w</v>
      </c>
      <c r="O2923" s="146">
        <f>_xll.qlCalendarAdvance(Calendar,O2922,N2923,"f",FALSE)</f>
        <v>59679</v>
      </c>
      <c r="P2923" s="140">
        <f>_xll.qlInterestRateIndexValueDate(IborIndex,O2923)</f>
        <v>59684</v>
      </c>
      <c r="Q2923" s="141" t="e">
        <v>#N/A</v>
      </c>
      <c r="R2923" s="143" t="e">
        <v>#N/A</v>
      </c>
    </row>
    <row r="2924" spans="14:18" x14ac:dyDescent="0.2">
      <c r="N2924" s="139" t="str">
        <f t="shared" si="52"/>
        <v>1w</v>
      </c>
      <c r="O2924" s="146">
        <f>_xll.qlCalendarAdvance(Calendar,O2923,N2924,"f",FALSE)</f>
        <v>59686</v>
      </c>
      <c r="P2924" s="140">
        <f>_xll.qlInterestRateIndexValueDate(IborIndex,O2924)</f>
        <v>59688</v>
      </c>
      <c r="Q2924" s="141" t="e">
        <v>#N/A</v>
      </c>
      <c r="R2924" s="143" t="e">
        <v>#N/A</v>
      </c>
    </row>
    <row r="2925" spans="14:18" x14ac:dyDescent="0.2">
      <c r="N2925" s="139" t="str">
        <f t="shared" si="52"/>
        <v>1w</v>
      </c>
      <c r="O2925" s="146">
        <f>_xll.qlCalendarAdvance(Calendar,O2924,N2925,"f",FALSE)</f>
        <v>59693</v>
      </c>
      <c r="P2925" s="140">
        <f>_xll.qlInterestRateIndexValueDate(IborIndex,O2925)</f>
        <v>59695</v>
      </c>
      <c r="Q2925" s="141" t="e">
        <v>#N/A</v>
      </c>
      <c r="R2925" s="143" t="e">
        <v>#N/A</v>
      </c>
    </row>
    <row r="2926" spans="14:18" x14ac:dyDescent="0.2">
      <c r="N2926" s="139" t="str">
        <f t="shared" si="52"/>
        <v>1w</v>
      </c>
      <c r="O2926" s="146">
        <f>_xll.qlCalendarAdvance(Calendar,O2925,N2926,"f",FALSE)</f>
        <v>59700</v>
      </c>
      <c r="P2926" s="140">
        <f>_xll.qlInterestRateIndexValueDate(IborIndex,O2926)</f>
        <v>59702</v>
      </c>
      <c r="Q2926" s="141" t="e">
        <v>#N/A</v>
      </c>
      <c r="R2926" s="143" t="e">
        <v>#N/A</v>
      </c>
    </row>
    <row r="2927" spans="14:18" x14ac:dyDescent="0.2">
      <c r="N2927" s="139" t="str">
        <f t="shared" si="52"/>
        <v>1w</v>
      </c>
      <c r="O2927" s="146">
        <f>_xll.qlCalendarAdvance(Calendar,O2926,N2927,"f",FALSE)</f>
        <v>59707</v>
      </c>
      <c r="P2927" s="140">
        <f>_xll.qlInterestRateIndexValueDate(IborIndex,O2927)</f>
        <v>59712</v>
      </c>
      <c r="Q2927" s="141" t="e">
        <v>#N/A</v>
      </c>
      <c r="R2927" s="143" t="e">
        <v>#N/A</v>
      </c>
    </row>
    <row r="2928" spans="14:18" x14ac:dyDescent="0.2">
      <c r="N2928" s="139" t="str">
        <f t="shared" si="52"/>
        <v>1w</v>
      </c>
      <c r="O2928" s="146">
        <f>_xll.qlCalendarAdvance(Calendar,O2927,N2928,"f",FALSE)</f>
        <v>59714</v>
      </c>
      <c r="P2928" s="140">
        <f>_xll.qlInterestRateIndexValueDate(IborIndex,O2928)</f>
        <v>59716</v>
      </c>
      <c r="Q2928" s="141" t="e">
        <v>#N/A</v>
      </c>
      <c r="R2928" s="143" t="e">
        <v>#N/A</v>
      </c>
    </row>
    <row r="2929" spans="14:18" x14ac:dyDescent="0.2">
      <c r="N2929" s="139" t="str">
        <f t="shared" si="52"/>
        <v>1w</v>
      </c>
      <c r="O2929" s="146">
        <f>_xll.qlCalendarAdvance(Calendar,O2928,N2929,"f",FALSE)</f>
        <v>59721</v>
      </c>
      <c r="P2929" s="140">
        <f>_xll.qlInterestRateIndexValueDate(IborIndex,O2929)</f>
        <v>59723</v>
      </c>
      <c r="Q2929" s="141" t="e">
        <v>#N/A</v>
      </c>
      <c r="R2929" s="143" t="e">
        <v>#N/A</v>
      </c>
    </row>
    <row r="2930" spans="14:18" x14ac:dyDescent="0.2">
      <c r="N2930" s="139" t="str">
        <f t="shared" si="52"/>
        <v>1w</v>
      </c>
      <c r="O2930" s="146">
        <f>_xll.qlCalendarAdvance(Calendar,O2929,N2930,"f",FALSE)</f>
        <v>59728</v>
      </c>
      <c r="P2930" s="140">
        <f>_xll.qlInterestRateIndexValueDate(IborIndex,O2930)</f>
        <v>59730</v>
      </c>
      <c r="Q2930" s="141" t="e">
        <v>#N/A</v>
      </c>
      <c r="R2930" s="143" t="e">
        <v>#N/A</v>
      </c>
    </row>
    <row r="2931" spans="14:18" x14ac:dyDescent="0.2">
      <c r="N2931" s="139" t="str">
        <f t="shared" si="52"/>
        <v>1w</v>
      </c>
      <c r="O2931" s="146">
        <f>_xll.qlCalendarAdvance(Calendar,O2930,N2931,"f",FALSE)</f>
        <v>59735</v>
      </c>
      <c r="P2931" s="140">
        <f>_xll.qlInterestRateIndexValueDate(IborIndex,O2931)</f>
        <v>59737</v>
      </c>
      <c r="Q2931" s="141" t="e">
        <v>#N/A</v>
      </c>
      <c r="R2931" s="143" t="e">
        <v>#N/A</v>
      </c>
    </row>
    <row r="2932" spans="14:18" x14ac:dyDescent="0.2">
      <c r="N2932" s="139" t="str">
        <f t="shared" si="52"/>
        <v>1w</v>
      </c>
      <c r="O2932" s="146">
        <f>_xll.qlCalendarAdvance(Calendar,O2931,N2932,"f",FALSE)</f>
        <v>59742</v>
      </c>
      <c r="P2932" s="140">
        <f>_xll.qlInterestRateIndexValueDate(IborIndex,O2932)</f>
        <v>59744</v>
      </c>
      <c r="Q2932" s="141" t="e">
        <v>#N/A</v>
      </c>
      <c r="R2932" s="143" t="e">
        <v>#N/A</v>
      </c>
    </row>
    <row r="2933" spans="14:18" x14ac:dyDescent="0.2">
      <c r="N2933" s="139" t="str">
        <f t="shared" si="52"/>
        <v>1w</v>
      </c>
      <c r="O2933" s="146">
        <f>_xll.qlCalendarAdvance(Calendar,O2932,N2933,"f",FALSE)</f>
        <v>59749</v>
      </c>
      <c r="P2933" s="140">
        <f>_xll.qlInterestRateIndexValueDate(IborIndex,O2933)</f>
        <v>59751</v>
      </c>
      <c r="Q2933" s="141" t="e">
        <v>#N/A</v>
      </c>
      <c r="R2933" s="143" t="e">
        <v>#N/A</v>
      </c>
    </row>
    <row r="2934" spans="14:18" x14ac:dyDescent="0.2">
      <c r="N2934" s="139" t="str">
        <f t="shared" si="52"/>
        <v>1w</v>
      </c>
      <c r="O2934" s="146">
        <f>_xll.qlCalendarAdvance(Calendar,O2933,N2934,"f",FALSE)</f>
        <v>59756</v>
      </c>
      <c r="P2934" s="140">
        <f>_xll.qlInterestRateIndexValueDate(IborIndex,O2934)</f>
        <v>59758</v>
      </c>
      <c r="Q2934" s="141" t="e">
        <v>#N/A</v>
      </c>
      <c r="R2934" s="143" t="e">
        <v>#N/A</v>
      </c>
    </row>
    <row r="2935" spans="14:18" x14ac:dyDescent="0.2">
      <c r="N2935" s="139" t="str">
        <f t="shared" si="52"/>
        <v>1w</v>
      </c>
      <c r="O2935" s="146">
        <f>_xll.qlCalendarAdvance(Calendar,O2934,N2935,"f",FALSE)</f>
        <v>59763</v>
      </c>
      <c r="P2935" s="140">
        <f>_xll.qlInterestRateIndexValueDate(IborIndex,O2935)</f>
        <v>59765</v>
      </c>
      <c r="Q2935" s="141" t="e">
        <v>#N/A</v>
      </c>
      <c r="R2935" s="143" t="e">
        <v>#N/A</v>
      </c>
    </row>
    <row r="2936" spans="14:18" x14ac:dyDescent="0.2">
      <c r="N2936" s="139" t="str">
        <f t="shared" si="52"/>
        <v>1w</v>
      </c>
      <c r="O2936" s="146">
        <f>_xll.qlCalendarAdvance(Calendar,O2935,N2936,"f",FALSE)</f>
        <v>59770</v>
      </c>
      <c r="P2936" s="140">
        <f>_xll.qlInterestRateIndexValueDate(IborIndex,O2936)</f>
        <v>59772</v>
      </c>
      <c r="Q2936" s="141" t="e">
        <v>#N/A</v>
      </c>
      <c r="R2936" s="143" t="e">
        <v>#N/A</v>
      </c>
    </row>
    <row r="2937" spans="14:18" x14ac:dyDescent="0.2">
      <c r="N2937" s="139" t="str">
        <f t="shared" si="52"/>
        <v>1w</v>
      </c>
      <c r="O2937" s="146">
        <f>_xll.qlCalendarAdvance(Calendar,O2936,N2937,"f",FALSE)</f>
        <v>59777</v>
      </c>
      <c r="P2937" s="140">
        <f>_xll.qlInterestRateIndexValueDate(IborIndex,O2937)</f>
        <v>59779</v>
      </c>
      <c r="Q2937" s="141" t="e">
        <v>#N/A</v>
      </c>
      <c r="R2937" s="143" t="e">
        <v>#N/A</v>
      </c>
    </row>
    <row r="2938" spans="14:18" x14ac:dyDescent="0.2">
      <c r="N2938" s="139" t="str">
        <f t="shared" si="52"/>
        <v>1w</v>
      </c>
      <c r="O2938" s="146">
        <f>_xll.qlCalendarAdvance(Calendar,O2937,N2938,"f",FALSE)</f>
        <v>59784</v>
      </c>
      <c r="P2938" s="140">
        <f>_xll.qlInterestRateIndexValueDate(IborIndex,O2938)</f>
        <v>59786</v>
      </c>
      <c r="Q2938" s="141" t="e">
        <v>#N/A</v>
      </c>
      <c r="R2938" s="143" t="e">
        <v>#N/A</v>
      </c>
    </row>
    <row r="2939" spans="14:18" x14ac:dyDescent="0.2">
      <c r="N2939" s="139" t="str">
        <f t="shared" si="52"/>
        <v>1w</v>
      </c>
      <c r="O2939" s="146">
        <f>_xll.qlCalendarAdvance(Calendar,O2938,N2939,"f",FALSE)</f>
        <v>59791</v>
      </c>
      <c r="P2939" s="140">
        <f>_xll.qlInterestRateIndexValueDate(IborIndex,O2939)</f>
        <v>59793</v>
      </c>
      <c r="Q2939" s="141" t="e">
        <v>#N/A</v>
      </c>
      <c r="R2939" s="143" t="e">
        <v>#N/A</v>
      </c>
    </row>
    <row r="2940" spans="14:18" x14ac:dyDescent="0.2">
      <c r="N2940" s="139" t="str">
        <f t="shared" si="52"/>
        <v>1w</v>
      </c>
      <c r="O2940" s="146">
        <f>_xll.qlCalendarAdvance(Calendar,O2939,N2940,"f",FALSE)</f>
        <v>59798</v>
      </c>
      <c r="P2940" s="140">
        <f>_xll.qlInterestRateIndexValueDate(IborIndex,O2940)</f>
        <v>59800</v>
      </c>
      <c r="Q2940" s="141" t="e">
        <v>#N/A</v>
      </c>
      <c r="R2940" s="143" t="e">
        <v>#N/A</v>
      </c>
    </row>
    <row r="2941" spans="14:18" x14ac:dyDescent="0.2">
      <c r="N2941" s="139" t="str">
        <f t="shared" si="52"/>
        <v>1w</v>
      </c>
      <c r="O2941" s="146">
        <f>_xll.qlCalendarAdvance(Calendar,O2940,N2941,"f",FALSE)</f>
        <v>59805</v>
      </c>
      <c r="P2941" s="140">
        <f>_xll.qlInterestRateIndexValueDate(IborIndex,O2941)</f>
        <v>59807</v>
      </c>
      <c r="Q2941" s="141" t="e">
        <v>#N/A</v>
      </c>
      <c r="R2941" s="143" t="e">
        <v>#N/A</v>
      </c>
    </row>
    <row r="2942" spans="14:18" x14ac:dyDescent="0.2">
      <c r="N2942" s="139" t="str">
        <f t="shared" si="52"/>
        <v>1w</v>
      </c>
      <c r="O2942" s="146">
        <f>_xll.qlCalendarAdvance(Calendar,O2941,N2942,"f",FALSE)</f>
        <v>59812</v>
      </c>
      <c r="P2942" s="140">
        <f>_xll.qlInterestRateIndexValueDate(IborIndex,O2942)</f>
        <v>59814</v>
      </c>
      <c r="Q2942" s="141" t="e">
        <v>#N/A</v>
      </c>
      <c r="R2942" s="143" t="e">
        <v>#N/A</v>
      </c>
    </row>
    <row r="2943" spans="14:18" x14ac:dyDescent="0.2">
      <c r="N2943" s="139" t="str">
        <f t="shared" si="52"/>
        <v>1w</v>
      </c>
      <c r="O2943" s="146">
        <f>_xll.qlCalendarAdvance(Calendar,O2942,N2943,"f",FALSE)</f>
        <v>59819</v>
      </c>
      <c r="P2943" s="140">
        <f>_xll.qlInterestRateIndexValueDate(IborIndex,O2943)</f>
        <v>59821</v>
      </c>
      <c r="Q2943" s="141" t="e">
        <v>#N/A</v>
      </c>
      <c r="R2943" s="143" t="e">
        <v>#N/A</v>
      </c>
    </row>
    <row r="2944" spans="14:18" x14ac:dyDescent="0.2">
      <c r="N2944" s="139" t="str">
        <f t="shared" si="52"/>
        <v>1w</v>
      </c>
      <c r="O2944" s="146">
        <f>_xll.qlCalendarAdvance(Calendar,O2943,N2944,"f",FALSE)</f>
        <v>59826</v>
      </c>
      <c r="P2944" s="140">
        <f>_xll.qlInterestRateIndexValueDate(IborIndex,O2944)</f>
        <v>59828</v>
      </c>
      <c r="Q2944" s="141" t="e">
        <v>#N/A</v>
      </c>
      <c r="R2944" s="143" t="e">
        <v>#N/A</v>
      </c>
    </row>
    <row r="2945" spans="14:18" x14ac:dyDescent="0.2">
      <c r="N2945" s="139" t="str">
        <f t="shared" si="52"/>
        <v>1w</v>
      </c>
      <c r="O2945" s="146">
        <f>_xll.qlCalendarAdvance(Calendar,O2944,N2945,"f",FALSE)</f>
        <v>59833</v>
      </c>
      <c r="P2945" s="140">
        <f>_xll.qlInterestRateIndexValueDate(IborIndex,O2945)</f>
        <v>59835</v>
      </c>
      <c r="Q2945" s="141" t="e">
        <v>#N/A</v>
      </c>
      <c r="R2945" s="143" t="e">
        <v>#N/A</v>
      </c>
    </row>
    <row r="2946" spans="14:18" x14ac:dyDescent="0.2">
      <c r="N2946" s="139" t="str">
        <f t="shared" si="52"/>
        <v>1w</v>
      </c>
      <c r="O2946" s="146">
        <f>_xll.qlCalendarAdvance(Calendar,O2945,N2946,"f",FALSE)</f>
        <v>59840</v>
      </c>
      <c r="P2946" s="140">
        <f>_xll.qlInterestRateIndexValueDate(IborIndex,O2946)</f>
        <v>59842</v>
      </c>
      <c r="Q2946" s="141" t="e">
        <v>#N/A</v>
      </c>
      <c r="R2946" s="143" t="e">
        <v>#N/A</v>
      </c>
    </row>
    <row r="2947" spans="14:18" x14ac:dyDescent="0.2">
      <c r="N2947" s="139" t="str">
        <f t="shared" si="52"/>
        <v>1w</v>
      </c>
      <c r="O2947" s="146">
        <f>_xll.qlCalendarAdvance(Calendar,O2946,N2947,"f",FALSE)</f>
        <v>59847</v>
      </c>
      <c r="P2947" s="140">
        <f>_xll.qlInterestRateIndexValueDate(IborIndex,O2947)</f>
        <v>59849</v>
      </c>
      <c r="Q2947" s="141" t="e">
        <v>#N/A</v>
      </c>
      <c r="R2947" s="143" t="e">
        <v>#N/A</v>
      </c>
    </row>
    <row r="2948" spans="14:18" x14ac:dyDescent="0.2">
      <c r="N2948" s="139" t="str">
        <f t="shared" si="52"/>
        <v>1w</v>
      </c>
      <c r="O2948" s="146">
        <f>_xll.qlCalendarAdvance(Calendar,O2947,N2948,"f",FALSE)</f>
        <v>59854</v>
      </c>
      <c r="P2948" s="140">
        <f>_xll.qlInterestRateIndexValueDate(IborIndex,O2948)</f>
        <v>59856</v>
      </c>
      <c r="Q2948" s="141" t="e">
        <v>#N/A</v>
      </c>
      <c r="R2948" s="143" t="e">
        <v>#N/A</v>
      </c>
    </row>
    <row r="2949" spans="14:18" x14ac:dyDescent="0.2">
      <c r="N2949" s="139" t="str">
        <f t="shared" si="52"/>
        <v>1w</v>
      </c>
      <c r="O2949" s="146">
        <f>_xll.qlCalendarAdvance(Calendar,O2948,N2949,"f",FALSE)</f>
        <v>59861</v>
      </c>
      <c r="P2949" s="140">
        <f>_xll.qlInterestRateIndexValueDate(IborIndex,O2949)</f>
        <v>59863</v>
      </c>
      <c r="Q2949" s="141" t="e">
        <v>#N/A</v>
      </c>
      <c r="R2949" s="143" t="e">
        <v>#N/A</v>
      </c>
    </row>
    <row r="2950" spans="14:18" x14ac:dyDescent="0.2">
      <c r="N2950" s="139" t="str">
        <f t="shared" si="52"/>
        <v>1w</v>
      </c>
      <c r="O2950" s="146">
        <f>_xll.qlCalendarAdvance(Calendar,O2949,N2950,"f",FALSE)</f>
        <v>59868</v>
      </c>
      <c r="P2950" s="140">
        <f>_xll.qlInterestRateIndexValueDate(IborIndex,O2950)</f>
        <v>59870</v>
      </c>
      <c r="Q2950" s="141" t="e">
        <v>#N/A</v>
      </c>
      <c r="R2950" s="143" t="e">
        <v>#N/A</v>
      </c>
    </row>
    <row r="2951" spans="14:18" x14ac:dyDescent="0.2">
      <c r="N2951" s="139" t="str">
        <f t="shared" si="52"/>
        <v>1w</v>
      </c>
      <c r="O2951" s="146">
        <f>_xll.qlCalendarAdvance(Calendar,O2950,N2951,"f",FALSE)</f>
        <v>59875</v>
      </c>
      <c r="P2951" s="140">
        <f>_xll.qlInterestRateIndexValueDate(IborIndex,O2951)</f>
        <v>59877</v>
      </c>
      <c r="Q2951" s="141" t="e">
        <v>#N/A</v>
      </c>
      <c r="R2951" s="143" t="e">
        <v>#N/A</v>
      </c>
    </row>
    <row r="2952" spans="14:18" x14ac:dyDescent="0.2">
      <c r="N2952" s="139" t="str">
        <f t="shared" si="52"/>
        <v>1w</v>
      </c>
      <c r="O2952" s="146">
        <f>_xll.qlCalendarAdvance(Calendar,O2951,N2952,"f",FALSE)</f>
        <v>59882</v>
      </c>
      <c r="P2952" s="140">
        <f>_xll.qlInterestRateIndexValueDate(IborIndex,O2952)</f>
        <v>59884</v>
      </c>
      <c r="Q2952" s="141" t="e">
        <v>#N/A</v>
      </c>
      <c r="R2952" s="143" t="e">
        <v>#N/A</v>
      </c>
    </row>
    <row r="2953" spans="14:18" x14ac:dyDescent="0.2">
      <c r="N2953" s="139" t="str">
        <f t="shared" si="52"/>
        <v>1w</v>
      </c>
      <c r="O2953" s="146">
        <f>_xll.qlCalendarAdvance(Calendar,O2952,N2953,"f",FALSE)</f>
        <v>59889</v>
      </c>
      <c r="P2953" s="140">
        <f>_xll.qlInterestRateIndexValueDate(IborIndex,O2953)</f>
        <v>59891</v>
      </c>
      <c r="Q2953" s="141" t="e">
        <v>#N/A</v>
      </c>
      <c r="R2953" s="143" t="e">
        <v>#N/A</v>
      </c>
    </row>
    <row r="2954" spans="14:18" x14ac:dyDescent="0.2">
      <c r="N2954" s="139" t="str">
        <f t="shared" si="52"/>
        <v>1w</v>
      </c>
      <c r="O2954" s="146">
        <f>_xll.qlCalendarAdvance(Calendar,O2953,N2954,"f",FALSE)</f>
        <v>59897</v>
      </c>
      <c r="P2954" s="140">
        <f>_xll.qlInterestRateIndexValueDate(IborIndex,O2954)</f>
        <v>59903</v>
      </c>
      <c r="Q2954" s="141" t="e">
        <v>#N/A</v>
      </c>
      <c r="R2954" s="143" t="e">
        <v>#N/A</v>
      </c>
    </row>
    <row r="2955" spans="14:18" x14ac:dyDescent="0.2">
      <c r="N2955" s="139" t="str">
        <f t="shared" si="52"/>
        <v>1w</v>
      </c>
      <c r="O2955" s="146">
        <f>_xll.qlCalendarAdvance(Calendar,O2954,N2955,"f",FALSE)</f>
        <v>59904</v>
      </c>
      <c r="P2955" s="140">
        <f>_xll.qlInterestRateIndexValueDate(IborIndex,O2955)</f>
        <v>59908</v>
      </c>
      <c r="Q2955" s="141" t="e">
        <v>#N/A</v>
      </c>
      <c r="R2955" s="143" t="e">
        <v>#N/A</v>
      </c>
    </row>
    <row r="2956" spans="14:18" x14ac:dyDescent="0.2">
      <c r="N2956" s="139" t="str">
        <f t="shared" si="52"/>
        <v>1w</v>
      </c>
      <c r="O2956" s="146">
        <f>_xll.qlCalendarAdvance(Calendar,O2955,N2956,"f",FALSE)</f>
        <v>59911</v>
      </c>
      <c r="P2956" s="140">
        <f>_xll.qlInterestRateIndexValueDate(IborIndex,O2956)</f>
        <v>59915</v>
      </c>
      <c r="Q2956" s="141" t="e">
        <v>#N/A</v>
      </c>
      <c r="R2956" s="143" t="e">
        <v>#N/A</v>
      </c>
    </row>
    <row r="2957" spans="14:18" x14ac:dyDescent="0.2">
      <c r="N2957" s="139" t="str">
        <f t="shared" si="52"/>
        <v>1w</v>
      </c>
      <c r="O2957" s="146">
        <f>_xll.qlCalendarAdvance(Calendar,O2956,N2957,"f",FALSE)</f>
        <v>59918</v>
      </c>
      <c r="P2957" s="140">
        <f>_xll.qlInterestRateIndexValueDate(IborIndex,O2957)</f>
        <v>59922</v>
      </c>
      <c r="Q2957" s="141" t="e">
        <v>#N/A</v>
      </c>
      <c r="R2957" s="143" t="e">
        <v>#N/A</v>
      </c>
    </row>
    <row r="2958" spans="14:18" x14ac:dyDescent="0.2">
      <c r="N2958" s="139" t="str">
        <f t="shared" si="52"/>
        <v>1w</v>
      </c>
      <c r="O2958" s="146">
        <f>_xll.qlCalendarAdvance(Calendar,O2957,N2958,"f",FALSE)</f>
        <v>59925</v>
      </c>
      <c r="P2958" s="140">
        <f>_xll.qlInterestRateIndexValueDate(IborIndex,O2958)</f>
        <v>59929</v>
      </c>
      <c r="Q2958" s="141" t="e">
        <v>#N/A</v>
      </c>
      <c r="R2958" s="143" t="e">
        <v>#N/A</v>
      </c>
    </row>
    <row r="2959" spans="14:18" x14ac:dyDescent="0.2">
      <c r="N2959" s="139" t="str">
        <f t="shared" si="52"/>
        <v>1w</v>
      </c>
      <c r="O2959" s="146">
        <f>_xll.qlCalendarAdvance(Calendar,O2958,N2959,"f",FALSE)</f>
        <v>59932</v>
      </c>
      <c r="P2959" s="140">
        <f>_xll.qlInterestRateIndexValueDate(IborIndex,O2959)</f>
        <v>59936</v>
      </c>
      <c r="Q2959" s="141" t="e">
        <v>#N/A</v>
      </c>
      <c r="R2959" s="143" t="e">
        <v>#N/A</v>
      </c>
    </row>
    <row r="2960" spans="14:18" x14ac:dyDescent="0.2">
      <c r="N2960" s="139" t="str">
        <f t="shared" si="52"/>
        <v>1w</v>
      </c>
      <c r="O2960" s="146">
        <f>_xll.qlCalendarAdvance(Calendar,O2959,N2960,"f",FALSE)</f>
        <v>59939</v>
      </c>
      <c r="P2960" s="140">
        <f>_xll.qlInterestRateIndexValueDate(IborIndex,O2960)</f>
        <v>59943</v>
      </c>
      <c r="Q2960" s="141" t="e">
        <v>#N/A</v>
      </c>
      <c r="R2960" s="143" t="e">
        <v>#N/A</v>
      </c>
    </row>
    <row r="2961" spans="14:18" x14ac:dyDescent="0.2">
      <c r="N2961" s="139" t="str">
        <f t="shared" si="52"/>
        <v>1w</v>
      </c>
      <c r="O2961" s="146">
        <f>_xll.qlCalendarAdvance(Calendar,O2960,N2961,"f",FALSE)</f>
        <v>59946</v>
      </c>
      <c r="P2961" s="140">
        <f>_xll.qlInterestRateIndexValueDate(IborIndex,O2961)</f>
        <v>59950</v>
      </c>
      <c r="Q2961" s="141" t="e">
        <v>#N/A</v>
      </c>
      <c r="R2961" s="143" t="e">
        <v>#N/A</v>
      </c>
    </row>
    <row r="2962" spans="14:18" x14ac:dyDescent="0.2">
      <c r="N2962" s="139" t="str">
        <f t="shared" si="52"/>
        <v>1w</v>
      </c>
      <c r="O2962" s="146">
        <f>_xll.qlCalendarAdvance(Calendar,O2961,N2962,"f",FALSE)</f>
        <v>59953</v>
      </c>
      <c r="P2962" s="140">
        <f>_xll.qlInterestRateIndexValueDate(IborIndex,O2962)</f>
        <v>59957</v>
      </c>
      <c r="Q2962" s="141" t="e">
        <v>#N/A</v>
      </c>
      <c r="R2962" s="143" t="e">
        <v>#N/A</v>
      </c>
    </row>
    <row r="2963" spans="14:18" x14ac:dyDescent="0.2">
      <c r="N2963" s="139" t="str">
        <f t="shared" si="52"/>
        <v>1w</v>
      </c>
      <c r="O2963" s="146">
        <f>_xll.qlCalendarAdvance(Calendar,O2962,N2963,"f",FALSE)</f>
        <v>59960</v>
      </c>
      <c r="P2963" s="140">
        <f>_xll.qlInterestRateIndexValueDate(IborIndex,O2963)</f>
        <v>59964</v>
      </c>
      <c r="Q2963" s="141" t="e">
        <v>#N/A</v>
      </c>
      <c r="R2963" s="143" t="e">
        <v>#N/A</v>
      </c>
    </row>
    <row r="2964" spans="14:18" x14ac:dyDescent="0.2">
      <c r="N2964" s="139" t="str">
        <f t="shared" si="52"/>
        <v>1w</v>
      </c>
      <c r="O2964" s="146">
        <f>_xll.qlCalendarAdvance(Calendar,O2963,N2964,"f",FALSE)</f>
        <v>59967</v>
      </c>
      <c r="P2964" s="140">
        <f>_xll.qlInterestRateIndexValueDate(IborIndex,O2964)</f>
        <v>59971</v>
      </c>
      <c r="Q2964" s="141" t="e">
        <v>#N/A</v>
      </c>
      <c r="R2964" s="143" t="e">
        <v>#N/A</v>
      </c>
    </row>
    <row r="2965" spans="14:18" x14ac:dyDescent="0.2">
      <c r="N2965" s="139" t="str">
        <f t="shared" ref="N2965:N3028" si="53">N2964</f>
        <v>1w</v>
      </c>
      <c r="O2965" s="146">
        <f>_xll.qlCalendarAdvance(Calendar,O2964,N2965,"f",FALSE)</f>
        <v>59974</v>
      </c>
      <c r="P2965" s="140">
        <f>_xll.qlInterestRateIndexValueDate(IborIndex,O2965)</f>
        <v>59978</v>
      </c>
      <c r="Q2965" s="141" t="e">
        <v>#N/A</v>
      </c>
      <c r="R2965" s="143" t="e">
        <v>#N/A</v>
      </c>
    </row>
    <row r="2966" spans="14:18" x14ac:dyDescent="0.2">
      <c r="N2966" s="139" t="str">
        <f t="shared" si="53"/>
        <v>1w</v>
      </c>
      <c r="O2966" s="146">
        <f>_xll.qlCalendarAdvance(Calendar,O2965,N2966,"f",FALSE)</f>
        <v>59981</v>
      </c>
      <c r="P2966" s="140">
        <f>_xll.qlInterestRateIndexValueDate(IborIndex,O2966)</f>
        <v>59985</v>
      </c>
      <c r="Q2966" s="141" t="e">
        <v>#N/A</v>
      </c>
      <c r="R2966" s="143" t="e">
        <v>#N/A</v>
      </c>
    </row>
    <row r="2967" spans="14:18" x14ac:dyDescent="0.2">
      <c r="N2967" s="139" t="str">
        <f t="shared" si="53"/>
        <v>1w</v>
      </c>
      <c r="O2967" s="146">
        <f>_xll.qlCalendarAdvance(Calendar,O2966,N2967,"f",FALSE)</f>
        <v>59988</v>
      </c>
      <c r="P2967" s="140">
        <f>_xll.qlInterestRateIndexValueDate(IborIndex,O2967)</f>
        <v>59992</v>
      </c>
      <c r="Q2967" s="141" t="e">
        <v>#N/A</v>
      </c>
      <c r="R2967" s="143" t="e">
        <v>#N/A</v>
      </c>
    </row>
    <row r="2968" spans="14:18" x14ac:dyDescent="0.2">
      <c r="N2968" s="139" t="str">
        <f t="shared" si="53"/>
        <v>1w</v>
      </c>
      <c r="O2968" s="146">
        <f>_xll.qlCalendarAdvance(Calendar,O2967,N2968,"f",FALSE)</f>
        <v>59995</v>
      </c>
      <c r="P2968" s="140">
        <f>_xll.qlInterestRateIndexValueDate(IborIndex,O2968)</f>
        <v>60001</v>
      </c>
      <c r="Q2968" s="141" t="e">
        <v>#N/A</v>
      </c>
      <c r="R2968" s="143" t="e">
        <v>#N/A</v>
      </c>
    </row>
    <row r="2969" spans="14:18" x14ac:dyDescent="0.2">
      <c r="N2969" s="139" t="str">
        <f t="shared" si="53"/>
        <v>1w</v>
      </c>
      <c r="O2969" s="146">
        <f>_xll.qlCalendarAdvance(Calendar,O2968,N2969,"f",FALSE)</f>
        <v>60002</v>
      </c>
      <c r="P2969" s="140">
        <f>_xll.qlInterestRateIndexValueDate(IborIndex,O2969)</f>
        <v>60006</v>
      </c>
      <c r="Q2969" s="141" t="e">
        <v>#N/A</v>
      </c>
      <c r="R2969" s="143" t="e">
        <v>#N/A</v>
      </c>
    </row>
    <row r="2970" spans="14:18" x14ac:dyDescent="0.2">
      <c r="N2970" s="139" t="str">
        <f t="shared" si="53"/>
        <v>1w</v>
      </c>
      <c r="O2970" s="146">
        <f>_xll.qlCalendarAdvance(Calendar,O2969,N2970,"f",FALSE)</f>
        <v>60009</v>
      </c>
      <c r="P2970" s="140">
        <f>_xll.qlInterestRateIndexValueDate(IborIndex,O2970)</f>
        <v>60013</v>
      </c>
      <c r="Q2970" s="141" t="e">
        <v>#N/A</v>
      </c>
      <c r="R2970" s="143" t="e">
        <v>#N/A</v>
      </c>
    </row>
    <row r="2971" spans="14:18" x14ac:dyDescent="0.2">
      <c r="N2971" s="139" t="str">
        <f t="shared" si="53"/>
        <v>1w</v>
      </c>
      <c r="O2971" s="146">
        <f>_xll.qlCalendarAdvance(Calendar,O2970,N2971,"f",FALSE)</f>
        <v>60016</v>
      </c>
      <c r="P2971" s="140">
        <f>_xll.qlInterestRateIndexValueDate(IborIndex,O2971)</f>
        <v>60020</v>
      </c>
      <c r="Q2971" s="141" t="e">
        <v>#N/A</v>
      </c>
      <c r="R2971" s="143" t="e">
        <v>#N/A</v>
      </c>
    </row>
    <row r="2972" spans="14:18" x14ac:dyDescent="0.2">
      <c r="N2972" s="139" t="str">
        <f t="shared" si="53"/>
        <v>1w</v>
      </c>
      <c r="O2972" s="146">
        <f>_xll.qlCalendarAdvance(Calendar,O2971,N2972,"f",FALSE)</f>
        <v>60024</v>
      </c>
      <c r="P2972" s="140">
        <f>_xll.qlInterestRateIndexValueDate(IborIndex,O2972)</f>
        <v>60028</v>
      </c>
      <c r="Q2972" s="141" t="e">
        <v>#N/A</v>
      </c>
      <c r="R2972" s="143" t="e">
        <v>#N/A</v>
      </c>
    </row>
    <row r="2973" spans="14:18" x14ac:dyDescent="0.2">
      <c r="N2973" s="139" t="str">
        <f t="shared" si="53"/>
        <v>1w</v>
      </c>
      <c r="O2973" s="146">
        <f>_xll.qlCalendarAdvance(Calendar,O2972,N2973,"f",FALSE)</f>
        <v>60031</v>
      </c>
      <c r="P2973" s="140">
        <f>_xll.qlInterestRateIndexValueDate(IborIndex,O2973)</f>
        <v>60035</v>
      </c>
      <c r="Q2973" s="141" t="e">
        <v>#N/A</v>
      </c>
      <c r="R2973" s="143" t="e">
        <v>#N/A</v>
      </c>
    </row>
    <row r="2974" spans="14:18" x14ac:dyDescent="0.2">
      <c r="N2974" s="139" t="str">
        <f t="shared" si="53"/>
        <v>1w</v>
      </c>
      <c r="O2974" s="146">
        <f>_xll.qlCalendarAdvance(Calendar,O2973,N2974,"f",FALSE)</f>
        <v>60038</v>
      </c>
      <c r="P2974" s="140">
        <f>_xll.qlInterestRateIndexValueDate(IborIndex,O2974)</f>
        <v>60042</v>
      </c>
      <c r="Q2974" s="141" t="e">
        <v>#N/A</v>
      </c>
      <c r="R2974" s="143" t="e">
        <v>#N/A</v>
      </c>
    </row>
    <row r="2975" spans="14:18" x14ac:dyDescent="0.2">
      <c r="N2975" s="139" t="str">
        <f t="shared" si="53"/>
        <v>1w</v>
      </c>
      <c r="O2975" s="146">
        <f>_xll.qlCalendarAdvance(Calendar,O2974,N2975,"f",FALSE)</f>
        <v>60045</v>
      </c>
      <c r="P2975" s="140">
        <f>_xll.qlInterestRateIndexValueDate(IborIndex,O2975)</f>
        <v>60050</v>
      </c>
      <c r="Q2975" s="141" t="e">
        <v>#N/A</v>
      </c>
      <c r="R2975" s="143" t="e">
        <v>#N/A</v>
      </c>
    </row>
    <row r="2976" spans="14:18" x14ac:dyDescent="0.2">
      <c r="N2976" s="139" t="str">
        <f t="shared" si="53"/>
        <v>1w</v>
      </c>
      <c r="O2976" s="146">
        <f>_xll.qlCalendarAdvance(Calendar,O2975,N2976,"f",FALSE)</f>
        <v>60052</v>
      </c>
      <c r="P2976" s="140">
        <f>_xll.qlInterestRateIndexValueDate(IborIndex,O2976)</f>
        <v>60056</v>
      </c>
      <c r="Q2976" s="141" t="e">
        <v>#N/A</v>
      </c>
      <c r="R2976" s="143" t="e">
        <v>#N/A</v>
      </c>
    </row>
    <row r="2977" spans="14:18" x14ac:dyDescent="0.2">
      <c r="N2977" s="139" t="str">
        <f t="shared" si="53"/>
        <v>1w</v>
      </c>
      <c r="O2977" s="146">
        <f>_xll.qlCalendarAdvance(Calendar,O2976,N2977,"f",FALSE)</f>
        <v>60059</v>
      </c>
      <c r="P2977" s="140">
        <f>_xll.qlInterestRateIndexValueDate(IborIndex,O2977)</f>
        <v>60063</v>
      </c>
      <c r="Q2977" s="141" t="e">
        <v>#N/A</v>
      </c>
      <c r="R2977" s="143" t="e">
        <v>#N/A</v>
      </c>
    </row>
    <row r="2978" spans="14:18" x14ac:dyDescent="0.2">
      <c r="N2978" s="139" t="str">
        <f t="shared" si="53"/>
        <v>1w</v>
      </c>
      <c r="O2978" s="146">
        <f>_xll.qlCalendarAdvance(Calendar,O2977,N2978,"f",FALSE)</f>
        <v>60066</v>
      </c>
      <c r="P2978" s="140">
        <f>_xll.qlInterestRateIndexValueDate(IborIndex,O2978)</f>
        <v>60070</v>
      </c>
      <c r="Q2978" s="141" t="e">
        <v>#N/A</v>
      </c>
      <c r="R2978" s="143" t="e">
        <v>#N/A</v>
      </c>
    </row>
    <row r="2979" spans="14:18" x14ac:dyDescent="0.2">
      <c r="N2979" s="139" t="str">
        <f t="shared" si="53"/>
        <v>1w</v>
      </c>
      <c r="O2979" s="146">
        <f>_xll.qlCalendarAdvance(Calendar,O2978,N2979,"f",FALSE)</f>
        <v>60076</v>
      </c>
      <c r="P2979" s="140">
        <f>_xll.qlInterestRateIndexValueDate(IborIndex,O2979)</f>
        <v>60078</v>
      </c>
      <c r="Q2979" s="141" t="e">
        <v>#N/A</v>
      </c>
      <c r="R2979" s="143" t="e">
        <v>#N/A</v>
      </c>
    </row>
    <row r="2980" spans="14:18" x14ac:dyDescent="0.2">
      <c r="N2980" s="139" t="str">
        <f t="shared" si="53"/>
        <v>1w</v>
      </c>
      <c r="O2980" s="146">
        <f>_xll.qlCalendarAdvance(Calendar,O2979,N2980,"f",FALSE)</f>
        <v>60083</v>
      </c>
      <c r="P2980" s="140">
        <f>_xll.qlInterestRateIndexValueDate(IborIndex,O2980)</f>
        <v>60085</v>
      </c>
      <c r="Q2980" s="141" t="e">
        <v>#N/A</v>
      </c>
      <c r="R2980" s="143" t="e">
        <v>#N/A</v>
      </c>
    </row>
    <row r="2981" spans="14:18" x14ac:dyDescent="0.2">
      <c r="N2981" s="139" t="str">
        <f t="shared" si="53"/>
        <v>1w</v>
      </c>
      <c r="O2981" s="146">
        <f>_xll.qlCalendarAdvance(Calendar,O2980,N2981,"f",FALSE)</f>
        <v>60090</v>
      </c>
      <c r="P2981" s="140">
        <f>_xll.qlInterestRateIndexValueDate(IborIndex,O2981)</f>
        <v>60092</v>
      </c>
      <c r="Q2981" s="141" t="e">
        <v>#N/A</v>
      </c>
      <c r="R2981" s="143" t="e">
        <v>#N/A</v>
      </c>
    </row>
    <row r="2982" spans="14:18" x14ac:dyDescent="0.2">
      <c r="N2982" s="139" t="str">
        <f t="shared" si="53"/>
        <v>1w</v>
      </c>
      <c r="O2982" s="146">
        <f>_xll.qlCalendarAdvance(Calendar,O2981,N2982,"f",FALSE)</f>
        <v>60097</v>
      </c>
      <c r="P2982" s="140">
        <f>_xll.qlInterestRateIndexValueDate(IborIndex,O2982)</f>
        <v>60099</v>
      </c>
      <c r="Q2982" s="141" t="e">
        <v>#N/A</v>
      </c>
      <c r="R2982" s="143" t="e">
        <v>#N/A</v>
      </c>
    </row>
    <row r="2983" spans="14:18" x14ac:dyDescent="0.2">
      <c r="N2983" s="139" t="str">
        <f t="shared" si="53"/>
        <v>1w</v>
      </c>
      <c r="O2983" s="146">
        <f>_xll.qlCalendarAdvance(Calendar,O2982,N2983,"f",FALSE)</f>
        <v>60104</v>
      </c>
      <c r="P2983" s="140">
        <f>_xll.qlInterestRateIndexValueDate(IborIndex,O2983)</f>
        <v>60106</v>
      </c>
      <c r="Q2983" s="141" t="e">
        <v>#N/A</v>
      </c>
      <c r="R2983" s="143" t="e">
        <v>#N/A</v>
      </c>
    </row>
    <row r="2984" spans="14:18" x14ac:dyDescent="0.2">
      <c r="N2984" s="139" t="str">
        <f t="shared" si="53"/>
        <v>1w</v>
      </c>
      <c r="O2984" s="146">
        <f>_xll.qlCalendarAdvance(Calendar,O2983,N2984,"f",FALSE)</f>
        <v>60111</v>
      </c>
      <c r="P2984" s="140">
        <f>_xll.qlInterestRateIndexValueDate(IborIndex,O2984)</f>
        <v>60113</v>
      </c>
      <c r="Q2984" s="141" t="e">
        <v>#N/A</v>
      </c>
      <c r="R2984" s="143" t="e">
        <v>#N/A</v>
      </c>
    </row>
    <row r="2985" spans="14:18" x14ac:dyDescent="0.2">
      <c r="N2985" s="139" t="str">
        <f t="shared" si="53"/>
        <v>1w</v>
      </c>
      <c r="O2985" s="146">
        <f>_xll.qlCalendarAdvance(Calendar,O2984,N2985,"f",FALSE)</f>
        <v>60118</v>
      </c>
      <c r="P2985" s="140">
        <f>_xll.qlInterestRateIndexValueDate(IborIndex,O2985)</f>
        <v>60120</v>
      </c>
      <c r="Q2985" s="141" t="e">
        <v>#N/A</v>
      </c>
      <c r="R2985" s="143" t="e">
        <v>#N/A</v>
      </c>
    </row>
    <row r="2986" spans="14:18" x14ac:dyDescent="0.2">
      <c r="N2986" s="139" t="str">
        <f t="shared" si="53"/>
        <v>1w</v>
      </c>
      <c r="O2986" s="146">
        <f>_xll.qlCalendarAdvance(Calendar,O2985,N2986,"f",FALSE)</f>
        <v>60125</v>
      </c>
      <c r="P2986" s="140">
        <f>_xll.qlInterestRateIndexValueDate(IborIndex,O2986)</f>
        <v>60127</v>
      </c>
      <c r="Q2986" s="141" t="e">
        <v>#N/A</v>
      </c>
      <c r="R2986" s="143" t="e">
        <v>#N/A</v>
      </c>
    </row>
    <row r="2987" spans="14:18" x14ac:dyDescent="0.2">
      <c r="N2987" s="139" t="str">
        <f t="shared" si="53"/>
        <v>1w</v>
      </c>
      <c r="O2987" s="146">
        <f>_xll.qlCalendarAdvance(Calendar,O2986,N2987,"f",FALSE)</f>
        <v>60132</v>
      </c>
      <c r="P2987" s="140">
        <f>_xll.qlInterestRateIndexValueDate(IborIndex,O2987)</f>
        <v>60134</v>
      </c>
      <c r="Q2987" s="141" t="e">
        <v>#N/A</v>
      </c>
      <c r="R2987" s="143" t="e">
        <v>#N/A</v>
      </c>
    </row>
    <row r="2988" spans="14:18" x14ac:dyDescent="0.2">
      <c r="N2988" s="139" t="str">
        <f t="shared" si="53"/>
        <v>1w</v>
      </c>
      <c r="O2988" s="146">
        <f>_xll.qlCalendarAdvance(Calendar,O2987,N2988,"f",FALSE)</f>
        <v>60139</v>
      </c>
      <c r="P2988" s="140">
        <f>_xll.qlInterestRateIndexValueDate(IborIndex,O2988)</f>
        <v>60141</v>
      </c>
      <c r="Q2988" s="141" t="e">
        <v>#N/A</v>
      </c>
      <c r="R2988" s="143" t="e">
        <v>#N/A</v>
      </c>
    </row>
    <row r="2989" spans="14:18" x14ac:dyDescent="0.2">
      <c r="N2989" s="139" t="str">
        <f t="shared" si="53"/>
        <v>1w</v>
      </c>
      <c r="O2989" s="146">
        <f>_xll.qlCalendarAdvance(Calendar,O2988,N2989,"f",FALSE)</f>
        <v>60146</v>
      </c>
      <c r="P2989" s="140">
        <f>_xll.qlInterestRateIndexValueDate(IborIndex,O2989)</f>
        <v>60148</v>
      </c>
      <c r="Q2989" s="141" t="e">
        <v>#N/A</v>
      </c>
      <c r="R2989" s="143" t="e">
        <v>#N/A</v>
      </c>
    </row>
    <row r="2990" spans="14:18" x14ac:dyDescent="0.2">
      <c r="N2990" s="139" t="str">
        <f t="shared" si="53"/>
        <v>1w</v>
      </c>
      <c r="O2990" s="146">
        <f>_xll.qlCalendarAdvance(Calendar,O2989,N2990,"f",FALSE)</f>
        <v>60153</v>
      </c>
      <c r="P2990" s="140">
        <f>_xll.qlInterestRateIndexValueDate(IborIndex,O2990)</f>
        <v>60155</v>
      </c>
      <c r="Q2990" s="141" t="e">
        <v>#N/A</v>
      </c>
      <c r="R2990" s="143" t="e">
        <v>#N/A</v>
      </c>
    </row>
    <row r="2991" spans="14:18" x14ac:dyDescent="0.2">
      <c r="N2991" s="139" t="str">
        <f t="shared" si="53"/>
        <v>1w</v>
      </c>
      <c r="O2991" s="146">
        <f>_xll.qlCalendarAdvance(Calendar,O2990,N2991,"f",FALSE)</f>
        <v>60160</v>
      </c>
      <c r="P2991" s="140">
        <f>_xll.qlInterestRateIndexValueDate(IborIndex,O2991)</f>
        <v>60162</v>
      </c>
      <c r="Q2991" s="141" t="e">
        <v>#N/A</v>
      </c>
      <c r="R2991" s="143" t="e">
        <v>#N/A</v>
      </c>
    </row>
    <row r="2992" spans="14:18" x14ac:dyDescent="0.2">
      <c r="N2992" s="139" t="str">
        <f t="shared" si="53"/>
        <v>1w</v>
      </c>
      <c r="O2992" s="146">
        <f>_xll.qlCalendarAdvance(Calendar,O2991,N2992,"f",FALSE)</f>
        <v>60167</v>
      </c>
      <c r="P2992" s="140">
        <f>_xll.qlInterestRateIndexValueDate(IborIndex,O2992)</f>
        <v>60169</v>
      </c>
      <c r="Q2992" s="141" t="e">
        <v>#N/A</v>
      </c>
      <c r="R2992" s="143" t="e">
        <v>#N/A</v>
      </c>
    </row>
    <row r="2993" spans="14:18" x14ac:dyDescent="0.2">
      <c r="N2993" s="139" t="str">
        <f t="shared" si="53"/>
        <v>1w</v>
      </c>
      <c r="O2993" s="146">
        <f>_xll.qlCalendarAdvance(Calendar,O2992,N2993,"f",FALSE)</f>
        <v>60174</v>
      </c>
      <c r="P2993" s="140">
        <f>_xll.qlInterestRateIndexValueDate(IborIndex,O2993)</f>
        <v>60176</v>
      </c>
      <c r="Q2993" s="141" t="e">
        <v>#N/A</v>
      </c>
      <c r="R2993" s="143" t="e">
        <v>#N/A</v>
      </c>
    </row>
    <row r="2994" spans="14:18" x14ac:dyDescent="0.2">
      <c r="N2994" s="139" t="str">
        <f t="shared" si="53"/>
        <v>1w</v>
      </c>
      <c r="O2994" s="146">
        <f>_xll.qlCalendarAdvance(Calendar,O2993,N2994,"f",FALSE)</f>
        <v>60181</v>
      </c>
      <c r="P2994" s="140">
        <f>_xll.qlInterestRateIndexValueDate(IborIndex,O2994)</f>
        <v>60183</v>
      </c>
      <c r="Q2994" s="141" t="e">
        <v>#N/A</v>
      </c>
      <c r="R2994" s="143" t="e">
        <v>#N/A</v>
      </c>
    </row>
    <row r="2995" spans="14:18" x14ac:dyDescent="0.2">
      <c r="N2995" s="139" t="str">
        <f t="shared" si="53"/>
        <v>1w</v>
      </c>
      <c r="O2995" s="146">
        <f>_xll.qlCalendarAdvance(Calendar,O2994,N2995,"f",FALSE)</f>
        <v>60188</v>
      </c>
      <c r="P2995" s="140">
        <f>_xll.qlInterestRateIndexValueDate(IborIndex,O2995)</f>
        <v>60190</v>
      </c>
      <c r="Q2995" s="141" t="e">
        <v>#N/A</v>
      </c>
      <c r="R2995" s="143" t="e">
        <v>#N/A</v>
      </c>
    </row>
    <row r="2996" spans="14:18" x14ac:dyDescent="0.2">
      <c r="N2996" s="139" t="str">
        <f t="shared" si="53"/>
        <v>1w</v>
      </c>
      <c r="O2996" s="146">
        <f>_xll.qlCalendarAdvance(Calendar,O2995,N2996,"f",FALSE)</f>
        <v>60195</v>
      </c>
      <c r="P2996" s="140">
        <f>_xll.qlInterestRateIndexValueDate(IborIndex,O2996)</f>
        <v>60197</v>
      </c>
      <c r="Q2996" s="141" t="e">
        <v>#N/A</v>
      </c>
      <c r="R2996" s="143" t="e">
        <v>#N/A</v>
      </c>
    </row>
    <row r="2997" spans="14:18" x14ac:dyDescent="0.2">
      <c r="N2997" s="139" t="str">
        <f t="shared" si="53"/>
        <v>1w</v>
      </c>
      <c r="O2997" s="146">
        <f>_xll.qlCalendarAdvance(Calendar,O2996,N2997,"f",FALSE)</f>
        <v>60202</v>
      </c>
      <c r="P2997" s="140">
        <f>_xll.qlInterestRateIndexValueDate(IborIndex,O2997)</f>
        <v>60204</v>
      </c>
      <c r="Q2997" s="141" t="e">
        <v>#N/A</v>
      </c>
      <c r="R2997" s="143" t="e">
        <v>#N/A</v>
      </c>
    </row>
    <row r="2998" spans="14:18" x14ac:dyDescent="0.2">
      <c r="N2998" s="139" t="str">
        <f t="shared" si="53"/>
        <v>1w</v>
      </c>
      <c r="O2998" s="146">
        <f>_xll.qlCalendarAdvance(Calendar,O2997,N2998,"f",FALSE)</f>
        <v>60209</v>
      </c>
      <c r="P2998" s="140">
        <f>_xll.qlInterestRateIndexValueDate(IborIndex,O2998)</f>
        <v>60211</v>
      </c>
      <c r="Q2998" s="141" t="e">
        <v>#N/A</v>
      </c>
      <c r="R2998" s="143" t="e">
        <v>#N/A</v>
      </c>
    </row>
    <row r="2999" spans="14:18" x14ac:dyDescent="0.2">
      <c r="N2999" s="139" t="str">
        <f t="shared" si="53"/>
        <v>1w</v>
      </c>
      <c r="O2999" s="146">
        <f>_xll.qlCalendarAdvance(Calendar,O2998,N2999,"f",FALSE)</f>
        <v>60216</v>
      </c>
      <c r="P2999" s="140">
        <f>_xll.qlInterestRateIndexValueDate(IborIndex,O2999)</f>
        <v>60218</v>
      </c>
      <c r="Q2999" s="141" t="e">
        <v>#N/A</v>
      </c>
      <c r="R2999" s="143" t="e">
        <v>#N/A</v>
      </c>
    </row>
    <row r="3000" spans="14:18" x14ac:dyDescent="0.2">
      <c r="N3000" s="139" t="str">
        <f t="shared" si="53"/>
        <v>1w</v>
      </c>
      <c r="O3000" s="146">
        <f>_xll.qlCalendarAdvance(Calendar,O2999,N3000,"f",FALSE)</f>
        <v>60223</v>
      </c>
      <c r="P3000" s="140">
        <f>_xll.qlInterestRateIndexValueDate(IborIndex,O3000)</f>
        <v>60225</v>
      </c>
      <c r="Q3000" s="141" t="e">
        <v>#N/A</v>
      </c>
      <c r="R3000" s="143" t="e">
        <v>#N/A</v>
      </c>
    </row>
    <row r="3001" spans="14:18" x14ac:dyDescent="0.2">
      <c r="N3001" s="139" t="str">
        <f t="shared" si="53"/>
        <v>1w</v>
      </c>
      <c r="O3001" s="146">
        <f>_xll.qlCalendarAdvance(Calendar,O3000,N3001,"f",FALSE)</f>
        <v>60230</v>
      </c>
      <c r="P3001" s="140">
        <f>_xll.qlInterestRateIndexValueDate(IborIndex,O3001)</f>
        <v>60232</v>
      </c>
      <c r="Q3001" s="141" t="e">
        <v>#N/A</v>
      </c>
      <c r="R3001" s="143" t="e">
        <v>#N/A</v>
      </c>
    </row>
    <row r="3002" spans="14:18" x14ac:dyDescent="0.2">
      <c r="N3002" s="139" t="str">
        <f t="shared" si="53"/>
        <v>1w</v>
      </c>
      <c r="O3002" s="146">
        <f>_xll.qlCalendarAdvance(Calendar,O3001,N3002,"f",FALSE)</f>
        <v>60237</v>
      </c>
      <c r="P3002" s="140">
        <f>_xll.qlInterestRateIndexValueDate(IborIndex,O3002)</f>
        <v>60239</v>
      </c>
      <c r="Q3002" s="141" t="e">
        <v>#N/A</v>
      </c>
      <c r="R3002" s="143" t="e">
        <v>#N/A</v>
      </c>
    </row>
    <row r="3003" spans="14:18" x14ac:dyDescent="0.2">
      <c r="N3003" s="139" t="str">
        <f t="shared" si="53"/>
        <v>1w</v>
      </c>
      <c r="O3003" s="146">
        <f>_xll.qlCalendarAdvance(Calendar,O3002,N3003,"f",FALSE)</f>
        <v>60244</v>
      </c>
      <c r="P3003" s="140">
        <f>_xll.qlInterestRateIndexValueDate(IborIndex,O3003)</f>
        <v>60246</v>
      </c>
      <c r="Q3003" s="141" t="e">
        <v>#N/A</v>
      </c>
      <c r="R3003" s="143" t="e">
        <v>#N/A</v>
      </c>
    </row>
    <row r="3004" spans="14:18" x14ac:dyDescent="0.2">
      <c r="N3004" s="139" t="str">
        <f t="shared" si="53"/>
        <v>1w</v>
      </c>
      <c r="O3004" s="146">
        <f>_xll.qlCalendarAdvance(Calendar,O3003,N3004,"f",FALSE)</f>
        <v>60251</v>
      </c>
      <c r="P3004" s="140">
        <f>_xll.qlInterestRateIndexValueDate(IborIndex,O3004)</f>
        <v>60253</v>
      </c>
      <c r="Q3004" s="141" t="e">
        <v>#N/A</v>
      </c>
      <c r="R3004" s="143" t="e">
        <v>#N/A</v>
      </c>
    </row>
    <row r="3005" spans="14:18" x14ac:dyDescent="0.2">
      <c r="N3005" s="139" t="str">
        <f t="shared" si="53"/>
        <v>1w</v>
      </c>
      <c r="O3005" s="146">
        <f>_xll.qlCalendarAdvance(Calendar,O3004,N3005,"f",FALSE)</f>
        <v>60258</v>
      </c>
      <c r="P3005" s="140">
        <f>_xll.qlInterestRateIndexValueDate(IborIndex,O3005)</f>
        <v>60265</v>
      </c>
      <c r="Q3005" s="141" t="e">
        <v>#N/A</v>
      </c>
      <c r="R3005" s="143" t="e">
        <v>#N/A</v>
      </c>
    </row>
    <row r="3006" spans="14:18" x14ac:dyDescent="0.2">
      <c r="N3006" s="139" t="str">
        <f t="shared" si="53"/>
        <v>1w</v>
      </c>
      <c r="O3006" s="146">
        <f>_xll.qlCalendarAdvance(Calendar,O3005,N3006,"f",FALSE)</f>
        <v>60265</v>
      </c>
      <c r="P3006" s="140">
        <f>_xll.qlInterestRateIndexValueDate(IborIndex,O3006)</f>
        <v>60269</v>
      </c>
      <c r="Q3006" s="141" t="e">
        <v>#N/A</v>
      </c>
      <c r="R3006" s="143" t="e">
        <v>#N/A</v>
      </c>
    </row>
    <row r="3007" spans="14:18" x14ac:dyDescent="0.2">
      <c r="N3007" s="139" t="str">
        <f t="shared" si="53"/>
        <v>1w</v>
      </c>
      <c r="O3007" s="146">
        <f>_xll.qlCalendarAdvance(Calendar,O3006,N3007,"f",FALSE)</f>
        <v>60272</v>
      </c>
      <c r="P3007" s="140">
        <f>_xll.qlInterestRateIndexValueDate(IborIndex,O3007)</f>
        <v>60275</v>
      </c>
      <c r="Q3007" s="141" t="e">
        <v>#N/A</v>
      </c>
      <c r="R3007" s="143" t="e">
        <v>#N/A</v>
      </c>
    </row>
    <row r="3008" spans="14:18" x14ac:dyDescent="0.2">
      <c r="N3008" s="139" t="str">
        <f t="shared" si="53"/>
        <v>1w</v>
      </c>
      <c r="O3008" s="146">
        <f>_xll.qlCalendarAdvance(Calendar,O3007,N3008,"f",FALSE)</f>
        <v>60279</v>
      </c>
      <c r="P3008" s="140">
        <f>_xll.qlInterestRateIndexValueDate(IborIndex,O3008)</f>
        <v>60281</v>
      </c>
      <c r="Q3008" s="141" t="e">
        <v>#N/A</v>
      </c>
      <c r="R3008" s="143" t="e">
        <v>#N/A</v>
      </c>
    </row>
    <row r="3009" spans="14:18" x14ac:dyDescent="0.2">
      <c r="N3009" s="139" t="str">
        <f t="shared" si="53"/>
        <v>1w</v>
      </c>
      <c r="O3009" s="146">
        <f>_xll.qlCalendarAdvance(Calendar,O3008,N3009,"f",FALSE)</f>
        <v>60286</v>
      </c>
      <c r="P3009" s="140">
        <f>_xll.qlInterestRateIndexValueDate(IborIndex,O3009)</f>
        <v>60288</v>
      </c>
      <c r="Q3009" s="141" t="e">
        <v>#N/A</v>
      </c>
      <c r="R3009" s="143" t="e">
        <v>#N/A</v>
      </c>
    </row>
    <row r="3010" spans="14:18" x14ac:dyDescent="0.2">
      <c r="N3010" s="139" t="str">
        <f t="shared" si="53"/>
        <v>1w</v>
      </c>
      <c r="O3010" s="146">
        <f>_xll.qlCalendarAdvance(Calendar,O3009,N3010,"f",FALSE)</f>
        <v>60293</v>
      </c>
      <c r="P3010" s="140">
        <f>_xll.qlInterestRateIndexValueDate(IborIndex,O3010)</f>
        <v>60295</v>
      </c>
      <c r="Q3010" s="141" t="e">
        <v>#N/A</v>
      </c>
      <c r="R3010" s="143" t="e">
        <v>#N/A</v>
      </c>
    </row>
    <row r="3011" spans="14:18" x14ac:dyDescent="0.2">
      <c r="N3011" s="139" t="str">
        <f t="shared" si="53"/>
        <v>1w</v>
      </c>
      <c r="O3011" s="146">
        <f>_xll.qlCalendarAdvance(Calendar,O3010,N3011,"f",FALSE)</f>
        <v>60300</v>
      </c>
      <c r="P3011" s="140">
        <f>_xll.qlInterestRateIndexValueDate(IborIndex,O3011)</f>
        <v>60302</v>
      </c>
      <c r="Q3011" s="141" t="e">
        <v>#N/A</v>
      </c>
      <c r="R3011" s="143" t="e">
        <v>#N/A</v>
      </c>
    </row>
    <row r="3012" spans="14:18" x14ac:dyDescent="0.2">
      <c r="N3012" s="139" t="str">
        <f t="shared" si="53"/>
        <v>1w</v>
      </c>
      <c r="O3012" s="146">
        <f>_xll.qlCalendarAdvance(Calendar,O3011,N3012,"f",FALSE)</f>
        <v>60307</v>
      </c>
      <c r="P3012" s="140">
        <f>_xll.qlInterestRateIndexValueDate(IborIndex,O3012)</f>
        <v>60309</v>
      </c>
      <c r="Q3012" s="141" t="e">
        <v>#N/A</v>
      </c>
      <c r="R3012" s="143" t="e">
        <v>#N/A</v>
      </c>
    </row>
    <row r="3013" spans="14:18" x14ac:dyDescent="0.2">
      <c r="N3013" s="139" t="str">
        <f t="shared" si="53"/>
        <v>1w</v>
      </c>
      <c r="O3013" s="146">
        <f>_xll.qlCalendarAdvance(Calendar,O3012,N3013,"f",FALSE)</f>
        <v>60314</v>
      </c>
      <c r="P3013" s="140">
        <f>_xll.qlInterestRateIndexValueDate(IborIndex,O3013)</f>
        <v>60316</v>
      </c>
      <c r="Q3013" s="141" t="e">
        <v>#N/A</v>
      </c>
      <c r="R3013" s="143" t="e">
        <v>#N/A</v>
      </c>
    </row>
    <row r="3014" spans="14:18" x14ac:dyDescent="0.2">
      <c r="N3014" s="139" t="str">
        <f t="shared" si="53"/>
        <v>1w</v>
      </c>
      <c r="O3014" s="146">
        <f>_xll.qlCalendarAdvance(Calendar,O3013,N3014,"f",FALSE)</f>
        <v>60321</v>
      </c>
      <c r="P3014" s="140">
        <f>_xll.qlInterestRateIndexValueDate(IborIndex,O3014)</f>
        <v>60323</v>
      </c>
      <c r="Q3014" s="141" t="e">
        <v>#N/A</v>
      </c>
      <c r="R3014" s="143" t="e">
        <v>#N/A</v>
      </c>
    </row>
    <row r="3015" spans="14:18" x14ac:dyDescent="0.2">
      <c r="N3015" s="139" t="str">
        <f t="shared" si="53"/>
        <v>1w</v>
      </c>
      <c r="O3015" s="146">
        <f>_xll.qlCalendarAdvance(Calendar,O3014,N3015,"f",FALSE)</f>
        <v>60328</v>
      </c>
      <c r="P3015" s="140">
        <f>_xll.qlInterestRateIndexValueDate(IborIndex,O3015)</f>
        <v>60330</v>
      </c>
      <c r="Q3015" s="141" t="e">
        <v>#N/A</v>
      </c>
      <c r="R3015" s="143" t="e">
        <v>#N/A</v>
      </c>
    </row>
    <row r="3016" spans="14:18" x14ac:dyDescent="0.2">
      <c r="N3016" s="139" t="str">
        <f t="shared" si="53"/>
        <v>1w</v>
      </c>
      <c r="O3016" s="146">
        <f>_xll.qlCalendarAdvance(Calendar,O3015,N3016,"f",FALSE)</f>
        <v>60335</v>
      </c>
      <c r="P3016" s="140">
        <f>_xll.qlInterestRateIndexValueDate(IborIndex,O3016)</f>
        <v>60337</v>
      </c>
      <c r="Q3016" s="141" t="e">
        <v>#N/A</v>
      </c>
      <c r="R3016" s="143" t="e">
        <v>#N/A</v>
      </c>
    </row>
    <row r="3017" spans="14:18" x14ac:dyDescent="0.2">
      <c r="N3017" s="139" t="str">
        <f t="shared" si="53"/>
        <v>1w</v>
      </c>
      <c r="O3017" s="146">
        <f>_xll.qlCalendarAdvance(Calendar,O3016,N3017,"f",FALSE)</f>
        <v>60342</v>
      </c>
      <c r="P3017" s="140">
        <f>_xll.qlInterestRateIndexValueDate(IborIndex,O3017)</f>
        <v>60344</v>
      </c>
      <c r="Q3017" s="141" t="e">
        <v>#N/A</v>
      </c>
      <c r="R3017" s="143" t="e">
        <v>#N/A</v>
      </c>
    </row>
    <row r="3018" spans="14:18" x14ac:dyDescent="0.2">
      <c r="N3018" s="139" t="str">
        <f t="shared" si="53"/>
        <v>1w</v>
      </c>
      <c r="O3018" s="146">
        <f>_xll.qlCalendarAdvance(Calendar,O3017,N3018,"f",FALSE)</f>
        <v>60349</v>
      </c>
      <c r="P3018" s="140">
        <f>_xll.qlInterestRateIndexValueDate(IborIndex,O3018)</f>
        <v>60351</v>
      </c>
      <c r="Q3018" s="141" t="e">
        <v>#N/A</v>
      </c>
      <c r="R3018" s="143" t="e">
        <v>#N/A</v>
      </c>
    </row>
    <row r="3019" spans="14:18" x14ac:dyDescent="0.2">
      <c r="N3019" s="139" t="str">
        <f t="shared" si="53"/>
        <v>1w</v>
      </c>
      <c r="O3019" s="146">
        <f>_xll.qlCalendarAdvance(Calendar,O3018,N3019,"f",FALSE)</f>
        <v>60357</v>
      </c>
      <c r="P3019" s="140">
        <f>_xll.qlInterestRateIndexValueDate(IborIndex,O3019)</f>
        <v>60359</v>
      </c>
      <c r="Q3019" s="141" t="e">
        <v>#N/A</v>
      </c>
      <c r="R3019" s="143" t="e">
        <v>#N/A</v>
      </c>
    </row>
    <row r="3020" spans="14:18" x14ac:dyDescent="0.2">
      <c r="N3020" s="139" t="str">
        <f t="shared" si="53"/>
        <v>1w</v>
      </c>
      <c r="O3020" s="146">
        <f>_xll.qlCalendarAdvance(Calendar,O3019,N3020,"f",FALSE)</f>
        <v>60364</v>
      </c>
      <c r="P3020" s="140">
        <f>_xll.qlInterestRateIndexValueDate(IborIndex,O3020)</f>
        <v>60366</v>
      </c>
      <c r="Q3020" s="141" t="e">
        <v>#N/A</v>
      </c>
      <c r="R3020" s="143" t="e">
        <v>#N/A</v>
      </c>
    </row>
    <row r="3021" spans="14:18" x14ac:dyDescent="0.2">
      <c r="N3021" s="139" t="str">
        <f t="shared" si="53"/>
        <v>1w</v>
      </c>
      <c r="O3021" s="146">
        <f>_xll.qlCalendarAdvance(Calendar,O3020,N3021,"f",FALSE)</f>
        <v>60371</v>
      </c>
      <c r="P3021" s="140">
        <f>_xll.qlInterestRateIndexValueDate(IborIndex,O3021)</f>
        <v>60373</v>
      </c>
      <c r="Q3021" s="141" t="e">
        <v>#N/A</v>
      </c>
      <c r="R3021" s="143" t="e">
        <v>#N/A</v>
      </c>
    </row>
    <row r="3022" spans="14:18" x14ac:dyDescent="0.2">
      <c r="N3022" s="139" t="str">
        <f t="shared" si="53"/>
        <v>1w</v>
      </c>
      <c r="O3022" s="146">
        <f>_xll.qlCalendarAdvance(Calendar,O3021,N3022,"f",FALSE)</f>
        <v>60378</v>
      </c>
      <c r="P3022" s="140">
        <f>_xll.qlInterestRateIndexValueDate(IborIndex,O3022)</f>
        <v>60380</v>
      </c>
      <c r="Q3022" s="141" t="e">
        <v>#N/A</v>
      </c>
      <c r="R3022" s="143" t="e">
        <v>#N/A</v>
      </c>
    </row>
    <row r="3023" spans="14:18" x14ac:dyDescent="0.2">
      <c r="N3023" s="139" t="str">
        <f t="shared" si="53"/>
        <v>1w</v>
      </c>
      <c r="O3023" s="146">
        <f>_xll.qlCalendarAdvance(Calendar,O3022,N3023,"f",FALSE)</f>
        <v>60385</v>
      </c>
      <c r="P3023" s="140">
        <f>_xll.qlInterestRateIndexValueDate(IborIndex,O3023)</f>
        <v>60387</v>
      </c>
      <c r="Q3023" s="141" t="e">
        <v>#N/A</v>
      </c>
      <c r="R3023" s="143" t="e">
        <v>#N/A</v>
      </c>
    </row>
    <row r="3024" spans="14:18" x14ac:dyDescent="0.2">
      <c r="N3024" s="139" t="str">
        <f t="shared" si="53"/>
        <v>1w</v>
      </c>
      <c r="O3024" s="146">
        <f>_xll.qlCalendarAdvance(Calendar,O3023,N3024,"f",FALSE)</f>
        <v>60392</v>
      </c>
      <c r="P3024" s="140">
        <f>_xll.qlInterestRateIndexValueDate(IborIndex,O3024)</f>
        <v>60395</v>
      </c>
      <c r="Q3024" s="141" t="e">
        <v>#N/A</v>
      </c>
      <c r="R3024" s="143" t="e">
        <v>#N/A</v>
      </c>
    </row>
    <row r="3025" spans="14:18" x14ac:dyDescent="0.2">
      <c r="N3025" s="139" t="str">
        <f t="shared" si="53"/>
        <v>1w</v>
      </c>
      <c r="O3025" s="146">
        <f>_xll.qlCalendarAdvance(Calendar,O3024,N3025,"f",FALSE)</f>
        <v>60399</v>
      </c>
      <c r="P3025" s="140">
        <f>_xll.qlInterestRateIndexValueDate(IborIndex,O3025)</f>
        <v>60401</v>
      </c>
      <c r="Q3025" s="141" t="e">
        <v>#N/A</v>
      </c>
      <c r="R3025" s="143" t="e">
        <v>#N/A</v>
      </c>
    </row>
    <row r="3026" spans="14:18" x14ac:dyDescent="0.2">
      <c r="N3026" s="139" t="str">
        <f t="shared" si="53"/>
        <v>1w</v>
      </c>
      <c r="O3026" s="146">
        <f>_xll.qlCalendarAdvance(Calendar,O3025,N3026,"f",FALSE)</f>
        <v>60406</v>
      </c>
      <c r="P3026" s="140">
        <f>_xll.qlInterestRateIndexValueDate(IborIndex,O3026)</f>
        <v>60408</v>
      </c>
      <c r="Q3026" s="141" t="e">
        <v>#N/A</v>
      </c>
      <c r="R3026" s="143" t="e">
        <v>#N/A</v>
      </c>
    </row>
    <row r="3027" spans="14:18" x14ac:dyDescent="0.2">
      <c r="N3027" s="139" t="str">
        <f t="shared" si="53"/>
        <v>1w</v>
      </c>
      <c r="O3027" s="146">
        <f>_xll.qlCalendarAdvance(Calendar,O3026,N3027,"f",FALSE)</f>
        <v>60413</v>
      </c>
      <c r="P3027" s="140">
        <f>_xll.qlInterestRateIndexValueDate(IborIndex,O3027)</f>
        <v>60415</v>
      </c>
      <c r="Q3027" s="141" t="e">
        <v>#N/A</v>
      </c>
      <c r="R3027" s="143" t="e">
        <v>#N/A</v>
      </c>
    </row>
    <row r="3028" spans="14:18" x14ac:dyDescent="0.2">
      <c r="N3028" s="139" t="str">
        <f t="shared" si="53"/>
        <v>1w</v>
      </c>
      <c r="O3028" s="146">
        <f>_xll.qlCalendarAdvance(Calendar,O3027,N3028,"f",FALSE)</f>
        <v>60420</v>
      </c>
      <c r="P3028" s="140">
        <f>_xll.qlInterestRateIndexValueDate(IborIndex,O3028)</f>
        <v>60422</v>
      </c>
      <c r="Q3028" s="141" t="e">
        <v>#N/A</v>
      </c>
      <c r="R3028" s="143" t="e">
        <v>#N/A</v>
      </c>
    </row>
    <row r="3029" spans="14:18" x14ac:dyDescent="0.2">
      <c r="N3029" s="139" t="str">
        <f t="shared" ref="N3029:N3092" si="54">N3028</f>
        <v>1w</v>
      </c>
      <c r="O3029" s="146">
        <f>_xll.qlCalendarAdvance(Calendar,O3028,N3029,"f",FALSE)</f>
        <v>60427</v>
      </c>
      <c r="P3029" s="140">
        <f>_xll.qlInterestRateIndexValueDate(IborIndex,O3029)</f>
        <v>60429</v>
      </c>
      <c r="Q3029" s="141" t="e">
        <v>#N/A</v>
      </c>
      <c r="R3029" s="143" t="e">
        <v>#N/A</v>
      </c>
    </row>
    <row r="3030" spans="14:18" x14ac:dyDescent="0.2">
      <c r="N3030" s="139" t="str">
        <f t="shared" si="54"/>
        <v>1w</v>
      </c>
      <c r="O3030" s="146">
        <f>_xll.qlCalendarAdvance(Calendar,O3029,N3030,"f",FALSE)</f>
        <v>60434</v>
      </c>
      <c r="P3030" s="140">
        <f>_xll.qlInterestRateIndexValueDate(IborIndex,O3030)</f>
        <v>60436</v>
      </c>
      <c r="Q3030" s="141" t="e">
        <v>#N/A</v>
      </c>
      <c r="R3030" s="143" t="e">
        <v>#N/A</v>
      </c>
    </row>
    <row r="3031" spans="14:18" x14ac:dyDescent="0.2">
      <c r="N3031" s="139" t="str">
        <f t="shared" si="54"/>
        <v>1w</v>
      </c>
      <c r="O3031" s="146">
        <f>_xll.qlCalendarAdvance(Calendar,O3030,N3031,"f",FALSE)</f>
        <v>60441</v>
      </c>
      <c r="P3031" s="140">
        <f>_xll.qlInterestRateIndexValueDate(IborIndex,O3031)</f>
        <v>60443</v>
      </c>
      <c r="Q3031" s="141" t="e">
        <v>#N/A</v>
      </c>
      <c r="R3031" s="143" t="e">
        <v>#N/A</v>
      </c>
    </row>
    <row r="3032" spans="14:18" x14ac:dyDescent="0.2">
      <c r="N3032" s="139" t="str">
        <f t="shared" si="54"/>
        <v>1w</v>
      </c>
      <c r="O3032" s="146">
        <f>_xll.qlCalendarAdvance(Calendar,O3031,N3032,"f",FALSE)</f>
        <v>60448</v>
      </c>
      <c r="P3032" s="140">
        <f>_xll.qlInterestRateIndexValueDate(IborIndex,O3032)</f>
        <v>60450</v>
      </c>
      <c r="Q3032" s="141" t="e">
        <v>#N/A</v>
      </c>
      <c r="R3032" s="143" t="e">
        <v>#N/A</v>
      </c>
    </row>
    <row r="3033" spans="14:18" x14ac:dyDescent="0.2">
      <c r="N3033" s="139" t="str">
        <f t="shared" si="54"/>
        <v>1w</v>
      </c>
      <c r="O3033" s="146">
        <f>_xll.qlCalendarAdvance(Calendar,O3032,N3033,"f",FALSE)</f>
        <v>60455</v>
      </c>
      <c r="P3033" s="140">
        <f>_xll.qlInterestRateIndexValueDate(IborIndex,O3033)</f>
        <v>60457</v>
      </c>
      <c r="Q3033" s="141" t="e">
        <v>#N/A</v>
      </c>
      <c r="R3033" s="143" t="e">
        <v>#N/A</v>
      </c>
    </row>
    <row r="3034" spans="14:18" x14ac:dyDescent="0.2">
      <c r="N3034" s="139" t="str">
        <f t="shared" si="54"/>
        <v>1w</v>
      </c>
      <c r="O3034" s="146">
        <f>_xll.qlCalendarAdvance(Calendar,O3033,N3034,"f",FALSE)</f>
        <v>60462</v>
      </c>
      <c r="P3034" s="140">
        <f>_xll.qlInterestRateIndexValueDate(IborIndex,O3034)</f>
        <v>60464</v>
      </c>
      <c r="Q3034" s="141" t="e">
        <v>#N/A</v>
      </c>
      <c r="R3034" s="143" t="e">
        <v>#N/A</v>
      </c>
    </row>
    <row r="3035" spans="14:18" x14ac:dyDescent="0.2">
      <c r="N3035" s="139" t="str">
        <f t="shared" si="54"/>
        <v>1w</v>
      </c>
      <c r="O3035" s="146">
        <f>_xll.qlCalendarAdvance(Calendar,O3034,N3035,"f",FALSE)</f>
        <v>60469</v>
      </c>
      <c r="P3035" s="140">
        <f>_xll.qlInterestRateIndexValueDate(IborIndex,O3035)</f>
        <v>60471</v>
      </c>
      <c r="Q3035" s="141" t="e">
        <v>#N/A</v>
      </c>
      <c r="R3035" s="143" t="e">
        <v>#N/A</v>
      </c>
    </row>
    <row r="3036" spans="14:18" x14ac:dyDescent="0.2">
      <c r="N3036" s="139" t="str">
        <f t="shared" si="54"/>
        <v>1w</v>
      </c>
      <c r="O3036" s="146">
        <f>_xll.qlCalendarAdvance(Calendar,O3035,N3036,"f",FALSE)</f>
        <v>60476</v>
      </c>
      <c r="P3036" s="140">
        <f>_xll.qlInterestRateIndexValueDate(IborIndex,O3036)</f>
        <v>60478</v>
      </c>
      <c r="Q3036" s="141" t="e">
        <v>#N/A</v>
      </c>
      <c r="R3036" s="143" t="e">
        <v>#N/A</v>
      </c>
    </row>
    <row r="3037" spans="14:18" x14ac:dyDescent="0.2">
      <c r="N3037" s="139" t="str">
        <f t="shared" si="54"/>
        <v>1w</v>
      </c>
      <c r="O3037" s="146">
        <f>_xll.qlCalendarAdvance(Calendar,O3036,N3037,"f",FALSE)</f>
        <v>60483</v>
      </c>
      <c r="P3037" s="140">
        <f>_xll.qlInterestRateIndexValueDate(IborIndex,O3037)</f>
        <v>60485</v>
      </c>
      <c r="Q3037" s="141" t="e">
        <v>#N/A</v>
      </c>
      <c r="R3037" s="143" t="e">
        <v>#N/A</v>
      </c>
    </row>
    <row r="3038" spans="14:18" x14ac:dyDescent="0.2">
      <c r="N3038" s="139" t="str">
        <f t="shared" si="54"/>
        <v>1w</v>
      </c>
      <c r="O3038" s="146">
        <f>_xll.qlCalendarAdvance(Calendar,O3037,N3038,"f",FALSE)</f>
        <v>60490</v>
      </c>
      <c r="P3038" s="140">
        <f>_xll.qlInterestRateIndexValueDate(IborIndex,O3038)</f>
        <v>60492</v>
      </c>
      <c r="Q3038" s="141" t="e">
        <v>#N/A</v>
      </c>
      <c r="R3038" s="143" t="e">
        <v>#N/A</v>
      </c>
    </row>
    <row r="3039" spans="14:18" x14ac:dyDescent="0.2">
      <c r="N3039" s="139" t="str">
        <f t="shared" si="54"/>
        <v>1w</v>
      </c>
      <c r="O3039" s="146">
        <f>_xll.qlCalendarAdvance(Calendar,O3038,N3039,"f",FALSE)</f>
        <v>60497</v>
      </c>
      <c r="P3039" s="140">
        <f>_xll.qlInterestRateIndexValueDate(IborIndex,O3039)</f>
        <v>60499</v>
      </c>
      <c r="Q3039" s="141" t="e">
        <v>#N/A</v>
      </c>
      <c r="R3039" s="143" t="e">
        <v>#N/A</v>
      </c>
    </row>
    <row r="3040" spans="14:18" x14ac:dyDescent="0.2">
      <c r="N3040" s="139" t="str">
        <f t="shared" si="54"/>
        <v>1w</v>
      </c>
      <c r="O3040" s="146">
        <f>_xll.qlCalendarAdvance(Calendar,O3039,N3040,"f",FALSE)</f>
        <v>60504</v>
      </c>
      <c r="P3040" s="140">
        <f>_xll.qlInterestRateIndexValueDate(IborIndex,O3040)</f>
        <v>60506</v>
      </c>
      <c r="Q3040" s="141" t="e">
        <v>#N/A</v>
      </c>
      <c r="R3040" s="143" t="e">
        <v>#N/A</v>
      </c>
    </row>
    <row r="3041" spans="14:18" x14ac:dyDescent="0.2">
      <c r="N3041" s="139" t="str">
        <f t="shared" si="54"/>
        <v>1w</v>
      </c>
      <c r="O3041" s="146">
        <f>_xll.qlCalendarAdvance(Calendar,O3040,N3041,"f",FALSE)</f>
        <v>60511</v>
      </c>
      <c r="P3041" s="140">
        <f>_xll.qlInterestRateIndexValueDate(IborIndex,O3041)</f>
        <v>60513</v>
      </c>
      <c r="Q3041" s="141" t="e">
        <v>#N/A</v>
      </c>
      <c r="R3041" s="143" t="e">
        <v>#N/A</v>
      </c>
    </row>
    <row r="3042" spans="14:18" x14ac:dyDescent="0.2">
      <c r="N3042" s="139" t="str">
        <f t="shared" si="54"/>
        <v>1w</v>
      </c>
      <c r="O3042" s="146">
        <f>_xll.qlCalendarAdvance(Calendar,O3041,N3042,"f",FALSE)</f>
        <v>60518</v>
      </c>
      <c r="P3042" s="140">
        <f>_xll.qlInterestRateIndexValueDate(IborIndex,O3042)</f>
        <v>60520</v>
      </c>
      <c r="Q3042" s="141" t="e">
        <v>#N/A</v>
      </c>
      <c r="R3042" s="143" t="e">
        <v>#N/A</v>
      </c>
    </row>
    <row r="3043" spans="14:18" x14ac:dyDescent="0.2">
      <c r="N3043" s="139" t="str">
        <f t="shared" si="54"/>
        <v>1w</v>
      </c>
      <c r="O3043" s="146">
        <f>_xll.qlCalendarAdvance(Calendar,O3042,N3043,"f",FALSE)</f>
        <v>60525</v>
      </c>
      <c r="P3043" s="140">
        <f>_xll.qlInterestRateIndexValueDate(IborIndex,O3043)</f>
        <v>60527</v>
      </c>
      <c r="Q3043" s="141" t="e">
        <v>#N/A</v>
      </c>
      <c r="R3043" s="143" t="e">
        <v>#N/A</v>
      </c>
    </row>
    <row r="3044" spans="14:18" x14ac:dyDescent="0.2">
      <c r="N3044" s="139" t="str">
        <f t="shared" si="54"/>
        <v>1w</v>
      </c>
      <c r="O3044" s="146">
        <f>_xll.qlCalendarAdvance(Calendar,O3043,N3044,"f",FALSE)</f>
        <v>60532</v>
      </c>
      <c r="P3044" s="140">
        <f>_xll.qlInterestRateIndexValueDate(IborIndex,O3044)</f>
        <v>60534</v>
      </c>
      <c r="Q3044" s="141" t="e">
        <v>#N/A</v>
      </c>
      <c r="R3044" s="143" t="e">
        <v>#N/A</v>
      </c>
    </row>
    <row r="3045" spans="14:18" x14ac:dyDescent="0.2">
      <c r="N3045" s="139" t="str">
        <f t="shared" si="54"/>
        <v>1w</v>
      </c>
      <c r="O3045" s="146">
        <f>_xll.qlCalendarAdvance(Calendar,O3044,N3045,"f",FALSE)</f>
        <v>60539</v>
      </c>
      <c r="P3045" s="140">
        <f>_xll.qlInterestRateIndexValueDate(IborIndex,O3045)</f>
        <v>60541</v>
      </c>
      <c r="Q3045" s="141" t="e">
        <v>#N/A</v>
      </c>
      <c r="R3045" s="143" t="e">
        <v>#N/A</v>
      </c>
    </row>
    <row r="3046" spans="14:18" x14ac:dyDescent="0.2">
      <c r="N3046" s="139" t="str">
        <f t="shared" si="54"/>
        <v>1w</v>
      </c>
      <c r="O3046" s="146">
        <f>_xll.qlCalendarAdvance(Calendar,O3045,N3046,"f",FALSE)</f>
        <v>60546</v>
      </c>
      <c r="P3046" s="140">
        <f>_xll.qlInterestRateIndexValueDate(IborIndex,O3046)</f>
        <v>60548</v>
      </c>
      <c r="Q3046" s="141" t="e">
        <v>#N/A</v>
      </c>
      <c r="R3046" s="143" t="e">
        <v>#N/A</v>
      </c>
    </row>
    <row r="3047" spans="14:18" x14ac:dyDescent="0.2">
      <c r="N3047" s="139" t="str">
        <f t="shared" si="54"/>
        <v>1w</v>
      </c>
      <c r="O3047" s="146">
        <f>_xll.qlCalendarAdvance(Calendar,O3046,N3047,"f",FALSE)</f>
        <v>60553</v>
      </c>
      <c r="P3047" s="140">
        <f>_xll.qlInterestRateIndexValueDate(IborIndex,O3047)</f>
        <v>60555</v>
      </c>
      <c r="Q3047" s="141" t="e">
        <v>#N/A</v>
      </c>
      <c r="R3047" s="143" t="e">
        <v>#N/A</v>
      </c>
    </row>
    <row r="3048" spans="14:18" x14ac:dyDescent="0.2">
      <c r="N3048" s="139" t="str">
        <f t="shared" si="54"/>
        <v>1w</v>
      </c>
      <c r="O3048" s="146">
        <f>_xll.qlCalendarAdvance(Calendar,O3047,N3048,"f",FALSE)</f>
        <v>60560</v>
      </c>
      <c r="P3048" s="140">
        <f>_xll.qlInterestRateIndexValueDate(IborIndex,O3048)</f>
        <v>60562</v>
      </c>
      <c r="Q3048" s="141" t="e">
        <v>#N/A</v>
      </c>
      <c r="R3048" s="143" t="e">
        <v>#N/A</v>
      </c>
    </row>
    <row r="3049" spans="14:18" x14ac:dyDescent="0.2">
      <c r="N3049" s="139" t="str">
        <f t="shared" si="54"/>
        <v>1w</v>
      </c>
      <c r="O3049" s="146">
        <f>_xll.qlCalendarAdvance(Calendar,O3048,N3049,"f",FALSE)</f>
        <v>60567</v>
      </c>
      <c r="P3049" s="140">
        <f>_xll.qlInterestRateIndexValueDate(IborIndex,O3049)</f>
        <v>60569</v>
      </c>
      <c r="Q3049" s="141" t="e">
        <v>#N/A</v>
      </c>
      <c r="R3049" s="143" t="e">
        <v>#N/A</v>
      </c>
    </row>
    <row r="3050" spans="14:18" x14ac:dyDescent="0.2">
      <c r="N3050" s="139" t="str">
        <f t="shared" si="54"/>
        <v>1w</v>
      </c>
      <c r="O3050" s="146">
        <f>_xll.qlCalendarAdvance(Calendar,O3049,N3050,"f",FALSE)</f>
        <v>60574</v>
      </c>
      <c r="P3050" s="140">
        <f>_xll.qlInterestRateIndexValueDate(IborIndex,O3050)</f>
        <v>60576</v>
      </c>
      <c r="Q3050" s="141" t="e">
        <v>#N/A</v>
      </c>
      <c r="R3050" s="143" t="e">
        <v>#N/A</v>
      </c>
    </row>
    <row r="3051" spans="14:18" x14ac:dyDescent="0.2">
      <c r="N3051" s="139" t="str">
        <f t="shared" si="54"/>
        <v>1w</v>
      </c>
      <c r="O3051" s="146">
        <f>_xll.qlCalendarAdvance(Calendar,O3050,N3051,"f",FALSE)</f>
        <v>60581</v>
      </c>
      <c r="P3051" s="140">
        <f>_xll.qlInterestRateIndexValueDate(IborIndex,O3051)</f>
        <v>60583</v>
      </c>
      <c r="Q3051" s="141" t="e">
        <v>#N/A</v>
      </c>
      <c r="R3051" s="143" t="e">
        <v>#N/A</v>
      </c>
    </row>
    <row r="3052" spans="14:18" x14ac:dyDescent="0.2">
      <c r="N3052" s="139" t="str">
        <f t="shared" si="54"/>
        <v>1w</v>
      </c>
      <c r="O3052" s="146">
        <f>_xll.qlCalendarAdvance(Calendar,O3051,N3052,"f",FALSE)</f>
        <v>60588</v>
      </c>
      <c r="P3052" s="140">
        <f>_xll.qlInterestRateIndexValueDate(IborIndex,O3052)</f>
        <v>60590</v>
      </c>
      <c r="Q3052" s="141" t="e">
        <v>#N/A</v>
      </c>
      <c r="R3052" s="143" t="e">
        <v>#N/A</v>
      </c>
    </row>
    <row r="3053" spans="14:18" x14ac:dyDescent="0.2">
      <c r="N3053" s="139" t="str">
        <f t="shared" si="54"/>
        <v>1w</v>
      </c>
      <c r="O3053" s="146">
        <f>_xll.qlCalendarAdvance(Calendar,O3052,N3053,"f",FALSE)</f>
        <v>60595</v>
      </c>
      <c r="P3053" s="140">
        <f>_xll.qlInterestRateIndexValueDate(IborIndex,O3053)</f>
        <v>60597</v>
      </c>
      <c r="Q3053" s="141" t="e">
        <v>#N/A</v>
      </c>
      <c r="R3053" s="143" t="e">
        <v>#N/A</v>
      </c>
    </row>
    <row r="3054" spans="14:18" x14ac:dyDescent="0.2">
      <c r="N3054" s="139" t="str">
        <f t="shared" si="54"/>
        <v>1w</v>
      </c>
      <c r="O3054" s="146">
        <f>_xll.qlCalendarAdvance(Calendar,O3053,N3054,"f",FALSE)</f>
        <v>60602</v>
      </c>
      <c r="P3054" s="140">
        <f>_xll.qlInterestRateIndexValueDate(IborIndex,O3054)</f>
        <v>60604</v>
      </c>
      <c r="Q3054" s="141" t="e">
        <v>#N/A</v>
      </c>
      <c r="R3054" s="143" t="e">
        <v>#N/A</v>
      </c>
    </row>
    <row r="3055" spans="14:18" x14ac:dyDescent="0.2">
      <c r="N3055" s="139" t="str">
        <f t="shared" si="54"/>
        <v>1w</v>
      </c>
      <c r="O3055" s="146">
        <f>_xll.qlCalendarAdvance(Calendar,O3054,N3055,"f",FALSE)</f>
        <v>60609</v>
      </c>
      <c r="P3055" s="140">
        <f>_xll.qlInterestRateIndexValueDate(IborIndex,O3055)</f>
        <v>60611</v>
      </c>
      <c r="Q3055" s="141" t="e">
        <v>#N/A</v>
      </c>
      <c r="R3055" s="143" t="e">
        <v>#N/A</v>
      </c>
    </row>
    <row r="3056" spans="14:18" x14ac:dyDescent="0.2">
      <c r="N3056" s="139" t="str">
        <f t="shared" si="54"/>
        <v>1w</v>
      </c>
      <c r="O3056" s="146">
        <f>_xll.qlCalendarAdvance(Calendar,O3055,N3056,"f",FALSE)</f>
        <v>60616</v>
      </c>
      <c r="P3056" s="140">
        <f>_xll.qlInterestRateIndexValueDate(IborIndex,O3056)</f>
        <v>60618</v>
      </c>
      <c r="Q3056" s="141" t="e">
        <v>#N/A</v>
      </c>
      <c r="R3056" s="143" t="e">
        <v>#N/A</v>
      </c>
    </row>
    <row r="3057" spans="14:18" x14ac:dyDescent="0.2">
      <c r="N3057" s="139" t="str">
        <f t="shared" si="54"/>
        <v>1w</v>
      </c>
      <c r="O3057" s="146">
        <f>_xll.qlCalendarAdvance(Calendar,O3056,N3057,"f",FALSE)</f>
        <v>60623</v>
      </c>
      <c r="P3057" s="140">
        <f>_xll.qlInterestRateIndexValueDate(IborIndex,O3057)</f>
        <v>60629</v>
      </c>
      <c r="Q3057" s="141" t="e">
        <v>#N/A</v>
      </c>
      <c r="R3057" s="143" t="e">
        <v>#N/A</v>
      </c>
    </row>
    <row r="3058" spans="14:18" x14ac:dyDescent="0.2">
      <c r="N3058" s="139" t="str">
        <f t="shared" si="54"/>
        <v>1w</v>
      </c>
      <c r="O3058" s="146">
        <f>_xll.qlCalendarAdvance(Calendar,O3057,N3058,"f",FALSE)</f>
        <v>60630</v>
      </c>
      <c r="P3058" s="140">
        <f>_xll.qlInterestRateIndexValueDate(IborIndex,O3058)</f>
        <v>60636</v>
      </c>
      <c r="Q3058" s="141" t="e">
        <v>#N/A</v>
      </c>
      <c r="R3058" s="143" t="e">
        <v>#N/A</v>
      </c>
    </row>
    <row r="3059" spans="14:18" x14ac:dyDescent="0.2">
      <c r="N3059" s="139" t="str">
        <f t="shared" si="54"/>
        <v>1w</v>
      </c>
      <c r="O3059" s="146">
        <f>_xll.qlCalendarAdvance(Calendar,O3058,N3059,"f",FALSE)</f>
        <v>60637</v>
      </c>
      <c r="P3059" s="140">
        <f>_xll.qlInterestRateIndexValueDate(IborIndex,O3059)</f>
        <v>60640</v>
      </c>
      <c r="Q3059" s="141" t="e">
        <v>#N/A</v>
      </c>
      <c r="R3059" s="143" t="e">
        <v>#N/A</v>
      </c>
    </row>
    <row r="3060" spans="14:18" x14ac:dyDescent="0.2">
      <c r="N3060" s="139" t="str">
        <f t="shared" si="54"/>
        <v>1w</v>
      </c>
      <c r="O3060" s="146">
        <f>_xll.qlCalendarAdvance(Calendar,O3059,N3060,"f",FALSE)</f>
        <v>60644</v>
      </c>
      <c r="P3060" s="140">
        <f>_xll.qlInterestRateIndexValueDate(IborIndex,O3060)</f>
        <v>60646</v>
      </c>
      <c r="Q3060" s="141" t="e">
        <v>#N/A</v>
      </c>
      <c r="R3060" s="143" t="e">
        <v>#N/A</v>
      </c>
    </row>
    <row r="3061" spans="14:18" x14ac:dyDescent="0.2">
      <c r="N3061" s="139" t="str">
        <f t="shared" si="54"/>
        <v>1w</v>
      </c>
      <c r="O3061" s="146">
        <f>_xll.qlCalendarAdvance(Calendar,O3060,N3061,"f",FALSE)</f>
        <v>60651</v>
      </c>
      <c r="P3061" s="140">
        <f>_xll.qlInterestRateIndexValueDate(IborIndex,O3061)</f>
        <v>60653</v>
      </c>
      <c r="Q3061" s="141" t="e">
        <v>#N/A</v>
      </c>
      <c r="R3061" s="143" t="e">
        <v>#N/A</v>
      </c>
    </row>
    <row r="3062" spans="14:18" x14ac:dyDescent="0.2">
      <c r="N3062" s="139" t="str">
        <f t="shared" si="54"/>
        <v>1w</v>
      </c>
      <c r="O3062" s="146">
        <f>_xll.qlCalendarAdvance(Calendar,O3061,N3062,"f",FALSE)</f>
        <v>60658</v>
      </c>
      <c r="P3062" s="140">
        <f>_xll.qlInterestRateIndexValueDate(IborIndex,O3062)</f>
        <v>60660</v>
      </c>
      <c r="Q3062" s="141" t="e">
        <v>#N/A</v>
      </c>
      <c r="R3062" s="143" t="e">
        <v>#N/A</v>
      </c>
    </row>
    <row r="3063" spans="14:18" x14ac:dyDescent="0.2">
      <c r="N3063" s="139" t="str">
        <f t="shared" si="54"/>
        <v>1w</v>
      </c>
      <c r="O3063" s="146">
        <f>_xll.qlCalendarAdvance(Calendar,O3062,N3063,"f",FALSE)</f>
        <v>60665</v>
      </c>
      <c r="P3063" s="140">
        <f>_xll.qlInterestRateIndexValueDate(IborIndex,O3063)</f>
        <v>60667</v>
      </c>
      <c r="Q3063" s="141" t="e">
        <v>#N/A</v>
      </c>
      <c r="R3063" s="143" t="e">
        <v>#N/A</v>
      </c>
    </row>
    <row r="3064" spans="14:18" x14ac:dyDescent="0.2">
      <c r="N3064" s="139" t="str">
        <f t="shared" si="54"/>
        <v>1w</v>
      </c>
      <c r="O3064" s="146">
        <f>_xll.qlCalendarAdvance(Calendar,O3063,N3064,"f",FALSE)</f>
        <v>60672</v>
      </c>
      <c r="P3064" s="140">
        <f>_xll.qlInterestRateIndexValueDate(IborIndex,O3064)</f>
        <v>60674</v>
      </c>
      <c r="Q3064" s="141" t="e">
        <v>#N/A</v>
      </c>
      <c r="R3064" s="143" t="e">
        <v>#N/A</v>
      </c>
    </row>
    <row r="3065" spans="14:18" x14ac:dyDescent="0.2">
      <c r="N3065" s="139" t="str">
        <f t="shared" si="54"/>
        <v>1w</v>
      </c>
      <c r="O3065" s="146">
        <f>_xll.qlCalendarAdvance(Calendar,O3064,N3065,"f",FALSE)</f>
        <v>60679</v>
      </c>
      <c r="P3065" s="140">
        <f>_xll.qlInterestRateIndexValueDate(IborIndex,O3065)</f>
        <v>60681</v>
      </c>
      <c r="Q3065" s="141" t="e">
        <v>#N/A</v>
      </c>
      <c r="R3065" s="143" t="e">
        <v>#N/A</v>
      </c>
    </row>
    <row r="3066" spans="14:18" x14ac:dyDescent="0.2">
      <c r="N3066" s="139" t="str">
        <f t="shared" si="54"/>
        <v>1w</v>
      </c>
      <c r="O3066" s="146">
        <f>_xll.qlCalendarAdvance(Calendar,O3065,N3066,"f",FALSE)</f>
        <v>60686</v>
      </c>
      <c r="P3066" s="140">
        <f>_xll.qlInterestRateIndexValueDate(IborIndex,O3066)</f>
        <v>60688</v>
      </c>
      <c r="Q3066" s="141" t="e">
        <v>#N/A</v>
      </c>
      <c r="R3066" s="143" t="e">
        <v>#N/A</v>
      </c>
    </row>
    <row r="3067" spans="14:18" x14ac:dyDescent="0.2">
      <c r="N3067" s="139" t="str">
        <f t="shared" si="54"/>
        <v>1w</v>
      </c>
      <c r="O3067" s="146">
        <f>_xll.qlCalendarAdvance(Calendar,O3066,N3067,"f",FALSE)</f>
        <v>60693</v>
      </c>
      <c r="P3067" s="140">
        <f>_xll.qlInterestRateIndexValueDate(IborIndex,O3067)</f>
        <v>60695</v>
      </c>
      <c r="Q3067" s="141" t="e">
        <v>#N/A</v>
      </c>
      <c r="R3067" s="143" t="e">
        <v>#N/A</v>
      </c>
    </row>
    <row r="3068" spans="14:18" x14ac:dyDescent="0.2">
      <c r="N3068" s="139" t="str">
        <f t="shared" si="54"/>
        <v>1w</v>
      </c>
      <c r="O3068" s="146">
        <f>_xll.qlCalendarAdvance(Calendar,O3067,N3068,"f",FALSE)</f>
        <v>60700</v>
      </c>
      <c r="P3068" s="140">
        <f>_xll.qlInterestRateIndexValueDate(IborIndex,O3068)</f>
        <v>60702</v>
      </c>
      <c r="Q3068" s="141" t="e">
        <v>#N/A</v>
      </c>
      <c r="R3068" s="143" t="e">
        <v>#N/A</v>
      </c>
    </row>
    <row r="3069" spans="14:18" x14ac:dyDescent="0.2">
      <c r="N3069" s="139" t="str">
        <f t="shared" si="54"/>
        <v>1w</v>
      </c>
      <c r="O3069" s="146">
        <f>_xll.qlCalendarAdvance(Calendar,O3068,N3069,"f",FALSE)</f>
        <v>60707</v>
      </c>
      <c r="P3069" s="140">
        <f>_xll.qlInterestRateIndexValueDate(IborIndex,O3069)</f>
        <v>60709</v>
      </c>
      <c r="Q3069" s="141" t="e">
        <v>#N/A</v>
      </c>
      <c r="R3069" s="143" t="e">
        <v>#N/A</v>
      </c>
    </row>
    <row r="3070" spans="14:18" x14ac:dyDescent="0.2">
      <c r="N3070" s="139" t="str">
        <f t="shared" si="54"/>
        <v>1w</v>
      </c>
      <c r="O3070" s="146">
        <f>_xll.qlCalendarAdvance(Calendar,O3069,N3070,"f",FALSE)</f>
        <v>60714</v>
      </c>
      <c r="P3070" s="140">
        <f>_xll.qlInterestRateIndexValueDate(IborIndex,O3070)</f>
        <v>60716</v>
      </c>
      <c r="Q3070" s="141" t="e">
        <v>#N/A</v>
      </c>
      <c r="R3070" s="143" t="e">
        <v>#N/A</v>
      </c>
    </row>
    <row r="3071" spans="14:18" x14ac:dyDescent="0.2">
      <c r="N3071" s="139" t="str">
        <f t="shared" si="54"/>
        <v>1w</v>
      </c>
      <c r="O3071" s="146">
        <f>_xll.qlCalendarAdvance(Calendar,O3070,N3071,"f",FALSE)</f>
        <v>60721</v>
      </c>
      <c r="P3071" s="140">
        <f>_xll.qlInterestRateIndexValueDate(IborIndex,O3071)</f>
        <v>60723</v>
      </c>
      <c r="Q3071" s="141" t="e">
        <v>#N/A</v>
      </c>
      <c r="R3071" s="143" t="e">
        <v>#N/A</v>
      </c>
    </row>
    <row r="3072" spans="14:18" x14ac:dyDescent="0.2">
      <c r="N3072" s="139" t="str">
        <f t="shared" si="54"/>
        <v>1w</v>
      </c>
      <c r="O3072" s="146">
        <f>_xll.qlCalendarAdvance(Calendar,O3071,N3072,"f",FALSE)</f>
        <v>60728</v>
      </c>
      <c r="P3072" s="140">
        <f>_xll.qlInterestRateIndexValueDate(IborIndex,O3072)</f>
        <v>60730</v>
      </c>
      <c r="Q3072" s="141" t="e">
        <v>#N/A</v>
      </c>
      <c r="R3072" s="143" t="e">
        <v>#N/A</v>
      </c>
    </row>
    <row r="3073" spans="14:18" x14ac:dyDescent="0.2">
      <c r="N3073" s="139" t="str">
        <f t="shared" si="54"/>
        <v>1w</v>
      </c>
      <c r="O3073" s="146">
        <f>_xll.qlCalendarAdvance(Calendar,O3072,N3073,"f",FALSE)</f>
        <v>60735</v>
      </c>
      <c r="P3073" s="140">
        <f>_xll.qlInterestRateIndexValueDate(IborIndex,O3073)</f>
        <v>60737</v>
      </c>
      <c r="Q3073" s="141" t="e">
        <v>#N/A</v>
      </c>
      <c r="R3073" s="143" t="e">
        <v>#N/A</v>
      </c>
    </row>
    <row r="3074" spans="14:18" x14ac:dyDescent="0.2">
      <c r="N3074" s="139" t="str">
        <f t="shared" si="54"/>
        <v>1w</v>
      </c>
      <c r="O3074" s="146">
        <f>_xll.qlCalendarAdvance(Calendar,O3073,N3074,"f",FALSE)</f>
        <v>60742</v>
      </c>
      <c r="P3074" s="140">
        <f>_xll.qlInterestRateIndexValueDate(IborIndex,O3074)</f>
        <v>60744</v>
      </c>
      <c r="Q3074" s="141" t="e">
        <v>#N/A</v>
      </c>
      <c r="R3074" s="143" t="e">
        <v>#N/A</v>
      </c>
    </row>
    <row r="3075" spans="14:18" x14ac:dyDescent="0.2">
      <c r="N3075" s="139" t="str">
        <f t="shared" si="54"/>
        <v>1w</v>
      </c>
      <c r="O3075" s="146">
        <f>_xll.qlCalendarAdvance(Calendar,O3074,N3075,"f",FALSE)</f>
        <v>60749</v>
      </c>
      <c r="P3075" s="140">
        <f>_xll.qlInterestRateIndexValueDate(IborIndex,O3075)</f>
        <v>60751</v>
      </c>
      <c r="Q3075" s="141" t="e">
        <v>#N/A</v>
      </c>
      <c r="R3075" s="143" t="e">
        <v>#N/A</v>
      </c>
    </row>
    <row r="3076" spans="14:18" x14ac:dyDescent="0.2">
      <c r="N3076" s="139" t="str">
        <f t="shared" si="54"/>
        <v>1w</v>
      </c>
      <c r="O3076" s="146">
        <f>_xll.qlCalendarAdvance(Calendar,O3075,N3076,"f",FALSE)</f>
        <v>60756</v>
      </c>
      <c r="P3076" s="140">
        <f>_xll.qlInterestRateIndexValueDate(IborIndex,O3076)</f>
        <v>60758</v>
      </c>
      <c r="Q3076" s="141" t="e">
        <v>#N/A</v>
      </c>
      <c r="R3076" s="143" t="e">
        <v>#N/A</v>
      </c>
    </row>
    <row r="3077" spans="14:18" x14ac:dyDescent="0.2">
      <c r="N3077" s="139" t="str">
        <f t="shared" si="54"/>
        <v>1w</v>
      </c>
      <c r="O3077" s="146">
        <f>_xll.qlCalendarAdvance(Calendar,O3076,N3077,"f",FALSE)</f>
        <v>60763</v>
      </c>
      <c r="P3077" s="140">
        <f>_xll.qlInterestRateIndexValueDate(IborIndex,O3077)</f>
        <v>60765</v>
      </c>
      <c r="Q3077" s="141" t="e">
        <v>#N/A</v>
      </c>
      <c r="R3077" s="143" t="e">
        <v>#N/A</v>
      </c>
    </row>
    <row r="3078" spans="14:18" x14ac:dyDescent="0.2">
      <c r="N3078" s="139" t="str">
        <f t="shared" si="54"/>
        <v>1w</v>
      </c>
      <c r="O3078" s="146">
        <f>_xll.qlCalendarAdvance(Calendar,O3077,N3078,"f",FALSE)</f>
        <v>60770</v>
      </c>
      <c r="P3078" s="140">
        <f>_xll.qlInterestRateIndexValueDate(IborIndex,O3078)</f>
        <v>60773</v>
      </c>
      <c r="Q3078" s="141" t="e">
        <v>#N/A</v>
      </c>
      <c r="R3078" s="143" t="e">
        <v>#N/A</v>
      </c>
    </row>
    <row r="3079" spans="14:18" x14ac:dyDescent="0.2">
      <c r="N3079" s="139" t="str">
        <f t="shared" si="54"/>
        <v>1w</v>
      </c>
      <c r="O3079" s="146">
        <f>_xll.qlCalendarAdvance(Calendar,O3078,N3079,"f",FALSE)</f>
        <v>60777</v>
      </c>
      <c r="P3079" s="140">
        <f>_xll.qlInterestRateIndexValueDate(IborIndex,O3079)</f>
        <v>60779</v>
      </c>
      <c r="Q3079" s="141" t="e">
        <v>#N/A</v>
      </c>
      <c r="R3079" s="143" t="e">
        <v>#N/A</v>
      </c>
    </row>
    <row r="3080" spans="14:18" x14ac:dyDescent="0.2">
      <c r="N3080" s="139" t="str">
        <f t="shared" si="54"/>
        <v>1w</v>
      </c>
      <c r="O3080" s="146">
        <f>_xll.qlCalendarAdvance(Calendar,O3079,N3080,"f",FALSE)</f>
        <v>60784</v>
      </c>
      <c r="P3080" s="140">
        <f>_xll.qlInterestRateIndexValueDate(IborIndex,O3080)</f>
        <v>60786</v>
      </c>
      <c r="Q3080" s="141" t="e">
        <v>#N/A</v>
      </c>
      <c r="R3080" s="143" t="e">
        <v>#N/A</v>
      </c>
    </row>
    <row r="3081" spans="14:18" x14ac:dyDescent="0.2">
      <c r="N3081" s="139" t="str">
        <f t="shared" si="54"/>
        <v>1w</v>
      </c>
      <c r="O3081" s="146">
        <f>_xll.qlCalendarAdvance(Calendar,O3080,N3081,"f",FALSE)</f>
        <v>60791</v>
      </c>
      <c r="P3081" s="140">
        <f>_xll.qlInterestRateIndexValueDate(IborIndex,O3081)</f>
        <v>60793</v>
      </c>
      <c r="Q3081" s="141" t="e">
        <v>#N/A</v>
      </c>
      <c r="R3081" s="143" t="e">
        <v>#N/A</v>
      </c>
    </row>
    <row r="3082" spans="14:18" x14ac:dyDescent="0.2">
      <c r="N3082" s="139" t="str">
        <f t="shared" si="54"/>
        <v>1w</v>
      </c>
      <c r="O3082" s="146">
        <f>_xll.qlCalendarAdvance(Calendar,O3081,N3082,"f",FALSE)</f>
        <v>60798</v>
      </c>
      <c r="P3082" s="140">
        <f>_xll.qlInterestRateIndexValueDate(IborIndex,O3082)</f>
        <v>60800</v>
      </c>
      <c r="Q3082" s="141" t="e">
        <v>#N/A</v>
      </c>
      <c r="R3082" s="143" t="e">
        <v>#N/A</v>
      </c>
    </row>
    <row r="3083" spans="14:18" x14ac:dyDescent="0.2">
      <c r="N3083" s="139" t="str">
        <f t="shared" si="54"/>
        <v>1w</v>
      </c>
      <c r="O3083" s="146">
        <f>_xll.qlCalendarAdvance(Calendar,O3082,N3083,"f",FALSE)</f>
        <v>60805</v>
      </c>
      <c r="P3083" s="140">
        <f>_xll.qlInterestRateIndexValueDate(IborIndex,O3083)</f>
        <v>60807</v>
      </c>
      <c r="Q3083" s="141" t="e">
        <v>#N/A</v>
      </c>
      <c r="R3083" s="143" t="e">
        <v>#N/A</v>
      </c>
    </row>
    <row r="3084" spans="14:18" x14ac:dyDescent="0.2">
      <c r="N3084" s="139" t="str">
        <f t="shared" si="54"/>
        <v>1w</v>
      </c>
      <c r="O3084" s="146">
        <f>_xll.qlCalendarAdvance(Calendar,O3083,N3084,"f",FALSE)</f>
        <v>60812</v>
      </c>
      <c r="P3084" s="140">
        <f>_xll.qlInterestRateIndexValueDate(IborIndex,O3084)</f>
        <v>60814</v>
      </c>
      <c r="Q3084" s="141" t="e">
        <v>#N/A</v>
      </c>
      <c r="R3084" s="143" t="e">
        <v>#N/A</v>
      </c>
    </row>
    <row r="3085" spans="14:18" x14ac:dyDescent="0.2">
      <c r="N3085" s="139" t="str">
        <f t="shared" si="54"/>
        <v>1w</v>
      </c>
      <c r="O3085" s="146">
        <f>_xll.qlCalendarAdvance(Calendar,O3084,N3085,"f",FALSE)</f>
        <v>60819</v>
      </c>
      <c r="P3085" s="140">
        <f>_xll.qlInterestRateIndexValueDate(IborIndex,O3085)</f>
        <v>60821</v>
      </c>
      <c r="Q3085" s="141" t="e">
        <v>#N/A</v>
      </c>
      <c r="R3085" s="143" t="e">
        <v>#N/A</v>
      </c>
    </row>
    <row r="3086" spans="14:18" x14ac:dyDescent="0.2">
      <c r="N3086" s="139" t="str">
        <f t="shared" si="54"/>
        <v>1w</v>
      </c>
      <c r="O3086" s="146">
        <f>_xll.qlCalendarAdvance(Calendar,O3085,N3086,"f",FALSE)</f>
        <v>60826</v>
      </c>
      <c r="P3086" s="140">
        <f>_xll.qlInterestRateIndexValueDate(IborIndex,O3086)</f>
        <v>60828</v>
      </c>
      <c r="Q3086" s="141" t="e">
        <v>#N/A</v>
      </c>
      <c r="R3086" s="143" t="e">
        <v>#N/A</v>
      </c>
    </row>
    <row r="3087" spans="14:18" x14ac:dyDescent="0.2">
      <c r="N3087" s="139" t="str">
        <f t="shared" si="54"/>
        <v>1w</v>
      </c>
      <c r="O3087" s="146">
        <f>_xll.qlCalendarAdvance(Calendar,O3086,N3087,"f",FALSE)</f>
        <v>60833</v>
      </c>
      <c r="P3087" s="140">
        <f>_xll.qlInterestRateIndexValueDate(IborIndex,O3087)</f>
        <v>60835</v>
      </c>
      <c r="Q3087" s="141" t="e">
        <v>#N/A</v>
      </c>
      <c r="R3087" s="143" t="e">
        <v>#N/A</v>
      </c>
    </row>
    <row r="3088" spans="14:18" x14ac:dyDescent="0.2">
      <c r="N3088" s="139" t="str">
        <f t="shared" si="54"/>
        <v>1w</v>
      </c>
      <c r="O3088" s="146">
        <f>_xll.qlCalendarAdvance(Calendar,O3087,N3088,"f",FALSE)</f>
        <v>60840</v>
      </c>
      <c r="P3088" s="140">
        <f>_xll.qlInterestRateIndexValueDate(IborIndex,O3088)</f>
        <v>60842</v>
      </c>
      <c r="Q3088" s="141" t="e">
        <v>#N/A</v>
      </c>
      <c r="R3088" s="143" t="e">
        <v>#N/A</v>
      </c>
    </row>
    <row r="3089" spans="14:18" x14ac:dyDescent="0.2">
      <c r="N3089" s="139" t="str">
        <f t="shared" si="54"/>
        <v>1w</v>
      </c>
      <c r="O3089" s="146">
        <f>_xll.qlCalendarAdvance(Calendar,O3088,N3089,"f",FALSE)</f>
        <v>60847</v>
      </c>
      <c r="P3089" s="140">
        <f>_xll.qlInterestRateIndexValueDate(IborIndex,O3089)</f>
        <v>60849</v>
      </c>
      <c r="Q3089" s="141" t="e">
        <v>#N/A</v>
      </c>
      <c r="R3089" s="143" t="e">
        <v>#N/A</v>
      </c>
    </row>
    <row r="3090" spans="14:18" x14ac:dyDescent="0.2">
      <c r="N3090" s="139" t="str">
        <f t="shared" si="54"/>
        <v>1w</v>
      </c>
      <c r="O3090" s="146">
        <f>_xll.qlCalendarAdvance(Calendar,O3089,N3090,"f",FALSE)</f>
        <v>60854</v>
      </c>
      <c r="P3090" s="140">
        <f>_xll.qlInterestRateIndexValueDate(IborIndex,O3090)</f>
        <v>60856</v>
      </c>
      <c r="Q3090" s="141" t="e">
        <v>#N/A</v>
      </c>
      <c r="R3090" s="143" t="e">
        <v>#N/A</v>
      </c>
    </row>
    <row r="3091" spans="14:18" x14ac:dyDescent="0.2">
      <c r="N3091" s="139" t="str">
        <f t="shared" si="54"/>
        <v>1w</v>
      </c>
      <c r="O3091" s="146">
        <f>_xll.qlCalendarAdvance(Calendar,O3090,N3091,"f",FALSE)</f>
        <v>60861</v>
      </c>
      <c r="P3091" s="140">
        <f>_xll.qlInterestRateIndexValueDate(IborIndex,O3091)</f>
        <v>60863</v>
      </c>
      <c r="Q3091" s="141" t="e">
        <v>#N/A</v>
      </c>
      <c r="R3091" s="143" t="e">
        <v>#N/A</v>
      </c>
    </row>
    <row r="3092" spans="14:18" x14ac:dyDescent="0.2">
      <c r="N3092" s="139" t="str">
        <f t="shared" si="54"/>
        <v>1w</v>
      </c>
      <c r="O3092" s="146">
        <f>_xll.qlCalendarAdvance(Calendar,O3091,N3092,"f",FALSE)</f>
        <v>60868</v>
      </c>
      <c r="P3092" s="140">
        <f>_xll.qlInterestRateIndexValueDate(IborIndex,O3092)</f>
        <v>60870</v>
      </c>
      <c r="Q3092" s="141" t="e">
        <v>#N/A</v>
      </c>
      <c r="R3092" s="143" t="e">
        <v>#N/A</v>
      </c>
    </row>
    <row r="3093" spans="14:18" x14ac:dyDescent="0.2">
      <c r="N3093" s="139" t="str">
        <f t="shared" ref="N3093:N3156" si="55">N3092</f>
        <v>1w</v>
      </c>
      <c r="O3093" s="146">
        <f>_xll.qlCalendarAdvance(Calendar,O3092,N3093,"f",FALSE)</f>
        <v>60875</v>
      </c>
      <c r="P3093" s="140">
        <f>_xll.qlInterestRateIndexValueDate(IborIndex,O3093)</f>
        <v>60877</v>
      </c>
      <c r="Q3093" s="141" t="e">
        <v>#N/A</v>
      </c>
      <c r="R3093" s="143" t="e">
        <v>#N/A</v>
      </c>
    </row>
    <row r="3094" spans="14:18" x14ac:dyDescent="0.2">
      <c r="N3094" s="139" t="str">
        <f t="shared" si="55"/>
        <v>1w</v>
      </c>
      <c r="O3094" s="146">
        <f>_xll.qlCalendarAdvance(Calendar,O3093,N3094,"f",FALSE)</f>
        <v>60882</v>
      </c>
      <c r="P3094" s="140">
        <f>_xll.qlInterestRateIndexValueDate(IborIndex,O3094)</f>
        <v>60884</v>
      </c>
      <c r="Q3094" s="141" t="e">
        <v>#N/A</v>
      </c>
      <c r="R3094" s="143" t="e">
        <v>#N/A</v>
      </c>
    </row>
    <row r="3095" spans="14:18" x14ac:dyDescent="0.2">
      <c r="N3095" s="139" t="str">
        <f t="shared" si="55"/>
        <v>1w</v>
      </c>
      <c r="O3095" s="146">
        <f>_xll.qlCalendarAdvance(Calendar,O3094,N3095,"f",FALSE)</f>
        <v>60889</v>
      </c>
      <c r="P3095" s="140">
        <f>_xll.qlInterestRateIndexValueDate(IborIndex,O3095)</f>
        <v>60891</v>
      </c>
      <c r="Q3095" s="141" t="e">
        <v>#N/A</v>
      </c>
      <c r="R3095" s="143" t="e">
        <v>#N/A</v>
      </c>
    </row>
    <row r="3096" spans="14:18" x14ac:dyDescent="0.2">
      <c r="N3096" s="139" t="str">
        <f t="shared" si="55"/>
        <v>1w</v>
      </c>
      <c r="O3096" s="146">
        <f>_xll.qlCalendarAdvance(Calendar,O3095,N3096,"f",FALSE)</f>
        <v>60896</v>
      </c>
      <c r="P3096" s="140">
        <f>_xll.qlInterestRateIndexValueDate(IborIndex,O3096)</f>
        <v>60898</v>
      </c>
      <c r="Q3096" s="141" t="e">
        <v>#N/A</v>
      </c>
      <c r="R3096" s="143" t="e">
        <v>#N/A</v>
      </c>
    </row>
    <row r="3097" spans="14:18" x14ac:dyDescent="0.2">
      <c r="N3097" s="139" t="str">
        <f t="shared" si="55"/>
        <v>1w</v>
      </c>
      <c r="O3097" s="146">
        <f>_xll.qlCalendarAdvance(Calendar,O3096,N3097,"f",FALSE)</f>
        <v>60903</v>
      </c>
      <c r="P3097" s="140">
        <f>_xll.qlInterestRateIndexValueDate(IborIndex,O3097)</f>
        <v>60905</v>
      </c>
      <c r="Q3097" s="141" t="e">
        <v>#N/A</v>
      </c>
      <c r="R3097" s="143" t="e">
        <v>#N/A</v>
      </c>
    </row>
    <row r="3098" spans="14:18" x14ac:dyDescent="0.2">
      <c r="N3098" s="139" t="str">
        <f t="shared" si="55"/>
        <v>1w</v>
      </c>
      <c r="O3098" s="146">
        <f>_xll.qlCalendarAdvance(Calendar,O3097,N3098,"f",FALSE)</f>
        <v>60910</v>
      </c>
      <c r="P3098" s="140">
        <f>_xll.qlInterestRateIndexValueDate(IborIndex,O3098)</f>
        <v>60912</v>
      </c>
      <c r="Q3098" s="141" t="e">
        <v>#N/A</v>
      </c>
      <c r="R3098" s="143" t="e">
        <v>#N/A</v>
      </c>
    </row>
    <row r="3099" spans="14:18" x14ac:dyDescent="0.2">
      <c r="N3099" s="139" t="str">
        <f t="shared" si="55"/>
        <v>1w</v>
      </c>
      <c r="O3099" s="146">
        <f>_xll.qlCalendarAdvance(Calendar,O3098,N3099,"f",FALSE)</f>
        <v>60917</v>
      </c>
      <c r="P3099" s="140">
        <f>_xll.qlInterestRateIndexValueDate(IborIndex,O3099)</f>
        <v>60919</v>
      </c>
      <c r="Q3099" s="141" t="e">
        <v>#N/A</v>
      </c>
      <c r="R3099" s="143" t="e">
        <v>#N/A</v>
      </c>
    </row>
    <row r="3100" spans="14:18" x14ac:dyDescent="0.2">
      <c r="N3100" s="139" t="str">
        <f t="shared" si="55"/>
        <v>1w</v>
      </c>
      <c r="O3100" s="146">
        <f>_xll.qlCalendarAdvance(Calendar,O3099,N3100,"f",FALSE)</f>
        <v>60924</v>
      </c>
      <c r="P3100" s="140">
        <f>_xll.qlInterestRateIndexValueDate(IborIndex,O3100)</f>
        <v>60926</v>
      </c>
      <c r="Q3100" s="141" t="e">
        <v>#N/A</v>
      </c>
      <c r="R3100" s="143" t="e">
        <v>#N/A</v>
      </c>
    </row>
    <row r="3101" spans="14:18" x14ac:dyDescent="0.2">
      <c r="N3101" s="139" t="str">
        <f t="shared" si="55"/>
        <v>1w</v>
      </c>
      <c r="O3101" s="146">
        <f>_xll.qlCalendarAdvance(Calendar,O3100,N3101,"f",FALSE)</f>
        <v>60931</v>
      </c>
      <c r="P3101" s="140">
        <f>_xll.qlInterestRateIndexValueDate(IborIndex,O3101)</f>
        <v>60933</v>
      </c>
      <c r="Q3101" s="141" t="e">
        <v>#N/A</v>
      </c>
      <c r="R3101" s="143" t="e">
        <v>#N/A</v>
      </c>
    </row>
    <row r="3102" spans="14:18" x14ac:dyDescent="0.2">
      <c r="N3102" s="139" t="str">
        <f t="shared" si="55"/>
        <v>1w</v>
      </c>
      <c r="O3102" s="146">
        <f>_xll.qlCalendarAdvance(Calendar,O3101,N3102,"f",FALSE)</f>
        <v>60938</v>
      </c>
      <c r="P3102" s="140">
        <f>_xll.qlInterestRateIndexValueDate(IborIndex,O3102)</f>
        <v>60940</v>
      </c>
      <c r="Q3102" s="141" t="e">
        <v>#N/A</v>
      </c>
      <c r="R3102" s="143" t="e">
        <v>#N/A</v>
      </c>
    </row>
    <row r="3103" spans="14:18" x14ac:dyDescent="0.2">
      <c r="N3103" s="139" t="str">
        <f t="shared" si="55"/>
        <v>1w</v>
      </c>
      <c r="O3103" s="146">
        <f>_xll.qlCalendarAdvance(Calendar,O3102,N3103,"f",FALSE)</f>
        <v>60945</v>
      </c>
      <c r="P3103" s="140">
        <f>_xll.qlInterestRateIndexValueDate(IborIndex,O3103)</f>
        <v>60947</v>
      </c>
      <c r="Q3103" s="141" t="e">
        <v>#N/A</v>
      </c>
      <c r="R3103" s="143" t="e">
        <v>#N/A</v>
      </c>
    </row>
    <row r="3104" spans="14:18" x14ac:dyDescent="0.2">
      <c r="N3104" s="139" t="str">
        <f t="shared" si="55"/>
        <v>1w</v>
      </c>
      <c r="O3104" s="146">
        <f>_xll.qlCalendarAdvance(Calendar,O3103,N3104,"f",FALSE)</f>
        <v>60952</v>
      </c>
      <c r="P3104" s="140">
        <f>_xll.qlInterestRateIndexValueDate(IborIndex,O3104)</f>
        <v>60954</v>
      </c>
      <c r="Q3104" s="141" t="e">
        <v>#N/A</v>
      </c>
      <c r="R3104" s="143" t="e">
        <v>#N/A</v>
      </c>
    </row>
    <row r="3105" spans="14:18" x14ac:dyDescent="0.2">
      <c r="N3105" s="139" t="str">
        <f t="shared" si="55"/>
        <v>1w</v>
      </c>
      <c r="O3105" s="146">
        <f>_xll.qlCalendarAdvance(Calendar,O3104,N3105,"f",FALSE)</f>
        <v>60959</v>
      </c>
      <c r="P3105" s="140">
        <f>_xll.qlInterestRateIndexValueDate(IborIndex,O3105)</f>
        <v>60961</v>
      </c>
      <c r="Q3105" s="141" t="e">
        <v>#N/A</v>
      </c>
      <c r="R3105" s="143" t="e">
        <v>#N/A</v>
      </c>
    </row>
    <row r="3106" spans="14:18" x14ac:dyDescent="0.2">
      <c r="N3106" s="139" t="str">
        <f t="shared" si="55"/>
        <v>1w</v>
      </c>
      <c r="O3106" s="146">
        <f>_xll.qlCalendarAdvance(Calendar,O3105,N3106,"f",FALSE)</f>
        <v>60966</v>
      </c>
      <c r="P3106" s="140">
        <f>_xll.qlInterestRateIndexValueDate(IborIndex,O3106)</f>
        <v>60968</v>
      </c>
      <c r="Q3106" s="141" t="e">
        <v>#N/A</v>
      </c>
      <c r="R3106" s="143" t="e">
        <v>#N/A</v>
      </c>
    </row>
    <row r="3107" spans="14:18" x14ac:dyDescent="0.2">
      <c r="N3107" s="139" t="str">
        <f t="shared" si="55"/>
        <v>1w</v>
      </c>
      <c r="O3107" s="146">
        <f>_xll.qlCalendarAdvance(Calendar,O3106,N3107,"f",FALSE)</f>
        <v>60973</v>
      </c>
      <c r="P3107" s="140">
        <f>_xll.qlInterestRateIndexValueDate(IborIndex,O3107)</f>
        <v>60975</v>
      </c>
      <c r="Q3107" s="141" t="e">
        <v>#N/A</v>
      </c>
      <c r="R3107" s="143" t="e">
        <v>#N/A</v>
      </c>
    </row>
    <row r="3108" spans="14:18" x14ac:dyDescent="0.2">
      <c r="N3108" s="139" t="str">
        <f t="shared" si="55"/>
        <v>1w</v>
      </c>
      <c r="O3108" s="146">
        <f>_xll.qlCalendarAdvance(Calendar,O3107,N3108,"f",FALSE)</f>
        <v>60980</v>
      </c>
      <c r="P3108" s="140">
        <f>_xll.qlInterestRateIndexValueDate(IborIndex,O3108)</f>
        <v>60982</v>
      </c>
      <c r="Q3108" s="141" t="e">
        <v>#N/A</v>
      </c>
      <c r="R3108" s="143" t="e">
        <v>#N/A</v>
      </c>
    </row>
    <row r="3109" spans="14:18" x14ac:dyDescent="0.2">
      <c r="N3109" s="139" t="str">
        <f t="shared" si="55"/>
        <v>1w</v>
      </c>
      <c r="O3109" s="146">
        <f>_xll.qlCalendarAdvance(Calendar,O3108,N3109,"f",FALSE)</f>
        <v>60987</v>
      </c>
      <c r="P3109" s="140">
        <f>_xll.qlInterestRateIndexValueDate(IborIndex,O3109)</f>
        <v>60989</v>
      </c>
      <c r="Q3109" s="141" t="e">
        <v>#N/A</v>
      </c>
      <c r="R3109" s="143" t="e">
        <v>#N/A</v>
      </c>
    </row>
    <row r="3110" spans="14:18" x14ac:dyDescent="0.2">
      <c r="N3110" s="139" t="str">
        <f t="shared" si="55"/>
        <v>1w</v>
      </c>
      <c r="O3110" s="146">
        <f>_xll.qlCalendarAdvance(Calendar,O3109,N3110,"f",FALSE)</f>
        <v>60994</v>
      </c>
      <c r="P3110" s="140">
        <f>_xll.qlInterestRateIndexValueDate(IborIndex,O3110)</f>
        <v>60996</v>
      </c>
      <c r="Q3110" s="141" t="e">
        <v>#N/A</v>
      </c>
      <c r="R3110" s="143" t="e">
        <v>#N/A</v>
      </c>
    </row>
    <row r="3111" spans="14:18" x14ac:dyDescent="0.2">
      <c r="N3111" s="139" t="str">
        <f t="shared" si="55"/>
        <v>1w</v>
      </c>
      <c r="O3111" s="146">
        <f>_xll.qlCalendarAdvance(Calendar,O3110,N3111,"f",FALSE)</f>
        <v>61001</v>
      </c>
      <c r="P3111" s="140">
        <f>_xll.qlInterestRateIndexValueDate(IborIndex,O3111)</f>
        <v>61004</v>
      </c>
      <c r="Q3111" s="141" t="e">
        <v>#N/A</v>
      </c>
      <c r="R3111" s="143" t="e">
        <v>#N/A</v>
      </c>
    </row>
    <row r="3112" spans="14:18" x14ac:dyDescent="0.2">
      <c r="N3112" s="139" t="str">
        <f t="shared" si="55"/>
        <v>1w</v>
      </c>
      <c r="O3112" s="146">
        <f>_xll.qlCalendarAdvance(Calendar,O3111,N3112,"f",FALSE)</f>
        <v>61008</v>
      </c>
      <c r="P3112" s="140">
        <f>_xll.qlInterestRateIndexValueDate(IborIndex,O3112)</f>
        <v>61010</v>
      </c>
      <c r="Q3112" s="141" t="e">
        <v>#N/A</v>
      </c>
      <c r="R3112" s="143" t="e">
        <v>#N/A</v>
      </c>
    </row>
    <row r="3113" spans="14:18" x14ac:dyDescent="0.2">
      <c r="N3113" s="139" t="str">
        <f t="shared" si="55"/>
        <v>1w</v>
      </c>
      <c r="O3113" s="146">
        <f>_xll.qlCalendarAdvance(Calendar,O3112,N3113,"f",FALSE)</f>
        <v>61015</v>
      </c>
      <c r="P3113" s="140">
        <f>_xll.qlInterestRateIndexValueDate(IborIndex,O3113)</f>
        <v>61017</v>
      </c>
      <c r="Q3113" s="141" t="e">
        <v>#N/A</v>
      </c>
      <c r="R3113" s="143" t="e">
        <v>#N/A</v>
      </c>
    </row>
    <row r="3114" spans="14:18" x14ac:dyDescent="0.2">
      <c r="N3114" s="139" t="str">
        <f t="shared" si="55"/>
        <v>1w</v>
      </c>
      <c r="O3114" s="146">
        <f>_xll.qlCalendarAdvance(Calendar,O3113,N3114,"f",FALSE)</f>
        <v>61022</v>
      </c>
      <c r="P3114" s="140">
        <f>_xll.qlInterestRateIndexValueDate(IborIndex,O3114)</f>
        <v>61024</v>
      </c>
      <c r="Q3114" s="141" t="e">
        <v>#N/A</v>
      </c>
      <c r="R3114" s="143" t="e">
        <v>#N/A</v>
      </c>
    </row>
    <row r="3115" spans="14:18" x14ac:dyDescent="0.2">
      <c r="N3115" s="139" t="str">
        <f t="shared" si="55"/>
        <v>1w</v>
      </c>
      <c r="O3115" s="146">
        <f>_xll.qlCalendarAdvance(Calendar,O3114,N3115,"f",FALSE)</f>
        <v>61029</v>
      </c>
      <c r="P3115" s="140">
        <f>_xll.qlInterestRateIndexValueDate(IborIndex,O3115)</f>
        <v>61031</v>
      </c>
      <c r="Q3115" s="141" t="e">
        <v>#N/A</v>
      </c>
      <c r="R3115" s="143" t="e">
        <v>#N/A</v>
      </c>
    </row>
    <row r="3116" spans="14:18" x14ac:dyDescent="0.2">
      <c r="N3116" s="139" t="str">
        <f t="shared" si="55"/>
        <v>1w</v>
      </c>
      <c r="O3116" s="146">
        <f>_xll.qlCalendarAdvance(Calendar,O3115,N3116,"f",FALSE)</f>
        <v>61036</v>
      </c>
      <c r="P3116" s="140">
        <f>_xll.qlInterestRateIndexValueDate(IborIndex,O3116)</f>
        <v>61038</v>
      </c>
      <c r="Q3116" s="141" t="e">
        <v>#N/A</v>
      </c>
      <c r="R3116" s="143" t="e">
        <v>#N/A</v>
      </c>
    </row>
    <row r="3117" spans="14:18" x14ac:dyDescent="0.2">
      <c r="N3117" s="139" t="str">
        <f t="shared" si="55"/>
        <v>1w</v>
      </c>
      <c r="O3117" s="146">
        <f>_xll.qlCalendarAdvance(Calendar,O3116,N3117,"f",FALSE)</f>
        <v>61043</v>
      </c>
      <c r="P3117" s="140">
        <f>_xll.qlInterestRateIndexValueDate(IborIndex,O3117)</f>
        <v>61045</v>
      </c>
      <c r="Q3117" s="141" t="e">
        <v>#N/A</v>
      </c>
      <c r="R3117" s="143" t="e">
        <v>#N/A</v>
      </c>
    </row>
    <row r="3118" spans="14:18" x14ac:dyDescent="0.2">
      <c r="N3118" s="139" t="str">
        <f t="shared" si="55"/>
        <v>1w</v>
      </c>
      <c r="O3118" s="146">
        <f>_xll.qlCalendarAdvance(Calendar,O3117,N3118,"f",FALSE)</f>
        <v>61050</v>
      </c>
      <c r="P3118" s="140">
        <f>_xll.qlInterestRateIndexValueDate(IborIndex,O3118)</f>
        <v>61052</v>
      </c>
      <c r="Q3118" s="141" t="e">
        <v>#N/A</v>
      </c>
      <c r="R3118" s="143" t="e">
        <v>#N/A</v>
      </c>
    </row>
    <row r="3119" spans="14:18" x14ac:dyDescent="0.2">
      <c r="N3119" s="139" t="str">
        <f t="shared" si="55"/>
        <v>1w</v>
      </c>
      <c r="O3119" s="146">
        <f>_xll.qlCalendarAdvance(Calendar,O3118,N3119,"f",FALSE)</f>
        <v>61057</v>
      </c>
      <c r="P3119" s="140">
        <f>_xll.qlInterestRateIndexValueDate(IborIndex,O3119)</f>
        <v>61059</v>
      </c>
      <c r="Q3119" s="141" t="e">
        <v>#N/A</v>
      </c>
      <c r="R3119" s="143" t="e">
        <v>#N/A</v>
      </c>
    </row>
    <row r="3120" spans="14:18" x14ac:dyDescent="0.2">
      <c r="N3120" s="139" t="str">
        <f t="shared" si="55"/>
        <v>1w</v>
      </c>
      <c r="O3120" s="146">
        <f>_xll.qlCalendarAdvance(Calendar,O3119,N3120,"f",FALSE)</f>
        <v>61064</v>
      </c>
      <c r="P3120" s="140">
        <f>_xll.qlInterestRateIndexValueDate(IborIndex,O3120)</f>
        <v>61066</v>
      </c>
      <c r="Q3120" s="141" t="e">
        <v>#N/A</v>
      </c>
      <c r="R3120" s="143" t="e">
        <v>#N/A</v>
      </c>
    </row>
    <row r="3121" spans="14:18" x14ac:dyDescent="0.2">
      <c r="N3121" s="139" t="str">
        <f t="shared" si="55"/>
        <v>1w</v>
      </c>
      <c r="O3121" s="146">
        <f>_xll.qlCalendarAdvance(Calendar,O3120,N3121,"f",FALSE)</f>
        <v>61071</v>
      </c>
      <c r="P3121" s="140">
        <f>_xll.qlInterestRateIndexValueDate(IborIndex,O3121)</f>
        <v>61073</v>
      </c>
      <c r="Q3121" s="141" t="e">
        <v>#N/A</v>
      </c>
      <c r="R3121" s="143" t="e">
        <v>#N/A</v>
      </c>
    </row>
    <row r="3122" spans="14:18" x14ac:dyDescent="0.2">
      <c r="N3122" s="139" t="str">
        <f t="shared" si="55"/>
        <v>1w</v>
      </c>
      <c r="O3122" s="146">
        <f>_xll.qlCalendarAdvance(Calendar,O3121,N3122,"f",FALSE)</f>
        <v>61078</v>
      </c>
      <c r="P3122" s="140">
        <f>_xll.qlInterestRateIndexValueDate(IborIndex,O3122)</f>
        <v>61080</v>
      </c>
      <c r="Q3122" s="141" t="e">
        <v>#N/A</v>
      </c>
      <c r="R3122" s="143" t="e">
        <v>#N/A</v>
      </c>
    </row>
    <row r="3123" spans="14:18" x14ac:dyDescent="0.2">
      <c r="N3123" s="139" t="str">
        <f t="shared" si="55"/>
        <v>1w</v>
      </c>
      <c r="O3123" s="146">
        <f>_xll.qlCalendarAdvance(Calendar,O3122,N3123,"f",FALSE)</f>
        <v>61085</v>
      </c>
      <c r="P3123" s="140">
        <f>_xll.qlInterestRateIndexValueDate(IborIndex,O3123)</f>
        <v>61087</v>
      </c>
      <c r="Q3123" s="141" t="e">
        <v>#N/A</v>
      </c>
      <c r="R3123" s="143" t="e">
        <v>#N/A</v>
      </c>
    </row>
    <row r="3124" spans="14:18" x14ac:dyDescent="0.2">
      <c r="N3124" s="139" t="str">
        <f t="shared" si="55"/>
        <v>1w</v>
      </c>
      <c r="O3124" s="146">
        <f>_xll.qlCalendarAdvance(Calendar,O3123,N3124,"f",FALSE)</f>
        <v>61092</v>
      </c>
      <c r="P3124" s="140">
        <f>_xll.qlInterestRateIndexValueDate(IborIndex,O3124)</f>
        <v>61094</v>
      </c>
      <c r="Q3124" s="141" t="e">
        <v>#N/A</v>
      </c>
      <c r="R3124" s="143" t="e">
        <v>#N/A</v>
      </c>
    </row>
    <row r="3125" spans="14:18" x14ac:dyDescent="0.2">
      <c r="N3125" s="139" t="str">
        <f t="shared" si="55"/>
        <v>1w</v>
      </c>
      <c r="O3125" s="146">
        <f>_xll.qlCalendarAdvance(Calendar,O3124,N3125,"f",FALSE)</f>
        <v>61099</v>
      </c>
      <c r="P3125" s="140">
        <f>_xll.qlInterestRateIndexValueDate(IborIndex,O3125)</f>
        <v>61101</v>
      </c>
      <c r="Q3125" s="141" t="e">
        <v>#N/A</v>
      </c>
      <c r="R3125" s="143" t="e">
        <v>#N/A</v>
      </c>
    </row>
    <row r="3126" spans="14:18" x14ac:dyDescent="0.2">
      <c r="N3126" s="139" t="str">
        <f t="shared" si="55"/>
        <v>1w</v>
      </c>
      <c r="O3126" s="146">
        <f>_xll.qlCalendarAdvance(Calendar,O3125,N3126,"f",FALSE)</f>
        <v>61106</v>
      </c>
      <c r="P3126" s="140">
        <f>_xll.qlInterestRateIndexValueDate(IborIndex,O3126)</f>
        <v>61108</v>
      </c>
      <c r="Q3126" s="141" t="e">
        <v>#N/A</v>
      </c>
      <c r="R3126" s="143" t="e">
        <v>#N/A</v>
      </c>
    </row>
    <row r="3127" spans="14:18" x14ac:dyDescent="0.2">
      <c r="N3127" s="139" t="str">
        <f t="shared" si="55"/>
        <v>1w</v>
      </c>
      <c r="O3127" s="146">
        <f>_xll.qlCalendarAdvance(Calendar,O3126,N3127,"f",FALSE)</f>
        <v>61113</v>
      </c>
      <c r="P3127" s="140">
        <f>_xll.qlInterestRateIndexValueDate(IborIndex,O3127)</f>
        <v>61115</v>
      </c>
      <c r="Q3127" s="141" t="e">
        <v>#N/A</v>
      </c>
      <c r="R3127" s="143" t="e">
        <v>#N/A</v>
      </c>
    </row>
    <row r="3128" spans="14:18" x14ac:dyDescent="0.2">
      <c r="N3128" s="139" t="str">
        <f t="shared" si="55"/>
        <v>1w</v>
      </c>
      <c r="O3128" s="146">
        <f>_xll.qlCalendarAdvance(Calendar,O3127,N3128,"f",FALSE)</f>
        <v>61120</v>
      </c>
      <c r="P3128" s="140">
        <f>_xll.qlInterestRateIndexValueDate(IborIndex,O3128)</f>
        <v>61122</v>
      </c>
      <c r="Q3128" s="141" t="e">
        <v>#N/A</v>
      </c>
      <c r="R3128" s="143" t="e">
        <v>#N/A</v>
      </c>
    </row>
    <row r="3129" spans="14:18" x14ac:dyDescent="0.2">
      <c r="N3129" s="139" t="str">
        <f t="shared" si="55"/>
        <v>1w</v>
      </c>
      <c r="O3129" s="146">
        <f>_xll.qlCalendarAdvance(Calendar,O3128,N3129,"f",FALSE)</f>
        <v>61127</v>
      </c>
      <c r="P3129" s="140">
        <f>_xll.qlInterestRateIndexValueDate(IborIndex,O3129)</f>
        <v>61130</v>
      </c>
      <c r="Q3129" s="141" t="e">
        <v>#N/A</v>
      </c>
      <c r="R3129" s="143" t="e">
        <v>#N/A</v>
      </c>
    </row>
    <row r="3130" spans="14:18" x14ac:dyDescent="0.2">
      <c r="N3130" s="139" t="str">
        <f t="shared" si="55"/>
        <v>1w</v>
      </c>
      <c r="O3130" s="146">
        <f>_xll.qlCalendarAdvance(Calendar,O3129,N3130,"f",FALSE)</f>
        <v>61134</v>
      </c>
      <c r="P3130" s="140">
        <f>_xll.qlInterestRateIndexValueDate(IborIndex,O3130)</f>
        <v>61136</v>
      </c>
      <c r="Q3130" s="141" t="e">
        <v>#N/A</v>
      </c>
      <c r="R3130" s="143" t="e">
        <v>#N/A</v>
      </c>
    </row>
    <row r="3131" spans="14:18" x14ac:dyDescent="0.2">
      <c r="N3131" s="139" t="str">
        <f t="shared" si="55"/>
        <v>1w</v>
      </c>
      <c r="O3131" s="146">
        <f>_xll.qlCalendarAdvance(Calendar,O3130,N3131,"f",FALSE)</f>
        <v>61141</v>
      </c>
      <c r="P3131" s="140">
        <f>_xll.qlInterestRateIndexValueDate(IborIndex,O3131)</f>
        <v>61143</v>
      </c>
      <c r="Q3131" s="141" t="e">
        <v>#N/A</v>
      </c>
      <c r="R3131" s="143" t="e">
        <v>#N/A</v>
      </c>
    </row>
    <row r="3132" spans="14:18" x14ac:dyDescent="0.2">
      <c r="N3132" s="139" t="str">
        <f t="shared" si="55"/>
        <v>1w</v>
      </c>
      <c r="O3132" s="146">
        <f>_xll.qlCalendarAdvance(Calendar,O3131,N3132,"f",FALSE)</f>
        <v>61148</v>
      </c>
      <c r="P3132" s="140">
        <f>_xll.qlInterestRateIndexValueDate(IborIndex,O3132)</f>
        <v>61150</v>
      </c>
      <c r="Q3132" s="141" t="e">
        <v>#N/A</v>
      </c>
      <c r="R3132" s="143" t="e">
        <v>#N/A</v>
      </c>
    </row>
    <row r="3133" spans="14:18" x14ac:dyDescent="0.2">
      <c r="N3133" s="139" t="str">
        <f t="shared" si="55"/>
        <v>1w</v>
      </c>
      <c r="O3133" s="146">
        <f>_xll.qlCalendarAdvance(Calendar,O3132,N3133,"f",FALSE)</f>
        <v>61155</v>
      </c>
      <c r="P3133" s="140">
        <f>_xll.qlInterestRateIndexValueDate(IborIndex,O3133)</f>
        <v>61157</v>
      </c>
      <c r="Q3133" s="141" t="e">
        <v>#N/A</v>
      </c>
      <c r="R3133" s="143" t="e">
        <v>#N/A</v>
      </c>
    </row>
    <row r="3134" spans="14:18" x14ac:dyDescent="0.2">
      <c r="N3134" s="139" t="str">
        <f t="shared" si="55"/>
        <v>1w</v>
      </c>
      <c r="O3134" s="146">
        <f>_xll.qlCalendarAdvance(Calendar,O3133,N3134,"f",FALSE)</f>
        <v>61162</v>
      </c>
      <c r="P3134" s="140">
        <f>_xll.qlInterestRateIndexValueDate(IborIndex,O3134)</f>
        <v>61164</v>
      </c>
      <c r="Q3134" s="141" t="e">
        <v>#N/A</v>
      </c>
      <c r="R3134" s="143" t="e">
        <v>#N/A</v>
      </c>
    </row>
    <row r="3135" spans="14:18" x14ac:dyDescent="0.2">
      <c r="N3135" s="139" t="str">
        <f t="shared" si="55"/>
        <v>1w</v>
      </c>
      <c r="O3135" s="146">
        <f>_xll.qlCalendarAdvance(Calendar,O3134,N3135,"f",FALSE)</f>
        <v>61169</v>
      </c>
      <c r="P3135" s="140">
        <f>_xll.qlInterestRateIndexValueDate(IborIndex,O3135)</f>
        <v>61171</v>
      </c>
      <c r="Q3135" s="141" t="e">
        <v>#N/A</v>
      </c>
      <c r="R3135" s="143" t="e">
        <v>#N/A</v>
      </c>
    </row>
    <row r="3136" spans="14:18" x14ac:dyDescent="0.2">
      <c r="N3136" s="139" t="str">
        <f t="shared" si="55"/>
        <v>1w</v>
      </c>
      <c r="O3136" s="146">
        <f>_xll.qlCalendarAdvance(Calendar,O3135,N3136,"f",FALSE)</f>
        <v>61176</v>
      </c>
      <c r="P3136" s="140">
        <f>_xll.qlInterestRateIndexValueDate(IborIndex,O3136)</f>
        <v>61178</v>
      </c>
      <c r="Q3136" s="141" t="e">
        <v>#N/A</v>
      </c>
      <c r="R3136" s="143" t="e">
        <v>#N/A</v>
      </c>
    </row>
    <row r="3137" spans="14:18" x14ac:dyDescent="0.2">
      <c r="N3137" s="139" t="str">
        <f t="shared" si="55"/>
        <v>1w</v>
      </c>
      <c r="O3137" s="146">
        <f>_xll.qlCalendarAdvance(Calendar,O3136,N3137,"f",FALSE)</f>
        <v>61183</v>
      </c>
      <c r="P3137" s="140">
        <f>_xll.qlInterestRateIndexValueDate(IborIndex,O3137)</f>
        <v>61185</v>
      </c>
      <c r="Q3137" s="141" t="e">
        <v>#N/A</v>
      </c>
      <c r="R3137" s="143" t="e">
        <v>#N/A</v>
      </c>
    </row>
    <row r="3138" spans="14:18" x14ac:dyDescent="0.2">
      <c r="N3138" s="139" t="str">
        <f t="shared" si="55"/>
        <v>1w</v>
      </c>
      <c r="O3138" s="146">
        <f>_xll.qlCalendarAdvance(Calendar,O3137,N3138,"f",FALSE)</f>
        <v>61190</v>
      </c>
      <c r="P3138" s="140">
        <f>_xll.qlInterestRateIndexValueDate(IborIndex,O3138)</f>
        <v>61192</v>
      </c>
      <c r="Q3138" s="141" t="e">
        <v>#N/A</v>
      </c>
      <c r="R3138" s="143" t="e">
        <v>#N/A</v>
      </c>
    </row>
    <row r="3139" spans="14:18" x14ac:dyDescent="0.2">
      <c r="N3139" s="139" t="str">
        <f t="shared" si="55"/>
        <v>1w</v>
      </c>
      <c r="O3139" s="146">
        <f>_xll.qlCalendarAdvance(Calendar,O3138,N3139,"f",FALSE)</f>
        <v>61197</v>
      </c>
      <c r="P3139" s="140">
        <f>_xll.qlInterestRateIndexValueDate(IborIndex,O3139)</f>
        <v>61199</v>
      </c>
      <c r="Q3139" s="141" t="e">
        <v>#N/A</v>
      </c>
      <c r="R3139" s="143" t="e">
        <v>#N/A</v>
      </c>
    </row>
    <row r="3140" spans="14:18" x14ac:dyDescent="0.2">
      <c r="N3140" s="139" t="str">
        <f t="shared" si="55"/>
        <v>1w</v>
      </c>
      <c r="O3140" s="146">
        <f>_xll.qlCalendarAdvance(Calendar,O3139,N3140,"f",FALSE)</f>
        <v>61204</v>
      </c>
      <c r="P3140" s="140">
        <f>_xll.qlInterestRateIndexValueDate(IborIndex,O3140)</f>
        <v>61206</v>
      </c>
      <c r="Q3140" s="141" t="e">
        <v>#N/A</v>
      </c>
      <c r="R3140" s="143" t="e">
        <v>#N/A</v>
      </c>
    </row>
    <row r="3141" spans="14:18" x14ac:dyDescent="0.2">
      <c r="N3141" s="139" t="str">
        <f t="shared" si="55"/>
        <v>1w</v>
      </c>
      <c r="O3141" s="146">
        <f>_xll.qlCalendarAdvance(Calendar,O3140,N3141,"f",FALSE)</f>
        <v>61211</v>
      </c>
      <c r="P3141" s="140">
        <f>_xll.qlInterestRateIndexValueDate(IborIndex,O3141)</f>
        <v>61213</v>
      </c>
      <c r="Q3141" s="141" t="e">
        <v>#N/A</v>
      </c>
      <c r="R3141" s="143" t="e">
        <v>#N/A</v>
      </c>
    </row>
    <row r="3142" spans="14:18" x14ac:dyDescent="0.2">
      <c r="N3142" s="139" t="str">
        <f t="shared" si="55"/>
        <v>1w</v>
      </c>
      <c r="O3142" s="146">
        <f>_xll.qlCalendarAdvance(Calendar,O3141,N3142,"f",FALSE)</f>
        <v>61218</v>
      </c>
      <c r="P3142" s="140">
        <f>_xll.qlInterestRateIndexValueDate(IborIndex,O3142)</f>
        <v>61220</v>
      </c>
      <c r="Q3142" s="141" t="e">
        <v>#N/A</v>
      </c>
      <c r="R3142" s="143" t="e">
        <v>#N/A</v>
      </c>
    </row>
    <row r="3143" spans="14:18" x14ac:dyDescent="0.2">
      <c r="N3143" s="139" t="str">
        <f t="shared" si="55"/>
        <v>1w</v>
      </c>
      <c r="O3143" s="146">
        <f>_xll.qlCalendarAdvance(Calendar,O3142,N3143,"f",FALSE)</f>
        <v>61225</v>
      </c>
      <c r="P3143" s="140">
        <f>_xll.qlInterestRateIndexValueDate(IborIndex,O3143)</f>
        <v>61227</v>
      </c>
      <c r="Q3143" s="141" t="e">
        <v>#N/A</v>
      </c>
      <c r="R3143" s="143" t="e">
        <v>#N/A</v>
      </c>
    </row>
    <row r="3144" spans="14:18" x14ac:dyDescent="0.2">
      <c r="N3144" s="139" t="str">
        <f t="shared" si="55"/>
        <v>1w</v>
      </c>
      <c r="O3144" s="146">
        <f>_xll.qlCalendarAdvance(Calendar,O3143,N3144,"f",FALSE)</f>
        <v>61232</v>
      </c>
      <c r="P3144" s="140">
        <f>_xll.qlInterestRateIndexValueDate(IborIndex,O3144)</f>
        <v>61234</v>
      </c>
      <c r="Q3144" s="141" t="e">
        <v>#N/A</v>
      </c>
      <c r="R3144" s="143" t="e">
        <v>#N/A</v>
      </c>
    </row>
    <row r="3145" spans="14:18" x14ac:dyDescent="0.2">
      <c r="N3145" s="139" t="str">
        <f t="shared" si="55"/>
        <v>1w</v>
      </c>
      <c r="O3145" s="146">
        <f>_xll.qlCalendarAdvance(Calendar,O3144,N3145,"f",FALSE)</f>
        <v>61239</v>
      </c>
      <c r="P3145" s="140">
        <f>_xll.qlInterestRateIndexValueDate(IborIndex,O3145)</f>
        <v>61241</v>
      </c>
      <c r="Q3145" s="141" t="e">
        <v>#N/A</v>
      </c>
      <c r="R3145" s="143" t="e">
        <v>#N/A</v>
      </c>
    </row>
    <row r="3146" spans="14:18" x14ac:dyDescent="0.2">
      <c r="N3146" s="139" t="str">
        <f t="shared" si="55"/>
        <v>1w</v>
      </c>
      <c r="O3146" s="146">
        <f>_xll.qlCalendarAdvance(Calendar,O3145,N3146,"f",FALSE)</f>
        <v>61246</v>
      </c>
      <c r="P3146" s="140">
        <f>_xll.qlInterestRateIndexValueDate(IborIndex,O3146)</f>
        <v>61248</v>
      </c>
      <c r="Q3146" s="141" t="e">
        <v>#N/A</v>
      </c>
      <c r="R3146" s="143" t="e">
        <v>#N/A</v>
      </c>
    </row>
    <row r="3147" spans="14:18" x14ac:dyDescent="0.2">
      <c r="N3147" s="139" t="str">
        <f t="shared" si="55"/>
        <v>1w</v>
      </c>
      <c r="O3147" s="146">
        <f>_xll.qlCalendarAdvance(Calendar,O3146,N3147,"f",FALSE)</f>
        <v>61253</v>
      </c>
      <c r="P3147" s="140">
        <f>_xll.qlInterestRateIndexValueDate(IborIndex,O3147)</f>
        <v>61255</v>
      </c>
      <c r="Q3147" s="141" t="e">
        <v>#N/A</v>
      </c>
      <c r="R3147" s="143" t="e">
        <v>#N/A</v>
      </c>
    </row>
    <row r="3148" spans="14:18" x14ac:dyDescent="0.2">
      <c r="N3148" s="139" t="str">
        <f t="shared" si="55"/>
        <v>1w</v>
      </c>
      <c r="O3148" s="146">
        <f>_xll.qlCalendarAdvance(Calendar,O3147,N3148,"f",FALSE)</f>
        <v>61260</v>
      </c>
      <c r="P3148" s="140">
        <f>_xll.qlInterestRateIndexValueDate(IborIndex,O3148)</f>
        <v>61262</v>
      </c>
      <c r="Q3148" s="141" t="e">
        <v>#N/A</v>
      </c>
      <c r="R3148" s="143" t="e">
        <v>#N/A</v>
      </c>
    </row>
    <row r="3149" spans="14:18" x14ac:dyDescent="0.2">
      <c r="N3149" s="139" t="str">
        <f t="shared" si="55"/>
        <v>1w</v>
      </c>
      <c r="O3149" s="146">
        <f>_xll.qlCalendarAdvance(Calendar,O3148,N3149,"f",FALSE)</f>
        <v>61267</v>
      </c>
      <c r="P3149" s="140">
        <f>_xll.qlInterestRateIndexValueDate(IborIndex,O3149)</f>
        <v>61269</v>
      </c>
      <c r="Q3149" s="141" t="e">
        <v>#N/A</v>
      </c>
      <c r="R3149" s="143" t="e">
        <v>#N/A</v>
      </c>
    </row>
    <row r="3150" spans="14:18" x14ac:dyDescent="0.2">
      <c r="N3150" s="139" t="str">
        <f t="shared" si="55"/>
        <v>1w</v>
      </c>
      <c r="O3150" s="146">
        <f>_xll.qlCalendarAdvance(Calendar,O3149,N3150,"f",FALSE)</f>
        <v>61274</v>
      </c>
      <c r="P3150" s="140">
        <f>_xll.qlInterestRateIndexValueDate(IborIndex,O3150)</f>
        <v>61276</v>
      </c>
      <c r="Q3150" s="141" t="e">
        <v>#N/A</v>
      </c>
      <c r="R3150" s="143" t="e">
        <v>#N/A</v>
      </c>
    </row>
    <row r="3151" spans="14:18" x14ac:dyDescent="0.2">
      <c r="N3151" s="139" t="str">
        <f t="shared" si="55"/>
        <v>1w</v>
      </c>
      <c r="O3151" s="146">
        <f>_xll.qlCalendarAdvance(Calendar,O3150,N3151,"f",FALSE)</f>
        <v>61281</v>
      </c>
      <c r="P3151" s="140">
        <f>_xll.qlInterestRateIndexValueDate(IborIndex,O3151)</f>
        <v>61283</v>
      </c>
      <c r="Q3151" s="141" t="e">
        <v>#N/A</v>
      </c>
      <c r="R3151" s="143" t="e">
        <v>#N/A</v>
      </c>
    </row>
    <row r="3152" spans="14:18" x14ac:dyDescent="0.2">
      <c r="N3152" s="139" t="str">
        <f t="shared" si="55"/>
        <v>1w</v>
      </c>
      <c r="O3152" s="146">
        <f>_xll.qlCalendarAdvance(Calendar,O3151,N3152,"f",FALSE)</f>
        <v>61288</v>
      </c>
      <c r="P3152" s="140">
        <f>_xll.qlInterestRateIndexValueDate(IborIndex,O3152)</f>
        <v>61290</v>
      </c>
      <c r="Q3152" s="141" t="e">
        <v>#N/A</v>
      </c>
      <c r="R3152" s="143" t="e">
        <v>#N/A</v>
      </c>
    </row>
    <row r="3153" spans="14:18" x14ac:dyDescent="0.2">
      <c r="N3153" s="139" t="str">
        <f t="shared" si="55"/>
        <v>1w</v>
      </c>
      <c r="O3153" s="146">
        <f>_xll.qlCalendarAdvance(Calendar,O3152,N3153,"f",FALSE)</f>
        <v>61295</v>
      </c>
      <c r="P3153" s="140">
        <f>_xll.qlInterestRateIndexValueDate(IborIndex,O3153)</f>
        <v>61297</v>
      </c>
      <c r="Q3153" s="141" t="e">
        <v>#N/A</v>
      </c>
      <c r="R3153" s="143" t="e">
        <v>#N/A</v>
      </c>
    </row>
    <row r="3154" spans="14:18" x14ac:dyDescent="0.2">
      <c r="N3154" s="139" t="str">
        <f t="shared" si="55"/>
        <v>1w</v>
      </c>
      <c r="O3154" s="146">
        <f>_xll.qlCalendarAdvance(Calendar,O3153,N3154,"f",FALSE)</f>
        <v>61302</v>
      </c>
      <c r="P3154" s="140">
        <f>_xll.qlInterestRateIndexValueDate(IborIndex,O3154)</f>
        <v>61304</v>
      </c>
      <c r="Q3154" s="141" t="e">
        <v>#N/A</v>
      </c>
      <c r="R3154" s="143" t="e">
        <v>#N/A</v>
      </c>
    </row>
    <row r="3155" spans="14:18" x14ac:dyDescent="0.2">
      <c r="N3155" s="139" t="str">
        <f t="shared" si="55"/>
        <v>1w</v>
      </c>
      <c r="O3155" s="146">
        <f>_xll.qlCalendarAdvance(Calendar,O3154,N3155,"f",FALSE)</f>
        <v>61309</v>
      </c>
      <c r="P3155" s="140">
        <f>_xll.qlInterestRateIndexValueDate(IborIndex,O3155)</f>
        <v>61311</v>
      </c>
      <c r="Q3155" s="141" t="e">
        <v>#N/A</v>
      </c>
      <c r="R3155" s="143" t="e">
        <v>#N/A</v>
      </c>
    </row>
    <row r="3156" spans="14:18" x14ac:dyDescent="0.2">
      <c r="N3156" s="139" t="str">
        <f t="shared" si="55"/>
        <v>1w</v>
      </c>
      <c r="O3156" s="146">
        <f>_xll.qlCalendarAdvance(Calendar,O3155,N3156,"f",FALSE)</f>
        <v>61316</v>
      </c>
      <c r="P3156" s="140">
        <f>_xll.qlInterestRateIndexValueDate(IborIndex,O3156)</f>
        <v>61318</v>
      </c>
      <c r="Q3156" s="141" t="e">
        <v>#N/A</v>
      </c>
      <c r="R3156" s="143" t="e">
        <v>#N/A</v>
      </c>
    </row>
    <row r="3157" spans="14:18" x14ac:dyDescent="0.2">
      <c r="N3157" s="139" t="str">
        <f t="shared" ref="N3157:N3220" si="56">N3156</f>
        <v>1w</v>
      </c>
      <c r="O3157" s="146">
        <f>_xll.qlCalendarAdvance(Calendar,O3156,N3157,"f",FALSE)</f>
        <v>61323</v>
      </c>
      <c r="P3157" s="140">
        <f>_xll.qlInterestRateIndexValueDate(IborIndex,O3157)</f>
        <v>61325</v>
      </c>
      <c r="Q3157" s="141" t="e">
        <v>#N/A</v>
      </c>
      <c r="R3157" s="143" t="e">
        <v>#N/A</v>
      </c>
    </row>
    <row r="3158" spans="14:18" x14ac:dyDescent="0.2">
      <c r="N3158" s="139" t="str">
        <f t="shared" si="56"/>
        <v>1w</v>
      </c>
      <c r="O3158" s="146">
        <f>_xll.qlCalendarAdvance(Calendar,O3157,N3158,"f",FALSE)</f>
        <v>61330</v>
      </c>
      <c r="P3158" s="140">
        <f>_xll.qlInterestRateIndexValueDate(IborIndex,O3158)</f>
        <v>61332</v>
      </c>
      <c r="Q3158" s="141" t="e">
        <v>#N/A</v>
      </c>
      <c r="R3158" s="143" t="e">
        <v>#N/A</v>
      </c>
    </row>
    <row r="3159" spans="14:18" x14ac:dyDescent="0.2">
      <c r="N3159" s="139" t="str">
        <f t="shared" si="56"/>
        <v>1w</v>
      </c>
      <c r="O3159" s="146">
        <f>_xll.qlCalendarAdvance(Calendar,O3158,N3159,"f",FALSE)</f>
        <v>61337</v>
      </c>
      <c r="P3159" s="140">
        <f>_xll.qlInterestRateIndexValueDate(IborIndex,O3159)</f>
        <v>61339</v>
      </c>
      <c r="Q3159" s="141" t="e">
        <v>#N/A</v>
      </c>
      <c r="R3159" s="143" t="e">
        <v>#N/A</v>
      </c>
    </row>
    <row r="3160" spans="14:18" x14ac:dyDescent="0.2">
      <c r="N3160" s="139" t="str">
        <f t="shared" si="56"/>
        <v>1w</v>
      </c>
      <c r="O3160" s="146">
        <f>_xll.qlCalendarAdvance(Calendar,O3159,N3160,"f",FALSE)</f>
        <v>61344</v>
      </c>
      <c r="P3160" s="140">
        <f>_xll.qlInterestRateIndexValueDate(IborIndex,O3160)</f>
        <v>61346</v>
      </c>
      <c r="Q3160" s="141" t="e">
        <v>#N/A</v>
      </c>
      <c r="R3160" s="143" t="e">
        <v>#N/A</v>
      </c>
    </row>
    <row r="3161" spans="14:18" x14ac:dyDescent="0.2">
      <c r="N3161" s="139" t="str">
        <f t="shared" si="56"/>
        <v>1w</v>
      </c>
      <c r="O3161" s="146">
        <f>_xll.qlCalendarAdvance(Calendar,O3160,N3161,"f",FALSE)</f>
        <v>61351</v>
      </c>
      <c r="P3161" s="140">
        <f>_xll.qlInterestRateIndexValueDate(IborIndex,O3161)</f>
        <v>61353</v>
      </c>
      <c r="Q3161" s="141" t="e">
        <v>#N/A</v>
      </c>
      <c r="R3161" s="143" t="e">
        <v>#N/A</v>
      </c>
    </row>
    <row r="3162" spans="14:18" x14ac:dyDescent="0.2">
      <c r="N3162" s="139" t="str">
        <f t="shared" si="56"/>
        <v>1w</v>
      </c>
      <c r="O3162" s="146">
        <f>_xll.qlCalendarAdvance(Calendar,O3161,N3162,"f",FALSE)</f>
        <v>61358</v>
      </c>
      <c r="P3162" s="140">
        <f>_xll.qlInterestRateIndexValueDate(IborIndex,O3162)</f>
        <v>61360</v>
      </c>
      <c r="Q3162" s="141" t="e">
        <v>#N/A</v>
      </c>
      <c r="R3162" s="143" t="e">
        <v>#N/A</v>
      </c>
    </row>
    <row r="3163" spans="14:18" x14ac:dyDescent="0.2">
      <c r="N3163" s="139" t="str">
        <f t="shared" si="56"/>
        <v>1w</v>
      </c>
      <c r="O3163" s="146">
        <f>_xll.qlCalendarAdvance(Calendar,O3162,N3163,"f",FALSE)</f>
        <v>61365</v>
      </c>
      <c r="P3163" s="140">
        <f>_xll.qlInterestRateIndexValueDate(IborIndex,O3163)</f>
        <v>61367</v>
      </c>
      <c r="Q3163" s="141" t="e">
        <v>#N/A</v>
      </c>
      <c r="R3163" s="143" t="e">
        <v>#N/A</v>
      </c>
    </row>
    <row r="3164" spans="14:18" x14ac:dyDescent="0.2">
      <c r="N3164" s="139" t="str">
        <f t="shared" si="56"/>
        <v>1w</v>
      </c>
      <c r="O3164" s="146">
        <f>_xll.qlCalendarAdvance(Calendar,O3163,N3164,"f",FALSE)</f>
        <v>61372</v>
      </c>
      <c r="P3164" s="140">
        <f>_xll.qlInterestRateIndexValueDate(IborIndex,O3164)</f>
        <v>61374</v>
      </c>
      <c r="Q3164" s="141" t="e">
        <v>#N/A</v>
      </c>
      <c r="R3164" s="143" t="e">
        <v>#N/A</v>
      </c>
    </row>
    <row r="3165" spans="14:18" x14ac:dyDescent="0.2">
      <c r="N3165" s="139" t="str">
        <f t="shared" si="56"/>
        <v>1w</v>
      </c>
      <c r="O3165" s="146">
        <f>_xll.qlCalendarAdvance(Calendar,O3164,N3165,"f",FALSE)</f>
        <v>61379</v>
      </c>
      <c r="P3165" s="140">
        <f>_xll.qlInterestRateIndexValueDate(IborIndex,O3165)</f>
        <v>61381</v>
      </c>
      <c r="Q3165" s="141" t="e">
        <v>#N/A</v>
      </c>
      <c r="R3165" s="143" t="e">
        <v>#N/A</v>
      </c>
    </row>
    <row r="3166" spans="14:18" x14ac:dyDescent="0.2">
      <c r="N3166" s="139" t="str">
        <f t="shared" si="56"/>
        <v>1w</v>
      </c>
      <c r="O3166" s="146">
        <f>_xll.qlCalendarAdvance(Calendar,O3165,N3166,"f",FALSE)</f>
        <v>61386</v>
      </c>
      <c r="P3166" s="140">
        <f>_xll.qlInterestRateIndexValueDate(IborIndex,O3166)</f>
        <v>61388</v>
      </c>
      <c r="Q3166" s="141" t="e">
        <v>#N/A</v>
      </c>
      <c r="R3166" s="143" t="e">
        <v>#N/A</v>
      </c>
    </row>
    <row r="3167" spans="14:18" x14ac:dyDescent="0.2">
      <c r="N3167" s="139" t="str">
        <f t="shared" si="56"/>
        <v>1w</v>
      </c>
      <c r="O3167" s="146">
        <f>_xll.qlCalendarAdvance(Calendar,O3166,N3167,"f",FALSE)</f>
        <v>61393</v>
      </c>
      <c r="P3167" s="140">
        <f>_xll.qlInterestRateIndexValueDate(IborIndex,O3167)</f>
        <v>61395</v>
      </c>
      <c r="Q3167" s="141" t="e">
        <v>#N/A</v>
      </c>
      <c r="R3167" s="143" t="e">
        <v>#N/A</v>
      </c>
    </row>
    <row r="3168" spans="14:18" x14ac:dyDescent="0.2">
      <c r="N3168" s="139" t="str">
        <f t="shared" si="56"/>
        <v>1w</v>
      </c>
      <c r="O3168" s="146">
        <f>_xll.qlCalendarAdvance(Calendar,O3167,N3168,"f",FALSE)</f>
        <v>61400</v>
      </c>
      <c r="P3168" s="140">
        <f>_xll.qlInterestRateIndexValueDate(IborIndex,O3168)</f>
        <v>61402</v>
      </c>
      <c r="Q3168" s="141" t="e">
        <v>#N/A</v>
      </c>
      <c r="R3168" s="143" t="e">
        <v>#N/A</v>
      </c>
    </row>
    <row r="3169" spans="14:18" x14ac:dyDescent="0.2">
      <c r="N3169" s="139" t="str">
        <f t="shared" si="56"/>
        <v>1w</v>
      </c>
      <c r="O3169" s="146">
        <f>_xll.qlCalendarAdvance(Calendar,O3168,N3169,"f",FALSE)</f>
        <v>61407</v>
      </c>
      <c r="P3169" s="140">
        <f>_xll.qlInterestRateIndexValueDate(IborIndex,O3169)</f>
        <v>61409</v>
      </c>
      <c r="Q3169" s="141" t="e">
        <v>#N/A</v>
      </c>
      <c r="R3169" s="143" t="e">
        <v>#N/A</v>
      </c>
    </row>
    <row r="3170" spans="14:18" x14ac:dyDescent="0.2">
      <c r="N3170" s="139" t="str">
        <f t="shared" si="56"/>
        <v>1w</v>
      </c>
      <c r="O3170" s="146">
        <f>_xll.qlCalendarAdvance(Calendar,O3169,N3170,"f",FALSE)</f>
        <v>61414</v>
      </c>
      <c r="P3170" s="140">
        <f>_xll.qlInterestRateIndexValueDate(IborIndex,O3170)</f>
        <v>61416</v>
      </c>
      <c r="Q3170" s="141" t="e">
        <v>#N/A</v>
      </c>
      <c r="R3170" s="143" t="e">
        <v>#N/A</v>
      </c>
    </row>
    <row r="3171" spans="14:18" x14ac:dyDescent="0.2">
      <c r="N3171" s="139" t="str">
        <f t="shared" si="56"/>
        <v>1w</v>
      </c>
      <c r="O3171" s="146">
        <f>_xll.qlCalendarAdvance(Calendar,O3170,N3171,"f",FALSE)</f>
        <v>61421</v>
      </c>
      <c r="P3171" s="140">
        <f>_xll.qlInterestRateIndexValueDate(IborIndex,O3171)</f>
        <v>61423</v>
      </c>
      <c r="Q3171" s="141" t="e">
        <v>#N/A</v>
      </c>
      <c r="R3171" s="143" t="e">
        <v>#N/A</v>
      </c>
    </row>
    <row r="3172" spans="14:18" x14ac:dyDescent="0.2">
      <c r="N3172" s="139" t="str">
        <f t="shared" si="56"/>
        <v>1w</v>
      </c>
      <c r="O3172" s="146">
        <f>_xll.qlCalendarAdvance(Calendar,O3171,N3172,"f",FALSE)</f>
        <v>61428</v>
      </c>
      <c r="P3172" s="140">
        <f>_xll.qlInterestRateIndexValueDate(IborIndex,O3172)</f>
        <v>61430</v>
      </c>
      <c r="Q3172" s="141" t="e">
        <v>#N/A</v>
      </c>
      <c r="R3172" s="143" t="e">
        <v>#N/A</v>
      </c>
    </row>
    <row r="3173" spans="14:18" x14ac:dyDescent="0.2">
      <c r="N3173" s="139" t="str">
        <f t="shared" si="56"/>
        <v>1w</v>
      </c>
      <c r="O3173" s="146">
        <f>_xll.qlCalendarAdvance(Calendar,O3172,N3173,"f",FALSE)</f>
        <v>61435</v>
      </c>
      <c r="P3173" s="140">
        <f>_xll.qlInterestRateIndexValueDate(IborIndex,O3173)</f>
        <v>61437</v>
      </c>
      <c r="Q3173" s="141" t="e">
        <v>#N/A</v>
      </c>
      <c r="R3173" s="143" t="e">
        <v>#N/A</v>
      </c>
    </row>
    <row r="3174" spans="14:18" x14ac:dyDescent="0.2">
      <c r="N3174" s="139" t="str">
        <f t="shared" si="56"/>
        <v>1w</v>
      </c>
      <c r="O3174" s="146">
        <f>_xll.qlCalendarAdvance(Calendar,O3173,N3174,"f",FALSE)</f>
        <v>61442</v>
      </c>
      <c r="P3174" s="140">
        <f>_xll.qlInterestRateIndexValueDate(IborIndex,O3174)</f>
        <v>61444</v>
      </c>
      <c r="Q3174" s="141" t="e">
        <v>#N/A</v>
      </c>
      <c r="R3174" s="143" t="e">
        <v>#N/A</v>
      </c>
    </row>
    <row r="3175" spans="14:18" x14ac:dyDescent="0.2">
      <c r="N3175" s="139" t="str">
        <f t="shared" si="56"/>
        <v>1w</v>
      </c>
      <c r="O3175" s="146">
        <f>_xll.qlCalendarAdvance(Calendar,O3174,N3175,"f",FALSE)</f>
        <v>61449</v>
      </c>
      <c r="P3175" s="140">
        <f>_xll.qlInterestRateIndexValueDate(IborIndex,O3175)</f>
        <v>61451</v>
      </c>
      <c r="Q3175" s="141" t="e">
        <v>#N/A</v>
      </c>
      <c r="R3175" s="143" t="e">
        <v>#N/A</v>
      </c>
    </row>
    <row r="3176" spans="14:18" x14ac:dyDescent="0.2">
      <c r="N3176" s="139" t="str">
        <f t="shared" si="56"/>
        <v>1w</v>
      </c>
      <c r="O3176" s="146">
        <f>_xll.qlCalendarAdvance(Calendar,O3175,N3176,"f",FALSE)</f>
        <v>61456</v>
      </c>
      <c r="P3176" s="140">
        <f>_xll.qlInterestRateIndexValueDate(IborIndex,O3176)</f>
        <v>61458</v>
      </c>
      <c r="Q3176" s="141" t="e">
        <v>#N/A</v>
      </c>
      <c r="R3176" s="143" t="e">
        <v>#N/A</v>
      </c>
    </row>
    <row r="3177" spans="14:18" x14ac:dyDescent="0.2">
      <c r="N3177" s="139" t="str">
        <f t="shared" si="56"/>
        <v>1w</v>
      </c>
      <c r="O3177" s="146">
        <f>_xll.qlCalendarAdvance(Calendar,O3176,N3177,"f",FALSE)</f>
        <v>61463</v>
      </c>
      <c r="P3177" s="140">
        <f>_xll.qlInterestRateIndexValueDate(IborIndex,O3177)</f>
        <v>61465</v>
      </c>
      <c r="Q3177" s="141" t="e">
        <v>#N/A</v>
      </c>
      <c r="R3177" s="143" t="e">
        <v>#N/A</v>
      </c>
    </row>
    <row r="3178" spans="14:18" x14ac:dyDescent="0.2">
      <c r="N3178" s="139" t="str">
        <f t="shared" si="56"/>
        <v>1w</v>
      </c>
      <c r="O3178" s="146">
        <f>_xll.qlCalendarAdvance(Calendar,O3177,N3178,"f",FALSE)</f>
        <v>61470</v>
      </c>
      <c r="P3178" s="140">
        <f>_xll.qlInterestRateIndexValueDate(IborIndex,O3178)</f>
        <v>61472</v>
      </c>
      <c r="Q3178" s="141" t="e">
        <v>#N/A</v>
      </c>
      <c r="R3178" s="143" t="e">
        <v>#N/A</v>
      </c>
    </row>
    <row r="3179" spans="14:18" x14ac:dyDescent="0.2">
      <c r="N3179" s="139" t="str">
        <f t="shared" si="56"/>
        <v>1w</v>
      </c>
      <c r="O3179" s="146">
        <f>_xll.qlCalendarAdvance(Calendar,O3178,N3179,"f",FALSE)</f>
        <v>61477</v>
      </c>
      <c r="P3179" s="140">
        <f>_xll.qlInterestRateIndexValueDate(IborIndex,O3179)</f>
        <v>61479</v>
      </c>
      <c r="Q3179" s="141" t="e">
        <v>#N/A</v>
      </c>
      <c r="R3179" s="143" t="e">
        <v>#N/A</v>
      </c>
    </row>
    <row r="3180" spans="14:18" x14ac:dyDescent="0.2">
      <c r="N3180" s="139" t="str">
        <f t="shared" si="56"/>
        <v>1w</v>
      </c>
      <c r="O3180" s="146">
        <f>_xll.qlCalendarAdvance(Calendar,O3179,N3180,"f",FALSE)</f>
        <v>61485</v>
      </c>
      <c r="P3180" s="140">
        <f>_xll.qlInterestRateIndexValueDate(IborIndex,O3180)</f>
        <v>61487</v>
      </c>
      <c r="Q3180" s="141" t="e">
        <v>#N/A</v>
      </c>
      <c r="R3180" s="143" t="e">
        <v>#N/A</v>
      </c>
    </row>
    <row r="3181" spans="14:18" x14ac:dyDescent="0.2">
      <c r="N3181" s="139" t="str">
        <f t="shared" si="56"/>
        <v>1w</v>
      </c>
      <c r="O3181" s="146">
        <f>_xll.qlCalendarAdvance(Calendar,O3180,N3181,"f",FALSE)</f>
        <v>61492</v>
      </c>
      <c r="P3181" s="140">
        <f>_xll.qlInterestRateIndexValueDate(IborIndex,O3181)</f>
        <v>61494</v>
      </c>
      <c r="Q3181" s="141" t="e">
        <v>#N/A</v>
      </c>
      <c r="R3181" s="143" t="e">
        <v>#N/A</v>
      </c>
    </row>
    <row r="3182" spans="14:18" x14ac:dyDescent="0.2">
      <c r="N3182" s="139" t="str">
        <f t="shared" si="56"/>
        <v>1w</v>
      </c>
      <c r="O3182" s="146">
        <f>_xll.qlCalendarAdvance(Calendar,O3181,N3182,"f",FALSE)</f>
        <v>61499</v>
      </c>
      <c r="P3182" s="140">
        <f>_xll.qlInterestRateIndexValueDate(IborIndex,O3182)</f>
        <v>61501</v>
      </c>
      <c r="Q3182" s="141" t="e">
        <v>#N/A</v>
      </c>
      <c r="R3182" s="143" t="e">
        <v>#N/A</v>
      </c>
    </row>
    <row r="3183" spans="14:18" x14ac:dyDescent="0.2">
      <c r="N3183" s="139" t="str">
        <f t="shared" si="56"/>
        <v>1w</v>
      </c>
      <c r="O3183" s="146">
        <f>_xll.qlCalendarAdvance(Calendar,O3182,N3183,"f",FALSE)</f>
        <v>61506</v>
      </c>
      <c r="P3183" s="140">
        <f>_xll.qlInterestRateIndexValueDate(IborIndex,O3183)</f>
        <v>61508</v>
      </c>
      <c r="Q3183" s="141" t="e">
        <v>#N/A</v>
      </c>
      <c r="R3183" s="143" t="e">
        <v>#N/A</v>
      </c>
    </row>
    <row r="3184" spans="14:18" x14ac:dyDescent="0.2">
      <c r="N3184" s="139" t="str">
        <f t="shared" si="56"/>
        <v>1w</v>
      </c>
      <c r="O3184" s="146">
        <f>_xll.qlCalendarAdvance(Calendar,O3183,N3184,"f",FALSE)</f>
        <v>61513</v>
      </c>
      <c r="P3184" s="140">
        <f>_xll.qlInterestRateIndexValueDate(IborIndex,O3184)</f>
        <v>61518</v>
      </c>
      <c r="Q3184" s="141" t="e">
        <v>#N/A</v>
      </c>
      <c r="R3184" s="143" t="e">
        <v>#N/A</v>
      </c>
    </row>
    <row r="3185" spans="14:18" x14ac:dyDescent="0.2">
      <c r="N3185" s="139" t="str">
        <f t="shared" si="56"/>
        <v>1w</v>
      </c>
      <c r="O3185" s="146">
        <f>_xll.qlCalendarAdvance(Calendar,O3184,N3185,"f",FALSE)</f>
        <v>61520</v>
      </c>
      <c r="P3185" s="140">
        <f>_xll.qlInterestRateIndexValueDate(IborIndex,O3185)</f>
        <v>61522</v>
      </c>
      <c r="Q3185" s="141" t="e">
        <v>#N/A</v>
      </c>
      <c r="R3185" s="143" t="e">
        <v>#N/A</v>
      </c>
    </row>
    <row r="3186" spans="14:18" x14ac:dyDescent="0.2">
      <c r="N3186" s="139" t="str">
        <f t="shared" si="56"/>
        <v>1w</v>
      </c>
      <c r="O3186" s="146">
        <f>_xll.qlCalendarAdvance(Calendar,O3185,N3186,"f",FALSE)</f>
        <v>61527</v>
      </c>
      <c r="P3186" s="140">
        <f>_xll.qlInterestRateIndexValueDate(IborIndex,O3186)</f>
        <v>61529</v>
      </c>
      <c r="Q3186" s="141" t="e">
        <v>#N/A</v>
      </c>
      <c r="R3186" s="143" t="e">
        <v>#N/A</v>
      </c>
    </row>
    <row r="3187" spans="14:18" x14ac:dyDescent="0.2">
      <c r="N3187" s="139" t="str">
        <f t="shared" si="56"/>
        <v>1w</v>
      </c>
      <c r="O3187" s="146">
        <f>_xll.qlCalendarAdvance(Calendar,O3186,N3187,"f",FALSE)</f>
        <v>61534</v>
      </c>
      <c r="P3187" s="140">
        <f>_xll.qlInterestRateIndexValueDate(IborIndex,O3187)</f>
        <v>61539</v>
      </c>
      <c r="Q3187" s="141" t="e">
        <v>#N/A</v>
      </c>
      <c r="R3187" s="143" t="e">
        <v>#N/A</v>
      </c>
    </row>
    <row r="3188" spans="14:18" x14ac:dyDescent="0.2">
      <c r="N3188" s="139" t="str">
        <f t="shared" si="56"/>
        <v>1w</v>
      </c>
      <c r="O3188" s="146">
        <f>_xll.qlCalendarAdvance(Calendar,O3187,N3188,"f",FALSE)</f>
        <v>61541</v>
      </c>
      <c r="P3188" s="140">
        <f>_xll.qlInterestRateIndexValueDate(IborIndex,O3188)</f>
        <v>61543</v>
      </c>
      <c r="Q3188" s="141" t="e">
        <v>#N/A</v>
      </c>
      <c r="R3188" s="143" t="e">
        <v>#N/A</v>
      </c>
    </row>
    <row r="3189" spans="14:18" x14ac:dyDescent="0.2">
      <c r="N3189" s="139" t="str">
        <f t="shared" si="56"/>
        <v>1w</v>
      </c>
      <c r="O3189" s="146">
        <f>_xll.qlCalendarAdvance(Calendar,O3188,N3189,"f",FALSE)</f>
        <v>61548</v>
      </c>
      <c r="P3189" s="140">
        <f>_xll.qlInterestRateIndexValueDate(IborIndex,O3189)</f>
        <v>61550</v>
      </c>
      <c r="Q3189" s="141" t="e">
        <v>#N/A</v>
      </c>
      <c r="R3189" s="143" t="e">
        <v>#N/A</v>
      </c>
    </row>
    <row r="3190" spans="14:18" x14ac:dyDescent="0.2">
      <c r="N3190" s="139" t="str">
        <f t="shared" si="56"/>
        <v>1w</v>
      </c>
      <c r="O3190" s="146">
        <f>_xll.qlCalendarAdvance(Calendar,O3189,N3190,"f",FALSE)</f>
        <v>61555</v>
      </c>
      <c r="P3190" s="140">
        <f>_xll.qlInterestRateIndexValueDate(IborIndex,O3190)</f>
        <v>61557</v>
      </c>
      <c r="Q3190" s="141" t="e">
        <v>#N/A</v>
      </c>
      <c r="R3190" s="143" t="e">
        <v>#N/A</v>
      </c>
    </row>
    <row r="3191" spans="14:18" x14ac:dyDescent="0.2">
      <c r="N3191" s="139" t="str">
        <f t="shared" si="56"/>
        <v>1w</v>
      </c>
      <c r="O3191" s="146">
        <f>_xll.qlCalendarAdvance(Calendar,O3190,N3191,"f",FALSE)</f>
        <v>61562</v>
      </c>
      <c r="P3191" s="140">
        <f>_xll.qlInterestRateIndexValueDate(IborIndex,O3191)</f>
        <v>61564</v>
      </c>
      <c r="Q3191" s="141" t="e">
        <v>#N/A</v>
      </c>
      <c r="R3191" s="143" t="e">
        <v>#N/A</v>
      </c>
    </row>
    <row r="3192" spans="14:18" x14ac:dyDescent="0.2">
      <c r="N3192" s="139" t="str">
        <f t="shared" si="56"/>
        <v>1w</v>
      </c>
      <c r="O3192" s="146">
        <f>_xll.qlCalendarAdvance(Calendar,O3191,N3192,"f",FALSE)</f>
        <v>61569</v>
      </c>
      <c r="P3192" s="140">
        <f>_xll.qlInterestRateIndexValueDate(IborIndex,O3192)</f>
        <v>61571</v>
      </c>
      <c r="Q3192" s="141" t="e">
        <v>#N/A</v>
      </c>
      <c r="R3192" s="143" t="e">
        <v>#N/A</v>
      </c>
    </row>
    <row r="3193" spans="14:18" x14ac:dyDescent="0.2">
      <c r="N3193" s="139" t="str">
        <f t="shared" si="56"/>
        <v>1w</v>
      </c>
      <c r="O3193" s="146">
        <f>_xll.qlCalendarAdvance(Calendar,O3192,N3193,"f",FALSE)</f>
        <v>61576</v>
      </c>
      <c r="P3193" s="140">
        <f>_xll.qlInterestRateIndexValueDate(IborIndex,O3193)</f>
        <v>61578</v>
      </c>
      <c r="Q3193" s="141" t="e">
        <v>#N/A</v>
      </c>
      <c r="R3193" s="143" t="e">
        <v>#N/A</v>
      </c>
    </row>
    <row r="3194" spans="14:18" x14ac:dyDescent="0.2">
      <c r="N3194" s="139" t="str">
        <f t="shared" si="56"/>
        <v>1w</v>
      </c>
      <c r="O3194" s="146">
        <f>_xll.qlCalendarAdvance(Calendar,O3193,N3194,"f",FALSE)</f>
        <v>61583</v>
      </c>
      <c r="P3194" s="140">
        <f>_xll.qlInterestRateIndexValueDate(IborIndex,O3194)</f>
        <v>61585</v>
      </c>
      <c r="Q3194" s="141" t="e">
        <v>#N/A</v>
      </c>
      <c r="R3194" s="143" t="e">
        <v>#N/A</v>
      </c>
    </row>
    <row r="3195" spans="14:18" x14ac:dyDescent="0.2">
      <c r="N3195" s="139" t="str">
        <f t="shared" si="56"/>
        <v>1w</v>
      </c>
      <c r="O3195" s="146">
        <f>_xll.qlCalendarAdvance(Calendar,O3194,N3195,"f",FALSE)</f>
        <v>61590</v>
      </c>
      <c r="P3195" s="140">
        <f>_xll.qlInterestRateIndexValueDate(IborIndex,O3195)</f>
        <v>61592</v>
      </c>
      <c r="Q3195" s="141" t="e">
        <v>#N/A</v>
      </c>
      <c r="R3195" s="143" t="e">
        <v>#N/A</v>
      </c>
    </row>
    <row r="3196" spans="14:18" x14ac:dyDescent="0.2">
      <c r="N3196" s="139" t="str">
        <f t="shared" si="56"/>
        <v>1w</v>
      </c>
      <c r="O3196" s="146">
        <f>_xll.qlCalendarAdvance(Calendar,O3195,N3196,"f",FALSE)</f>
        <v>61597</v>
      </c>
      <c r="P3196" s="140">
        <f>_xll.qlInterestRateIndexValueDate(IborIndex,O3196)</f>
        <v>61599</v>
      </c>
      <c r="Q3196" s="141" t="e">
        <v>#N/A</v>
      </c>
      <c r="R3196" s="143" t="e">
        <v>#N/A</v>
      </c>
    </row>
    <row r="3197" spans="14:18" x14ac:dyDescent="0.2">
      <c r="N3197" s="139" t="str">
        <f t="shared" si="56"/>
        <v>1w</v>
      </c>
      <c r="O3197" s="146">
        <f>_xll.qlCalendarAdvance(Calendar,O3196,N3197,"f",FALSE)</f>
        <v>61604</v>
      </c>
      <c r="P3197" s="140">
        <f>_xll.qlInterestRateIndexValueDate(IborIndex,O3197)</f>
        <v>61606</v>
      </c>
      <c r="Q3197" s="141" t="e">
        <v>#N/A</v>
      </c>
      <c r="R3197" s="143" t="e">
        <v>#N/A</v>
      </c>
    </row>
    <row r="3198" spans="14:18" x14ac:dyDescent="0.2">
      <c r="N3198" s="139" t="str">
        <f t="shared" si="56"/>
        <v>1w</v>
      </c>
      <c r="O3198" s="146">
        <f>_xll.qlCalendarAdvance(Calendar,O3197,N3198,"f",FALSE)</f>
        <v>61611</v>
      </c>
      <c r="P3198" s="140">
        <f>_xll.qlInterestRateIndexValueDate(IborIndex,O3198)</f>
        <v>61613</v>
      </c>
      <c r="Q3198" s="141" t="e">
        <v>#N/A</v>
      </c>
      <c r="R3198" s="143" t="e">
        <v>#N/A</v>
      </c>
    </row>
    <row r="3199" spans="14:18" x14ac:dyDescent="0.2">
      <c r="N3199" s="139" t="str">
        <f t="shared" si="56"/>
        <v>1w</v>
      </c>
      <c r="O3199" s="146">
        <f>_xll.qlCalendarAdvance(Calendar,O3198,N3199,"f",FALSE)</f>
        <v>61618</v>
      </c>
      <c r="P3199" s="140">
        <f>_xll.qlInterestRateIndexValueDate(IborIndex,O3199)</f>
        <v>61620</v>
      </c>
      <c r="Q3199" s="141" t="e">
        <v>#N/A</v>
      </c>
      <c r="R3199" s="143" t="e">
        <v>#N/A</v>
      </c>
    </row>
    <row r="3200" spans="14:18" x14ac:dyDescent="0.2">
      <c r="N3200" s="139" t="str">
        <f t="shared" si="56"/>
        <v>1w</v>
      </c>
      <c r="O3200" s="146">
        <f>_xll.qlCalendarAdvance(Calendar,O3199,N3200,"f",FALSE)</f>
        <v>61625</v>
      </c>
      <c r="P3200" s="140">
        <f>_xll.qlInterestRateIndexValueDate(IborIndex,O3200)</f>
        <v>61627</v>
      </c>
      <c r="Q3200" s="141" t="e">
        <v>#N/A</v>
      </c>
      <c r="R3200" s="143" t="e">
        <v>#N/A</v>
      </c>
    </row>
    <row r="3201" spans="14:18" x14ac:dyDescent="0.2">
      <c r="N3201" s="139" t="str">
        <f t="shared" si="56"/>
        <v>1w</v>
      </c>
      <c r="O3201" s="146">
        <f>_xll.qlCalendarAdvance(Calendar,O3200,N3201,"f",FALSE)</f>
        <v>61632</v>
      </c>
      <c r="P3201" s="140">
        <f>_xll.qlInterestRateIndexValueDate(IborIndex,O3201)</f>
        <v>61634</v>
      </c>
      <c r="Q3201" s="141" t="e">
        <v>#N/A</v>
      </c>
      <c r="R3201" s="143" t="e">
        <v>#N/A</v>
      </c>
    </row>
    <row r="3202" spans="14:18" x14ac:dyDescent="0.2">
      <c r="N3202" s="139" t="str">
        <f t="shared" si="56"/>
        <v>1w</v>
      </c>
      <c r="O3202" s="146">
        <f>_xll.qlCalendarAdvance(Calendar,O3201,N3202,"f",FALSE)</f>
        <v>61639</v>
      </c>
      <c r="P3202" s="140">
        <f>_xll.qlInterestRateIndexValueDate(IborIndex,O3202)</f>
        <v>61641</v>
      </c>
      <c r="Q3202" s="141" t="e">
        <v>#N/A</v>
      </c>
      <c r="R3202" s="143" t="e">
        <v>#N/A</v>
      </c>
    </row>
    <row r="3203" spans="14:18" x14ac:dyDescent="0.2">
      <c r="N3203" s="139" t="str">
        <f t="shared" si="56"/>
        <v>1w</v>
      </c>
      <c r="O3203" s="146">
        <f>_xll.qlCalendarAdvance(Calendar,O3202,N3203,"f",FALSE)</f>
        <v>61646</v>
      </c>
      <c r="P3203" s="140">
        <f>_xll.qlInterestRateIndexValueDate(IborIndex,O3203)</f>
        <v>61648</v>
      </c>
      <c r="Q3203" s="141" t="e">
        <v>#N/A</v>
      </c>
      <c r="R3203" s="143" t="e">
        <v>#N/A</v>
      </c>
    </row>
    <row r="3204" spans="14:18" x14ac:dyDescent="0.2">
      <c r="N3204" s="139" t="str">
        <f t="shared" si="56"/>
        <v>1w</v>
      </c>
      <c r="O3204" s="146">
        <f>_xll.qlCalendarAdvance(Calendar,O3203,N3204,"f",FALSE)</f>
        <v>61653</v>
      </c>
      <c r="P3204" s="140">
        <f>_xll.qlInterestRateIndexValueDate(IborIndex,O3204)</f>
        <v>61655</v>
      </c>
      <c r="Q3204" s="141" t="e">
        <v>#N/A</v>
      </c>
      <c r="R3204" s="143" t="e">
        <v>#N/A</v>
      </c>
    </row>
    <row r="3205" spans="14:18" x14ac:dyDescent="0.2">
      <c r="N3205" s="139" t="str">
        <f t="shared" si="56"/>
        <v>1w</v>
      </c>
      <c r="O3205" s="146">
        <f>_xll.qlCalendarAdvance(Calendar,O3204,N3205,"f",FALSE)</f>
        <v>61660</v>
      </c>
      <c r="P3205" s="140">
        <f>_xll.qlInterestRateIndexValueDate(IborIndex,O3205)</f>
        <v>61662</v>
      </c>
      <c r="Q3205" s="141" t="e">
        <v>#N/A</v>
      </c>
      <c r="R3205" s="143" t="e">
        <v>#N/A</v>
      </c>
    </row>
    <row r="3206" spans="14:18" x14ac:dyDescent="0.2">
      <c r="N3206" s="139" t="str">
        <f t="shared" si="56"/>
        <v>1w</v>
      </c>
      <c r="O3206" s="146">
        <f>_xll.qlCalendarAdvance(Calendar,O3205,N3206,"f",FALSE)</f>
        <v>61667</v>
      </c>
      <c r="P3206" s="140">
        <f>_xll.qlInterestRateIndexValueDate(IborIndex,O3206)</f>
        <v>61669</v>
      </c>
      <c r="Q3206" s="141" t="e">
        <v>#N/A</v>
      </c>
      <c r="R3206" s="143" t="e">
        <v>#N/A</v>
      </c>
    </row>
    <row r="3207" spans="14:18" x14ac:dyDescent="0.2">
      <c r="N3207" s="139" t="str">
        <f t="shared" si="56"/>
        <v>1w</v>
      </c>
      <c r="O3207" s="146">
        <f>_xll.qlCalendarAdvance(Calendar,O3206,N3207,"f",FALSE)</f>
        <v>61674</v>
      </c>
      <c r="P3207" s="140">
        <f>_xll.qlInterestRateIndexValueDate(IborIndex,O3207)</f>
        <v>61676</v>
      </c>
      <c r="Q3207" s="141" t="e">
        <v>#N/A</v>
      </c>
      <c r="R3207" s="143" t="e">
        <v>#N/A</v>
      </c>
    </row>
    <row r="3208" spans="14:18" x14ac:dyDescent="0.2">
      <c r="N3208" s="139" t="str">
        <f t="shared" si="56"/>
        <v>1w</v>
      </c>
      <c r="O3208" s="146">
        <f>_xll.qlCalendarAdvance(Calendar,O3207,N3208,"f",FALSE)</f>
        <v>61681</v>
      </c>
      <c r="P3208" s="140">
        <f>_xll.qlInterestRateIndexValueDate(IborIndex,O3208)</f>
        <v>61683</v>
      </c>
      <c r="Q3208" s="141" t="e">
        <v>#N/A</v>
      </c>
      <c r="R3208" s="143" t="e">
        <v>#N/A</v>
      </c>
    </row>
    <row r="3209" spans="14:18" x14ac:dyDescent="0.2">
      <c r="N3209" s="139" t="str">
        <f t="shared" si="56"/>
        <v>1w</v>
      </c>
      <c r="O3209" s="146">
        <f>_xll.qlCalendarAdvance(Calendar,O3208,N3209,"f",FALSE)</f>
        <v>61688</v>
      </c>
      <c r="P3209" s="140">
        <f>_xll.qlInterestRateIndexValueDate(IborIndex,O3209)</f>
        <v>61690</v>
      </c>
      <c r="Q3209" s="141" t="e">
        <v>#N/A</v>
      </c>
      <c r="R3209" s="143" t="e">
        <v>#N/A</v>
      </c>
    </row>
    <row r="3210" spans="14:18" x14ac:dyDescent="0.2">
      <c r="N3210" s="139" t="str">
        <f t="shared" si="56"/>
        <v>1w</v>
      </c>
      <c r="O3210" s="146">
        <f>_xll.qlCalendarAdvance(Calendar,O3209,N3210,"f",FALSE)</f>
        <v>61695</v>
      </c>
      <c r="P3210" s="140">
        <f>_xll.qlInterestRateIndexValueDate(IborIndex,O3210)</f>
        <v>61697</v>
      </c>
      <c r="Q3210" s="141" t="e">
        <v>#N/A</v>
      </c>
      <c r="R3210" s="143" t="e">
        <v>#N/A</v>
      </c>
    </row>
    <row r="3211" spans="14:18" x14ac:dyDescent="0.2">
      <c r="N3211" s="139" t="str">
        <f t="shared" si="56"/>
        <v>1w</v>
      </c>
      <c r="O3211" s="146">
        <f>_xll.qlCalendarAdvance(Calendar,O3210,N3211,"f",FALSE)</f>
        <v>61702</v>
      </c>
      <c r="P3211" s="140">
        <f>_xll.qlInterestRateIndexValueDate(IborIndex,O3211)</f>
        <v>61704</v>
      </c>
      <c r="Q3211" s="141" t="e">
        <v>#N/A</v>
      </c>
      <c r="R3211" s="143" t="e">
        <v>#N/A</v>
      </c>
    </row>
    <row r="3212" spans="14:18" x14ac:dyDescent="0.2">
      <c r="N3212" s="139" t="str">
        <f t="shared" si="56"/>
        <v>1w</v>
      </c>
      <c r="O3212" s="146">
        <f>_xll.qlCalendarAdvance(Calendar,O3211,N3212,"f",FALSE)</f>
        <v>61709</v>
      </c>
      <c r="P3212" s="140">
        <f>_xll.qlInterestRateIndexValueDate(IborIndex,O3212)</f>
        <v>61711</v>
      </c>
      <c r="Q3212" s="141" t="e">
        <v>#N/A</v>
      </c>
      <c r="R3212" s="143" t="e">
        <v>#N/A</v>
      </c>
    </row>
    <row r="3213" spans="14:18" x14ac:dyDescent="0.2">
      <c r="N3213" s="139" t="str">
        <f t="shared" si="56"/>
        <v>1w</v>
      </c>
      <c r="O3213" s="146">
        <f>_xll.qlCalendarAdvance(Calendar,O3212,N3213,"f",FALSE)</f>
        <v>61716</v>
      </c>
      <c r="P3213" s="140">
        <f>_xll.qlInterestRateIndexValueDate(IborIndex,O3213)</f>
        <v>61718</v>
      </c>
      <c r="Q3213" s="141" t="e">
        <v>#N/A</v>
      </c>
      <c r="R3213" s="143" t="e">
        <v>#N/A</v>
      </c>
    </row>
    <row r="3214" spans="14:18" x14ac:dyDescent="0.2">
      <c r="N3214" s="139" t="str">
        <f t="shared" si="56"/>
        <v>1w</v>
      </c>
      <c r="O3214" s="146">
        <f>_xll.qlCalendarAdvance(Calendar,O3213,N3214,"f",FALSE)</f>
        <v>61724</v>
      </c>
      <c r="P3214" s="140">
        <f>_xll.qlInterestRateIndexValueDate(IborIndex,O3214)</f>
        <v>61730</v>
      </c>
      <c r="Q3214" s="141" t="e">
        <v>#N/A</v>
      </c>
      <c r="R3214" s="143" t="e">
        <v>#N/A</v>
      </c>
    </row>
    <row r="3215" spans="14:18" x14ac:dyDescent="0.2">
      <c r="N3215" s="139" t="str">
        <f t="shared" si="56"/>
        <v>1w</v>
      </c>
      <c r="O3215" s="146">
        <f>_xll.qlCalendarAdvance(Calendar,O3214,N3215,"f",FALSE)</f>
        <v>61731</v>
      </c>
      <c r="P3215" s="140">
        <f>_xll.qlInterestRateIndexValueDate(IborIndex,O3215)</f>
        <v>61735</v>
      </c>
      <c r="Q3215" s="141" t="e">
        <v>#N/A</v>
      </c>
      <c r="R3215" s="143" t="e">
        <v>#N/A</v>
      </c>
    </row>
    <row r="3216" spans="14:18" x14ac:dyDescent="0.2">
      <c r="N3216" s="139" t="str">
        <f t="shared" si="56"/>
        <v>1w</v>
      </c>
      <c r="O3216" s="146">
        <f>_xll.qlCalendarAdvance(Calendar,O3215,N3216,"f",FALSE)</f>
        <v>61738</v>
      </c>
      <c r="P3216" s="140">
        <f>_xll.qlInterestRateIndexValueDate(IborIndex,O3216)</f>
        <v>61742</v>
      </c>
      <c r="Q3216" s="141" t="e">
        <v>#N/A</v>
      </c>
      <c r="R3216" s="143" t="e">
        <v>#N/A</v>
      </c>
    </row>
    <row r="3217" spans="14:18" x14ac:dyDescent="0.2">
      <c r="N3217" s="139" t="str">
        <f t="shared" si="56"/>
        <v>1w</v>
      </c>
      <c r="O3217" s="146">
        <f>_xll.qlCalendarAdvance(Calendar,O3216,N3217,"f",FALSE)</f>
        <v>61745</v>
      </c>
      <c r="P3217" s="140">
        <f>_xll.qlInterestRateIndexValueDate(IborIndex,O3217)</f>
        <v>61749</v>
      </c>
      <c r="Q3217" s="141" t="e">
        <v>#N/A</v>
      </c>
      <c r="R3217" s="143" t="e">
        <v>#N/A</v>
      </c>
    </row>
    <row r="3218" spans="14:18" x14ac:dyDescent="0.2">
      <c r="N3218" s="139" t="str">
        <f t="shared" si="56"/>
        <v>1w</v>
      </c>
      <c r="O3218" s="146">
        <f>_xll.qlCalendarAdvance(Calendar,O3217,N3218,"f",FALSE)</f>
        <v>61752</v>
      </c>
      <c r="P3218" s="140">
        <f>_xll.qlInterestRateIndexValueDate(IborIndex,O3218)</f>
        <v>61756</v>
      </c>
      <c r="Q3218" s="141" t="e">
        <v>#N/A</v>
      </c>
      <c r="R3218" s="143" t="e">
        <v>#N/A</v>
      </c>
    </row>
    <row r="3219" spans="14:18" x14ac:dyDescent="0.2">
      <c r="N3219" s="139" t="str">
        <f t="shared" si="56"/>
        <v>1w</v>
      </c>
      <c r="O3219" s="146">
        <f>_xll.qlCalendarAdvance(Calendar,O3218,N3219,"f",FALSE)</f>
        <v>61759</v>
      </c>
      <c r="P3219" s="140">
        <f>_xll.qlInterestRateIndexValueDate(IborIndex,O3219)</f>
        <v>61763</v>
      </c>
      <c r="Q3219" s="141" t="e">
        <v>#N/A</v>
      </c>
      <c r="R3219" s="143" t="e">
        <v>#N/A</v>
      </c>
    </row>
    <row r="3220" spans="14:18" x14ac:dyDescent="0.2">
      <c r="N3220" s="139" t="str">
        <f t="shared" si="56"/>
        <v>1w</v>
      </c>
      <c r="O3220" s="146">
        <f>_xll.qlCalendarAdvance(Calendar,O3219,N3220,"f",FALSE)</f>
        <v>61766</v>
      </c>
      <c r="P3220" s="140">
        <f>_xll.qlInterestRateIndexValueDate(IborIndex,O3220)</f>
        <v>61770</v>
      </c>
      <c r="Q3220" s="141" t="e">
        <v>#N/A</v>
      </c>
      <c r="R3220" s="143" t="e">
        <v>#N/A</v>
      </c>
    </row>
    <row r="3221" spans="14:18" x14ac:dyDescent="0.2">
      <c r="N3221" s="139" t="str">
        <f t="shared" ref="N3221:N3284" si="57">N3220</f>
        <v>1w</v>
      </c>
      <c r="O3221" s="146">
        <f>_xll.qlCalendarAdvance(Calendar,O3220,N3221,"f",FALSE)</f>
        <v>61773</v>
      </c>
      <c r="P3221" s="140">
        <f>_xll.qlInterestRateIndexValueDate(IborIndex,O3221)</f>
        <v>61777</v>
      </c>
      <c r="Q3221" s="141" t="e">
        <v>#N/A</v>
      </c>
      <c r="R3221" s="143" t="e">
        <v>#N/A</v>
      </c>
    </row>
    <row r="3222" spans="14:18" x14ac:dyDescent="0.2">
      <c r="N3222" s="139" t="str">
        <f t="shared" si="57"/>
        <v>1w</v>
      </c>
      <c r="O3222" s="146">
        <f>_xll.qlCalendarAdvance(Calendar,O3221,N3222,"f",FALSE)</f>
        <v>61780</v>
      </c>
      <c r="P3222" s="140">
        <f>_xll.qlInterestRateIndexValueDate(IborIndex,O3222)</f>
        <v>61784</v>
      </c>
      <c r="Q3222" s="141" t="e">
        <v>#N/A</v>
      </c>
      <c r="R3222" s="143" t="e">
        <v>#N/A</v>
      </c>
    </row>
    <row r="3223" spans="14:18" x14ac:dyDescent="0.2">
      <c r="N3223" s="139" t="str">
        <f t="shared" si="57"/>
        <v>1w</v>
      </c>
      <c r="O3223" s="146">
        <f>_xll.qlCalendarAdvance(Calendar,O3222,N3223,"f",FALSE)</f>
        <v>61787</v>
      </c>
      <c r="P3223" s="140">
        <f>_xll.qlInterestRateIndexValueDate(IborIndex,O3223)</f>
        <v>61791</v>
      </c>
      <c r="Q3223" s="141" t="e">
        <v>#N/A</v>
      </c>
      <c r="R3223" s="143" t="e">
        <v>#N/A</v>
      </c>
    </row>
    <row r="3224" spans="14:18" x14ac:dyDescent="0.2">
      <c r="N3224" s="139" t="str">
        <f t="shared" si="57"/>
        <v>1w</v>
      </c>
      <c r="O3224" s="146">
        <f>_xll.qlCalendarAdvance(Calendar,O3223,N3224,"f",FALSE)</f>
        <v>61794</v>
      </c>
      <c r="P3224" s="140">
        <f>_xll.qlInterestRateIndexValueDate(IborIndex,O3224)</f>
        <v>61798</v>
      </c>
      <c r="Q3224" s="141" t="e">
        <v>#N/A</v>
      </c>
      <c r="R3224" s="143" t="e">
        <v>#N/A</v>
      </c>
    </row>
    <row r="3225" spans="14:18" x14ac:dyDescent="0.2">
      <c r="N3225" s="139" t="str">
        <f t="shared" si="57"/>
        <v>1w</v>
      </c>
      <c r="O3225" s="146">
        <f>_xll.qlCalendarAdvance(Calendar,O3224,N3225,"f",FALSE)</f>
        <v>61801</v>
      </c>
      <c r="P3225" s="140">
        <f>_xll.qlInterestRateIndexValueDate(IborIndex,O3225)</f>
        <v>61805</v>
      </c>
      <c r="Q3225" s="141" t="e">
        <v>#N/A</v>
      </c>
      <c r="R3225" s="143" t="e">
        <v>#N/A</v>
      </c>
    </row>
    <row r="3226" spans="14:18" x14ac:dyDescent="0.2">
      <c r="N3226" s="139" t="str">
        <f t="shared" si="57"/>
        <v>1w</v>
      </c>
      <c r="O3226" s="146">
        <f>_xll.qlCalendarAdvance(Calendar,O3225,N3226,"f",FALSE)</f>
        <v>61808</v>
      </c>
      <c r="P3226" s="140">
        <f>_xll.qlInterestRateIndexValueDate(IborIndex,O3226)</f>
        <v>61812</v>
      </c>
      <c r="Q3226" s="141" t="e">
        <v>#N/A</v>
      </c>
      <c r="R3226" s="143" t="e">
        <v>#N/A</v>
      </c>
    </row>
    <row r="3227" spans="14:18" x14ac:dyDescent="0.2">
      <c r="N3227" s="139" t="str">
        <f t="shared" si="57"/>
        <v>1w</v>
      </c>
      <c r="O3227" s="146">
        <f>_xll.qlCalendarAdvance(Calendar,O3226,N3227,"f",FALSE)</f>
        <v>61815</v>
      </c>
      <c r="P3227" s="140">
        <f>_xll.qlInterestRateIndexValueDate(IborIndex,O3227)</f>
        <v>61819</v>
      </c>
      <c r="Q3227" s="141" t="e">
        <v>#N/A</v>
      </c>
      <c r="R3227" s="143" t="e">
        <v>#N/A</v>
      </c>
    </row>
    <row r="3228" spans="14:18" x14ac:dyDescent="0.2">
      <c r="N3228" s="139" t="str">
        <f t="shared" si="57"/>
        <v>1w</v>
      </c>
      <c r="O3228" s="146">
        <f>_xll.qlCalendarAdvance(Calendar,O3227,N3228,"f",FALSE)</f>
        <v>61822</v>
      </c>
      <c r="P3228" s="140">
        <f>_xll.qlInterestRateIndexValueDate(IborIndex,O3228)</f>
        <v>61826</v>
      </c>
      <c r="Q3228" s="141" t="e">
        <v>#N/A</v>
      </c>
      <c r="R3228" s="143" t="e">
        <v>#N/A</v>
      </c>
    </row>
    <row r="3229" spans="14:18" x14ac:dyDescent="0.2">
      <c r="N3229" s="139" t="str">
        <f t="shared" si="57"/>
        <v>1w</v>
      </c>
      <c r="O3229" s="146">
        <f>_xll.qlCalendarAdvance(Calendar,O3228,N3229,"f",FALSE)</f>
        <v>61829</v>
      </c>
      <c r="P3229" s="140">
        <f>_xll.qlInterestRateIndexValueDate(IborIndex,O3229)</f>
        <v>61835</v>
      </c>
      <c r="Q3229" s="141" t="e">
        <v>#N/A</v>
      </c>
      <c r="R3229" s="143" t="e">
        <v>#N/A</v>
      </c>
    </row>
    <row r="3230" spans="14:18" x14ac:dyDescent="0.2">
      <c r="N3230" s="139" t="str">
        <f t="shared" si="57"/>
        <v>1w</v>
      </c>
      <c r="O3230" s="146">
        <f>_xll.qlCalendarAdvance(Calendar,O3229,N3230,"f",FALSE)</f>
        <v>61836</v>
      </c>
      <c r="P3230" s="140">
        <f>_xll.qlInterestRateIndexValueDate(IborIndex,O3230)</f>
        <v>61840</v>
      </c>
      <c r="Q3230" s="141" t="e">
        <v>#N/A</v>
      </c>
      <c r="R3230" s="143" t="e">
        <v>#N/A</v>
      </c>
    </row>
    <row r="3231" spans="14:18" x14ac:dyDescent="0.2">
      <c r="N3231" s="139" t="str">
        <f t="shared" si="57"/>
        <v>1w</v>
      </c>
      <c r="O3231" s="146">
        <f>_xll.qlCalendarAdvance(Calendar,O3230,N3231,"f",FALSE)</f>
        <v>61843</v>
      </c>
      <c r="P3231" s="140">
        <f>_xll.qlInterestRateIndexValueDate(IborIndex,O3231)</f>
        <v>61847</v>
      </c>
      <c r="Q3231" s="141" t="e">
        <v>#N/A</v>
      </c>
      <c r="R3231" s="143" t="e">
        <v>#N/A</v>
      </c>
    </row>
    <row r="3232" spans="14:18" x14ac:dyDescent="0.2">
      <c r="N3232" s="139" t="str">
        <f t="shared" si="57"/>
        <v>1w</v>
      </c>
      <c r="O3232" s="146">
        <f>_xll.qlCalendarAdvance(Calendar,O3231,N3232,"f",FALSE)</f>
        <v>61850</v>
      </c>
      <c r="P3232" s="140">
        <f>_xll.qlInterestRateIndexValueDate(IborIndex,O3232)</f>
        <v>61854</v>
      </c>
      <c r="Q3232" s="141" t="e">
        <v>#N/A</v>
      </c>
      <c r="R3232" s="143" t="e">
        <v>#N/A</v>
      </c>
    </row>
    <row r="3233" spans="14:18" x14ac:dyDescent="0.2">
      <c r="N3233" s="139" t="str">
        <f t="shared" si="57"/>
        <v>1w</v>
      </c>
      <c r="O3233" s="146">
        <f>_xll.qlCalendarAdvance(Calendar,O3232,N3233,"f",FALSE)</f>
        <v>61857</v>
      </c>
      <c r="P3233" s="140">
        <f>_xll.qlInterestRateIndexValueDate(IborIndex,O3233)</f>
        <v>61861</v>
      </c>
      <c r="Q3233" s="141" t="e">
        <v>#N/A</v>
      </c>
      <c r="R3233" s="143" t="e">
        <v>#N/A</v>
      </c>
    </row>
    <row r="3234" spans="14:18" x14ac:dyDescent="0.2">
      <c r="N3234" s="139" t="str">
        <f t="shared" si="57"/>
        <v>1w</v>
      </c>
      <c r="O3234" s="146">
        <f>_xll.qlCalendarAdvance(Calendar,O3233,N3234,"f",FALSE)</f>
        <v>61864</v>
      </c>
      <c r="P3234" s="140">
        <f>_xll.qlInterestRateIndexValueDate(IborIndex,O3234)</f>
        <v>61868</v>
      </c>
      <c r="Q3234" s="141" t="e">
        <v>#N/A</v>
      </c>
      <c r="R3234" s="143" t="e">
        <v>#N/A</v>
      </c>
    </row>
    <row r="3235" spans="14:18" x14ac:dyDescent="0.2">
      <c r="N3235" s="139" t="str">
        <f t="shared" si="57"/>
        <v>1w</v>
      </c>
      <c r="O3235" s="146">
        <f>_xll.qlCalendarAdvance(Calendar,O3234,N3235,"f",FALSE)</f>
        <v>61872</v>
      </c>
      <c r="P3235" s="140">
        <f>_xll.qlInterestRateIndexValueDate(IborIndex,O3235)</f>
        <v>61876</v>
      </c>
      <c r="Q3235" s="141" t="e">
        <v>#N/A</v>
      </c>
      <c r="R3235" s="143" t="e">
        <v>#N/A</v>
      </c>
    </row>
    <row r="3236" spans="14:18" x14ac:dyDescent="0.2">
      <c r="N3236" s="139" t="str">
        <f t="shared" si="57"/>
        <v>1w</v>
      </c>
      <c r="O3236" s="146">
        <f>_xll.qlCalendarAdvance(Calendar,O3235,N3236,"f",FALSE)</f>
        <v>61879</v>
      </c>
      <c r="P3236" s="140">
        <f>_xll.qlInterestRateIndexValueDate(IborIndex,O3236)</f>
        <v>61884</v>
      </c>
      <c r="Q3236" s="141" t="e">
        <v>#N/A</v>
      </c>
      <c r="R3236" s="143" t="e">
        <v>#N/A</v>
      </c>
    </row>
    <row r="3237" spans="14:18" x14ac:dyDescent="0.2">
      <c r="N3237" s="139" t="str">
        <f t="shared" si="57"/>
        <v>1w</v>
      </c>
      <c r="O3237" s="146">
        <f>_xll.qlCalendarAdvance(Calendar,O3236,N3237,"f",FALSE)</f>
        <v>61886</v>
      </c>
      <c r="P3237" s="140">
        <f>_xll.qlInterestRateIndexValueDate(IborIndex,O3237)</f>
        <v>61890</v>
      </c>
      <c r="Q3237" s="141" t="e">
        <v>#N/A</v>
      </c>
      <c r="R3237" s="143" t="e">
        <v>#N/A</v>
      </c>
    </row>
    <row r="3238" spans="14:18" x14ac:dyDescent="0.2">
      <c r="N3238" s="139" t="str">
        <f t="shared" si="57"/>
        <v>1w</v>
      </c>
      <c r="O3238" s="146">
        <f>_xll.qlCalendarAdvance(Calendar,O3237,N3238,"f",FALSE)</f>
        <v>61893</v>
      </c>
      <c r="P3238" s="140">
        <f>_xll.qlInterestRateIndexValueDate(IborIndex,O3238)</f>
        <v>61897</v>
      </c>
      <c r="Q3238" s="141" t="e">
        <v>#N/A</v>
      </c>
      <c r="R3238" s="143" t="e">
        <v>#N/A</v>
      </c>
    </row>
    <row r="3239" spans="14:18" x14ac:dyDescent="0.2">
      <c r="N3239" s="139" t="str">
        <f t="shared" si="57"/>
        <v>1w</v>
      </c>
      <c r="O3239" s="146">
        <f>_xll.qlCalendarAdvance(Calendar,O3238,N3239,"f",FALSE)</f>
        <v>61903</v>
      </c>
      <c r="P3239" s="140">
        <f>_xll.qlInterestRateIndexValueDate(IborIndex,O3239)</f>
        <v>61905</v>
      </c>
      <c r="Q3239" s="141" t="e">
        <v>#N/A</v>
      </c>
      <c r="R3239" s="143" t="e">
        <v>#N/A</v>
      </c>
    </row>
    <row r="3240" spans="14:18" x14ac:dyDescent="0.2">
      <c r="N3240" s="139" t="str">
        <f t="shared" si="57"/>
        <v>1w</v>
      </c>
      <c r="O3240" s="146">
        <f>_xll.qlCalendarAdvance(Calendar,O3239,N3240,"f",FALSE)</f>
        <v>61910</v>
      </c>
      <c r="P3240" s="140">
        <f>_xll.qlInterestRateIndexValueDate(IborIndex,O3240)</f>
        <v>61912</v>
      </c>
      <c r="Q3240" s="141" t="e">
        <v>#N/A</v>
      </c>
      <c r="R3240" s="143" t="e">
        <v>#N/A</v>
      </c>
    </row>
    <row r="3241" spans="14:18" x14ac:dyDescent="0.2">
      <c r="N3241" s="139" t="str">
        <f t="shared" si="57"/>
        <v>1w</v>
      </c>
      <c r="O3241" s="146">
        <f>_xll.qlCalendarAdvance(Calendar,O3240,N3241,"f",FALSE)</f>
        <v>61917</v>
      </c>
      <c r="P3241" s="140">
        <f>_xll.qlInterestRateIndexValueDate(IborIndex,O3241)</f>
        <v>61919</v>
      </c>
      <c r="Q3241" s="141" t="e">
        <v>#N/A</v>
      </c>
      <c r="R3241" s="143" t="e">
        <v>#N/A</v>
      </c>
    </row>
    <row r="3242" spans="14:18" x14ac:dyDescent="0.2">
      <c r="N3242" s="139" t="str">
        <f t="shared" si="57"/>
        <v>1w</v>
      </c>
      <c r="O3242" s="146">
        <f>_xll.qlCalendarAdvance(Calendar,O3241,N3242,"f",FALSE)</f>
        <v>61924</v>
      </c>
      <c r="P3242" s="140">
        <f>_xll.qlInterestRateIndexValueDate(IborIndex,O3242)</f>
        <v>61926</v>
      </c>
      <c r="Q3242" s="141" t="e">
        <v>#N/A</v>
      </c>
      <c r="R3242" s="143" t="e">
        <v>#N/A</v>
      </c>
    </row>
    <row r="3243" spans="14:18" x14ac:dyDescent="0.2">
      <c r="N3243" s="139" t="str">
        <f t="shared" si="57"/>
        <v>1w</v>
      </c>
      <c r="O3243" s="146">
        <f>_xll.qlCalendarAdvance(Calendar,O3242,N3243,"f",FALSE)</f>
        <v>61931</v>
      </c>
      <c r="P3243" s="140">
        <f>_xll.qlInterestRateIndexValueDate(IborIndex,O3243)</f>
        <v>61933</v>
      </c>
      <c r="Q3243" s="141" t="e">
        <v>#N/A</v>
      </c>
      <c r="R3243" s="143" t="e">
        <v>#N/A</v>
      </c>
    </row>
    <row r="3244" spans="14:18" x14ac:dyDescent="0.2">
      <c r="N3244" s="139" t="str">
        <f t="shared" si="57"/>
        <v>1w</v>
      </c>
      <c r="O3244" s="146">
        <f>_xll.qlCalendarAdvance(Calendar,O3243,N3244,"f",FALSE)</f>
        <v>61938</v>
      </c>
      <c r="P3244" s="140">
        <f>_xll.qlInterestRateIndexValueDate(IborIndex,O3244)</f>
        <v>61940</v>
      </c>
      <c r="Q3244" s="141" t="e">
        <v>#N/A</v>
      </c>
      <c r="R3244" s="143" t="e">
        <v>#N/A</v>
      </c>
    </row>
    <row r="3245" spans="14:18" x14ac:dyDescent="0.2">
      <c r="N3245" s="139" t="str">
        <f t="shared" si="57"/>
        <v>1w</v>
      </c>
      <c r="O3245" s="146">
        <f>_xll.qlCalendarAdvance(Calendar,O3244,N3245,"f",FALSE)</f>
        <v>61945</v>
      </c>
      <c r="P3245" s="140">
        <f>_xll.qlInterestRateIndexValueDate(IborIndex,O3245)</f>
        <v>61947</v>
      </c>
      <c r="Q3245" s="141" t="e">
        <v>#N/A</v>
      </c>
      <c r="R3245" s="143" t="e">
        <v>#N/A</v>
      </c>
    </row>
    <row r="3246" spans="14:18" x14ac:dyDescent="0.2">
      <c r="N3246" s="139" t="str">
        <f t="shared" si="57"/>
        <v>1w</v>
      </c>
      <c r="O3246" s="146">
        <f>_xll.qlCalendarAdvance(Calendar,O3245,N3246,"f",FALSE)</f>
        <v>61952</v>
      </c>
      <c r="P3246" s="140">
        <f>_xll.qlInterestRateIndexValueDate(IborIndex,O3246)</f>
        <v>61954</v>
      </c>
      <c r="Q3246" s="141" t="e">
        <v>#N/A</v>
      </c>
      <c r="R3246" s="143" t="e">
        <v>#N/A</v>
      </c>
    </row>
    <row r="3247" spans="14:18" x14ac:dyDescent="0.2">
      <c r="N3247" s="139" t="str">
        <f t="shared" si="57"/>
        <v>1w</v>
      </c>
      <c r="O3247" s="146">
        <f>_xll.qlCalendarAdvance(Calendar,O3246,N3247,"f",FALSE)</f>
        <v>61959</v>
      </c>
      <c r="P3247" s="140">
        <f>_xll.qlInterestRateIndexValueDate(IborIndex,O3247)</f>
        <v>61961</v>
      </c>
      <c r="Q3247" s="141" t="e">
        <v>#N/A</v>
      </c>
      <c r="R3247" s="143" t="e">
        <v>#N/A</v>
      </c>
    </row>
    <row r="3248" spans="14:18" x14ac:dyDescent="0.2">
      <c r="N3248" s="139" t="str">
        <f t="shared" si="57"/>
        <v>1w</v>
      </c>
      <c r="O3248" s="146">
        <f>_xll.qlCalendarAdvance(Calendar,O3247,N3248,"f",FALSE)</f>
        <v>61966</v>
      </c>
      <c r="P3248" s="140">
        <f>_xll.qlInterestRateIndexValueDate(IborIndex,O3248)</f>
        <v>61968</v>
      </c>
      <c r="Q3248" s="141" t="e">
        <v>#N/A</v>
      </c>
      <c r="R3248" s="143" t="e">
        <v>#N/A</v>
      </c>
    </row>
    <row r="3249" spans="14:18" x14ac:dyDescent="0.2">
      <c r="N3249" s="139" t="str">
        <f t="shared" si="57"/>
        <v>1w</v>
      </c>
      <c r="O3249" s="146">
        <f>_xll.qlCalendarAdvance(Calendar,O3248,N3249,"f",FALSE)</f>
        <v>61973</v>
      </c>
      <c r="P3249" s="140">
        <f>_xll.qlInterestRateIndexValueDate(IborIndex,O3249)</f>
        <v>61975</v>
      </c>
      <c r="Q3249" s="141" t="e">
        <v>#N/A</v>
      </c>
      <c r="R3249" s="143" t="e">
        <v>#N/A</v>
      </c>
    </row>
    <row r="3250" spans="14:18" x14ac:dyDescent="0.2">
      <c r="N3250" s="139" t="str">
        <f t="shared" si="57"/>
        <v>1w</v>
      </c>
      <c r="O3250" s="146">
        <f>_xll.qlCalendarAdvance(Calendar,O3249,N3250,"f",FALSE)</f>
        <v>61980</v>
      </c>
      <c r="P3250" s="140">
        <f>_xll.qlInterestRateIndexValueDate(IborIndex,O3250)</f>
        <v>61982</v>
      </c>
      <c r="Q3250" s="141" t="e">
        <v>#N/A</v>
      </c>
      <c r="R3250" s="143" t="e">
        <v>#N/A</v>
      </c>
    </row>
    <row r="3251" spans="14:18" x14ac:dyDescent="0.2">
      <c r="N3251" s="139" t="str">
        <f t="shared" si="57"/>
        <v>1w</v>
      </c>
      <c r="O3251" s="146">
        <f>_xll.qlCalendarAdvance(Calendar,O3250,N3251,"f",FALSE)</f>
        <v>61987</v>
      </c>
      <c r="P3251" s="140">
        <f>_xll.qlInterestRateIndexValueDate(IborIndex,O3251)</f>
        <v>61989</v>
      </c>
      <c r="Q3251" s="141" t="e">
        <v>#N/A</v>
      </c>
      <c r="R3251" s="143" t="e">
        <v>#N/A</v>
      </c>
    </row>
    <row r="3252" spans="14:18" x14ac:dyDescent="0.2">
      <c r="N3252" s="139" t="str">
        <f t="shared" si="57"/>
        <v>1w</v>
      </c>
      <c r="O3252" s="146">
        <f>_xll.qlCalendarAdvance(Calendar,O3251,N3252,"f",FALSE)</f>
        <v>61994</v>
      </c>
      <c r="P3252" s="140">
        <f>_xll.qlInterestRateIndexValueDate(IborIndex,O3252)</f>
        <v>61996</v>
      </c>
      <c r="Q3252" s="141" t="e">
        <v>#N/A</v>
      </c>
      <c r="R3252" s="143" t="e">
        <v>#N/A</v>
      </c>
    </row>
    <row r="3253" spans="14:18" x14ac:dyDescent="0.2">
      <c r="N3253" s="139" t="str">
        <f t="shared" si="57"/>
        <v>1w</v>
      </c>
      <c r="O3253" s="146">
        <f>_xll.qlCalendarAdvance(Calendar,O3252,N3253,"f",FALSE)</f>
        <v>62001</v>
      </c>
      <c r="P3253" s="140">
        <f>_xll.qlInterestRateIndexValueDate(IborIndex,O3253)</f>
        <v>62003</v>
      </c>
      <c r="Q3253" s="141" t="e">
        <v>#N/A</v>
      </c>
      <c r="R3253" s="143" t="e">
        <v>#N/A</v>
      </c>
    </row>
    <row r="3254" spans="14:18" x14ac:dyDescent="0.2">
      <c r="N3254" s="139" t="str">
        <f t="shared" si="57"/>
        <v>1w</v>
      </c>
      <c r="O3254" s="146">
        <f>_xll.qlCalendarAdvance(Calendar,O3253,N3254,"f",FALSE)</f>
        <v>62008</v>
      </c>
      <c r="P3254" s="140">
        <f>_xll.qlInterestRateIndexValueDate(IborIndex,O3254)</f>
        <v>62010</v>
      </c>
      <c r="Q3254" s="141" t="e">
        <v>#N/A</v>
      </c>
      <c r="R3254" s="143" t="e">
        <v>#N/A</v>
      </c>
    </row>
    <row r="3255" spans="14:18" x14ac:dyDescent="0.2">
      <c r="N3255" s="139" t="str">
        <f t="shared" si="57"/>
        <v>1w</v>
      </c>
      <c r="O3255" s="146">
        <f>_xll.qlCalendarAdvance(Calendar,O3254,N3255,"f",FALSE)</f>
        <v>62015</v>
      </c>
      <c r="P3255" s="140">
        <f>_xll.qlInterestRateIndexValueDate(IborIndex,O3255)</f>
        <v>62017</v>
      </c>
      <c r="Q3255" s="141" t="e">
        <v>#N/A</v>
      </c>
      <c r="R3255" s="143" t="e">
        <v>#N/A</v>
      </c>
    </row>
    <row r="3256" spans="14:18" x14ac:dyDescent="0.2">
      <c r="N3256" s="139" t="str">
        <f t="shared" si="57"/>
        <v>1w</v>
      </c>
      <c r="O3256" s="146">
        <f>_xll.qlCalendarAdvance(Calendar,O3255,N3256,"f",FALSE)</f>
        <v>62022</v>
      </c>
      <c r="P3256" s="140">
        <f>_xll.qlInterestRateIndexValueDate(IborIndex,O3256)</f>
        <v>62024</v>
      </c>
      <c r="Q3256" s="141" t="e">
        <v>#N/A</v>
      </c>
      <c r="R3256" s="143" t="e">
        <v>#N/A</v>
      </c>
    </row>
    <row r="3257" spans="14:18" x14ac:dyDescent="0.2">
      <c r="N3257" s="139" t="str">
        <f t="shared" si="57"/>
        <v>1w</v>
      </c>
      <c r="O3257" s="146">
        <f>_xll.qlCalendarAdvance(Calendar,O3256,N3257,"f",FALSE)</f>
        <v>62029</v>
      </c>
      <c r="P3257" s="140">
        <f>_xll.qlInterestRateIndexValueDate(IborIndex,O3257)</f>
        <v>62031</v>
      </c>
      <c r="Q3257" s="141" t="e">
        <v>#N/A</v>
      </c>
      <c r="R3257" s="143" t="e">
        <v>#N/A</v>
      </c>
    </row>
    <row r="3258" spans="14:18" x14ac:dyDescent="0.2">
      <c r="N3258" s="139" t="str">
        <f t="shared" si="57"/>
        <v>1w</v>
      </c>
      <c r="O3258" s="146">
        <f>_xll.qlCalendarAdvance(Calendar,O3257,N3258,"f",FALSE)</f>
        <v>62036</v>
      </c>
      <c r="P3258" s="140">
        <f>_xll.qlInterestRateIndexValueDate(IborIndex,O3258)</f>
        <v>62038</v>
      </c>
      <c r="Q3258" s="141" t="e">
        <v>#N/A</v>
      </c>
      <c r="R3258" s="143" t="e">
        <v>#N/A</v>
      </c>
    </row>
    <row r="3259" spans="14:18" x14ac:dyDescent="0.2">
      <c r="N3259" s="139" t="str">
        <f t="shared" si="57"/>
        <v>1w</v>
      </c>
      <c r="O3259" s="146">
        <f>_xll.qlCalendarAdvance(Calendar,O3258,N3259,"f",FALSE)</f>
        <v>62043</v>
      </c>
      <c r="P3259" s="140">
        <f>_xll.qlInterestRateIndexValueDate(IborIndex,O3259)</f>
        <v>62045</v>
      </c>
      <c r="Q3259" s="141" t="e">
        <v>#N/A</v>
      </c>
      <c r="R3259" s="143" t="e">
        <v>#N/A</v>
      </c>
    </row>
    <row r="3260" spans="14:18" x14ac:dyDescent="0.2">
      <c r="N3260" s="139" t="str">
        <f t="shared" si="57"/>
        <v>1w</v>
      </c>
      <c r="O3260" s="146">
        <f>_xll.qlCalendarAdvance(Calendar,O3259,N3260,"f",FALSE)</f>
        <v>62050</v>
      </c>
      <c r="P3260" s="140">
        <f>_xll.qlInterestRateIndexValueDate(IborIndex,O3260)</f>
        <v>62052</v>
      </c>
      <c r="Q3260" s="141" t="e">
        <v>#N/A</v>
      </c>
      <c r="R3260" s="143" t="e">
        <v>#N/A</v>
      </c>
    </row>
    <row r="3261" spans="14:18" x14ac:dyDescent="0.2">
      <c r="N3261" s="139" t="str">
        <f t="shared" si="57"/>
        <v>1w</v>
      </c>
      <c r="O3261" s="146">
        <f>_xll.qlCalendarAdvance(Calendar,O3260,N3261,"f",FALSE)</f>
        <v>62057</v>
      </c>
      <c r="P3261" s="140">
        <f>_xll.qlInterestRateIndexValueDate(IborIndex,O3261)</f>
        <v>62059</v>
      </c>
      <c r="Q3261" s="141" t="e">
        <v>#N/A</v>
      </c>
      <c r="R3261" s="143" t="e">
        <v>#N/A</v>
      </c>
    </row>
    <row r="3262" spans="14:18" x14ac:dyDescent="0.2">
      <c r="N3262" s="139" t="str">
        <f t="shared" si="57"/>
        <v>1w</v>
      </c>
      <c r="O3262" s="146">
        <f>_xll.qlCalendarAdvance(Calendar,O3261,N3262,"f",FALSE)</f>
        <v>62064</v>
      </c>
      <c r="P3262" s="140">
        <f>_xll.qlInterestRateIndexValueDate(IborIndex,O3262)</f>
        <v>62066</v>
      </c>
      <c r="Q3262" s="141" t="e">
        <v>#N/A</v>
      </c>
      <c r="R3262" s="143" t="e">
        <v>#N/A</v>
      </c>
    </row>
    <row r="3263" spans="14:18" x14ac:dyDescent="0.2">
      <c r="N3263" s="139" t="str">
        <f t="shared" si="57"/>
        <v>1w</v>
      </c>
      <c r="O3263" s="146">
        <f>_xll.qlCalendarAdvance(Calendar,O3262,N3263,"f",FALSE)</f>
        <v>62071</v>
      </c>
      <c r="P3263" s="140">
        <f>_xll.qlInterestRateIndexValueDate(IborIndex,O3263)</f>
        <v>62073</v>
      </c>
      <c r="Q3263" s="141" t="e">
        <v>#N/A</v>
      </c>
      <c r="R3263" s="143" t="e">
        <v>#N/A</v>
      </c>
    </row>
    <row r="3264" spans="14:18" x14ac:dyDescent="0.2">
      <c r="N3264" s="139" t="str">
        <f t="shared" si="57"/>
        <v>1w</v>
      </c>
      <c r="O3264" s="146">
        <f>_xll.qlCalendarAdvance(Calendar,O3263,N3264,"f",FALSE)</f>
        <v>62078</v>
      </c>
      <c r="P3264" s="140">
        <f>_xll.qlInterestRateIndexValueDate(IborIndex,O3264)</f>
        <v>62080</v>
      </c>
      <c r="Q3264" s="141" t="e">
        <v>#N/A</v>
      </c>
      <c r="R3264" s="143" t="e">
        <v>#N/A</v>
      </c>
    </row>
    <row r="3265" spans="14:18" x14ac:dyDescent="0.2">
      <c r="N3265" s="139" t="str">
        <f t="shared" si="57"/>
        <v>1w</v>
      </c>
      <c r="O3265" s="146">
        <f>_xll.qlCalendarAdvance(Calendar,O3264,N3265,"f",FALSE)</f>
        <v>62085</v>
      </c>
      <c r="P3265" s="140">
        <f>_xll.qlInterestRateIndexValueDate(IborIndex,O3265)</f>
        <v>62092</v>
      </c>
      <c r="Q3265" s="141" t="e">
        <v>#N/A</v>
      </c>
      <c r="R3265" s="143" t="e">
        <v>#N/A</v>
      </c>
    </row>
    <row r="3266" spans="14:18" x14ac:dyDescent="0.2">
      <c r="N3266" s="139" t="str">
        <f t="shared" si="57"/>
        <v>1w</v>
      </c>
      <c r="O3266" s="146">
        <f>_xll.qlCalendarAdvance(Calendar,O3265,N3266,"f",FALSE)</f>
        <v>62092</v>
      </c>
      <c r="P3266" s="140">
        <f>_xll.qlInterestRateIndexValueDate(IborIndex,O3266)</f>
        <v>62096</v>
      </c>
      <c r="Q3266" s="141" t="e">
        <v>#N/A</v>
      </c>
      <c r="R3266" s="143" t="e">
        <v>#N/A</v>
      </c>
    </row>
    <row r="3267" spans="14:18" x14ac:dyDescent="0.2">
      <c r="N3267" s="139" t="str">
        <f t="shared" si="57"/>
        <v>1w</v>
      </c>
      <c r="O3267" s="146">
        <f>_xll.qlCalendarAdvance(Calendar,O3266,N3267,"f",FALSE)</f>
        <v>62100</v>
      </c>
      <c r="P3267" s="140">
        <f>_xll.qlInterestRateIndexValueDate(IborIndex,O3267)</f>
        <v>62102</v>
      </c>
      <c r="Q3267" s="141" t="e">
        <v>#N/A</v>
      </c>
      <c r="R3267" s="143" t="e">
        <v>#N/A</v>
      </c>
    </row>
    <row r="3268" spans="14:18" x14ac:dyDescent="0.2">
      <c r="N3268" s="139" t="str">
        <f t="shared" si="57"/>
        <v>1w</v>
      </c>
      <c r="O3268" s="146">
        <f>_xll.qlCalendarAdvance(Calendar,O3267,N3268,"f",FALSE)</f>
        <v>62107</v>
      </c>
      <c r="P3268" s="140">
        <f>_xll.qlInterestRateIndexValueDate(IborIndex,O3268)</f>
        <v>62109</v>
      </c>
      <c r="Q3268" s="141" t="e">
        <v>#N/A</v>
      </c>
      <c r="R3268" s="143" t="e">
        <v>#N/A</v>
      </c>
    </row>
    <row r="3269" spans="14:18" x14ac:dyDescent="0.2">
      <c r="N3269" s="139" t="str">
        <f t="shared" si="57"/>
        <v>1w</v>
      </c>
      <c r="O3269" s="146">
        <f>_xll.qlCalendarAdvance(Calendar,O3268,N3269,"f",FALSE)</f>
        <v>62114</v>
      </c>
      <c r="P3269" s="140">
        <f>_xll.qlInterestRateIndexValueDate(IborIndex,O3269)</f>
        <v>62116</v>
      </c>
      <c r="Q3269" s="141" t="e">
        <v>#N/A</v>
      </c>
      <c r="R3269" s="143" t="e">
        <v>#N/A</v>
      </c>
    </row>
    <row r="3270" spans="14:18" x14ac:dyDescent="0.2">
      <c r="N3270" s="139" t="str">
        <f t="shared" si="57"/>
        <v>1w</v>
      </c>
      <c r="O3270" s="146">
        <f>_xll.qlCalendarAdvance(Calendar,O3269,N3270,"f",FALSE)</f>
        <v>62121</v>
      </c>
      <c r="P3270" s="140">
        <f>_xll.qlInterestRateIndexValueDate(IborIndex,O3270)</f>
        <v>62123</v>
      </c>
      <c r="Q3270" s="141" t="e">
        <v>#N/A</v>
      </c>
      <c r="R3270" s="143" t="e">
        <v>#N/A</v>
      </c>
    </row>
    <row r="3271" spans="14:18" x14ac:dyDescent="0.2">
      <c r="N3271" s="139" t="str">
        <f t="shared" si="57"/>
        <v>1w</v>
      </c>
      <c r="O3271" s="146">
        <f>_xll.qlCalendarAdvance(Calendar,O3270,N3271,"f",FALSE)</f>
        <v>62128</v>
      </c>
      <c r="P3271" s="140">
        <f>_xll.qlInterestRateIndexValueDate(IborIndex,O3271)</f>
        <v>62130</v>
      </c>
      <c r="Q3271" s="141" t="e">
        <v>#N/A</v>
      </c>
      <c r="R3271" s="143" t="e">
        <v>#N/A</v>
      </c>
    </row>
    <row r="3272" spans="14:18" x14ac:dyDescent="0.2">
      <c r="N3272" s="139" t="str">
        <f t="shared" si="57"/>
        <v>1w</v>
      </c>
      <c r="O3272" s="146">
        <f>_xll.qlCalendarAdvance(Calendar,O3271,N3272,"f",FALSE)</f>
        <v>62135</v>
      </c>
      <c r="P3272" s="140">
        <f>_xll.qlInterestRateIndexValueDate(IborIndex,O3272)</f>
        <v>62137</v>
      </c>
      <c r="Q3272" s="141" t="e">
        <v>#N/A</v>
      </c>
      <c r="R3272" s="143" t="e">
        <v>#N/A</v>
      </c>
    </row>
    <row r="3273" spans="14:18" x14ac:dyDescent="0.2">
      <c r="N3273" s="139" t="str">
        <f t="shared" si="57"/>
        <v>1w</v>
      </c>
      <c r="O3273" s="146">
        <f>_xll.qlCalendarAdvance(Calendar,O3272,N3273,"f",FALSE)</f>
        <v>62142</v>
      </c>
      <c r="P3273" s="140">
        <f>_xll.qlInterestRateIndexValueDate(IborIndex,O3273)</f>
        <v>62144</v>
      </c>
      <c r="Q3273" s="141" t="e">
        <v>#N/A</v>
      </c>
      <c r="R3273" s="143" t="e">
        <v>#N/A</v>
      </c>
    </row>
    <row r="3274" spans="14:18" x14ac:dyDescent="0.2">
      <c r="N3274" s="139" t="str">
        <f t="shared" si="57"/>
        <v>1w</v>
      </c>
      <c r="O3274" s="146">
        <f>_xll.qlCalendarAdvance(Calendar,O3273,N3274,"f",FALSE)</f>
        <v>62149</v>
      </c>
      <c r="P3274" s="140">
        <f>_xll.qlInterestRateIndexValueDate(IborIndex,O3274)</f>
        <v>62151</v>
      </c>
      <c r="Q3274" s="141" t="e">
        <v>#N/A</v>
      </c>
      <c r="R3274" s="143" t="e">
        <v>#N/A</v>
      </c>
    </row>
    <row r="3275" spans="14:18" x14ac:dyDescent="0.2">
      <c r="N3275" s="139" t="str">
        <f t="shared" si="57"/>
        <v>1w</v>
      </c>
      <c r="O3275" s="146">
        <f>_xll.qlCalendarAdvance(Calendar,O3274,N3275,"f",FALSE)</f>
        <v>62156</v>
      </c>
      <c r="P3275" s="140">
        <f>_xll.qlInterestRateIndexValueDate(IborIndex,O3275)</f>
        <v>62158</v>
      </c>
      <c r="Q3275" s="141" t="e">
        <v>#N/A</v>
      </c>
      <c r="R3275" s="143" t="e">
        <v>#N/A</v>
      </c>
    </row>
    <row r="3276" spans="14:18" x14ac:dyDescent="0.2">
      <c r="N3276" s="139" t="str">
        <f t="shared" si="57"/>
        <v>1w</v>
      </c>
      <c r="O3276" s="146">
        <f>_xll.qlCalendarAdvance(Calendar,O3275,N3276,"f",FALSE)</f>
        <v>62163</v>
      </c>
      <c r="P3276" s="140">
        <f>_xll.qlInterestRateIndexValueDate(IborIndex,O3276)</f>
        <v>62165</v>
      </c>
      <c r="Q3276" s="141" t="e">
        <v>#N/A</v>
      </c>
      <c r="R3276" s="143" t="e">
        <v>#N/A</v>
      </c>
    </row>
    <row r="3277" spans="14:18" x14ac:dyDescent="0.2">
      <c r="N3277" s="139" t="str">
        <f t="shared" si="57"/>
        <v>1w</v>
      </c>
      <c r="O3277" s="146">
        <f>_xll.qlCalendarAdvance(Calendar,O3276,N3277,"f",FALSE)</f>
        <v>62170</v>
      </c>
      <c r="P3277" s="140">
        <f>_xll.qlInterestRateIndexValueDate(IborIndex,O3277)</f>
        <v>62172</v>
      </c>
      <c r="Q3277" s="141" t="e">
        <v>#N/A</v>
      </c>
      <c r="R3277" s="143" t="e">
        <v>#N/A</v>
      </c>
    </row>
    <row r="3278" spans="14:18" x14ac:dyDescent="0.2">
      <c r="N3278" s="139" t="str">
        <f t="shared" si="57"/>
        <v>1w</v>
      </c>
      <c r="O3278" s="146">
        <f>_xll.qlCalendarAdvance(Calendar,O3277,N3278,"f",FALSE)</f>
        <v>62177</v>
      </c>
      <c r="P3278" s="140">
        <f>_xll.qlInterestRateIndexValueDate(IborIndex,O3278)</f>
        <v>62179</v>
      </c>
      <c r="Q3278" s="141" t="e">
        <v>#N/A</v>
      </c>
      <c r="R3278" s="143" t="e">
        <v>#N/A</v>
      </c>
    </row>
    <row r="3279" spans="14:18" x14ac:dyDescent="0.2">
      <c r="N3279" s="139" t="str">
        <f t="shared" si="57"/>
        <v>1w</v>
      </c>
      <c r="O3279" s="146">
        <f>_xll.qlCalendarAdvance(Calendar,O3278,N3279,"f",FALSE)</f>
        <v>62184</v>
      </c>
      <c r="P3279" s="140">
        <f>_xll.qlInterestRateIndexValueDate(IborIndex,O3279)</f>
        <v>62186</v>
      </c>
      <c r="Q3279" s="141" t="e">
        <v>#N/A</v>
      </c>
      <c r="R3279" s="143" t="e">
        <v>#N/A</v>
      </c>
    </row>
    <row r="3280" spans="14:18" x14ac:dyDescent="0.2">
      <c r="N3280" s="139" t="str">
        <f t="shared" si="57"/>
        <v>1w</v>
      </c>
      <c r="O3280" s="146">
        <f>_xll.qlCalendarAdvance(Calendar,O3279,N3280,"f",FALSE)</f>
        <v>62191</v>
      </c>
      <c r="P3280" s="140">
        <f>_xll.qlInterestRateIndexValueDate(IborIndex,O3280)</f>
        <v>62193</v>
      </c>
      <c r="Q3280" s="141" t="e">
        <v>#N/A</v>
      </c>
      <c r="R3280" s="143" t="e">
        <v>#N/A</v>
      </c>
    </row>
    <row r="3281" spans="14:18" x14ac:dyDescent="0.2">
      <c r="N3281" s="139" t="str">
        <f t="shared" si="57"/>
        <v>1w</v>
      </c>
      <c r="O3281" s="146">
        <f>_xll.qlCalendarAdvance(Calendar,O3280,N3281,"f",FALSE)</f>
        <v>62198</v>
      </c>
      <c r="P3281" s="140">
        <f>_xll.qlInterestRateIndexValueDate(IborIndex,O3281)</f>
        <v>62200</v>
      </c>
      <c r="Q3281" s="141" t="e">
        <v>#N/A</v>
      </c>
      <c r="R3281" s="143" t="e">
        <v>#N/A</v>
      </c>
    </row>
    <row r="3282" spans="14:18" x14ac:dyDescent="0.2">
      <c r="N3282" s="139" t="str">
        <f t="shared" si="57"/>
        <v>1w</v>
      </c>
      <c r="O3282" s="146">
        <f>_xll.qlCalendarAdvance(Calendar,O3281,N3282,"f",FALSE)</f>
        <v>62205</v>
      </c>
      <c r="P3282" s="140">
        <f>_xll.qlInterestRateIndexValueDate(IborIndex,O3282)</f>
        <v>62207</v>
      </c>
      <c r="Q3282" s="141" t="e">
        <v>#N/A</v>
      </c>
      <c r="R3282" s="143" t="e">
        <v>#N/A</v>
      </c>
    </row>
    <row r="3283" spans="14:18" x14ac:dyDescent="0.2">
      <c r="N3283" s="139" t="str">
        <f t="shared" si="57"/>
        <v>1w</v>
      </c>
      <c r="O3283" s="146">
        <f>_xll.qlCalendarAdvance(Calendar,O3282,N3283,"f",FALSE)</f>
        <v>62212</v>
      </c>
      <c r="P3283" s="140">
        <f>_xll.qlInterestRateIndexValueDate(IborIndex,O3283)</f>
        <v>62215</v>
      </c>
      <c r="Q3283" s="141" t="e">
        <v>#N/A</v>
      </c>
      <c r="R3283" s="143" t="e">
        <v>#N/A</v>
      </c>
    </row>
    <row r="3284" spans="14:18" x14ac:dyDescent="0.2">
      <c r="N3284" s="139" t="str">
        <f t="shared" si="57"/>
        <v>1w</v>
      </c>
      <c r="O3284" s="146">
        <f>_xll.qlCalendarAdvance(Calendar,O3283,N3284,"f",FALSE)</f>
        <v>62219</v>
      </c>
      <c r="P3284" s="140">
        <f>_xll.qlInterestRateIndexValueDate(IborIndex,O3284)</f>
        <v>62222</v>
      </c>
      <c r="Q3284" s="141" t="e">
        <v>#N/A</v>
      </c>
      <c r="R3284" s="143" t="e">
        <v>#N/A</v>
      </c>
    </row>
    <row r="3285" spans="14:18" x14ac:dyDescent="0.2">
      <c r="N3285" s="139" t="str">
        <f t="shared" ref="N3285:N3348" si="58">N3284</f>
        <v>1w</v>
      </c>
      <c r="O3285" s="146">
        <f>_xll.qlCalendarAdvance(Calendar,O3284,N3285,"f",FALSE)</f>
        <v>62226</v>
      </c>
      <c r="P3285" s="140">
        <f>_xll.qlInterestRateIndexValueDate(IborIndex,O3285)</f>
        <v>62228</v>
      </c>
      <c r="Q3285" s="141" t="e">
        <v>#N/A</v>
      </c>
      <c r="R3285" s="143" t="e">
        <v>#N/A</v>
      </c>
    </row>
    <row r="3286" spans="14:18" x14ac:dyDescent="0.2">
      <c r="N3286" s="139" t="str">
        <f t="shared" si="58"/>
        <v>1w</v>
      </c>
      <c r="O3286" s="146">
        <f>_xll.qlCalendarAdvance(Calendar,O3285,N3286,"f",FALSE)</f>
        <v>62233</v>
      </c>
      <c r="P3286" s="140">
        <f>_xll.qlInterestRateIndexValueDate(IborIndex,O3286)</f>
        <v>62235</v>
      </c>
      <c r="Q3286" s="141" t="e">
        <v>#N/A</v>
      </c>
      <c r="R3286" s="143" t="e">
        <v>#N/A</v>
      </c>
    </row>
    <row r="3287" spans="14:18" x14ac:dyDescent="0.2">
      <c r="N3287" s="139" t="str">
        <f t="shared" si="58"/>
        <v>1w</v>
      </c>
      <c r="O3287" s="146">
        <f>_xll.qlCalendarAdvance(Calendar,O3286,N3287,"f",FALSE)</f>
        <v>62240</v>
      </c>
      <c r="P3287" s="140">
        <f>_xll.qlInterestRateIndexValueDate(IborIndex,O3287)</f>
        <v>62242</v>
      </c>
      <c r="Q3287" s="141" t="e">
        <v>#N/A</v>
      </c>
      <c r="R3287" s="143" t="e">
        <v>#N/A</v>
      </c>
    </row>
    <row r="3288" spans="14:18" x14ac:dyDescent="0.2">
      <c r="N3288" s="139" t="str">
        <f t="shared" si="58"/>
        <v>1w</v>
      </c>
      <c r="O3288" s="146">
        <f>_xll.qlCalendarAdvance(Calendar,O3287,N3288,"f",FALSE)</f>
        <v>62247</v>
      </c>
      <c r="P3288" s="140">
        <f>_xll.qlInterestRateIndexValueDate(IborIndex,O3288)</f>
        <v>62249</v>
      </c>
      <c r="Q3288" s="141" t="e">
        <v>#N/A</v>
      </c>
      <c r="R3288" s="143" t="e">
        <v>#N/A</v>
      </c>
    </row>
    <row r="3289" spans="14:18" x14ac:dyDescent="0.2">
      <c r="N3289" s="139" t="str">
        <f t="shared" si="58"/>
        <v>1w</v>
      </c>
      <c r="O3289" s="146">
        <f>_xll.qlCalendarAdvance(Calendar,O3288,N3289,"f",FALSE)</f>
        <v>62254</v>
      </c>
      <c r="P3289" s="140">
        <f>_xll.qlInterestRateIndexValueDate(IborIndex,O3289)</f>
        <v>62256</v>
      </c>
      <c r="Q3289" s="141" t="e">
        <v>#N/A</v>
      </c>
      <c r="R3289" s="143" t="e">
        <v>#N/A</v>
      </c>
    </row>
    <row r="3290" spans="14:18" x14ac:dyDescent="0.2">
      <c r="N3290" s="139" t="str">
        <f t="shared" si="58"/>
        <v>1w</v>
      </c>
      <c r="O3290" s="146">
        <f>_xll.qlCalendarAdvance(Calendar,O3289,N3290,"f",FALSE)</f>
        <v>62261</v>
      </c>
      <c r="P3290" s="140">
        <f>_xll.qlInterestRateIndexValueDate(IborIndex,O3290)</f>
        <v>62263</v>
      </c>
      <c r="Q3290" s="141" t="e">
        <v>#N/A</v>
      </c>
      <c r="R3290" s="143" t="e">
        <v>#N/A</v>
      </c>
    </row>
    <row r="3291" spans="14:18" x14ac:dyDescent="0.2">
      <c r="N3291" s="139" t="str">
        <f t="shared" si="58"/>
        <v>1w</v>
      </c>
      <c r="O3291" s="146">
        <f>_xll.qlCalendarAdvance(Calendar,O3290,N3291,"f",FALSE)</f>
        <v>62268</v>
      </c>
      <c r="P3291" s="140">
        <f>_xll.qlInterestRateIndexValueDate(IborIndex,O3291)</f>
        <v>62270</v>
      </c>
      <c r="Q3291" s="141" t="e">
        <v>#N/A</v>
      </c>
      <c r="R3291" s="143" t="e">
        <v>#N/A</v>
      </c>
    </row>
    <row r="3292" spans="14:18" x14ac:dyDescent="0.2">
      <c r="N3292" s="139" t="str">
        <f t="shared" si="58"/>
        <v>1w</v>
      </c>
      <c r="O3292" s="146">
        <f>_xll.qlCalendarAdvance(Calendar,O3291,N3292,"f",FALSE)</f>
        <v>62275</v>
      </c>
      <c r="P3292" s="140">
        <f>_xll.qlInterestRateIndexValueDate(IborIndex,O3292)</f>
        <v>62277</v>
      </c>
      <c r="Q3292" s="141" t="e">
        <v>#N/A</v>
      </c>
      <c r="R3292" s="143" t="e">
        <v>#N/A</v>
      </c>
    </row>
    <row r="3293" spans="14:18" x14ac:dyDescent="0.2">
      <c r="N3293" s="139" t="str">
        <f t="shared" si="58"/>
        <v>1w</v>
      </c>
      <c r="O3293" s="146">
        <f>_xll.qlCalendarAdvance(Calendar,O3292,N3293,"f",FALSE)</f>
        <v>62282</v>
      </c>
      <c r="P3293" s="140">
        <f>_xll.qlInterestRateIndexValueDate(IborIndex,O3293)</f>
        <v>62284</v>
      </c>
      <c r="Q3293" s="141" t="e">
        <v>#N/A</v>
      </c>
      <c r="R3293" s="143" t="e">
        <v>#N/A</v>
      </c>
    </row>
    <row r="3294" spans="14:18" x14ac:dyDescent="0.2">
      <c r="N3294" s="139" t="str">
        <f t="shared" si="58"/>
        <v>1w</v>
      </c>
      <c r="O3294" s="146">
        <f>_xll.qlCalendarAdvance(Calendar,O3293,N3294,"f",FALSE)</f>
        <v>62289</v>
      </c>
      <c r="P3294" s="140">
        <f>_xll.qlInterestRateIndexValueDate(IborIndex,O3294)</f>
        <v>62291</v>
      </c>
      <c r="Q3294" s="141" t="e">
        <v>#N/A</v>
      </c>
      <c r="R3294" s="143" t="e">
        <v>#N/A</v>
      </c>
    </row>
    <row r="3295" spans="14:18" x14ac:dyDescent="0.2">
      <c r="N3295" s="139" t="str">
        <f t="shared" si="58"/>
        <v>1w</v>
      </c>
      <c r="O3295" s="146">
        <f>_xll.qlCalendarAdvance(Calendar,O3294,N3295,"f",FALSE)</f>
        <v>62296</v>
      </c>
      <c r="P3295" s="140">
        <f>_xll.qlInterestRateIndexValueDate(IborIndex,O3295)</f>
        <v>62298</v>
      </c>
      <c r="Q3295" s="141" t="e">
        <v>#N/A</v>
      </c>
      <c r="R3295" s="143" t="e">
        <v>#N/A</v>
      </c>
    </row>
    <row r="3296" spans="14:18" x14ac:dyDescent="0.2">
      <c r="N3296" s="139" t="str">
        <f t="shared" si="58"/>
        <v>1w</v>
      </c>
      <c r="O3296" s="146">
        <f>_xll.qlCalendarAdvance(Calendar,O3295,N3296,"f",FALSE)</f>
        <v>62303</v>
      </c>
      <c r="P3296" s="140">
        <f>_xll.qlInterestRateIndexValueDate(IborIndex,O3296)</f>
        <v>62305</v>
      </c>
      <c r="Q3296" s="141" t="e">
        <v>#N/A</v>
      </c>
      <c r="R3296" s="143" t="e">
        <v>#N/A</v>
      </c>
    </row>
    <row r="3297" spans="14:18" x14ac:dyDescent="0.2">
      <c r="N3297" s="139" t="str">
        <f t="shared" si="58"/>
        <v>1w</v>
      </c>
      <c r="O3297" s="146">
        <f>_xll.qlCalendarAdvance(Calendar,O3296,N3297,"f",FALSE)</f>
        <v>62310</v>
      </c>
      <c r="P3297" s="140">
        <f>_xll.qlInterestRateIndexValueDate(IborIndex,O3297)</f>
        <v>62312</v>
      </c>
      <c r="Q3297" s="141" t="e">
        <v>#N/A</v>
      </c>
      <c r="R3297" s="143" t="e">
        <v>#N/A</v>
      </c>
    </row>
    <row r="3298" spans="14:18" x14ac:dyDescent="0.2">
      <c r="N3298" s="139" t="str">
        <f t="shared" si="58"/>
        <v>1w</v>
      </c>
      <c r="O3298" s="146">
        <f>_xll.qlCalendarAdvance(Calendar,O3297,N3298,"f",FALSE)</f>
        <v>62317</v>
      </c>
      <c r="P3298" s="140">
        <f>_xll.qlInterestRateIndexValueDate(IborIndex,O3298)</f>
        <v>62319</v>
      </c>
      <c r="Q3298" s="141" t="e">
        <v>#N/A</v>
      </c>
      <c r="R3298" s="143" t="e">
        <v>#N/A</v>
      </c>
    </row>
    <row r="3299" spans="14:18" x14ac:dyDescent="0.2">
      <c r="N3299" s="139" t="str">
        <f t="shared" si="58"/>
        <v>1w</v>
      </c>
      <c r="O3299" s="146">
        <f>_xll.qlCalendarAdvance(Calendar,O3298,N3299,"f",FALSE)</f>
        <v>62324</v>
      </c>
      <c r="P3299" s="140">
        <f>_xll.qlInterestRateIndexValueDate(IborIndex,O3299)</f>
        <v>62326</v>
      </c>
      <c r="Q3299" s="141" t="e">
        <v>#N/A</v>
      </c>
      <c r="R3299" s="143" t="e">
        <v>#N/A</v>
      </c>
    </row>
    <row r="3300" spans="14:18" x14ac:dyDescent="0.2">
      <c r="N3300" s="139" t="str">
        <f t="shared" si="58"/>
        <v>1w</v>
      </c>
      <c r="O3300" s="146">
        <f>_xll.qlCalendarAdvance(Calendar,O3299,N3300,"f",FALSE)</f>
        <v>62331</v>
      </c>
      <c r="P3300" s="140">
        <f>_xll.qlInterestRateIndexValueDate(IborIndex,O3300)</f>
        <v>62333</v>
      </c>
      <c r="Q3300" s="141" t="e">
        <v>#N/A</v>
      </c>
      <c r="R3300" s="143" t="e">
        <v>#N/A</v>
      </c>
    </row>
    <row r="3301" spans="14:18" x14ac:dyDescent="0.2">
      <c r="N3301" s="139" t="str">
        <f t="shared" si="58"/>
        <v>1w</v>
      </c>
      <c r="O3301" s="146">
        <f>_xll.qlCalendarAdvance(Calendar,O3300,N3301,"f",FALSE)</f>
        <v>62338</v>
      </c>
      <c r="P3301" s="140">
        <f>_xll.qlInterestRateIndexValueDate(IborIndex,O3301)</f>
        <v>62340</v>
      </c>
      <c r="Q3301" s="141" t="e">
        <v>#N/A</v>
      </c>
      <c r="R3301" s="143" t="e">
        <v>#N/A</v>
      </c>
    </row>
    <row r="3302" spans="14:18" x14ac:dyDescent="0.2">
      <c r="N3302" s="139" t="str">
        <f t="shared" si="58"/>
        <v>1w</v>
      </c>
      <c r="O3302" s="146">
        <f>_xll.qlCalendarAdvance(Calendar,O3301,N3302,"f",FALSE)</f>
        <v>62345</v>
      </c>
      <c r="P3302" s="140">
        <f>_xll.qlInterestRateIndexValueDate(IborIndex,O3302)</f>
        <v>62347</v>
      </c>
      <c r="Q3302" s="141" t="e">
        <v>#N/A</v>
      </c>
      <c r="R3302" s="143" t="e">
        <v>#N/A</v>
      </c>
    </row>
    <row r="3303" spans="14:18" x14ac:dyDescent="0.2">
      <c r="N3303" s="139" t="str">
        <f t="shared" si="58"/>
        <v>1w</v>
      </c>
      <c r="O3303" s="146">
        <f>_xll.qlCalendarAdvance(Calendar,O3302,N3303,"f",FALSE)</f>
        <v>62352</v>
      </c>
      <c r="P3303" s="140">
        <f>_xll.qlInterestRateIndexValueDate(IborIndex,O3303)</f>
        <v>62354</v>
      </c>
      <c r="Q3303" s="141" t="e">
        <v>#N/A</v>
      </c>
      <c r="R3303" s="143" t="e">
        <v>#N/A</v>
      </c>
    </row>
    <row r="3304" spans="14:18" x14ac:dyDescent="0.2">
      <c r="N3304" s="139" t="str">
        <f t="shared" si="58"/>
        <v>1w</v>
      </c>
      <c r="O3304" s="146">
        <f>_xll.qlCalendarAdvance(Calendar,O3303,N3304,"f",FALSE)</f>
        <v>62359</v>
      </c>
      <c r="P3304" s="140">
        <f>_xll.qlInterestRateIndexValueDate(IborIndex,O3304)</f>
        <v>62361</v>
      </c>
      <c r="Q3304" s="141" t="e">
        <v>#N/A</v>
      </c>
      <c r="R3304" s="143" t="e">
        <v>#N/A</v>
      </c>
    </row>
    <row r="3305" spans="14:18" x14ac:dyDescent="0.2">
      <c r="N3305" s="139" t="str">
        <f t="shared" si="58"/>
        <v>1w</v>
      </c>
      <c r="O3305" s="146">
        <f>_xll.qlCalendarAdvance(Calendar,O3304,N3305,"f",FALSE)</f>
        <v>62366</v>
      </c>
      <c r="P3305" s="140">
        <f>_xll.qlInterestRateIndexValueDate(IborIndex,O3305)</f>
        <v>62368</v>
      </c>
      <c r="Q3305" s="141" t="e">
        <v>#N/A</v>
      </c>
      <c r="R3305" s="143" t="e">
        <v>#N/A</v>
      </c>
    </row>
    <row r="3306" spans="14:18" x14ac:dyDescent="0.2">
      <c r="N3306" s="139" t="str">
        <f t="shared" si="58"/>
        <v>1w</v>
      </c>
      <c r="O3306" s="146">
        <f>_xll.qlCalendarAdvance(Calendar,O3305,N3306,"f",FALSE)</f>
        <v>62373</v>
      </c>
      <c r="P3306" s="140">
        <f>_xll.qlInterestRateIndexValueDate(IborIndex,O3306)</f>
        <v>62375</v>
      </c>
      <c r="Q3306" s="141" t="e">
        <v>#N/A</v>
      </c>
      <c r="R3306" s="143" t="e">
        <v>#N/A</v>
      </c>
    </row>
    <row r="3307" spans="14:18" x14ac:dyDescent="0.2">
      <c r="N3307" s="139" t="str">
        <f t="shared" si="58"/>
        <v>1w</v>
      </c>
      <c r="O3307" s="146">
        <f>_xll.qlCalendarAdvance(Calendar,O3306,N3307,"f",FALSE)</f>
        <v>62380</v>
      </c>
      <c r="P3307" s="140">
        <f>_xll.qlInterestRateIndexValueDate(IborIndex,O3307)</f>
        <v>62382</v>
      </c>
      <c r="Q3307" s="141" t="e">
        <v>#N/A</v>
      </c>
      <c r="R3307" s="143" t="e">
        <v>#N/A</v>
      </c>
    </row>
    <row r="3308" spans="14:18" x14ac:dyDescent="0.2">
      <c r="N3308" s="139" t="str">
        <f t="shared" si="58"/>
        <v>1w</v>
      </c>
      <c r="O3308" s="146">
        <f>_xll.qlCalendarAdvance(Calendar,O3307,N3308,"f",FALSE)</f>
        <v>62387</v>
      </c>
      <c r="P3308" s="140">
        <f>_xll.qlInterestRateIndexValueDate(IborIndex,O3308)</f>
        <v>62389</v>
      </c>
      <c r="Q3308" s="141" t="e">
        <v>#N/A</v>
      </c>
      <c r="R3308" s="143" t="e">
        <v>#N/A</v>
      </c>
    </row>
    <row r="3309" spans="14:18" x14ac:dyDescent="0.2">
      <c r="N3309" s="139" t="str">
        <f t="shared" si="58"/>
        <v>1w</v>
      </c>
      <c r="O3309" s="146">
        <f>_xll.qlCalendarAdvance(Calendar,O3308,N3309,"f",FALSE)</f>
        <v>62394</v>
      </c>
      <c r="P3309" s="140">
        <f>_xll.qlInterestRateIndexValueDate(IborIndex,O3309)</f>
        <v>62396</v>
      </c>
      <c r="Q3309" s="141" t="e">
        <v>#N/A</v>
      </c>
      <c r="R3309" s="143" t="e">
        <v>#N/A</v>
      </c>
    </row>
    <row r="3310" spans="14:18" x14ac:dyDescent="0.2">
      <c r="N3310" s="139" t="str">
        <f t="shared" si="58"/>
        <v>1w</v>
      </c>
      <c r="O3310" s="146">
        <f>_xll.qlCalendarAdvance(Calendar,O3309,N3310,"f",FALSE)</f>
        <v>62401</v>
      </c>
      <c r="P3310" s="140">
        <f>_xll.qlInterestRateIndexValueDate(IborIndex,O3310)</f>
        <v>62403</v>
      </c>
      <c r="Q3310" s="141" t="e">
        <v>#N/A</v>
      </c>
      <c r="R3310" s="143" t="e">
        <v>#N/A</v>
      </c>
    </row>
    <row r="3311" spans="14:18" x14ac:dyDescent="0.2">
      <c r="N3311" s="139" t="str">
        <f t="shared" si="58"/>
        <v>1w</v>
      </c>
      <c r="O3311" s="146">
        <f>_xll.qlCalendarAdvance(Calendar,O3310,N3311,"f",FALSE)</f>
        <v>62408</v>
      </c>
      <c r="P3311" s="140">
        <f>_xll.qlInterestRateIndexValueDate(IborIndex,O3311)</f>
        <v>62410</v>
      </c>
      <c r="Q3311" s="141" t="e">
        <v>#N/A</v>
      </c>
      <c r="R3311" s="143" t="e">
        <v>#N/A</v>
      </c>
    </row>
    <row r="3312" spans="14:18" x14ac:dyDescent="0.2">
      <c r="N3312" s="139" t="str">
        <f t="shared" si="58"/>
        <v>1w</v>
      </c>
      <c r="O3312" s="146">
        <f>_xll.qlCalendarAdvance(Calendar,O3311,N3312,"f",FALSE)</f>
        <v>62415</v>
      </c>
      <c r="P3312" s="140">
        <f>_xll.qlInterestRateIndexValueDate(IborIndex,O3312)</f>
        <v>62417</v>
      </c>
      <c r="Q3312" s="141" t="e">
        <v>#N/A</v>
      </c>
      <c r="R3312" s="143" t="e">
        <v>#N/A</v>
      </c>
    </row>
    <row r="3313" spans="14:18" x14ac:dyDescent="0.2">
      <c r="N3313" s="139" t="str">
        <f t="shared" si="58"/>
        <v>1w</v>
      </c>
      <c r="O3313" s="146">
        <f>_xll.qlCalendarAdvance(Calendar,O3312,N3313,"f",FALSE)</f>
        <v>62422</v>
      </c>
      <c r="P3313" s="140">
        <f>_xll.qlInterestRateIndexValueDate(IborIndex,O3313)</f>
        <v>62424</v>
      </c>
      <c r="Q3313" s="141" t="e">
        <v>#N/A</v>
      </c>
      <c r="R3313" s="143" t="e">
        <v>#N/A</v>
      </c>
    </row>
    <row r="3314" spans="14:18" x14ac:dyDescent="0.2">
      <c r="N3314" s="139" t="str">
        <f t="shared" si="58"/>
        <v>1w</v>
      </c>
      <c r="O3314" s="146">
        <f>_xll.qlCalendarAdvance(Calendar,O3313,N3314,"f",FALSE)</f>
        <v>62429</v>
      </c>
      <c r="P3314" s="140">
        <f>_xll.qlInterestRateIndexValueDate(IborIndex,O3314)</f>
        <v>62431</v>
      </c>
      <c r="Q3314" s="141" t="e">
        <v>#N/A</v>
      </c>
      <c r="R3314" s="143" t="e">
        <v>#N/A</v>
      </c>
    </row>
    <row r="3315" spans="14:18" x14ac:dyDescent="0.2">
      <c r="N3315" s="139" t="str">
        <f t="shared" si="58"/>
        <v>1w</v>
      </c>
      <c r="O3315" s="146">
        <f>_xll.qlCalendarAdvance(Calendar,O3314,N3315,"f",FALSE)</f>
        <v>62436</v>
      </c>
      <c r="P3315" s="140">
        <f>_xll.qlInterestRateIndexValueDate(IborIndex,O3315)</f>
        <v>62438</v>
      </c>
      <c r="Q3315" s="141" t="e">
        <v>#N/A</v>
      </c>
      <c r="R3315" s="143" t="e">
        <v>#N/A</v>
      </c>
    </row>
    <row r="3316" spans="14:18" x14ac:dyDescent="0.2">
      <c r="N3316" s="139" t="str">
        <f t="shared" si="58"/>
        <v>1w</v>
      </c>
      <c r="O3316" s="146">
        <f>_xll.qlCalendarAdvance(Calendar,O3315,N3316,"f",FALSE)</f>
        <v>62443</v>
      </c>
      <c r="P3316" s="140">
        <f>_xll.qlInterestRateIndexValueDate(IborIndex,O3316)</f>
        <v>62445</v>
      </c>
      <c r="Q3316" s="141" t="e">
        <v>#N/A</v>
      </c>
      <c r="R3316" s="143" t="e">
        <v>#N/A</v>
      </c>
    </row>
    <row r="3317" spans="14:18" x14ac:dyDescent="0.2">
      <c r="N3317" s="139" t="str">
        <f t="shared" si="58"/>
        <v>1w</v>
      </c>
      <c r="O3317" s="146">
        <f>_xll.qlCalendarAdvance(Calendar,O3316,N3317,"f",FALSE)</f>
        <v>62450</v>
      </c>
      <c r="P3317" s="140">
        <f>_xll.qlInterestRateIndexValueDate(IborIndex,O3317)</f>
        <v>62457</v>
      </c>
      <c r="Q3317" s="141" t="e">
        <v>#N/A</v>
      </c>
      <c r="R3317" s="143" t="e">
        <v>#N/A</v>
      </c>
    </row>
    <row r="3318" spans="14:18" x14ac:dyDescent="0.2">
      <c r="N3318" s="139" t="str">
        <f t="shared" si="58"/>
        <v>1w</v>
      </c>
      <c r="O3318" s="146">
        <f>_xll.qlCalendarAdvance(Calendar,O3317,N3318,"f",FALSE)</f>
        <v>62457</v>
      </c>
      <c r="P3318" s="140">
        <f>_xll.qlInterestRateIndexValueDate(IborIndex,O3318)</f>
        <v>62463</v>
      </c>
      <c r="Q3318" s="141" t="e">
        <v>#N/A</v>
      </c>
      <c r="R3318" s="143" t="e">
        <v>#N/A</v>
      </c>
    </row>
    <row r="3319" spans="14:18" x14ac:dyDescent="0.2">
      <c r="N3319" s="139" t="str">
        <f t="shared" si="58"/>
        <v>1w</v>
      </c>
      <c r="O3319" s="146">
        <f>_xll.qlCalendarAdvance(Calendar,O3318,N3319,"f",FALSE)</f>
        <v>62465</v>
      </c>
      <c r="P3319" s="140">
        <f>_xll.qlInterestRateIndexValueDate(IborIndex,O3319)</f>
        <v>62467</v>
      </c>
      <c r="Q3319" s="141" t="e">
        <v>#N/A</v>
      </c>
      <c r="R3319" s="143" t="e">
        <v>#N/A</v>
      </c>
    </row>
    <row r="3320" spans="14:18" x14ac:dyDescent="0.2">
      <c r="N3320" s="139" t="str">
        <f t="shared" si="58"/>
        <v>1w</v>
      </c>
      <c r="O3320" s="146">
        <f>_xll.qlCalendarAdvance(Calendar,O3319,N3320,"f",FALSE)</f>
        <v>62472</v>
      </c>
      <c r="P3320" s="140">
        <f>_xll.qlInterestRateIndexValueDate(IborIndex,O3320)</f>
        <v>62474</v>
      </c>
      <c r="Q3320" s="141" t="e">
        <v>#N/A</v>
      </c>
      <c r="R3320" s="143" t="e">
        <v>#N/A</v>
      </c>
    </row>
    <row r="3321" spans="14:18" x14ac:dyDescent="0.2">
      <c r="N3321" s="139" t="str">
        <f t="shared" si="58"/>
        <v>1w</v>
      </c>
      <c r="O3321" s="146">
        <f>_xll.qlCalendarAdvance(Calendar,O3320,N3321,"f",FALSE)</f>
        <v>62479</v>
      </c>
      <c r="P3321" s="140">
        <f>_xll.qlInterestRateIndexValueDate(IborIndex,O3321)</f>
        <v>62481</v>
      </c>
      <c r="Q3321" s="141" t="e">
        <v>#N/A</v>
      </c>
      <c r="R3321" s="143" t="e">
        <v>#N/A</v>
      </c>
    </row>
    <row r="3322" spans="14:18" x14ac:dyDescent="0.2">
      <c r="N3322" s="139" t="str">
        <f t="shared" si="58"/>
        <v>1w</v>
      </c>
      <c r="O3322" s="146">
        <f>_xll.qlCalendarAdvance(Calendar,O3321,N3322,"f",FALSE)</f>
        <v>62486</v>
      </c>
      <c r="P3322" s="140">
        <f>_xll.qlInterestRateIndexValueDate(IborIndex,O3322)</f>
        <v>62488</v>
      </c>
      <c r="Q3322" s="141" t="e">
        <v>#N/A</v>
      </c>
      <c r="R3322" s="143" t="e">
        <v>#N/A</v>
      </c>
    </row>
    <row r="3323" spans="14:18" x14ac:dyDescent="0.2">
      <c r="N3323" s="139" t="str">
        <f t="shared" si="58"/>
        <v>1w</v>
      </c>
      <c r="O3323" s="146">
        <f>_xll.qlCalendarAdvance(Calendar,O3322,N3323,"f",FALSE)</f>
        <v>62493</v>
      </c>
      <c r="P3323" s="140">
        <f>_xll.qlInterestRateIndexValueDate(IborIndex,O3323)</f>
        <v>62495</v>
      </c>
      <c r="Q3323" s="141" t="e">
        <v>#N/A</v>
      </c>
      <c r="R3323" s="143" t="e">
        <v>#N/A</v>
      </c>
    </row>
    <row r="3324" spans="14:18" x14ac:dyDescent="0.2">
      <c r="N3324" s="139" t="str">
        <f t="shared" si="58"/>
        <v>1w</v>
      </c>
      <c r="O3324" s="146">
        <f>_xll.qlCalendarAdvance(Calendar,O3323,N3324,"f",FALSE)</f>
        <v>62500</v>
      </c>
      <c r="P3324" s="140">
        <f>_xll.qlInterestRateIndexValueDate(IborIndex,O3324)</f>
        <v>62502</v>
      </c>
      <c r="Q3324" s="141" t="e">
        <v>#N/A</v>
      </c>
      <c r="R3324" s="143" t="e">
        <v>#N/A</v>
      </c>
    </row>
    <row r="3325" spans="14:18" x14ac:dyDescent="0.2">
      <c r="N3325" s="139" t="str">
        <f t="shared" si="58"/>
        <v>1w</v>
      </c>
      <c r="O3325" s="146">
        <f>_xll.qlCalendarAdvance(Calendar,O3324,N3325,"f",FALSE)</f>
        <v>62507</v>
      </c>
      <c r="P3325" s="140">
        <f>_xll.qlInterestRateIndexValueDate(IborIndex,O3325)</f>
        <v>62509</v>
      </c>
      <c r="Q3325" s="141" t="e">
        <v>#N/A</v>
      </c>
      <c r="R3325" s="143" t="e">
        <v>#N/A</v>
      </c>
    </row>
    <row r="3326" spans="14:18" x14ac:dyDescent="0.2">
      <c r="N3326" s="139" t="str">
        <f t="shared" si="58"/>
        <v>1w</v>
      </c>
      <c r="O3326" s="146">
        <f>_xll.qlCalendarAdvance(Calendar,O3325,N3326,"f",FALSE)</f>
        <v>62514</v>
      </c>
      <c r="P3326" s="140">
        <f>_xll.qlInterestRateIndexValueDate(IborIndex,O3326)</f>
        <v>62516</v>
      </c>
      <c r="Q3326" s="141" t="e">
        <v>#N/A</v>
      </c>
      <c r="R3326" s="143" t="e">
        <v>#N/A</v>
      </c>
    </row>
    <row r="3327" spans="14:18" x14ac:dyDescent="0.2">
      <c r="N3327" s="139" t="str">
        <f t="shared" si="58"/>
        <v>1w</v>
      </c>
      <c r="O3327" s="146">
        <f>_xll.qlCalendarAdvance(Calendar,O3326,N3327,"f",FALSE)</f>
        <v>62521</v>
      </c>
      <c r="P3327" s="140">
        <f>_xll.qlInterestRateIndexValueDate(IborIndex,O3327)</f>
        <v>62523</v>
      </c>
      <c r="Q3327" s="141" t="e">
        <v>#N/A</v>
      </c>
      <c r="R3327" s="143" t="e">
        <v>#N/A</v>
      </c>
    </row>
    <row r="3328" spans="14:18" x14ac:dyDescent="0.2">
      <c r="N3328" s="139" t="str">
        <f t="shared" si="58"/>
        <v>1w</v>
      </c>
      <c r="O3328" s="146">
        <f>_xll.qlCalendarAdvance(Calendar,O3327,N3328,"f",FALSE)</f>
        <v>62528</v>
      </c>
      <c r="P3328" s="140">
        <f>_xll.qlInterestRateIndexValueDate(IborIndex,O3328)</f>
        <v>62530</v>
      </c>
      <c r="Q3328" s="141" t="e">
        <v>#N/A</v>
      </c>
      <c r="R3328" s="143" t="e">
        <v>#N/A</v>
      </c>
    </row>
    <row r="3329" spans="14:18" x14ac:dyDescent="0.2">
      <c r="N3329" s="139" t="str">
        <f t="shared" si="58"/>
        <v>1w</v>
      </c>
      <c r="O3329" s="146">
        <f>_xll.qlCalendarAdvance(Calendar,O3328,N3329,"f",FALSE)</f>
        <v>62535</v>
      </c>
      <c r="P3329" s="140">
        <f>_xll.qlInterestRateIndexValueDate(IborIndex,O3329)</f>
        <v>62537</v>
      </c>
      <c r="Q3329" s="141" t="e">
        <v>#N/A</v>
      </c>
      <c r="R3329" s="143" t="e">
        <v>#N/A</v>
      </c>
    </row>
    <row r="3330" spans="14:18" x14ac:dyDescent="0.2">
      <c r="N3330" s="139" t="str">
        <f t="shared" si="58"/>
        <v>1w</v>
      </c>
      <c r="O3330" s="146">
        <f>_xll.qlCalendarAdvance(Calendar,O3329,N3330,"f",FALSE)</f>
        <v>62542</v>
      </c>
      <c r="P3330" s="140">
        <f>_xll.qlInterestRateIndexValueDate(IborIndex,O3330)</f>
        <v>62544</v>
      </c>
      <c r="Q3330" s="141" t="e">
        <v>#N/A</v>
      </c>
      <c r="R3330" s="143" t="e">
        <v>#N/A</v>
      </c>
    </row>
    <row r="3331" spans="14:18" x14ac:dyDescent="0.2">
      <c r="N3331" s="139" t="str">
        <f t="shared" si="58"/>
        <v>1w</v>
      </c>
      <c r="O3331" s="146">
        <f>_xll.qlCalendarAdvance(Calendar,O3330,N3331,"f",FALSE)</f>
        <v>62549</v>
      </c>
      <c r="P3331" s="140">
        <f>_xll.qlInterestRateIndexValueDate(IborIndex,O3331)</f>
        <v>62551</v>
      </c>
      <c r="Q3331" s="141" t="e">
        <v>#N/A</v>
      </c>
      <c r="R3331" s="143" t="e">
        <v>#N/A</v>
      </c>
    </row>
    <row r="3332" spans="14:18" x14ac:dyDescent="0.2">
      <c r="N3332" s="139" t="str">
        <f t="shared" si="58"/>
        <v>1w</v>
      </c>
      <c r="O3332" s="146">
        <f>_xll.qlCalendarAdvance(Calendar,O3331,N3332,"f",FALSE)</f>
        <v>62556</v>
      </c>
      <c r="P3332" s="140">
        <f>_xll.qlInterestRateIndexValueDate(IborIndex,O3332)</f>
        <v>62558</v>
      </c>
      <c r="Q3332" s="141" t="e">
        <v>#N/A</v>
      </c>
      <c r="R3332" s="143" t="e">
        <v>#N/A</v>
      </c>
    </row>
    <row r="3333" spans="14:18" x14ac:dyDescent="0.2">
      <c r="N3333" s="139" t="str">
        <f t="shared" si="58"/>
        <v>1w</v>
      </c>
      <c r="O3333" s="146">
        <f>_xll.qlCalendarAdvance(Calendar,O3332,N3333,"f",FALSE)</f>
        <v>62563</v>
      </c>
      <c r="P3333" s="140">
        <f>_xll.qlInterestRateIndexValueDate(IborIndex,O3333)</f>
        <v>62569</v>
      </c>
      <c r="Q3333" s="141" t="e">
        <v>#N/A</v>
      </c>
      <c r="R3333" s="143" t="e">
        <v>#N/A</v>
      </c>
    </row>
    <row r="3334" spans="14:18" x14ac:dyDescent="0.2">
      <c r="N3334" s="139" t="str">
        <f t="shared" si="58"/>
        <v>1w</v>
      </c>
      <c r="O3334" s="146">
        <f>_xll.qlCalendarAdvance(Calendar,O3333,N3334,"f",FALSE)</f>
        <v>62570</v>
      </c>
      <c r="P3334" s="140">
        <f>_xll.qlInterestRateIndexValueDate(IborIndex,O3334)</f>
        <v>62572</v>
      </c>
      <c r="Q3334" s="141" t="e">
        <v>#N/A</v>
      </c>
      <c r="R3334" s="143" t="e">
        <v>#N/A</v>
      </c>
    </row>
    <row r="3335" spans="14:18" x14ac:dyDescent="0.2">
      <c r="N3335" s="139" t="str">
        <f t="shared" si="58"/>
        <v>1w</v>
      </c>
      <c r="O3335" s="146">
        <f>_xll.qlCalendarAdvance(Calendar,O3334,N3335,"f",FALSE)</f>
        <v>62577</v>
      </c>
      <c r="P3335" s="140">
        <f>_xll.qlInterestRateIndexValueDate(IborIndex,O3335)</f>
        <v>62582</v>
      </c>
      <c r="Q3335" s="141" t="e">
        <v>#N/A</v>
      </c>
      <c r="R3335" s="143" t="e">
        <v>#N/A</v>
      </c>
    </row>
    <row r="3336" spans="14:18" x14ac:dyDescent="0.2">
      <c r="N3336" s="139" t="str">
        <f t="shared" si="58"/>
        <v>1w</v>
      </c>
      <c r="O3336" s="146">
        <f>_xll.qlCalendarAdvance(Calendar,O3335,N3336,"f",FALSE)</f>
        <v>62584</v>
      </c>
      <c r="P3336" s="140">
        <f>_xll.qlInterestRateIndexValueDate(IborIndex,O3336)</f>
        <v>62586</v>
      </c>
      <c r="Q3336" s="141" t="e">
        <v>#N/A</v>
      </c>
      <c r="R3336" s="143" t="e">
        <v>#N/A</v>
      </c>
    </row>
    <row r="3337" spans="14:18" x14ac:dyDescent="0.2">
      <c r="N3337" s="139" t="str">
        <f t="shared" si="58"/>
        <v>1w</v>
      </c>
      <c r="O3337" s="146">
        <f>_xll.qlCalendarAdvance(Calendar,O3336,N3337,"f",FALSE)</f>
        <v>62591</v>
      </c>
      <c r="P3337" s="140">
        <f>_xll.qlInterestRateIndexValueDate(IborIndex,O3337)</f>
        <v>62593</v>
      </c>
      <c r="Q3337" s="141" t="e">
        <v>#N/A</v>
      </c>
      <c r="R3337" s="143" t="e">
        <v>#N/A</v>
      </c>
    </row>
    <row r="3338" spans="14:18" x14ac:dyDescent="0.2">
      <c r="N3338" s="139" t="str">
        <f t="shared" si="58"/>
        <v>1w</v>
      </c>
      <c r="O3338" s="146">
        <f>_xll.qlCalendarAdvance(Calendar,O3337,N3338,"f",FALSE)</f>
        <v>62598</v>
      </c>
      <c r="P3338" s="140">
        <f>_xll.qlInterestRateIndexValueDate(IborIndex,O3338)</f>
        <v>62600</v>
      </c>
      <c r="Q3338" s="141" t="e">
        <v>#N/A</v>
      </c>
      <c r="R3338" s="143" t="e">
        <v>#N/A</v>
      </c>
    </row>
    <row r="3339" spans="14:18" x14ac:dyDescent="0.2">
      <c r="N3339" s="139" t="str">
        <f t="shared" si="58"/>
        <v>1w</v>
      </c>
      <c r="O3339" s="146">
        <f>_xll.qlCalendarAdvance(Calendar,O3338,N3339,"f",FALSE)</f>
        <v>62605</v>
      </c>
      <c r="P3339" s="140">
        <f>_xll.qlInterestRateIndexValueDate(IborIndex,O3339)</f>
        <v>62610</v>
      </c>
      <c r="Q3339" s="141" t="e">
        <v>#N/A</v>
      </c>
      <c r="R3339" s="143" t="e">
        <v>#N/A</v>
      </c>
    </row>
    <row r="3340" spans="14:18" x14ac:dyDescent="0.2">
      <c r="N3340" s="139" t="str">
        <f t="shared" si="58"/>
        <v>1w</v>
      </c>
      <c r="O3340" s="146">
        <f>_xll.qlCalendarAdvance(Calendar,O3339,N3340,"f",FALSE)</f>
        <v>62612</v>
      </c>
      <c r="P3340" s="140">
        <f>_xll.qlInterestRateIndexValueDate(IborIndex,O3340)</f>
        <v>62614</v>
      </c>
      <c r="Q3340" s="141" t="e">
        <v>#N/A</v>
      </c>
      <c r="R3340" s="143" t="e">
        <v>#N/A</v>
      </c>
    </row>
    <row r="3341" spans="14:18" x14ac:dyDescent="0.2">
      <c r="N3341" s="139" t="str">
        <f t="shared" si="58"/>
        <v>1w</v>
      </c>
      <c r="O3341" s="146">
        <f>_xll.qlCalendarAdvance(Calendar,O3340,N3341,"f",FALSE)</f>
        <v>62619</v>
      </c>
      <c r="P3341" s="140">
        <f>_xll.qlInterestRateIndexValueDate(IborIndex,O3341)</f>
        <v>62621</v>
      </c>
      <c r="Q3341" s="141" t="e">
        <v>#N/A</v>
      </c>
      <c r="R3341" s="143" t="e">
        <v>#N/A</v>
      </c>
    </row>
    <row r="3342" spans="14:18" x14ac:dyDescent="0.2">
      <c r="N3342" s="139" t="str">
        <f t="shared" si="58"/>
        <v>1w</v>
      </c>
      <c r="O3342" s="146">
        <f>_xll.qlCalendarAdvance(Calendar,O3341,N3342,"f",FALSE)</f>
        <v>62626</v>
      </c>
      <c r="P3342" s="140">
        <f>_xll.qlInterestRateIndexValueDate(IborIndex,O3342)</f>
        <v>62631</v>
      </c>
      <c r="Q3342" s="141" t="e">
        <v>#N/A</v>
      </c>
      <c r="R3342" s="143" t="e">
        <v>#N/A</v>
      </c>
    </row>
    <row r="3343" spans="14:18" x14ac:dyDescent="0.2">
      <c r="N3343" s="139" t="str">
        <f t="shared" si="58"/>
        <v>1w</v>
      </c>
      <c r="O3343" s="146">
        <f>_xll.qlCalendarAdvance(Calendar,O3342,N3343,"f",FALSE)</f>
        <v>62633</v>
      </c>
      <c r="P3343" s="140">
        <f>_xll.qlInterestRateIndexValueDate(IborIndex,O3343)</f>
        <v>62635</v>
      </c>
      <c r="Q3343" s="141" t="e">
        <v>#N/A</v>
      </c>
      <c r="R3343" s="143" t="e">
        <v>#N/A</v>
      </c>
    </row>
    <row r="3344" spans="14:18" x14ac:dyDescent="0.2">
      <c r="N3344" s="139" t="str">
        <f t="shared" si="58"/>
        <v>1w</v>
      </c>
      <c r="O3344" s="146">
        <f>_xll.qlCalendarAdvance(Calendar,O3343,N3344,"f",FALSE)</f>
        <v>62640</v>
      </c>
      <c r="P3344" s="140">
        <f>_xll.qlInterestRateIndexValueDate(IborIndex,O3344)</f>
        <v>62642</v>
      </c>
      <c r="Q3344" s="141" t="e">
        <v>#N/A</v>
      </c>
      <c r="R3344" s="143" t="e">
        <v>#N/A</v>
      </c>
    </row>
    <row r="3345" spans="14:18" x14ac:dyDescent="0.2">
      <c r="N3345" s="139" t="str">
        <f t="shared" si="58"/>
        <v>1w</v>
      </c>
      <c r="O3345" s="146">
        <f>_xll.qlCalendarAdvance(Calendar,O3344,N3345,"f",FALSE)</f>
        <v>62647</v>
      </c>
      <c r="P3345" s="140">
        <f>_xll.qlInterestRateIndexValueDate(IborIndex,O3345)</f>
        <v>62649</v>
      </c>
      <c r="Q3345" s="141" t="e">
        <v>#N/A</v>
      </c>
      <c r="R3345" s="143" t="e">
        <v>#N/A</v>
      </c>
    </row>
    <row r="3346" spans="14:18" x14ac:dyDescent="0.2">
      <c r="N3346" s="139" t="str">
        <f t="shared" si="58"/>
        <v>1w</v>
      </c>
      <c r="O3346" s="146">
        <f>_xll.qlCalendarAdvance(Calendar,O3345,N3346,"f",FALSE)</f>
        <v>62654</v>
      </c>
      <c r="P3346" s="140">
        <f>_xll.qlInterestRateIndexValueDate(IborIndex,O3346)</f>
        <v>62656</v>
      </c>
      <c r="Q3346" s="141" t="e">
        <v>#N/A</v>
      </c>
      <c r="R3346" s="143" t="e">
        <v>#N/A</v>
      </c>
    </row>
    <row r="3347" spans="14:18" x14ac:dyDescent="0.2">
      <c r="N3347" s="139" t="str">
        <f t="shared" si="58"/>
        <v>1w</v>
      </c>
      <c r="O3347" s="146">
        <f>_xll.qlCalendarAdvance(Calendar,O3346,N3347,"f",FALSE)</f>
        <v>62661</v>
      </c>
      <c r="P3347" s="140">
        <f>_xll.qlInterestRateIndexValueDate(IborIndex,O3347)</f>
        <v>62663</v>
      </c>
      <c r="Q3347" s="141" t="e">
        <v>#N/A</v>
      </c>
      <c r="R3347" s="143" t="e">
        <v>#N/A</v>
      </c>
    </row>
    <row r="3348" spans="14:18" x14ac:dyDescent="0.2">
      <c r="N3348" s="139" t="str">
        <f t="shared" si="58"/>
        <v>1w</v>
      </c>
      <c r="O3348" s="146">
        <f>_xll.qlCalendarAdvance(Calendar,O3347,N3348,"f",FALSE)</f>
        <v>62668</v>
      </c>
      <c r="P3348" s="140">
        <f>_xll.qlInterestRateIndexValueDate(IborIndex,O3348)</f>
        <v>62670</v>
      </c>
      <c r="Q3348" s="141" t="e">
        <v>#N/A</v>
      </c>
      <c r="R3348" s="143" t="e">
        <v>#N/A</v>
      </c>
    </row>
    <row r="3349" spans="14:18" x14ac:dyDescent="0.2">
      <c r="N3349" s="139" t="str">
        <f t="shared" ref="N3349:N3412" si="59">N3348</f>
        <v>1w</v>
      </c>
      <c r="O3349" s="146">
        <f>_xll.qlCalendarAdvance(Calendar,O3348,N3349,"f",FALSE)</f>
        <v>62675</v>
      </c>
      <c r="P3349" s="140">
        <f>_xll.qlInterestRateIndexValueDate(IborIndex,O3349)</f>
        <v>62677</v>
      </c>
      <c r="Q3349" s="141" t="e">
        <v>#N/A</v>
      </c>
      <c r="R3349" s="143" t="e">
        <v>#N/A</v>
      </c>
    </row>
    <row r="3350" spans="14:18" x14ac:dyDescent="0.2">
      <c r="N3350" s="139" t="str">
        <f t="shared" si="59"/>
        <v>1w</v>
      </c>
      <c r="O3350" s="146">
        <f>_xll.qlCalendarAdvance(Calendar,O3349,N3350,"f",FALSE)</f>
        <v>62682</v>
      </c>
      <c r="P3350" s="140">
        <f>_xll.qlInterestRateIndexValueDate(IborIndex,O3350)</f>
        <v>62684</v>
      </c>
      <c r="Q3350" s="141" t="e">
        <v>#N/A</v>
      </c>
      <c r="R3350" s="143" t="e">
        <v>#N/A</v>
      </c>
    </row>
    <row r="3351" spans="14:18" x14ac:dyDescent="0.2">
      <c r="N3351" s="139" t="str">
        <f t="shared" si="59"/>
        <v>1w</v>
      </c>
      <c r="O3351" s="146">
        <f>_xll.qlCalendarAdvance(Calendar,O3350,N3351,"f",FALSE)</f>
        <v>62689</v>
      </c>
      <c r="P3351" s="140">
        <f>_xll.qlInterestRateIndexValueDate(IborIndex,O3351)</f>
        <v>62691</v>
      </c>
      <c r="Q3351" s="141" t="e">
        <v>#N/A</v>
      </c>
      <c r="R3351" s="143" t="e">
        <v>#N/A</v>
      </c>
    </row>
    <row r="3352" spans="14:18" x14ac:dyDescent="0.2">
      <c r="N3352" s="139" t="str">
        <f t="shared" si="59"/>
        <v>1w</v>
      </c>
      <c r="O3352" s="146">
        <f>_xll.qlCalendarAdvance(Calendar,O3351,N3352,"f",FALSE)</f>
        <v>62696</v>
      </c>
      <c r="P3352" s="140">
        <f>_xll.qlInterestRateIndexValueDate(IborIndex,O3352)</f>
        <v>62698</v>
      </c>
      <c r="Q3352" s="141" t="e">
        <v>#N/A</v>
      </c>
      <c r="R3352" s="143" t="e">
        <v>#N/A</v>
      </c>
    </row>
    <row r="3353" spans="14:18" x14ac:dyDescent="0.2">
      <c r="N3353" s="139" t="str">
        <f t="shared" si="59"/>
        <v>1w</v>
      </c>
      <c r="O3353" s="146">
        <f>_xll.qlCalendarAdvance(Calendar,O3352,N3353,"f",FALSE)</f>
        <v>62703</v>
      </c>
      <c r="P3353" s="140">
        <f>_xll.qlInterestRateIndexValueDate(IborIndex,O3353)</f>
        <v>62705</v>
      </c>
      <c r="Q3353" s="141" t="e">
        <v>#N/A</v>
      </c>
      <c r="R3353" s="143" t="e">
        <v>#N/A</v>
      </c>
    </row>
    <row r="3354" spans="14:18" x14ac:dyDescent="0.2">
      <c r="N3354" s="139" t="str">
        <f t="shared" si="59"/>
        <v>1w</v>
      </c>
      <c r="O3354" s="146">
        <f>_xll.qlCalendarAdvance(Calendar,O3353,N3354,"f",FALSE)</f>
        <v>62710</v>
      </c>
      <c r="P3354" s="140">
        <f>_xll.qlInterestRateIndexValueDate(IborIndex,O3354)</f>
        <v>62712</v>
      </c>
      <c r="Q3354" s="141" t="e">
        <v>#N/A</v>
      </c>
      <c r="R3354" s="143" t="e">
        <v>#N/A</v>
      </c>
    </row>
    <row r="3355" spans="14:18" x14ac:dyDescent="0.2">
      <c r="N3355" s="139" t="str">
        <f t="shared" si="59"/>
        <v>1w</v>
      </c>
      <c r="O3355" s="146">
        <f>_xll.qlCalendarAdvance(Calendar,O3354,N3355,"f",FALSE)</f>
        <v>62717</v>
      </c>
      <c r="P3355" s="140">
        <f>_xll.qlInterestRateIndexValueDate(IborIndex,O3355)</f>
        <v>62719</v>
      </c>
      <c r="Q3355" s="141" t="e">
        <v>#N/A</v>
      </c>
      <c r="R3355" s="143" t="e">
        <v>#N/A</v>
      </c>
    </row>
    <row r="3356" spans="14:18" x14ac:dyDescent="0.2">
      <c r="N3356" s="139" t="str">
        <f t="shared" si="59"/>
        <v>1w</v>
      </c>
      <c r="O3356" s="146">
        <f>_xll.qlCalendarAdvance(Calendar,O3355,N3356,"f",FALSE)</f>
        <v>62724</v>
      </c>
      <c r="P3356" s="140">
        <f>_xll.qlInterestRateIndexValueDate(IborIndex,O3356)</f>
        <v>62726</v>
      </c>
      <c r="Q3356" s="141" t="e">
        <v>#N/A</v>
      </c>
      <c r="R3356" s="143" t="e">
        <v>#N/A</v>
      </c>
    </row>
    <row r="3357" spans="14:18" x14ac:dyDescent="0.2">
      <c r="N3357" s="139" t="str">
        <f t="shared" si="59"/>
        <v>1w</v>
      </c>
      <c r="O3357" s="146">
        <f>_xll.qlCalendarAdvance(Calendar,O3356,N3357,"f",FALSE)</f>
        <v>62731</v>
      </c>
      <c r="P3357" s="140">
        <f>_xll.qlInterestRateIndexValueDate(IborIndex,O3357)</f>
        <v>62733</v>
      </c>
      <c r="Q3357" s="141" t="e">
        <v>#N/A</v>
      </c>
      <c r="R3357" s="143" t="e">
        <v>#N/A</v>
      </c>
    </row>
    <row r="3358" spans="14:18" x14ac:dyDescent="0.2">
      <c r="N3358" s="139" t="str">
        <f t="shared" si="59"/>
        <v>1w</v>
      </c>
      <c r="O3358" s="146">
        <f>_xll.qlCalendarAdvance(Calendar,O3357,N3358,"f",FALSE)</f>
        <v>62738</v>
      </c>
      <c r="P3358" s="140">
        <f>_xll.qlInterestRateIndexValueDate(IborIndex,O3358)</f>
        <v>62740</v>
      </c>
      <c r="Q3358" s="141" t="e">
        <v>#N/A</v>
      </c>
      <c r="R3358" s="143" t="e">
        <v>#N/A</v>
      </c>
    </row>
    <row r="3359" spans="14:18" x14ac:dyDescent="0.2">
      <c r="N3359" s="139" t="str">
        <f t="shared" si="59"/>
        <v>1w</v>
      </c>
      <c r="O3359" s="146">
        <f>_xll.qlCalendarAdvance(Calendar,O3358,N3359,"f",FALSE)</f>
        <v>62745</v>
      </c>
      <c r="P3359" s="140">
        <f>_xll.qlInterestRateIndexValueDate(IborIndex,O3359)</f>
        <v>62747</v>
      </c>
      <c r="Q3359" s="141" t="e">
        <v>#N/A</v>
      </c>
      <c r="R3359" s="143" t="e">
        <v>#N/A</v>
      </c>
    </row>
    <row r="3360" spans="14:18" x14ac:dyDescent="0.2">
      <c r="N3360" s="139" t="str">
        <f t="shared" si="59"/>
        <v>1w</v>
      </c>
      <c r="O3360" s="146">
        <f>_xll.qlCalendarAdvance(Calendar,O3359,N3360,"f",FALSE)</f>
        <v>62752</v>
      </c>
      <c r="P3360" s="140">
        <f>_xll.qlInterestRateIndexValueDate(IborIndex,O3360)</f>
        <v>62754</v>
      </c>
      <c r="Q3360" s="141" t="e">
        <v>#N/A</v>
      </c>
      <c r="R3360" s="143" t="e">
        <v>#N/A</v>
      </c>
    </row>
    <row r="3361" spans="14:18" x14ac:dyDescent="0.2">
      <c r="N3361" s="139" t="str">
        <f t="shared" si="59"/>
        <v>1w</v>
      </c>
      <c r="O3361" s="146">
        <f>_xll.qlCalendarAdvance(Calendar,O3360,N3361,"f",FALSE)</f>
        <v>62759</v>
      </c>
      <c r="P3361" s="140">
        <f>_xll.qlInterestRateIndexValueDate(IborIndex,O3361)</f>
        <v>62761</v>
      </c>
      <c r="Q3361" s="141" t="e">
        <v>#N/A</v>
      </c>
      <c r="R3361" s="143" t="e">
        <v>#N/A</v>
      </c>
    </row>
    <row r="3362" spans="14:18" x14ac:dyDescent="0.2">
      <c r="N3362" s="139" t="str">
        <f t="shared" si="59"/>
        <v>1w</v>
      </c>
      <c r="O3362" s="146">
        <f>_xll.qlCalendarAdvance(Calendar,O3361,N3362,"f",FALSE)</f>
        <v>62766</v>
      </c>
      <c r="P3362" s="140">
        <f>_xll.qlInterestRateIndexValueDate(IborIndex,O3362)</f>
        <v>62768</v>
      </c>
      <c r="Q3362" s="141" t="e">
        <v>#N/A</v>
      </c>
      <c r="R3362" s="143" t="e">
        <v>#N/A</v>
      </c>
    </row>
    <row r="3363" spans="14:18" x14ac:dyDescent="0.2">
      <c r="N3363" s="139" t="str">
        <f t="shared" si="59"/>
        <v>1w</v>
      </c>
      <c r="O3363" s="146">
        <f>_xll.qlCalendarAdvance(Calendar,O3362,N3363,"f",FALSE)</f>
        <v>62773</v>
      </c>
      <c r="P3363" s="140">
        <f>_xll.qlInterestRateIndexValueDate(IborIndex,O3363)</f>
        <v>62775</v>
      </c>
      <c r="Q3363" s="141" t="e">
        <v>#N/A</v>
      </c>
      <c r="R3363" s="143" t="e">
        <v>#N/A</v>
      </c>
    </row>
    <row r="3364" spans="14:18" x14ac:dyDescent="0.2">
      <c r="N3364" s="139" t="str">
        <f t="shared" si="59"/>
        <v>1w</v>
      </c>
      <c r="O3364" s="146">
        <f>_xll.qlCalendarAdvance(Calendar,O3363,N3364,"f",FALSE)</f>
        <v>62780</v>
      </c>
      <c r="P3364" s="140">
        <f>_xll.qlInterestRateIndexValueDate(IborIndex,O3364)</f>
        <v>62782</v>
      </c>
      <c r="Q3364" s="141" t="e">
        <v>#N/A</v>
      </c>
      <c r="R3364" s="143" t="e">
        <v>#N/A</v>
      </c>
    </row>
    <row r="3365" spans="14:18" x14ac:dyDescent="0.2">
      <c r="N3365" s="139" t="str">
        <f t="shared" si="59"/>
        <v>1w</v>
      </c>
      <c r="O3365" s="146">
        <f>_xll.qlCalendarAdvance(Calendar,O3364,N3365,"f",FALSE)</f>
        <v>62787</v>
      </c>
      <c r="P3365" s="140">
        <f>_xll.qlInterestRateIndexValueDate(IborIndex,O3365)</f>
        <v>62789</v>
      </c>
      <c r="Q3365" s="141" t="e">
        <v>#N/A</v>
      </c>
      <c r="R3365" s="143" t="e">
        <v>#N/A</v>
      </c>
    </row>
    <row r="3366" spans="14:18" x14ac:dyDescent="0.2">
      <c r="N3366" s="139" t="str">
        <f t="shared" si="59"/>
        <v>1w</v>
      </c>
      <c r="O3366" s="146">
        <f>_xll.qlCalendarAdvance(Calendar,O3365,N3366,"f",FALSE)</f>
        <v>62794</v>
      </c>
      <c r="P3366" s="140">
        <f>_xll.qlInterestRateIndexValueDate(IborIndex,O3366)</f>
        <v>62796</v>
      </c>
      <c r="Q3366" s="141" t="e">
        <v>#N/A</v>
      </c>
      <c r="R3366" s="143" t="e">
        <v>#N/A</v>
      </c>
    </row>
    <row r="3367" spans="14:18" x14ac:dyDescent="0.2">
      <c r="N3367" s="139" t="str">
        <f t="shared" si="59"/>
        <v>1w</v>
      </c>
      <c r="O3367" s="146">
        <f>_xll.qlCalendarAdvance(Calendar,O3366,N3367,"f",FALSE)</f>
        <v>62801</v>
      </c>
      <c r="P3367" s="140">
        <f>_xll.qlInterestRateIndexValueDate(IborIndex,O3367)</f>
        <v>62803</v>
      </c>
      <c r="Q3367" s="141" t="e">
        <v>#N/A</v>
      </c>
      <c r="R3367" s="143" t="e">
        <v>#N/A</v>
      </c>
    </row>
    <row r="3368" spans="14:18" x14ac:dyDescent="0.2">
      <c r="N3368" s="139" t="str">
        <f t="shared" si="59"/>
        <v>1w</v>
      </c>
      <c r="O3368" s="146">
        <f>_xll.qlCalendarAdvance(Calendar,O3367,N3368,"f",FALSE)</f>
        <v>62808</v>
      </c>
      <c r="P3368" s="140">
        <f>_xll.qlInterestRateIndexValueDate(IborIndex,O3368)</f>
        <v>62810</v>
      </c>
      <c r="Q3368" s="141" t="e">
        <v>#N/A</v>
      </c>
      <c r="R3368" s="143" t="e">
        <v>#N/A</v>
      </c>
    </row>
    <row r="3369" spans="14:18" x14ac:dyDescent="0.2">
      <c r="N3369" s="139" t="str">
        <f t="shared" si="59"/>
        <v>1w</v>
      </c>
      <c r="O3369" s="146">
        <f>_xll.qlCalendarAdvance(Calendar,O3368,N3369,"f",FALSE)</f>
        <v>62815</v>
      </c>
      <c r="P3369" s="140">
        <f>_xll.qlInterestRateIndexValueDate(IborIndex,O3369)</f>
        <v>62821</v>
      </c>
      <c r="Q3369" s="141" t="e">
        <v>#N/A</v>
      </c>
      <c r="R3369" s="143" t="e">
        <v>#N/A</v>
      </c>
    </row>
    <row r="3370" spans="14:18" x14ac:dyDescent="0.2">
      <c r="N3370" s="139" t="str">
        <f t="shared" si="59"/>
        <v>1w</v>
      </c>
      <c r="O3370" s="146">
        <f>_xll.qlCalendarAdvance(Calendar,O3369,N3370,"f",FALSE)</f>
        <v>62822</v>
      </c>
      <c r="P3370" s="140">
        <f>_xll.qlInterestRateIndexValueDate(IborIndex,O3370)</f>
        <v>62828</v>
      </c>
      <c r="Q3370" s="141" t="e">
        <v>#N/A</v>
      </c>
      <c r="R3370" s="143" t="e">
        <v>#N/A</v>
      </c>
    </row>
    <row r="3371" spans="14:18" x14ac:dyDescent="0.2">
      <c r="N3371" s="139" t="str">
        <f t="shared" si="59"/>
        <v>1w</v>
      </c>
      <c r="O3371" s="146">
        <f>_xll.qlCalendarAdvance(Calendar,O3370,N3371,"f",FALSE)</f>
        <v>62830</v>
      </c>
      <c r="P3371" s="140">
        <f>_xll.qlInterestRateIndexValueDate(IborIndex,O3371)</f>
        <v>62834</v>
      </c>
      <c r="Q3371" s="141" t="e">
        <v>#N/A</v>
      </c>
      <c r="R3371" s="143" t="e">
        <v>#N/A</v>
      </c>
    </row>
    <row r="3372" spans="14:18" x14ac:dyDescent="0.2">
      <c r="N3372" s="139" t="str">
        <f t="shared" si="59"/>
        <v>1w</v>
      </c>
      <c r="O3372" s="146">
        <f>_xll.qlCalendarAdvance(Calendar,O3371,N3372,"f",FALSE)</f>
        <v>62837</v>
      </c>
      <c r="P3372" s="140">
        <f>_xll.qlInterestRateIndexValueDate(IborIndex,O3372)</f>
        <v>62841</v>
      </c>
      <c r="Q3372" s="141" t="e">
        <v>#N/A</v>
      </c>
      <c r="R3372" s="143" t="e">
        <v>#N/A</v>
      </c>
    </row>
    <row r="3373" spans="14:18" x14ac:dyDescent="0.2">
      <c r="N3373" s="139" t="str">
        <f t="shared" si="59"/>
        <v>1w</v>
      </c>
      <c r="O3373" s="146">
        <f>_xll.qlCalendarAdvance(Calendar,O3372,N3373,"f",FALSE)</f>
        <v>62844</v>
      </c>
      <c r="P3373" s="140">
        <f>_xll.qlInterestRateIndexValueDate(IborIndex,O3373)</f>
        <v>62848</v>
      </c>
      <c r="Q3373" s="141" t="e">
        <v>#N/A</v>
      </c>
      <c r="R3373" s="143" t="e">
        <v>#N/A</v>
      </c>
    </row>
    <row r="3374" spans="14:18" x14ac:dyDescent="0.2">
      <c r="N3374" s="139" t="str">
        <f t="shared" si="59"/>
        <v>1w</v>
      </c>
      <c r="O3374" s="146">
        <f>_xll.qlCalendarAdvance(Calendar,O3373,N3374,"f",FALSE)</f>
        <v>62851</v>
      </c>
      <c r="P3374" s="140">
        <f>_xll.qlInterestRateIndexValueDate(IborIndex,O3374)</f>
        <v>62855</v>
      </c>
      <c r="Q3374" s="141" t="e">
        <v>#N/A</v>
      </c>
      <c r="R3374" s="143" t="e">
        <v>#N/A</v>
      </c>
    </row>
    <row r="3375" spans="14:18" x14ac:dyDescent="0.2">
      <c r="N3375" s="139" t="str">
        <f t="shared" si="59"/>
        <v>1w</v>
      </c>
      <c r="O3375" s="146">
        <f>_xll.qlCalendarAdvance(Calendar,O3374,N3375,"f",FALSE)</f>
        <v>62858</v>
      </c>
      <c r="P3375" s="140">
        <f>_xll.qlInterestRateIndexValueDate(IborIndex,O3375)</f>
        <v>62862</v>
      </c>
      <c r="Q3375" s="141" t="e">
        <v>#N/A</v>
      </c>
      <c r="R3375" s="143" t="e">
        <v>#N/A</v>
      </c>
    </row>
    <row r="3376" spans="14:18" x14ac:dyDescent="0.2">
      <c r="N3376" s="139" t="str">
        <f t="shared" si="59"/>
        <v>1w</v>
      </c>
      <c r="O3376" s="146">
        <f>_xll.qlCalendarAdvance(Calendar,O3375,N3376,"f",FALSE)</f>
        <v>62865</v>
      </c>
      <c r="P3376" s="140">
        <f>_xll.qlInterestRateIndexValueDate(IborIndex,O3376)</f>
        <v>62869</v>
      </c>
      <c r="Q3376" s="141" t="e">
        <v>#N/A</v>
      </c>
      <c r="R3376" s="143" t="e">
        <v>#N/A</v>
      </c>
    </row>
    <row r="3377" spans="14:18" x14ac:dyDescent="0.2">
      <c r="N3377" s="139" t="str">
        <f t="shared" si="59"/>
        <v>1w</v>
      </c>
      <c r="O3377" s="146">
        <f>_xll.qlCalendarAdvance(Calendar,O3376,N3377,"f",FALSE)</f>
        <v>62872</v>
      </c>
      <c r="P3377" s="140">
        <f>_xll.qlInterestRateIndexValueDate(IborIndex,O3377)</f>
        <v>62876</v>
      </c>
      <c r="Q3377" s="141" t="e">
        <v>#N/A</v>
      </c>
      <c r="R3377" s="143" t="e">
        <v>#N/A</v>
      </c>
    </row>
    <row r="3378" spans="14:18" x14ac:dyDescent="0.2">
      <c r="N3378" s="139" t="str">
        <f t="shared" si="59"/>
        <v>1w</v>
      </c>
      <c r="O3378" s="146">
        <f>_xll.qlCalendarAdvance(Calendar,O3377,N3378,"f",FALSE)</f>
        <v>62879</v>
      </c>
      <c r="P3378" s="140">
        <f>_xll.qlInterestRateIndexValueDate(IborIndex,O3378)</f>
        <v>62883</v>
      </c>
      <c r="Q3378" s="141" t="e">
        <v>#N/A</v>
      </c>
      <c r="R3378" s="143" t="e">
        <v>#N/A</v>
      </c>
    </row>
    <row r="3379" spans="14:18" x14ac:dyDescent="0.2">
      <c r="N3379" s="139" t="str">
        <f t="shared" si="59"/>
        <v>1w</v>
      </c>
      <c r="O3379" s="146">
        <f>_xll.qlCalendarAdvance(Calendar,O3378,N3379,"f",FALSE)</f>
        <v>62886</v>
      </c>
      <c r="P3379" s="140">
        <f>_xll.qlInterestRateIndexValueDate(IborIndex,O3379)</f>
        <v>62890</v>
      </c>
      <c r="Q3379" s="141" t="e">
        <v>#N/A</v>
      </c>
      <c r="R3379" s="143" t="e">
        <v>#N/A</v>
      </c>
    </row>
    <row r="3380" spans="14:18" x14ac:dyDescent="0.2">
      <c r="N3380" s="139" t="str">
        <f t="shared" si="59"/>
        <v>1w</v>
      </c>
      <c r="O3380" s="146">
        <f>_xll.qlCalendarAdvance(Calendar,O3379,N3380,"f",FALSE)</f>
        <v>62893</v>
      </c>
      <c r="P3380" s="140">
        <f>_xll.qlInterestRateIndexValueDate(IborIndex,O3380)</f>
        <v>62897</v>
      </c>
      <c r="Q3380" s="141" t="e">
        <v>#N/A</v>
      </c>
      <c r="R3380" s="143" t="e">
        <v>#N/A</v>
      </c>
    </row>
    <row r="3381" spans="14:18" x14ac:dyDescent="0.2">
      <c r="N3381" s="139" t="str">
        <f t="shared" si="59"/>
        <v>1w</v>
      </c>
      <c r="O3381" s="146">
        <f>_xll.qlCalendarAdvance(Calendar,O3380,N3381,"f",FALSE)</f>
        <v>62900</v>
      </c>
      <c r="P3381" s="140">
        <f>_xll.qlInterestRateIndexValueDate(IborIndex,O3381)</f>
        <v>62904</v>
      </c>
      <c r="Q3381" s="141" t="e">
        <v>#N/A</v>
      </c>
      <c r="R3381" s="143" t="e">
        <v>#N/A</v>
      </c>
    </row>
    <row r="3382" spans="14:18" x14ac:dyDescent="0.2">
      <c r="N3382" s="139" t="str">
        <f t="shared" si="59"/>
        <v>1w</v>
      </c>
      <c r="O3382" s="146">
        <f>_xll.qlCalendarAdvance(Calendar,O3381,N3382,"f",FALSE)</f>
        <v>62907</v>
      </c>
      <c r="P3382" s="140">
        <f>_xll.qlInterestRateIndexValueDate(IborIndex,O3382)</f>
        <v>62911</v>
      </c>
      <c r="Q3382" s="141" t="e">
        <v>#N/A</v>
      </c>
      <c r="R3382" s="143" t="e">
        <v>#N/A</v>
      </c>
    </row>
    <row r="3383" spans="14:18" x14ac:dyDescent="0.2">
      <c r="N3383" s="139" t="str">
        <f t="shared" si="59"/>
        <v>1w</v>
      </c>
      <c r="O3383" s="146">
        <f>_xll.qlCalendarAdvance(Calendar,O3382,N3383,"f",FALSE)</f>
        <v>62914</v>
      </c>
      <c r="P3383" s="140">
        <f>_xll.qlInterestRateIndexValueDate(IborIndex,O3383)</f>
        <v>62918</v>
      </c>
      <c r="Q3383" s="141" t="e">
        <v>#N/A</v>
      </c>
      <c r="R3383" s="143" t="e">
        <v>#N/A</v>
      </c>
    </row>
    <row r="3384" spans="14:18" x14ac:dyDescent="0.2">
      <c r="N3384" s="139" t="str">
        <f t="shared" si="59"/>
        <v>1w</v>
      </c>
      <c r="O3384" s="146">
        <f>_xll.qlCalendarAdvance(Calendar,O3383,N3384,"f",FALSE)</f>
        <v>62921</v>
      </c>
      <c r="P3384" s="140">
        <f>_xll.qlInterestRateIndexValueDate(IborIndex,O3384)</f>
        <v>62927</v>
      </c>
      <c r="Q3384" s="141" t="e">
        <v>#N/A</v>
      </c>
      <c r="R3384" s="143" t="e">
        <v>#N/A</v>
      </c>
    </row>
    <row r="3385" spans="14:18" x14ac:dyDescent="0.2">
      <c r="N3385" s="139" t="str">
        <f t="shared" si="59"/>
        <v>1w</v>
      </c>
      <c r="O3385" s="146">
        <f>_xll.qlCalendarAdvance(Calendar,O3384,N3385,"f",FALSE)</f>
        <v>62928</v>
      </c>
      <c r="P3385" s="140">
        <f>_xll.qlInterestRateIndexValueDate(IborIndex,O3385)</f>
        <v>62932</v>
      </c>
      <c r="Q3385" s="141" t="e">
        <v>#N/A</v>
      </c>
      <c r="R3385" s="143" t="e">
        <v>#N/A</v>
      </c>
    </row>
    <row r="3386" spans="14:18" x14ac:dyDescent="0.2">
      <c r="N3386" s="139" t="str">
        <f t="shared" si="59"/>
        <v>1w</v>
      </c>
      <c r="O3386" s="146">
        <f>_xll.qlCalendarAdvance(Calendar,O3385,N3386,"f",FALSE)</f>
        <v>62935</v>
      </c>
      <c r="P3386" s="140">
        <f>_xll.qlInterestRateIndexValueDate(IborIndex,O3386)</f>
        <v>62939</v>
      </c>
      <c r="Q3386" s="141" t="e">
        <v>#N/A</v>
      </c>
      <c r="R3386" s="143" t="e">
        <v>#N/A</v>
      </c>
    </row>
    <row r="3387" spans="14:18" x14ac:dyDescent="0.2">
      <c r="N3387" s="139" t="str">
        <f t="shared" si="59"/>
        <v>1w</v>
      </c>
      <c r="O3387" s="146">
        <f>_xll.qlCalendarAdvance(Calendar,O3386,N3387,"f",FALSE)</f>
        <v>62942</v>
      </c>
      <c r="P3387" s="140">
        <f>_xll.qlInterestRateIndexValueDate(IborIndex,O3387)</f>
        <v>62946</v>
      </c>
      <c r="Q3387" s="141" t="e">
        <v>#N/A</v>
      </c>
      <c r="R3387" s="143" t="e">
        <v>#N/A</v>
      </c>
    </row>
    <row r="3388" spans="14:18" x14ac:dyDescent="0.2">
      <c r="N3388" s="139" t="str">
        <f t="shared" si="59"/>
        <v>1w</v>
      </c>
      <c r="O3388" s="146">
        <f>_xll.qlCalendarAdvance(Calendar,O3387,N3388,"f",FALSE)</f>
        <v>62949</v>
      </c>
      <c r="P3388" s="140">
        <f>_xll.qlInterestRateIndexValueDate(IborIndex,O3388)</f>
        <v>62953</v>
      </c>
      <c r="Q3388" s="141" t="e">
        <v>#N/A</v>
      </c>
      <c r="R3388" s="143" t="e">
        <v>#N/A</v>
      </c>
    </row>
    <row r="3389" spans="14:18" x14ac:dyDescent="0.2">
      <c r="N3389" s="139" t="str">
        <f t="shared" si="59"/>
        <v>1w</v>
      </c>
      <c r="O3389" s="146">
        <f>_xll.qlCalendarAdvance(Calendar,O3388,N3389,"f",FALSE)</f>
        <v>62956</v>
      </c>
      <c r="P3389" s="140">
        <f>_xll.qlInterestRateIndexValueDate(IborIndex,O3389)</f>
        <v>62960</v>
      </c>
      <c r="Q3389" s="141" t="e">
        <v>#N/A</v>
      </c>
      <c r="R3389" s="143" t="e">
        <v>#N/A</v>
      </c>
    </row>
    <row r="3390" spans="14:18" x14ac:dyDescent="0.2">
      <c r="N3390" s="139" t="str">
        <f t="shared" si="59"/>
        <v>1w</v>
      </c>
      <c r="O3390" s="146">
        <f>_xll.qlCalendarAdvance(Calendar,O3389,N3390,"f",FALSE)</f>
        <v>62964</v>
      </c>
      <c r="P3390" s="140">
        <f>_xll.qlInterestRateIndexValueDate(IborIndex,O3390)</f>
        <v>62968</v>
      </c>
      <c r="Q3390" s="141" t="e">
        <v>#N/A</v>
      </c>
      <c r="R3390" s="143" t="e">
        <v>#N/A</v>
      </c>
    </row>
    <row r="3391" spans="14:18" x14ac:dyDescent="0.2">
      <c r="N3391" s="139" t="str">
        <f t="shared" si="59"/>
        <v>1w</v>
      </c>
      <c r="O3391" s="146">
        <f>_xll.qlCalendarAdvance(Calendar,O3390,N3391,"f",FALSE)</f>
        <v>62971</v>
      </c>
      <c r="P3391" s="140">
        <f>_xll.qlInterestRateIndexValueDate(IborIndex,O3391)</f>
        <v>62976</v>
      </c>
      <c r="Q3391" s="141" t="e">
        <v>#N/A</v>
      </c>
      <c r="R3391" s="143" t="e">
        <v>#N/A</v>
      </c>
    </row>
    <row r="3392" spans="14:18" x14ac:dyDescent="0.2">
      <c r="N3392" s="139" t="str">
        <f t="shared" si="59"/>
        <v>1w</v>
      </c>
      <c r="O3392" s="146">
        <f>_xll.qlCalendarAdvance(Calendar,O3391,N3392,"f",FALSE)</f>
        <v>62978</v>
      </c>
      <c r="P3392" s="140">
        <f>_xll.qlInterestRateIndexValueDate(IborIndex,O3392)</f>
        <v>62982</v>
      </c>
      <c r="Q3392" s="141" t="e">
        <v>#N/A</v>
      </c>
      <c r="R3392" s="143" t="e">
        <v>#N/A</v>
      </c>
    </row>
    <row r="3393" spans="14:18" x14ac:dyDescent="0.2">
      <c r="N3393" s="139" t="str">
        <f t="shared" si="59"/>
        <v>1w</v>
      </c>
      <c r="O3393" s="146">
        <f>_xll.qlCalendarAdvance(Calendar,O3392,N3393,"f",FALSE)</f>
        <v>62985</v>
      </c>
      <c r="P3393" s="140">
        <f>_xll.qlInterestRateIndexValueDate(IborIndex,O3393)</f>
        <v>62989</v>
      </c>
      <c r="Q3393" s="141" t="e">
        <v>#N/A</v>
      </c>
      <c r="R3393" s="143" t="e">
        <v>#N/A</v>
      </c>
    </row>
    <row r="3394" spans="14:18" x14ac:dyDescent="0.2">
      <c r="N3394" s="139" t="str">
        <f t="shared" si="59"/>
        <v>1w</v>
      </c>
      <c r="O3394" s="146">
        <f>_xll.qlCalendarAdvance(Calendar,O3393,N3394,"f",FALSE)</f>
        <v>62992</v>
      </c>
      <c r="P3394" s="140">
        <f>_xll.qlInterestRateIndexValueDate(IborIndex,O3394)</f>
        <v>62996</v>
      </c>
      <c r="Q3394" s="141" t="e">
        <v>#N/A</v>
      </c>
      <c r="R3394" s="143" t="e">
        <v>#N/A</v>
      </c>
    </row>
    <row r="3395" spans="14:18" x14ac:dyDescent="0.2">
      <c r="N3395" s="139" t="str">
        <f t="shared" si="59"/>
        <v>1w</v>
      </c>
      <c r="O3395" s="146">
        <f>_xll.qlCalendarAdvance(Calendar,O3394,N3395,"f",FALSE)</f>
        <v>63002</v>
      </c>
      <c r="P3395" s="140">
        <f>_xll.qlInterestRateIndexValueDate(IborIndex,O3395)</f>
        <v>63004</v>
      </c>
      <c r="Q3395" s="141" t="e">
        <v>#N/A</v>
      </c>
      <c r="R3395" s="143" t="e">
        <v>#N/A</v>
      </c>
    </row>
    <row r="3396" spans="14:18" x14ac:dyDescent="0.2">
      <c r="N3396" s="139" t="str">
        <f t="shared" si="59"/>
        <v>1w</v>
      </c>
      <c r="O3396" s="146">
        <f>_xll.qlCalendarAdvance(Calendar,O3395,N3396,"f",FALSE)</f>
        <v>63009</v>
      </c>
      <c r="P3396" s="140">
        <f>_xll.qlInterestRateIndexValueDate(IborIndex,O3396)</f>
        <v>63011</v>
      </c>
      <c r="Q3396" s="141" t="e">
        <v>#N/A</v>
      </c>
      <c r="R3396" s="143" t="e">
        <v>#N/A</v>
      </c>
    </row>
    <row r="3397" spans="14:18" x14ac:dyDescent="0.2">
      <c r="N3397" s="139" t="str">
        <f t="shared" si="59"/>
        <v>1w</v>
      </c>
      <c r="O3397" s="146">
        <f>_xll.qlCalendarAdvance(Calendar,O3396,N3397,"f",FALSE)</f>
        <v>63016</v>
      </c>
      <c r="P3397" s="140">
        <f>_xll.qlInterestRateIndexValueDate(IborIndex,O3397)</f>
        <v>63018</v>
      </c>
      <c r="Q3397" s="141" t="e">
        <v>#N/A</v>
      </c>
      <c r="R3397" s="143" t="e">
        <v>#N/A</v>
      </c>
    </row>
    <row r="3398" spans="14:18" x14ac:dyDescent="0.2">
      <c r="N3398" s="139" t="str">
        <f t="shared" si="59"/>
        <v>1w</v>
      </c>
      <c r="O3398" s="146">
        <f>_xll.qlCalendarAdvance(Calendar,O3397,N3398,"f",FALSE)</f>
        <v>63023</v>
      </c>
      <c r="P3398" s="140">
        <f>_xll.qlInterestRateIndexValueDate(IborIndex,O3398)</f>
        <v>63025</v>
      </c>
      <c r="Q3398" s="141" t="e">
        <v>#N/A</v>
      </c>
      <c r="R3398" s="143" t="e">
        <v>#N/A</v>
      </c>
    </row>
    <row r="3399" spans="14:18" x14ac:dyDescent="0.2">
      <c r="N3399" s="139" t="str">
        <f t="shared" si="59"/>
        <v>1w</v>
      </c>
      <c r="O3399" s="146">
        <f>_xll.qlCalendarAdvance(Calendar,O3398,N3399,"f",FALSE)</f>
        <v>63030</v>
      </c>
      <c r="P3399" s="140">
        <f>_xll.qlInterestRateIndexValueDate(IborIndex,O3399)</f>
        <v>63032</v>
      </c>
      <c r="Q3399" s="141" t="e">
        <v>#N/A</v>
      </c>
      <c r="R3399" s="143" t="e">
        <v>#N/A</v>
      </c>
    </row>
    <row r="3400" spans="14:18" x14ac:dyDescent="0.2">
      <c r="N3400" s="139" t="str">
        <f t="shared" si="59"/>
        <v>1w</v>
      </c>
      <c r="O3400" s="146">
        <f>_xll.qlCalendarAdvance(Calendar,O3399,N3400,"f",FALSE)</f>
        <v>63037</v>
      </c>
      <c r="P3400" s="140">
        <f>_xll.qlInterestRateIndexValueDate(IborIndex,O3400)</f>
        <v>63039</v>
      </c>
      <c r="Q3400" s="141" t="e">
        <v>#N/A</v>
      </c>
      <c r="R3400" s="143" t="e">
        <v>#N/A</v>
      </c>
    </row>
    <row r="3401" spans="14:18" x14ac:dyDescent="0.2">
      <c r="N3401" s="139" t="str">
        <f t="shared" si="59"/>
        <v>1w</v>
      </c>
      <c r="O3401" s="146">
        <f>_xll.qlCalendarAdvance(Calendar,O3400,N3401,"f",FALSE)</f>
        <v>63044</v>
      </c>
      <c r="P3401" s="140">
        <f>_xll.qlInterestRateIndexValueDate(IborIndex,O3401)</f>
        <v>63046</v>
      </c>
      <c r="Q3401" s="141" t="e">
        <v>#N/A</v>
      </c>
      <c r="R3401" s="143" t="e">
        <v>#N/A</v>
      </c>
    </row>
    <row r="3402" spans="14:18" x14ac:dyDescent="0.2">
      <c r="N3402" s="139" t="str">
        <f t="shared" si="59"/>
        <v>1w</v>
      </c>
      <c r="O3402" s="146">
        <f>_xll.qlCalendarAdvance(Calendar,O3401,N3402,"f",FALSE)</f>
        <v>63051</v>
      </c>
      <c r="P3402" s="140">
        <f>_xll.qlInterestRateIndexValueDate(IborIndex,O3402)</f>
        <v>63053</v>
      </c>
      <c r="Q3402" s="141" t="e">
        <v>#N/A</v>
      </c>
      <c r="R3402" s="143" t="e">
        <v>#N/A</v>
      </c>
    </row>
    <row r="3403" spans="14:18" x14ac:dyDescent="0.2">
      <c r="N3403" s="139" t="str">
        <f t="shared" si="59"/>
        <v>1w</v>
      </c>
      <c r="O3403" s="146">
        <f>_xll.qlCalendarAdvance(Calendar,O3402,N3403,"f",FALSE)</f>
        <v>63058</v>
      </c>
      <c r="P3403" s="140">
        <f>_xll.qlInterestRateIndexValueDate(IborIndex,O3403)</f>
        <v>63060</v>
      </c>
      <c r="Q3403" s="141" t="e">
        <v>#N/A</v>
      </c>
      <c r="R3403" s="143" t="e">
        <v>#N/A</v>
      </c>
    </row>
    <row r="3404" spans="14:18" x14ac:dyDescent="0.2">
      <c r="N3404" s="139" t="str">
        <f t="shared" si="59"/>
        <v>1w</v>
      </c>
      <c r="O3404" s="146">
        <f>_xll.qlCalendarAdvance(Calendar,O3403,N3404,"f",FALSE)</f>
        <v>63065</v>
      </c>
      <c r="P3404" s="140">
        <f>_xll.qlInterestRateIndexValueDate(IborIndex,O3404)</f>
        <v>63067</v>
      </c>
      <c r="Q3404" s="141" t="e">
        <v>#N/A</v>
      </c>
      <c r="R3404" s="143" t="e">
        <v>#N/A</v>
      </c>
    </row>
    <row r="3405" spans="14:18" x14ac:dyDescent="0.2">
      <c r="N3405" s="139" t="str">
        <f t="shared" si="59"/>
        <v>1w</v>
      </c>
      <c r="O3405" s="146">
        <f>_xll.qlCalendarAdvance(Calendar,O3404,N3405,"f",FALSE)</f>
        <v>63072</v>
      </c>
      <c r="P3405" s="140">
        <f>_xll.qlInterestRateIndexValueDate(IborIndex,O3405)</f>
        <v>63074</v>
      </c>
      <c r="Q3405" s="141" t="e">
        <v>#N/A</v>
      </c>
      <c r="R3405" s="143" t="e">
        <v>#N/A</v>
      </c>
    </row>
    <row r="3406" spans="14:18" x14ac:dyDescent="0.2">
      <c r="N3406" s="139" t="str">
        <f t="shared" si="59"/>
        <v>1w</v>
      </c>
      <c r="O3406" s="146">
        <f>_xll.qlCalendarAdvance(Calendar,O3405,N3406,"f",FALSE)</f>
        <v>63079</v>
      </c>
      <c r="P3406" s="140">
        <f>_xll.qlInterestRateIndexValueDate(IborIndex,O3406)</f>
        <v>63081</v>
      </c>
      <c r="Q3406" s="141" t="e">
        <v>#N/A</v>
      </c>
      <c r="R3406" s="143" t="e">
        <v>#N/A</v>
      </c>
    </row>
    <row r="3407" spans="14:18" x14ac:dyDescent="0.2">
      <c r="N3407" s="139" t="str">
        <f t="shared" si="59"/>
        <v>1w</v>
      </c>
      <c r="O3407" s="146">
        <f>_xll.qlCalendarAdvance(Calendar,O3406,N3407,"f",FALSE)</f>
        <v>63086</v>
      </c>
      <c r="P3407" s="140">
        <f>_xll.qlInterestRateIndexValueDate(IborIndex,O3407)</f>
        <v>63088</v>
      </c>
      <c r="Q3407" s="141" t="e">
        <v>#N/A</v>
      </c>
      <c r="R3407" s="143" t="e">
        <v>#N/A</v>
      </c>
    </row>
    <row r="3408" spans="14:18" x14ac:dyDescent="0.2">
      <c r="N3408" s="139" t="str">
        <f t="shared" si="59"/>
        <v>1w</v>
      </c>
      <c r="O3408" s="146">
        <f>_xll.qlCalendarAdvance(Calendar,O3407,N3408,"f",FALSE)</f>
        <v>63093</v>
      </c>
      <c r="P3408" s="140">
        <f>_xll.qlInterestRateIndexValueDate(IborIndex,O3408)</f>
        <v>63095</v>
      </c>
      <c r="Q3408" s="141" t="e">
        <v>#N/A</v>
      </c>
      <c r="R3408" s="143" t="e">
        <v>#N/A</v>
      </c>
    </row>
    <row r="3409" spans="14:18" x14ac:dyDescent="0.2">
      <c r="N3409" s="139" t="str">
        <f t="shared" si="59"/>
        <v>1w</v>
      </c>
      <c r="O3409" s="146">
        <f>_xll.qlCalendarAdvance(Calendar,O3408,N3409,"f",FALSE)</f>
        <v>63100</v>
      </c>
      <c r="P3409" s="140">
        <f>_xll.qlInterestRateIndexValueDate(IborIndex,O3409)</f>
        <v>63102</v>
      </c>
      <c r="Q3409" s="141" t="e">
        <v>#N/A</v>
      </c>
      <c r="R3409" s="143" t="e">
        <v>#N/A</v>
      </c>
    </row>
    <row r="3410" spans="14:18" x14ac:dyDescent="0.2">
      <c r="N3410" s="139" t="str">
        <f t="shared" si="59"/>
        <v>1w</v>
      </c>
      <c r="O3410" s="146">
        <f>_xll.qlCalendarAdvance(Calendar,O3409,N3410,"f",FALSE)</f>
        <v>63107</v>
      </c>
      <c r="P3410" s="140">
        <f>_xll.qlInterestRateIndexValueDate(IborIndex,O3410)</f>
        <v>63109</v>
      </c>
      <c r="Q3410" s="141" t="e">
        <v>#N/A</v>
      </c>
      <c r="R3410" s="143" t="e">
        <v>#N/A</v>
      </c>
    </row>
    <row r="3411" spans="14:18" x14ac:dyDescent="0.2">
      <c r="N3411" s="139" t="str">
        <f t="shared" si="59"/>
        <v>1w</v>
      </c>
      <c r="O3411" s="146">
        <f>_xll.qlCalendarAdvance(Calendar,O3410,N3411,"f",FALSE)</f>
        <v>63114</v>
      </c>
      <c r="P3411" s="140">
        <f>_xll.qlInterestRateIndexValueDate(IborIndex,O3411)</f>
        <v>63116</v>
      </c>
      <c r="Q3411" s="141" t="e">
        <v>#N/A</v>
      </c>
      <c r="R3411" s="143" t="e">
        <v>#N/A</v>
      </c>
    </row>
    <row r="3412" spans="14:18" x14ac:dyDescent="0.2">
      <c r="N3412" s="139" t="str">
        <f t="shared" si="59"/>
        <v>1w</v>
      </c>
      <c r="O3412" s="146">
        <f>_xll.qlCalendarAdvance(Calendar,O3411,N3412,"f",FALSE)</f>
        <v>63121</v>
      </c>
      <c r="P3412" s="140">
        <f>_xll.qlInterestRateIndexValueDate(IborIndex,O3412)</f>
        <v>63123</v>
      </c>
      <c r="Q3412" s="141" t="e">
        <v>#N/A</v>
      </c>
      <c r="R3412" s="143" t="e">
        <v>#N/A</v>
      </c>
    </row>
    <row r="3413" spans="14:18" x14ac:dyDescent="0.2">
      <c r="N3413" s="139" t="str">
        <f t="shared" ref="N3413:N3476" si="60">N3412</f>
        <v>1w</v>
      </c>
      <c r="O3413" s="146">
        <f>_xll.qlCalendarAdvance(Calendar,O3412,N3413,"f",FALSE)</f>
        <v>63128</v>
      </c>
      <c r="P3413" s="140">
        <f>_xll.qlInterestRateIndexValueDate(IborIndex,O3413)</f>
        <v>63130</v>
      </c>
      <c r="Q3413" s="141" t="e">
        <v>#N/A</v>
      </c>
      <c r="R3413" s="143" t="e">
        <v>#N/A</v>
      </c>
    </row>
    <row r="3414" spans="14:18" x14ac:dyDescent="0.2">
      <c r="N3414" s="139" t="str">
        <f t="shared" si="60"/>
        <v>1w</v>
      </c>
      <c r="O3414" s="146">
        <f>_xll.qlCalendarAdvance(Calendar,O3413,N3414,"f",FALSE)</f>
        <v>63135</v>
      </c>
      <c r="P3414" s="140">
        <f>_xll.qlInterestRateIndexValueDate(IborIndex,O3414)</f>
        <v>63137</v>
      </c>
      <c r="Q3414" s="141" t="e">
        <v>#N/A</v>
      </c>
      <c r="R3414" s="143" t="e">
        <v>#N/A</v>
      </c>
    </row>
    <row r="3415" spans="14:18" x14ac:dyDescent="0.2">
      <c r="N3415" s="139" t="str">
        <f t="shared" si="60"/>
        <v>1w</v>
      </c>
      <c r="O3415" s="146">
        <f>_xll.qlCalendarAdvance(Calendar,O3414,N3415,"f",FALSE)</f>
        <v>63142</v>
      </c>
      <c r="P3415" s="140">
        <f>_xll.qlInterestRateIndexValueDate(IborIndex,O3415)</f>
        <v>63144</v>
      </c>
      <c r="Q3415" s="141" t="e">
        <v>#N/A</v>
      </c>
      <c r="R3415" s="143" t="e">
        <v>#N/A</v>
      </c>
    </row>
    <row r="3416" spans="14:18" x14ac:dyDescent="0.2">
      <c r="N3416" s="139" t="str">
        <f t="shared" si="60"/>
        <v>1w</v>
      </c>
      <c r="O3416" s="146">
        <f>_xll.qlCalendarAdvance(Calendar,O3415,N3416,"f",FALSE)</f>
        <v>63149</v>
      </c>
      <c r="P3416" s="140">
        <f>_xll.qlInterestRateIndexValueDate(IborIndex,O3416)</f>
        <v>63151</v>
      </c>
      <c r="Q3416" s="141" t="e">
        <v>#N/A</v>
      </c>
      <c r="R3416" s="143" t="e">
        <v>#N/A</v>
      </c>
    </row>
    <row r="3417" spans="14:18" x14ac:dyDescent="0.2">
      <c r="N3417" s="139" t="str">
        <f t="shared" si="60"/>
        <v>1w</v>
      </c>
      <c r="O3417" s="146">
        <f>_xll.qlCalendarAdvance(Calendar,O3416,N3417,"f",FALSE)</f>
        <v>63156</v>
      </c>
      <c r="P3417" s="140">
        <f>_xll.qlInterestRateIndexValueDate(IborIndex,O3417)</f>
        <v>63158</v>
      </c>
      <c r="Q3417" s="141" t="e">
        <v>#N/A</v>
      </c>
      <c r="R3417" s="143" t="e">
        <v>#N/A</v>
      </c>
    </row>
    <row r="3418" spans="14:18" x14ac:dyDescent="0.2">
      <c r="N3418" s="139" t="str">
        <f t="shared" si="60"/>
        <v>1w</v>
      </c>
      <c r="O3418" s="146">
        <f>_xll.qlCalendarAdvance(Calendar,O3417,N3418,"f",FALSE)</f>
        <v>63163</v>
      </c>
      <c r="P3418" s="140">
        <f>_xll.qlInterestRateIndexValueDate(IborIndex,O3418)</f>
        <v>63165</v>
      </c>
      <c r="Q3418" s="141" t="e">
        <v>#N/A</v>
      </c>
      <c r="R3418" s="143" t="e">
        <v>#N/A</v>
      </c>
    </row>
    <row r="3419" spans="14:18" x14ac:dyDescent="0.2">
      <c r="N3419" s="139" t="str">
        <f t="shared" si="60"/>
        <v>1w</v>
      </c>
      <c r="O3419" s="146">
        <f>_xll.qlCalendarAdvance(Calendar,O3418,N3419,"f",FALSE)</f>
        <v>63170</v>
      </c>
      <c r="P3419" s="140">
        <f>_xll.qlInterestRateIndexValueDate(IborIndex,O3419)</f>
        <v>63172</v>
      </c>
      <c r="Q3419" s="141" t="e">
        <v>#N/A</v>
      </c>
      <c r="R3419" s="143" t="e">
        <v>#N/A</v>
      </c>
    </row>
    <row r="3420" spans="14:18" x14ac:dyDescent="0.2">
      <c r="N3420" s="139" t="str">
        <f t="shared" si="60"/>
        <v>1w</v>
      </c>
      <c r="O3420" s="146">
        <f>_xll.qlCalendarAdvance(Calendar,O3419,N3420,"f",FALSE)</f>
        <v>63177</v>
      </c>
      <c r="P3420" s="140">
        <f>_xll.qlInterestRateIndexValueDate(IborIndex,O3420)</f>
        <v>63179</v>
      </c>
      <c r="Q3420" s="141" t="e">
        <v>#N/A</v>
      </c>
      <c r="R3420" s="143" t="e">
        <v>#N/A</v>
      </c>
    </row>
    <row r="3421" spans="14:18" x14ac:dyDescent="0.2">
      <c r="N3421" s="139" t="str">
        <f t="shared" si="60"/>
        <v>1w</v>
      </c>
      <c r="O3421" s="146">
        <f>_xll.qlCalendarAdvance(Calendar,O3420,N3421,"f",FALSE)</f>
        <v>63185</v>
      </c>
      <c r="P3421" s="140">
        <f>_xll.qlInterestRateIndexValueDate(IborIndex,O3421)</f>
        <v>63187</v>
      </c>
      <c r="Q3421" s="141" t="e">
        <v>#N/A</v>
      </c>
      <c r="R3421" s="143" t="e">
        <v>#N/A</v>
      </c>
    </row>
    <row r="3422" spans="14:18" x14ac:dyDescent="0.2">
      <c r="N3422" s="139" t="str">
        <f t="shared" si="60"/>
        <v>1w</v>
      </c>
      <c r="O3422" s="146">
        <f>_xll.qlCalendarAdvance(Calendar,O3421,N3422,"f",FALSE)</f>
        <v>63192</v>
      </c>
      <c r="P3422" s="140">
        <f>_xll.qlInterestRateIndexValueDate(IborIndex,O3422)</f>
        <v>63194</v>
      </c>
      <c r="Q3422" s="141" t="e">
        <v>#N/A</v>
      </c>
      <c r="R3422" s="143" t="e">
        <v>#N/A</v>
      </c>
    </row>
    <row r="3423" spans="14:18" x14ac:dyDescent="0.2">
      <c r="N3423" s="139" t="str">
        <f t="shared" si="60"/>
        <v>1w</v>
      </c>
      <c r="O3423" s="146">
        <f>_xll.qlCalendarAdvance(Calendar,O3422,N3423,"f",FALSE)</f>
        <v>63199</v>
      </c>
      <c r="P3423" s="140">
        <f>_xll.qlInterestRateIndexValueDate(IborIndex,O3423)</f>
        <v>63201</v>
      </c>
      <c r="Q3423" s="141" t="e">
        <v>#N/A</v>
      </c>
      <c r="R3423" s="143" t="e">
        <v>#N/A</v>
      </c>
    </row>
    <row r="3424" spans="14:18" x14ac:dyDescent="0.2">
      <c r="N3424" s="139" t="str">
        <f t="shared" si="60"/>
        <v>1w</v>
      </c>
      <c r="O3424" s="146">
        <f>_xll.qlCalendarAdvance(Calendar,O3423,N3424,"f",FALSE)</f>
        <v>63206</v>
      </c>
      <c r="P3424" s="140">
        <f>_xll.qlInterestRateIndexValueDate(IborIndex,O3424)</f>
        <v>63208</v>
      </c>
      <c r="Q3424" s="141" t="e">
        <v>#N/A</v>
      </c>
      <c r="R3424" s="143" t="e">
        <v>#N/A</v>
      </c>
    </row>
    <row r="3425" spans="14:18" x14ac:dyDescent="0.2">
      <c r="N3425" s="139" t="str">
        <f t="shared" si="60"/>
        <v>1w</v>
      </c>
      <c r="O3425" s="146">
        <f>_xll.qlCalendarAdvance(Calendar,O3424,N3425,"f",FALSE)</f>
        <v>63213</v>
      </c>
      <c r="P3425" s="140">
        <f>_xll.qlInterestRateIndexValueDate(IborIndex,O3425)</f>
        <v>63215</v>
      </c>
      <c r="Q3425" s="141" t="e">
        <v>#N/A</v>
      </c>
      <c r="R3425" s="143" t="e">
        <v>#N/A</v>
      </c>
    </row>
    <row r="3426" spans="14:18" x14ac:dyDescent="0.2">
      <c r="N3426" s="139" t="str">
        <f t="shared" si="60"/>
        <v>1w</v>
      </c>
      <c r="O3426" s="146">
        <f>_xll.qlCalendarAdvance(Calendar,O3425,N3426,"f",FALSE)</f>
        <v>63220</v>
      </c>
      <c r="P3426" s="140">
        <f>_xll.qlInterestRateIndexValueDate(IborIndex,O3426)</f>
        <v>63222</v>
      </c>
      <c r="Q3426" s="141" t="e">
        <v>#N/A</v>
      </c>
      <c r="R3426" s="143" t="e">
        <v>#N/A</v>
      </c>
    </row>
    <row r="3427" spans="14:18" x14ac:dyDescent="0.2">
      <c r="N3427" s="139" t="str">
        <f t="shared" si="60"/>
        <v>1w</v>
      </c>
      <c r="O3427" s="146">
        <f>_xll.qlCalendarAdvance(Calendar,O3426,N3427,"f",FALSE)</f>
        <v>63227</v>
      </c>
      <c r="P3427" s="140">
        <f>_xll.qlInterestRateIndexValueDate(IborIndex,O3427)</f>
        <v>63229</v>
      </c>
      <c r="Q3427" s="141" t="e">
        <v>#N/A</v>
      </c>
      <c r="R3427" s="143" t="e">
        <v>#N/A</v>
      </c>
    </row>
    <row r="3428" spans="14:18" x14ac:dyDescent="0.2">
      <c r="N3428" s="139" t="str">
        <f t="shared" si="60"/>
        <v>1w</v>
      </c>
      <c r="O3428" s="146">
        <f>_xll.qlCalendarAdvance(Calendar,O3427,N3428,"f",FALSE)</f>
        <v>63234</v>
      </c>
      <c r="P3428" s="140">
        <f>_xll.qlInterestRateIndexValueDate(IborIndex,O3428)</f>
        <v>63236</v>
      </c>
      <c r="Q3428" s="141" t="e">
        <v>#N/A</v>
      </c>
      <c r="R3428" s="143" t="e">
        <v>#N/A</v>
      </c>
    </row>
    <row r="3429" spans="14:18" x14ac:dyDescent="0.2">
      <c r="N3429" s="139" t="str">
        <f t="shared" si="60"/>
        <v>1w</v>
      </c>
      <c r="O3429" s="146">
        <f>_xll.qlCalendarAdvance(Calendar,O3428,N3429,"f",FALSE)</f>
        <v>63241</v>
      </c>
      <c r="P3429" s="140">
        <f>_xll.qlInterestRateIndexValueDate(IborIndex,O3429)</f>
        <v>63243</v>
      </c>
      <c r="Q3429" s="141" t="e">
        <v>#N/A</v>
      </c>
      <c r="R3429" s="143" t="e">
        <v>#N/A</v>
      </c>
    </row>
    <row r="3430" spans="14:18" x14ac:dyDescent="0.2">
      <c r="N3430" s="139" t="str">
        <f t="shared" si="60"/>
        <v>1w</v>
      </c>
      <c r="O3430" s="146">
        <f>_xll.qlCalendarAdvance(Calendar,O3429,N3430,"f",FALSE)</f>
        <v>63248</v>
      </c>
      <c r="P3430" s="140">
        <f>_xll.qlInterestRateIndexValueDate(IborIndex,O3430)</f>
        <v>63250</v>
      </c>
      <c r="Q3430" s="141" t="e">
        <v>#N/A</v>
      </c>
      <c r="R3430" s="143" t="e">
        <v>#N/A</v>
      </c>
    </row>
    <row r="3431" spans="14:18" x14ac:dyDescent="0.2">
      <c r="N3431" s="139" t="str">
        <f t="shared" si="60"/>
        <v>1w</v>
      </c>
      <c r="O3431" s="146">
        <f>_xll.qlCalendarAdvance(Calendar,O3430,N3431,"f",FALSE)</f>
        <v>63255</v>
      </c>
      <c r="P3431" s="140">
        <f>_xll.qlInterestRateIndexValueDate(IborIndex,O3431)</f>
        <v>63257</v>
      </c>
      <c r="Q3431" s="141" t="e">
        <v>#N/A</v>
      </c>
      <c r="R3431" s="143" t="e">
        <v>#N/A</v>
      </c>
    </row>
    <row r="3432" spans="14:18" x14ac:dyDescent="0.2">
      <c r="N3432" s="139" t="str">
        <f t="shared" si="60"/>
        <v>1w</v>
      </c>
      <c r="O3432" s="146">
        <f>_xll.qlCalendarAdvance(Calendar,O3431,N3432,"f",FALSE)</f>
        <v>63262</v>
      </c>
      <c r="P3432" s="140">
        <f>_xll.qlInterestRateIndexValueDate(IborIndex,O3432)</f>
        <v>63264</v>
      </c>
      <c r="Q3432" s="141" t="e">
        <v>#N/A</v>
      </c>
      <c r="R3432" s="143" t="e">
        <v>#N/A</v>
      </c>
    </row>
    <row r="3433" spans="14:18" x14ac:dyDescent="0.2">
      <c r="N3433" s="139" t="str">
        <f t="shared" si="60"/>
        <v>1w</v>
      </c>
      <c r="O3433" s="146">
        <f>_xll.qlCalendarAdvance(Calendar,O3432,N3433,"f",FALSE)</f>
        <v>63269</v>
      </c>
      <c r="P3433" s="140">
        <f>_xll.qlInterestRateIndexValueDate(IborIndex,O3433)</f>
        <v>63271</v>
      </c>
      <c r="Q3433" s="141" t="e">
        <v>#N/A</v>
      </c>
      <c r="R3433" s="143" t="e">
        <v>#N/A</v>
      </c>
    </row>
    <row r="3434" spans="14:18" x14ac:dyDescent="0.2">
      <c r="N3434" s="139" t="str">
        <f t="shared" si="60"/>
        <v>1w</v>
      </c>
      <c r="O3434" s="146">
        <f>_xll.qlCalendarAdvance(Calendar,O3433,N3434,"f",FALSE)</f>
        <v>63276</v>
      </c>
      <c r="P3434" s="140">
        <f>_xll.qlInterestRateIndexValueDate(IborIndex,O3434)</f>
        <v>63278</v>
      </c>
      <c r="Q3434" s="141" t="e">
        <v>#N/A</v>
      </c>
      <c r="R3434" s="143" t="e">
        <v>#N/A</v>
      </c>
    </row>
    <row r="3435" spans="14:18" x14ac:dyDescent="0.2">
      <c r="N3435" s="139" t="str">
        <f t="shared" si="60"/>
        <v>1w</v>
      </c>
      <c r="O3435" s="146">
        <f>_xll.qlCalendarAdvance(Calendar,O3434,N3435,"f",FALSE)</f>
        <v>63283</v>
      </c>
      <c r="P3435" s="140">
        <f>_xll.qlInterestRateIndexValueDate(IborIndex,O3435)</f>
        <v>63285</v>
      </c>
      <c r="Q3435" s="141" t="e">
        <v>#N/A</v>
      </c>
      <c r="R3435" s="143" t="e">
        <v>#N/A</v>
      </c>
    </row>
    <row r="3436" spans="14:18" x14ac:dyDescent="0.2">
      <c r="N3436" s="139" t="str">
        <f t="shared" si="60"/>
        <v>1w</v>
      </c>
      <c r="O3436" s="146">
        <f>_xll.qlCalendarAdvance(Calendar,O3435,N3436,"f",FALSE)</f>
        <v>63290</v>
      </c>
      <c r="P3436" s="140">
        <f>_xll.qlInterestRateIndexValueDate(IborIndex,O3436)</f>
        <v>63292</v>
      </c>
      <c r="Q3436" s="141" t="e">
        <v>#N/A</v>
      </c>
      <c r="R3436" s="143" t="e">
        <v>#N/A</v>
      </c>
    </row>
    <row r="3437" spans="14:18" x14ac:dyDescent="0.2">
      <c r="N3437" s="139" t="str">
        <f t="shared" si="60"/>
        <v>1w</v>
      </c>
      <c r="O3437" s="146">
        <f>_xll.qlCalendarAdvance(Calendar,O3436,N3437,"f",FALSE)</f>
        <v>63297</v>
      </c>
      <c r="P3437" s="140">
        <f>_xll.qlInterestRateIndexValueDate(IborIndex,O3437)</f>
        <v>63299</v>
      </c>
      <c r="Q3437" s="141" t="e">
        <v>#N/A</v>
      </c>
      <c r="R3437" s="143" t="e">
        <v>#N/A</v>
      </c>
    </row>
    <row r="3438" spans="14:18" x14ac:dyDescent="0.2">
      <c r="N3438" s="139" t="str">
        <f t="shared" si="60"/>
        <v>1w</v>
      </c>
      <c r="O3438" s="146">
        <f>_xll.qlCalendarAdvance(Calendar,O3437,N3438,"f",FALSE)</f>
        <v>63304</v>
      </c>
      <c r="P3438" s="140">
        <f>_xll.qlInterestRateIndexValueDate(IborIndex,O3438)</f>
        <v>63306</v>
      </c>
      <c r="Q3438" s="141" t="e">
        <v>#N/A</v>
      </c>
      <c r="R3438" s="143" t="e">
        <v>#N/A</v>
      </c>
    </row>
    <row r="3439" spans="14:18" x14ac:dyDescent="0.2">
      <c r="N3439" s="139" t="str">
        <f t="shared" si="60"/>
        <v>1w</v>
      </c>
      <c r="O3439" s="146">
        <f>_xll.qlCalendarAdvance(Calendar,O3438,N3439,"f",FALSE)</f>
        <v>63311</v>
      </c>
      <c r="P3439" s="140">
        <f>_xll.qlInterestRateIndexValueDate(IborIndex,O3439)</f>
        <v>63314</v>
      </c>
      <c r="Q3439" s="141" t="e">
        <v>#N/A</v>
      </c>
      <c r="R3439" s="143" t="e">
        <v>#N/A</v>
      </c>
    </row>
    <row r="3440" spans="14:18" x14ac:dyDescent="0.2">
      <c r="N3440" s="139" t="str">
        <f t="shared" si="60"/>
        <v>1w</v>
      </c>
      <c r="O3440" s="146">
        <f>_xll.qlCalendarAdvance(Calendar,O3439,N3440,"f",FALSE)</f>
        <v>63318</v>
      </c>
      <c r="P3440" s="140">
        <f>_xll.qlInterestRateIndexValueDate(IborIndex,O3440)</f>
        <v>63320</v>
      </c>
      <c r="Q3440" s="141" t="e">
        <v>#N/A</v>
      </c>
      <c r="R3440" s="143" t="e">
        <v>#N/A</v>
      </c>
    </row>
    <row r="3441" spans="14:18" x14ac:dyDescent="0.2">
      <c r="N3441" s="139" t="str">
        <f t="shared" si="60"/>
        <v>1w</v>
      </c>
      <c r="O3441" s="146">
        <f>_xll.qlCalendarAdvance(Calendar,O3440,N3441,"f",FALSE)</f>
        <v>63325</v>
      </c>
      <c r="P3441" s="140">
        <f>_xll.qlInterestRateIndexValueDate(IborIndex,O3441)</f>
        <v>63327</v>
      </c>
      <c r="Q3441" s="141" t="e">
        <v>#N/A</v>
      </c>
      <c r="R3441" s="143" t="e">
        <v>#N/A</v>
      </c>
    </row>
    <row r="3442" spans="14:18" x14ac:dyDescent="0.2">
      <c r="N3442" s="139" t="str">
        <f t="shared" si="60"/>
        <v>1w</v>
      </c>
      <c r="O3442" s="146">
        <f>_xll.qlCalendarAdvance(Calendar,O3441,N3442,"f",FALSE)</f>
        <v>63332</v>
      </c>
      <c r="P3442" s="140">
        <f>_xll.qlInterestRateIndexValueDate(IborIndex,O3442)</f>
        <v>63334</v>
      </c>
      <c r="Q3442" s="141" t="e">
        <v>#N/A</v>
      </c>
      <c r="R3442" s="143" t="e">
        <v>#N/A</v>
      </c>
    </row>
    <row r="3443" spans="14:18" x14ac:dyDescent="0.2">
      <c r="N3443" s="139" t="str">
        <f t="shared" si="60"/>
        <v>1w</v>
      </c>
      <c r="O3443" s="146">
        <f>_xll.qlCalendarAdvance(Calendar,O3442,N3443,"f",FALSE)</f>
        <v>63339</v>
      </c>
      <c r="P3443" s="140">
        <f>_xll.qlInterestRateIndexValueDate(IborIndex,O3443)</f>
        <v>63341</v>
      </c>
      <c r="Q3443" s="141" t="e">
        <v>#N/A</v>
      </c>
      <c r="R3443" s="143" t="e">
        <v>#N/A</v>
      </c>
    </row>
    <row r="3444" spans="14:18" x14ac:dyDescent="0.2">
      <c r="N3444" s="139" t="str">
        <f t="shared" si="60"/>
        <v>1w</v>
      </c>
      <c r="O3444" s="146">
        <f>_xll.qlCalendarAdvance(Calendar,O3443,N3444,"f",FALSE)</f>
        <v>63346</v>
      </c>
      <c r="P3444" s="140">
        <f>_xll.qlInterestRateIndexValueDate(IborIndex,O3444)</f>
        <v>63348</v>
      </c>
      <c r="Q3444" s="141" t="e">
        <v>#N/A</v>
      </c>
      <c r="R3444" s="143" t="e">
        <v>#N/A</v>
      </c>
    </row>
    <row r="3445" spans="14:18" x14ac:dyDescent="0.2">
      <c r="N3445" s="139" t="str">
        <f t="shared" si="60"/>
        <v>1w</v>
      </c>
      <c r="O3445" s="146">
        <f>_xll.qlCalendarAdvance(Calendar,O3444,N3445,"f",FALSE)</f>
        <v>63353</v>
      </c>
      <c r="P3445" s="140">
        <f>_xll.qlInterestRateIndexValueDate(IborIndex,O3445)</f>
        <v>63355</v>
      </c>
      <c r="Q3445" s="141" t="e">
        <v>#N/A</v>
      </c>
      <c r="R3445" s="143" t="e">
        <v>#N/A</v>
      </c>
    </row>
    <row r="3446" spans="14:18" x14ac:dyDescent="0.2">
      <c r="N3446" s="139" t="str">
        <f t="shared" si="60"/>
        <v>1w</v>
      </c>
      <c r="O3446" s="146">
        <f>_xll.qlCalendarAdvance(Calendar,O3445,N3446,"f",FALSE)</f>
        <v>63360</v>
      </c>
      <c r="P3446" s="140">
        <f>_xll.qlInterestRateIndexValueDate(IborIndex,O3446)</f>
        <v>63362</v>
      </c>
      <c r="Q3446" s="141" t="e">
        <v>#N/A</v>
      </c>
      <c r="R3446" s="143" t="e">
        <v>#N/A</v>
      </c>
    </row>
    <row r="3447" spans="14:18" x14ac:dyDescent="0.2">
      <c r="N3447" s="139" t="str">
        <f t="shared" si="60"/>
        <v>1w</v>
      </c>
      <c r="O3447" s="146">
        <f>_xll.qlCalendarAdvance(Calendar,O3446,N3447,"f",FALSE)</f>
        <v>63367</v>
      </c>
      <c r="P3447" s="140">
        <f>_xll.qlInterestRateIndexValueDate(IborIndex,O3447)</f>
        <v>63369</v>
      </c>
      <c r="Q3447" s="141" t="e">
        <v>#N/A</v>
      </c>
      <c r="R3447" s="143" t="e">
        <v>#N/A</v>
      </c>
    </row>
    <row r="3448" spans="14:18" x14ac:dyDescent="0.2">
      <c r="N3448" s="139" t="str">
        <f t="shared" si="60"/>
        <v>1w</v>
      </c>
      <c r="O3448" s="146">
        <f>_xll.qlCalendarAdvance(Calendar,O3447,N3448,"f",FALSE)</f>
        <v>63374</v>
      </c>
      <c r="P3448" s="140">
        <f>_xll.qlInterestRateIndexValueDate(IborIndex,O3448)</f>
        <v>63376</v>
      </c>
      <c r="Q3448" s="141" t="e">
        <v>#N/A</v>
      </c>
      <c r="R3448" s="143" t="e">
        <v>#N/A</v>
      </c>
    </row>
    <row r="3449" spans="14:18" x14ac:dyDescent="0.2">
      <c r="N3449" s="139" t="str">
        <f t="shared" si="60"/>
        <v>1w</v>
      </c>
      <c r="O3449" s="146">
        <f>_xll.qlCalendarAdvance(Calendar,O3448,N3449,"f",FALSE)</f>
        <v>63381</v>
      </c>
      <c r="P3449" s="140">
        <f>_xll.qlInterestRateIndexValueDate(IborIndex,O3449)</f>
        <v>63383</v>
      </c>
      <c r="Q3449" s="141" t="e">
        <v>#N/A</v>
      </c>
      <c r="R3449" s="143" t="e">
        <v>#N/A</v>
      </c>
    </row>
    <row r="3450" spans="14:18" x14ac:dyDescent="0.2">
      <c r="N3450" s="139" t="str">
        <f t="shared" si="60"/>
        <v>1w</v>
      </c>
      <c r="O3450" s="146">
        <f>_xll.qlCalendarAdvance(Calendar,O3449,N3450,"f",FALSE)</f>
        <v>63388</v>
      </c>
      <c r="P3450" s="140">
        <f>_xll.qlInterestRateIndexValueDate(IborIndex,O3450)</f>
        <v>63390</v>
      </c>
      <c r="Q3450" s="141" t="e">
        <v>#N/A</v>
      </c>
      <c r="R3450" s="143" t="e">
        <v>#N/A</v>
      </c>
    </row>
    <row r="3451" spans="14:18" x14ac:dyDescent="0.2">
      <c r="N3451" s="139" t="str">
        <f t="shared" si="60"/>
        <v>1w</v>
      </c>
      <c r="O3451" s="146">
        <f>_xll.qlCalendarAdvance(Calendar,O3450,N3451,"f",FALSE)</f>
        <v>63395</v>
      </c>
      <c r="P3451" s="140">
        <f>_xll.qlInterestRateIndexValueDate(IborIndex,O3451)</f>
        <v>63397</v>
      </c>
      <c r="Q3451" s="141" t="e">
        <v>#N/A</v>
      </c>
      <c r="R3451" s="143" t="e">
        <v>#N/A</v>
      </c>
    </row>
    <row r="3452" spans="14:18" x14ac:dyDescent="0.2">
      <c r="N3452" s="139" t="str">
        <f t="shared" si="60"/>
        <v>1w</v>
      </c>
      <c r="O3452" s="146">
        <f>_xll.qlCalendarAdvance(Calendar,O3451,N3452,"f",FALSE)</f>
        <v>63402</v>
      </c>
      <c r="P3452" s="140">
        <f>_xll.qlInterestRateIndexValueDate(IborIndex,O3452)</f>
        <v>63404</v>
      </c>
      <c r="Q3452" s="141" t="e">
        <v>#N/A</v>
      </c>
      <c r="R3452" s="143" t="e">
        <v>#N/A</v>
      </c>
    </row>
    <row r="3453" spans="14:18" x14ac:dyDescent="0.2">
      <c r="N3453" s="139" t="str">
        <f t="shared" si="60"/>
        <v>1w</v>
      </c>
      <c r="O3453" s="146">
        <f>_xll.qlCalendarAdvance(Calendar,O3452,N3453,"f",FALSE)</f>
        <v>63409</v>
      </c>
      <c r="P3453" s="140">
        <f>_xll.qlInterestRateIndexValueDate(IborIndex,O3453)</f>
        <v>63411</v>
      </c>
      <c r="Q3453" s="141" t="e">
        <v>#N/A</v>
      </c>
      <c r="R3453" s="143" t="e">
        <v>#N/A</v>
      </c>
    </row>
    <row r="3454" spans="14:18" x14ac:dyDescent="0.2">
      <c r="N3454" s="139" t="str">
        <f t="shared" si="60"/>
        <v>1w</v>
      </c>
      <c r="O3454" s="146">
        <f>_xll.qlCalendarAdvance(Calendar,O3453,N3454,"f",FALSE)</f>
        <v>63416</v>
      </c>
      <c r="P3454" s="140">
        <f>_xll.qlInterestRateIndexValueDate(IborIndex,O3454)</f>
        <v>63418</v>
      </c>
      <c r="Q3454" s="141" t="e">
        <v>#N/A</v>
      </c>
      <c r="R3454" s="143" t="e">
        <v>#N/A</v>
      </c>
    </row>
    <row r="3455" spans="14:18" x14ac:dyDescent="0.2">
      <c r="N3455" s="139" t="str">
        <f t="shared" si="60"/>
        <v>1w</v>
      </c>
      <c r="O3455" s="146">
        <f>_xll.qlCalendarAdvance(Calendar,O3454,N3455,"f",FALSE)</f>
        <v>63423</v>
      </c>
      <c r="P3455" s="140">
        <f>_xll.qlInterestRateIndexValueDate(IborIndex,O3455)</f>
        <v>63425</v>
      </c>
      <c r="Q3455" s="141" t="e">
        <v>#N/A</v>
      </c>
      <c r="R3455" s="143" t="e">
        <v>#N/A</v>
      </c>
    </row>
    <row r="3456" spans="14:18" x14ac:dyDescent="0.2">
      <c r="N3456" s="139" t="str">
        <f t="shared" si="60"/>
        <v>1w</v>
      </c>
      <c r="O3456" s="146">
        <f>_xll.qlCalendarAdvance(Calendar,O3455,N3456,"f",FALSE)</f>
        <v>63430</v>
      </c>
      <c r="P3456" s="140">
        <f>_xll.qlInterestRateIndexValueDate(IborIndex,O3456)</f>
        <v>63432</v>
      </c>
      <c r="Q3456" s="141" t="e">
        <v>#N/A</v>
      </c>
      <c r="R3456" s="143" t="e">
        <v>#N/A</v>
      </c>
    </row>
    <row r="3457" spans="14:18" x14ac:dyDescent="0.2">
      <c r="N3457" s="139" t="str">
        <f t="shared" si="60"/>
        <v>1w</v>
      </c>
      <c r="O3457" s="146">
        <f>_xll.qlCalendarAdvance(Calendar,O3456,N3457,"f",FALSE)</f>
        <v>63437</v>
      </c>
      <c r="P3457" s="140">
        <f>_xll.qlInterestRateIndexValueDate(IborIndex,O3457)</f>
        <v>63439</v>
      </c>
      <c r="Q3457" s="141" t="e">
        <v>#N/A</v>
      </c>
      <c r="R3457" s="143" t="e">
        <v>#N/A</v>
      </c>
    </row>
    <row r="3458" spans="14:18" x14ac:dyDescent="0.2">
      <c r="N3458" s="139" t="str">
        <f t="shared" si="60"/>
        <v>1w</v>
      </c>
      <c r="O3458" s="146">
        <f>_xll.qlCalendarAdvance(Calendar,O3457,N3458,"f",FALSE)</f>
        <v>63444</v>
      </c>
      <c r="P3458" s="140">
        <f>_xll.qlInterestRateIndexValueDate(IborIndex,O3458)</f>
        <v>63446</v>
      </c>
      <c r="Q3458" s="141" t="e">
        <v>#N/A</v>
      </c>
      <c r="R3458" s="143" t="e">
        <v>#N/A</v>
      </c>
    </row>
    <row r="3459" spans="14:18" x14ac:dyDescent="0.2">
      <c r="N3459" s="139" t="str">
        <f t="shared" si="60"/>
        <v>1w</v>
      </c>
      <c r="O3459" s="146">
        <f>_xll.qlCalendarAdvance(Calendar,O3458,N3459,"f",FALSE)</f>
        <v>63451</v>
      </c>
      <c r="P3459" s="140">
        <f>_xll.qlInterestRateIndexValueDate(IborIndex,O3459)</f>
        <v>63453</v>
      </c>
      <c r="Q3459" s="141" t="e">
        <v>#N/A</v>
      </c>
      <c r="R3459" s="143" t="e">
        <v>#N/A</v>
      </c>
    </row>
    <row r="3460" spans="14:18" x14ac:dyDescent="0.2">
      <c r="N3460" s="139" t="str">
        <f t="shared" si="60"/>
        <v>1w</v>
      </c>
      <c r="O3460" s="146">
        <f>_xll.qlCalendarAdvance(Calendar,O3459,N3460,"f",FALSE)</f>
        <v>63458</v>
      </c>
      <c r="P3460" s="140">
        <f>_xll.qlInterestRateIndexValueDate(IborIndex,O3460)</f>
        <v>63460</v>
      </c>
      <c r="Q3460" s="141" t="e">
        <v>#N/A</v>
      </c>
      <c r="R3460" s="143" t="e">
        <v>#N/A</v>
      </c>
    </row>
    <row r="3461" spans="14:18" x14ac:dyDescent="0.2">
      <c r="N3461" s="139" t="str">
        <f t="shared" si="60"/>
        <v>1w</v>
      </c>
      <c r="O3461" s="146">
        <f>_xll.qlCalendarAdvance(Calendar,O3460,N3461,"f",FALSE)</f>
        <v>63465</v>
      </c>
      <c r="P3461" s="140">
        <f>_xll.qlInterestRateIndexValueDate(IborIndex,O3461)</f>
        <v>63467</v>
      </c>
      <c r="Q3461" s="141" t="e">
        <v>#N/A</v>
      </c>
      <c r="R3461" s="143" t="e">
        <v>#N/A</v>
      </c>
    </row>
    <row r="3462" spans="14:18" x14ac:dyDescent="0.2">
      <c r="N3462" s="139" t="str">
        <f t="shared" si="60"/>
        <v>1w</v>
      </c>
      <c r="O3462" s="146">
        <f>_xll.qlCalendarAdvance(Calendar,O3461,N3462,"f",FALSE)</f>
        <v>63472</v>
      </c>
      <c r="P3462" s="140">
        <f>_xll.qlInterestRateIndexValueDate(IborIndex,O3462)</f>
        <v>63474</v>
      </c>
      <c r="Q3462" s="141" t="e">
        <v>#N/A</v>
      </c>
      <c r="R3462" s="143" t="e">
        <v>#N/A</v>
      </c>
    </row>
    <row r="3463" spans="14:18" x14ac:dyDescent="0.2">
      <c r="N3463" s="139" t="str">
        <f t="shared" si="60"/>
        <v>1w</v>
      </c>
      <c r="O3463" s="146">
        <f>_xll.qlCalendarAdvance(Calendar,O3462,N3463,"f",FALSE)</f>
        <v>63479</v>
      </c>
      <c r="P3463" s="140">
        <f>_xll.qlInterestRateIndexValueDate(IborIndex,O3463)</f>
        <v>63481</v>
      </c>
      <c r="Q3463" s="141" t="e">
        <v>#N/A</v>
      </c>
      <c r="R3463" s="143" t="e">
        <v>#N/A</v>
      </c>
    </row>
    <row r="3464" spans="14:18" x14ac:dyDescent="0.2">
      <c r="N3464" s="139" t="str">
        <f t="shared" si="60"/>
        <v>1w</v>
      </c>
      <c r="O3464" s="146">
        <f>_xll.qlCalendarAdvance(Calendar,O3463,N3464,"f",FALSE)</f>
        <v>63486</v>
      </c>
      <c r="P3464" s="140">
        <f>_xll.qlInterestRateIndexValueDate(IborIndex,O3464)</f>
        <v>63488</v>
      </c>
      <c r="Q3464" s="141" t="e">
        <v>#N/A</v>
      </c>
      <c r="R3464" s="143" t="e">
        <v>#N/A</v>
      </c>
    </row>
    <row r="3465" spans="14:18" x14ac:dyDescent="0.2">
      <c r="N3465" s="139" t="str">
        <f t="shared" si="60"/>
        <v>1w</v>
      </c>
      <c r="O3465" s="146">
        <f>_xll.qlCalendarAdvance(Calendar,O3464,N3465,"f",FALSE)</f>
        <v>63493</v>
      </c>
      <c r="P3465" s="140">
        <f>_xll.qlInterestRateIndexValueDate(IborIndex,O3465)</f>
        <v>63495</v>
      </c>
      <c r="Q3465" s="141" t="e">
        <v>#N/A</v>
      </c>
      <c r="R3465" s="143" t="e">
        <v>#N/A</v>
      </c>
    </row>
    <row r="3466" spans="14:18" x14ac:dyDescent="0.2">
      <c r="N3466" s="139" t="str">
        <f t="shared" si="60"/>
        <v>1w</v>
      </c>
      <c r="O3466" s="146">
        <f>_xll.qlCalendarAdvance(Calendar,O3465,N3466,"f",FALSE)</f>
        <v>63500</v>
      </c>
      <c r="P3466" s="140">
        <f>_xll.qlInterestRateIndexValueDate(IborIndex,O3466)</f>
        <v>63502</v>
      </c>
      <c r="Q3466" s="141" t="e">
        <v>#N/A</v>
      </c>
      <c r="R3466" s="143" t="e">
        <v>#N/A</v>
      </c>
    </row>
    <row r="3467" spans="14:18" x14ac:dyDescent="0.2">
      <c r="N3467" s="139" t="str">
        <f t="shared" si="60"/>
        <v>1w</v>
      </c>
      <c r="O3467" s="146">
        <f>_xll.qlCalendarAdvance(Calendar,O3466,N3467,"f",FALSE)</f>
        <v>63507</v>
      </c>
      <c r="P3467" s="140">
        <f>_xll.qlInterestRateIndexValueDate(IborIndex,O3467)</f>
        <v>63509</v>
      </c>
      <c r="Q3467" s="141" t="e">
        <v>#N/A</v>
      </c>
      <c r="R3467" s="143" t="e">
        <v>#N/A</v>
      </c>
    </row>
    <row r="3468" spans="14:18" x14ac:dyDescent="0.2">
      <c r="N3468" s="139" t="str">
        <f t="shared" si="60"/>
        <v>1w</v>
      </c>
      <c r="O3468" s="146">
        <f>_xll.qlCalendarAdvance(Calendar,O3467,N3468,"f",FALSE)</f>
        <v>63514</v>
      </c>
      <c r="P3468" s="140">
        <f>_xll.qlInterestRateIndexValueDate(IborIndex,O3468)</f>
        <v>63516</v>
      </c>
      <c r="Q3468" s="141" t="e">
        <v>#N/A</v>
      </c>
      <c r="R3468" s="143" t="e">
        <v>#N/A</v>
      </c>
    </row>
    <row r="3469" spans="14:18" x14ac:dyDescent="0.2">
      <c r="N3469" s="139" t="str">
        <f t="shared" si="60"/>
        <v>1w</v>
      </c>
      <c r="O3469" s="146">
        <f>_xll.qlCalendarAdvance(Calendar,O3468,N3469,"f",FALSE)</f>
        <v>63521</v>
      </c>
      <c r="P3469" s="140">
        <f>_xll.qlInterestRateIndexValueDate(IborIndex,O3469)</f>
        <v>63523</v>
      </c>
      <c r="Q3469" s="141" t="e">
        <v>#N/A</v>
      </c>
      <c r="R3469" s="143" t="e">
        <v>#N/A</v>
      </c>
    </row>
    <row r="3470" spans="14:18" x14ac:dyDescent="0.2">
      <c r="N3470" s="139" t="str">
        <f t="shared" si="60"/>
        <v>1w</v>
      </c>
      <c r="O3470" s="146">
        <f>_xll.qlCalendarAdvance(Calendar,O3469,N3470,"f",FALSE)</f>
        <v>63528</v>
      </c>
      <c r="P3470" s="140">
        <f>_xll.qlInterestRateIndexValueDate(IborIndex,O3470)</f>
        <v>63530</v>
      </c>
      <c r="Q3470" s="141" t="e">
        <v>#N/A</v>
      </c>
      <c r="R3470" s="143" t="e">
        <v>#N/A</v>
      </c>
    </row>
    <row r="3471" spans="14:18" x14ac:dyDescent="0.2">
      <c r="N3471" s="139" t="str">
        <f t="shared" si="60"/>
        <v>1w</v>
      </c>
      <c r="O3471" s="146">
        <f>_xll.qlCalendarAdvance(Calendar,O3470,N3471,"f",FALSE)</f>
        <v>63535</v>
      </c>
      <c r="P3471" s="140">
        <f>_xll.qlInterestRateIndexValueDate(IborIndex,O3471)</f>
        <v>63537</v>
      </c>
      <c r="Q3471" s="141" t="e">
        <v>#N/A</v>
      </c>
      <c r="R3471" s="143" t="e">
        <v>#N/A</v>
      </c>
    </row>
    <row r="3472" spans="14:18" x14ac:dyDescent="0.2">
      <c r="N3472" s="139" t="str">
        <f t="shared" si="60"/>
        <v>1w</v>
      </c>
      <c r="O3472" s="146">
        <f>_xll.qlCalendarAdvance(Calendar,O3471,N3472,"f",FALSE)</f>
        <v>63542</v>
      </c>
      <c r="P3472" s="140">
        <f>_xll.qlInterestRateIndexValueDate(IborIndex,O3472)</f>
        <v>63544</v>
      </c>
      <c r="Q3472" s="141" t="e">
        <v>#N/A</v>
      </c>
      <c r="R3472" s="143" t="e">
        <v>#N/A</v>
      </c>
    </row>
    <row r="3473" spans="14:18" x14ac:dyDescent="0.2">
      <c r="N3473" s="139" t="str">
        <f t="shared" si="60"/>
        <v>1w</v>
      </c>
      <c r="O3473" s="146">
        <f>_xll.qlCalendarAdvance(Calendar,O3472,N3473,"f",FALSE)</f>
        <v>63550</v>
      </c>
      <c r="P3473" s="140">
        <f>_xll.qlInterestRateIndexValueDate(IborIndex,O3473)</f>
        <v>63552</v>
      </c>
      <c r="Q3473" s="141" t="e">
        <v>#N/A</v>
      </c>
      <c r="R3473" s="143" t="e">
        <v>#N/A</v>
      </c>
    </row>
    <row r="3474" spans="14:18" x14ac:dyDescent="0.2">
      <c r="N3474" s="139" t="str">
        <f t="shared" si="60"/>
        <v>1w</v>
      </c>
      <c r="O3474" s="146">
        <f>_xll.qlCalendarAdvance(Calendar,O3473,N3474,"f",FALSE)</f>
        <v>63557</v>
      </c>
      <c r="P3474" s="140">
        <f>_xll.qlInterestRateIndexValueDate(IborIndex,O3474)</f>
        <v>63559</v>
      </c>
      <c r="Q3474" s="141" t="e">
        <v>#N/A</v>
      </c>
      <c r="R3474" s="143" t="e">
        <v>#N/A</v>
      </c>
    </row>
    <row r="3475" spans="14:18" x14ac:dyDescent="0.2">
      <c r="N3475" s="139" t="str">
        <f t="shared" si="60"/>
        <v>1w</v>
      </c>
      <c r="O3475" s="146">
        <f>_xll.qlCalendarAdvance(Calendar,O3474,N3475,"f",FALSE)</f>
        <v>63564</v>
      </c>
      <c r="P3475" s="140">
        <f>_xll.qlInterestRateIndexValueDate(IborIndex,O3475)</f>
        <v>63566</v>
      </c>
      <c r="Q3475" s="141" t="e">
        <v>#N/A</v>
      </c>
      <c r="R3475" s="143" t="e">
        <v>#N/A</v>
      </c>
    </row>
    <row r="3476" spans="14:18" x14ac:dyDescent="0.2">
      <c r="N3476" s="139" t="str">
        <f t="shared" si="60"/>
        <v>1w</v>
      </c>
      <c r="O3476" s="146">
        <f>_xll.qlCalendarAdvance(Calendar,O3475,N3476,"f",FALSE)</f>
        <v>63571</v>
      </c>
      <c r="P3476" s="140">
        <f>_xll.qlInterestRateIndexValueDate(IborIndex,O3476)</f>
        <v>63573</v>
      </c>
      <c r="Q3476" s="141" t="e">
        <v>#N/A</v>
      </c>
      <c r="R3476" s="143" t="e">
        <v>#N/A</v>
      </c>
    </row>
    <row r="3477" spans="14:18" x14ac:dyDescent="0.2">
      <c r="N3477" s="139" t="str">
        <f t="shared" ref="N3477:N3540" si="61">N3476</f>
        <v>1w</v>
      </c>
      <c r="O3477" s="146">
        <f>_xll.qlCalendarAdvance(Calendar,O3476,N3477,"f",FALSE)</f>
        <v>63578</v>
      </c>
      <c r="P3477" s="140">
        <f>_xll.qlInterestRateIndexValueDate(IborIndex,O3477)</f>
        <v>63580</v>
      </c>
      <c r="Q3477" s="141" t="e">
        <v>#N/A</v>
      </c>
      <c r="R3477" s="143" t="e">
        <v>#N/A</v>
      </c>
    </row>
    <row r="3478" spans="14:18" x14ac:dyDescent="0.2">
      <c r="N3478" s="139" t="str">
        <f t="shared" si="61"/>
        <v>1w</v>
      </c>
      <c r="O3478" s="146">
        <f>_xll.qlCalendarAdvance(Calendar,O3477,N3478,"f",FALSE)</f>
        <v>63585</v>
      </c>
      <c r="P3478" s="140">
        <f>_xll.qlInterestRateIndexValueDate(IborIndex,O3478)</f>
        <v>63587</v>
      </c>
      <c r="Q3478" s="141" t="e">
        <v>#N/A</v>
      </c>
      <c r="R3478" s="143" t="e">
        <v>#N/A</v>
      </c>
    </row>
    <row r="3479" spans="14:18" x14ac:dyDescent="0.2">
      <c r="N3479" s="139" t="str">
        <f t="shared" si="61"/>
        <v>1w</v>
      </c>
      <c r="O3479" s="146">
        <f>_xll.qlCalendarAdvance(Calendar,O3478,N3479,"f",FALSE)</f>
        <v>63592</v>
      </c>
      <c r="P3479" s="140">
        <f>_xll.qlInterestRateIndexValueDate(IborIndex,O3479)</f>
        <v>63594</v>
      </c>
      <c r="Q3479" s="141" t="e">
        <v>#N/A</v>
      </c>
      <c r="R3479" s="143" t="e">
        <v>#N/A</v>
      </c>
    </row>
    <row r="3480" spans="14:18" x14ac:dyDescent="0.2">
      <c r="N3480" s="139" t="str">
        <f t="shared" si="61"/>
        <v>1w</v>
      </c>
      <c r="O3480" s="146">
        <f>_xll.qlCalendarAdvance(Calendar,O3479,N3480,"f",FALSE)</f>
        <v>63599</v>
      </c>
      <c r="P3480" s="140">
        <f>_xll.qlInterestRateIndexValueDate(IborIndex,O3480)</f>
        <v>63601</v>
      </c>
      <c r="Q3480" s="141" t="e">
        <v>#N/A</v>
      </c>
      <c r="R3480" s="143" t="e">
        <v>#N/A</v>
      </c>
    </row>
    <row r="3481" spans="14:18" x14ac:dyDescent="0.2">
      <c r="N3481" s="139" t="str">
        <f t="shared" si="61"/>
        <v>1w</v>
      </c>
      <c r="O3481" s="146">
        <f>_xll.qlCalendarAdvance(Calendar,O3480,N3481,"f",FALSE)</f>
        <v>63606</v>
      </c>
      <c r="P3481" s="140">
        <f>_xll.qlInterestRateIndexValueDate(IborIndex,O3481)</f>
        <v>63608</v>
      </c>
      <c r="Q3481" s="141" t="e">
        <v>#N/A</v>
      </c>
      <c r="R3481" s="143" t="e">
        <v>#N/A</v>
      </c>
    </row>
    <row r="3482" spans="14:18" x14ac:dyDescent="0.2">
      <c r="N3482" s="139" t="str">
        <f t="shared" si="61"/>
        <v>1w</v>
      </c>
      <c r="O3482" s="146">
        <f>_xll.qlCalendarAdvance(Calendar,O3481,N3482,"f",FALSE)</f>
        <v>63613</v>
      </c>
      <c r="P3482" s="140">
        <f>_xll.qlInterestRateIndexValueDate(IborIndex,O3482)</f>
        <v>63615</v>
      </c>
      <c r="Q3482" s="141" t="e">
        <v>#N/A</v>
      </c>
      <c r="R3482" s="143" t="e">
        <v>#N/A</v>
      </c>
    </row>
    <row r="3483" spans="14:18" x14ac:dyDescent="0.2">
      <c r="N3483" s="139" t="str">
        <f t="shared" si="61"/>
        <v>1w</v>
      </c>
      <c r="O3483" s="146">
        <f>_xll.qlCalendarAdvance(Calendar,O3482,N3483,"f",FALSE)</f>
        <v>63620</v>
      </c>
      <c r="P3483" s="140">
        <f>_xll.qlInterestRateIndexValueDate(IborIndex,O3483)</f>
        <v>63622</v>
      </c>
      <c r="Q3483" s="141" t="e">
        <v>#N/A</v>
      </c>
      <c r="R3483" s="143" t="e">
        <v>#N/A</v>
      </c>
    </row>
    <row r="3484" spans="14:18" x14ac:dyDescent="0.2">
      <c r="N3484" s="139" t="str">
        <f t="shared" si="61"/>
        <v>1w</v>
      </c>
      <c r="O3484" s="146">
        <f>_xll.qlCalendarAdvance(Calendar,O3483,N3484,"f",FALSE)</f>
        <v>63627</v>
      </c>
      <c r="P3484" s="140">
        <f>_xll.qlInterestRateIndexValueDate(IborIndex,O3484)</f>
        <v>63629</v>
      </c>
      <c r="Q3484" s="141" t="e">
        <v>#N/A</v>
      </c>
      <c r="R3484" s="143" t="e">
        <v>#N/A</v>
      </c>
    </row>
    <row r="3485" spans="14:18" x14ac:dyDescent="0.2">
      <c r="N3485" s="139" t="str">
        <f t="shared" si="61"/>
        <v>1w</v>
      </c>
      <c r="O3485" s="146">
        <f>_xll.qlCalendarAdvance(Calendar,O3484,N3485,"f",FALSE)</f>
        <v>63634</v>
      </c>
      <c r="P3485" s="140">
        <f>_xll.qlInterestRateIndexValueDate(IborIndex,O3485)</f>
        <v>63636</v>
      </c>
      <c r="Q3485" s="141" t="e">
        <v>#N/A</v>
      </c>
      <c r="R3485" s="143" t="e">
        <v>#N/A</v>
      </c>
    </row>
    <row r="3486" spans="14:18" x14ac:dyDescent="0.2">
      <c r="N3486" s="139" t="str">
        <f t="shared" si="61"/>
        <v>1w</v>
      </c>
      <c r="O3486" s="146">
        <f>_xll.qlCalendarAdvance(Calendar,O3485,N3486,"f",FALSE)</f>
        <v>63641</v>
      </c>
      <c r="P3486" s="140">
        <f>_xll.qlInterestRateIndexValueDate(IborIndex,O3486)</f>
        <v>63643</v>
      </c>
      <c r="Q3486" s="141" t="e">
        <v>#N/A</v>
      </c>
      <c r="R3486" s="143" t="e">
        <v>#N/A</v>
      </c>
    </row>
    <row r="3487" spans="14:18" x14ac:dyDescent="0.2">
      <c r="N3487" s="139" t="str">
        <f t="shared" si="61"/>
        <v>1w</v>
      </c>
      <c r="O3487" s="146">
        <f>_xll.qlCalendarAdvance(Calendar,O3486,N3487,"f",FALSE)</f>
        <v>63648</v>
      </c>
      <c r="P3487" s="140">
        <f>_xll.qlInterestRateIndexValueDate(IborIndex,O3487)</f>
        <v>63650</v>
      </c>
      <c r="Q3487" s="141" t="e">
        <v>#N/A</v>
      </c>
      <c r="R3487" s="143" t="e">
        <v>#N/A</v>
      </c>
    </row>
    <row r="3488" spans="14:18" x14ac:dyDescent="0.2">
      <c r="N3488" s="139" t="str">
        <f t="shared" si="61"/>
        <v>1w</v>
      </c>
      <c r="O3488" s="146">
        <f>_xll.qlCalendarAdvance(Calendar,O3487,N3488,"f",FALSE)</f>
        <v>63655</v>
      </c>
      <c r="P3488" s="140">
        <f>_xll.qlInterestRateIndexValueDate(IborIndex,O3488)</f>
        <v>63661</v>
      </c>
      <c r="Q3488" s="141" t="e">
        <v>#N/A</v>
      </c>
      <c r="R3488" s="143" t="e">
        <v>#N/A</v>
      </c>
    </row>
    <row r="3489" spans="14:18" x14ac:dyDescent="0.2">
      <c r="N3489" s="139" t="str">
        <f t="shared" si="61"/>
        <v>1w</v>
      </c>
      <c r="O3489" s="146">
        <f>_xll.qlCalendarAdvance(Calendar,O3488,N3489,"f",FALSE)</f>
        <v>63662</v>
      </c>
      <c r="P3489" s="140">
        <f>_xll.qlInterestRateIndexValueDate(IborIndex,O3489)</f>
        <v>63664</v>
      </c>
      <c r="Q3489" s="141" t="e">
        <v>#N/A</v>
      </c>
      <c r="R3489" s="143" t="e">
        <v>#N/A</v>
      </c>
    </row>
    <row r="3490" spans="14:18" x14ac:dyDescent="0.2">
      <c r="N3490" s="139" t="str">
        <f t="shared" si="61"/>
        <v>1w</v>
      </c>
      <c r="O3490" s="146">
        <f>_xll.qlCalendarAdvance(Calendar,O3489,N3490,"f",FALSE)</f>
        <v>63669</v>
      </c>
      <c r="P3490" s="140">
        <f>_xll.qlInterestRateIndexValueDate(IborIndex,O3490)</f>
        <v>63671</v>
      </c>
      <c r="Q3490" s="141" t="e">
        <v>#N/A</v>
      </c>
      <c r="R3490" s="143" t="e">
        <v>#N/A</v>
      </c>
    </row>
    <row r="3491" spans="14:18" x14ac:dyDescent="0.2">
      <c r="N3491" s="139" t="str">
        <f t="shared" si="61"/>
        <v>1w</v>
      </c>
      <c r="O3491" s="146">
        <f>_xll.qlCalendarAdvance(Calendar,O3490,N3491,"f",FALSE)</f>
        <v>63676</v>
      </c>
      <c r="P3491" s="140">
        <f>_xll.qlInterestRateIndexValueDate(IborIndex,O3491)</f>
        <v>63678</v>
      </c>
      <c r="Q3491" s="141" t="e">
        <v>#N/A</v>
      </c>
      <c r="R3491" s="143" t="e">
        <v>#N/A</v>
      </c>
    </row>
    <row r="3492" spans="14:18" x14ac:dyDescent="0.2">
      <c r="N3492" s="139" t="str">
        <f t="shared" si="61"/>
        <v>1w</v>
      </c>
      <c r="O3492" s="146">
        <f>_xll.qlCalendarAdvance(Calendar,O3491,N3492,"f",FALSE)</f>
        <v>63683</v>
      </c>
      <c r="P3492" s="140">
        <f>_xll.qlInterestRateIndexValueDate(IborIndex,O3492)</f>
        <v>63685</v>
      </c>
      <c r="Q3492" s="141" t="e">
        <v>#N/A</v>
      </c>
      <c r="R3492" s="143" t="e">
        <v>#N/A</v>
      </c>
    </row>
    <row r="3493" spans="14:18" x14ac:dyDescent="0.2">
      <c r="N3493" s="139" t="str">
        <f t="shared" si="61"/>
        <v>1w</v>
      </c>
      <c r="O3493" s="146">
        <f>_xll.qlCalendarAdvance(Calendar,O3492,N3493,"f",FALSE)</f>
        <v>63690</v>
      </c>
      <c r="P3493" s="140">
        <f>_xll.qlInterestRateIndexValueDate(IborIndex,O3493)</f>
        <v>63692</v>
      </c>
      <c r="Q3493" s="141" t="e">
        <v>#N/A</v>
      </c>
      <c r="R3493" s="143" t="e">
        <v>#N/A</v>
      </c>
    </row>
    <row r="3494" spans="14:18" x14ac:dyDescent="0.2">
      <c r="N3494" s="139" t="str">
        <f t="shared" si="61"/>
        <v>1w</v>
      </c>
      <c r="O3494" s="146">
        <f>_xll.qlCalendarAdvance(Calendar,O3493,N3494,"f",FALSE)</f>
        <v>63697</v>
      </c>
      <c r="P3494" s="140">
        <f>_xll.qlInterestRateIndexValueDate(IborIndex,O3494)</f>
        <v>63702</v>
      </c>
      <c r="Q3494" s="141" t="e">
        <v>#N/A</v>
      </c>
      <c r="R3494" s="143" t="e">
        <v>#N/A</v>
      </c>
    </row>
    <row r="3495" spans="14:18" x14ac:dyDescent="0.2">
      <c r="N3495" s="139" t="str">
        <f t="shared" si="61"/>
        <v>1w</v>
      </c>
      <c r="O3495" s="146">
        <f>_xll.qlCalendarAdvance(Calendar,O3494,N3495,"f",FALSE)</f>
        <v>63704</v>
      </c>
      <c r="P3495" s="140">
        <f>_xll.qlInterestRateIndexValueDate(IborIndex,O3495)</f>
        <v>63706</v>
      </c>
      <c r="Q3495" s="141" t="e">
        <v>#N/A</v>
      </c>
      <c r="R3495" s="143" t="e">
        <v>#N/A</v>
      </c>
    </row>
    <row r="3496" spans="14:18" x14ac:dyDescent="0.2">
      <c r="N3496" s="139" t="str">
        <f t="shared" si="61"/>
        <v>1w</v>
      </c>
      <c r="O3496" s="146">
        <f>_xll.qlCalendarAdvance(Calendar,O3495,N3496,"f",FALSE)</f>
        <v>63711</v>
      </c>
      <c r="P3496" s="140">
        <f>_xll.qlInterestRateIndexValueDate(IborIndex,O3496)</f>
        <v>63713</v>
      </c>
      <c r="Q3496" s="141" t="e">
        <v>#N/A</v>
      </c>
      <c r="R3496" s="143" t="e">
        <v>#N/A</v>
      </c>
    </row>
    <row r="3497" spans="14:18" x14ac:dyDescent="0.2">
      <c r="N3497" s="139" t="str">
        <f t="shared" si="61"/>
        <v>1w</v>
      </c>
      <c r="O3497" s="146">
        <f>_xll.qlCalendarAdvance(Calendar,O3496,N3497,"f",FALSE)</f>
        <v>63718</v>
      </c>
      <c r="P3497" s="140">
        <f>_xll.qlInterestRateIndexValueDate(IborIndex,O3497)</f>
        <v>63720</v>
      </c>
      <c r="Q3497" s="141" t="e">
        <v>#N/A</v>
      </c>
      <c r="R3497" s="143" t="e">
        <v>#N/A</v>
      </c>
    </row>
    <row r="3498" spans="14:18" x14ac:dyDescent="0.2">
      <c r="N3498" s="139" t="str">
        <f t="shared" si="61"/>
        <v>1w</v>
      </c>
      <c r="O3498" s="146">
        <f>_xll.qlCalendarAdvance(Calendar,O3497,N3498,"f",FALSE)</f>
        <v>63725</v>
      </c>
      <c r="P3498" s="140">
        <f>_xll.qlInterestRateIndexValueDate(IborIndex,O3498)</f>
        <v>63730</v>
      </c>
      <c r="Q3498" s="141" t="e">
        <v>#N/A</v>
      </c>
      <c r="R3498" s="143" t="e">
        <v>#N/A</v>
      </c>
    </row>
    <row r="3499" spans="14:18" x14ac:dyDescent="0.2">
      <c r="N3499" s="139" t="str">
        <f t="shared" si="61"/>
        <v>1w</v>
      </c>
      <c r="O3499" s="146">
        <f>_xll.qlCalendarAdvance(Calendar,O3498,N3499,"f",FALSE)</f>
        <v>63732</v>
      </c>
      <c r="P3499" s="140">
        <f>_xll.qlInterestRateIndexValueDate(IborIndex,O3499)</f>
        <v>63734</v>
      </c>
      <c r="Q3499" s="141" t="e">
        <v>#N/A</v>
      </c>
      <c r="R3499" s="143" t="e">
        <v>#N/A</v>
      </c>
    </row>
    <row r="3500" spans="14:18" x14ac:dyDescent="0.2">
      <c r="N3500" s="139" t="str">
        <f t="shared" si="61"/>
        <v>1w</v>
      </c>
      <c r="O3500" s="146">
        <f>_xll.qlCalendarAdvance(Calendar,O3499,N3500,"f",FALSE)</f>
        <v>63739</v>
      </c>
      <c r="P3500" s="140">
        <f>_xll.qlInterestRateIndexValueDate(IborIndex,O3500)</f>
        <v>63741</v>
      </c>
      <c r="Q3500" s="141" t="e">
        <v>#N/A</v>
      </c>
      <c r="R3500" s="143" t="e">
        <v>#N/A</v>
      </c>
    </row>
    <row r="3501" spans="14:18" x14ac:dyDescent="0.2">
      <c r="N3501" s="139" t="str">
        <f t="shared" si="61"/>
        <v>1w</v>
      </c>
      <c r="O3501" s="146">
        <f>_xll.qlCalendarAdvance(Calendar,O3500,N3501,"f",FALSE)</f>
        <v>63746</v>
      </c>
      <c r="P3501" s="140">
        <f>_xll.qlInterestRateIndexValueDate(IborIndex,O3501)</f>
        <v>63748</v>
      </c>
      <c r="Q3501" s="141" t="e">
        <v>#N/A</v>
      </c>
      <c r="R3501" s="143" t="e">
        <v>#N/A</v>
      </c>
    </row>
    <row r="3502" spans="14:18" x14ac:dyDescent="0.2">
      <c r="N3502" s="139" t="str">
        <f t="shared" si="61"/>
        <v>1w</v>
      </c>
      <c r="O3502" s="146">
        <f>_xll.qlCalendarAdvance(Calendar,O3501,N3502,"f",FALSE)</f>
        <v>63753</v>
      </c>
      <c r="P3502" s="140">
        <f>_xll.qlInterestRateIndexValueDate(IborIndex,O3502)</f>
        <v>63755</v>
      </c>
      <c r="Q3502" s="141" t="e">
        <v>#N/A</v>
      </c>
      <c r="R3502" s="143" t="e">
        <v>#N/A</v>
      </c>
    </row>
    <row r="3503" spans="14:18" x14ac:dyDescent="0.2">
      <c r="N3503" s="139" t="str">
        <f t="shared" si="61"/>
        <v>1w</v>
      </c>
      <c r="O3503" s="146">
        <f>_xll.qlCalendarAdvance(Calendar,O3502,N3503,"f",FALSE)</f>
        <v>63760</v>
      </c>
      <c r="P3503" s="140">
        <f>_xll.qlInterestRateIndexValueDate(IborIndex,O3503)</f>
        <v>63762</v>
      </c>
      <c r="Q3503" s="141" t="e">
        <v>#N/A</v>
      </c>
      <c r="R3503" s="143" t="e">
        <v>#N/A</v>
      </c>
    </row>
    <row r="3504" spans="14:18" x14ac:dyDescent="0.2">
      <c r="N3504" s="139" t="str">
        <f t="shared" si="61"/>
        <v>1w</v>
      </c>
      <c r="O3504" s="146">
        <f>_xll.qlCalendarAdvance(Calendar,O3503,N3504,"f",FALSE)</f>
        <v>63767</v>
      </c>
      <c r="P3504" s="140">
        <f>_xll.qlInterestRateIndexValueDate(IborIndex,O3504)</f>
        <v>63769</v>
      </c>
      <c r="Q3504" s="141" t="e">
        <v>#N/A</v>
      </c>
      <c r="R3504" s="143" t="e">
        <v>#N/A</v>
      </c>
    </row>
    <row r="3505" spans="14:18" x14ac:dyDescent="0.2">
      <c r="N3505" s="139" t="str">
        <f t="shared" si="61"/>
        <v>1w</v>
      </c>
      <c r="O3505" s="146">
        <f>_xll.qlCalendarAdvance(Calendar,O3504,N3505,"f",FALSE)</f>
        <v>63774</v>
      </c>
      <c r="P3505" s="140">
        <f>_xll.qlInterestRateIndexValueDate(IborIndex,O3505)</f>
        <v>63776</v>
      </c>
      <c r="Q3505" s="141" t="e">
        <v>#N/A</v>
      </c>
      <c r="R3505" s="143" t="e">
        <v>#N/A</v>
      </c>
    </row>
    <row r="3506" spans="14:18" x14ac:dyDescent="0.2">
      <c r="N3506" s="139" t="str">
        <f t="shared" si="61"/>
        <v>1w</v>
      </c>
      <c r="O3506" s="146">
        <f>_xll.qlCalendarAdvance(Calendar,O3505,N3506,"f",FALSE)</f>
        <v>63781</v>
      </c>
      <c r="P3506" s="140">
        <f>_xll.qlInterestRateIndexValueDate(IborIndex,O3506)</f>
        <v>63783</v>
      </c>
      <c r="Q3506" s="141" t="e">
        <v>#N/A</v>
      </c>
      <c r="R3506" s="143" t="e">
        <v>#N/A</v>
      </c>
    </row>
    <row r="3507" spans="14:18" x14ac:dyDescent="0.2">
      <c r="N3507" s="139" t="str">
        <f t="shared" si="61"/>
        <v>1w</v>
      </c>
      <c r="O3507" s="146">
        <f>_xll.qlCalendarAdvance(Calendar,O3506,N3507,"f",FALSE)</f>
        <v>63788</v>
      </c>
      <c r="P3507" s="140">
        <f>_xll.qlInterestRateIndexValueDate(IborIndex,O3507)</f>
        <v>63790</v>
      </c>
      <c r="Q3507" s="141" t="e">
        <v>#N/A</v>
      </c>
      <c r="R3507" s="143" t="e">
        <v>#N/A</v>
      </c>
    </row>
    <row r="3508" spans="14:18" x14ac:dyDescent="0.2">
      <c r="N3508" s="139" t="str">
        <f t="shared" si="61"/>
        <v>1w</v>
      </c>
      <c r="O3508" s="146">
        <f>_xll.qlCalendarAdvance(Calendar,O3507,N3508,"f",FALSE)</f>
        <v>63795</v>
      </c>
      <c r="P3508" s="140">
        <f>_xll.qlInterestRateIndexValueDate(IborIndex,O3508)</f>
        <v>63797</v>
      </c>
      <c r="Q3508" s="141" t="e">
        <v>#N/A</v>
      </c>
      <c r="R3508" s="143" t="e">
        <v>#N/A</v>
      </c>
    </row>
    <row r="3509" spans="14:18" x14ac:dyDescent="0.2">
      <c r="N3509" s="139" t="str">
        <f t="shared" si="61"/>
        <v>1w</v>
      </c>
      <c r="O3509" s="146">
        <f>_xll.qlCalendarAdvance(Calendar,O3508,N3509,"f",FALSE)</f>
        <v>63802</v>
      </c>
      <c r="P3509" s="140">
        <f>_xll.qlInterestRateIndexValueDate(IborIndex,O3509)</f>
        <v>63804</v>
      </c>
      <c r="Q3509" s="141" t="e">
        <v>#N/A</v>
      </c>
      <c r="R3509" s="143" t="e">
        <v>#N/A</v>
      </c>
    </row>
    <row r="3510" spans="14:18" x14ac:dyDescent="0.2">
      <c r="N3510" s="139" t="str">
        <f t="shared" si="61"/>
        <v>1w</v>
      </c>
      <c r="O3510" s="146">
        <f>_xll.qlCalendarAdvance(Calendar,O3509,N3510,"f",FALSE)</f>
        <v>63809</v>
      </c>
      <c r="P3510" s="140">
        <f>_xll.qlInterestRateIndexValueDate(IborIndex,O3510)</f>
        <v>63811</v>
      </c>
      <c r="Q3510" s="141" t="e">
        <v>#N/A</v>
      </c>
      <c r="R3510" s="143" t="e">
        <v>#N/A</v>
      </c>
    </row>
    <row r="3511" spans="14:18" x14ac:dyDescent="0.2">
      <c r="N3511" s="139" t="str">
        <f t="shared" si="61"/>
        <v>1w</v>
      </c>
      <c r="O3511" s="146">
        <f>_xll.qlCalendarAdvance(Calendar,O3510,N3511,"f",FALSE)</f>
        <v>63816</v>
      </c>
      <c r="P3511" s="140">
        <f>_xll.qlInterestRateIndexValueDate(IborIndex,O3511)</f>
        <v>63818</v>
      </c>
      <c r="Q3511" s="141" t="e">
        <v>#N/A</v>
      </c>
      <c r="R3511" s="143" t="e">
        <v>#N/A</v>
      </c>
    </row>
    <row r="3512" spans="14:18" x14ac:dyDescent="0.2">
      <c r="N3512" s="139" t="str">
        <f t="shared" si="61"/>
        <v>1w</v>
      </c>
      <c r="O3512" s="146">
        <f>_xll.qlCalendarAdvance(Calendar,O3511,N3512,"f",FALSE)</f>
        <v>63823</v>
      </c>
      <c r="P3512" s="140">
        <f>_xll.qlInterestRateIndexValueDate(IborIndex,O3512)</f>
        <v>63825</v>
      </c>
      <c r="Q3512" s="141" t="e">
        <v>#N/A</v>
      </c>
      <c r="R3512" s="143" t="e">
        <v>#N/A</v>
      </c>
    </row>
    <row r="3513" spans="14:18" x14ac:dyDescent="0.2">
      <c r="N3513" s="139" t="str">
        <f t="shared" si="61"/>
        <v>1w</v>
      </c>
      <c r="O3513" s="146">
        <f>_xll.qlCalendarAdvance(Calendar,O3512,N3513,"f",FALSE)</f>
        <v>63830</v>
      </c>
      <c r="P3513" s="140">
        <f>_xll.qlInterestRateIndexValueDate(IborIndex,O3513)</f>
        <v>63832</v>
      </c>
      <c r="Q3513" s="141" t="e">
        <v>#N/A</v>
      </c>
      <c r="R3513" s="143" t="e">
        <v>#N/A</v>
      </c>
    </row>
    <row r="3514" spans="14:18" x14ac:dyDescent="0.2">
      <c r="N3514" s="139" t="str">
        <f t="shared" si="61"/>
        <v>1w</v>
      </c>
      <c r="O3514" s="146">
        <f>_xll.qlCalendarAdvance(Calendar,O3513,N3514,"f",FALSE)</f>
        <v>63837</v>
      </c>
      <c r="P3514" s="140">
        <f>_xll.qlInterestRateIndexValueDate(IborIndex,O3514)</f>
        <v>63839</v>
      </c>
      <c r="Q3514" s="141" t="e">
        <v>#N/A</v>
      </c>
      <c r="R3514" s="143" t="e">
        <v>#N/A</v>
      </c>
    </row>
    <row r="3515" spans="14:18" x14ac:dyDescent="0.2">
      <c r="N3515" s="139" t="str">
        <f t="shared" si="61"/>
        <v>1w</v>
      </c>
      <c r="O3515" s="146">
        <f>_xll.qlCalendarAdvance(Calendar,O3514,N3515,"f",FALSE)</f>
        <v>63844</v>
      </c>
      <c r="P3515" s="140">
        <f>_xll.qlInterestRateIndexValueDate(IborIndex,O3515)</f>
        <v>63846</v>
      </c>
      <c r="Q3515" s="141" t="e">
        <v>#N/A</v>
      </c>
      <c r="R3515" s="143" t="e">
        <v>#N/A</v>
      </c>
    </row>
    <row r="3516" spans="14:18" x14ac:dyDescent="0.2">
      <c r="N3516" s="139" t="str">
        <f t="shared" si="61"/>
        <v>1w</v>
      </c>
      <c r="O3516" s="146">
        <f>_xll.qlCalendarAdvance(Calendar,O3515,N3516,"f",FALSE)</f>
        <v>63851</v>
      </c>
      <c r="P3516" s="140">
        <f>_xll.qlInterestRateIndexValueDate(IborIndex,O3516)</f>
        <v>63853</v>
      </c>
      <c r="Q3516" s="141" t="e">
        <v>#N/A</v>
      </c>
      <c r="R3516" s="143" t="e">
        <v>#N/A</v>
      </c>
    </row>
    <row r="3517" spans="14:18" x14ac:dyDescent="0.2">
      <c r="N3517" s="139" t="str">
        <f t="shared" si="61"/>
        <v>1w</v>
      </c>
      <c r="O3517" s="146">
        <f>_xll.qlCalendarAdvance(Calendar,O3516,N3517,"f",FALSE)</f>
        <v>63858</v>
      </c>
      <c r="P3517" s="140">
        <f>_xll.qlInterestRateIndexValueDate(IborIndex,O3517)</f>
        <v>63860</v>
      </c>
      <c r="Q3517" s="141" t="e">
        <v>#N/A</v>
      </c>
      <c r="R3517" s="143" t="e">
        <v>#N/A</v>
      </c>
    </row>
    <row r="3518" spans="14:18" x14ac:dyDescent="0.2">
      <c r="N3518" s="139" t="str">
        <f t="shared" si="61"/>
        <v>1w</v>
      </c>
      <c r="O3518" s="146">
        <f>_xll.qlCalendarAdvance(Calendar,O3517,N3518,"f",FALSE)</f>
        <v>63865</v>
      </c>
      <c r="P3518" s="140">
        <f>_xll.qlInterestRateIndexValueDate(IborIndex,O3518)</f>
        <v>63867</v>
      </c>
      <c r="Q3518" s="141" t="e">
        <v>#N/A</v>
      </c>
      <c r="R3518" s="143" t="e">
        <v>#N/A</v>
      </c>
    </row>
    <row r="3519" spans="14:18" x14ac:dyDescent="0.2">
      <c r="N3519" s="139" t="str">
        <f t="shared" si="61"/>
        <v>1w</v>
      </c>
      <c r="O3519" s="146">
        <f>_xll.qlCalendarAdvance(Calendar,O3518,N3519,"f",FALSE)</f>
        <v>63872</v>
      </c>
      <c r="P3519" s="140">
        <f>_xll.qlInterestRateIndexValueDate(IborIndex,O3519)</f>
        <v>63874</v>
      </c>
      <c r="Q3519" s="141" t="e">
        <v>#N/A</v>
      </c>
      <c r="R3519" s="143" t="e">
        <v>#N/A</v>
      </c>
    </row>
    <row r="3520" spans="14:18" x14ac:dyDescent="0.2">
      <c r="N3520" s="139" t="str">
        <f t="shared" si="61"/>
        <v>1w</v>
      </c>
      <c r="O3520" s="146">
        <f>_xll.qlCalendarAdvance(Calendar,O3519,N3520,"f",FALSE)</f>
        <v>63879</v>
      </c>
      <c r="P3520" s="140">
        <f>_xll.qlInterestRateIndexValueDate(IborIndex,O3520)</f>
        <v>63881</v>
      </c>
      <c r="Q3520" s="141" t="e">
        <v>#N/A</v>
      </c>
      <c r="R3520" s="143" t="e">
        <v>#N/A</v>
      </c>
    </row>
    <row r="3521" spans="14:18" x14ac:dyDescent="0.2">
      <c r="N3521" s="139" t="str">
        <f t="shared" si="61"/>
        <v>1w</v>
      </c>
      <c r="O3521" s="146">
        <f>_xll.qlCalendarAdvance(Calendar,O3520,N3521,"f",FALSE)</f>
        <v>63886</v>
      </c>
      <c r="P3521" s="140">
        <f>_xll.qlInterestRateIndexValueDate(IborIndex,O3521)</f>
        <v>63888</v>
      </c>
      <c r="Q3521" s="141" t="e">
        <v>#N/A</v>
      </c>
      <c r="R3521" s="143" t="e">
        <v>#N/A</v>
      </c>
    </row>
    <row r="3522" spans="14:18" x14ac:dyDescent="0.2">
      <c r="N3522" s="139" t="str">
        <f t="shared" si="61"/>
        <v>1w</v>
      </c>
      <c r="O3522" s="146">
        <f>_xll.qlCalendarAdvance(Calendar,O3521,N3522,"f",FALSE)</f>
        <v>63893</v>
      </c>
      <c r="P3522" s="140">
        <f>_xll.qlInterestRateIndexValueDate(IborIndex,O3522)</f>
        <v>63895</v>
      </c>
      <c r="Q3522" s="141" t="e">
        <v>#N/A</v>
      </c>
      <c r="R3522" s="143" t="e">
        <v>#N/A</v>
      </c>
    </row>
    <row r="3523" spans="14:18" x14ac:dyDescent="0.2">
      <c r="N3523" s="139" t="str">
        <f t="shared" si="61"/>
        <v>1w</v>
      </c>
      <c r="O3523" s="146">
        <f>_xll.qlCalendarAdvance(Calendar,O3522,N3523,"f",FALSE)</f>
        <v>63900</v>
      </c>
      <c r="P3523" s="140">
        <f>_xll.qlInterestRateIndexValueDate(IborIndex,O3523)</f>
        <v>63902</v>
      </c>
      <c r="Q3523" s="141" t="e">
        <v>#N/A</v>
      </c>
      <c r="R3523" s="143" t="e">
        <v>#N/A</v>
      </c>
    </row>
    <row r="3524" spans="14:18" x14ac:dyDescent="0.2">
      <c r="N3524" s="139" t="str">
        <f t="shared" si="61"/>
        <v>1w</v>
      </c>
      <c r="O3524" s="146">
        <f>_xll.qlCalendarAdvance(Calendar,O3523,N3524,"f",FALSE)</f>
        <v>63907</v>
      </c>
      <c r="P3524" s="140">
        <f>_xll.qlInterestRateIndexValueDate(IborIndex,O3524)</f>
        <v>63909</v>
      </c>
      <c r="Q3524" s="141" t="e">
        <v>#N/A</v>
      </c>
      <c r="R3524" s="143" t="e">
        <v>#N/A</v>
      </c>
    </row>
    <row r="3525" spans="14:18" x14ac:dyDescent="0.2">
      <c r="N3525" s="139" t="str">
        <f t="shared" si="61"/>
        <v>1w</v>
      </c>
      <c r="O3525" s="146">
        <f>_xll.qlCalendarAdvance(Calendar,O3524,N3525,"f",FALSE)</f>
        <v>63915</v>
      </c>
      <c r="P3525" s="140">
        <f>_xll.qlInterestRateIndexValueDate(IborIndex,O3525)</f>
        <v>63921</v>
      </c>
      <c r="Q3525" s="141" t="e">
        <v>#N/A</v>
      </c>
      <c r="R3525" s="143" t="e">
        <v>#N/A</v>
      </c>
    </row>
    <row r="3526" spans="14:18" x14ac:dyDescent="0.2">
      <c r="N3526" s="139" t="str">
        <f t="shared" si="61"/>
        <v>1w</v>
      </c>
      <c r="O3526" s="146">
        <f>_xll.qlCalendarAdvance(Calendar,O3525,N3526,"f",FALSE)</f>
        <v>63922</v>
      </c>
      <c r="P3526" s="140">
        <f>_xll.qlInterestRateIndexValueDate(IborIndex,O3526)</f>
        <v>63926</v>
      </c>
      <c r="Q3526" s="141" t="e">
        <v>#N/A</v>
      </c>
      <c r="R3526" s="143" t="e">
        <v>#N/A</v>
      </c>
    </row>
    <row r="3527" spans="14:18" x14ac:dyDescent="0.2">
      <c r="N3527" s="139" t="str">
        <f t="shared" si="61"/>
        <v>1w</v>
      </c>
      <c r="O3527" s="146">
        <f>_xll.qlCalendarAdvance(Calendar,O3526,N3527,"f",FALSE)</f>
        <v>63929</v>
      </c>
      <c r="P3527" s="140">
        <f>_xll.qlInterestRateIndexValueDate(IborIndex,O3527)</f>
        <v>63933</v>
      </c>
      <c r="Q3527" s="141" t="e">
        <v>#N/A</v>
      </c>
      <c r="R3527" s="143" t="e">
        <v>#N/A</v>
      </c>
    </row>
    <row r="3528" spans="14:18" x14ac:dyDescent="0.2">
      <c r="N3528" s="139" t="str">
        <f t="shared" si="61"/>
        <v>1w</v>
      </c>
      <c r="O3528" s="146">
        <f>_xll.qlCalendarAdvance(Calendar,O3527,N3528,"f",FALSE)</f>
        <v>63936</v>
      </c>
      <c r="P3528" s="140">
        <f>_xll.qlInterestRateIndexValueDate(IborIndex,O3528)</f>
        <v>63940</v>
      </c>
      <c r="Q3528" s="141" t="e">
        <v>#N/A</v>
      </c>
      <c r="R3528" s="143" t="e">
        <v>#N/A</v>
      </c>
    </row>
    <row r="3529" spans="14:18" x14ac:dyDescent="0.2">
      <c r="N3529" s="139" t="str">
        <f t="shared" si="61"/>
        <v>1w</v>
      </c>
      <c r="O3529" s="146">
        <f>_xll.qlCalendarAdvance(Calendar,O3528,N3529,"f",FALSE)</f>
        <v>63943</v>
      </c>
      <c r="P3529" s="140">
        <f>_xll.qlInterestRateIndexValueDate(IborIndex,O3529)</f>
        <v>63947</v>
      </c>
      <c r="Q3529" s="141" t="e">
        <v>#N/A</v>
      </c>
      <c r="R3529" s="143" t="e">
        <v>#N/A</v>
      </c>
    </row>
    <row r="3530" spans="14:18" x14ac:dyDescent="0.2">
      <c r="N3530" s="139" t="str">
        <f t="shared" si="61"/>
        <v>1w</v>
      </c>
      <c r="O3530" s="146">
        <f>_xll.qlCalendarAdvance(Calendar,O3529,N3530,"f",FALSE)</f>
        <v>63950</v>
      </c>
      <c r="P3530" s="140">
        <f>_xll.qlInterestRateIndexValueDate(IborIndex,O3530)</f>
        <v>63954</v>
      </c>
      <c r="Q3530" s="141" t="e">
        <v>#N/A</v>
      </c>
      <c r="R3530" s="143" t="e">
        <v>#N/A</v>
      </c>
    </row>
    <row r="3531" spans="14:18" x14ac:dyDescent="0.2">
      <c r="N3531" s="139" t="str">
        <f t="shared" si="61"/>
        <v>1w</v>
      </c>
      <c r="O3531" s="146">
        <f>_xll.qlCalendarAdvance(Calendar,O3530,N3531,"f",FALSE)</f>
        <v>63957</v>
      </c>
      <c r="P3531" s="140">
        <f>_xll.qlInterestRateIndexValueDate(IborIndex,O3531)</f>
        <v>63961</v>
      </c>
      <c r="Q3531" s="141" t="e">
        <v>#N/A</v>
      </c>
      <c r="R3531" s="143" t="e">
        <v>#N/A</v>
      </c>
    </row>
    <row r="3532" spans="14:18" x14ac:dyDescent="0.2">
      <c r="N3532" s="139" t="str">
        <f t="shared" si="61"/>
        <v>1w</v>
      </c>
      <c r="O3532" s="146">
        <f>_xll.qlCalendarAdvance(Calendar,O3531,N3532,"f",FALSE)</f>
        <v>63964</v>
      </c>
      <c r="P3532" s="140">
        <f>_xll.qlInterestRateIndexValueDate(IborIndex,O3532)</f>
        <v>63968</v>
      </c>
      <c r="Q3532" s="141" t="e">
        <v>#N/A</v>
      </c>
      <c r="R3532" s="143" t="e">
        <v>#N/A</v>
      </c>
    </row>
    <row r="3533" spans="14:18" x14ac:dyDescent="0.2">
      <c r="N3533" s="139" t="str">
        <f t="shared" si="61"/>
        <v>1w</v>
      </c>
      <c r="O3533" s="146">
        <f>_xll.qlCalendarAdvance(Calendar,O3532,N3533,"f",FALSE)</f>
        <v>63971</v>
      </c>
      <c r="P3533" s="140">
        <f>_xll.qlInterestRateIndexValueDate(IborIndex,O3533)</f>
        <v>63975</v>
      </c>
      <c r="Q3533" s="141" t="e">
        <v>#N/A</v>
      </c>
      <c r="R3533" s="143" t="e">
        <v>#N/A</v>
      </c>
    </row>
    <row r="3534" spans="14:18" x14ac:dyDescent="0.2">
      <c r="N3534" s="139" t="str">
        <f t="shared" si="61"/>
        <v>1w</v>
      </c>
      <c r="O3534" s="146">
        <f>_xll.qlCalendarAdvance(Calendar,O3533,N3534,"f",FALSE)</f>
        <v>63978</v>
      </c>
      <c r="P3534" s="140">
        <f>_xll.qlInterestRateIndexValueDate(IborIndex,O3534)</f>
        <v>63982</v>
      </c>
      <c r="Q3534" s="141" t="e">
        <v>#N/A</v>
      </c>
      <c r="R3534" s="143" t="e">
        <v>#N/A</v>
      </c>
    </row>
    <row r="3535" spans="14:18" x14ac:dyDescent="0.2">
      <c r="N3535" s="139" t="str">
        <f t="shared" si="61"/>
        <v>1w</v>
      </c>
      <c r="O3535" s="146">
        <f>_xll.qlCalendarAdvance(Calendar,O3534,N3535,"f",FALSE)</f>
        <v>63985</v>
      </c>
      <c r="P3535" s="140">
        <f>_xll.qlInterestRateIndexValueDate(IborIndex,O3535)</f>
        <v>63989</v>
      </c>
      <c r="Q3535" s="141" t="e">
        <v>#N/A</v>
      </c>
      <c r="R3535" s="143" t="e">
        <v>#N/A</v>
      </c>
    </row>
    <row r="3536" spans="14:18" x14ac:dyDescent="0.2">
      <c r="N3536" s="139" t="str">
        <f t="shared" si="61"/>
        <v>1w</v>
      </c>
      <c r="O3536" s="146">
        <f>_xll.qlCalendarAdvance(Calendar,O3535,N3536,"f",FALSE)</f>
        <v>63992</v>
      </c>
      <c r="P3536" s="140">
        <f>_xll.qlInterestRateIndexValueDate(IborIndex,O3536)</f>
        <v>63996</v>
      </c>
      <c r="Q3536" s="141" t="e">
        <v>#N/A</v>
      </c>
      <c r="R3536" s="143" t="e">
        <v>#N/A</v>
      </c>
    </row>
    <row r="3537" spans="2:18" x14ac:dyDescent="0.2">
      <c r="N3537" s="139" t="str">
        <f t="shared" si="61"/>
        <v>1w</v>
      </c>
      <c r="O3537" s="146">
        <f>_xll.qlCalendarAdvance(Calendar,O3536,N3537,"f",FALSE)</f>
        <v>63999</v>
      </c>
      <c r="P3537" s="140">
        <f>_xll.qlInterestRateIndexValueDate(IborIndex,O3537)</f>
        <v>64003</v>
      </c>
      <c r="Q3537" s="141" t="e">
        <v>#N/A</v>
      </c>
      <c r="R3537" s="143" t="e">
        <v>#N/A</v>
      </c>
    </row>
    <row r="3538" spans="2:18" x14ac:dyDescent="0.2">
      <c r="N3538" s="139" t="str">
        <f t="shared" si="61"/>
        <v>1w</v>
      </c>
      <c r="O3538" s="146">
        <f>_xll.qlCalendarAdvance(Calendar,O3537,N3538,"f",FALSE)</f>
        <v>64006</v>
      </c>
      <c r="P3538" s="140">
        <f>_xll.qlInterestRateIndexValueDate(IborIndex,O3538)</f>
        <v>64010</v>
      </c>
      <c r="Q3538" s="141" t="e">
        <v>#N/A</v>
      </c>
      <c r="R3538" s="143" t="e">
        <v>#N/A</v>
      </c>
    </row>
    <row r="3539" spans="2:18" x14ac:dyDescent="0.2">
      <c r="N3539" s="139" t="str">
        <f t="shared" si="61"/>
        <v>1w</v>
      </c>
      <c r="O3539" s="146">
        <f>_xll.qlCalendarAdvance(Calendar,O3538,N3539,"f",FALSE)</f>
        <v>64013</v>
      </c>
      <c r="P3539" s="140">
        <f>_xll.qlInterestRateIndexValueDate(IborIndex,O3539)</f>
        <v>64019</v>
      </c>
      <c r="Q3539" s="141" t="e">
        <v>#N/A</v>
      </c>
      <c r="R3539" s="143" t="e">
        <v>#N/A</v>
      </c>
    </row>
    <row r="3540" spans="2:18" x14ac:dyDescent="0.2">
      <c r="B3540" s="146"/>
      <c r="C3540" s="140"/>
      <c r="D3540" s="141"/>
      <c r="E3540" s="141"/>
      <c r="N3540" s="139" t="str">
        <f t="shared" si="61"/>
        <v>1w</v>
      </c>
      <c r="O3540" s="146">
        <f>_xll.qlCalendarAdvance(Calendar,O3539,N3540,"f",FALSE)</f>
        <v>64020</v>
      </c>
      <c r="P3540" s="140">
        <f>_xll.qlInterestRateIndexValueDate(IborIndex,O3540)</f>
        <v>64024</v>
      </c>
      <c r="Q3540" s="141" t="e">
        <v>#N/A</v>
      </c>
      <c r="R3540" s="143" t="e">
        <v>#N/A</v>
      </c>
    </row>
    <row r="3541" spans="2:18" x14ac:dyDescent="0.2">
      <c r="B3541" s="146"/>
      <c r="C3541" s="140"/>
      <c r="D3541" s="141"/>
      <c r="E3541" s="141"/>
      <c r="N3541" s="139" t="str">
        <f t="shared" ref="N3541:N3552" si="62">N3540</f>
        <v>1w</v>
      </c>
      <c r="O3541" s="146">
        <f>_xll.qlCalendarAdvance(Calendar,O3540,N3541,"f",FALSE)</f>
        <v>64027</v>
      </c>
      <c r="P3541" s="140">
        <f>_xll.qlInterestRateIndexValueDate(IborIndex,O3541)</f>
        <v>64031</v>
      </c>
      <c r="Q3541" s="141" t="e">
        <v>#N/A</v>
      </c>
      <c r="R3541" s="143" t="e">
        <v>#N/A</v>
      </c>
    </row>
    <row r="3542" spans="2:18" x14ac:dyDescent="0.2">
      <c r="B3542" s="146"/>
      <c r="C3542" s="140"/>
      <c r="D3542" s="141"/>
      <c r="E3542" s="141"/>
      <c r="N3542" s="139" t="str">
        <f t="shared" si="62"/>
        <v>1w</v>
      </c>
      <c r="O3542" s="146">
        <f>_xll.qlCalendarAdvance(Calendar,O3541,N3542,"f",FALSE)</f>
        <v>64034</v>
      </c>
      <c r="P3542" s="140">
        <f>_xll.qlInterestRateIndexValueDate(IborIndex,O3542)</f>
        <v>64038</v>
      </c>
      <c r="Q3542" s="141" t="e">
        <v>#N/A</v>
      </c>
      <c r="R3542" s="143" t="e">
        <v>#N/A</v>
      </c>
    </row>
    <row r="3543" spans="2:18" x14ac:dyDescent="0.2">
      <c r="B3543" s="146"/>
      <c r="C3543" s="140"/>
      <c r="D3543" s="141"/>
      <c r="E3543" s="141"/>
      <c r="N3543" s="139" t="str">
        <f t="shared" si="62"/>
        <v>1w</v>
      </c>
      <c r="O3543" s="146">
        <f>_xll.qlCalendarAdvance(Calendar,O3542,N3543,"f",FALSE)</f>
        <v>64041</v>
      </c>
      <c r="P3543" s="140">
        <f>_xll.qlInterestRateIndexValueDate(IborIndex,O3543)</f>
        <v>64045</v>
      </c>
      <c r="Q3543" s="141" t="e">
        <v>#N/A</v>
      </c>
      <c r="R3543" s="143" t="e">
        <v>#N/A</v>
      </c>
    </row>
    <row r="3544" spans="2:18" x14ac:dyDescent="0.2">
      <c r="B3544" s="146"/>
      <c r="C3544" s="140"/>
      <c r="D3544" s="141"/>
      <c r="E3544" s="141"/>
      <c r="N3544" s="139" t="str">
        <f t="shared" si="62"/>
        <v>1w</v>
      </c>
      <c r="O3544" s="146">
        <f>_xll.qlCalendarAdvance(Calendar,O3543,N3544,"f",FALSE)</f>
        <v>64048</v>
      </c>
      <c r="P3544" s="140">
        <f>_xll.qlInterestRateIndexValueDate(IborIndex,O3544)</f>
        <v>64052</v>
      </c>
      <c r="Q3544" s="141" t="e">
        <v>#N/A</v>
      </c>
      <c r="R3544" s="143" t="e">
        <v>#N/A</v>
      </c>
    </row>
    <row r="3545" spans="2:18" x14ac:dyDescent="0.2">
      <c r="B3545" s="146"/>
      <c r="C3545" s="140"/>
      <c r="D3545" s="141"/>
      <c r="E3545" s="141"/>
      <c r="N3545" s="139" t="str">
        <f t="shared" si="62"/>
        <v>1w</v>
      </c>
      <c r="O3545" s="146">
        <f>_xll.qlCalendarAdvance(Calendar,O3544,N3545,"f",FALSE)</f>
        <v>64056</v>
      </c>
      <c r="P3545" s="140">
        <f>_xll.qlInterestRateIndexValueDate(IborIndex,O3545)</f>
        <v>64060</v>
      </c>
      <c r="Q3545" s="141" t="e">
        <v>#N/A</v>
      </c>
      <c r="R3545" s="143" t="e">
        <v>#N/A</v>
      </c>
    </row>
    <row r="3546" spans="2:18" x14ac:dyDescent="0.2">
      <c r="B3546" s="146"/>
      <c r="C3546" s="140"/>
      <c r="D3546" s="141"/>
      <c r="E3546" s="141"/>
      <c r="N3546" s="139" t="str">
        <f t="shared" si="62"/>
        <v>1w</v>
      </c>
      <c r="O3546" s="146">
        <f>_xll.qlCalendarAdvance(Calendar,O3545,N3546,"f",FALSE)</f>
        <v>64063</v>
      </c>
      <c r="P3546" s="140">
        <f>_xll.qlInterestRateIndexValueDate(IborIndex,O3546)</f>
        <v>64068</v>
      </c>
      <c r="Q3546" s="141" t="e">
        <v>#N/A</v>
      </c>
      <c r="R3546" s="143" t="e">
        <v>#N/A</v>
      </c>
    </row>
    <row r="3547" spans="2:18" x14ac:dyDescent="0.2">
      <c r="B3547" s="146"/>
      <c r="C3547" s="140"/>
      <c r="D3547" s="141"/>
      <c r="E3547" s="141"/>
      <c r="N3547" s="139" t="str">
        <f t="shared" si="62"/>
        <v>1w</v>
      </c>
      <c r="O3547" s="146">
        <f>_xll.qlCalendarAdvance(Calendar,O3546,N3547,"f",FALSE)</f>
        <v>64070</v>
      </c>
      <c r="P3547" s="140">
        <f>_xll.qlInterestRateIndexValueDate(IborIndex,O3547)</f>
        <v>64074</v>
      </c>
      <c r="Q3547" s="141" t="e">
        <v>#N/A</v>
      </c>
      <c r="R3547" s="143" t="e">
        <v>#N/A</v>
      </c>
    </row>
    <row r="3548" spans="2:18" x14ac:dyDescent="0.2">
      <c r="B3548" s="146"/>
      <c r="C3548" s="140"/>
      <c r="D3548" s="141"/>
      <c r="E3548" s="141"/>
      <c r="N3548" s="139" t="str">
        <f t="shared" si="62"/>
        <v>1w</v>
      </c>
      <c r="O3548" s="146">
        <f>_xll.qlCalendarAdvance(Calendar,O3547,N3548,"f",FALSE)</f>
        <v>64077</v>
      </c>
      <c r="P3548" s="140">
        <f>_xll.qlInterestRateIndexValueDate(IborIndex,O3548)</f>
        <v>64081</v>
      </c>
      <c r="Q3548" s="141" t="e">
        <v>#N/A</v>
      </c>
      <c r="R3548" s="143" t="e">
        <v>#N/A</v>
      </c>
    </row>
    <row r="3549" spans="2:18" x14ac:dyDescent="0.2">
      <c r="B3549" s="146"/>
      <c r="C3549" s="140"/>
      <c r="D3549" s="141"/>
      <c r="E3549" s="141"/>
      <c r="N3549" s="139" t="str">
        <f t="shared" si="62"/>
        <v>1w</v>
      </c>
      <c r="O3549" s="146">
        <f>_xll.qlCalendarAdvance(Calendar,O3548,N3549,"f",FALSE)</f>
        <v>64084</v>
      </c>
      <c r="P3549" s="140">
        <f>_xll.qlInterestRateIndexValueDate(IborIndex,O3549)</f>
        <v>64088</v>
      </c>
      <c r="Q3549" s="141" t="e">
        <v>#N/A</v>
      </c>
      <c r="R3549" s="143" t="e">
        <v>#N/A</v>
      </c>
    </row>
    <row r="3550" spans="2:18" x14ac:dyDescent="0.2">
      <c r="B3550" s="146"/>
      <c r="C3550" s="140"/>
      <c r="D3550" s="141"/>
      <c r="E3550" s="141"/>
      <c r="N3550" s="139" t="str">
        <f t="shared" si="62"/>
        <v>1w</v>
      </c>
      <c r="O3550" s="146">
        <f>_xll.qlCalendarAdvance(Calendar,O3549,N3550,"f",FALSE)</f>
        <v>64094</v>
      </c>
      <c r="P3550" s="140">
        <f>_xll.qlInterestRateIndexValueDate(IborIndex,O3550)</f>
        <v>64096</v>
      </c>
      <c r="Q3550" s="141" t="e">
        <v>#N/A</v>
      </c>
      <c r="R3550" s="143" t="e">
        <v>#N/A</v>
      </c>
    </row>
    <row r="3551" spans="2:18" x14ac:dyDescent="0.2">
      <c r="B3551" s="146"/>
      <c r="C3551" s="140"/>
      <c r="D3551" s="141"/>
      <c r="E3551" s="141"/>
      <c r="N3551" s="139" t="str">
        <f t="shared" si="62"/>
        <v>1w</v>
      </c>
      <c r="O3551" s="146">
        <f>_xll.qlCalendarAdvance(Calendar,O3550,N3551,"f",FALSE)</f>
        <v>64101</v>
      </c>
      <c r="P3551" s="140">
        <f>_xll.qlInterestRateIndexValueDate(IborIndex,O3551)</f>
        <v>64103</v>
      </c>
      <c r="Q3551" s="141" t="e">
        <v>#N/A</v>
      </c>
      <c r="R3551" s="143" t="e">
        <v>#N/A</v>
      </c>
    </row>
    <row r="3552" spans="2:18" ht="12" thickBot="1" x14ac:dyDescent="0.25">
      <c r="B3552" s="146"/>
      <c r="C3552" s="140"/>
      <c r="D3552" s="141"/>
      <c r="E3552" s="141"/>
      <c r="N3552" s="147" t="str">
        <f t="shared" si="62"/>
        <v>1w</v>
      </c>
      <c r="O3552" s="146">
        <f>_xll.qlCalendarAdvance(Calendar,O3551,N3552,"f",FALSE)</f>
        <v>64108</v>
      </c>
      <c r="P3552" s="150">
        <f>_xll.qlInterestRateIndexValueDate(IborIndex,O3552)</f>
        <v>64110</v>
      </c>
      <c r="Q3552" s="142" t="e">
        <v>#N/A</v>
      </c>
      <c r="R3552" s="144" t="e">
        <v>#N/A</v>
      </c>
    </row>
    <row r="3553" spans="2:14" x14ac:dyDescent="0.2">
      <c r="B3553" s="146"/>
      <c r="C3553" s="140"/>
      <c r="D3553" s="141"/>
      <c r="E3553" s="141"/>
      <c r="N3553" s="148"/>
    </row>
  </sheetData>
  <dataConsolidate/>
  <dataValidations disablePrompts="1" count="2">
    <dataValidation type="list" errorStyle="warning" allowBlank="1" showInputMessage="1" showErrorMessage="1" sqref="D53714 D119250 D184786 D250322 D315858 D381394 D446930 D512466 D578002 D643538 D709074 D774610 D840146 D905682 D971218">
      <formula1>"ON,1M,3M,6M,1Y"</formula1>
    </dataValidation>
    <dataValidation type="list" allowBlank="1" showInputMessage="1" showErrorMessage="1" sqref="C53714 C119250 C184786 C250322 C315858 C381394 C446930 C512466 C578002 C643538 C709074 C774610 C840146 C905682 C971218">
      <formula1>"EUR,USD,GBP,JPY,CHF"</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217" r:id="rId4" name="Length4">
              <controlPr defaultSize="0" print="0" autoFill="0" autoPict="0" macro="[0]!grphUpdate">
                <anchor moveWithCells="1">
                  <from>
                    <xdr:col>8</xdr:col>
                    <xdr:colOff>523875</xdr:colOff>
                    <xdr:row>35</xdr:row>
                    <xdr:rowOff>9525</xdr:rowOff>
                  </from>
                  <to>
                    <xdr:col>10</xdr:col>
                    <xdr:colOff>209550</xdr:colOff>
                    <xdr:row>37</xdr:row>
                    <xdr:rowOff>0</xdr:rowOff>
                  </to>
                </anchor>
              </controlPr>
            </control>
          </mc:Choice>
        </mc:AlternateContent>
        <mc:AlternateContent xmlns:mc="http://schemas.openxmlformats.org/markup-compatibility/2006">
          <mc:Choice Requires="x14">
            <control shapeId="9218" r:id="rId5" name="Length1">
              <controlPr defaultSize="0" print="0" autoFill="0" autoPict="0" macro="[0]!grphUpdate">
                <anchor moveWithCells="1">
                  <from>
                    <xdr:col>8</xdr:col>
                    <xdr:colOff>523875</xdr:colOff>
                    <xdr:row>26</xdr:row>
                    <xdr:rowOff>133350</xdr:rowOff>
                  </from>
                  <to>
                    <xdr:col>10</xdr:col>
                    <xdr:colOff>209550</xdr:colOff>
                    <xdr:row>28</xdr:row>
                    <xdr:rowOff>123825</xdr:rowOff>
                  </to>
                </anchor>
              </controlPr>
            </control>
          </mc:Choice>
        </mc:AlternateContent>
        <mc:AlternateContent xmlns:mc="http://schemas.openxmlformats.org/markup-compatibility/2006">
          <mc:Choice Requires="x14">
            <control shapeId="9219" r:id="rId6" name="Length7">
              <controlPr defaultSize="0" print="0" autoFill="0" autoPict="0" macro="[0]!grphUpdate">
                <anchor moveWithCells="1">
                  <from>
                    <xdr:col>8</xdr:col>
                    <xdr:colOff>523875</xdr:colOff>
                    <xdr:row>43</xdr:row>
                    <xdr:rowOff>19050</xdr:rowOff>
                  </from>
                  <to>
                    <xdr:col>10</xdr:col>
                    <xdr:colOff>209550</xdr:colOff>
                    <xdr:row>45</xdr:row>
                    <xdr:rowOff>9525</xdr:rowOff>
                  </to>
                </anchor>
              </controlPr>
            </control>
          </mc:Choice>
        </mc:AlternateContent>
        <mc:AlternateContent xmlns:mc="http://schemas.openxmlformats.org/markup-compatibility/2006">
          <mc:Choice Requires="x14">
            <control shapeId="9220" r:id="rId7" name="Length0">
              <controlPr defaultSize="0" print="0" autoFill="0" autoPict="0" macro="[0]!grphUpdate">
                <anchor moveWithCells="1">
                  <from>
                    <xdr:col>8</xdr:col>
                    <xdr:colOff>523875</xdr:colOff>
                    <xdr:row>24</xdr:row>
                    <xdr:rowOff>19050</xdr:rowOff>
                  </from>
                  <to>
                    <xdr:col>10</xdr:col>
                    <xdr:colOff>209550</xdr:colOff>
                    <xdr:row>26</xdr:row>
                    <xdr:rowOff>9525</xdr:rowOff>
                  </to>
                </anchor>
              </controlPr>
            </control>
          </mc:Choice>
        </mc:AlternateContent>
        <mc:AlternateContent xmlns:mc="http://schemas.openxmlformats.org/markup-compatibility/2006">
          <mc:Choice Requires="x14">
            <control shapeId="9221" r:id="rId8" name="Length2">
              <controlPr defaultSize="0" print="0" autoFill="0" autoPict="0" macro="[0]!grphUpdate">
                <anchor moveWithCells="1">
                  <from>
                    <xdr:col>8</xdr:col>
                    <xdr:colOff>523875</xdr:colOff>
                    <xdr:row>29</xdr:row>
                    <xdr:rowOff>95250</xdr:rowOff>
                  </from>
                  <to>
                    <xdr:col>10</xdr:col>
                    <xdr:colOff>209550</xdr:colOff>
                    <xdr:row>31</xdr:row>
                    <xdr:rowOff>85725</xdr:rowOff>
                  </to>
                </anchor>
              </controlPr>
            </control>
          </mc:Choice>
        </mc:AlternateContent>
        <mc:AlternateContent xmlns:mc="http://schemas.openxmlformats.org/markup-compatibility/2006">
          <mc:Choice Requires="x14">
            <control shapeId="9222" r:id="rId9" name="Length3">
              <controlPr defaultSize="0" print="0" autoFill="0" autoPict="0" macro="[0]!grphUpdate">
                <anchor moveWithCells="1">
                  <from>
                    <xdr:col>8</xdr:col>
                    <xdr:colOff>523875</xdr:colOff>
                    <xdr:row>32</xdr:row>
                    <xdr:rowOff>57150</xdr:rowOff>
                  </from>
                  <to>
                    <xdr:col>10</xdr:col>
                    <xdr:colOff>209550</xdr:colOff>
                    <xdr:row>34</xdr:row>
                    <xdr:rowOff>47625</xdr:rowOff>
                  </to>
                </anchor>
              </controlPr>
            </control>
          </mc:Choice>
        </mc:AlternateContent>
        <mc:AlternateContent xmlns:mc="http://schemas.openxmlformats.org/markup-compatibility/2006">
          <mc:Choice Requires="x14">
            <control shapeId="9223" r:id="rId10" name="Length5">
              <controlPr defaultSize="0" print="0" autoFill="0" autoPict="0" macro="[0]!grphUpdate">
                <anchor moveWithCells="1">
                  <from>
                    <xdr:col>8</xdr:col>
                    <xdr:colOff>523875</xdr:colOff>
                    <xdr:row>37</xdr:row>
                    <xdr:rowOff>85725</xdr:rowOff>
                  </from>
                  <to>
                    <xdr:col>10</xdr:col>
                    <xdr:colOff>209550</xdr:colOff>
                    <xdr:row>39</xdr:row>
                    <xdr:rowOff>76200</xdr:rowOff>
                  </to>
                </anchor>
              </controlPr>
            </control>
          </mc:Choice>
        </mc:AlternateContent>
        <mc:AlternateContent xmlns:mc="http://schemas.openxmlformats.org/markup-compatibility/2006">
          <mc:Choice Requires="x14">
            <control shapeId="9224" r:id="rId11" name="Length6">
              <controlPr defaultSize="0" print="0" autoFill="0" autoPict="0" macro="[0]!grphUpdate">
                <anchor moveWithCells="1">
                  <from>
                    <xdr:col>8</xdr:col>
                    <xdr:colOff>523875</xdr:colOff>
                    <xdr:row>40</xdr:row>
                    <xdr:rowOff>47625</xdr:rowOff>
                  </from>
                  <to>
                    <xdr:col>10</xdr:col>
                    <xdr:colOff>209550</xdr:colOff>
                    <xdr:row>42</xdr:row>
                    <xdr:rowOff>38100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vt:i4>
      </vt:variant>
    </vt:vector>
  </HeadingPairs>
  <TitlesOfParts>
    <vt:vector size="45" baseType="lpstr">
      <vt:lpstr>General Settings</vt:lpstr>
      <vt:lpstr>RateHelpers</vt:lpstr>
      <vt:lpstr>Selected</vt:lpstr>
      <vt:lpstr>Synthetic Deposits</vt:lpstr>
      <vt:lpstr>SwapsFromBasis</vt:lpstr>
      <vt:lpstr>Monitor</vt:lpstr>
      <vt:lpstr>Accuracy</vt:lpstr>
      <vt:lpstr>BondBasisDayCounter</vt:lpstr>
      <vt:lpstr>Calendar</vt:lpstr>
      <vt:lpstr>Currency</vt:lpstr>
      <vt:lpstr>DataTable</vt:lpstr>
      <vt:lpstr>DayCounter</vt:lpstr>
      <vt:lpstr>DepoInclusionCriteria</vt:lpstr>
      <vt:lpstr>Discounting</vt:lpstr>
      <vt:lpstr>FamilyName</vt:lpstr>
      <vt:lpstr>FileOverwrite</vt:lpstr>
      <vt:lpstr>FrontFuturesRollingDays</vt:lpstr>
      <vt:lpstr>IborIndex</vt:lpstr>
      <vt:lpstr>IborType</vt:lpstr>
      <vt:lpstr>IndexTenor</vt:lpstr>
      <vt:lpstr>InterpolatorID</vt:lpstr>
      <vt:lpstr>MinDistance</vt:lpstr>
      <vt:lpstr>MoneyMarketDayCounter</vt:lpstr>
      <vt:lpstr>Months</vt:lpstr>
      <vt:lpstr>NDays</vt:lpstr>
      <vt:lpstr>nIMMFutures</vt:lpstr>
      <vt:lpstr>nSerialFutures</vt:lpstr>
      <vt:lpstr>ObjectOverwrite</vt:lpstr>
      <vt:lpstr>ONQuotes</vt:lpstr>
      <vt:lpstr>ONValueDates</vt:lpstr>
      <vt:lpstr>OverNightIndex</vt:lpstr>
      <vt:lpstr>Permanent</vt:lpstr>
      <vt:lpstr>QuoteSuffix</vt:lpstr>
      <vt:lpstr>RateHelperPrefix</vt:lpstr>
      <vt:lpstr>RateHelpers</vt:lpstr>
      <vt:lpstr>RateHelpersIncluded</vt:lpstr>
      <vt:lpstr>RateHelpersPriority</vt:lpstr>
      <vt:lpstr>RateHelpersSelected</vt:lpstr>
      <vt:lpstr>RecalcTrigger</vt:lpstr>
      <vt:lpstr>SerializationPath</vt:lpstr>
      <vt:lpstr>Serialize</vt:lpstr>
      <vt:lpstr>SwapFixedFreq</vt:lpstr>
      <vt:lpstr>TraitsID</vt:lpstr>
      <vt:lpstr>Trigger</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ZANZI MADDALENA</cp:lastModifiedBy>
  <dcterms:created xsi:type="dcterms:W3CDTF">2014-01-13T09:47:27Z</dcterms:created>
  <dcterms:modified xsi:type="dcterms:W3CDTF">2015-05-13T10:56:42Z</dcterms:modified>
</cp:coreProperties>
</file>
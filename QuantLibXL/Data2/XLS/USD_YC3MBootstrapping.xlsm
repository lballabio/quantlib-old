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C6" i="7"/>
  <c r="C4" i="7"/>
  <c r="C3" i="7"/>
  <c r="C5" i="7"/>
  <c r="E3" i="12" l="1"/>
  <c r="E5" i="12"/>
  <c r="E8" i="12"/>
  <c r="E4" i="12"/>
  <c r="F1" i="12"/>
  <c r="G1" i="12" s="1"/>
  <c r="E7" i="12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X19" i="13"/>
  <c r="X20" i="13" s="1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X537" i="13" s="1"/>
  <c r="X538" i="13" s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K3" i="11"/>
  <c r="F2" i="7"/>
  <c r="G7" i="12"/>
  <c r="K48" i="11"/>
  <c r="G3" i="12"/>
  <c r="C5" i="13"/>
  <c r="C4" i="13"/>
  <c r="L2" i="11"/>
  <c r="K15" i="11"/>
  <c r="E4" i="7"/>
  <c r="G8" i="12"/>
  <c r="G5" i="12"/>
  <c r="K47" i="11"/>
  <c r="G4" i="12"/>
  <c r="E6" i="7"/>
  <c r="G6" i="12"/>
  <c r="K44" i="11"/>
  <c r="E3" i="7"/>
  <c r="K49" i="11"/>
  <c r="K46" i="11"/>
  <c r="K45" i="11"/>
  <c r="K43" i="11"/>
  <c r="E5" i="7"/>
  <c r="C3" i="13"/>
  <c r="I2" i="9"/>
  <c r="B55" i="4" l="1"/>
  <c r="B59" i="4"/>
  <c r="B56" i="4"/>
  <c r="B57" i="4"/>
  <c r="B4" i="4"/>
  <c r="B54" i="4"/>
  <c r="B58" i="4"/>
  <c r="B11" i="4"/>
  <c r="B60" i="4"/>
  <c r="C11" i="13"/>
  <c r="B6" i="4"/>
  <c r="B9" i="4"/>
  <c r="B7" i="4"/>
  <c r="B3" i="4"/>
  <c r="B2" i="4"/>
  <c r="C6" i="13"/>
  <c r="C12" i="13"/>
  <c r="C10" i="13"/>
  <c r="B5" i="4"/>
  <c r="B10" i="4"/>
  <c r="B8" i="4"/>
  <c r="C30" i="6"/>
  <c r="D9" i="6"/>
  <c r="D16" i="6"/>
  <c r="D20" i="6"/>
  <c r="E20" i="6"/>
  <c r="D22" i="6"/>
  <c r="E22" i="6"/>
  <c r="C13" i="13" l="1"/>
  <c r="B71" i="4"/>
  <c r="K19" i="11"/>
  <c r="L15" i="11"/>
  <c r="J58" i="4"/>
  <c r="C6" i="4"/>
  <c r="K24" i="11"/>
  <c r="D9" i="4"/>
  <c r="D2" i="4"/>
  <c r="F6" i="7"/>
  <c r="I3" i="4"/>
  <c r="L3" i="11"/>
  <c r="K39" i="11"/>
  <c r="C54" i="4"/>
  <c r="C4" i="4"/>
  <c r="D3" i="9" a="1"/>
  <c r="C11" i="4"/>
  <c r="C57" i="4"/>
  <c r="K16" i="11"/>
  <c r="K5" i="11"/>
  <c r="D10" i="4"/>
  <c r="C10" i="4"/>
  <c r="E58" i="4"/>
  <c r="K9" i="11"/>
  <c r="J2" i="4"/>
  <c r="I59" i="4"/>
  <c r="L46" i="11"/>
  <c r="L44" i="11"/>
  <c r="K20" i="11"/>
  <c r="C9" i="4"/>
  <c r="L47" i="11"/>
  <c r="D7" i="4"/>
  <c r="K7" i="11"/>
  <c r="I56" i="4"/>
  <c r="D55" i="4"/>
  <c r="B1" i="6"/>
  <c r="D59" i="4"/>
  <c r="I55" i="4"/>
  <c r="C59" i="4"/>
  <c r="I5" i="4"/>
  <c r="J7" i="4"/>
  <c r="I60" i="4"/>
  <c r="J9" i="4"/>
  <c r="K38" i="11"/>
  <c r="J54" i="4"/>
  <c r="J10" i="4"/>
  <c r="D11" i="4"/>
  <c r="J59" i="4"/>
  <c r="D58" i="4"/>
  <c r="J11" i="4"/>
  <c r="K21" i="11"/>
  <c r="E54" i="4"/>
  <c r="I9" i="4"/>
  <c r="J6" i="4"/>
  <c r="J5" i="4"/>
  <c r="J3" i="4"/>
  <c r="K17" i="11"/>
  <c r="K10" i="11"/>
  <c r="I7" i="4"/>
  <c r="L45" i="11"/>
  <c r="K36" i="11"/>
  <c r="C56" i="4"/>
  <c r="I4" i="4"/>
  <c r="K40" i="11"/>
  <c r="E56" i="4"/>
  <c r="K41" i="11"/>
  <c r="K30" i="11"/>
  <c r="K28" i="11"/>
  <c r="E60" i="4"/>
  <c r="C60" i="4"/>
  <c r="D60" i="4"/>
  <c r="L43" i="11"/>
  <c r="D8" i="4"/>
  <c r="J4" i="4"/>
  <c r="C7" i="4"/>
  <c r="I58" i="4"/>
  <c r="D21" i="6"/>
  <c r="K13" i="11"/>
  <c r="I10" i="4"/>
  <c r="K33" i="11"/>
  <c r="J8" i="4"/>
  <c r="D6" i="4"/>
  <c r="K35" i="11"/>
  <c r="D57" i="4"/>
  <c r="C2" i="4"/>
  <c r="E57" i="4"/>
  <c r="D3" i="4"/>
  <c r="K37" i="11"/>
  <c r="K29" i="11"/>
  <c r="K26" i="11"/>
  <c r="C7" i="13"/>
  <c r="K11" i="11"/>
  <c r="I8" i="4"/>
  <c r="J55" i="4"/>
  <c r="F5" i="7"/>
  <c r="C5" i="4"/>
  <c r="C3" i="4"/>
  <c r="D54" i="4"/>
  <c r="K23" i="11"/>
  <c r="K14" i="11"/>
  <c r="I6" i="4"/>
  <c r="C8" i="4"/>
  <c r="I54" i="4"/>
  <c r="F3" i="7"/>
  <c r="K31" i="11"/>
  <c r="F4" i="7"/>
  <c r="K25" i="11"/>
  <c r="L48" i="11"/>
  <c r="J56" i="4"/>
  <c r="C58" i="4"/>
  <c r="C55" i="4"/>
  <c r="K22" i="11"/>
  <c r="K34" i="11"/>
  <c r="L49" i="11"/>
  <c r="D4" i="4"/>
  <c r="K27" i="11"/>
  <c r="K6" i="11"/>
  <c r="E59" i="4"/>
  <c r="E55" i="4"/>
  <c r="J57" i="4"/>
  <c r="K12" i="11"/>
  <c r="K32" i="11"/>
  <c r="J60" i="4"/>
  <c r="D56" i="4"/>
  <c r="I11" i="4"/>
  <c r="I57" i="4"/>
  <c r="K8" i="11"/>
  <c r="D5" i="4"/>
  <c r="I2" i="4"/>
  <c r="K18" i="11"/>
  <c r="L12" i="11"/>
  <c r="L8" i="11"/>
  <c r="J71" i="4"/>
  <c r="L5" i="11"/>
  <c r="L24" i="11"/>
  <c r="L29" i="11"/>
  <c r="E71" i="4"/>
  <c r="L31" i="11"/>
  <c r="L38" i="11"/>
  <c r="L22" i="11"/>
  <c r="L33" i="11"/>
  <c r="L27" i="11"/>
  <c r="L30" i="11"/>
  <c r="L35" i="11"/>
  <c r="L26" i="11"/>
  <c r="L28" i="11"/>
  <c r="L21" i="11"/>
  <c r="L19" i="11"/>
  <c r="L10" i="11"/>
  <c r="L36" i="11"/>
  <c r="L9" i="11"/>
  <c r="I71" i="4"/>
  <c r="L32" i="11"/>
  <c r="L13" i="11"/>
  <c r="L16" i="11"/>
  <c r="L14" i="11"/>
  <c r="L39" i="11"/>
  <c r="L41" i="11"/>
  <c r="L20" i="11"/>
  <c r="L18" i="11"/>
  <c r="L23" i="11"/>
  <c r="L37" i="11"/>
  <c r="L17" i="11"/>
  <c r="C71" i="4"/>
  <c r="L34" i="11"/>
  <c r="D71" i="4"/>
  <c r="L40" i="11"/>
  <c r="L11" i="11"/>
  <c r="L25" i="11"/>
  <c r="L6" i="11"/>
  <c r="B74" i="4" l="1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F37" i="9" s="1"/>
  <c r="D5" i="9"/>
  <c r="G5" i="9" s="1"/>
  <c r="D3" i="9"/>
  <c r="F3" i="9" s="1"/>
  <c r="D31" i="9"/>
  <c r="F31" i="9" s="1"/>
  <c r="D29" i="9"/>
  <c r="F29" i="9" s="1"/>
  <c r="D13" i="9"/>
  <c r="G13" i="9" s="1"/>
  <c r="D8" i="9"/>
  <c r="D19" i="9"/>
  <c r="G19" i="9" s="1"/>
  <c r="D30" i="9"/>
  <c r="D44" i="9"/>
  <c r="G44" i="9" s="1"/>
  <c r="D12" i="9"/>
  <c r="D42" i="9"/>
  <c r="F42" i="9" s="1"/>
  <c r="D7" i="9"/>
  <c r="F7" i="9" s="1"/>
  <c r="D33" i="9"/>
  <c r="F33" i="9" s="1"/>
  <c r="D20" i="9"/>
  <c r="G20" i="9" s="1"/>
  <c r="D14" i="9"/>
  <c r="F14" i="9" s="1"/>
  <c r="D16" i="9"/>
  <c r="G16" i="9" s="1"/>
  <c r="D11" i="9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9" i="9"/>
  <c r="G9" i="9"/>
  <c r="F16" i="9"/>
  <c r="F43" i="9"/>
  <c r="G7" i="9"/>
  <c r="F32" i="9"/>
  <c r="F12" i="9"/>
  <c r="G12" i="9"/>
  <c r="G30" i="9"/>
  <c r="F30" i="9"/>
  <c r="G35" i="9"/>
  <c r="F8" i="9"/>
  <c r="G8" i="9"/>
  <c r="G25" i="9"/>
  <c r="F25" i="9"/>
  <c r="G31" i="9"/>
  <c r="F6" i="9"/>
  <c r="F5" i="9"/>
  <c r="G37" i="9"/>
  <c r="G22" i="9"/>
  <c r="G24" i="9"/>
  <c r="G11" i="9"/>
  <c r="F11" i="9"/>
  <c r="F41" i="9"/>
  <c r="J74" i="4"/>
  <c r="C74" i="4"/>
  <c r="D74" i="4"/>
  <c r="I74" i="4"/>
  <c r="E74" i="4"/>
  <c r="C81" i="4"/>
  <c r="I81" i="4"/>
  <c r="J81" i="4"/>
  <c r="E81" i="4"/>
  <c r="D81" i="4"/>
  <c r="J85" i="4"/>
  <c r="C85" i="4"/>
  <c r="E85" i="4"/>
  <c r="D85" i="4"/>
  <c r="I85" i="4"/>
  <c r="C86" i="4"/>
  <c r="I86" i="4"/>
  <c r="D86" i="4"/>
  <c r="E86" i="4"/>
  <c r="J86" i="4"/>
  <c r="L7" i="11"/>
  <c r="E95" i="4"/>
  <c r="D95" i="4"/>
  <c r="J95" i="4"/>
  <c r="I95" i="4"/>
  <c r="C95" i="4"/>
  <c r="H31" i="9"/>
  <c r="H32" i="9"/>
  <c r="H41" i="9"/>
  <c r="J64" i="4"/>
  <c r="E64" i="4"/>
  <c r="D64" i="4"/>
  <c r="C64" i="4"/>
  <c r="I64" i="4"/>
  <c r="D87" i="4"/>
  <c r="J87" i="4"/>
  <c r="E87" i="4"/>
  <c r="C87" i="4"/>
  <c r="I87" i="4"/>
  <c r="E93" i="4"/>
  <c r="D93" i="4"/>
  <c r="I93" i="4"/>
  <c r="J93" i="4"/>
  <c r="C93" i="4"/>
  <c r="E97" i="4"/>
  <c r="C97" i="4"/>
  <c r="I97" i="4"/>
  <c r="D97" i="4"/>
  <c r="J97" i="4"/>
  <c r="D63" i="4"/>
  <c r="I63" i="4"/>
  <c r="C63" i="4"/>
  <c r="E63" i="4"/>
  <c r="J63" i="4"/>
  <c r="C80" i="4"/>
  <c r="E80" i="4"/>
  <c r="J80" i="4"/>
  <c r="I80" i="4"/>
  <c r="D80" i="4"/>
  <c r="H35" i="9"/>
  <c r="H7" i="9"/>
  <c r="E88" i="4"/>
  <c r="I88" i="4"/>
  <c r="D88" i="4"/>
  <c r="C88" i="4"/>
  <c r="J88" i="4"/>
  <c r="D91" i="4"/>
  <c r="E91" i="4"/>
  <c r="I91" i="4"/>
  <c r="J91" i="4"/>
  <c r="C91" i="4"/>
  <c r="J96" i="4"/>
  <c r="I96" i="4"/>
  <c r="D96" i="4"/>
  <c r="E96" i="4"/>
  <c r="C96" i="4"/>
  <c r="D76" i="4"/>
  <c r="C76" i="4"/>
  <c r="I76" i="4"/>
  <c r="J76" i="4"/>
  <c r="E76" i="4"/>
  <c r="C75" i="4"/>
  <c r="E75" i="4"/>
  <c r="I75" i="4"/>
  <c r="D75" i="4"/>
  <c r="J75" i="4"/>
  <c r="H25" i="9"/>
  <c r="J79" i="4"/>
  <c r="D79" i="4"/>
  <c r="I79" i="4"/>
  <c r="C79" i="4"/>
  <c r="E79" i="4"/>
  <c r="C92" i="4"/>
  <c r="J92" i="4"/>
  <c r="D92" i="4"/>
  <c r="E92" i="4"/>
  <c r="I92" i="4"/>
  <c r="D65" i="4"/>
  <c r="E65" i="4"/>
  <c r="I65" i="4"/>
  <c r="C65" i="4"/>
  <c r="J65" i="4"/>
  <c r="H5" i="9"/>
  <c r="H22" i="9"/>
  <c r="H30" i="9"/>
  <c r="J67" i="4"/>
  <c r="E67" i="4"/>
  <c r="C67" i="4"/>
  <c r="I67" i="4"/>
  <c r="D67" i="4"/>
  <c r="J89" i="4"/>
  <c r="D89" i="4"/>
  <c r="E89" i="4"/>
  <c r="I89" i="4"/>
  <c r="C89" i="4"/>
  <c r="E66" i="4"/>
  <c r="I66" i="4"/>
  <c r="J66" i="4"/>
  <c r="C66" i="4"/>
  <c r="D66" i="4"/>
  <c r="H43" i="9"/>
  <c r="H11" i="9"/>
  <c r="D69" i="4"/>
  <c r="I69" i="4"/>
  <c r="C69" i="4"/>
  <c r="J69" i="4"/>
  <c r="E69" i="4"/>
  <c r="H12" i="9"/>
  <c r="E82" i="4"/>
  <c r="C82" i="4"/>
  <c r="J82" i="4"/>
  <c r="D82" i="4"/>
  <c r="I82" i="4"/>
  <c r="J94" i="4"/>
  <c r="C94" i="4"/>
  <c r="I94" i="4"/>
  <c r="E94" i="4"/>
  <c r="D94" i="4"/>
  <c r="H6" i="9"/>
  <c r="D70" i="4"/>
  <c r="I70" i="4"/>
  <c r="J70" i="4"/>
  <c r="C70" i="4"/>
  <c r="E70" i="4"/>
  <c r="H16" i="9"/>
  <c r="I68" i="4"/>
  <c r="D68" i="4"/>
  <c r="E68" i="4"/>
  <c r="C68" i="4"/>
  <c r="J68" i="4"/>
  <c r="M19" i="13" a="1"/>
  <c r="I62" i="4"/>
  <c r="C62" i="4"/>
  <c r="D62" i="4"/>
  <c r="E62" i="4"/>
  <c r="J62" i="4"/>
  <c r="D61" i="4"/>
  <c r="E61" i="4"/>
  <c r="I61" i="4"/>
  <c r="J61" i="4"/>
  <c r="C61" i="4"/>
  <c r="H9" i="9"/>
  <c r="J83" i="4"/>
  <c r="D83" i="4"/>
  <c r="E83" i="4"/>
  <c r="C83" i="4"/>
  <c r="I83" i="4"/>
  <c r="J73" i="4"/>
  <c r="D73" i="4"/>
  <c r="E73" i="4"/>
  <c r="I73" i="4"/>
  <c r="C73" i="4"/>
  <c r="J90" i="4"/>
  <c r="C90" i="4"/>
  <c r="I90" i="4"/>
  <c r="D90" i="4"/>
  <c r="E90" i="4"/>
  <c r="C77" i="4"/>
  <c r="E77" i="4"/>
  <c r="I77" i="4"/>
  <c r="J77" i="4"/>
  <c r="D77" i="4"/>
  <c r="H37" i="9"/>
  <c r="J84" i="4"/>
  <c r="C84" i="4"/>
  <c r="I84" i="4"/>
  <c r="E84" i="4"/>
  <c r="D84" i="4"/>
  <c r="D72" i="4"/>
  <c r="I72" i="4"/>
  <c r="J72" i="4"/>
  <c r="C72" i="4"/>
  <c r="E72" i="4"/>
  <c r="H24" i="9"/>
  <c r="D78" i="4"/>
  <c r="M73" i="13" s="1" a="1"/>
  <c r="I78" i="4"/>
  <c r="J78" i="4"/>
  <c r="C78" i="4"/>
  <c r="E78" i="4"/>
  <c r="H8" i="9"/>
  <c r="G39" i="9" l="1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20" i="4"/>
  <c r="B33" i="4"/>
  <c r="B31" i="4"/>
  <c r="B40" i="4"/>
  <c r="B44" i="4"/>
  <c r="B52" i="4"/>
  <c r="B39" i="4"/>
  <c r="B50" i="4"/>
  <c r="B14" i="4"/>
  <c r="B17" i="4"/>
  <c r="B41" i="4"/>
  <c r="B25" i="4"/>
  <c r="B34" i="4"/>
  <c r="B15" i="4"/>
  <c r="B46" i="4"/>
  <c r="B21" i="4"/>
  <c r="B16" i="4"/>
  <c r="B18" i="4"/>
  <c r="H39" i="9"/>
  <c r="H20" i="9"/>
  <c r="M24" i="13"/>
  <c r="H14" i="9"/>
  <c r="H3" i="9"/>
  <c r="H19" i="9"/>
  <c r="H38" i="9"/>
  <c r="H26" i="9"/>
  <c r="M22" i="13"/>
  <c r="H40" i="9"/>
  <c r="M20" i="13"/>
  <c r="H13" i="9"/>
  <c r="H18" i="9"/>
  <c r="M19" i="13"/>
  <c r="H10" i="9"/>
  <c r="M23" i="13"/>
  <c r="M21" i="13"/>
  <c r="M78" i="13"/>
  <c r="M83" i="13"/>
  <c r="M74" i="13"/>
  <c r="M76" i="13"/>
  <c r="M98" i="13"/>
  <c r="M109" i="13"/>
  <c r="M81" i="13"/>
  <c r="M97" i="13"/>
  <c r="M80" i="13"/>
  <c r="M95" i="13"/>
  <c r="M96" i="13"/>
  <c r="M88" i="13"/>
  <c r="M107" i="13"/>
  <c r="M106" i="13"/>
  <c r="M91" i="13"/>
  <c r="M108" i="13"/>
  <c r="M93" i="13"/>
  <c r="M82" i="13"/>
  <c r="M75" i="13"/>
  <c r="M87" i="13"/>
  <c r="M101" i="13"/>
  <c r="M89" i="13"/>
  <c r="M102" i="13"/>
  <c r="M94" i="13"/>
  <c r="M84" i="13"/>
  <c r="M73" i="13"/>
  <c r="M79" i="13"/>
  <c r="M86" i="13"/>
  <c r="M105" i="13"/>
  <c r="M104" i="13"/>
  <c r="M100" i="13"/>
  <c r="M99" i="13"/>
  <c r="M103" i="13"/>
  <c r="M85" i="13"/>
  <c r="M90" i="13"/>
  <c r="M77" i="13"/>
  <c r="M92" i="13"/>
  <c r="P22" i="13"/>
  <c r="N22" i="13"/>
  <c r="O22" i="13"/>
  <c r="H28" i="9"/>
  <c r="H29" i="9"/>
  <c r="O82" i="13"/>
  <c r="N83" i="13"/>
  <c r="D31" i="4"/>
  <c r="I26" i="9"/>
  <c r="I39" i="9"/>
  <c r="I19" i="9"/>
  <c r="O83" i="13"/>
  <c r="C41" i="4"/>
  <c r="N88" i="13"/>
  <c r="I30" i="9"/>
  <c r="I11" i="9"/>
  <c r="O103" i="13"/>
  <c r="N96" i="13"/>
  <c r="I35" i="9"/>
  <c r="E25" i="4"/>
  <c r="N105" i="13"/>
  <c r="O93" i="13"/>
  <c r="I41" i="4"/>
  <c r="D18" i="4"/>
  <c r="E44" i="4"/>
  <c r="I20" i="4"/>
  <c r="O86" i="13"/>
  <c r="H21" i="9"/>
  <c r="I31" i="9"/>
  <c r="I37" i="9"/>
  <c r="I16" i="9"/>
  <c r="E40" i="4"/>
  <c r="N98" i="13"/>
  <c r="N86" i="13"/>
  <c r="C52" i="4"/>
  <c r="I21" i="4"/>
  <c r="I46" i="4"/>
  <c r="N87" i="13"/>
  <c r="I25" i="9"/>
  <c r="O81" i="13"/>
  <c r="D39" i="4"/>
  <c r="D21" i="4"/>
  <c r="I15" i="4"/>
  <c r="N107" i="13"/>
  <c r="N73" i="13"/>
  <c r="E50" i="4"/>
  <c r="N91" i="13"/>
  <c r="D41" i="4"/>
  <c r="N85" i="13"/>
  <c r="N23" i="13"/>
  <c r="P23" i="13"/>
  <c r="O23" i="13"/>
  <c r="H17" i="9"/>
  <c r="C50" i="4"/>
  <c r="E33" i="4"/>
  <c r="E20" i="4"/>
  <c r="O105" i="13"/>
  <c r="E15" i="4"/>
  <c r="I6" i="9"/>
  <c r="D50" i="4"/>
  <c r="J50" i="4"/>
  <c r="N78" i="13"/>
  <c r="O91" i="13"/>
  <c r="O109" i="13"/>
  <c r="N19" i="13"/>
  <c r="O19" i="13"/>
  <c r="P19" i="13"/>
  <c r="H42" i="9"/>
  <c r="E52" i="4"/>
  <c r="I33" i="4"/>
  <c r="J16" i="4"/>
  <c r="O73" i="13"/>
  <c r="I14" i="9"/>
  <c r="E21" i="4"/>
  <c r="N79" i="13"/>
  <c r="I21" i="9"/>
  <c r="N102" i="13"/>
  <c r="D25" i="4"/>
  <c r="N89" i="13"/>
  <c r="O88" i="13"/>
  <c r="I41" i="9"/>
  <c r="O21" i="13"/>
  <c r="P21" i="13"/>
  <c r="N21" i="13"/>
  <c r="D33" i="4"/>
  <c r="O78" i="13"/>
  <c r="O96" i="13"/>
  <c r="I22" i="9"/>
  <c r="O98" i="13"/>
  <c r="I38" i="9"/>
  <c r="N94" i="13"/>
  <c r="D14" i="4"/>
  <c r="J52" i="4"/>
  <c r="I25" i="4"/>
  <c r="I7" i="9"/>
  <c r="O89" i="13"/>
  <c r="N97" i="13"/>
  <c r="E17" i="4"/>
  <c r="H36" i="9"/>
  <c r="I39" i="4"/>
  <c r="N95" i="13"/>
  <c r="O97" i="13"/>
  <c r="J15" i="4"/>
  <c r="N103" i="13"/>
  <c r="O99" i="13"/>
  <c r="J44" i="4"/>
  <c r="C20" i="4"/>
  <c r="J20" i="4"/>
  <c r="I18" i="9"/>
  <c r="C31" i="4"/>
  <c r="J31" i="4"/>
  <c r="H34" i="9"/>
  <c r="J25" i="4"/>
  <c r="O100" i="13"/>
  <c r="C33" i="4"/>
  <c r="O108" i="13"/>
  <c r="C39" i="4"/>
  <c r="H27" i="9"/>
  <c r="I43" i="9"/>
  <c r="O94" i="13"/>
  <c r="J46" i="4"/>
  <c r="I28" i="9"/>
  <c r="D34" i="4"/>
  <c r="E41" i="4"/>
  <c r="I18" i="4"/>
  <c r="O20" i="13"/>
  <c r="N20" i="13"/>
  <c r="P20" i="13"/>
  <c r="H4" i="9"/>
  <c r="O85" i="13"/>
  <c r="N101" i="13"/>
  <c r="O79" i="13"/>
  <c r="O92" i="13"/>
  <c r="D44" i="4"/>
  <c r="J34" i="4"/>
  <c r="I42" i="9"/>
  <c r="J39" i="4"/>
  <c r="N74" i="13"/>
  <c r="H33" i="9"/>
  <c r="O74" i="13"/>
  <c r="C21" i="4"/>
  <c r="I10" i="9"/>
  <c r="D16" i="4"/>
  <c r="O75" i="13"/>
  <c r="I40" i="9"/>
  <c r="I34" i="9"/>
  <c r="N100" i="13"/>
  <c r="D20" i="4"/>
  <c r="J41" i="4"/>
  <c r="C14" i="4"/>
  <c r="E18" i="4"/>
  <c r="O76" i="13"/>
  <c r="J40" i="4"/>
  <c r="I50" i="4"/>
  <c r="O87" i="13"/>
  <c r="N80" i="13"/>
  <c r="I32" i="9"/>
  <c r="I13" i="9"/>
  <c r="O101" i="13"/>
  <c r="I4" i="9"/>
  <c r="I52" i="4"/>
  <c r="E14" i="4"/>
  <c r="N75" i="13"/>
  <c r="C40" i="4"/>
  <c r="H44" i="9"/>
  <c r="D52" i="4"/>
  <c r="C34" i="4"/>
  <c r="J21" i="4"/>
  <c r="I5" i="9"/>
  <c r="N108" i="13"/>
  <c r="I34" i="4"/>
  <c r="I14" i="4"/>
  <c r="N24" i="13"/>
  <c r="O24" i="13"/>
  <c r="P24" i="13"/>
  <c r="O107" i="13"/>
  <c r="J17" i="4"/>
  <c r="O102" i="13"/>
  <c r="C25" i="4"/>
  <c r="O106" i="13"/>
  <c r="E16" i="4"/>
  <c r="O104" i="13"/>
  <c r="N77" i="13"/>
  <c r="N99" i="13"/>
  <c r="I36" i="9"/>
  <c r="J33" i="4"/>
  <c r="O84" i="13"/>
  <c r="C18" i="4"/>
  <c r="N81" i="13"/>
  <c r="I31" i="4"/>
  <c r="N82" i="13"/>
  <c r="D40" i="4"/>
  <c r="I3" i="9"/>
  <c r="I29" i="9"/>
  <c r="I24" i="9"/>
  <c r="I17" i="4"/>
  <c r="N104" i="13"/>
  <c r="N76" i="13"/>
  <c r="C17" i="4"/>
  <c r="N92" i="13"/>
  <c r="D15" i="4"/>
  <c r="C16" i="4"/>
  <c r="I12" i="9"/>
  <c r="N90" i="13"/>
  <c r="E39" i="4"/>
  <c r="N93" i="13"/>
  <c r="I20" i="9"/>
  <c r="N84" i="13"/>
  <c r="C46" i="4"/>
  <c r="O95" i="13"/>
  <c r="I40" i="4"/>
  <c r="I44" i="4"/>
  <c r="I8" i="9"/>
  <c r="H23" i="9"/>
  <c r="E31" i="4"/>
  <c r="N109" i="13"/>
  <c r="J14" i="4"/>
  <c r="E46" i="4"/>
  <c r="E34" i="4"/>
  <c r="I16" i="4"/>
  <c r="I33" i="9"/>
  <c r="H15" i="9"/>
  <c r="C44" i="4"/>
  <c r="O77" i="13"/>
  <c r="J18" i="4"/>
  <c r="C15" i="4"/>
  <c r="O90" i="13"/>
  <c r="D17" i="4"/>
  <c r="O80" i="13"/>
  <c r="I9" i="9"/>
  <c r="D46" i="4"/>
  <c r="N106" i="13"/>
  <c r="I17" i="9"/>
  <c r="I27" i="9"/>
  <c r="I44" i="9"/>
  <c r="I23" i="9"/>
  <c r="I15" i="9"/>
  <c r="B19" i="4" l="1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Q77" i="13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19" i="4"/>
  <c r="C19" i="4"/>
  <c r="E19" i="4"/>
  <c r="J19" i="4"/>
  <c r="I19" i="4"/>
  <c r="I23" i="4"/>
  <c r="J23" i="4"/>
  <c r="C23" i="4"/>
  <c r="D23" i="4"/>
  <c r="E23" i="4"/>
  <c r="I27" i="4"/>
  <c r="C27" i="4"/>
  <c r="E27" i="4"/>
  <c r="D27" i="4"/>
  <c r="J27" i="4"/>
  <c r="D29" i="4"/>
  <c r="E29" i="4"/>
  <c r="C29" i="4"/>
  <c r="I29" i="4"/>
  <c r="J29" i="4"/>
  <c r="J22" i="4"/>
  <c r="C22" i="4"/>
  <c r="E22" i="4"/>
  <c r="I22" i="4"/>
  <c r="D22" i="4"/>
  <c r="E48" i="4"/>
  <c r="J48" i="4"/>
  <c r="I48" i="4"/>
  <c r="C48" i="4"/>
  <c r="D48" i="4"/>
  <c r="E49" i="4"/>
  <c r="I49" i="4"/>
  <c r="J49" i="4"/>
  <c r="D49" i="4"/>
  <c r="C49" i="4"/>
  <c r="J35" i="4"/>
  <c r="D35" i="4"/>
  <c r="E35" i="4"/>
  <c r="I35" i="4"/>
  <c r="C35" i="4"/>
  <c r="C47" i="4"/>
  <c r="J47" i="4"/>
  <c r="D47" i="4"/>
  <c r="I47" i="4"/>
  <c r="E47" i="4"/>
  <c r="C28" i="4"/>
  <c r="J28" i="4"/>
  <c r="E28" i="4"/>
  <c r="I28" i="4"/>
  <c r="D28" i="4"/>
  <c r="D12" i="4"/>
  <c r="J12" i="4"/>
  <c r="I12" i="4"/>
  <c r="C12" i="4"/>
  <c r="E12" i="4"/>
  <c r="C24" i="4"/>
  <c r="J24" i="4"/>
  <c r="E24" i="4"/>
  <c r="D24" i="4"/>
  <c r="I24" i="4"/>
  <c r="J51" i="4"/>
  <c r="D51" i="4"/>
  <c r="C51" i="4"/>
  <c r="E51" i="4"/>
  <c r="I51" i="4"/>
  <c r="N35" i="4"/>
  <c r="N12" i="4"/>
  <c r="N40" i="4"/>
  <c r="M49" i="4"/>
  <c r="R108" i="13"/>
  <c r="N33" i="4"/>
  <c r="R93" i="13"/>
  <c r="M34" i="4"/>
  <c r="N48" i="4"/>
  <c r="M19" i="4"/>
  <c r="M14" i="4"/>
  <c r="N47" i="4"/>
  <c r="N34" i="4"/>
  <c r="M29" i="4"/>
  <c r="M21" i="4"/>
  <c r="N49" i="4"/>
  <c r="M44" i="4"/>
  <c r="J42" i="4"/>
  <c r="C42" i="4"/>
  <c r="E42" i="4"/>
  <c r="I42" i="4"/>
  <c r="D42" i="4"/>
  <c r="M15" i="4"/>
  <c r="M18" i="4"/>
  <c r="M47" i="4"/>
  <c r="M52" i="4"/>
  <c r="R92" i="13"/>
  <c r="N20" i="4"/>
  <c r="R98" i="13"/>
  <c r="C37" i="4"/>
  <c r="D37" i="4"/>
  <c r="I37" i="4"/>
  <c r="J37" i="4"/>
  <c r="E37" i="4"/>
  <c r="N44" i="4"/>
  <c r="N50" i="4"/>
  <c r="M41" i="4"/>
  <c r="N25" i="4"/>
  <c r="M40" i="4"/>
  <c r="M39" i="4"/>
  <c r="M50" i="4"/>
  <c r="R90" i="13"/>
  <c r="R94" i="13"/>
  <c r="N16" i="4"/>
  <c r="N52" i="4"/>
  <c r="N18" i="4"/>
  <c r="I32" i="4"/>
  <c r="D32" i="4"/>
  <c r="C32" i="4"/>
  <c r="E32" i="4"/>
  <c r="J32" i="4"/>
  <c r="D26" i="4"/>
  <c r="I26" i="4"/>
  <c r="E26" i="4"/>
  <c r="J26" i="4"/>
  <c r="C26" i="4"/>
  <c r="M33" i="4"/>
  <c r="R105" i="13"/>
  <c r="N29" i="4"/>
  <c r="M23" i="4"/>
  <c r="M16" i="4"/>
  <c r="M31" i="4"/>
  <c r="M22" i="4"/>
  <c r="R102" i="13"/>
  <c r="R97" i="13"/>
  <c r="N27" i="4"/>
  <c r="M35" i="4"/>
  <c r="R95" i="13"/>
  <c r="J13" i="4"/>
  <c r="E13" i="4"/>
  <c r="C13" i="4"/>
  <c r="I13" i="4"/>
  <c r="D13" i="4"/>
  <c r="D2" i="5" a="1"/>
  <c r="N28" i="4"/>
  <c r="M12" i="4"/>
  <c r="R99" i="13"/>
  <c r="R104" i="13"/>
  <c r="N17" i="4"/>
  <c r="D36" i="4"/>
  <c r="C36" i="4"/>
  <c r="J36" i="4"/>
  <c r="E36" i="4"/>
  <c r="I36" i="4"/>
  <c r="M48" i="4"/>
  <c r="N15" i="4"/>
  <c r="R106" i="13"/>
  <c r="R96" i="13"/>
  <c r="R100" i="13"/>
  <c r="C45" i="4"/>
  <c r="I45" i="4"/>
  <c r="J45" i="4"/>
  <c r="E45" i="4"/>
  <c r="D45" i="4"/>
  <c r="N41" i="4"/>
  <c r="R109" i="13"/>
  <c r="S96" i="13"/>
  <c r="I53" i="4"/>
  <c r="C53" i="4"/>
  <c r="E53" i="4"/>
  <c r="D53" i="4"/>
  <c r="J53" i="4"/>
  <c r="J30" i="4"/>
  <c r="E30" i="4"/>
  <c r="I30" i="4"/>
  <c r="D30" i="4"/>
  <c r="C30" i="4"/>
  <c r="N46" i="4"/>
  <c r="N31" i="4"/>
  <c r="M20" i="4"/>
  <c r="M28" i="4"/>
  <c r="C38" i="4"/>
  <c r="I38" i="4"/>
  <c r="D38" i="4"/>
  <c r="J38" i="4"/>
  <c r="E38" i="4"/>
  <c r="N21" i="4"/>
  <c r="R107" i="13"/>
  <c r="R101" i="13"/>
  <c r="M25" i="4"/>
  <c r="M27" i="4"/>
  <c r="N22" i="4"/>
  <c r="R91" i="13"/>
  <c r="N39" i="4"/>
  <c r="J43" i="4"/>
  <c r="C43" i="4"/>
  <c r="E43" i="4"/>
  <c r="I43" i="4"/>
  <c r="D43" i="4"/>
  <c r="M17" i="4"/>
  <c r="R103" i="13"/>
  <c r="S103" i="13" s="1"/>
  <c r="N19" i="4"/>
  <c r="N23" i="4"/>
  <c r="N14" i="4"/>
  <c r="M46" i="4"/>
  <c r="D75" i="5" l="1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M43" i="4"/>
  <c r="N53" i="4"/>
  <c r="E73" i="5"/>
  <c r="F73" i="5"/>
  <c r="G73" i="5"/>
  <c r="I73" i="5"/>
  <c r="H73" i="5"/>
  <c r="G121" i="5"/>
  <c r="I121" i="5"/>
  <c r="H121" i="5"/>
  <c r="F121" i="5"/>
  <c r="E121" i="5"/>
  <c r="H13" i="5"/>
  <c r="I13" i="5"/>
  <c r="G13" i="5"/>
  <c r="F13" i="5"/>
  <c r="E13" i="5"/>
  <c r="I28" i="5"/>
  <c r="G28" i="5"/>
  <c r="H28" i="5"/>
  <c r="E28" i="5"/>
  <c r="F28" i="5"/>
  <c r="F81" i="5"/>
  <c r="E81" i="5"/>
  <c r="G81" i="5"/>
  <c r="I81" i="5"/>
  <c r="H81" i="5"/>
  <c r="I17" i="5"/>
  <c r="G17" i="5"/>
  <c r="E17" i="5"/>
  <c r="H17" i="5"/>
  <c r="F17" i="5"/>
  <c r="E50" i="5"/>
  <c r="F50" i="5"/>
  <c r="I50" i="5"/>
  <c r="G50" i="5"/>
  <c r="H50" i="5"/>
  <c r="I23" i="5"/>
  <c r="H23" i="5"/>
  <c r="F23" i="5"/>
  <c r="G23" i="5"/>
  <c r="E23" i="5"/>
  <c r="G26" i="5"/>
  <c r="F26" i="5"/>
  <c r="E26" i="5"/>
  <c r="H26" i="5"/>
  <c r="I26" i="5"/>
  <c r="F123" i="5"/>
  <c r="I123" i="5"/>
  <c r="G123" i="5"/>
  <c r="E123" i="5"/>
  <c r="H123" i="5"/>
  <c r="F3" i="5"/>
  <c r="G3" i="5"/>
  <c r="E3" i="5"/>
  <c r="I3" i="5"/>
  <c r="H3" i="5"/>
  <c r="I6" i="5"/>
  <c r="H6" i="5"/>
  <c r="F6" i="5"/>
  <c r="E6" i="5"/>
  <c r="G6" i="5"/>
  <c r="H55" i="5"/>
  <c r="G55" i="5"/>
  <c r="F55" i="5"/>
  <c r="I55" i="5"/>
  <c r="E55" i="5"/>
  <c r="H61" i="5"/>
  <c r="F61" i="5"/>
  <c r="E61" i="5"/>
  <c r="I61" i="5"/>
  <c r="G61" i="5"/>
  <c r="I122" i="5"/>
  <c r="G122" i="5"/>
  <c r="E122" i="5"/>
  <c r="F122" i="5"/>
  <c r="H122" i="5"/>
  <c r="H116" i="5"/>
  <c r="I116" i="5"/>
  <c r="F116" i="5"/>
  <c r="E116" i="5"/>
  <c r="G116" i="5"/>
  <c r="M26" i="4"/>
  <c r="S92" i="13"/>
  <c r="N43" i="4"/>
  <c r="M53" i="4"/>
  <c r="I104" i="5"/>
  <c r="E104" i="5"/>
  <c r="H104" i="5"/>
  <c r="G104" i="5"/>
  <c r="F104" i="5"/>
  <c r="I125" i="5"/>
  <c r="G125" i="5"/>
  <c r="H125" i="5"/>
  <c r="F125" i="5"/>
  <c r="E125" i="5"/>
  <c r="I30" i="5"/>
  <c r="H30" i="5"/>
  <c r="F30" i="5"/>
  <c r="E30" i="5"/>
  <c r="G30" i="5"/>
  <c r="G35" i="5"/>
  <c r="E35" i="5"/>
  <c r="F35" i="5"/>
  <c r="H35" i="5"/>
  <c r="I35" i="5"/>
  <c r="G89" i="5"/>
  <c r="H89" i="5"/>
  <c r="I89" i="5"/>
  <c r="F89" i="5"/>
  <c r="E89" i="5"/>
  <c r="E43" i="5"/>
  <c r="G43" i="5"/>
  <c r="F43" i="5"/>
  <c r="I43" i="5"/>
  <c r="H43" i="5"/>
  <c r="H119" i="5"/>
  <c r="G119" i="5"/>
  <c r="I119" i="5"/>
  <c r="E119" i="5"/>
  <c r="F119" i="5"/>
  <c r="F12" i="5"/>
  <c r="E12" i="5"/>
  <c r="H12" i="5"/>
  <c r="I12" i="5"/>
  <c r="G12" i="5"/>
  <c r="H16" i="5"/>
  <c r="I16" i="5"/>
  <c r="G16" i="5"/>
  <c r="E16" i="5"/>
  <c r="F16" i="5"/>
  <c r="H76" i="5"/>
  <c r="I76" i="5"/>
  <c r="G76" i="5"/>
  <c r="E76" i="5"/>
  <c r="F76" i="5"/>
  <c r="I91" i="5"/>
  <c r="H91" i="5"/>
  <c r="E91" i="5"/>
  <c r="G91" i="5"/>
  <c r="F91" i="5"/>
  <c r="F107" i="5"/>
  <c r="I107" i="5"/>
  <c r="H107" i="5"/>
  <c r="G107" i="5"/>
  <c r="E107" i="5"/>
  <c r="I5" i="5"/>
  <c r="G5" i="5"/>
  <c r="E5" i="5"/>
  <c r="F5" i="5"/>
  <c r="H5" i="5"/>
  <c r="E74" i="5"/>
  <c r="I74" i="5"/>
  <c r="H74" i="5"/>
  <c r="G74" i="5"/>
  <c r="F74" i="5"/>
  <c r="I8" i="5"/>
  <c r="F8" i="5"/>
  <c r="G8" i="5"/>
  <c r="E8" i="5"/>
  <c r="H8" i="5"/>
  <c r="H86" i="5"/>
  <c r="I86" i="5"/>
  <c r="E86" i="5"/>
  <c r="G86" i="5"/>
  <c r="F86" i="5"/>
  <c r="N32" i="4"/>
  <c r="N42" i="4"/>
  <c r="S91" i="13"/>
  <c r="S109" i="13"/>
  <c r="I21" i="5"/>
  <c r="E21" i="5"/>
  <c r="H21" i="5"/>
  <c r="F21" i="5"/>
  <c r="G21" i="5"/>
  <c r="F93" i="5"/>
  <c r="E93" i="5"/>
  <c r="H93" i="5"/>
  <c r="I93" i="5"/>
  <c r="G93" i="5"/>
  <c r="I92" i="5"/>
  <c r="G92" i="5"/>
  <c r="H92" i="5"/>
  <c r="F92" i="5"/>
  <c r="E92" i="5"/>
  <c r="G48" i="5"/>
  <c r="I48" i="5"/>
  <c r="E48" i="5"/>
  <c r="F48" i="5"/>
  <c r="H48" i="5"/>
  <c r="H113" i="5"/>
  <c r="I113" i="5"/>
  <c r="E113" i="5"/>
  <c r="F113" i="5"/>
  <c r="G113" i="5"/>
  <c r="H49" i="5"/>
  <c r="E49" i="5"/>
  <c r="G49" i="5"/>
  <c r="I49" i="5"/>
  <c r="F49" i="5"/>
  <c r="F4" i="5"/>
  <c r="G4" i="5"/>
  <c r="I4" i="5"/>
  <c r="E4" i="5"/>
  <c r="H4" i="5"/>
  <c r="E77" i="5"/>
  <c r="H77" i="5"/>
  <c r="G77" i="5"/>
  <c r="F77" i="5"/>
  <c r="I77" i="5"/>
  <c r="G39" i="5"/>
  <c r="E39" i="5"/>
  <c r="F39" i="5"/>
  <c r="H39" i="5"/>
  <c r="I39" i="5"/>
  <c r="E90" i="5"/>
  <c r="I90" i="5"/>
  <c r="H90" i="5"/>
  <c r="G90" i="5"/>
  <c r="F90" i="5"/>
  <c r="E57" i="5"/>
  <c r="I57" i="5"/>
  <c r="F57" i="5"/>
  <c r="G57" i="5"/>
  <c r="H57" i="5"/>
  <c r="F65" i="5"/>
  <c r="G65" i="5"/>
  <c r="E65" i="5"/>
  <c r="I65" i="5"/>
  <c r="H65" i="5"/>
  <c r="G69" i="5"/>
  <c r="H69" i="5"/>
  <c r="F69" i="5"/>
  <c r="E69" i="5"/>
  <c r="I69" i="5"/>
  <c r="I87" i="5"/>
  <c r="E87" i="5"/>
  <c r="H87" i="5"/>
  <c r="G87" i="5"/>
  <c r="F87" i="5"/>
  <c r="I67" i="5"/>
  <c r="E67" i="5"/>
  <c r="G67" i="5"/>
  <c r="H67" i="5"/>
  <c r="F67" i="5"/>
  <c r="G114" i="5"/>
  <c r="H114" i="5"/>
  <c r="I114" i="5"/>
  <c r="F114" i="5"/>
  <c r="E114" i="5"/>
  <c r="M32" i="4"/>
  <c r="M42" i="4"/>
  <c r="S101" i="13"/>
  <c r="M36" i="4"/>
  <c r="E15" i="5"/>
  <c r="F15" i="5"/>
  <c r="G15" i="5"/>
  <c r="I15" i="5"/>
  <c r="H15" i="5"/>
  <c r="H14" i="5"/>
  <c r="E14" i="5"/>
  <c r="G14" i="5"/>
  <c r="I14" i="5"/>
  <c r="F14" i="5"/>
  <c r="F110" i="5"/>
  <c r="H110" i="5"/>
  <c r="E110" i="5"/>
  <c r="G110" i="5"/>
  <c r="I110" i="5"/>
  <c r="H97" i="5"/>
  <c r="I97" i="5"/>
  <c r="E97" i="5"/>
  <c r="G97" i="5"/>
  <c r="F97" i="5"/>
  <c r="F38" i="5"/>
  <c r="E38" i="5"/>
  <c r="H38" i="5"/>
  <c r="I38" i="5"/>
  <c r="G38" i="5"/>
  <c r="H34" i="5"/>
  <c r="G34" i="5"/>
  <c r="E34" i="5"/>
  <c r="I34" i="5"/>
  <c r="F34" i="5"/>
  <c r="E22" i="5"/>
  <c r="I22" i="5"/>
  <c r="H22" i="5"/>
  <c r="G22" i="5"/>
  <c r="F22" i="5"/>
  <c r="F68" i="5"/>
  <c r="E68" i="5"/>
  <c r="I68" i="5"/>
  <c r="H68" i="5"/>
  <c r="G68" i="5"/>
  <c r="H124" i="5"/>
  <c r="E124" i="5"/>
  <c r="F124" i="5"/>
  <c r="G124" i="5"/>
  <c r="I124" i="5"/>
  <c r="I56" i="5"/>
  <c r="H56" i="5"/>
  <c r="G56" i="5"/>
  <c r="F56" i="5"/>
  <c r="E56" i="5"/>
  <c r="F117" i="5"/>
  <c r="H117" i="5"/>
  <c r="I117" i="5"/>
  <c r="E117" i="5"/>
  <c r="G117" i="5"/>
  <c r="F111" i="5"/>
  <c r="H111" i="5"/>
  <c r="G111" i="5"/>
  <c r="I111" i="5"/>
  <c r="E111" i="5"/>
  <c r="H70" i="5"/>
  <c r="I70" i="5"/>
  <c r="G70" i="5"/>
  <c r="F70" i="5"/>
  <c r="E70" i="5"/>
  <c r="G45" i="5"/>
  <c r="E45" i="5"/>
  <c r="I45" i="5"/>
  <c r="H45" i="5"/>
  <c r="F45" i="5"/>
  <c r="H98" i="5"/>
  <c r="F98" i="5"/>
  <c r="I98" i="5"/>
  <c r="E98" i="5"/>
  <c r="G98" i="5"/>
  <c r="S95" i="13"/>
  <c r="N51" i="4"/>
  <c r="N38" i="4"/>
  <c r="I75" i="5"/>
  <c r="G75" i="5"/>
  <c r="F75" i="5"/>
  <c r="H75" i="5"/>
  <c r="E75" i="5"/>
  <c r="I7" i="5"/>
  <c r="F7" i="5"/>
  <c r="H7" i="5"/>
  <c r="G7" i="5"/>
  <c r="E7" i="5"/>
  <c r="G2" i="5"/>
  <c r="E2" i="5"/>
  <c r="H2" i="5"/>
  <c r="F2" i="5"/>
  <c r="I2" i="5"/>
  <c r="F31" i="5"/>
  <c r="I31" i="5"/>
  <c r="G31" i="5"/>
  <c r="E31" i="5"/>
  <c r="H31" i="5"/>
  <c r="G82" i="5"/>
  <c r="F82" i="5"/>
  <c r="H82" i="5"/>
  <c r="I82" i="5"/>
  <c r="E82" i="5"/>
  <c r="F29" i="5"/>
  <c r="H29" i="5"/>
  <c r="E29" i="5"/>
  <c r="I29" i="5"/>
  <c r="G29" i="5"/>
  <c r="E78" i="5"/>
  <c r="F78" i="5"/>
  <c r="I78" i="5"/>
  <c r="H78" i="5"/>
  <c r="G78" i="5"/>
  <c r="I32" i="5"/>
  <c r="E32" i="5"/>
  <c r="G32" i="5"/>
  <c r="H32" i="5"/>
  <c r="F32" i="5"/>
  <c r="E64" i="5"/>
  <c r="H64" i="5"/>
  <c r="G64" i="5"/>
  <c r="I64" i="5"/>
  <c r="F64" i="5"/>
  <c r="F62" i="5"/>
  <c r="G62" i="5"/>
  <c r="I62" i="5"/>
  <c r="E62" i="5"/>
  <c r="H62" i="5"/>
  <c r="F109" i="5"/>
  <c r="E109" i="5"/>
  <c r="I109" i="5"/>
  <c r="H109" i="5"/>
  <c r="G109" i="5"/>
  <c r="I53" i="5"/>
  <c r="G53" i="5"/>
  <c r="H53" i="5"/>
  <c r="E53" i="5"/>
  <c r="F53" i="5"/>
  <c r="F19" i="5"/>
  <c r="I19" i="5"/>
  <c r="E19" i="5"/>
  <c r="H19" i="5"/>
  <c r="G19" i="5"/>
  <c r="I88" i="5"/>
  <c r="H88" i="5"/>
  <c r="E88" i="5"/>
  <c r="G88" i="5"/>
  <c r="F88" i="5"/>
  <c r="E72" i="5"/>
  <c r="F72" i="5"/>
  <c r="G72" i="5"/>
  <c r="H72" i="5"/>
  <c r="I72" i="5"/>
  <c r="I118" i="5"/>
  <c r="F118" i="5"/>
  <c r="E118" i="5"/>
  <c r="G118" i="5"/>
  <c r="H118" i="5"/>
  <c r="N26" i="4"/>
  <c r="M51" i="4"/>
  <c r="M38" i="4"/>
  <c r="S94" i="13"/>
  <c r="M24" i="4"/>
  <c r="N30" i="4"/>
  <c r="S93" i="13"/>
  <c r="S100" i="13"/>
  <c r="N45" i="4"/>
  <c r="H10" i="5"/>
  <c r="E10" i="5"/>
  <c r="G10" i="5"/>
  <c r="F10" i="5"/>
  <c r="I10" i="5"/>
  <c r="E58" i="5"/>
  <c r="G58" i="5"/>
  <c r="H58" i="5"/>
  <c r="I58" i="5"/>
  <c r="F58" i="5"/>
  <c r="E84" i="5"/>
  <c r="I84" i="5"/>
  <c r="F84" i="5"/>
  <c r="H84" i="5"/>
  <c r="G84" i="5"/>
  <c r="H99" i="5"/>
  <c r="I99" i="5"/>
  <c r="E99" i="5"/>
  <c r="F99" i="5"/>
  <c r="G99" i="5"/>
  <c r="I60" i="5"/>
  <c r="E60" i="5"/>
  <c r="G60" i="5"/>
  <c r="H60" i="5"/>
  <c r="F60" i="5"/>
  <c r="H96" i="5"/>
  <c r="E96" i="5"/>
  <c r="G96" i="5"/>
  <c r="F96" i="5"/>
  <c r="I96" i="5"/>
  <c r="I85" i="5"/>
  <c r="E85" i="5"/>
  <c r="G85" i="5"/>
  <c r="F85" i="5"/>
  <c r="H85" i="5"/>
  <c r="F27" i="5"/>
  <c r="H27" i="5"/>
  <c r="I27" i="5"/>
  <c r="E27" i="5"/>
  <c r="G27" i="5"/>
  <c r="H101" i="5"/>
  <c r="G101" i="5"/>
  <c r="F101" i="5"/>
  <c r="I101" i="5"/>
  <c r="E101" i="5"/>
  <c r="G108" i="5"/>
  <c r="F108" i="5"/>
  <c r="I108" i="5"/>
  <c r="E108" i="5"/>
  <c r="H108" i="5"/>
  <c r="E126" i="5"/>
  <c r="F126" i="5"/>
  <c r="H126" i="5"/>
  <c r="I126" i="5"/>
  <c r="G126" i="5"/>
  <c r="E115" i="5"/>
  <c r="I115" i="5"/>
  <c r="G115" i="5"/>
  <c r="F115" i="5"/>
  <c r="H115" i="5"/>
  <c r="E80" i="5"/>
  <c r="H80" i="5"/>
  <c r="F80" i="5"/>
  <c r="G80" i="5"/>
  <c r="I80" i="5"/>
  <c r="H71" i="5"/>
  <c r="I71" i="5"/>
  <c r="G71" i="5"/>
  <c r="F71" i="5"/>
  <c r="E71" i="5"/>
  <c r="M13" i="4"/>
  <c r="M30" i="4"/>
  <c r="H63" i="5"/>
  <c r="F63" i="5"/>
  <c r="G63" i="5"/>
  <c r="E63" i="5"/>
  <c r="I63" i="5"/>
  <c r="H44" i="5"/>
  <c r="I44" i="5"/>
  <c r="F44" i="5"/>
  <c r="G44" i="5"/>
  <c r="E44" i="5"/>
  <c r="E46" i="5"/>
  <c r="G46" i="5"/>
  <c r="I46" i="5"/>
  <c r="F46" i="5"/>
  <c r="H46" i="5"/>
  <c r="H102" i="5"/>
  <c r="F102" i="5"/>
  <c r="I102" i="5"/>
  <c r="E102" i="5"/>
  <c r="G102" i="5"/>
  <c r="I20" i="5"/>
  <c r="G20" i="5"/>
  <c r="H20" i="5"/>
  <c r="E20" i="5"/>
  <c r="F20" i="5"/>
  <c r="I25" i="5"/>
  <c r="G25" i="5"/>
  <c r="H25" i="5"/>
  <c r="E25" i="5"/>
  <c r="F25" i="5"/>
  <c r="E94" i="5"/>
  <c r="F94" i="5"/>
  <c r="I94" i="5"/>
  <c r="H94" i="5"/>
  <c r="G94" i="5"/>
  <c r="I52" i="5"/>
  <c r="F52" i="5"/>
  <c r="G52" i="5"/>
  <c r="H52" i="5"/>
  <c r="E52" i="5"/>
  <c r="I11" i="5"/>
  <c r="F11" i="5"/>
  <c r="E11" i="5"/>
  <c r="G11" i="5"/>
  <c r="H11" i="5"/>
  <c r="H41" i="5"/>
  <c r="I41" i="5"/>
  <c r="F41" i="5"/>
  <c r="G41" i="5"/>
  <c r="E41" i="5"/>
  <c r="G33" i="5"/>
  <c r="I33" i="5"/>
  <c r="F33" i="5"/>
  <c r="E33" i="5"/>
  <c r="H33" i="5"/>
  <c r="G112" i="5"/>
  <c r="I112" i="5"/>
  <c r="F112" i="5"/>
  <c r="E112" i="5"/>
  <c r="H112" i="5"/>
  <c r="G18" i="5"/>
  <c r="I18" i="5"/>
  <c r="F18" i="5"/>
  <c r="H18" i="5"/>
  <c r="E18" i="5"/>
  <c r="H103" i="5"/>
  <c r="F103" i="5"/>
  <c r="G103" i="5"/>
  <c r="E103" i="5"/>
  <c r="I103" i="5"/>
  <c r="I120" i="5"/>
  <c r="G120" i="5"/>
  <c r="E120" i="5"/>
  <c r="H120" i="5"/>
  <c r="F120" i="5"/>
  <c r="I105" i="5"/>
  <c r="H105" i="5"/>
  <c r="G105" i="5"/>
  <c r="E105" i="5"/>
  <c r="F105" i="5"/>
  <c r="N24" i="4"/>
  <c r="M45" i="4"/>
  <c r="F106" i="5"/>
  <c r="G106" i="5"/>
  <c r="H106" i="5"/>
  <c r="I106" i="5"/>
  <c r="E106" i="5"/>
  <c r="E37" i="5"/>
  <c r="G37" i="5"/>
  <c r="H37" i="5"/>
  <c r="F37" i="5"/>
  <c r="I37" i="5"/>
  <c r="I100" i="5"/>
  <c r="E100" i="5"/>
  <c r="H100" i="5"/>
  <c r="F100" i="5"/>
  <c r="G100" i="5"/>
  <c r="H24" i="5"/>
  <c r="G24" i="5"/>
  <c r="F24" i="5"/>
  <c r="I24" i="5"/>
  <c r="E24" i="5"/>
  <c r="I66" i="5"/>
  <c r="G66" i="5"/>
  <c r="H66" i="5"/>
  <c r="F66" i="5"/>
  <c r="E66" i="5"/>
  <c r="E95" i="5"/>
  <c r="G95" i="5"/>
  <c r="I95" i="5"/>
  <c r="H95" i="5"/>
  <c r="F95" i="5"/>
  <c r="G54" i="5"/>
  <c r="F54" i="5"/>
  <c r="E54" i="5"/>
  <c r="H54" i="5"/>
  <c r="I54" i="5"/>
  <c r="F47" i="5"/>
  <c r="G47" i="5"/>
  <c r="I47" i="5"/>
  <c r="H47" i="5"/>
  <c r="E47" i="5"/>
  <c r="H51" i="5"/>
  <c r="I51" i="5"/>
  <c r="E51" i="5"/>
  <c r="F51" i="5"/>
  <c r="G51" i="5"/>
  <c r="I42" i="5"/>
  <c r="F42" i="5"/>
  <c r="G42" i="5"/>
  <c r="E42" i="5"/>
  <c r="H42" i="5"/>
  <c r="F83" i="5"/>
  <c r="G83" i="5"/>
  <c r="E83" i="5"/>
  <c r="H83" i="5"/>
  <c r="I83" i="5"/>
  <c r="G59" i="5"/>
  <c r="E59" i="5"/>
  <c r="H59" i="5"/>
  <c r="F59" i="5"/>
  <c r="I59" i="5"/>
  <c r="H9" i="5"/>
  <c r="G9" i="5"/>
  <c r="I9" i="5"/>
  <c r="F9" i="5"/>
  <c r="E9" i="5"/>
  <c r="I36" i="5"/>
  <c r="F36" i="5"/>
  <c r="E36" i="5"/>
  <c r="H36" i="5"/>
  <c r="G36" i="5"/>
  <c r="F79" i="5"/>
  <c r="G79" i="5"/>
  <c r="H79" i="5"/>
  <c r="I79" i="5"/>
  <c r="E79" i="5"/>
  <c r="N13" i="4"/>
  <c r="N36" i="4"/>
  <c r="M37" i="4"/>
  <c r="S104" i="13"/>
  <c r="S102" i="13"/>
  <c r="S97" i="13"/>
  <c r="S99" i="13"/>
  <c r="S107" i="13"/>
  <c r="S106" i="13"/>
  <c r="S108" i="13"/>
  <c r="S90" i="13"/>
  <c r="S105" i="13"/>
  <c r="I40" i="5"/>
  <c r="C28" i="6" s="1"/>
  <c r="G40" i="5"/>
  <c r="H40" i="5"/>
  <c r="F40" i="5"/>
  <c r="E40" i="5"/>
  <c r="N37" i="4"/>
  <c r="M63" i="13" s="1" a="1"/>
  <c r="M27" i="13" a="1"/>
  <c r="S98" i="13"/>
  <c r="M66" i="13" l="1"/>
  <c r="M64" i="13"/>
  <c r="M70" i="13"/>
  <c r="M65" i="13"/>
  <c r="M68" i="13"/>
  <c r="M69" i="13"/>
  <c r="M63" i="13"/>
  <c r="M67" i="13"/>
  <c r="M27" i="13"/>
  <c r="M33" i="13"/>
  <c r="M42" i="13"/>
  <c r="M46" i="13"/>
  <c r="M60" i="13"/>
  <c r="M49" i="13"/>
  <c r="M35" i="13"/>
  <c r="M54" i="13"/>
  <c r="M59" i="13"/>
  <c r="M38" i="13"/>
  <c r="M36" i="13"/>
  <c r="M41" i="13"/>
  <c r="M30" i="13"/>
  <c r="M40" i="13"/>
  <c r="M53" i="13"/>
  <c r="M31" i="13"/>
  <c r="M32" i="13"/>
  <c r="M58" i="13"/>
  <c r="M56" i="13"/>
  <c r="M45" i="13"/>
  <c r="M28" i="13"/>
  <c r="M39" i="13"/>
  <c r="M51" i="13"/>
  <c r="M52" i="13"/>
  <c r="M37" i="13"/>
  <c r="M48" i="13"/>
  <c r="M47" i="13"/>
  <c r="M44" i="13"/>
  <c r="M57" i="13"/>
  <c r="M50" i="13"/>
  <c r="M43" i="13"/>
  <c r="M34" i="13"/>
  <c r="M29" i="13"/>
  <c r="M55" i="13"/>
  <c r="P49" i="13"/>
  <c r="N50" i="13"/>
  <c r="O67" i="13"/>
  <c r="O51" i="13"/>
  <c r="O66" i="13"/>
  <c r="P31" i="13"/>
  <c r="N59" i="13"/>
  <c r="P29" i="13"/>
  <c r="O33" i="13"/>
  <c r="P48" i="13"/>
  <c r="O42" i="13"/>
  <c r="N56" i="13"/>
  <c r="N46" i="13"/>
  <c r="N44" i="13"/>
  <c r="N60" i="13"/>
  <c r="N57" i="13"/>
  <c r="O50" i="13"/>
  <c r="P67" i="13"/>
  <c r="P51" i="13"/>
  <c r="N66" i="13"/>
  <c r="O52" i="13"/>
  <c r="P64" i="13"/>
  <c r="O59" i="13"/>
  <c r="N29" i="13"/>
  <c r="N48" i="13"/>
  <c r="P42" i="13"/>
  <c r="N47" i="13"/>
  <c r="P46" i="13"/>
  <c r="P44" i="13"/>
  <c r="P57" i="13"/>
  <c r="O40" i="13"/>
  <c r="P50" i="13"/>
  <c r="N51" i="13"/>
  <c r="P66" i="13"/>
  <c r="P52" i="13"/>
  <c r="N64" i="13"/>
  <c r="O32" i="13"/>
  <c r="O29" i="13"/>
  <c r="O38" i="13"/>
  <c r="N55" i="13"/>
  <c r="N42" i="13"/>
  <c r="N41" i="13"/>
  <c r="O44" i="13"/>
  <c r="O30" i="13"/>
  <c r="P40" i="13"/>
  <c r="N35" i="13"/>
  <c r="P43" i="13"/>
  <c r="O54" i="13"/>
  <c r="N52" i="13"/>
  <c r="O64" i="13"/>
  <c r="P32" i="13"/>
  <c r="P38" i="13"/>
  <c r="O36" i="13"/>
  <c r="O47" i="13"/>
  <c r="O41" i="13"/>
  <c r="P69" i="13"/>
  <c r="N30" i="13"/>
  <c r="O63" i="13"/>
  <c r="N40" i="13"/>
  <c r="P35" i="13"/>
  <c r="N43" i="13"/>
  <c r="P54" i="13"/>
  <c r="O34" i="13"/>
  <c r="P27" i="13"/>
  <c r="N32" i="13"/>
  <c r="O70" i="13"/>
  <c r="O55" i="13"/>
  <c r="P36" i="13"/>
  <c r="P68" i="13"/>
  <c r="N69" i="13"/>
  <c r="P63" i="13"/>
  <c r="P39" i="13"/>
  <c r="N53" i="13"/>
  <c r="O43" i="13"/>
  <c r="N54" i="13"/>
  <c r="P34" i="13"/>
  <c r="N27" i="13"/>
  <c r="N37" i="13"/>
  <c r="N70" i="13"/>
  <c r="N58" i="13"/>
  <c r="P65" i="13"/>
  <c r="N36" i="13"/>
  <c r="O68" i="13"/>
  <c r="N45" i="13"/>
  <c r="O69" i="13"/>
  <c r="P28" i="13"/>
  <c r="O49" i="13"/>
  <c r="N38" i="13"/>
  <c r="P30" i="13"/>
  <c r="P70" i="13"/>
  <c r="N28" i="13"/>
  <c r="O35" i="13"/>
  <c r="P47" i="13"/>
  <c r="P55" i="13"/>
  <c r="P41" i="13"/>
  <c r="N67" i="13"/>
  <c r="O58" i="13"/>
  <c r="P45" i="13"/>
  <c r="O53" i="13"/>
  <c r="O27" i="13"/>
  <c r="O48" i="13"/>
  <c r="O45" i="13"/>
  <c r="P53" i="13"/>
  <c r="P59" i="13"/>
  <c r="O65" i="13"/>
  <c r="O60" i="13"/>
  <c r="N63" i="13"/>
  <c r="O37" i="13"/>
  <c r="N65" i="13"/>
  <c r="P60" i="13"/>
  <c r="N49" i="13"/>
  <c r="P37" i="13"/>
  <c r="O28" i="13"/>
  <c r="O39" i="13"/>
  <c r="N33" i="13"/>
  <c r="O56" i="13"/>
  <c r="O57" i="13"/>
  <c r="N39" i="13"/>
  <c r="O31" i="13"/>
  <c r="P33" i="13"/>
  <c r="N68" i="13"/>
  <c r="N34" i="13"/>
  <c r="P58" i="13"/>
  <c r="P56" i="13"/>
  <c r="N31" i="13"/>
  <c r="O46" i="13"/>
  <c r="U19" i="13" l="1" a="1"/>
  <c r="U27" i="13" l="1" a="1"/>
  <c r="D14" i="6" l="1"/>
  <c r="P109" i="13"/>
  <c r="P91" i="13"/>
  <c r="P75" i="13"/>
  <c r="J1" i="5" a="1"/>
  <c r="P92" i="13"/>
  <c r="P108" i="13"/>
  <c r="P86" i="13"/>
  <c r="P102" i="13"/>
  <c r="P73" i="13"/>
  <c r="P98" i="13"/>
  <c r="P90" i="13"/>
  <c r="P105" i="13"/>
  <c r="Z17" i="13"/>
  <c r="R76" i="13"/>
  <c r="R19" i="13"/>
  <c r="R74" i="13"/>
  <c r="R88" i="13"/>
  <c r="R24" i="13"/>
  <c r="R85" i="13"/>
  <c r="R79" i="13"/>
  <c r="P74" i="13"/>
  <c r="R86" i="13"/>
  <c r="P99" i="13"/>
  <c r="P80" i="13"/>
  <c r="R87" i="13"/>
  <c r="P104" i="13"/>
  <c r="P95" i="13"/>
  <c r="R73" i="13"/>
  <c r="P94" i="13"/>
  <c r="P81" i="13"/>
  <c r="P79" i="13"/>
  <c r="Z19" i="13" a="1"/>
  <c r="P101" i="13"/>
  <c r="P77" i="13"/>
  <c r="AA17" i="13"/>
  <c r="R75" i="13"/>
  <c r="P78" i="13"/>
  <c r="P107" i="13"/>
  <c r="R84" i="13"/>
  <c r="P106" i="13"/>
  <c r="P93" i="13"/>
  <c r="R80" i="13"/>
  <c r="P84" i="13"/>
  <c r="P85" i="13"/>
  <c r="P76" i="13"/>
  <c r="R23" i="13"/>
  <c r="P87" i="13"/>
  <c r="R20" i="13"/>
  <c r="D30" i="6"/>
  <c r="P89" i="13"/>
  <c r="R81" i="13"/>
  <c r="C27" i="6"/>
  <c r="R89" i="13"/>
  <c r="P103" i="13"/>
  <c r="R21" i="13"/>
  <c r="P96" i="13"/>
  <c r="R77" i="13"/>
  <c r="D15" i="6"/>
  <c r="P100" i="13"/>
  <c r="R83" i="13"/>
  <c r="P97" i="13"/>
  <c r="P82" i="13"/>
  <c r="R22" i="13"/>
  <c r="R78" i="13"/>
  <c r="D31" i="6"/>
  <c r="R82" i="13"/>
  <c r="P83" i="13"/>
  <c r="P88" i="13"/>
  <c r="Y19" i="13"/>
  <c r="Y3471" i="13"/>
  <c r="Y3357" i="13"/>
  <c r="Y3206" i="13"/>
  <c r="Y2790" i="13"/>
  <c r="Y3485" i="13"/>
  <c r="Y3343" i="13"/>
  <c r="Y3190" i="13"/>
  <c r="Y3046" i="13"/>
  <c r="Y2886" i="13"/>
  <c r="Y2739" i="13"/>
  <c r="Y2562" i="13"/>
  <c r="Y2408" i="13"/>
  <c r="Y2236" i="13"/>
  <c r="Y2187" i="13"/>
  <c r="Y2133" i="13"/>
  <c r="Y1993" i="13"/>
  <c r="Y3456" i="13"/>
  <c r="Y3328" i="13"/>
  <c r="Y3185" i="13"/>
  <c r="Y3025" i="13"/>
  <c r="Y2865" i="13"/>
  <c r="Y2660" i="13"/>
  <c r="Y2357" i="13"/>
  <c r="Y2066" i="13"/>
  <c r="Y3480" i="13"/>
  <c r="Y3549" i="13"/>
  <c r="Y3421" i="13"/>
  <c r="Y3270" i="13"/>
  <c r="Y3094" i="13"/>
  <c r="Y2950" i="13"/>
  <c r="Y2822" i="13"/>
  <c r="Y2684" i="13"/>
  <c r="Y2450" i="13"/>
  <c r="Y2077" i="13"/>
  <c r="Y3417" i="13"/>
  <c r="Y3249" i="13"/>
  <c r="Y3073" i="13"/>
  <c r="Y2833" i="13"/>
  <c r="Y2639" i="13"/>
  <c r="Y2399" i="13"/>
  <c r="Y1978" i="13"/>
  <c r="Y3416" i="13"/>
  <c r="Y3152" i="13"/>
  <c r="Y1963" i="13"/>
  <c r="Y3493" i="13"/>
  <c r="Y3375" i="13"/>
  <c r="Y3521" i="13"/>
  <c r="Y3446" i="13"/>
  <c r="Y3393" i="13"/>
  <c r="Y3302" i="13"/>
  <c r="Y3238" i="13"/>
  <c r="Y3142" i="13"/>
  <c r="Y3030" i="13"/>
  <c r="Y2934" i="13"/>
  <c r="Y2870" i="13"/>
  <c r="Y2757" i="13"/>
  <c r="Y2625" i="13"/>
  <c r="Y2520" i="13"/>
  <c r="Y2282" i="13"/>
  <c r="Y1877" i="13"/>
  <c r="Y3534" i="13"/>
  <c r="Y3470" i="13"/>
  <c r="Y3406" i="13"/>
  <c r="Y3353" i="13"/>
  <c r="Y3297" i="13"/>
  <c r="Y3233" i="13"/>
  <c r="Y3137" i="13"/>
  <c r="Y3089" i="13"/>
  <c r="Y2993" i="13"/>
  <c r="Y2929" i="13"/>
  <c r="Y2881" i="13"/>
  <c r="Y2785" i="13"/>
  <c r="Y2715" i="13"/>
  <c r="Y2597" i="13"/>
  <c r="Y2514" i="13"/>
  <c r="Y2226" i="13"/>
  <c r="Y1635" i="13"/>
  <c r="Y3519" i="13"/>
  <c r="Y3469" i="13"/>
  <c r="Y3430" i="13"/>
  <c r="Y3377" i="13"/>
  <c r="Y3327" i="13"/>
  <c r="Y3280" i="13"/>
  <c r="Y3232" i="13"/>
  <c r="Y3184" i="13"/>
  <c r="Y3104" i="13"/>
  <c r="Y3040" i="13"/>
  <c r="Y2992" i="13"/>
  <c r="Y2944" i="13"/>
  <c r="Y2896" i="13"/>
  <c r="Y2848" i="13"/>
  <c r="Y2800" i="13"/>
  <c r="Y2750" i="13"/>
  <c r="Y2695" i="13"/>
  <c r="Y2637" i="13"/>
  <c r="Y2575" i="13"/>
  <c r="Y2513" i="13"/>
  <c r="Y2440" i="13"/>
  <c r="Y2314" i="13"/>
  <c r="Y2176" i="13"/>
  <c r="Y1850" i="13"/>
  <c r="Y3529" i="13"/>
  <c r="Y3454" i="13"/>
  <c r="Y3415" i="13"/>
  <c r="Y3376" i="13"/>
  <c r="Y3337" i="13"/>
  <c r="Y3295" i="13"/>
  <c r="Y3247" i="13"/>
  <c r="Y3199" i="13"/>
  <c r="Y3151" i="13"/>
  <c r="Y3103" i="13"/>
  <c r="Y3055" i="13"/>
  <c r="Y3007" i="13"/>
  <c r="Y2959" i="13"/>
  <c r="Y2911" i="13"/>
  <c r="Y2863" i="13"/>
  <c r="Y2815" i="13"/>
  <c r="Y2767" i="13"/>
  <c r="Y2712" i="13"/>
  <c r="Y2657" i="13"/>
  <c r="Y2595" i="13"/>
  <c r="Y2532" i="13"/>
  <c r="Y2431" i="13"/>
  <c r="Y2305" i="13"/>
  <c r="Y2164" i="13"/>
  <c r="Y1604" i="13"/>
  <c r="Y3517" i="13"/>
  <c r="Y3489" i="13"/>
  <c r="Y3439" i="13"/>
  <c r="Y3400" i="13"/>
  <c r="Y3350" i="13"/>
  <c r="Y3310" i="13"/>
  <c r="Y3262" i="13"/>
  <c r="Y3214" i="13"/>
  <c r="Y3166" i="13"/>
  <c r="Y3118" i="13"/>
  <c r="Y3070" i="13"/>
  <c r="Y3022" i="13"/>
  <c r="Y2974" i="13"/>
  <c r="Y2926" i="13"/>
  <c r="Y2878" i="13"/>
  <c r="Y2830" i="13"/>
  <c r="Y2782" i="13"/>
  <c r="Y2729" i="13"/>
  <c r="Y2711" i="13"/>
  <c r="Y2656" i="13"/>
  <c r="Y2593" i="13"/>
  <c r="Y2531" i="13"/>
  <c r="Y2428" i="13"/>
  <c r="Y2304" i="13"/>
  <c r="Y2163" i="13"/>
  <c r="Y1936" i="13"/>
  <c r="Y1707" i="13"/>
  <c r="Y3541" i="13"/>
  <c r="Y3502" i="13"/>
  <c r="Y3463" i="13"/>
  <c r="Y3413" i="13"/>
  <c r="Y3360" i="13"/>
  <c r="Y3321" i="13"/>
  <c r="Y3193" i="13"/>
  <c r="Y2889" i="13"/>
  <c r="Y3535" i="13"/>
  <c r="Y3496" i="13"/>
  <c r="Y3432" i="13"/>
  <c r="Y3382" i="13"/>
  <c r="Y3329" i="13"/>
  <c r="Y3286" i="13"/>
  <c r="Y3222" i="13"/>
  <c r="Y3158" i="13"/>
  <c r="Y3110" i="13"/>
  <c r="Y3062" i="13"/>
  <c r="Y2998" i="13"/>
  <c r="Y2966" i="13"/>
  <c r="Y2902" i="13"/>
  <c r="Y2838" i="13"/>
  <c r="Y2774" i="13"/>
  <c r="Y2702" i="13"/>
  <c r="Y2645" i="13"/>
  <c r="Y2604" i="13"/>
  <c r="Y2541" i="13"/>
  <c r="Y2367" i="13"/>
  <c r="Y1764" i="13"/>
  <c r="Y3545" i="13"/>
  <c r="Y3509" i="13"/>
  <c r="Y3481" i="13"/>
  <c r="Y3431" i="13"/>
  <c r="Y3381" i="13"/>
  <c r="Y3342" i="13"/>
  <c r="Y3281" i="13"/>
  <c r="Y3217" i="13"/>
  <c r="Y3169" i="13"/>
  <c r="Y3121" i="13"/>
  <c r="Y3057" i="13"/>
  <c r="Y3009" i="13"/>
  <c r="Y2961" i="13"/>
  <c r="Y2913" i="13"/>
  <c r="Y2849" i="13"/>
  <c r="Y2801" i="13"/>
  <c r="Y2751" i="13"/>
  <c r="Y2696" i="13"/>
  <c r="Y2618" i="13"/>
  <c r="Y2555" i="13"/>
  <c r="Y2482" i="13"/>
  <c r="Y2315" i="13"/>
  <c r="Y2177" i="13"/>
  <c r="Y1749" i="13"/>
  <c r="Y3544" i="13"/>
  <c r="Y3505" i="13"/>
  <c r="Y3455" i="13"/>
  <c r="Y3405" i="13"/>
  <c r="Y3366" i="13"/>
  <c r="Y3341" i="13"/>
  <c r="Y3296" i="13"/>
  <c r="Y3248" i="13"/>
  <c r="Y3200" i="13"/>
  <c r="Y3136" i="13"/>
  <c r="Y3088" i="13"/>
  <c r="Y3056" i="13"/>
  <c r="Y3008" i="13"/>
  <c r="Y2960" i="13"/>
  <c r="Y2912" i="13"/>
  <c r="Y2864" i="13"/>
  <c r="Y2816" i="13"/>
  <c r="Y2768" i="13"/>
  <c r="Y2713" i="13"/>
  <c r="Y2659" i="13"/>
  <c r="Y2596" i="13"/>
  <c r="Y2533" i="13"/>
  <c r="Y2397" i="13"/>
  <c r="Y2272" i="13"/>
  <c r="Y2121" i="13"/>
  <c r="Y1737" i="13"/>
  <c r="Y3543" i="13"/>
  <c r="Y3504" i="13"/>
  <c r="Y3465" i="13"/>
  <c r="Y3429" i="13"/>
  <c r="Y3390" i="13"/>
  <c r="Y3351" i="13"/>
  <c r="Y3311" i="13"/>
  <c r="Y3263" i="13"/>
  <c r="Y3215" i="13"/>
  <c r="Y3167" i="13"/>
  <c r="Y3119" i="13"/>
  <c r="Y3071" i="13"/>
  <c r="Y3023" i="13"/>
  <c r="Y2975" i="13"/>
  <c r="Y2927" i="13"/>
  <c r="Y2879" i="13"/>
  <c r="Y2831" i="13"/>
  <c r="Y2783" i="13"/>
  <c r="Y2731" i="13"/>
  <c r="Y2676" i="13"/>
  <c r="Y2616" i="13"/>
  <c r="Y2553" i="13"/>
  <c r="Y2472" i="13"/>
  <c r="Y2346" i="13"/>
  <c r="Y2213" i="13"/>
  <c r="Y2050" i="13"/>
  <c r="Y1722" i="13"/>
  <c r="Y3528" i="13"/>
  <c r="Y3478" i="13"/>
  <c r="Y3453" i="13"/>
  <c r="Y3414" i="13"/>
  <c r="Y3361" i="13"/>
  <c r="Y3325" i="13"/>
  <c r="Y3278" i="13"/>
  <c r="Y3230" i="13"/>
  <c r="Y3182" i="13"/>
  <c r="Y3134" i="13"/>
  <c r="Y3086" i="13"/>
  <c r="Y3038" i="13"/>
  <c r="Y2990" i="13"/>
  <c r="Y2942" i="13"/>
  <c r="Y2894" i="13"/>
  <c r="Y2846" i="13"/>
  <c r="Y2798" i="13"/>
  <c r="Y2748" i="13"/>
  <c r="Y2675" i="13"/>
  <c r="Y2615" i="13"/>
  <c r="Y2552" i="13"/>
  <c r="Y2471" i="13"/>
  <c r="Y2345" i="13"/>
  <c r="Y2212" i="13"/>
  <c r="Y2049" i="13"/>
  <c r="Y1587" i="13"/>
  <c r="Y3527" i="13"/>
  <c r="Y3488" i="13"/>
  <c r="Y3449" i="13"/>
  <c r="Y3424" i="13"/>
  <c r="Y3385" i="13"/>
  <c r="Y3349" i="13"/>
  <c r="Y3305" i="13"/>
  <c r="Y3273" i="13"/>
  <c r="Y3241" i="13"/>
  <c r="Y3209" i="13"/>
  <c r="Y3161" i="13"/>
  <c r="Y3129" i="13"/>
  <c r="Y3097" i="13"/>
  <c r="Y3065" i="13"/>
  <c r="Y3033" i="13"/>
  <c r="Y3001" i="13"/>
  <c r="Y2969" i="13"/>
  <c r="Y2937" i="13"/>
  <c r="Y2905" i="13"/>
  <c r="Y2873" i="13"/>
  <c r="Y2841" i="13"/>
  <c r="Y2809" i="13"/>
  <c r="Y2777" i="13"/>
  <c r="Y2742" i="13"/>
  <c r="Y2705" i="13"/>
  <c r="Y2669" i="13"/>
  <c r="Y2628" i="13"/>
  <c r="Y2587" i="13"/>
  <c r="Y2545" i="13"/>
  <c r="Y2501" i="13"/>
  <c r="Y2419" i="13"/>
  <c r="Y2336" i="13"/>
  <c r="Y2295" i="13"/>
  <c r="Y2202" i="13"/>
  <c r="Y2092" i="13"/>
  <c r="Y1921" i="13"/>
  <c r="Y1693" i="13"/>
  <c r="Y3551" i="13"/>
  <c r="Y3526" i="13"/>
  <c r="Y3501" i="13"/>
  <c r="Y3473" i="13"/>
  <c r="Y3448" i="13"/>
  <c r="Y3423" i="13"/>
  <c r="Y3398" i="13"/>
  <c r="Y3373" i="13"/>
  <c r="Y3345" i="13"/>
  <c r="Y3320" i="13"/>
  <c r="Y3288" i="13"/>
  <c r="Y3256" i="13"/>
  <c r="Y3224" i="13"/>
  <c r="Y3192" i="13"/>
  <c r="Y3160" i="13"/>
  <c r="Y3128" i="13"/>
  <c r="Y3096" i="13"/>
  <c r="Y3064" i="13"/>
  <c r="Y3032" i="13"/>
  <c r="Y3000" i="13"/>
  <c r="Y2968" i="13"/>
  <c r="Y2936" i="13"/>
  <c r="Y2904" i="13"/>
  <c r="Y2872" i="13"/>
  <c r="Y2840" i="13"/>
  <c r="Y2808" i="13"/>
  <c r="Y2759" i="13"/>
  <c r="Y2723" i="13"/>
  <c r="Y2686" i="13"/>
  <c r="Y2648" i="13"/>
  <c r="Y2586" i="13"/>
  <c r="Y2544" i="13"/>
  <c r="Y2460" i="13"/>
  <c r="Y2335" i="13"/>
  <c r="Y2200" i="13"/>
  <c r="Y2020" i="13"/>
  <c r="Y1680" i="13"/>
  <c r="Y3510" i="13"/>
  <c r="Y3457" i="13"/>
  <c r="Y3407" i="13"/>
  <c r="Y3368" i="13"/>
  <c r="Y3318" i="13"/>
  <c r="Y3254" i="13"/>
  <c r="Y3174" i="13"/>
  <c r="Y3126" i="13"/>
  <c r="Y3078" i="13"/>
  <c r="Y3014" i="13"/>
  <c r="Y2982" i="13"/>
  <c r="Y2918" i="13"/>
  <c r="Y2854" i="13"/>
  <c r="Y2806" i="13"/>
  <c r="Y2720" i="13"/>
  <c r="Y2665" i="13"/>
  <c r="Y2583" i="13"/>
  <c r="Y2491" i="13"/>
  <c r="Y2324" i="13"/>
  <c r="Y1651" i="13"/>
  <c r="Y3520" i="13"/>
  <c r="Y3495" i="13"/>
  <c r="Y3445" i="13"/>
  <c r="Y3392" i="13"/>
  <c r="Y3367" i="13"/>
  <c r="Y3313" i="13"/>
  <c r="Y3265" i="13"/>
  <c r="Y3201" i="13"/>
  <c r="Y3153" i="13"/>
  <c r="Y3105" i="13"/>
  <c r="Y3041" i="13"/>
  <c r="Y2977" i="13"/>
  <c r="Y2945" i="13"/>
  <c r="Y2897" i="13"/>
  <c r="Y2817" i="13"/>
  <c r="Y2769" i="13"/>
  <c r="Y2733" i="13"/>
  <c r="Y2678" i="13"/>
  <c r="Y2577" i="13"/>
  <c r="Y2535" i="13"/>
  <c r="Y2441" i="13"/>
  <c r="Y2273" i="13"/>
  <c r="Y2122" i="13"/>
  <c r="Y1865" i="13"/>
  <c r="Y3533" i="13"/>
  <c r="Y3494" i="13"/>
  <c r="Y3441" i="13"/>
  <c r="Y3391" i="13"/>
  <c r="Y3352" i="13"/>
  <c r="Y3312" i="13"/>
  <c r="Y3264" i="13"/>
  <c r="Y3216" i="13"/>
  <c r="Y3168" i="13"/>
  <c r="Y3120" i="13"/>
  <c r="Y3072" i="13"/>
  <c r="Y3024" i="13"/>
  <c r="Y2976" i="13"/>
  <c r="Y2928" i="13"/>
  <c r="Y2880" i="13"/>
  <c r="Y2832" i="13"/>
  <c r="Y2784" i="13"/>
  <c r="Y2732" i="13"/>
  <c r="Y2677" i="13"/>
  <c r="Y2617" i="13"/>
  <c r="Y2554" i="13"/>
  <c r="Y2481" i="13"/>
  <c r="Y2355" i="13"/>
  <c r="Y2225" i="13"/>
  <c r="Y2064" i="13"/>
  <c r="Y1618" i="13"/>
  <c r="Y3518" i="13"/>
  <c r="Y3479" i="13"/>
  <c r="Y3440" i="13"/>
  <c r="Y3401" i="13"/>
  <c r="Y3365" i="13"/>
  <c r="Y3326" i="13"/>
  <c r="Y3279" i="13"/>
  <c r="Y3231" i="13"/>
  <c r="Y3183" i="13"/>
  <c r="Y3135" i="13"/>
  <c r="Y3087" i="13"/>
  <c r="Y3039" i="13"/>
  <c r="Y2991" i="13"/>
  <c r="Y2943" i="13"/>
  <c r="Y2895" i="13"/>
  <c r="Y2847" i="13"/>
  <c r="Y2799" i="13"/>
  <c r="Y2749" i="13"/>
  <c r="Y2694" i="13"/>
  <c r="Y2636" i="13"/>
  <c r="Y2573" i="13"/>
  <c r="Y2509" i="13"/>
  <c r="Y2388" i="13"/>
  <c r="Y2261" i="13"/>
  <c r="Y2108" i="13"/>
  <c r="Y1949" i="13"/>
  <c r="Y1835" i="13"/>
  <c r="Y3542" i="13"/>
  <c r="Y3503" i="13"/>
  <c r="Y3464" i="13"/>
  <c r="Y3425" i="13"/>
  <c r="Y3389" i="13"/>
  <c r="Y3336" i="13"/>
  <c r="Y3294" i="13"/>
  <c r="Y3246" i="13"/>
  <c r="Y3198" i="13"/>
  <c r="Y3150" i="13"/>
  <c r="Y3102" i="13"/>
  <c r="Y3054" i="13"/>
  <c r="Y3006" i="13"/>
  <c r="Y2958" i="13"/>
  <c r="Y2910" i="13"/>
  <c r="Y2862" i="13"/>
  <c r="Y2814" i="13"/>
  <c r="Y2766" i="13"/>
  <c r="Y2693" i="13"/>
  <c r="Y2635" i="13"/>
  <c r="Y2572" i="13"/>
  <c r="Y2504" i="13"/>
  <c r="Y2387" i="13"/>
  <c r="Y2260" i="13"/>
  <c r="Y2106" i="13"/>
  <c r="Y1821" i="13"/>
  <c r="Y3552" i="13"/>
  <c r="Y3513" i="13"/>
  <c r="Y3477" i="13"/>
  <c r="Y3438" i="13"/>
  <c r="Y3399" i="13"/>
  <c r="Y3374" i="13"/>
  <c r="Y3335" i="13"/>
  <c r="Y3289" i="13"/>
  <c r="Y3257" i="13"/>
  <c r="Y3225" i="13"/>
  <c r="Y3177" i="13"/>
  <c r="Y3145" i="13"/>
  <c r="Y3113" i="13"/>
  <c r="Y3081" i="13"/>
  <c r="Y3049" i="13"/>
  <c r="Y3017" i="13"/>
  <c r="Y2985" i="13"/>
  <c r="Y2953" i="13"/>
  <c r="Y2921" i="13"/>
  <c r="Y2857" i="13"/>
  <c r="Y2825" i="13"/>
  <c r="Y2793" i="13"/>
  <c r="Y2760" i="13"/>
  <c r="Y2724" i="13"/>
  <c r="Y2687" i="13"/>
  <c r="Y2650" i="13"/>
  <c r="Y2608" i="13"/>
  <c r="Y2565" i="13"/>
  <c r="Y2524" i="13"/>
  <c r="Y2461" i="13"/>
  <c r="Y2378" i="13"/>
  <c r="Y2250" i="13"/>
  <c r="Y2152" i="13"/>
  <c r="Y2035" i="13"/>
  <c r="Y1808" i="13"/>
  <c r="Y1570" i="13"/>
  <c r="Y3537" i="13"/>
  <c r="Y3512" i="13"/>
  <c r="Y3487" i="13"/>
  <c r="Y3462" i="13"/>
  <c r="Y3437" i="13"/>
  <c r="Y3409" i="13"/>
  <c r="Y3384" i="13"/>
  <c r="Y3359" i="13"/>
  <c r="Y3334" i="13"/>
  <c r="Y3304" i="13"/>
  <c r="Y3272" i="13"/>
  <c r="Y3240" i="13"/>
  <c r="Y3208" i="13"/>
  <c r="Y3176" i="13"/>
  <c r="Y3144" i="13"/>
  <c r="Y3112" i="13"/>
  <c r="Y3080" i="13"/>
  <c r="Y3048" i="13"/>
  <c r="Y3016" i="13"/>
  <c r="Y2984" i="13"/>
  <c r="Y2952" i="13"/>
  <c r="Y2920" i="13"/>
  <c r="Y2888" i="13"/>
  <c r="Y2856" i="13"/>
  <c r="Y2824" i="13"/>
  <c r="Y2792" i="13"/>
  <c r="Y2776" i="13"/>
  <c r="Y2741" i="13"/>
  <c r="Y2704" i="13"/>
  <c r="Y2668" i="13"/>
  <c r="Y2627" i="13"/>
  <c r="Y2607" i="13"/>
  <c r="Y2564" i="13"/>
  <c r="Y2523" i="13"/>
  <c r="Y2499" i="13"/>
  <c r="Y2418" i="13"/>
  <c r="Y2377" i="13"/>
  <c r="Y2293" i="13"/>
  <c r="Y2249" i="13"/>
  <c r="Y2148" i="13"/>
  <c r="Y2091" i="13"/>
  <c r="Y1907" i="13"/>
  <c r="Y1793" i="13"/>
  <c r="Y1554" i="13"/>
  <c r="Y3550" i="13"/>
  <c r="Y3536" i="13"/>
  <c r="Y3525" i="13"/>
  <c r="Y3511" i="13"/>
  <c r="Y3497" i="13"/>
  <c r="Y3486" i="13"/>
  <c r="Y3472" i="13"/>
  <c r="Y3461" i="13"/>
  <c r="Y3447" i="13"/>
  <c r="Y3433" i="13"/>
  <c r="Y3422" i="13"/>
  <c r="Y3408" i="13"/>
  <c r="Y3397" i="13"/>
  <c r="Y3383" i="13"/>
  <c r="Y3369" i="13"/>
  <c r="Y3358" i="13"/>
  <c r="Y3344" i="13"/>
  <c r="Y3333" i="13"/>
  <c r="Y3319" i="13"/>
  <c r="Y3303" i="13"/>
  <c r="Y3287" i="13"/>
  <c r="Y3271" i="13"/>
  <c r="Y3255" i="13"/>
  <c r="Y3239" i="13"/>
  <c r="Y3223" i="13"/>
  <c r="Y3207" i="13"/>
  <c r="Y3191" i="13"/>
  <c r="Y3175" i="13"/>
  <c r="Y3159" i="13"/>
  <c r="Y3143" i="13"/>
  <c r="Y3127" i="13"/>
  <c r="Y3111" i="13"/>
  <c r="Y3095" i="13"/>
  <c r="Y3079" i="13"/>
  <c r="Y3063" i="13"/>
  <c r="Y3047" i="13"/>
  <c r="Y3031" i="13"/>
  <c r="Y3015" i="13"/>
  <c r="Y2999" i="13"/>
  <c r="Y2983" i="13"/>
  <c r="Y2967" i="13"/>
  <c r="Y2951" i="13"/>
  <c r="Y2935" i="13"/>
  <c r="Y2919" i="13"/>
  <c r="Y2903" i="13"/>
  <c r="Y2887" i="13"/>
  <c r="Y2871" i="13"/>
  <c r="Y2855" i="13"/>
  <c r="Y2839" i="13"/>
  <c r="Y2823" i="13"/>
  <c r="Y2807" i="13"/>
  <c r="Y2791" i="13"/>
  <c r="Y2775" i="13"/>
  <c r="Y2758" i="13"/>
  <c r="Y2740" i="13"/>
  <c r="Y2721" i="13"/>
  <c r="Y2703" i="13"/>
  <c r="Y2685" i="13"/>
  <c r="Y2667" i="13"/>
  <c r="Y2647" i="13"/>
  <c r="Y2626" i="13"/>
  <c r="Y2605" i="13"/>
  <c r="Y2584" i="13"/>
  <c r="Y2563" i="13"/>
  <c r="Y2543" i="13"/>
  <c r="Y2522" i="13"/>
  <c r="Y2492" i="13"/>
  <c r="Y2451" i="13"/>
  <c r="Y2409" i="13"/>
  <c r="Y2368" i="13"/>
  <c r="Y2325" i="13"/>
  <c r="Y2284" i="13"/>
  <c r="Y2237" i="13"/>
  <c r="Y2188" i="13"/>
  <c r="Y2136" i="13"/>
  <c r="Y2080" i="13"/>
  <c r="Y2005" i="13"/>
  <c r="Y1892" i="13"/>
  <c r="Y1779" i="13"/>
  <c r="Y1665" i="13"/>
  <c r="Y1539" i="13"/>
  <c r="Y2036" i="13"/>
  <c r="Y2024" i="13"/>
  <c r="Y2008" i="13"/>
  <c r="Y1994" i="13"/>
  <c r="Y1980" i="13"/>
  <c r="Y1964" i="13"/>
  <c r="Y1952" i="13"/>
  <c r="Y1938" i="13"/>
  <c r="Y1922" i="13"/>
  <c r="Y1908" i="13"/>
  <c r="Y1896" i="13"/>
  <c r="Y1880" i="13"/>
  <c r="Y1866" i="13"/>
  <c r="Y1852" i="13"/>
  <c r="Y1836" i="13"/>
  <c r="Y1824" i="13"/>
  <c r="Y1810" i="13"/>
  <c r="Y1794" i="13"/>
  <c r="Y1780" i="13"/>
  <c r="Y1768" i="13"/>
  <c r="Y1752" i="13"/>
  <c r="Y1738" i="13"/>
  <c r="Y1724" i="13"/>
  <c r="Y1708" i="13"/>
  <c r="Y1696" i="13"/>
  <c r="Y1682" i="13"/>
  <c r="Y1666" i="13"/>
  <c r="Y1652" i="13"/>
  <c r="Y1640" i="13"/>
  <c r="Y1622" i="13"/>
  <c r="Y1606" i="13"/>
  <c r="Y1590" i="13"/>
  <c r="Y1571" i="13"/>
  <c r="Y1558" i="13"/>
  <c r="Y1542" i="13"/>
  <c r="Y1523" i="13"/>
  <c r="Y1507" i="13"/>
  <c r="Y1494" i="13"/>
  <c r="Y1475" i="13"/>
  <c r="Y1459" i="13"/>
  <c r="Y1441" i="13"/>
  <c r="Y1417" i="13"/>
  <c r="Y1399" i="13"/>
  <c r="Y1380" i="13"/>
  <c r="Y1360" i="13"/>
  <c r="Y1342" i="13"/>
  <c r="Y1323" i="13"/>
  <c r="Y1303" i="13"/>
  <c r="Y1284" i="13"/>
  <c r="Y1266" i="13"/>
  <c r="Y1240" i="13"/>
  <c r="Y1218" i="13"/>
  <c r="Y1196" i="13"/>
  <c r="Y1172" i="13"/>
  <c r="Y1152" i="13"/>
  <c r="Y1130" i="13"/>
  <c r="Y1103" i="13"/>
  <c r="Y1081" i="13"/>
  <c r="Y1059" i="13"/>
  <c r="Y1035" i="13"/>
  <c r="Y1013" i="13"/>
  <c r="Y987" i="13"/>
  <c r="Y960" i="13"/>
  <c r="Y935" i="13"/>
  <c r="Y912" i="13"/>
  <c r="Y879" i="13"/>
  <c r="Y854" i="13"/>
  <c r="Y831" i="13"/>
  <c r="Y803" i="13"/>
  <c r="Y778" i="13"/>
  <c r="Y752" i="13"/>
  <c r="Y714" i="13"/>
  <c r="Y686" i="13"/>
  <c r="Y657" i="13"/>
  <c r="Y619" i="13"/>
  <c r="Y586" i="13"/>
  <c r="Y537" i="13"/>
  <c r="Y489" i="13"/>
  <c r="Y449" i="13"/>
  <c r="Y403" i="13"/>
  <c r="Y352" i="13"/>
  <c r="Y312" i="13"/>
  <c r="Y266" i="13"/>
  <c r="Y215" i="13"/>
  <c r="Y175" i="13"/>
  <c r="Y120" i="13"/>
  <c r="Y1522" i="13"/>
  <c r="Y1506" i="13"/>
  <c r="Y1489" i="13"/>
  <c r="Y1472" i="13"/>
  <c r="Y1458" i="13"/>
  <c r="Y1435" i="13"/>
  <c r="Y1416" i="13"/>
  <c r="Y1398" i="13"/>
  <c r="Y1378" i="13"/>
  <c r="Y1359" i="13"/>
  <c r="Y1340" i="13"/>
  <c r="Y1321" i="13"/>
  <c r="Y1298" i="13"/>
  <c r="Y1280" i="13"/>
  <c r="Y1260" i="13"/>
  <c r="Y1239" i="13"/>
  <c r="Y1217" i="13"/>
  <c r="Y1194" i="13"/>
  <c r="Y1171" i="13"/>
  <c r="Y1151" i="13"/>
  <c r="Y1123" i="13"/>
  <c r="Y1100" i="13"/>
  <c r="Y1080" i="13"/>
  <c r="Y1057" i="13"/>
  <c r="Y1034" i="13"/>
  <c r="Y1009" i="13"/>
  <c r="Y985" i="13"/>
  <c r="Y953" i="13"/>
  <c r="Y930" i="13"/>
  <c r="Y904" i="13"/>
  <c r="Y878" i="13"/>
  <c r="Y853" i="13"/>
  <c r="Y826" i="13"/>
  <c r="Y802" i="13"/>
  <c r="Y777" i="13"/>
  <c r="Y743" i="13"/>
  <c r="Y713" i="13"/>
  <c r="Y685" i="13"/>
  <c r="Y651" i="13"/>
  <c r="Y618" i="13"/>
  <c r="Y585" i="13"/>
  <c r="Y535" i="13"/>
  <c r="Y483" i="13"/>
  <c r="Y448" i="13"/>
  <c r="Y398" i="13"/>
  <c r="Y351" i="13"/>
  <c r="Y311" i="13"/>
  <c r="Y259" i="13"/>
  <c r="Y214" i="13"/>
  <c r="Y171" i="13"/>
  <c r="Y115" i="13"/>
  <c r="Y2511" i="13"/>
  <c r="Y2500" i="13"/>
  <c r="Y2490" i="13"/>
  <c r="Y2480" i="13"/>
  <c r="Y2469" i="13"/>
  <c r="Y2459" i="13"/>
  <c r="Y2449" i="13"/>
  <c r="Y2437" i="13"/>
  <c r="Y2427" i="13"/>
  <c r="Y2417" i="13"/>
  <c r="Y2407" i="13"/>
  <c r="Y2396" i="13"/>
  <c r="Y2386" i="13"/>
  <c r="Y2376" i="13"/>
  <c r="Y2364" i="13"/>
  <c r="Y2354" i="13"/>
  <c r="Y2344" i="13"/>
  <c r="Y2333" i="13"/>
  <c r="Y2323" i="13"/>
  <c r="Y2313" i="13"/>
  <c r="Y2303" i="13"/>
  <c r="Y2291" i="13"/>
  <c r="Y2281" i="13"/>
  <c r="Y2271" i="13"/>
  <c r="Y2259" i="13"/>
  <c r="Y2248" i="13"/>
  <c r="Y2235" i="13"/>
  <c r="Y2224" i="13"/>
  <c r="Y2210" i="13"/>
  <c r="Y2197" i="13"/>
  <c r="Y2186" i="13"/>
  <c r="Y2173" i="13"/>
  <c r="Y2162" i="13"/>
  <c r="Y2146" i="13"/>
  <c r="Y2132" i="13"/>
  <c r="Y2120" i="13"/>
  <c r="Y2104" i="13"/>
  <c r="Y2090" i="13"/>
  <c r="Y2076" i="13"/>
  <c r="Y2060" i="13"/>
  <c r="Y2048" i="13"/>
  <c r="Y2034" i="13"/>
  <c r="Y2018" i="13"/>
  <c r="Y2004" i="13"/>
  <c r="Y1992" i="13"/>
  <c r="Y1976" i="13"/>
  <c r="Y1962" i="13"/>
  <c r="Y1948" i="13"/>
  <c r="Y1932" i="13"/>
  <c r="Y1920" i="13"/>
  <c r="Y1906" i="13"/>
  <c r="Y1890" i="13"/>
  <c r="Y1876" i="13"/>
  <c r="Y1864" i="13"/>
  <c r="Y1848" i="13"/>
  <c r="Y1834" i="13"/>
  <c r="Y1820" i="13"/>
  <c r="Y1804" i="13"/>
  <c r="Y1792" i="13"/>
  <c r="Y1778" i="13"/>
  <c r="Y1762" i="13"/>
  <c r="Y1748" i="13"/>
  <c r="Y1736" i="13"/>
  <c r="Y1720" i="13"/>
  <c r="Y1706" i="13"/>
  <c r="Y1692" i="13"/>
  <c r="Y1676" i="13"/>
  <c r="Y1664" i="13"/>
  <c r="Y1650" i="13"/>
  <c r="Y1633" i="13"/>
  <c r="Y1617" i="13"/>
  <c r="Y1603" i="13"/>
  <c r="Y1585" i="13"/>
  <c r="Y1569" i="13"/>
  <c r="Y1553" i="13"/>
  <c r="Y1535" i="13"/>
  <c r="Y1521" i="13"/>
  <c r="Y1505" i="13"/>
  <c r="Y1487" i="13"/>
  <c r="Y1471" i="13"/>
  <c r="Y1454" i="13"/>
  <c r="Y1433" i="13"/>
  <c r="Y1415" i="13"/>
  <c r="Y1396" i="13"/>
  <c r="Y1376" i="13"/>
  <c r="Y1358" i="13"/>
  <c r="Y1339" i="13"/>
  <c r="Y1315" i="13"/>
  <c r="Y1297" i="13"/>
  <c r="Y1279" i="13"/>
  <c r="Y1258" i="13"/>
  <c r="Y1236" i="13"/>
  <c r="Y1216" i="13"/>
  <c r="Y1187" i="13"/>
  <c r="Y1167" i="13"/>
  <c r="Y1145" i="13"/>
  <c r="Y1121" i="13"/>
  <c r="Y1099" i="13"/>
  <c r="Y1079" i="13"/>
  <c r="Y1055" i="13"/>
  <c r="Y1033" i="13"/>
  <c r="Y1008" i="13"/>
  <c r="Y977" i="13"/>
  <c r="Y952" i="13"/>
  <c r="Y927" i="13"/>
  <c r="Y899" i="13"/>
  <c r="Y877" i="13"/>
  <c r="Y851" i="13"/>
  <c r="Y821" i="13"/>
  <c r="Y795" i="13"/>
  <c r="Y770" i="13"/>
  <c r="Y741" i="13"/>
  <c r="Y712" i="13"/>
  <c r="Y680" i="13"/>
  <c r="Y649" i="13"/>
  <c r="Y617" i="13"/>
  <c r="Y575" i="13"/>
  <c r="Y522" i="13"/>
  <c r="Y482" i="13"/>
  <c r="Y438" i="13"/>
  <c r="Y385" i="13"/>
  <c r="Y345" i="13"/>
  <c r="Y299" i="13"/>
  <c r="Y248" i="13"/>
  <c r="Y211" i="13"/>
  <c r="Y160" i="13"/>
  <c r="Y96" i="13"/>
  <c r="Y2489" i="13"/>
  <c r="Y2479" i="13"/>
  <c r="Y2468" i="13"/>
  <c r="Y2458" i="13"/>
  <c r="Y2447" i="13"/>
  <c r="Y2436" i="13"/>
  <c r="Y2426" i="13"/>
  <c r="Y2416" i="13"/>
  <c r="Y2405" i="13"/>
  <c r="Y2395" i="13"/>
  <c r="Y2385" i="13"/>
  <c r="Y2373" i="13"/>
  <c r="Y2363" i="13"/>
  <c r="Y2353" i="13"/>
  <c r="Y2343" i="13"/>
  <c r="Y2332" i="13"/>
  <c r="Y2322" i="13"/>
  <c r="Y2312" i="13"/>
  <c r="Y2300" i="13"/>
  <c r="Y2290" i="13"/>
  <c r="Y2280" i="13"/>
  <c r="Y2269" i="13"/>
  <c r="Y2258" i="13"/>
  <c r="Y2245" i="13"/>
  <c r="Y2234" i="13"/>
  <c r="Y2220" i="13"/>
  <c r="Y2209" i="13"/>
  <c r="Y2196" i="13"/>
  <c r="Y2185" i="13"/>
  <c r="Y2172" i="13"/>
  <c r="Y2160" i="13"/>
  <c r="Y2145" i="13"/>
  <c r="Y2131" i="13"/>
  <c r="Y2116" i="13"/>
  <c r="Y2101" i="13"/>
  <c r="Y2089" i="13"/>
  <c r="Y2074" i="13"/>
  <c r="Y2059" i="13"/>
  <c r="Y2045" i="13"/>
  <c r="Y2032" i="13"/>
  <c r="Y2017" i="13"/>
  <c r="Y2003" i="13"/>
  <c r="Y1988" i="13"/>
  <c r="Y1973" i="13"/>
  <c r="Y1961" i="13"/>
  <c r="Y1946" i="13"/>
  <c r="Y1931" i="13"/>
  <c r="Y1917" i="13"/>
  <c r="Y1904" i="13"/>
  <c r="Y1889" i="13"/>
  <c r="Y1875" i="13"/>
  <c r="Y1860" i="13"/>
  <c r="Y1845" i="13"/>
  <c r="Y1833" i="13"/>
  <c r="Y1818" i="13"/>
  <c r="Y1803" i="13"/>
  <c r="Y1789" i="13"/>
  <c r="Y1776" i="13"/>
  <c r="Y1761" i="13"/>
  <c r="Y1747" i="13"/>
  <c r="Y1732" i="13"/>
  <c r="Y1717" i="13"/>
  <c r="Y1705" i="13"/>
  <c r="Y1690" i="13"/>
  <c r="Y1675" i="13"/>
  <c r="Y1661" i="13"/>
  <c r="Y1648" i="13"/>
  <c r="Y1632" i="13"/>
  <c r="Y1616" i="13"/>
  <c r="Y1599" i="13"/>
  <c r="Y1582" i="13"/>
  <c r="Y1568" i="13"/>
  <c r="Y1551" i="13"/>
  <c r="Y1534" i="13"/>
  <c r="Y1518" i="13"/>
  <c r="Y1503" i="13"/>
  <c r="Y1486" i="13"/>
  <c r="Y1470" i="13"/>
  <c r="Y1451" i="13"/>
  <c r="Y1432" i="13"/>
  <c r="Y1414" i="13"/>
  <c r="Y1394" i="13"/>
  <c r="Y1371" i="13"/>
  <c r="Y1353" i="13"/>
  <c r="Y1334" i="13"/>
  <c r="Y1314" i="13"/>
  <c r="Y1296" i="13"/>
  <c r="Y1276" i="13"/>
  <c r="Y1257" i="13"/>
  <c r="Y1235" i="13"/>
  <c r="Y1209" i="13"/>
  <c r="Y1186" i="13"/>
  <c r="Y1164" i="13"/>
  <c r="Y1143" i="13"/>
  <c r="Y1120" i="13"/>
  <c r="Y1098" i="13"/>
  <c r="Y1075" i="13"/>
  <c r="Y1049" i="13"/>
  <c r="Y1026" i="13"/>
  <c r="Y1000" i="13"/>
  <c r="Y976" i="13"/>
  <c r="Y951" i="13"/>
  <c r="Y925" i="13"/>
  <c r="Y898" i="13"/>
  <c r="Y875" i="13"/>
  <c r="Y843" i="13"/>
  <c r="Y817" i="13"/>
  <c r="Y794" i="13"/>
  <c r="Y768" i="13"/>
  <c r="Y739" i="13"/>
  <c r="Y707" i="13"/>
  <c r="Y678" i="13"/>
  <c r="Y641" i="13"/>
  <c r="Y608" i="13"/>
  <c r="Y568" i="13"/>
  <c r="Y521" i="13"/>
  <c r="Y481" i="13"/>
  <c r="Y431" i="13"/>
  <c r="Y384" i="13"/>
  <c r="Y344" i="13"/>
  <c r="Y297" i="13"/>
  <c r="Y247" i="13"/>
  <c r="Y207" i="13"/>
  <c r="Y155" i="13"/>
  <c r="Y95" i="13"/>
  <c r="Y3277" i="13"/>
  <c r="Y3189" i="13"/>
  <c r="Y3101" i="13"/>
  <c r="Y2989" i="13"/>
  <c r="Y2901" i="13"/>
  <c r="Y2781" i="13"/>
  <c r="Y2634" i="13"/>
  <c r="Y2498" i="13"/>
  <c r="Y2372" i="13"/>
  <c r="Y2244" i="13"/>
  <c r="Y2100" i="13"/>
  <c r="Y1972" i="13"/>
  <c r="Y1930" i="13"/>
  <c r="Y1916" i="13"/>
  <c r="Y1900" i="13"/>
  <c r="Y1888" i="13"/>
  <c r="Y1874" i="13"/>
  <c r="Y1858" i="13"/>
  <c r="Y1844" i="13"/>
  <c r="Y1832" i="13"/>
  <c r="Y1816" i="13"/>
  <c r="Y1760" i="13"/>
  <c r="Y1746" i="13"/>
  <c r="Y1730" i="13"/>
  <c r="Y1716" i="13"/>
  <c r="Y1704" i="13"/>
  <c r="Y1688" i="13"/>
  <c r="Y1674" i="13"/>
  <c r="Y1660" i="13"/>
  <c r="Y1644" i="13"/>
  <c r="Y1631" i="13"/>
  <c r="Y1615" i="13"/>
  <c r="Y1596" i="13"/>
  <c r="Y1580" i="13"/>
  <c r="Y1567" i="13"/>
  <c r="Y1548" i="13"/>
  <c r="Y1532" i="13"/>
  <c r="Y1516" i="13"/>
  <c r="Y1498" i="13"/>
  <c r="Y1484" i="13"/>
  <c r="Y1468" i="13"/>
  <c r="Y1449" i="13"/>
  <c r="Y1431" i="13"/>
  <c r="Y1412" i="13"/>
  <c r="Y1388" i="13"/>
  <c r="Y1370" i="13"/>
  <c r="Y1352" i="13"/>
  <c r="Y1331" i="13"/>
  <c r="Y1313" i="13"/>
  <c r="Y1295" i="13"/>
  <c r="Y1271" i="13"/>
  <c r="Y1251" i="13"/>
  <c r="Y1231" i="13"/>
  <c r="Y1207" i="13"/>
  <c r="Y1185" i="13"/>
  <c r="Y1163" i="13"/>
  <c r="Y1139" i="13"/>
  <c r="Y1119" i="13"/>
  <c r="Y1097" i="13"/>
  <c r="Y1068" i="13"/>
  <c r="Y1048" i="13"/>
  <c r="Y1025" i="13"/>
  <c r="Y998" i="13"/>
  <c r="Y973" i="13"/>
  <c r="Y950" i="13"/>
  <c r="Y917" i="13"/>
  <c r="Y894" i="13"/>
  <c r="Y869" i="13"/>
  <c r="Y841" i="13"/>
  <c r="Y816" i="13"/>
  <c r="Y793" i="13"/>
  <c r="Y766" i="13"/>
  <c r="Y735" i="13"/>
  <c r="Y706" i="13"/>
  <c r="Y669" i="13"/>
  <c r="Y640" i="13"/>
  <c r="Y607" i="13"/>
  <c r="Y555" i="13"/>
  <c r="Y515" i="13"/>
  <c r="Y471" i="13"/>
  <c r="Y418" i="13"/>
  <c r="Y383" i="13"/>
  <c r="Y334" i="13"/>
  <c r="Y281" i="13"/>
  <c r="Y246" i="13"/>
  <c r="Y195" i="13"/>
  <c r="Y143" i="13"/>
  <c r="Y72" i="13"/>
  <c r="Y3309" i="13"/>
  <c r="Y3285" i="13"/>
  <c r="Y3237" i="13"/>
  <c r="Y3197" i="13"/>
  <c r="Y3149" i="13"/>
  <c r="Y3109" i="13"/>
  <c r="Y3061" i="13"/>
  <c r="Y3005" i="13"/>
  <c r="Y2941" i="13"/>
  <c r="Y2893" i="13"/>
  <c r="Y2845" i="13"/>
  <c r="Y2813" i="13"/>
  <c r="Y2765" i="13"/>
  <c r="Y2728" i="13"/>
  <c r="Y2683" i="13"/>
  <c r="Y2644" i="13"/>
  <c r="Y2581" i="13"/>
  <c r="Y2529" i="13"/>
  <c r="Y2467" i="13"/>
  <c r="Y2415" i="13"/>
  <c r="Y2383" i="13"/>
  <c r="Y2341" i="13"/>
  <c r="Y2309" i="13"/>
  <c r="Y2257" i="13"/>
  <c r="Y2208" i="13"/>
  <c r="Y2144" i="13"/>
  <c r="Y2088" i="13"/>
  <c r="Y2002" i="13"/>
  <c r="Y1788" i="13"/>
  <c r="Y3508" i="13"/>
  <c r="Y3476" i="13"/>
  <c r="Y3436" i="13"/>
  <c r="Y3396" i="13"/>
  <c r="Y3356" i="13"/>
  <c r="Y3300" i="13"/>
  <c r="Y3252" i="13"/>
  <c r="Y3220" i="13"/>
  <c r="Y3180" i="13"/>
  <c r="Y3124" i="13"/>
  <c r="Y3092" i="13"/>
  <c r="Y3060" i="13"/>
  <c r="Y3020" i="13"/>
  <c r="Y2980" i="13"/>
  <c r="Y2956" i="13"/>
  <c r="Y2900" i="13"/>
  <c r="Y2860" i="13"/>
  <c r="Y2828" i="13"/>
  <c r="Y2788" i="13"/>
  <c r="Y2745" i="13"/>
  <c r="Y2709" i="13"/>
  <c r="Y2700" i="13"/>
  <c r="Y2691" i="13"/>
  <c r="Y2681" i="13"/>
  <c r="Y2653" i="13"/>
  <c r="Y2643" i="13"/>
  <c r="Y2633" i="13"/>
  <c r="Y2623" i="13"/>
  <c r="Y2611" i="13"/>
  <c r="Y2601" i="13"/>
  <c r="Y2591" i="13"/>
  <c r="Y2580" i="13"/>
  <c r="Y2570" i="13"/>
  <c r="Y2560" i="13"/>
  <c r="Y2549" i="13"/>
  <c r="Y2538" i="13"/>
  <c r="Y2528" i="13"/>
  <c r="Y2517" i="13"/>
  <c r="Y2507" i="13"/>
  <c r="Y2497" i="13"/>
  <c r="Y2487" i="13"/>
  <c r="Y2476" i="13"/>
  <c r="Y2465" i="13"/>
  <c r="Y2455" i="13"/>
  <c r="Y2444" i="13"/>
  <c r="Y2434" i="13"/>
  <c r="Y2424" i="13"/>
  <c r="Y2413" i="13"/>
  <c r="Y2403" i="13"/>
  <c r="Y2392" i="13"/>
  <c r="Y2381" i="13"/>
  <c r="Y2371" i="13"/>
  <c r="Y2361" i="13"/>
  <c r="Y2351" i="13"/>
  <c r="Y2340" i="13"/>
  <c r="Y2330" i="13"/>
  <c r="Y2319" i="13"/>
  <c r="Y2308" i="13"/>
  <c r="Y2298" i="13"/>
  <c r="Y2288" i="13"/>
  <c r="Y2277" i="13"/>
  <c r="Y2267" i="13"/>
  <c r="Y2256" i="13"/>
  <c r="Y2242" i="13"/>
  <c r="Y2229" i="13"/>
  <c r="Y2218" i="13"/>
  <c r="Y2205" i="13"/>
  <c r="Y2194" i="13"/>
  <c r="Y2181" i="13"/>
  <c r="Y2170" i="13"/>
  <c r="Y2155" i="13"/>
  <c r="Y2141" i="13"/>
  <c r="Y2128" i="13"/>
  <c r="Y2113" i="13"/>
  <c r="Y2099" i="13"/>
  <c r="Y2084" i="13"/>
  <c r="Y2069" i="13"/>
  <c r="Y2057" i="13"/>
  <c r="Y2042" i="13"/>
  <c r="Y2027" i="13"/>
  <c r="Y2013" i="13"/>
  <c r="Y2000" i="13"/>
  <c r="Y1985" i="13"/>
  <c r="Y1971" i="13"/>
  <c r="Y1956" i="13"/>
  <c r="Y1941" i="13"/>
  <c r="Y1929" i="13"/>
  <c r="Y1914" i="13"/>
  <c r="Y1899" i="13"/>
  <c r="Y1885" i="13"/>
  <c r="Y1872" i="13"/>
  <c r="Y1857" i="13"/>
  <c r="Y1843" i="13"/>
  <c r="Y1828" i="13"/>
  <c r="Y1813" i="13"/>
  <c r="Y1801" i="13"/>
  <c r="Y1786" i="13"/>
  <c r="Y1771" i="13"/>
  <c r="Y1757" i="13"/>
  <c r="Y1744" i="13"/>
  <c r="Y1729" i="13"/>
  <c r="Y1715" i="13"/>
  <c r="Y1700" i="13"/>
  <c r="Y1685" i="13"/>
  <c r="Y1673" i="13"/>
  <c r="Y1658" i="13"/>
  <c r="Y1643" i="13"/>
  <c r="Y1627" i="13"/>
  <c r="Y1612" i="13"/>
  <c r="Y1595" i="13"/>
  <c r="Y1579" i="13"/>
  <c r="Y1562" i="13"/>
  <c r="Y1545" i="13"/>
  <c r="Y1531" i="13"/>
  <c r="Y1514" i="13"/>
  <c r="Y1497" i="13"/>
  <c r="Y1481" i="13"/>
  <c r="Y1466" i="13"/>
  <c r="Y1444" i="13"/>
  <c r="Y1426" i="13"/>
  <c r="Y1407" i="13"/>
  <c r="Y1387" i="13"/>
  <c r="Y1369" i="13"/>
  <c r="Y1350" i="13"/>
  <c r="Y1330" i="13"/>
  <c r="Y1312" i="13"/>
  <c r="Y1289" i="13"/>
  <c r="Y1270" i="13"/>
  <c r="Y1250" i="13"/>
  <c r="Y1227" i="13"/>
  <c r="Y1204" i="13"/>
  <c r="Y1184" i="13"/>
  <c r="Y1161" i="13"/>
  <c r="Y1135" i="13"/>
  <c r="Y1113" i="13"/>
  <c r="Y1090" i="13"/>
  <c r="Y1067" i="13"/>
  <c r="Y1047" i="13"/>
  <c r="Y1023" i="13"/>
  <c r="Y997" i="13"/>
  <c r="Y971" i="13"/>
  <c r="Y942" i="13"/>
  <c r="Y915" i="13"/>
  <c r="Y890" i="13"/>
  <c r="Y866" i="13"/>
  <c r="Y840" i="13"/>
  <c r="Y815" i="13"/>
  <c r="Y789" i="13"/>
  <c r="Y759" i="13"/>
  <c r="Y730" i="13"/>
  <c r="Y697" i="13"/>
  <c r="Y667" i="13"/>
  <c r="Y639" i="13"/>
  <c r="Y600" i="13"/>
  <c r="Y554" i="13"/>
  <c r="Y514" i="13"/>
  <c r="Y467" i="13"/>
  <c r="Y417" i="13"/>
  <c r="Y377" i="13"/>
  <c r="Y330" i="13"/>
  <c r="Y280" i="13"/>
  <c r="Y243" i="13"/>
  <c r="Y193" i="13"/>
  <c r="Y136" i="13"/>
  <c r="Y71" i="13"/>
  <c r="Y3301" i="13"/>
  <c r="Y3269" i="13"/>
  <c r="Y3245" i="13"/>
  <c r="Y3221" i="13"/>
  <c r="Y3205" i="13"/>
  <c r="Y3181" i="13"/>
  <c r="Y3165" i="13"/>
  <c r="Y3141" i="13"/>
  <c r="Y3117" i="13"/>
  <c r="Y3093" i="13"/>
  <c r="Y3077" i="13"/>
  <c r="Y3053" i="13"/>
  <c r="Y3037" i="13"/>
  <c r="Y3021" i="13"/>
  <c r="Y2997" i="13"/>
  <c r="Y2973" i="13"/>
  <c r="Y2957" i="13"/>
  <c r="Y2933" i="13"/>
  <c r="Y2909" i="13"/>
  <c r="Y2877" i="13"/>
  <c r="Y2861" i="13"/>
  <c r="Y2837" i="13"/>
  <c r="Y2821" i="13"/>
  <c r="Y2805" i="13"/>
  <c r="Y2789" i="13"/>
  <c r="Y2756" i="13"/>
  <c r="Y2737" i="13"/>
  <c r="Y2710" i="13"/>
  <c r="Y2692" i="13"/>
  <c r="Y2664" i="13"/>
  <c r="Y2624" i="13"/>
  <c r="Y2592" i="13"/>
  <c r="Y2561" i="13"/>
  <c r="Y2540" i="13"/>
  <c r="Y2508" i="13"/>
  <c r="Y2477" i="13"/>
  <c r="Y2445" i="13"/>
  <c r="Y2425" i="13"/>
  <c r="Y2394" i="13"/>
  <c r="Y2352" i="13"/>
  <c r="Y2321" i="13"/>
  <c r="Y2299" i="13"/>
  <c r="Y2279" i="13"/>
  <c r="Y2232" i="13"/>
  <c r="Y2195" i="13"/>
  <c r="Y2171" i="13"/>
  <c r="Y2130" i="13"/>
  <c r="Y2072" i="13"/>
  <c r="Y2044" i="13"/>
  <c r="Y2016" i="13"/>
  <c r="Y1960" i="13"/>
  <c r="Y1772" i="13"/>
  <c r="Y3540" i="13"/>
  <c r="Y3524" i="13"/>
  <c r="Y3500" i="13"/>
  <c r="Y3484" i="13"/>
  <c r="Y3460" i="13"/>
  <c r="Y3444" i="13"/>
  <c r="Y3420" i="13"/>
  <c r="Y3404" i="13"/>
  <c r="Y3388" i="13"/>
  <c r="Y3372" i="13"/>
  <c r="Y3348" i="13"/>
  <c r="Y3332" i="13"/>
  <c r="Y3308" i="13"/>
  <c r="Y3292" i="13"/>
  <c r="Y3276" i="13"/>
  <c r="Y3260" i="13"/>
  <c r="Y3228" i="13"/>
  <c r="Y3204" i="13"/>
  <c r="Y3188" i="13"/>
  <c r="Y3164" i="13"/>
  <c r="Y3148" i="13"/>
  <c r="Y3132" i="13"/>
  <c r="Y3108" i="13"/>
  <c r="Y3084" i="13"/>
  <c r="Y3068" i="13"/>
  <c r="Y3044" i="13"/>
  <c r="Y3028" i="13"/>
  <c r="Y3004" i="13"/>
  <c r="Y2988" i="13"/>
  <c r="Y2964" i="13"/>
  <c r="Y2948" i="13"/>
  <c r="Y2932" i="13"/>
  <c r="Y2916" i="13"/>
  <c r="Y2892" i="13"/>
  <c r="Y2876" i="13"/>
  <c r="Y2852" i="13"/>
  <c r="Y2836" i="13"/>
  <c r="Y2812" i="13"/>
  <c r="Y2796" i="13"/>
  <c r="Y2772" i="13"/>
  <c r="Y2755" i="13"/>
  <c r="Y2727" i="13"/>
  <c r="Y2672" i="13"/>
  <c r="Y3539" i="13"/>
  <c r="Y3523" i="13"/>
  <c r="Y3507" i="13"/>
  <c r="Y3491" i="13"/>
  <c r="Y3475" i="13"/>
  <c r="Y3459" i="13"/>
  <c r="Y3443" i="13"/>
  <c r="Y3427" i="13"/>
  <c r="Y3411" i="13"/>
  <c r="Y3395" i="13"/>
  <c r="Y3379" i="13"/>
  <c r="Y3363" i="13"/>
  <c r="Y3347" i="13"/>
  <c r="Y3331" i="13"/>
  <c r="Y3315" i="13"/>
  <c r="Y3299" i="13"/>
  <c r="Y3283" i="13"/>
  <c r="Y3267" i="13"/>
  <c r="Y3251" i="13"/>
  <c r="Y3235" i="13"/>
  <c r="Y3219" i="13"/>
  <c r="Y3203" i="13"/>
  <c r="Y3187" i="13"/>
  <c r="Y3171" i="13"/>
  <c r="Y3155" i="13"/>
  <c r="Y3139" i="13"/>
  <c r="Y3123" i="13"/>
  <c r="Y3107" i="13"/>
  <c r="Y3091" i="13"/>
  <c r="Y3075" i="13"/>
  <c r="Y3059" i="13"/>
  <c r="Y3043" i="13"/>
  <c r="Y3027" i="13"/>
  <c r="Y3011" i="13"/>
  <c r="Y2995" i="13"/>
  <c r="Y2979" i="13"/>
  <c r="Y2971" i="13"/>
  <c r="Y2955" i="13"/>
  <c r="Y2939" i="13"/>
  <c r="Y2923" i="13"/>
  <c r="Y2907" i="13"/>
  <c r="Y2891" i="13"/>
  <c r="Y2875" i="13"/>
  <c r="Y2859" i="13"/>
  <c r="Y2843" i="13"/>
  <c r="Y2827" i="13"/>
  <c r="Y2811" i="13"/>
  <c r="Y2795" i="13"/>
  <c r="Y2771" i="13"/>
  <c r="Y2753" i="13"/>
  <c r="Y2735" i="13"/>
  <c r="Y2717" i="13"/>
  <c r="Y2699" i="13"/>
  <c r="Y2680" i="13"/>
  <c r="Y2662" i="13"/>
  <c r="Y2632" i="13"/>
  <c r="Y2610" i="13"/>
  <c r="Y2589" i="13"/>
  <c r="Y2569" i="13"/>
  <c r="Y2547" i="13"/>
  <c r="Y2516" i="13"/>
  <c r="Y2496" i="13"/>
  <c r="Y2474" i="13"/>
  <c r="Y2453" i="13"/>
  <c r="Y2433" i="13"/>
  <c r="Y2412" i="13"/>
  <c r="Y2391" i="13"/>
  <c r="Y2370" i="13"/>
  <c r="Y2349" i="13"/>
  <c r="Y2328" i="13"/>
  <c r="Y2307" i="13"/>
  <c r="Y2287" i="13"/>
  <c r="Y2266" i="13"/>
  <c r="Y2228" i="13"/>
  <c r="Y2204" i="13"/>
  <c r="Y2180" i="13"/>
  <c r="Y2154" i="13"/>
  <c r="Y2124" i="13"/>
  <c r="Y2098" i="13"/>
  <c r="Y2068" i="13"/>
  <c r="Y2040" i="13"/>
  <c r="Y2012" i="13"/>
  <c r="Y1984" i="13"/>
  <c r="Y1954" i="13"/>
  <c r="Y1928" i="13"/>
  <c r="Y1884" i="13"/>
  <c r="Y1856" i="13"/>
  <c r="Y1826" i="13"/>
  <c r="Y1800" i="13"/>
  <c r="Y1756" i="13"/>
  <c r="Y1728" i="13"/>
  <c r="Y1698" i="13"/>
  <c r="Y1672" i="13"/>
  <c r="Y1642" i="13"/>
  <c r="Y1608" i="13"/>
  <c r="Y1578" i="13"/>
  <c r="Y1544" i="13"/>
  <c r="Y1512" i="13"/>
  <c r="Y1480" i="13"/>
  <c r="Y1443" i="13"/>
  <c r="Y1404" i="13"/>
  <c r="Y1368" i="13"/>
  <c r="Y1326" i="13"/>
  <c r="Y1287" i="13"/>
  <c r="Y1249" i="13"/>
  <c r="Y1225" i="13"/>
  <c r="Y1203" i="13"/>
  <c r="Y1154" i="13"/>
  <c r="Y1132" i="13"/>
  <c r="Y1112" i="13"/>
  <c r="Y1088" i="13"/>
  <c r="Y1066" i="13"/>
  <c r="Y1044" i="13"/>
  <c r="Y1015" i="13"/>
  <c r="Y990" i="13"/>
  <c r="Y967" i="13"/>
  <c r="Y939" i="13"/>
  <c r="Y914" i="13"/>
  <c r="Y889" i="13"/>
  <c r="Y862" i="13"/>
  <c r="Y839" i="13"/>
  <c r="Y781" i="13"/>
  <c r="Y758" i="13"/>
  <c r="Y726" i="13"/>
  <c r="Y695" i="13"/>
  <c r="Y666" i="13"/>
  <c r="Y633" i="13"/>
  <c r="Y590" i="13"/>
  <c r="Y553" i="13"/>
  <c r="Y504" i="13"/>
  <c r="Y451" i="13"/>
  <c r="Y416" i="13"/>
  <c r="Y367" i="13"/>
  <c r="Y319" i="13"/>
  <c r="Y279" i="13"/>
  <c r="Y233" i="13"/>
  <c r="Y182" i="13"/>
  <c r="Y135" i="13"/>
  <c r="Y67" i="13"/>
  <c r="Y3317" i="13"/>
  <c r="Y3293" i="13"/>
  <c r="Y3261" i="13"/>
  <c r="Y3253" i="13"/>
  <c r="Y3229" i="13"/>
  <c r="Y3213" i="13"/>
  <c r="Y3173" i="13"/>
  <c r="Y3157" i="13"/>
  <c r="Y3133" i="13"/>
  <c r="Y3125" i="13"/>
  <c r="Y3085" i="13"/>
  <c r="Y3069" i="13"/>
  <c r="Y3045" i="13"/>
  <c r="Y3029" i="13"/>
  <c r="Y3013" i="13"/>
  <c r="Y2981" i="13"/>
  <c r="Y2965" i="13"/>
  <c r="Y2949" i="13"/>
  <c r="Y2925" i="13"/>
  <c r="Y2917" i="13"/>
  <c r="Y2885" i="13"/>
  <c r="Y2869" i="13"/>
  <c r="Y2853" i="13"/>
  <c r="Y2829" i="13"/>
  <c r="Y2797" i="13"/>
  <c r="Y2773" i="13"/>
  <c r="Y2747" i="13"/>
  <c r="Y2719" i="13"/>
  <c r="Y2701" i="13"/>
  <c r="Y2673" i="13"/>
  <c r="Y2655" i="13"/>
  <c r="Y2613" i="13"/>
  <c r="Y2602" i="13"/>
  <c r="Y2571" i="13"/>
  <c r="Y2551" i="13"/>
  <c r="Y2519" i="13"/>
  <c r="Y2488" i="13"/>
  <c r="Y2456" i="13"/>
  <c r="Y2435" i="13"/>
  <c r="Y2404" i="13"/>
  <c r="Y2362" i="13"/>
  <c r="Y2331" i="13"/>
  <c r="Y2289" i="13"/>
  <c r="Y2268" i="13"/>
  <c r="Y2219" i="13"/>
  <c r="Y2184" i="13"/>
  <c r="Y2156" i="13"/>
  <c r="Y2114" i="13"/>
  <c r="Y2058" i="13"/>
  <c r="Y2028" i="13"/>
  <c r="Y1986" i="13"/>
  <c r="Y1944" i="13"/>
  <c r="Y1802" i="13"/>
  <c r="Y3548" i="13"/>
  <c r="Y3532" i="13"/>
  <c r="Y3516" i="13"/>
  <c r="Y3492" i="13"/>
  <c r="Y3468" i="13"/>
  <c r="Y3452" i="13"/>
  <c r="Y3428" i="13"/>
  <c r="Y3412" i="13"/>
  <c r="Y3380" i="13"/>
  <c r="Y3364" i="13"/>
  <c r="Y3340" i="13"/>
  <c r="Y3324" i="13"/>
  <c r="Y3316" i="13"/>
  <c r="Y3284" i="13"/>
  <c r="Y3268" i="13"/>
  <c r="Y3244" i="13"/>
  <c r="Y3236" i="13"/>
  <c r="Y3212" i="13"/>
  <c r="Y3196" i="13"/>
  <c r="Y3172" i="13"/>
  <c r="Y3156" i="13"/>
  <c r="Y3140" i="13"/>
  <c r="Y3116" i="13"/>
  <c r="Y3100" i="13"/>
  <c r="Y3076" i="13"/>
  <c r="Y3052" i="13"/>
  <c r="Y3036" i="13"/>
  <c r="Y3012" i="13"/>
  <c r="Y2996" i="13"/>
  <c r="Y2972" i="13"/>
  <c r="Y2940" i="13"/>
  <c r="Y2924" i="13"/>
  <c r="Y2908" i="13"/>
  <c r="Y2884" i="13"/>
  <c r="Y2868" i="13"/>
  <c r="Y2844" i="13"/>
  <c r="Y2820" i="13"/>
  <c r="Y2804" i="13"/>
  <c r="Y2780" i="13"/>
  <c r="Y2764" i="13"/>
  <c r="Y2736" i="13"/>
  <c r="Y2718" i="13"/>
  <c r="Y2663" i="13"/>
  <c r="Y3547" i="13"/>
  <c r="Y3531" i="13"/>
  <c r="Y3515" i="13"/>
  <c r="Y3499" i="13"/>
  <c r="Y3483" i="13"/>
  <c r="Y3467" i="13"/>
  <c r="Y3451" i="13"/>
  <c r="Y3435" i="13"/>
  <c r="Y3419" i="13"/>
  <c r="Y3403" i="13"/>
  <c r="Y3387" i="13"/>
  <c r="Y3371" i="13"/>
  <c r="Y3355" i="13"/>
  <c r="Y3339" i="13"/>
  <c r="Y3323" i="13"/>
  <c r="Y3307" i="13"/>
  <c r="Y3291" i="13"/>
  <c r="Y3275" i="13"/>
  <c r="Y3259" i="13"/>
  <c r="Y3243" i="13"/>
  <c r="Y3227" i="13"/>
  <c r="Y3211" i="13"/>
  <c r="Y3195" i="13"/>
  <c r="Y3179" i="13"/>
  <c r="Y3163" i="13"/>
  <c r="Y3147" i="13"/>
  <c r="Y3131" i="13"/>
  <c r="Y3115" i="13"/>
  <c r="Y3099" i="13"/>
  <c r="Y3083" i="13"/>
  <c r="Y3067" i="13"/>
  <c r="Y3051" i="13"/>
  <c r="Y3035" i="13"/>
  <c r="Y3019" i="13"/>
  <c r="Y3003" i="13"/>
  <c r="Y2987" i="13"/>
  <c r="Y2963" i="13"/>
  <c r="Y2947" i="13"/>
  <c r="Y2931" i="13"/>
  <c r="Y2915" i="13"/>
  <c r="Y2899" i="13"/>
  <c r="Y2883" i="13"/>
  <c r="Y2867" i="13"/>
  <c r="Y2851" i="13"/>
  <c r="Y2835" i="13"/>
  <c r="Y2819" i="13"/>
  <c r="Y2803" i="13"/>
  <c r="Y2787" i="13"/>
  <c r="Y2779" i="13"/>
  <c r="Y2763" i="13"/>
  <c r="Y2744" i="13"/>
  <c r="Y2726" i="13"/>
  <c r="Y2708" i="13"/>
  <c r="Y2689" i="13"/>
  <c r="Y2671" i="13"/>
  <c r="Y2652" i="13"/>
  <c r="Y2642" i="13"/>
  <c r="Y2620" i="13"/>
  <c r="Y2600" i="13"/>
  <c r="Y2579" i="13"/>
  <c r="Y2559" i="13"/>
  <c r="Y2537" i="13"/>
  <c r="Y2527" i="13"/>
  <c r="Y2506" i="13"/>
  <c r="Y2485" i="13"/>
  <c r="Y2464" i="13"/>
  <c r="Y2443" i="13"/>
  <c r="Y2423" i="13"/>
  <c r="Y2401" i="13"/>
  <c r="Y2380" i="13"/>
  <c r="Y2360" i="13"/>
  <c r="Y2339" i="13"/>
  <c r="Y2317" i="13"/>
  <c r="Y2297" i="13"/>
  <c r="Y2276" i="13"/>
  <c r="Y2252" i="13"/>
  <c r="Y2241" i="13"/>
  <c r="Y2217" i="13"/>
  <c r="Y2193" i="13"/>
  <c r="Y2168" i="13"/>
  <c r="Y2140" i="13"/>
  <c r="Y2112" i="13"/>
  <c r="Y2082" i="13"/>
  <c r="Y2056" i="13"/>
  <c r="Y2026" i="13"/>
  <c r="Y1996" i="13"/>
  <c r="Y1970" i="13"/>
  <c r="Y1940" i="13"/>
  <c r="Y1912" i="13"/>
  <c r="Y1898" i="13"/>
  <c r="Y1868" i="13"/>
  <c r="Y1842" i="13"/>
  <c r="Y1812" i="13"/>
  <c r="Y1784" i="13"/>
  <c r="Y1770" i="13"/>
  <c r="Y1740" i="13"/>
  <c r="Y1714" i="13"/>
  <c r="Y1684" i="13"/>
  <c r="Y1656" i="13"/>
  <c r="Y1626" i="13"/>
  <c r="Y1594" i="13"/>
  <c r="Y1560" i="13"/>
  <c r="Y1530" i="13"/>
  <c r="Y1496" i="13"/>
  <c r="Y1462" i="13"/>
  <c r="Y1425" i="13"/>
  <c r="Y1386" i="13"/>
  <c r="Y1344" i="13"/>
  <c r="Y1307" i="13"/>
  <c r="Y1268" i="13"/>
  <c r="Y1183" i="13"/>
  <c r="Y814" i="13"/>
  <c r="Y3546" i="13"/>
  <c r="Y3538" i="13"/>
  <c r="Y3530" i="13"/>
  <c r="Y3522" i="13"/>
  <c r="Y3514" i="13"/>
  <c r="Y3506" i="13"/>
  <c r="Y3498" i="13"/>
  <c r="Y3490" i="13"/>
  <c r="Y3482" i="13"/>
  <c r="Y3474" i="13"/>
  <c r="Y3466" i="13"/>
  <c r="Y3458" i="13"/>
  <c r="Y3450" i="13"/>
  <c r="Y3442" i="13"/>
  <c r="Y3434" i="13"/>
  <c r="Y3426" i="13"/>
  <c r="Y3418" i="13"/>
  <c r="Y3410" i="13"/>
  <c r="Y3402" i="13"/>
  <c r="Y3394" i="13"/>
  <c r="Y3386" i="13"/>
  <c r="Y3378" i="13"/>
  <c r="Y3370" i="13"/>
  <c r="Y3362" i="13"/>
  <c r="Y3354" i="13"/>
  <c r="Y3346" i="13"/>
  <c r="Y3338" i="13"/>
  <c r="Y3330" i="13"/>
  <c r="Y3322" i="13"/>
  <c r="Y3314" i="13"/>
  <c r="Y3306" i="13"/>
  <c r="Y3298" i="13"/>
  <c r="Y3290" i="13"/>
  <c r="Y3282" i="13"/>
  <c r="Y3274" i="13"/>
  <c r="Y3266" i="13"/>
  <c r="Y3258" i="13"/>
  <c r="Y3250" i="13"/>
  <c r="Y3242" i="13"/>
  <c r="Y3234" i="13"/>
  <c r="Y3226" i="13"/>
  <c r="Y3218" i="13"/>
  <c r="Y3210" i="13"/>
  <c r="Y3202" i="13"/>
  <c r="Y3194" i="13"/>
  <c r="Y3186" i="13"/>
  <c r="Y3178" i="13"/>
  <c r="Y3170" i="13"/>
  <c r="Y3162" i="13"/>
  <c r="Y3154" i="13"/>
  <c r="Y3146" i="13"/>
  <c r="Y3138" i="13"/>
  <c r="Y3130" i="13"/>
  <c r="Y3122" i="13"/>
  <c r="Y3114" i="13"/>
  <c r="Y3106" i="13"/>
  <c r="Y3098" i="13"/>
  <c r="Y3090" i="13"/>
  <c r="Y3082" i="13"/>
  <c r="Y3074" i="13"/>
  <c r="Y3066" i="13"/>
  <c r="Y3058" i="13"/>
  <c r="Y3050" i="13"/>
  <c r="Y3042" i="13"/>
  <c r="Y3034" i="13"/>
  <c r="Y3026" i="13"/>
  <c r="Y3018" i="13"/>
  <c r="Y3010" i="13"/>
  <c r="Y3002" i="13"/>
  <c r="Y2994" i="13"/>
  <c r="Y2986" i="13"/>
  <c r="Y2978" i="13"/>
  <c r="Y2970" i="13"/>
  <c r="Y2962" i="13"/>
  <c r="Y2954" i="13"/>
  <c r="Y2946" i="13"/>
  <c r="Y2938" i="13"/>
  <c r="Y2930" i="13"/>
  <c r="Y2922" i="13"/>
  <c r="Y2914" i="13"/>
  <c r="Y2906" i="13"/>
  <c r="Y2898" i="13"/>
  <c r="Y2890" i="13"/>
  <c r="Y2882" i="13"/>
  <c r="Y2874" i="13"/>
  <c r="Y2866" i="13"/>
  <c r="Y2858" i="13"/>
  <c r="Y2850" i="13"/>
  <c r="Y2842" i="13"/>
  <c r="Y2834" i="13"/>
  <c r="Y2826" i="13"/>
  <c r="Y2818" i="13"/>
  <c r="Y2810" i="13"/>
  <c r="Y2802" i="13"/>
  <c r="Y2794" i="13"/>
  <c r="Y2786" i="13"/>
  <c r="Y2778" i="13"/>
  <c r="Y2770" i="13"/>
  <c r="Y2761" i="13"/>
  <c r="Y2752" i="13"/>
  <c r="Y2743" i="13"/>
  <c r="Y2734" i="13"/>
  <c r="Y2725" i="13"/>
  <c r="Y2716" i="13"/>
  <c r="Y2707" i="13"/>
  <c r="Y2697" i="13"/>
  <c r="Y2688" i="13"/>
  <c r="Y2679" i="13"/>
  <c r="Y2670" i="13"/>
  <c r="Y2661" i="13"/>
  <c r="Y2651" i="13"/>
  <c r="Y2641" i="13"/>
  <c r="Y2629" i="13"/>
  <c r="Y2619" i="13"/>
  <c r="Y2609" i="13"/>
  <c r="Y2599" i="13"/>
  <c r="Y2588" i="13"/>
  <c r="Y2578" i="13"/>
  <c r="Y2568" i="13"/>
  <c r="Y2556" i="13"/>
  <c r="Y2546" i="13"/>
  <c r="Y2536" i="13"/>
  <c r="Y2525" i="13"/>
  <c r="Y2515" i="13"/>
  <c r="Y2505" i="13"/>
  <c r="Y2495" i="13"/>
  <c r="Y2483" i="13"/>
  <c r="Y2473" i="13"/>
  <c r="Y2463" i="13"/>
  <c r="Y2452" i="13"/>
  <c r="Y2442" i="13"/>
  <c r="Y2432" i="13"/>
  <c r="Y2421" i="13"/>
  <c r="Y2410" i="13"/>
  <c r="Y2400" i="13"/>
  <c r="Y2389" i="13"/>
  <c r="Y2379" i="13"/>
  <c r="Y2369" i="13"/>
  <c r="Y2359" i="13"/>
  <c r="Y2348" i="13"/>
  <c r="Y2337" i="13"/>
  <c r="Y2327" i="13"/>
  <c r="Y2316" i="13"/>
  <c r="Y2306" i="13"/>
  <c r="Y2296" i="13"/>
  <c r="Y2285" i="13"/>
  <c r="Y2275" i="13"/>
  <c r="Y2264" i="13"/>
  <c r="Y2251" i="13"/>
  <c r="Y2240" i="13"/>
  <c r="Y2227" i="13"/>
  <c r="Y2216" i="13"/>
  <c r="Y2203" i="13"/>
  <c r="Y2192" i="13"/>
  <c r="Y2178" i="13"/>
  <c r="Y2165" i="13"/>
  <c r="Y2153" i="13"/>
  <c r="Y2138" i="13"/>
  <c r="Y2123" i="13"/>
  <c r="Y2109" i="13"/>
  <c r="Y2096" i="13"/>
  <c r="Y2081" i="13"/>
  <c r="Y2067" i="13"/>
  <c r="Y2052" i="13"/>
  <c r="Y2037" i="13"/>
  <c r="Y2025" i="13"/>
  <c r="Y2010" i="13"/>
  <c r="Y1995" i="13"/>
  <c r="Y1981" i="13"/>
  <c r="Y1968" i="13"/>
  <c r="Y1953" i="13"/>
  <c r="Y1939" i="13"/>
  <c r="Y1924" i="13"/>
  <c r="Y1909" i="13"/>
  <c r="Y1897" i="13"/>
  <c r="Y1882" i="13"/>
  <c r="Y1867" i="13"/>
  <c r="Y1853" i="13"/>
  <c r="Y1840" i="13"/>
  <c r="Y1825" i="13"/>
  <c r="Y1811" i="13"/>
  <c r="Y1796" i="13"/>
  <c r="Y1781" i="13"/>
  <c r="Y1769" i="13"/>
  <c r="Y1754" i="13"/>
  <c r="Y1739" i="13"/>
  <c r="Y1725" i="13"/>
  <c r="Y1712" i="13"/>
  <c r="Y1697" i="13"/>
  <c r="Y1683" i="13"/>
  <c r="Y1668" i="13"/>
  <c r="Y1653" i="13"/>
  <c r="Y1641" i="13"/>
  <c r="Y1624" i="13"/>
  <c r="Y1607" i="13"/>
  <c r="Y1591" i="13"/>
  <c r="Y1576" i="13"/>
  <c r="Y1559" i="13"/>
  <c r="Y1543" i="13"/>
  <c r="Y1526" i="13"/>
  <c r="Y1508" i="13"/>
  <c r="Y1495" i="13"/>
  <c r="Y1478" i="13"/>
  <c r="Y1460" i="13"/>
  <c r="Y1442" i="13"/>
  <c r="Y1423" i="13"/>
  <c r="Y1403" i="13"/>
  <c r="Y1385" i="13"/>
  <c r="Y1362" i="13"/>
  <c r="Y1343" i="13"/>
  <c r="Y1324" i="13"/>
  <c r="Y1305" i="13"/>
  <c r="Y1286" i="13"/>
  <c r="Y1267" i="13"/>
  <c r="Y1247" i="13"/>
  <c r="Y1219" i="13"/>
  <c r="Y1199" i="13"/>
  <c r="Y1176" i="13"/>
  <c r="Y1153" i="13"/>
  <c r="Y1131" i="13"/>
  <c r="Y1108" i="13"/>
  <c r="Y1087" i="13"/>
  <c r="Y1065" i="13"/>
  <c r="Y1039" i="13"/>
  <c r="Y1014" i="13"/>
  <c r="Y989" i="13"/>
  <c r="Y962" i="13"/>
  <c r="Y936" i="13"/>
  <c r="Y913" i="13"/>
  <c r="Y887" i="13"/>
  <c r="Y857" i="13"/>
  <c r="Y832" i="13"/>
  <c r="Y806" i="13"/>
  <c r="Y779" i="13"/>
  <c r="Y753" i="13"/>
  <c r="Y723" i="13"/>
  <c r="Y694" i="13"/>
  <c r="Y662" i="13"/>
  <c r="Y623" i="13"/>
  <c r="Y587" i="13"/>
  <c r="Y547" i="13"/>
  <c r="Y502" i="13"/>
  <c r="Y450" i="13"/>
  <c r="Y415" i="13"/>
  <c r="Y363" i="13"/>
  <c r="Y313" i="13"/>
  <c r="Y278" i="13"/>
  <c r="Y226" i="13"/>
  <c r="Y179" i="13"/>
  <c r="Y131" i="13"/>
  <c r="Y43" i="13"/>
  <c r="Y2161" i="13"/>
  <c r="Y2149" i="13"/>
  <c r="Y2139" i="13"/>
  <c r="Y2129" i="13"/>
  <c r="Y2117" i="13"/>
  <c r="Y2107" i="13"/>
  <c r="Y2097" i="13"/>
  <c r="Y2085" i="13"/>
  <c r="Y2075" i="13"/>
  <c r="Y2065" i="13"/>
  <c r="Y2053" i="13"/>
  <c r="Y2043" i="13"/>
  <c r="Y2033" i="13"/>
  <c r="Y2021" i="13"/>
  <c r="Y2011" i="13"/>
  <c r="Y2001" i="13"/>
  <c r="Y1989" i="13"/>
  <c r="Y1979" i="13"/>
  <c r="Y1969" i="13"/>
  <c r="Y1957" i="13"/>
  <c r="Y1947" i="13"/>
  <c r="Y1937" i="13"/>
  <c r="Y1925" i="13"/>
  <c r="Y1915" i="13"/>
  <c r="Y1905" i="13"/>
  <c r="Y1893" i="13"/>
  <c r="Y1883" i="13"/>
  <c r="Y1873" i="13"/>
  <c r="Y1861" i="13"/>
  <c r="Y1851" i="13"/>
  <c r="Y1841" i="13"/>
  <c r="Y1829" i="13"/>
  <c r="Y1819" i="13"/>
  <c r="Y1809" i="13"/>
  <c r="Y1797" i="13"/>
  <c r="Y1787" i="13"/>
  <c r="Y1777" i="13"/>
  <c r="Y1765" i="13"/>
  <c r="Y1755" i="13"/>
  <c r="Y1745" i="13"/>
  <c r="Y1733" i="13"/>
  <c r="Y1723" i="13"/>
  <c r="Y1713" i="13"/>
  <c r="Y1701" i="13"/>
  <c r="Y1691" i="13"/>
  <c r="Y1681" i="13"/>
  <c r="Y1669" i="13"/>
  <c r="Y1659" i="13"/>
  <c r="Y1649" i="13"/>
  <c r="Y1636" i="13"/>
  <c r="Y1625" i="13"/>
  <c r="Y1614" i="13"/>
  <c r="Y1600" i="13"/>
  <c r="Y1588" i="13"/>
  <c r="Y1577" i="13"/>
  <c r="Y1563" i="13"/>
  <c r="Y1552" i="13"/>
  <c r="Y1540" i="13"/>
  <c r="Y1527" i="13"/>
  <c r="Y1515" i="13"/>
  <c r="Y1504" i="13"/>
  <c r="Y1490" i="13"/>
  <c r="Y1479" i="13"/>
  <c r="Y1467" i="13"/>
  <c r="Y1452" i="13"/>
  <c r="Y1440" i="13"/>
  <c r="Y1424" i="13"/>
  <c r="Y1408" i="13"/>
  <c r="Y1395" i="13"/>
  <c r="Y1379" i="13"/>
  <c r="Y1367" i="13"/>
  <c r="Y1351" i="13"/>
  <c r="Y1335" i="13"/>
  <c r="Y1322" i="13"/>
  <c r="Y1306" i="13"/>
  <c r="Y1294" i="13"/>
  <c r="Y1278" i="13"/>
  <c r="Y1262" i="13"/>
  <c r="Y1248" i="13"/>
  <c r="Y1228" i="13"/>
  <c r="Y1215" i="13"/>
  <c r="Y1195" i="13"/>
  <c r="Y1177" i="13"/>
  <c r="Y1162" i="13"/>
  <c r="Y1144" i="13"/>
  <c r="Y1129" i="13"/>
  <c r="Y1111" i="13"/>
  <c r="Y1091" i="13"/>
  <c r="Y1076" i="13"/>
  <c r="Y1058" i="13"/>
  <c r="Y1043" i="13"/>
  <c r="Y1024" i="13"/>
  <c r="Y1003" i="13"/>
  <c r="Y986" i="13"/>
  <c r="Y963" i="13"/>
  <c r="Y949" i="13"/>
  <c r="Y926" i="13"/>
  <c r="Y905" i="13"/>
  <c r="Y888" i="13"/>
  <c r="Y867" i="13"/>
  <c r="Y850" i="13"/>
  <c r="Y830" i="13"/>
  <c r="Y807" i="13"/>
  <c r="Y790" i="13"/>
  <c r="Y769" i="13"/>
  <c r="Y751" i="13"/>
  <c r="Y725" i="13"/>
  <c r="Y698" i="13"/>
  <c r="Y679" i="13"/>
  <c r="Y653" i="13"/>
  <c r="Y632" i="13"/>
  <c r="Y601" i="13"/>
  <c r="Y569" i="13"/>
  <c r="Y536" i="13"/>
  <c r="Y503" i="13"/>
  <c r="Y470" i="13"/>
  <c r="Y435" i="13"/>
  <c r="Y399" i="13"/>
  <c r="Y366" i="13"/>
  <c r="Y331" i="13"/>
  <c r="Y298" i="13"/>
  <c r="Y265" i="13"/>
  <c r="Y227" i="13"/>
  <c r="Y194" i="13"/>
  <c r="Y159" i="13"/>
  <c r="Y119" i="13"/>
  <c r="Y47" i="13"/>
  <c r="Y2762" i="13"/>
  <c r="Y2754" i="13"/>
  <c r="Y2746" i="13"/>
  <c r="Y2738" i="13"/>
  <c r="Y2730" i="13"/>
  <c r="Y2722" i="13"/>
  <c r="Y2714" i="13"/>
  <c r="Y2706" i="13"/>
  <c r="Y2698" i="13"/>
  <c r="Y2690" i="13"/>
  <c r="Y2682" i="13"/>
  <c r="Y2674" i="13"/>
  <c r="Y2666" i="13"/>
  <c r="Y2658" i="13"/>
  <c r="Y2649" i="13"/>
  <c r="Y2640" i="13"/>
  <c r="Y2631" i="13"/>
  <c r="Y2621" i="13"/>
  <c r="Y2612" i="13"/>
  <c r="Y2603" i="13"/>
  <c r="Y2594" i="13"/>
  <c r="Y2585" i="13"/>
  <c r="Y2576" i="13"/>
  <c r="Y2567" i="13"/>
  <c r="Y2557" i="13"/>
  <c r="Y2548" i="13"/>
  <c r="Y2539" i="13"/>
  <c r="Y2530" i="13"/>
  <c r="Y2521" i="13"/>
  <c r="Y2512" i="13"/>
  <c r="Y2503" i="13"/>
  <c r="Y2493" i="13"/>
  <c r="Y2484" i="13"/>
  <c r="Y2475" i="13"/>
  <c r="Y2466" i="13"/>
  <c r="Y2457" i="13"/>
  <c r="Y2448" i="13"/>
  <c r="Y2439" i="13"/>
  <c r="Y2429" i="13"/>
  <c r="Y2420" i="13"/>
  <c r="Y2411" i="13"/>
  <c r="Y2402" i="13"/>
  <c r="Y2393" i="13"/>
  <c r="Y2384" i="13"/>
  <c r="Y2375" i="13"/>
  <c r="Y2365" i="13"/>
  <c r="Y2356" i="13"/>
  <c r="Y2347" i="13"/>
  <c r="Y2338" i="13"/>
  <c r="Y2329" i="13"/>
  <c r="Y2320" i="13"/>
  <c r="Y2311" i="13"/>
  <c r="Y2301" i="13"/>
  <c r="Y2292" i="13"/>
  <c r="Y2283" i="13"/>
  <c r="Y2274" i="13"/>
  <c r="Y2265" i="13"/>
  <c r="Y2253" i="13"/>
  <c r="Y2243" i="13"/>
  <c r="Y2233" i="13"/>
  <c r="Y2221" i="13"/>
  <c r="Y2211" i="13"/>
  <c r="Y2201" i="13"/>
  <c r="Y2189" i="13"/>
  <c r="Y2179" i="13"/>
  <c r="Y2169" i="13"/>
  <c r="Y2157" i="13"/>
  <c r="Y2147" i="13"/>
  <c r="Y2137" i="13"/>
  <c r="Y2125" i="13"/>
  <c r="Y2115" i="13"/>
  <c r="Y2105" i="13"/>
  <c r="Y2093" i="13"/>
  <c r="Y2083" i="13"/>
  <c r="Y2073" i="13"/>
  <c r="Y2061" i="13"/>
  <c r="Y2051" i="13"/>
  <c r="Y2041" i="13"/>
  <c r="Y2029" i="13"/>
  <c r="Y2019" i="13"/>
  <c r="Y2009" i="13"/>
  <c r="Y1997" i="13"/>
  <c r="Y1987" i="13"/>
  <c r="Y1977" i="13"/>
  <c r="Y1965" i="13"/>
  <c r="Y1955" i="13"/>
  <c r="Y1945" i="13"/>
  <c r="Y1933" i="13"/>
  <c r="Y1923" i="13"/>
  <c r="Y1913" i="13"/>
  <c r="Y1901" i="13"/>
  <c r="Y1891" i="13"/>
  <c r="Y1881" i="13"/>
  <c r="Y1869" i="13"/>
  <c r="Y1859" i="13"/>
  <c r="Y1849" i="13"/>
  <c r="Y1837" i="13"/>
  <c r="Y1827" i="13"/>
  <c r="Y1817" i="13"/>
  <c r="Y1805" i="13"/>
  <c r="Y1795" i="13"/>
  <c r="Y1785" i="13"/>
  <c r="Y1773" i="13"/>
  <c r="Y1763" i="13"/>
  <c r="Y1753" i="13"/>
  <c r="Y1741" i="13"/>
  <c r="Y1731" i="13"/>
  <c r="Y1721" i="13"/>
  <c r="Y1709" i="13"/>
  <c r="Y1699" i="13"/>
  <c r="Y1689" i="13"/>
  <c r="Y1677" i="13"/>
  <c r="Y1667" i="13"/>
  <c r="Y1657" i="13"/>
  <c r="Y1645" i="13"/>
  <c r="Y1634" i="13"/>
  <c r="Y1623" i="13"/>
  <c r="Y1609" i="13"/>
  <c r="Y1598" i="13"/>
  <c r="Y1586" i="13"/>
  <c r="Y1572" i="13"/>
  <c r="Y1561" i="13"/>
  <c r="Y1550" i="13"/>
  <c r="Y1536" i="13"/>
  <c r="Y1524" i="13"/>
  <c r="Y1513" i="13"/>
  <c r="Y1499" i="13"/>
  <c r="Y1488" i="13"/>
  <c r="Y1476" i="13"/>
  <c r="Y1463" i="13"/>
  <c r="Y1450" i="13"/>
  <c r="Y1434" i="13"/>
  <c r="Y1422" i="13"/>
  <c r="Y1406" i="13"/>
  <c r="Y1390" i="13"/>
  <c r="Y1377" i="13"/>
  <c r="Y1361" i="13"/>
  <c r="Y1348" i="13"/>
  <c r="Y1332" i="13"/>
  <c r="Y1316" i="13"/>
  <c r="Y1304" i="13"/>
  <c r="Y1288" i="13"/>
  <c r="Y1275" i="13"/>
  <c r="Y1259" i="13"/>
  <c r="Y1241" i="13"/>
  <c r="Y1226" i="13"/>
  <c r="Y1208" i="13"/>
  <c r="Y1193" i="13"/>
  <c r="Y1175" i="13"/>
  <c r="Y1155" i="13"/>
  <c r="Y1140" i="13"/>
  <c r="Y1122" i="13"/>
  <c r="Y1107" i="13"/>
  <c r="Y1089" i="13"/>
  <c r="Y1071" i="13"/>
  <c r="Y1056" i="13"/>
  <c r="Y1036" i="13"/>
  <c r="Y1022" i="13"/>
  <c r="Y999" i="13"/>
  <c r="Y978" i="13"/>
  <c r="Y961" i="13"/>
  <c r="Y941" i="13"/>
  <c r="Y923" i="13"/>
  <c r="Y903" i="13"/>
  <c r="Y880" i="13"/>
  <c r="Y863" i="13"/>
  <c r="Y842" i="13"/>
  <c r="Y825" i="13"/>
  <c r="Y805" i="13"/>
  <c r="Y784" i="13"/>
  <c r="Y767" i="13"/>
  <c r="Y742" i="13"/>
  <c r="Y722" i="13"/>
  <c r="Y696" i="13"/>
  <c r="Y670" i="13"/>
  <c r="Y650" i="13"/>
  <c r="Y622" i="13"/>
  <c r="Y599" i="13"/>
  <c r="Y567" i="13"/>
  <c r="Y534" i="13"/>
  <c r="Y499" i="13"/>
  <c r="Y463" i="13"/>
  <c r="Y430" i="13"/>
  <c r="Y395" i="13"/>
  <c r="Y362" i="13"/>
  <c r="Y329" i="13"/>
  <c r="Y291" i="13"/>
  <c r="Y258" i="13"/>
  <c r="Y225" i="13"/>
  <c r="Y192" i="13"/>
  <c r="Y154" i="13"/>
  <c r="Y97" i="13"/>
  <c r="Y42" i="13"/>
  <c r="Y111" i="13"/>
  <c r="Y91" i="13"/>
  <c r="Y66" i="13"/>
  <c r="Y41" i="13"/>
  <c r="Y579" i="13"/>
  <c r="Y566" i="13"/>
  <c r="Y546" i="13"/>
  <c r="Y531" i="13"/>
  <c r="Y513" i="13"/>
  <c r="Y495" i="13"/>
  <c r="Y480" i="13"/>
  <c r="Y462" i="13"/>
  <c r="Y447" i="13"/>
  <c r="Y427" i="13"/>
  <c r="Y409" i="13"/>
  <c r="Y394" i="13"/>
  <c r="Y376" i="13"/>
  <c r="Y361" i="13"/>
  <c r="Y343" i="13"/>
  <c r="Y323" i="13"/>
  <c r="Y310" i="13"/>
  <c r="Y290" i="13"/>
  <c r="Y275" i="13"/>
  <c r="Y257" i="13"/>
  <c r="Y239" i="13"/>
  <c r="Y224" i="13"/>
  <c r="Y206" i="13"/>
  <c r="Y191" i="13"/>
  <c r="Y170" i="13"/>
  <c r="Y147" i="13"/>
  <c r="Y130" i="13"/>
  <c r="Y107" i="13"/>
  <c r="Y83" i="13"/>
  <c r="Y58" i="13"/>
  <c r="Y33" i="13"/>
  <c r="Y1457" i="13"/>
  <c r="Y1448" i="13"/>
  <c r="Y1439" i="13"/>
  <c r="Y1430" i="13"/>
  <c r="Y1420" i="13"/>
  <c r="Y1411" i="13"/>
  <c r="Y1402" i="13"/>
  <c r="Y1393" i="13"/>
  <c r="Y1384" i="13"/>
  <c r="Y1375" i="13"/>
  <c r="Y1366" i="13"/>
  <c r="Y1356" i="13"/>
  <c r="Y1347" i="13"/>
  <c r="Y1338" i="13"/>
  <c r="Y1329" i="13"/>
  <c r="Y1320" i="13"/>
  <c r="Y1311" i="13"/>
  <c r="Y1302" i="13"/>
  <c r="Y1292" i="13"/>
  <c r="Y1283" i="13"/>
  <c r="Y1274" i="13"/>
  <c r="Y1265" i="13"/>
  <c r="Y1256" i="13"/>
  <c r="Y1244" i="13"/>
  <c r="Y1234" i="13"/>
  <c r="Y1224" i="13"/>
  <c r="Y1212" i="13"/>
  <c r="Y1202" i="13"/>
  <c r="Y1192" i="13"/>
  <c r="Y1180" i="13"/>
  <c r="Y1170" i="13"/>
  <c r="Y1160" i="13"/>
  <c r="Y1148" i="13"/>
  <c r="Y1138" i="13"/>
  <c r="Y1128" i="13"/>
  <c r="Y1116" i="13"/>
  <c r="Y1106" i="13"/>
  <c r="Y1096" i="13"/>
  <c r="Y1084" i="13"/>
  <c r="Y1074" i="13"/>
  <c r="Y1064" i="13"/>
  <c r="Y1052" i="13"/>
  <c r="Y1042" i="13"/>
  <c r="Y1032" i="13"/>
  <c r="Y1018" i="13"/>
  <c r="Y1007" i="13"/>
  <c r="Y995" i="13"/>
  <c r="Y982" i="13"/>
  <c r="Y970" i="13"/>
  <c r="Y959" i="13"/>
  <c r="Y945" i="13"/>
  <c r="Y934" i="13"/>
  <c r="Y922" i="13"/>
  <c r="Y909" i="13"/>
  <c r="Y897" i="13"/>
  <c r="Y886" i="13"/>
  <c r="Y872" i="13"/>
  <c r="Y861" i="13"/>
  <c r="Y849" i="13"/>
  <c r="Y835" i="13"/>
  <c r="Y824" i="13"/>
  <c r="Y813" i="13"/>
  <c r="Y799" i="13"/>
  <c r="Y787" i="13"/>
  <c r="Y776" i="13"/>
  <c r="Y762" i="13"/>
  <c r="Y750" i="13"/>
  <c r="Y734" i="13"/>
  <c r="Y721" i="13"/>
  <c r="Y705" i="13"/>
  <c r="Y689" i="13"/>
  <c r="Y677" i="13"/>
  <c r="Y661" i="13"/>
  <c r="Y648" i="13"/>
  <c r="Y631" i="13"/>
  <c r="Y611" i="13"/>
  <c r="Y598" i="13"/>
  <c r="Y578" i="13"/>
  <c r="Y563" i="13"/>
  <c r="Y545" i="13"/>
  <c r="Y527" i="13"/>
  <c r="Y512" i="13"/>
  <c r="Y494" i="13"/>
  <c r="Y479" i="13"/>
  <c r="Y459" i="13"/>
  <c r="Y441" i="13"/>
  <c r="Y426" i="13"/>
  <c r="Y408" i="13"/>
  <c r="Y393" i="13"/>
  <c r="Y375" i="13"/>
  <c r="Y355" i="13"/>
  <c r="Y342" i="13"/>
  <c r="Y322" i="13"/>
  <c r="Y307" i="13"/>
  <c r="Y289" i="13"/>
  <c r="Y271" i="13"/>
  <c r="Y256" i="13"/>
  <c r="Y238" i="13"/>
  <c r="Y223" i="13"/>
  <c r="Y203" i="13"/>
  <c r="Y185" i="13"/>
  <c r="Y169" i="13"/>
  <c r="Y146" i="13"/>
  <c r="Y129" i="13"/>
  <c r="Y106" i="13"/>
  <c r="Y82" i="13"/>
  <c r="Y57" i="13"/>
  <c r="Y32" i="13"/>
  <c r="Y2263" i="13"/>
  <c r="Y2255" i="13"/>
  <c r="Y2247" i="13"/>
  <c r="Y2239" i="13"/>
  <c r="Y2231" i="13"/>
  <c r="Y2223" i="13"/>
  <c r="Y2215" i="13"/>
  <c r="Y2207" i="13"/>
  <c r="Y2199" i="13"/>
  <c r="Y2191" i="13"/>
  <c r="Y2183" i="13"/>
  <c r="Y2175" i="13"/>
  <c r="Y2167" i="13"/>
  <c r="Y2159" i="13"/>
  <c r="Y2151" i="13"/>
  <c r="Y2143" i="13"/>
  <c r="Y2135" i="13"/>
  <c r="Y2127" i="13"/>
  <c r="Y2119" i="13"/>
  <c r="Y2111" i="13"/>
  <c r="Y2103" i="13"/>
  <c r="Y2095" i="13"/>
  <c r="Y2087" i="13"/>
  <c r="Y2079" i="13"/>
  <c r="Y2071" i="13"/>
  <c r="Y2063" i="13"/>
  <c r="Y2055" i="13"/>
  <c r="Y2047" i="13"/>
  <c r="Y2039" i="13"/>
  <c r="Y2031" i="13"/>
  <c r="Y2023" i="13"/>
  <c r="Y2015" i="13"/>
  <c r="Y2007" i="13"/>
  <c r="Y1999" i="13"/>
  <c r="Y1991" i="13"/>
  <c r="Y1983" i="13"/>
  <c r="Y1975" i="13"/>
  <c r="Y1967" i="13"/>
  <c r="Y1959" i="13"/>
  <c r="Y1951" i="13"/>
  <c r="Y1943" i="13"/>
  <c r="Y1935" i="13"/>
  <c r="Y1927" i="13"/>
  <c r="Y1919" i="13"/>
  <c r="Y1911" i="13"/>
  <c r="Y1903" i="13"/>
  <c r="Y1895" i="13"/>
  <c r="Y1887" i="13"/>
  <c r="Y1879" i="13"/>
  <c r="Y1871" i="13"/>
  <c r="Y1863" i="13"/>
  <c r="Y1855" i="13"/>
  <c r="Y1847" i="13"/>
  <c r="Y1839" i="13"/>
  <c r="Y1831" i="13"/>
  <c r="Y1823" i="13"/>
  <c r="Y1815" i="13"/>
  <c r="Y1807" i="13"/>
  <c r="Y1799" i="13"/>
  <c r="Y1791" i="13"/>
  <c r="Y1783" i="13"/>
  <c r="Y1775" i="13"/>
  <c r="Y1767" i="13"/>
  <c r="Y1759" i="13"/>
  <c r="Y1751" i="13"/>
  <c r="Y1743" i="13"/>
  <c r="Y1735" i="13"/>
  <c r="Y1727" i="13"/>
  <c r="Y1719" i="13"/>
  <c r="Y1711" i="13"/>
  <c r="Y1703" i="13"/>
  <c r="Y1695" i="13"/>
  <c r="Y1687" i="13"/>
  <c r="Y1679" i="13"/>
  <c r="Y1671" i="13"/>
  <c r="Y1663" i="13"/>
  <c r="Y1655" i="13"/>
  <c r="Y1647" i="13"/>
  <c r="Y1639" i="13"/>
  <c r="Y1630" i="13"/>
  <c r="Y1620" i="13"/>
  <c r="Y1611" i="13"/>
  <c r="Y1602" i="13"/>
  <c r="Y1593" i="13"/>
  <c r="Y1584" i="13"/>
  <c r="Y1575" i="13"/>
  <c r="Y1566" i="13"/>
  <c r="Y1556" i="13"/>
  <c r="Y1547" i="13"/>
  <c r="Y1538" i="13"/>
  <c r="Y1529" i="13"/>
  <c r="Y1520" i="13"/>
  <c r="Y1511" i="13"/>
  <c r="Y1502" i="13"/>
  <c r="Y1492" i="13"/>
  <c r="Y1483" i="13"/>
  <c r="Y1474" i="13"/>
  <c r="Y1465" i="13"/>
  <c r="Y1456" i="13"/>
  <c r="Y1447" i="13"/>
  <c r="Y1438" i="13"/>
  <c r="Y1428" i="13"/>
  <c r="Y1419" i="13"/>
  <c r="Y1410" i="13"/>
  <c r="Y1401" i="13"/>
  <c r="Y1392" i="13"/>
  <c r="Y1383" i="13"/>
  <c r="Y1374" i="13"/>
  <c r="Y1364" i="13"/>
  <c r="Y1355" i="13"/>
  <c r="Y1346" i="13"/>
  <c r="Y1337" i="13"/>
  <c r="Y1328" i="13"/>
  <c r="Y1319" i="13"/>
  <c r="Y1310" i="13"/>
  <c r="Y1300" i="13"/>
  <c r="Y1291" i="13"/>
  <c r="Y1282" i="13"/>
  <c r="Y1273" i="13"/>
  <c r="Y1264" i="13"/>
  <c r="Y1255" i="13"/>
  <c r="Y1243" i="13"/>
  <c r="Y1233" i="13"/>
  <c r="Y1223" i="13"/>
  <c r="Y1211" i="13"/>
  <c r="Y1201" i="13"/>
  <c r="Y1191" i="13"/>
  <c r="Y1179" i="13"/>
  <c r="Y1169" i="13"/>
  <c r="Y1159" i="13"/>
  <c r="Y1147" i="13"/>
  <c r="Y1137" i="13"/>
  <c r="Y1127" i="13"/>
  <c r="Y1115" i="13"/>
  <c r="Y1105" i="13"/>
  <c r="Y1095" i="13"/>
  <c r="Y1083" i="13"/>
  <c r="Y1073" i="13"/>
  <c r="Y1063" i="13"/>
  <c r="Y1051" i="13"/>
  <c r="Y1041" i="13"/>
  <c r="Y1031" i="13"/>
  <c r="Y1017" i="13"/>
  <c r="Y1006" i="13"/>
  <c r="Y994" i="13"/>
  <c r="Y981" i="13"/>
  <c r="Y969" i="13"/>
  <c r="Y958" i="13"/>
  <c r="Y944" i="13"/>
  <c r="Y933" i="13"/>
  <c r="Y921" i="13"/>
  <c r="Y907" i="13"/>
  <c r="Y896" i="13"/>
  <c r="Y885" i="13"/>
  <c r="Y871" i="13"/>
  <c r="Y859" i="13"/>
  <c r="Y848" i="13"/>
  <c r="Y834" i="13"/>
  <c r="Y823" i="13"/>
  <c r="Y811" i="13"/>
  <c r="Y798" i="13"/>
  <c r="Y786" i="13"/>
  <c r="Y775" i="13"/>
  <c r="Y761" i="13"/>
  <c r="Y749" i="13"/>
  <c r="Y733" i="13"/>
  <c r="Y717" i="13"/>
  <c r="Y704" i="13"/>
  <c r="Y688" i="13"/>
  <c r="Y675" i="13"/>
  <c r="Y659" i="13"/>
  <c r="Y643" i="13"/>
  <c r="Y630" i="13"/>
  <c r="Y610" i="13"/>
  <c r="Y595" i="13"/>
  <c r="Y577" i="13"/>
  <c r="Y559" i="13"/>
  <c r="Y544" i="13"/>
  <c r="Y526" i="13"/>
  <c r="Y511" i="13"/>
  <c r="Y491" i="13"/>
  <c r="Y473" i="13"/>
  <c r="Y458" i="13"/>
  <c r="Y440" i="13"/>
  <c r="Y425" i="13"/>
  <c r="Y407" i="13"/>
  <c r="Y387" i="13"/>
  <c r="Y374" i="13"/>
  <c r="Y354" i="13"/>
  <c r="Y339" i="13"/>
  <c r="Y321" i="13"/>
  <c r="Y303" i="13"/>
  <c r="Y288" i="13"/>
  <c r="Y270" i="13"/>
  <c r="Y255" i="13"/>
  <c r="Y235" i="13"/>
  <c r="Y217" i="13"/>
  <c r="Y202" i="13"/>
  <c r="Y184" i="13"/>
  <c r="Y168" i="13"/>
  <c r="Y145" i="13"/>
  <c r="Y122" i="13"/>
  <c r="Y105" i="13"/>
  <c r="Y81" i="13"/>
  <c r="Y56" i="13"/>
  <c r="Y31" i="13"/>
  <c r="Y2654" i="13"/>
  <c r="Y2646" i="13"/>
  <c r="Y2638" i="13"/>
  <c r="Y2630" i="13"/>
  <c r="Y2622" i="13"/>
  <c r="Y2614" i="13"/>
  <c r="Y2606" i="13"/>
  <c r="Y2598" i="13"/>
  <c r="Y2590" i="13"/>
  <c r="Y2582" i="13"/>
  <c r="Y2574" i="13"/>
  <c r="Y2566" i="13"/>
  <c r="Y2558" i="13"/>
  <c r="Y2550" i="13"/>
  <c r="Y2542" i="13"/>
  <c r="Y2534" i="13"/>
  <c r="Y2526" i="13"/>
  <c r="Y2518" i="13"/>
  <c r="Y2510" i="13"/>
  <c r="Y2502" i="13"/>
  <c r="Y2494" i="13"/>
  <c r="Y2486" i="13"/>
  <c r="Y2478" i="13"/>
  <c r="Y2470" i="13"/>
  <c r="Y2462" i="13"/>
  <c r="Y2454" i="13"/>
  <c r="Y2446" i="13"/>
  <c r="Y2438" i="13"/>
  <c r="Y2430" i="13"/>
  <c r="Y2422" i="13"/>
  <c r="Y2414" i="13"/>
  <c r="Y2406" i="13"/>
  <c r="Y2398" i="13"/>
  <c r="Y2390" i="13"/>
  <c r="Y2382" i="13"/>
  <c r="Y2374" i="13"/>
  <c r="Y2366" i="13"/>
  <c r="Y2358" i="13"/>
  <c r="Y2350" i="13"/>
  <c r="Y2342" i="13"/>
  <c r="Y2334" i="13"/>
  <c r="Y2326" i="13"/>
  <c r="Y2318" i="13"/>
  <c r="Y2310" i="13"/>
  <c r="Y2302" i="13"/>
  <c r="Y2294" i="13"/>
  <c r="Y2286" i="13"/>
  <c r="Y2278" i="13"/>
  <c r="Y2270" i="13"/>
  <c r="Y2262" i="13"/>
  <c r="Y2254" i="13"/>
  <c r="Y2246" i="13"/>
  <c r="Y2238" i="13"/>
  <c r="Y2230" i="13"/>
  <c r="Y2222" i="13"/>
  <c r="Y2214" i="13"/>
  <c r="Y2206" i="13"/>
  <c r="Y2198" i="13"/>
  <c r="Y2190" i="13"/>
  <c r="Y2182" i="13"/>
  <c r="Y2174" i="13"/>
  <c r="Y2166" i="13"/>
  <c r="Y2158" i="13"/>
  <c r="Y2150" i="13"/>
  <c r="Y2142" i="13"/>
  <c r="Y2134" i="13"/>
  <c r="Y2126" i="13"/>
  <c r="Y2118" i="13"/>
  <c r="Y2110" i="13"/>
  <c r="Y2102" i="13"/>
  <c r="Y2094" i="13"/>
  <c r="Y2086" i="13"/>
  <c r="Y2078" i="13"/>
  <c r="Y2070" i="13"/>
  <c r="Y2062" i="13"/>
  <c r="Y2054" i="13"/>
  <c r="Y2046" i="13"/>
  <c r="Y2038" i="13"/>
  <c r="Y2030" i="13"/>
  <c r="Y2022" i="13"/>
  <c r="Y2014" i="13"/>
  <c r="Y2006" i="13"/>
  <c r="Y1998" i="13"/>
  <c r="Y1990" i="13"/>
  <c r="Y1982" i="13"/>
  <c r="Y1974" i="13"/>
  <c r="Y1966" i="13"/>
  <c r="Y1958" i="13"/>
  <c r="Y1950" i="13"/>
  <c r="Y1942" i="13"/>
  <c r="Y1934" i="13"/>
  <c r="Y1926" i="13"/>
  <c r="Y1918" i="13"/>
  <c r="Y1910" i="13"/>
  <c r="Y1902" i="13"/>
  <c r="Y1894" i="13"/>
  <c r="Y1886" i="13"/>
  <c r="Y1878" i="13"/>
  <c r="Y1870" i="13"/>
  <c r="Y1862" i="13"/>
  <c r="Y1854" i="13"/>
  <c r="Y1846" i="13"/>
  <c r="Y1838" i="13"/>
  <c r="Y1830" i="13"/>
  <c r="Y1822" i="13"/>
  <c r="Y1814" i="13"/>
  <c r="Y1806" i="13"/>
  <c r="Y1798" i="13"/>
  <c r="Y1790" i="13"/>
  <c r="Y1782" i="13"/>
  <c r="Y1774" i="13"/>
  <c r="Y1766" i="13"/>
  <c r="Y1758" i="13"/>
  <c r="Y1750" i="13"/>
  <c r="Y1742" i="13"/>
  <c r="Y1734" i="13"/>
  <c r="Y1726" i="13"/>
  <c r="Y1718" i="13"/>
  <c r="Y1710" i="13"/>
  <c r="Y1702" i="13"/>
  <c r="Y1694" i="13"/>
  <c r="Y1686" i="13"/>
  <c r="Y1678" i="13"/>
  <c r="Y1670" i="13"/>
  <c r="Y1662" i="13"/>
  <c r="Y1654" i="13"/>
  <c r="Y1646" i="13"/>
  <c r="Y1638" i="13"/>
  <c r="Y1628" i="13"/>
  <c r="Y1619" i="13"/>
  <c r="Y1610" i="13"/>
  <c r="Y1601" i="13"/>
  <c r="Y1592" i="13"/>
  <c r="Y1583" i="13"/>
  <c r="Y1574" i="13"/>
  <c r="Y1564" i="13"/>
  <c r="Y1555" i="13"/>
  <c r="Y1546" i="13"/>
  <c r="Y1537" i="13"/>
  <c r="Y1528" i="13"/>
  <c r="Y1519" i="13"/>
  <c r="Y1510" i="13"/>
  <c r="Y1500" i="13"/>
  <c r="Y1491" i="13"/>
  <c r="Y1482" i="13"/>
  <c r="Y1473" i="13"/>
  <c r="Y1464" i="13"/>
  <c r="Y1455" i="13"/>
  <c r="Y1446" i="13"/>
  <c r="Y1436" i="13"/>
  <c r="Y1427" i="13"/>
  <c r="Y1418" i="13"/>
  <c r="Y1409" i="13"/>
  <c r="Y1400" i="13"/>
  <c r="Y1391" i="13"/>
  <c r="Y1382" i="13"/>
  <c r="Y1372" i="13"/>
  <c r="Y1363" i="13"/>
  <c r="Y1354" i="13"/>
  <c r="Y1345" i="13"/>
  <c r="Y1336" i="13"/>
  <c r="Y1327" i="13"/>
  <c r="Y1318" i="13"/>
  <c r="Y1308" i="13"/>
  <c r="Y1299" i="13"/>
  <c r="Y1290" i="13"/>
  <c r="Y1281" i="13"/>
  <c r="Y1272" i="13"/>
  <c r="Y1263" i="13"/>
  <c r="Y1252" i="13"/>
  <c r="Y1242" i="13"/>
  <c r="Y1232" i="13"/>
  <c r="Y1220" i="13"/>
  <c r="Y1210" i="13"/>
  <c r="Y1200" i="13"/>
  <c r="Y1188" i="13"/>
  <c r="Y1178" i="13"/>
  <c r="Y1168" i="13"/>
  <c r="Y1156" i="13"/>
  <c r="Y1146" i="13"/>
  <c r="Y1136" i="13"/>
  <c r="Y1124" i="13"/>
  <c r="Y1114" i="13"/>
  <c r="Y1104" i="13"/>
  <c r="Y1092" i="13"/>
  <c r="Y1082" i="13"/>
  <c r="Y1072" i="13"/>
  <c r="Y1060" i="13"/>
  <c r="Y1050" i="13"/>
  <c r="Y1040" i="13"/>
  <c r="Y1027" i="13"/>
  <c r="Y1016" i="13"/>
  <c r="Y1005" i="13"/>
  <c r="Y991" i="13"/>
  <c r="Y979" i="13"/>
  <c r="Y968" i="13"/>
  <c r="Y954" i="13"/>
  <c r="Y943" i="13"/>
  <c r="Y931" i="13"/>
  <c r="Y918" i="13"/>
  <c r="Y906" i="13"/>
  <c r="Y895" i="13"/>
  <c r="Y881" i="13"/>
  <c r="Y870" i="13"/>
  <c r="Y858" i="13"/>
  <c r="Y845" i="13"/>
  <c r="Y833" i="13"/>
  <c r="Y822" i="13"/>
  <c r="Y808" i="13"/>
  <c r="Y797" i="13"/>
  <c r="Y785" i="13"/>
  <c r="Y771" i="13"/>
  <c r="Y760" i="13"/>
  <c r="Y744" i="13"/>
  <c r="Y731" i="13"/>
  <c r="Y715" i="13"/>
  <c r="Y703" i="13"/>
  <c r="Y687" i="13"/>
  <c r="Y671" i="13"/>
  <c r="Y658" i="13"/>
  <c r="Y642" i="13"/>
  <c r="Y627" i="13"/>
  <c r="Y609" i="13"/>
  <c r="Y591" i="13"/>
  <c r="Y576" i="13"/>
  <c r="Y558" i="13"/>
  <c r="Y543" i="13"/>
  <c r="Y523" i="13"/>
  <c r="Y505" i="13"/>
  <c r="Y490" i="13"/>
  <c r="Y472" i="13"/>
  <c r="Y457" i="13"/>
  <c r="Y439" i="13"/>
  <c r="Y419" i="13"/>
  <c r="Y406" i="13"/>
  <c r="Y386" i="13"/>
  <c r="Y371" i="13"/>
  <c r="Y353" i="13"/>
  <c r="Y335" i="13"/>
  <c r="Y320" i="13"/>
  <c r="Y302" i="13"/>
  <c r="Y287" i="13"/>
  <c r="Y267" i="13"/>
  <c r="Y249" i="13"/>
  <c r="Y234" i="13"/>
  <c r="Y216" i="13"/>
  <c r="Y201" i="13"/>
  <c r="Y183" i="13"/>
  <c r="Y161" i="13"/>
  <c r="Y144" i="13"/>
  <c r="Y121" i="13"/>
  <c r="Y104" i="13"/>
  <c r="Y80" i="13"/>
  <c r="Y55" i="13"/>
  <c r="Y27" i="13"/>
  <c r="Y90" i="13"/>
  <c r="Y79" i="13"/>
  <c r="Y65" i="13"/>
  <c r="Y51" i="13"/>
  <c r="Y40" i="13"/>
  <c r="Y26" i="13"/>
  <c r="Y757" i="13"/>
  <c r="Y747" i="13"/>
  <c r="Y738" i="13"/>
  <c r="Y729" i="13"/>
  <c r="Y720" i="13"/>
  <c r="Y711" i="13"/>
  <c r="Y702" i="13"/>
  <c r="Y693" i="13"/>
  <c r="Y683" i="13"/>
  <c r="Y674" i="13"/>
  <c r="Y665" i="13"/>
  <c r="Y656" i="13"/>
  <c r="Y647" i="13"/>
  <c r="Y638" i="13"/>
  <c r="Y626" i="13"/>
  <c r="Y616" i="13"/>
  <c r="Y606" i="13"/>
  <c r="Y594" i="13"/>
  <c r="Y584" i="13"/>
  <c r="Y574" i="13"/>
  <c r="Y562" i="13"/>
  <c r="Y552" i="13"/>
  <c r="Y542" i="13"/>
  <c r="Y530" i="13"/>
  <c r="Y520" i="13"/>
  <c r="Y510" i="13"/>
  <c r="Y498" i="13"/>
  <c r="Y488" i="13"/>
  <c r="Y478" i="13"/>
  <c r="Y466" i="13"/>
  <c r="Y456" i="13"/>
  <c r="Y446" i="13"/>
  <c r="Y434" i="13"/>
  <c r="Y424" i="13"/>
  <c r="Y414" i="13"/>
  <c r="Y402" i="13"/>
  <c r="Y392" i="13"/>
  <c r="Y382" i="13"/>
  <c r="Y370" i="13"/>
  <c r="Y360" i="13"/>
  <c r="Y350" i="13"/>
  <c r="Y338" i="13"/>
  <c r="Y328" i="13"/>
  <c r="Y318" i="13"/>
  <c r="Y306" i="13"/>
  <c r="Y296" i="13"/>
  <c r="Y286" i="13"/>
  <c r="Y274" i="13"/>
  <c r="Y264" i="13"/>
  <c r="Y254" i="13"/>
  <c r="Y242" i="13"/>
  <c r="Y232" i="13"/>
  <c r="Y222" i="13"/>
  <c r="Y210" i="13"/>
  <c r="Y200" i="13"/>
  <c r="Y190" i="13"/>
  <c r="Y178" i="13"/>
  <c r="Y167" i="13"/>
  <c r="Y153" i="13"/>
  <c r="Y139" i="13"/>
  <c r="Y128" i="13"/>
  <c r="Y114" i="13"/>
  <c r="Y103" i="13"/>
  <c r="Y89" i="13"/>
  <c r="Y75" i="13"/>
  <c r="Y64" i="13"/>
  <c r="Y50" i="13"/>
  <c r="Y39" i="13"/>
  <c r="Y25" i="13"/>
  <c r="Y1254" i="13"/>
  <c r="Y1246" i="13"/>
  <c r="Y1238" i="13"/>
  <c r="Y1230" i="13"/>
  <c r="Y1222" i="13"/>
  <c r="Y1214" i="13"/>
  <c r="Y1206" i="13"/>
  <c r="Y1198" i="13"/>
  <c r="Y1190" i="13"/>
  <c r="Y1182" i="13"/>
  <c r="Y1174" i="13"/>
  <c r="Y1166" i="13"/>
  <c r="Y1158" i="13"/>
  <c r="Y1150" i="13"/>
  <c r="Y1142" i="13"/>
  <c r="Y1134" i="13"/>
  <c r="Y1126" i="13"/>
  <c r="Y1118" i="13"/>
  <c r="Y1110" i="13"/>
  <c r="Y1102" i="13"/>
  <c r="Y1094" i="13"/>
  <c r="Y1086" i="13"/>
  <c r="Y1078" i="13"/>
  <c r="Y1070" i="13"/>
  <c r="Y1062" i="13"/>
  <c r="Y1054" i="13"/>
  <c r="Y1046" i="13"/>
  <c r="Y1038" i="13"/>
  <c r="Y1030" i="13"/>
  <c r="Y1021" i="13"/>
  <c r="Y1011" i="13"/>
  <c r="Y1002" i="13"/>
  <c r="Y993" i="13"/>
  <c r="Y984" i="13"/>
  <c r="Y975" i="13"/>
  <c r="Y966" i="13"/>
  <c r="Y957" i="13"/>
  <c r="Y947" i="13"/>
  <c r="Y938" i="13"/>
  <c r="Y929" i="13"/>
  <c r="Y920" i="13"/>
  <c r="Y911" i="13"/>
  <c r="Y902" i="13"/>
  <c r="Y893" i="13"/>
  <c r="Y883" i="13"/>
  <c r="Y874" i="13"/>
  <c r="Y865" i="13"/>
  <c r="Y856" i="13"/>
  <c r="Y847" i="13"/>
  <c r="Y838" i="13"/>
  <c r="Y829" i="13"/>
  <c r="Y819" i="13"/>
  <c r="Y810" i="13"/>
  <c r="Y801" i="13"/>
  <c r="Y792" i="13"/>
  <c r="Y783" i="13"/>
  <c r="Y774" i="13"/>
  <c r="Y765" i="13"/>
  <c r="Y755" i="13"/>
  <c r="Y746" i="13"/>
  <c r="Y737" i="13"/>
  <c r="Y728" i="13"/>
  <c r="Y719" i="13"/>
  <c r="Y710" i="13"/>
  <c r="Y701" i="13"/>
  <c r="Y691" i="13"/>
  <c r="Y682" i="13"/>
  <c r="Y673" i="13"/>
  <c r="Y664" i="13"/>
  <c r="Y655" i="13"/>
  <c r="Y646" i="13"/>
  <c r="Y635" i="13"/>
  <c r="Y625" i="13"/>
  <c r="Y615" i="13"/>
  <c r="Y603" i="13"/>
  <c r="Y593" i="13"/>
  <c r="Y583" i="13"/>
  <c r="Y571" i="13"/>
  <c r="Y561" i="13"/>
  <c r="Y551" i="13"/>
  <c r="Y539" i="13"/>
  <c r="Y529" i="13"/>
  <c r="Y519" i="13"/>
  <c r="Y507" i="13"/>
  <c r="Y497" i="13"/>
  <c r="Y487" i="13"/>
  <c r="Y475" i="13"/>
  <c r="Y465" i="13"/>
  <c r="Y455" i="13"/>
  <c r="Y443" i="13"/>
  <c r="Y433" i="13"/>
  <c r="Y423" i="13"/>
  <c r="Y411" i="13"/>
  <c r="Y401" i="13"/>
  <c r="Y391" i="13"/>
  <c r="Y379" i="13"/>
  <c r="Y369" i="13"/>
  <c r="Y359" i="13"/>
  <c r="Y347" i="13"/>
  <c r="Y337" i="13"/>
  <c r="Y327" i="13"/>
  <c r="Y315" i="13"/>
  <c r="Y305" i="13"/>
  <c r="Y295" i="13"/>
  <c r="Y283" i="13"/>
  <c r="Y273" i="13"/>
  <c r="Y263" i="13"/>
  <c r="Y251" i="13"/>
  <c r="Y241" i="13"/>
  <c r="Y231" i="13"/>
  <c r="Y219" i="13"/>
  <c r="Y209" i="13"/>
  <c r="Y199" i="13"/>
  <c r="Y187" i="13"/>
  <c r="Y177" i="13"/>
  <c r="Y163" i="13"/>
  <c r="Y152" i="13"/>
  <c r="Y138" i="13"/>
  <c r="Y127" i="13"/>
  <c r="Y113" i="13"/>
  <c r="Y99" i="13"/>
  <c r="Y88" i="13"/>
  <c r="Y74" i="13"/>
  <c r="Y63" i="13"/>
  <c r="Y49" i="13"/>
  <c r="Y35" i="13"/>
  <c r="Y24" i="13"/>
  <c r="Y1637" i="13"/>
  <c r="Y1629" i="13"/>
  <c r="Y1621" i="13"/>
  <c r="Y1613" i="13"/>
  <c r="Y1605" i="13"/>
  <c r="Y1597" i="13"/>
  <c r="Y1589" i="13"/>
  <c r="Y1581" i="13"/>
  <c r="Y1573" i="13"/>
  <c r="Y1565" i="13"/>
  <c r="Y1557" i="13"/>
  <c r="Y1549" i="13"/>
  <c r="Y1541" i="13"/>
  <c r="Y1533" i="13"/>
  <c r="Y1525" i="13"/>
  <c r="Y1517" i="13"/>
  <c r="Y1509" i="13"/>
  <c r="Y1501" i="13"/>
  <c r="Y1493" i="13"/>
  <c r="Y1485" i="13"/>
  <c r="Y1477" i="13"/>
  <c r="Y1469" i="13"/>
  <c r="Y1461" i="13"/>
  <c r="Y1453" i="13"/>
  <c r="Y1445" i="13"/>
  <c r="Y1437" i="13"/>
  <c r="Y1429" i="13"/>
  <c r="Y1421" i="13"/>
  <c r="Y1413" i="13"/>
  <c r="Y1405" i="13"/>
  <c r="Y1397" i="13"/>
  <c r="Y1389" i="13"/>
  <c r="Y1381" i="13"/>
  <c r="Y1373" i="13"/>
  <c r="Y1365" i="13"/>
  <c r="Y1357" i="13"/>
  <c r="Y1349" i="13"/>
  <c r="Y1341" i="13"/>
  <c r="Y1333" i="13"/>
  <c r="Y1325" i="13"/>
  <c r="Y1317" i="13"/>
  <c r="Y1309" i="13"/>
  <c r="Y1301" i="13"/>
  <c r="Y1293" i="13"/>
  <c r="Y1285" i="13"/>
  <c r="Y1277" i="13"/>
  <c r="Y1269" i="13"/>
  <c r="Y1261" i="13"/>
  <c r="Y1253" i="13"/>
  <c r="Y1245" i="13"/>
  <c r="Y1237" i="13"/>
  <c r="Y1229" i="13"/>
  <c r="Y1221" i="13"/>
  <c r="Y1213" i="13"/>
  <c r="Y1205" i="13"/>
  <c r="Y1197" i="13"/>
  <c r="Y1189" i="13"/>
  <c r="Y1181" i="13"/>
  <c r="Y1173" i="13"/>
  <c r="Y1165" i="13"/>
  <c r="Y1157" i="13"/>
  <c r="Y1149" i="13"/>
  <c r="Y1141" i="13"/>
  <c r="Y1133" i="13"/>
  <c r="Y1125" i="13"/>
  <c r="Y1117" i="13"/>
  <c r="Y1109" i="13"/>
  <c r="Y1101" i="13"/>
  <c r="Y1093" i="13"/>
  <c r="Y1085" i="13"/>
  <c r="Y1077" i="13"/>
  <c r="Y1069" i="13"/>
  <c r="Y1061" i="13"/>
  <c r="Y1053" i="13"/>
  <c r="Y1045" i="13"/>
  <c r="Y1037" i="13"/>
  <c r="Y1029" i="13"/>
  <c r="Y1019" i="13"/>
  <c r="Y1010" i="13"/>
  <c r="Y1001" i="13"/>
  <c r="Y992" i="13"/>
  <c r="Y983" i="13"/>
  <c r="Y974" i="13"/>
  <c r="Y965" i="13"/>
  <c r="Y955" i="13"/>
  <c r="Y946" i="13"/>
  <c r="Y937" i="13"/>
  <c r="Y928" i="13"/>
  <c r="Y919" i="13"/>
  <c r="Y910" i="13"/>
  <c r="Y901" i="13"/>
  <c r="Y891" i="13"/>
  <c r="Y882" i="13"/>
  <c r="Y873" i="13"/>
  <c r="Y864" i="13"/>
  <c r="Y855" i="13"/>
  <c r="Y846" i="13"/>
  <c r="Y837" i="13"/>
  <c r="Y827" i="13"/>
  <c r="Y818" i="13"/>
  <c r="Y809" i="13"/>
  <c r="Y800" i="13"/>
  <c r="Y791" i="13"/>
  <c r="Y782" i="13"/>
  <c r="Y773" i="13"/>
  <c r="Y763" i="13"/>
  <c r="Y754" i="13"/>
  <c r="Y745" i="13"/>
  <c r="Y736" i="13"/>
  <c r="Y727" i="13"/>
  <c r="Y718" i="13"/>
  <c r="Y709" i="13"/>
  <c r="Y699" i="13"/>
  <c r="Y690" i="13"/>
  <c r="Y681" i="13"/>
  <c r="Y672" i="13"/>
  <c r="Y663" i="13"/>
  <c r="Y654" i="13"/>
  <c r="Y645" i="13"/>
  <c r="Y634" i="13"/>
  <c r="Y624" i="13"/>
  <c r="Y614" i="13"/>
  <c r="Y602" i="13"/>
  <c r="Y592" i="13"/>
  <c r="Y582" i="13"/>
  <c r="Y570" i="13"/>
  <c r="Y560" i="13"/>
  <c r="Y550" i="13"/>
  <c r="Y538" i="13"/>
  <c r="Y528" i="13"/>
  <c r="Y518" i="13"/>
  <c r="Y506" i="13"/>
  <c r="Y496" i="13"/>
  <c r="Y486" i="13"/>
  <c r="Y474" i="13"/>
  <c r="Y464" i="13"/>
  <c r="Y454" i="13"/>
  <c r="Y442" i="13"/>
  <c r="Y432" i="13"/>
  <c r="Y422" i="13"/>
  <c r="Y410" i="13"/>
  <c r="Y400" i="13"/>
  <c r="Y390" i="13"/>
  <c r="Y378" i="13"/>
  <c r="Y368" i="13"/>
  <c r="Y358" i="13"/>
  <c r="Y346" i="13"/>
  <c r="Y336" i="13"/>
  <c r="Y326" i="13"/>
  <c r="Y314" i="13"/>
  <c r="Y304" i="13"/>
  <c r="Y294" i="13"/>
  <c r="Y282" i="13"/>
  <c r="Y272" i="13"/>
  <c r="Y262" i="13"/>
  <c r="Y250" i="13"/>
  <c r="Y240" i="13"/>
  <c r="Y230" i="13"/>
  <c r="Y218" i="13"/>
  <c r="Y208" i="13"/>
  <c r="Y198" i="13"/>
  <c r="Y186" i="13"/>
  <c r="Y176" i="13"/>
  <c r="Y162" i="13"/>
  <c r="Y151" i="13"/>
  <c r="Y137" i="13"/>
  <c r="Y123" i="13"/>
  <c r="Y112" i="13"/>
  <c r="Y98" i="13"/>
  <c r="Y87" i="13"/>
  <c r="Y73" i="13"/>
  <c r="Y59" i="13"/>
  <c r="Y48" i="13"/>
  <c r="Y34" i="13"/>
  <c r="Y23" i="13"/>
  <c r="Y174" i="13"/>
  <c r="Y166" i="13"/>
  <c r="Y158" i="13"/>
  <c r="Y150" i="13"/>
  <c r="Y142" i="13"/>
  <c r="Y134" i="13"/>
  <c r="Y126" i="13"/>
  <c r="Y118" i="13"/>
  <c r="Y110" i="13"/>
  <c r="Y102" i="13"/>
  <c r="Y94" i="13"/>
  <c r="Y86" i="13"/>
  <c r="Y78" i="13"/>
  <c r="Y70" i="13"/>
  <c r="Y62" i="13"/>
  <c r="Y54" i="13"/>
  <c r="Y46" i="13"/>
  <c r="Y38" i="13"/>
  <c r="Y30" i="13"/>
  <c r="Y22" i="13"/>
  <c r="Y637" i="13"/>
  <c r="Y629" i="13"/>
  <c r="Y621" i="13"/>
  <c r="Y613" i="13"/>
  <c r="Y605" i="13"/>
  <c r="Y597" i="13"/>
  <c r="Y589" i="13"/>
  <c r="Y581" i="13"/>
  <c r="Y573" i="13"/>
  <c r="Y565" i="13"/>
  <c r="Y557" i="13"/>
  <c r="Y549" i="13"/>
  <c r="Y541" i="13"/>
  <c r="Y533" i="13"/>
  <c r="Y525" i="13"/>
  <c r="Y517" i="13"/>
  <c r="Y509" i="13"/>
  <c r="Y501" i="13"/>
  <c r="Y493" i="13"/>
  <c r="Y485" i="13"/>
  <c r="Y477" i="13"/>
  <c r="Y469" i="13"/>
  <c r="Y461" i="13"/>
  <c r="Y453" i="13"/>
  <c r="Y445" i="13"/>
  <c r="Y437" i="13"/>
  <c r="Y429" i="13"/>
  <c r="Y421" i="13"/>
  <c r="Y413" i="13"/>
  <c r="Y405" i="13"/>
  <c r="Y397" i="13"/>
  <c r="Y389" i="13"/>
  <c r="Y381" i="13"/>
  <c r="Y373" i="13"/>
  <c r="Y365" i="13"/>
  <c r="Y357" i="13"/>
  <c r="Y349" i="13"/>
  <c r="Y341" i="13"/>
  <c r="Y333" i="13"/>
  <c r="Y325" i="13"/>
  <c r="Y317" i="13"/>
  <c r="Y309" i="13"/>
  <c r="Y301" i="13"/>
  <c r="Y293" i="13"/>
  <c r="Y285" i="13"/>
  <c r="Y277" i="13"/>
  <c r="Y269" i="13"/>
  <c r="Y261" i="13"/>
  <c r="Y253" i="13"/>
  <c r="Y245" i="13"/>
  <c r="Y237" i="13"/>
  <c r="Y229" i="13"/>
  <c r="Y221" i="13"/>
  <c r="Y213" i="13"/>
  <c r="Y205" i="13"/>
  <c r="Y197" i="13"/>
  <c r="Y189" i="13"/>
  <c r="Y181" i="13"/>
  <c r="Y173" i="13"/>
  <c r="Y165" i="13"/>
  <c r="Y157" i="13"/>
  <c r="Y149" i="13"/>
  <c r="Y141" i="13"/>
  <c r="Y133" i="13"/>
  <c r="Y125" i="13"/>
  <c r="Y117" i="13"/>
  <c r="Y109" i="13"/>
  <c r="Y101" i="13"/>
  <c r="Y93" i="13"/>
  <c r="Y85" i="13"/>
  <c r="Y77" i="13"/>
  <c r="Y69" i="13"/>
  <c r="Y61" i="13"/>
  <c r="Y53" i="13"/>
  <c r="Y45" i="13"/>
  <c r="Y37" i="13"/>
  <c r="Y29" i="13"/>
  <c r="Y21" i="13"/>
  <c r="Y1028" i="13"/>
  <c r="Y1020" i="13"/>
  <c r="Y1012" i="13"/>
  <c r="Y1004" i="13"/>
  <c r="Y996" i="13"/>
  <c r="Y988" i="13"/>
  <c r="Y980" i="13"/>
  <c r="Y972" i="13"/>
  <c r="Y964" i="13"/>
  <c r="Y956" i="13"/>
  <c r="Y948" i="13"/>
  <c r="Y940" i="13"/>
  <c r="Y932" i="13"/>
  <c r="Y924" i="13"/>
  <c r="Y916" i="13"/>
  <c r="Y908" i="13"/>
  <c r="Y900" i="13"/>
  <c r="Y892" i="13"/>
  <c r="Y884" i="13"/>
  <c r="Y876" i="13"/>
  <c r="Y868" i="13"/>
  <c r="Y860" i="13"/>
  <c r="Y852" i="13"/>
  <c r="Y844" i="13"/>
  <c r="Y836" i="13"/>
  <c r="Y828" i="13"/>
  <c r="Y820" i="13"/>
  <c r="Y812" i="13"/>
  <c r="Y804" i="13"/>
  <c r="Y796" i="13"/>
  <c r="Y788" i="13"/>
  <c r="Y780" i="13"/>
  <c r="Y772" i="13"/>
  <c r="Y764" i="13"/>
  <c r="Y756" i="13"/>
  <c r="Y748" i="13"/>
  <c r="Y740" i="13"/>
  <c r="Y732" i="13"/>
  <c r="Y724" i="13"/>
  <c r="Y716" i="13"/>
  <c r="Y708" i="13"/>
  <c r="Y700" i="13"/>
  <c r="Y692" i="13"/>
  <c r="Y684" i="13"/>
  <c r="Y676" i="13"/>
  <c r="Y668" i="13"/>
  <c r="Y660" i="13"/>
  <c r="Y652" i="13"/>
  <c r="Y644" i="13"/>
  <c r="Y636" i="13"/>
  <c r="Y628" i="13"/>
  <c r="Y620" i="13"/>
  <c r="Y612" i="13"/>
  <c r="Y604" i="13"/>
  <c r="Y596" i="13"/>
  <c r="Y588" i="13"/>
  <c r="Y580" i="13"/>
  <c r="Y572" i="13"/>
  <c r="Y564" i="13"/>
  <c r="Y556" i="13"/>
  <c r="Y548" i="13"/>
  <c r="Y540" i="13"/>
  <c r="Y532" i="13"/>
  <c r="Y524" i="13"/>
  <c r="Y516" i="13"/>
  <c r="Y508" i="13"/>
  <c r="Y500" i="13"/>
  <c r="Y492" i="13"/>
  <c r="Y484" i="13"/>
  <c r="Y476" i="13"/>
  <c r="Y468" i="13"/>
  <c r="Y460" i="13"/>
  <c r="Y452" i="13"/>
  <c r="Y444" i="13"/>
  <c r="Y436" i="13"/>
  <c r="Y428" i="13"/>
  <c r="Y420" i="13"/>
  <c r="Y412" i="13"/>
  <c r="Y404" i="13"/>
  <c r="Y396" i="13"/>
  <c r="Y388" i="13"/>
  <c r="Y380" i="13"/>
  <c r="Y372" i="13"/>
  <c r="Y364" i="13"/>
  <c r="Y356" i="13"/>
  <c r="Y348" i="13"/>
  <c r="Y340" i="13"/>
  <c r="Y332" i="13"/>
  <c r="Y324" i="13"/>
  <c r="Y316" i="13"/>
  <c r="Y308" i="13"/>
  <c r="Y300" i="13"/>
  <c r="Y292" i="13"/>
  <c r="Y284" i="13"/>
  <c r="Y276" i="13"/>
  <c r="Y268" i="13"/>
  <c r="Y260" i="13"/>
  <c r="Y252" i="13"/>
  <c r="Y244" i="13"/>
  <c r="Y236" i="13"/>
  <c r="Y228" i="13"/>
  <c r="Y220" i="13"/>
  <c r="Y212" i="13"/>
  <c r="Y204" i="13"/>
  <c r="Y196" i="13"/>
  <c r="Y188" i="13"/>
  <c r="Y180" i="13"/>
  <c r="Y172" i="13"/>
  <c r="Y164" i="13"/>
  <c r="Y156" i="13"/>
  <c r="Y148" i="13"/>
  <c r="Y140" i="13"/>
  <c r="Y132" i="13"/>
  <c r="Y124" i="13"/>
  <c r="Y116" i="13"/>
  <c r="Y108" i="13"/>
  <c r="Y100" i="13"/>
  <c r="Y92" i="13"/>
  <c r="Y84" i="13"/>
  <c r="Y76" i="13"/>
  <c r="Y68" i="13"/>
  <c r="Y60" i="13"/>
  <c r="Y52" i="13"/>
  <c r="Y44" i="13"/>
  <c r="Y36" i="13"/>
  <c r="Y28" i="13"/>
  <c r="Y20" i="13"/>
  <c r="E10" i="13" l="1"/>
  <c r="E15" i="13"/>
  <c r="E7" i="13"/>
  <c r="E5" i="13"/>
  <c r="E14" i="13"/>
  <c r="E8" i="13"/>
  <c r="E3" i="13"/>
  <c r="E9" i="13"/>
  <c r="E16" i="13"/>
  <c r="E11" i="13"/>
  <c r="E4" i="13"/>
  <c r="E13" i="13"/>
  <c r="E6" i="13"/>
  <c r="E12" i="13"/>
  <c r="Z892" i="13"/>
  <c r="Z1499" i="13"/>
  <c r="Z2196" i="13"/>
  <c r="Z1116" i="13"/>
  <c r="Z2168" i="13"/>
  <c r="Z3545" i="13"/>
  <c r="Z2552" i="13"/>
  <c r="Z2943" i="13"/>
  <c r="Z1349" i="13"/>
  <c r="Z791" i="13"/>
  <c r="Z2229" i="13"/>
  <c r="Z2596" i="13"/>
  <c r="Z1248" i="13"/>
  <c r="Z1870" i="13"/>
  <c r="Z1495" i="13"/>
  <c r="Z965" i="13"/>
  <c r="Z2841" i="13"/>
  <c r="Z653" i="13"/>
  <c r="Z93" i="13"/>
  <c r="Z940" i="13"/>
  <c r="Z2050" i="13"/>
  <c r="Z495" i="13"/>
  <c r="Z3433" i="13"/>
  <c r="Z2560" i="13"/>
  <c r="Z1228" i="13"/>
  <c r="Z2906" i="13"/>
  <c r="Z2420" i="13"/>
  <c r="Z85" i="13"/>
  <c r="Z1752" i="13"/>
  <c r="Z24" i="13"/>
  <c r="Z99" i="13"/>
  <c r="Z1436" i="13"/>
  <c r="Z1699" i="13"/>
  <c r="Z1908" i="13"/>
  <c r="Z2709" i="13"/>
  <c r="Z1629" i="13"/>
  <c r="Z581" i="13"/>
  <c r="Z263" i="13"/>
  <c r="Z1876" i="13"/>
  <c r="Z1404" i="13"/>
  <c r="Z2418" i="13"/>
  <c r="Z191" i="13"/>
  <c r="Z1507" i="13"/>
  <c r="Z2569" i="13"/>
  <c r="Z2356" i="13"/>
  <c r="Z1388" i="13"/>
  <c r="Z2328" i="13"/>
  <c r="Z592" i="13"/>
  <c r="Z1736" i="13"/>
  <c r="Z705" i="13"/>
  <c r="Z2741" i="13"/>
  <c r="Z2100" i="13"/>
  <c r="Z2226" i="13"/>
  <c r="Z1580" i="13"/>
  <c r="Z247" i="13"/>
  <c r="Z588" i="13"/>
  <c r="Z1464" i="13"/>
  <c r="Z3029" i="13"/>
  <c r="Z341" i="13"/>
  <c r="Z3381" i="13"/>
  <c r="Z1232" i="13"/>
  <c r="Z1112" i="13"/>
  <c r="Z1237" i="13"/>
  <c r="Z2735" i="13"/>
  <c r="Z1140" i="13"/>
  <c r="Z617" i="13"/>
  <c r="Z1193" i="13"/>
  <c r="Z1702" i="13"/>
  <c r="Z599" i="13"/>
  <c r="Z47" i="13"/>
  <c r="Z2490" i="13"/>
  <c r="Z1257" i="13"/>
  <c r="Z2032" i="13"/>
  <c r="Z1246" i="13"/>
  <c r="Z3539" i="13"/>
  <c r="Z2352" i="13"/>
  <c r="Z1389" i="13"/>
  <c r="Z510" i="13"/>
  <c r="Z939" i="13"/>
  <c r="Z30" i="13"/>
  <c r="Z119" i="13"/>
  <c r="Z1915" i="13"/>
  <c r="Z2219" i="13"/>
  <c r="Z2193" i="13"/>
  <c r="Z1649" i="13"/>
  <c r="Z2054" i="13"/>
  <c r="Z1758" i="13"/>
  <c r="Z3109" i="13"/>
  <c r="Z3521" i="13"/>
  <c r="Z1954" i="13"/>
  <c r="Z3536" i="13"/>
  <c r="Z1532" i="13"/>
  <c r="Z1284" i="13"/>
  <c r="Z504" i="13"/>
  <c r="Z803" i="13"/>
  <c r="Z108" i="13"/>
  <c r="Z796" i="13"/>
  <c r="Z49" i="13"/>
  <c r="Z200" i="13"/>
  <c r="Z529" i="13"/>
  <c r="Z3166" i="13"/>
  <c r="Z1293" i="13"/>
  <c r="Z789" i="13"/>
  <c r="Z154" i="13"/>
  <c r="Z275" i="13"/>
  <c r="Z377" i="13"/>
  <c r="Z2472" i="13"/>
  <c r="Z193" i="13"/>
  <c r="Z553" i="13"/>
  <c r="Z3273" i="13"/>
  <c r="Z409" i="13"/>
  <c r="Z690" i="13"/>
  <c r="Z318" i="13"/>
  <c r="Z951" i="13"/>
  <c r="Z298" i="13"/>
  <c r="Z746" i="13"/>
  <c r="Z255" i="13"/>
  <c r="Z3235" i="13"/>
  <c r="Z1946" i="13"/>
  <c r="Z2396" i="13"/>
  <c r="Z1262" i="13"/>
  <c r="Z2609" i="13"/>
  <c r="Z3350" i="13"/>
  <c r="Z615" i="13"/>
  <c r="Z1399" i="13"/>
  <c r="Z954" i="13"/>
  <c r="Z902" i="13"/>
  <c r="Z2503" i="13"/>
  <c r="Z2491" i="13"/>
  <c r="Z2118" i="13"/>
  <c r="Z2519" i="13"/>
  <c r="Z2962" i="13"/>
  <c r="Z3199" i="13"/>
  <c r="Z829" i="13"/>
  <c r="Z403" i="13"/>
  <c r="Z2034" i="13"/>
  <c r="Z3305" i="13"/>
  <c r="Z696" i="13"/>
  <c r="Z3059" i="13"/>
  <c r="Z389" i="13"/>
  <c r="Z1164" i="13"/>
  <c r="Z1136" i="13"/>
  <c r="Z2053" i="13"/>
  <c r="Z1467" i="13"/>
  <c r="Z1768" i="13"/>
  <c r="Z769" i="13"/>
  <c r="Z813" i="13"/>
  <c r="Z35" i="13"/>
  <c r="Z128" i="13"/>
  <c r="Z500" i="13"/>
  <c r="Z3022" i="13"/>
  <c r="Z1941" i="13"/>
  <c r="Z766" i="13"/>
  <c r="Z1387" i="13"/>
  <c r="Z3209" i="13"/>
  <c r="Z857" i="13"/>
  <c r="Z1673" i="13"/>
  <c r="Z1013" i="13"/>
  <c r="Z1070" i="13"/>
  <c r="Z1707" i="13"/>
  <c r="Z771" i="13"/>
  <c r="Z1742" i="13"/>
  <c r="Z1851" i="13"/>
  <c r="Z2619" i="13"/>
  <c r="Z629" i="13"/>
  <c r="Z122" i="13"/>
  <c r="Z3206" i="13"/>
  <c r="Z1503" i="13"/>
  <c r="Z1943" i="13"/>
  <c r="Z2299" i="13"/>
  <c r="Z1694" i="13"/>
  <c r="Z124" i="13"/>
  <c r="Z3178" i="13"/>
  <c r="Z540" i="13"/>
  <c r="Z359" i="13"/>
  <c r="Z712" i="13"/>
  <c r="Z1692" i="13"/>
  <c r="Z874" i="13"/>
  <c r="Z1737" i="13"/>
  <c r="Z1261" i="13"/>
  <c r="Z2794" i="13"/>
  <c r="Z3455" i="13"/>
  <c r="Z1170" i="13"/>
  <c r="Z2170" i="13"/>
  <c r="Z1198" i="13"/>
  <c r="Z1339" i="13"/>
  <c r="Z921" i="13"/>
  <c r="Z46" i="13"/>
  <c r="Z2063" i="13"/>
  <c r="Z2629" i="13"/>
  <c r="Z2908" i="13"/>
  <c r="Z1804" i="13"/>
  <c r="Z1985" i="13"/>
  <c r="Z2993" i="13"/>
  <c r="Z2241" i="13"/>
  <c r="Z2831" i="13"/>
  <c r="Z2785" i="13"/>
  <c r="Z2833" i="13"/>
  <c r="Z3480" i="13"/>
  <c r="Z2419" i="13"/>
  <c r="Z1787" i="13"/>
  <c r="Z2710" i="13"/>
  <c r="Z3072" i="13"/>
  <c r="Z1738" i="13"/>
  <c r="Z2951" i="13"/>
  <c r="Z1735" i="13"/>
  <c r="Z1139" i="13"/>
  <c r="Z847" i="13"/>
  <c r="Z3203" i="13"/>
  <c r="Z1655" i="13"/>
  <c r="Z1413" i="13"/>
  <c r="Z1288" i="13"/>
  <c r="Z1759" i="13"/>
  <c r="Z1032" i="13"/>
  <c r="Z1453" i="13"/>
  <c r="Z819" i="13"/>
  <c r="Z841" i="13"/>
  <c r="Z945" i="13"/>
  <c r="Z2337" i="13"/>
  <c r="Z1866" i="13"/>
  <c r="Z2349" i="13"/>
  <c r="Z406" i="13"/>
  <c r="Z2950" i="13"/>
  <c r="Z270" i="13"/>
  <c r="Z3227" i="13"/>
  <c r="Z2035" i="13"/>
  <c r="Z2225" i="13"/>
  <c r="Z2726" i="13"/>
  <c r="Z3505" i="13"/>
  <c r="Z2209" i="13"/>
  <c r="Z3160" i="13"/>
  <c r="Z3277" i="13"/>
  <c r="Z3403" i="13"/>
  <c r="Z2652" i="13"/>
  <c r="Z518" i="13"/>
  <c r="Z2321" i="13"/>
  <c r="Z3138" i="13"/>
  <c r="Z2683" i="13"/>
  <c r="Z3024" i="13"/>
  <c r="Z100" i="13"/>
  <c r="Z732" i="13"/>
  <c r="Z2600" i="13"/>
  <c r="Z464" i="13"/>
  <c r="Z677" i="13"/>
  <c r="Z2656" i="13"/>
  <c r="Z1806" i="13"/>
  <c r="Z2798" i="13"/>
  <c r="Z1544" i="13"/>
  <c r="Z815" i="13"/>
  <c r="Z338" i="13"/>
  <c r="Z1893" i="13"/>
  <c r="Z1201" i="13"/>
  <c r="Z2179" i="13"/>
  <c r="Z1113" i="13"/>
  <c r="Z434" i="13"/>
  <c r="Z710" i="13"/>
  <c r="Z2705" i="13"/>
  <c r="Z526" i="13"/>
  <c r="Z2945" i="13"/>
  <c r="Z2493" i="13"/>
  <c r="Z3023" i="13"/>
  <c r="Z3409" i="13"/>
  <c r="Z2388" i="13"/>
  <c r="Z1285" i="13"/>
  <c r="Z888" i="13"/>
  <c r="Z388" i="13"/>
  <c r="Z1960" i="13"/>
  <c r="Z175" i="13"/>
  <c r="Z1888" i="13"/>
  <c r="Z1897" i="13"/>
  <c r="Z1667" i="13"/>
  <c r="Z1336" i="13"/>
  <c r="Z2345" i="13"/>
  <c r="Z21" i="13"/>
  <c r="Z1439" i="13"/>
  <c r="Z373" i="13"/>
  <c r="Z2452" i="13"/>
  <c r="Z1103" i="13"/>
  <c r="Z575" i="13"/>
  <c r="Z3299" i="13"/>
  <c r="Z2224" i="13"/>
  <c r="Z2334" i="13"/>
  <c r="Z887" i="13"/>
  <c r="Z2242" i="13"/>
  <c r="Z2040" i="13"/>
  <c r="Z1168" i="13"/>
  <c r="Z3413" i="13"/>
  <c r="Z528" i="13"/>
  <c r="Z113" i="13"/>
  <c r="Z924" i="13"/>
  <c r="Z935" i="13"/>
  <c r="Z340" i="13"/>
  <c r="Z1701" i="13"/>
  <c r="Z3529" i="13"/>
  <c r="Z2372" i="13"/>
  <c r="Z2805" i="13"/>
  <c r="Z1924" i="13"/>
  <c r="Z800" i="13"/>
  <c r="Z463" i="13"/>
  <c r="Z2313" i="13"/>
  <c r="Z476" i="13"/>
  <c r="Z3349" i="13"/>
  <c r="Z1802" i="13"/>
  <c r="Z1656" i="13"/>
  <c r="Z2707" i="13"/>
  <c r="Z1644" i="13"/>
  <c r="Z1484" i="13"/>
  <c r="Z184" i="13"/>
  <c r="Z1711" i="13"/>
  <c r="Z1252" i="13"/>
  <c r="Z33" i="13"/>
  <c r="Z3033" i="13"/>
  <c r="Z2799" i="13"/>
  <c r="Z1292" i="13"/>
  <c r="Z132" i="13"/>
  <c r="Z1912" i="13"/>
  <c r="Z956" i="13"/>
  <c r="Z2686" i="13"/>
  <c r="Z2185" i="13"/>
  <c r="Z1619" i="13"/>
  <c r="Z2765" i="13"/>
  <c r="Z2632" i="13"/>
  <c r="Z140" i="13"/>
  <c r="Z277" i="13"/>
  <c r="Z210" i="13"/>
  <c r="Z1920" i="13"/>
  <c r="Z1256" i="13"/>
  <c r="Z1970" i="13"/>
  <c r="Z201" i="13"/>
  <c r="Z2026" i="13"/>
  <c r="Z2101" i="13"/>
  <c r="Z799" i="13"/>
  <c r="Z1441" i="13"/>
  <c r="Z233" i="13"/>
  <c r="Z1671" i="13"/>
  <c r="Z1398" i="13"/>
  <c r="Z3295" i="13"/>
  <c r="Z2549" i="13"/>
  <c r="Z649" i="13"/>
  <c r="Z301" i="13"/>
  <c r="Z558" i="13"/>
  <c r="Z2469" i="13"/>
  <c r="Z2445" i="13"/>
  <c r="Z38" i="13"/>
  <c r="Z1062" i="13"/>
  <c r="Z2475" i="13"/>
  <c r="Z542" i="13"/>
  <c r="Z499" i="13"/>
  <c r="Z1841" i="13"/>
  <c r="Z2825" i="13"/>
  <c r="Z2718" i="13"/>
  <c r="Z438" i="13"/>
  <c r="Z462" i="13"/>
  <c r="Z3326" i="13"/>
  <c r="Z2344" i="13"/>
  <c r="Z1805" i="13"/>
  <c r="Z1100" i="13"/>
  <c r="Z2041" i="13"/>
  <c r="Z595" i="13"/>
  <c r="Z3317" i="13"/>
  <c r="Z587" i="13"/>
  <c r="Z1744" i="13"/>
  <c r="Z1624" i="13"/>
  <c r="Z2421" i="13"/>
  <c r="Z392" i="13"/>
  <c r="Z1652" i="13"/>
  <c r="Z1129" i="13"/>
  <c r="Z2362" i="13"/>
  <c r="Z1601" i="13"/>
  <c r="Z1379" i="13"/>
  <c r="Z1609" i="13"/>
  <c r="Z23" i="13"/>
  <c r="Z2448" i="13"/>
  <c r="Z2373" i="13"/>
  <c r="Z2501" i="13"/>
  <c r="Z1012" i="13"/>
  <c r="Z927" i="13"/>
  <c r="Z2624" i="13"/>
  <c r="Z1022" i="13"/>
  <c r="Z2285" i="13"/>
  <c r="Z1054" i="13"/>
  <c r="Z879" i="13"/>
  <c r="Z1314" i="13"/>
  <c r="Z2444" i="13"/>
  <c r="Z2534" i="13"/>
  <c r="Z2288" i="13"/>
  <c r="Z2761" i="13"/>
  <c r="Z3439" i="13"/>
  <c r="Z2127" i="13"/>
  <c r="Z3533" i="13"/>
  <c r="Z334" i="13"/>
  <c r="Z3229" i="13"/>
  <c r="Z2970" i="13"/>
  <c r="Z3126" i="13"/>
  <c r="Z1816" i="13"/>
  <c r="Z2008" i="13"/>
  <c r="Z971" i="13"/>
  <c r="Z371" i="13"/>
  <c r="Z152" i="13"/>
  <c r="Z2136" i="13"/>
  <c r="Z2056" i="13"/>
  <c r="Z2436" i="13"/>
  <c r="Z635" i="13"/>
  <c r="Z1332" i="13"/>
  <c r="Z180" i="13"/>
  <c r="Z249" i="13"/>
  <c r="Z65" i="13"/>
  <c r="Z425" i="13"/>
  <c r="Z45" i="13"/>
  <c r="Z969" i="13"/>
  <c r="Z2308" i="13"/>
  <c r="Z479" i="13"/>
  <c r="Z2990" i="13"/>
  <c r="Z905" i="13"/>
  <c r="Z429" i="13"/>
  <c r="Z686" i="13"/>
  <c r="Z2272" i="13"/>
  <c r="Z3363" i="13"/>
  <c r="Z801" i="13"/>
  <c r="Z1721" i="13"/>
  <c r="Z1351" i="13"/>
  <c r="Z2937" i="13"/>
  <c r="Z66" i="13"/>
  <c r="Z3291" i="13"/>
  <c r="Z2875" i="13"/>
  <c r="Z982" i="13"/>
  <c r="Z266" i="13"/>
  <c r="Z818" i="13"/>
  <c r="Z2081" i="13"/>
  <c r="Z1859" i="13"/>
  <c r="Z3115" i="13"/>
  <c r="Z134" i="13"/>
  <c r="Z1762" i="13"/>
  <c r="Z215" i="13"/>
  <c r="Z395" i="13"/>
  <c r="Z3135" i="13"/>
  <c r="Z957" i="13"/>
  <c r="Z2090" i="13"/>
  <c r="Z501" i="13"/>
  <c r="Z2377" i="13"/>
  <c r="Z991" i="13"/>
  <c r="Z692" i="13"/>
  <c r="Z941" i="13"/>
  <c r="Z1002" i="13"/>
  <c r="Z985" i="13"/>
  <c r="Z689" i="13"/>
  <c r="Z534" i="13"/>
  <c r="Z1333" i="13"/>
  <c r="Z963" i="13"/>
  <c r="Z150" i="13"/>
  <c r="Z2223" i="13"/>
  <c r="Z866" i="13"/>
  <c r="Z2583" i="13"/>
  <c r="Z2145" i="13"/>
  <c r="Z1602" i="13"/>
  <c r="Z2395" i="13"/>
  <c r="Z1990" i="13"/>
  <c r="Z1582" i="13"/>
  <c r="Z2904" i="13"/>
  <c r="Z3393" i="13"/>
  <c r="Z3062" i="13"/>
  <c r="Z1410" i="13"/>
  <c r="Z2713" i="13"/>
  <c r="Z1980" i="13"/>
  <c r="Z3116" i="13"/>
  <c r="Z2971" i="13"/>
  <c r="Z2768" i="13"/>
  <c r="Z2648" i="13"/>
  <c r="Z812" i="13"/>
  <c r="Z1572" i="13"/>
  <c r="Z396" i="13"/>
  <c r="Z659" i="13"/>
  <c r="Z139" i="13"/>
  <c r="Z2521" i="13"/>
  <c r="Z1000" i="13"/>
  <c r="Z197" i="13"/>
  <c r="Z2773" i="13"/>
  <c r="Z2112" i="13"/>
  <c r="Z1064" i="13"/>
  <c r="Z834" i="13"/>
  <c r="Z2188" i="13"/>
  <c r="Z244" i="13"/>
  <c r="Z795" i="13"/>
  <c r="Z3525" i="13"/>
  <c r="Z231" i="13"/>
  <c r="Z1251" i="13"/>
  <c r="Z2369" i="13"/>
  <c r="Z2412" i="13"/>
  <c r="Z1215" i="13"/>
  <c r="Z2364" i="13"/>
  <c r="Z1937" i="13"/>
  <c r="Z1958" i="13"/>
  <c r="Z2643" i="13"/>
  <c r="Z3045" i="13"/>
  <c r="Z2856" i="13"/>
  <c r="Z1682" i="13"/>
  <c r="Z1942" i="13"/>
  <c r="Z2571" i="13"/>
  <c r="Z3548" i="13"/>
  <c r="Z2948" i="13"/>
  <c r="Z3181" i="13"/>
  <c r="Z44" i="13"/>
  <c r="Z1324" i="13"/>
  <c r="Z332" i="13"/>
  <c r="Z908" i="13"/>
  <c r="Z313" i="13"/>
  <c r="Z1319" i="13"/>
  <c r="Z67" i="13"/>
  <c r="Z2105" i="13"/>
  <c r="Z805" i="13"/>
  <c r="Z567" i="13"/>
  <c r="Z2837" i="13"/>
  <c r="Z1576" i="13"/>
  <c r="Z1278" i="13"/>
  <c r="Z2949" i="13"/>
  <c r="Z1268" i="13"/>
  <c r="Z322" i="13"/>
  <c r="Z2283" i="13"/>
  <c r="Z306" i="13"/>
  <c r="Z2109" i="13"/>
  <c r="Z3311" i="13"/>
  <c r="Z2235" i="13"/>
  <c r="Z98" i="13"/>
  <c r="Z2199" i="13"/>
  <c r="Z1247" i="13"/>
  <c r="Z2370" i="13"/>
  <c r="Z1877" i="13"/>
  <c r="Z2905" i="13"/>
  <c r="Z823" i="13"/>
  <c r="Z2238" i="13"/>
  <c r="Z103" i="13"/>
  <c r="Z664" i="13"/>
  <c r="Z1833" i="13"/>
  <c r="Z117" i="13"/>
  <c r="Z748" i="13"/>
  <c r="Z2628" i="13"/>
  <c r="Z2894" i="13"/>
  <c r="Z3402" i="13"/>
  <c r="Z701" i="13"/>
  <c r="Z1865" i="13"/>
  <c r="Z1321" i="13"/>
  <c r="Z585" i="13"/>
  <c r="Z1961" i="13"/>
  <c r="Z81" i="13"/>
  <c r="Z2965" i="13"/>
  <c r="Z1628" i="13"/>
  <c r="Z316" i="13"/>
  <c r="Z1040" i="13"/>
  <c r="Z369" i="13"/>
  <c r="Z551" i="13"/>
  <c r="Z2570" i="13"/>
  <c r="Z2520" i="13"/>
  <c r="Z688" i="13"/>
  <c r="Z235" i="13"/>
  <c r="Z1504" i="13"/>
  <c r="Z135" i="13"/>
  <c r="Z3475" i="13"/>
  <c r="Z2058" i="13"/>
  <c r="Z185" i="13"/>
  <c r="Z1677" i="13"/>
  <c r="Z1493" i="13"/>
  <c r="Z1452" i="13"/>
  <c r="Z3145" i="13"/>
  <c r="Z2114" i="13"/>
  <c r="Z1483" i="13"/>
  <c r="Z647" i="13"/>
  <c r="Z1740" i="13"/>
  <c r="Z440" i="13"/>
  <c r="Z280" i="13"/>
  <c r="Z1605" i="13"/>
  <c r="Z2425" i="13"/>
  <c r="Z524" i="13"/>
  <c r="Z883" i="13"/>
  <c r="Z2693" i="13"/>
  <c r="Z149" i="13"/>
  <c r="Z88" i="13"/>
  <c r="Z2722" i="13"/>
  <c r="Z2671" i="13"/>
  <c r="Z527" i="13"/>
  <c r="Z1571" i="13"/>
  <c r="Z980" i="13"/>
  <c r="Z1456" i="13"/>
  <c r="Z2389" i="13"/>
  <c r="Z992" i="13"/>
  <c r="Z472" i="13"/>
  <c r="Z308" i="13"/>
  <c r="Z2392" i="13"/>
  <c r="Z2009" i="13"/>
  <c r="Z1455" i="13"/>
  <c r="Z2762" i="13"/>
  <c r="Z1407" i="13"/>
  <c r="Z1557" i="13"/>
  <c r="Z1664" i="13"/>
  <c r="Z2020" i="13"/>
  <c r="Z1589" i="13"/>
  <c r="Z1429" i="13"/>
  <c r="Z1182" i="13"/>
  <c r="Z174" i="13"/>
  <c r="Z357" i="13"/>
  <c r="Z1318" i="13"/>
  <c r="Z2221" i="13"/>
  <c r="Z1209" i="13"/>
  <c r="Z2657" i="13"/>
  <c r="Z1425" i="13"/>
  <c r="Z3449" i="13"/>
  <c r="Z1839" i="13"/>
  <c r="Z2287" i="13"/>
  <c r="Z3415" i="13"/>
  <c r="Z2858" i="13"/>
  <c r="Z1686" i="13"/>
  <c r="Z998" i="13"/>
  <c r="Z2582" i="13"/>
  <c r="Z3281" i="13"/>
  <c r="Z2614" i="13"/>
  <c r="Z1814" i="13"/>
  <c r="Z644" i="13"/>
  <c r="Z209" i="13"/>
  <c r="Z2046" i="13"/>
  <c r="Z435" i="13"/>
  <c r="Z2194" i="13"/>
  <c r="Z28" i="13"/>
  <c r="Z1159" i="13"/>
  <c r="Z133" i="13"/>
  <c r="Z652" i="13"/>
  <c r="Z624" i="13"/>
  <c r="Z1473" i="13"/>
  <c r="Z3477" i="13"/>
  <c r="Z1512" i="13"/>
  <c r="Z850" i="13"/>
  <c r="Z457" i="13"/>
  <c r="Z2723" i="13"/>
  <c r="Z2823" i="13"/>
  <c r="Z2536" i="13"/>
  <c r="Z2010" i="13"/>
  <c r="Z877" i="13"/>
  <c r="Z254" i="13"/>
  <c r="Z555" i="13"/>
  <c r="Z1279" i="13"/>
  <c r="Z131" i="13"/>
  <c r="Z1161" i="13"/>
  <c r="Z557" i="13"/>
  <c r="Z814" i="13"/>
  <c r="Z3513" i="13"/>
  <c r="Z970" i="13"/>
  <c r="Z550" i="13"/>
  <c r="Z1900" i="13"/>
  <c r="Z2939" i="13"/>
  <c r="Z1878" i="13"/>
  <c r="Z1263" i="13"/>
  <c r="Z1807" i="13"/>
  <c r="Z2003" i="13"/>
  <c r="Z3301" i="13"/>
  <c r="Z1294" i="13"/>
  <c r="Z974" i="13"/>
  <c r="Z2563" i="13"/>
  <c r="Z3527" i="13"/>
  <c r="Z3011" i="13"/>
  <c r="Z1543" i="13"/>
  <c r="Z59" i="13"/>
  <c r="Z3006" i="13"/>
  <c r="Z1817" i="13"/>
  <c r="Z2835" i="13"/>
  <c r="Z1764" i="13"/>
  <c r="Z2154" i="13"/>
  <c r="Z1093" i="13"/>
  <c r="Z2574" i="13"/>
  <c r="Z97" i="13"/>
  <c r="Z1130" i="13"/>
  <c r="Z983" i="13"/>
  <c r="Z1008" i="13"/>
  <c r="Z3454" i="13"/>
  <c r="Z530" i="13"/>
  <c r="Z473" i="13"/>
  <c r="Z613" i="13"/>
  <c r="Z993" i="13"/>
  <c r="Z402" i="13"/>
  <c r="Z1337" i="13"/>
  <c r="Z3205" i="13"/>
  <c r="Z25" i="13"/>
  <c r="Z1320" i="13"/>
  <c r="Z949" i="13"/>
  <c r="Z650" i="13"/>
  <c r="Z3247" i="13"/>
  <c r="Z2787" i="13"/>
  <c r="Z2634" i="13"/>
  <c r="Z1018" i="13"/>
  <c r="Z1172" i="13"/>
  <c r="Z700" i="13"/>
  <c r="Z2878" i="13"/>
  <c r="Z716" i="13"/>
  <c r="Z1188" i="13"/>
  <c r="Z3422" i="13"/>
  <c r="Z228" i="13"/>
  <c r="Z3417" i="13"/>
  <c r="Z147" i="13"/>
  <c r="Z2734" i="13"/>
  <c r="Z288" i="13"/>
  <c r="Z571" i="13"/>
  <c r="Z1400" i="13"/>
  <c r="Z727" i="13"/>
  <c r="Z3050" i="13"/>
  <c r="Z1132" i="13"/>
  <c r="Z1604" i="13"/>
  <c r="Z731" i="13"/>
  <c r="Z1480" i="13"/>
  <c r="Z1395" i="13"/>
  <c r="Z780" i="13"/>
  <c r="Z961" i="13"/>
  <c r="Z1050" i="13"/>
  <c r="Z2424" i="13"/>
  <c r="Z2260" i="13"/>
  <c r="Z1259" i="13"/>
  <c r="Z560" i="13"/>
  <c r="Z637" i="13"/>
  <c r="Z1669" i="13"/>
  <c r="Z1789" i="13"/>
  <c r="Z1577" i="13"/>
  <c r="Z788" i="13"/>
  <c r="Z3509" i="13"/>
  <c r="Z323" i="13"/>
  <c r="Z827" i="13"/>
  <c r="Z284" i="13"/>
  <c r="Z1913" i="13"/>
  <c r="Z1733" i="13"/>
  <c r="Z1376" i="13"/>
  <c r="Z1197" i="13"/>
  <c r="Z3054" i="13"/>
  <c r="Z691" i="13"/>
  <c r="Z2974" i="13"/>
  <c r="Z1153" i="13"/>
  <c r="Z922" i="13"/>
  <c r="Z1890" i="13"/>
  <c r="Z735" i="13"/>
  <c r="Z269" i="13"/>
  <c r="Z574" i="13"/>
  <c r="Z1889" i="13"/>
  <c r="Z750" i="13"/>
  <c r="Z2531" i="13"/>
  <c r="Z1681" i="13"/>
  <c r="Z603" i="13"/>
  <c r="Z2267" i="13"/>
  <c r="Z3270" i="13"/>
  <c r="Z2047" i="13"/>
  <c r="Z407" i="13"/>
  <c r="Z120" i="13"/>
  <c r="Z784" i="13"/>
  <c r="Z1982" i="13"/>
  <c r="Z2958" i="13"/>
  <c r="Z820" i="13"/>
  <c r="Z2995" i="13"/>
  <c r="Z199" i="13"/>
  <c r="Z83" i="13"/>
  <c r="Z611" i="13"/>
  <c r="Z2714" i="13"/>
  <c r="Z385" i="13"/>
  <c r="Z1081" i="13"/>
  <c r="Z1599" i="13"/>
  <c r="Z1693" i="13"/>
  <c r="Z1465" i="13"/>
  <c r="Z102" i="13"/>
  <c r="Z1397" i="13"/>
  <c r="Z374" i="13"/>
  <c r="Z1951" i="13"/>
  <c r="Z1842" i="13"/>
  <c r="Z142" i="13"/>
  <c r="Z1110" i="13"/>
  <c r="Z2391" i="13"/>
  <c r="Z2443" i="13"/>
  <c r="Z683" i="13"/>
  <c r="Z1016" i="13"/>
  <c r="Z895" i="13"/>
  <c r="Z1355" i="13"/>
  <c r="Z1945" i="13"/>
  <c r="Z415" i="13"/>
  <c r="Z1813" i="13"/>
  <c r="Z2165" i="13"/>
  <c r="Z1641" i="13"/>
  <c r="Z3274" i="13"/>
  <c r="Z2338" i="13"/>
  <c r="Z381" i="13"/>
  <c r="Z1305" i="13"/>
  <c r="Z2901" i="13"/>
  <c r="Z1685" i="13"/>
  <c r="Z1689" i="13"/>
  <c r="Z399" i="13"/>
  <c r="Z2669" i="13"/>
  <c r="Z2524" i="13"/>
  <c r="Z1370" i="13"/>
  <c r="Z202" i="13"/>
  <c r="Z382" i="13"/>
  <c r="Z398" i="13"/>
  <c r="Z3014" i="13"/>
  <c r="Z1206" i="13"/>
  <c r="Z2467" i="13"/>
  <c r="Z3390" i="13"/>
  <c r="Z1060" i="13"/>
  <c r="Z452" i="13"/>
  <c r="Z2612" i="13"/>
  <c r="Z1317" i="13"/>
  <c r="Z741" i="13"/>
  <c r="Z1160" i="13"/>
  <c r="Z1517" i="13"/>
  <c r="Z2410" i="13"/>
  <c r="Z1406" i="13"/>
  <c r="Z2024" i="13"/>
  <c r="Z2384" i="13"/>
  <c r="Z1491" i="13"/>
  <c r="Z1843" i="13"/>
  <c r="Z3343" i="13"/>
  <c r="Z1818" i="13"/>
  <c r="Z2022" i="13"/>
  <c r="Z1250" i="13"/>
  <c r="Z3531" i="13"/>
  <c r="Z2577" i="13"/>
  <c r="Z3522" i="13"/>
  <c r="Z3325" i="13"/>
  <c r="Z3483" i="13"/>
  <c r="Z3143" i="13"/>
  <c r="Z3096" i="13"/>
  <c r="Z331" i="13"/>
  <c r="Z408" i="13"/>
  <c r="Z283" i="13"/>
  <c r="Z362" i="13"/>
  <c r="Z2432" i="13"/>
  <c r="Z3310" i="13"/>
  <c r="Z367" i="13"/>
  <c r="Z1309" i="13"/>
  <c r="Z2336" i="13"/>
  <c r="Z1781" i="13"/>
  <c r="Z1216" i="13"/>
  <c r="Z2565" i="13"/>
  <c r="Z1241" i="13"/>
  <c r="Z350" i="13"/>
  <c r="Z2598" i="13"/>
  <c r="Z3321" i="13"/>
  <c r="Z2102" i="13"/>
  <c r="Z2365" i="13"/>
  <c r="Z2844" i="13"/>
  <c r="Z3276" i="13"/>
  <c r="Z3266" i="13"/>
  <c r="Z2690" i="13"/>
  <c r="Z3057" i="13"/>
  <c r="Z2776" i="13"/>
  <c r="Z3316" i="13"/>
  <c r="Z1596" i="13"/>
  <c r="Z337" i="13"/>
  <c r="Z3113" i="13"/>
  <c r="Z1616" i="13"/>
  <c r="Z2133" i="13"/>
  <c r="Z1882" i="13"/>
  <c r="Z755" i="13"/>
  <c r="Z1184" i="13"/>
  <c r="Z1524" i="13"/>
  <c r="Z3498" i="13"/>
  <c r="Z162" i="13"/>
  <c r="Z3038" i="13"/>
  <c r="Z1361" i="13"/>
  <c r="Z2092" i="13"/>
  <c r="Z3131" i="13"/>
  <c r="Z562" i="13"/>
  <c r="Z2589" i="13"/>
  <c r="Z3074" i="13"/>
  <c r="Z3053" i="13"/>
  <c r="Z3356" i="13"/>
  <c r="Z2792" i="13"/>
  <c r="Z3329" i="13"/>
  <c r="Z2659" i="13"/>
  <c r="Z1927" i="13"/>
  <c r="Z2918" i="13"/>
  <c r="Z3108" i="13"/>
  <c r="Z3425" i="13"/>
  <c r="Z3165" i="13"/>
  <c r="Z3488" i="13"/>
  <c r="Z2312" i="13"/>
  <c r="Z3497" i="13"/>
  <c r="Z2670" i="13"/>
  <c r="Z3039" i="13"/>
  <c r="Z116" i="13"/>
  <c r="Z648" i="13"/>
  <c r="Z1731" i="13"/>
  <c r="Z3331" i="13"/>
  <c r="Z2695" i="13"/>
  <c r="Z1073" i="13"/>
  <c r="Z346" i="13"/>
  <c r="Z2910" i="13"/>
  <c r="Z706" i="13"/>
  <c r="Z2268" i="13"/>
  <c r="Z1690" i="13"/>
  <c r="Z3190" i="13"/>
  <c r="Z2507" i="13"/>
  <c r="Z1795" i="13"/>
  <c r="Z3373" i="13"/>
  <c r="Z3380" i="13"/>
  <c r="Z2840" i="13"/>
  <c r="Z376" i="13"/>
  <c r="Z2610" i="13"/>
  <c r="Z1592" i="13"/>
  <c r="Z484" i="13"/>
  <c r="Z937" i="13"/>
  <c r="Z851" i="13"/>
  <c r="Z1898" i="13"/>
  <c r="Z431" i="13"/>
  <c r="Z2353" i="13"/>
  <c r="Z3214" i="13"/>
  <c r="Z1126" i="13"/>
  <c r="Z2566" i="13"/>
  <c r="Z2795" i="13"/>
  <c r="Z2845" i="13"/>
  <c r="Z2541" i="13"/>
  <c r="Z3307" i="13"/>
  <c r="Z3493" i="13"/>
  <c r="Z3064" i="13"/>
  <c r="Z1666" i="13"/>
  <c r="Z2828" i="13"/>
  <c r="Z3052" i="13"/>
  <c r="Z1775" i="13"/>
  <c r="Z468" i="13"/>
  <c r="Z2073" i="13"/>
  <c r="Z596" i="13"/>
  <c r="Z1581" i="13"/>
  <c r="Z749" i="13"/>
  <c r="Z1071" i="13"/>
  <c r="Z666" i="13"/>
  <c r="Z734" i="13"/>
  <c r="Z485" i="13"/>
  <c r="Z1826" i="13"/>
  <c r="Z2397" i="13"/>
  <c r="Z811" i="13"/>
  <c r="Z1028" i="13"/>
  <c r="Z2258" i="13"/>
  <c r="Z1729" i="13"/>
  <c r="Z538" i="13"/>
  <c r="Z2478" i="13"/>
  <c r="Z573" i="13"/>
  <c r="Z1645" i="13"/>
  <c r="Z1593" i="13"/>
  <c r="Z1185" i="13"/>
  <c r="Z2218" i="13"/>
  <c r="Z1501" i="13"/>
  <c r="Z3466" i="13"/>
  <c r="Z19" i="13"/>
  <c r="Z2781" i="13"/>
  <c r="Z638" i="13"/>
  <c r="Z2071" i="13"/>
  <c r="Z1659" i="13"/>
  <c r="Z3255" i="13"/>
  <c r="Z3431" i="13"/>
  <c r="Z3360" i="13"/>
  <c r="Z1948" i="13"/>
  <c r="Z3222" i="13"/>
  <c r="Z260" i="13"/>
  <c r="Z1832" i="13"/>
  <c r="Z2947" i="13"/>
  <c r="Z1408" i="13"/>
  <c r="Z2163" i="13"/>
  <c r="Z171" i="13"/>
  <c r="Z70" i="13"/>
  <c r="Z785" i="13"/>
  <c r="Z2060" i="13"/>
  <c r="Z3084" i="13"/>
  <c r="Z2721" i="13"/>
  <c r="Z2636" i="13"/>
  <c r="Z3020" i="13"/>
  <c r="Z1077" i="13"/>
  <c r="Z3271" i="13"/>
  <c r="Z3013" i="13"/>
  <c r="Z2920" i="13"/>
  <c r="Z2936" i="13"/>
  <c r="Z2542" i="13"/>
  <c r="Z441" i="13"/>
  <c r="Z2642" i="13"/>
  <c r="Z642" i="13"/>
  <c r="Z1154" i="13"/>
  <c r="Z2797" i="13"/>
  <c r="Z1899" i="13"/>
  <c r="Z2820" i="13"/>
  <c r="Z2889" i="13"/>
  <c r="Z3272" i="13"/>
  <c r="Z1587" i="13"/>
  <c r="Z3288" i="13"/>
  <c r="Z3240" i="13"/>
  <c r="Z1356" i="13"/>
  <c r="Z72" i="13"/>
  <c r="Z2036" i="13"/>
  <c r="Z219" i="13"/>
  <c r="Z2245" i="13"/>
  <c r="Z630" i="13"/>
  <c r="Z862" i="13"/>
  <c r="Z3435" i="13"/>
  <c r="Z1035" i="13"/>
  <c r="Z273" i="13"/>
  <c r="Z3225" i="13"/>
  <c r="Z2617" i="13"/>
  <c r="Z2413" i="13"/>
  <c r="Z1114" i="13"/>
  <c r="Z2156" i="13"/>
  <c r="Z798" i="13"/>
  <c r="Z2087" i="13"/>
  <c r="Z2696" i="13"/>
  <c r="Z3224" i="13"/>
  <c r="Z2829" i="13"/>
  <c r="Z478" i="13"/>
  <c r="Z2076" i="13"/>
  <c r="Z3404" i="13"/>
  <c r="Z3515" i="13"/>
  <c r="Z137" i="13"/>
  <c r="Z2604" i="13"/>
  <c r="Z1450" i="13"/>
  <c r="Z3111" i="13"/>
  <c r="Z2279" i="13"/>
  <c r="Z600" i="13"/>
  <c r="Z1697" i="13"/>
  <c r="Z237" i="13"/>
  <c r="Z2236" i="13"/>
  <c r="Z3012" i="13"/>
  <c r="Z420" i="13"/>
  <c r="Z1119" i="13"/>
  <c r="Z3354" i="13"/>
  <c r="Z918" i="13"/>
  <c r="Z1187" i="13"/>
  <c r="Z2132" i="13"/>
  <c r="Z1854" i="13"/>
  <c r="Z1748" i="13"/>
  <c r="Z460" i="13"/>
  <c r="Z2786" i="13"/>
  <c r="Z2584" i="13"/>
  <c r="Z1539" i="13"/>
  <c r="Z1200" i="13"/>
  <c r="Z491" i="13"/>
  <c r="Z2791" i="13"/>
  <c r="Z2601" i="13"/>
  <c r="Z3434" i="13"/>
  <c r="Z773" i="13"/>
  <c r="Z1432" i="13"/>
  <c r="Z2580" i="13"/>
  <c r="Z876" i="13"/>
  <c r="Z1772" i="13"/>
  <c r="Z2232" i="13"/>
  <c r="Z1800" i="13"/>
  <c r="Z515" i="13"/>
  <c r="Z1520" i="13"/>
  <c r="Z307" i="13"/>
  <c r="Z764" i="13"/>
  <c r="Z1412" i="13"/>
  <c r="Z1680" i="13"/>
  <c r="Z1627" i="13"/>
  <c r="Z304" i="13"/>
  <c r="Z2264" i="13"/>
  <c r="Z1477" i="13"/>
  <c r="Z1004" i="13"/>
  <c r="Z3353" i="13"/>
  <c r="Z1148" i="13"/>
  <c r="Z3242" i="13"/>
  <c r="Z2201" i="13"/>
  <c r="Z2398" i="13"/>
  <c r="Z880" i="13"/>
  <c r="Z3263" i="13"/>
  <c r="Z781" i="13"/>
  <c r="Z317" i="13"/>
  <c r="Z519" i="13"/>
  <c r="Z1696" i="13"/>
  <c r="Z667" i="13"/>
  <c r="Z2152" i="13"/>
  <c r="Z793" i="13"/>
  <c r="Z2123" i="13"/>
  <c r="Z141" i="13"/>
  <c r="Z1177" i="13"/>
  <c r="Z2674" i="13"/>
  <c r="Z214" i="13"/>
  <c r="Z2637" i="13"/>
  <c r="Z1863" i="13"/>
  <c r="Z606" i="13"/>
  <c r="Z2381" i="13"/>
  <c r="Z2789" i="13"/>
  <c r="Z3462" i="13"/>
  <c r="Z3185" i="13"/>
  <c r="Z2942" i="13"/>
  <c r="Z1029" i="13"/>
  <c r="Z3486" i="13"/>
  <c r="Z447" i="13"/>
  <c r="Z1868" i="13"/>
  <c r="Z2233" i="13"/>
  <c r="Z3251" i="13"/>
  <c r="Z1765" i="13"/>
  <c r="Z2274" i="13"/>
  <c r="Z2633" i="13"/>
  <c r="Z101" i="13"/>
  <c r="Z64" i="13"/>
  <c r="Z903" i="13"/>
  <c r="Z1125" i="13"/>
  <c r="Z832" i="13"/>
  <c r="Z138" i="13"/>
  <c r="Z3427" i="13"/>
  <c r="Z1034" i="13"/>
  <c r="Z3121" i="13"/>
  <c r="Z1722" i="13"/>
  <c r="Z1090" i="13"/>
  <c r="Z2059" i="13"/>
  <c r="Z1330" i="13"/>
  <c r="Z2508" i="13"/>
  <c r="Z3330" i="13"/>
  <c r="Z1643" i="13"/>
  <c r="Z1003" i="13"/>
  <c r="Z3294" i="13"/>
  <c r="Z1603" i="13"/>
  <c r="Z456" i="13"/>
  <c r="Z145" i="13"/>
  <c r="Z809" i="13"/>
  <c r="Z339" i="13"/>
  <c r="Z520" i="13"/>
  <c r="Z541" i="13"/>
  <c r="Z2618" i="13"/>
  <c r="Z1810" i="13"/>
  <c r="Z1938" i="13"/>
  <c r="Z3226" i="13"/>
  <c r="Z1366" i="13"/>
  <c r="Z586" i="13"/>
  <c r="Z418" i="13"/>
  <c r="Z2301" i="13"/>
  <c r="Z2877" i="13"/>
  <c r="Z2375" i="13"/>
  <c r="Z639" i="13"/>
  <c r="Z1145" i="13"/>
  <c r="Z2230" i="13"/>
  <c r="Z3164" i="13"/>
  <c r="Z2431" i="13"/>
  <c r="Z2691" i="13"/>
  <c r="Z1528" i="13"/>
  <c r="Z3253" i="13"/>
  <c r="Z901" i="13"/>
  <c r="Z305" i="13"/>
  <c r="Z2477" i="13"/>
  <c r="Z2871" i="13"/>
  <c r="Z160" i="13"/>
  <c r="Z1761" i="13"/>
  <c r="Z2873" i="13"/>
  <c r="Z314" i="13"/>
  <c r="Z129" i="13"/>
  <c r="Z498" i="13"/>
  <c r="Z546" i="13"/>
  <c r="Z2383" i="13"/>
  <c r="Z1226" i="13"/>
  <c r="Z290" i="13"/>
  <c r="Z3405" i="13"/>
  <c r="Z3035" i="13"/>
  <c r="Z3208" i="13"/>
  <c r="Z2651" i="13"/>
  <c r="Z3453" i="13"/>
  <c r="Z718" i="13"/>
  <c r="Z2989" i="13"/>
  <c r="Z2912" i="13"/>
  <c r="Z2916" i="13"/>
  <c r="Z2644" i="13"/>
  <c r="Z2985" i="13"/>
  <c r="Z1917" i="13"/>
  <c r="Z2360" i="13"/>
  <c r="Z864" i="13"/>
  <c r="Z2405" i="13"/>
  <c r="Z891" i="13"/>
  <c r="Z1509" i="13"/>
  <c r="Z929" i="13"/>
  <c r="Z394" i="13"/>
  <c r="Z2830" i="13"/>
  <c r="Z2000" i="13"/>
  <c r="Z1167" i="13"/>
  <c r="Z3546" i="13"/>
  <c r="Z3428" i="13"/>
  <c r="Z1777" i="13"/>
  <c r="Z2874" i="13"/>
  <c r="Z3077" i="13"/>
  <c r="Z2039" i="13"/>
  <c r="Z3512" i="13"/>
  <c r="Z2983" i="13"/>
  <c r="Z2278" i="13"/>
  <c r="Z2075" i="13"/>
  <c r="Z3328" i="13"/>
  <c r="Z2672" i="13"/>
  <c r="Z695" i="13"/>
  <c r="Z1976" i="13"/>
  <c r="Z427" i="13"/>
  <c r="Z2590" i="13"/>
  <c r="Z236" i="13"/>
  <c r="Z3487" i="13"/>
  <c r="Z221" i="13"/>
  <c r="Z2717" i="13"/>
  <c r="Z2005" i="13"/>
  <c r="Z375" i="13"/>
  <c r="Z2262" i="13"/>
  <c r="Z153" i="13"/>
  <c r="Z62" i="13"/>
  <c r="Z2646" i="13"/>
  <c r="Z2593" i="13"/>
  <c r="Z1653" i="13"/>
  <c r="Z2305" i="13"/>
  <c r="Z2204" i="13"/>
  <c r="Z3269" i="13"/>
  <c r="Z2295" i="13"/>
  <c r="Z3344" i="13"/>
  <c r="Z3275" i="13"/>
  <c r="Z3058" i="13"/>
  <c r="Z3130" i="13"/>
  <c r="Z3265" i="13"/>
  <c r="Z3188" i="13"/>
  <c r="Z2872" i="13"/>
  <c r="Z2928" i="13"/>
  <c r="Z1901" i="13"/>
  <c r="Z2813" i="13"/>
  <c r="Z212" i="13"/>
  <c r="Z3289" i="13"/>
  <c r="Z352" i="13"/>
  <c r="Z679" i="13"/>
  <c r="Z505" i="13"/>
  <c r="Z1637" i="13"/>
  <c r="Z1457" i="13"/>
  <c r="Z863" i="13"/>
  <c r="Z2269" i="13"/>
  <c r="Z1551" i="13"/>
  <c r="Z1798" i="13"/>
  <c r="Z1570" i="13"/>
  <c r="Z1538" i="13"/>
  <c r="Z3547" i="13"/>
  <c r="Z3248" i="13"/>
  <c r="Z2796" i="13"/>
  <c r="Z3217" i="13"/>
  <c r="Z1174" i="13"/>
  <c r="Z3472" i="13"/>
  <c r="Z3244" i="13"/>
  <c r="Z1583" i="13"/>
  <c r="Z952" i="13"/>
  <c r="Z344" i="13"/>
  <c r="Z2474" i="13"/>
  <c r="Z713" i="13"/>
  <c r="Z107" i="13"/>
  <c r="Z3534" i="13"/>
  <c r="Z42" i="13"/>
  <c r="Z1097" i="13"/>
  <c r="Z2738" i="13"/>
  <c r="Z1141" i="13"/>
  <c r="Z1038" i="13"/>
  <c r="Z3161" i="13"/>
  <c r="Z910" i="13"/>
  <c r="Z1835" i="13"/>
  <c r="Z2854" i="13"/>
  <c r="Z2724" i="13"/>
  <c r="Z78" i="13"/>
  <c r="Z1791" i="13"/>
  <c r="Z3410" i="13"/>
  <c r="Z3140" i="13"/>
  <c r="Z2807" i="13"/>
  <c r="Z724" i="13"/>
  <c r="Z2400" i="13"/>
  <c r="Z668" i="13"/>
  <c r="Z1977" i="13"/>
  <c r="Z775" i="13"/>
  <c r="Z896" i="13"/>
  <c r="Z1088" i="13"/>
  <c r="Z942" i="13"/>
  <c r="Z745" i="13"/>
  <c r="Z2012" i="13"/>
  <c r="Z1094" i="13"/>
  <c r="Z3443" i="13"/>
  <c r="Z2329" i="13"/>
  <c r="Z1220" i="13"/>
  <c r="Z2505" i="13"/>
  <c r="Z2883" i="13"/>
  <c r="Z2277" i="13"/>
  <c r="Z884" i="13"/>
  <c r="Z1683" i="13"/>
  <c r="Z977" i="13"/>
  <c r="Z723" i="13"/>
  <c r="Z916" i="13"/>
  <c r="Z3370" i="13"/>
  <c r="Z3283" i="13"/>
  <c r="Z583" i="13"/>
  <c r="Z632" i="13"/>
  <c r="Z2174" i="13"/>
  <c r="Z1236" i="13"/>
  <c r="Z643" i="13"/>
  <c r="Z2210" i="13"/>
  <c r="Z2898" i="13"/>
  <c r="Z336" i="13"/>
  <c r="Z2016" i="13"/>
  <c r="Z2408" i="13"/>
  <c r="Z1668" i="13"/>
  <c r="Z1424" i="13"/>
  <c r="Z3027" i="13"/>
  <c r="Z3519" i="13"/>
  <c r="Z1176" i="13"/>
  <c r="Z2164" i="13"/>
  <c r="Z401" i="13"/>
  <c r="Z2322" i="13"/>
  <c r="Z947" i="13"/>
  <c r="Z2548" i="13"/>
  <c r="Z776" i="13"/>
  <c r="Z2504" i="13"/>
  <c r="Z1651" i="13"/>
  <c r="Z684" i="13"/>
  <c r="Z2158" i="13"/>
  <c r="Z539" i="13"/>
  <c r="Z1231" i="13"/>
  <c r="Z2685" i="13"/>
  <c r="Z1880" i="13"/>
  <c r="Z3347" i="13"/>
  <c r="Z1360" i="13"/>
  <c r="Z1790" i="13"/>
  <c r="Z1756" i="13"/>
  <c r="Z1291" i="13"/>
  <c r="Z2048" i="13"/>
  <c r="Z2986" i="13"/>
  <c r="Z2212" i="13"/>
  <c r="Z3551" i="13"/>
  <c r="Z1411" i="13"/>
  <c r="Z1716" i="13"/>
  <c r="Z763" i="13"/>
  <c r="Z1385" i="13"/>
  <c r="Z938" i="13"/>
  <c r="Z55" i="13"/>
  <c r="Z966" i="13"/>
  <c r="Z759" i="13"/>
  <c r="Z1179" i="13"/>
  <c r="Z2326" i="13"/>
  <c r="Z2017" i="13"/>
  <c r="Z1478" i="13"/>
  <c r="Z3009" i="13"/>
  <c r="Z2077" i="13"/>
  <c r="Z2623" i="13"/>
  <c r="Z3430" i="13"/>
  <c r="Z2675" i="13"/>
  <c r="Z1853" i="13"/>
  <c r="Z60" i="13"/>
  <c r="Z932" i="13"/>
  <c r="Z1828" i="13"/>
  <c r="Z995" i="13"/>
  <c r="Z708" i="13"/>
  <c r="Z1245" i="13"/>
  <c r="Z2072" i="13"/>
  <c r="Z1536" i="13"/>
  <c r="Z1471" i="13"/>
  <c r="Z1934" i="13"/>
  <c r="Z2757" i="13"/>
  <c r="Z2681" i="13"/>
  <c r="Z754" i="13"/>
  <c r="Z1347" i="13"/>
  <c r="Z1741" i="13"/>
  <c r="Z1766" i="13"/>
  <c r="Z1989" i="13"/>
  <c r="Z858" i="13"/>
  <c r="Z2011" i="13"/>
  <c r="Z2929" i="13"/>
  <c r="Z633" i="13"/>
  <c r="Z1910" i="13"/>
  <c r="Z2335" i="13"/>
  <c r="Z262" i="13"/>
  <c r="Z3223" i="13"/>
  <c r="Z988" i="13"/>
  <c r="Z300" i="13"/>
  <c r="Z2281" i="13"/>
  <c r="Z1636" i="13"/>
  <c r="Z289" i="13"/>
  <c r="Z211" i="13"/>
  <c r="Z1838" i="13"/>
  <c r="Z1079" i="13"/>
  <c r="Z1117" i="13"/>
  <c r="Z123" i="13"/>
  <c r="Z1341" i="13"/>
  <c r="Z2162" i="13"/>
  <c r="Z1240" i="13"/>
  <c r="Z1189" i="13"/>
  <c r="Z852" i="13"/>
  <c r="Z2660" i="13"/>
  <c r="Z828" i="13"/>
  <c r="Z507" i="13"/>
  <c r="Z1886" i="13"/>
  <c r="Z607" i="13"/>
  <c r="Z179" i="13"/>
  <c r="Z848" i="13"/>
  <c r="Z1069" i="13"/>
  <c r="Z251" i="13"/>
  <c r="Z1340" i="13"/>
  <c r="Z1552" i="13"/>
  <c r="Z492" i="13"/>
  <c r="Z2357" i="13"/>
  <c r="Z964" i="13"/>
  <c r="Z1095" i="13"/>
  <c r="Z2783" i="13"/>
  <c r="Z3061" i="13"/>
  <c r="Z2066" i="13"/>
  <c r="Z2021" i="13"/>
  <c r="Z2578" i="13"/>
  <c r="Z1446" i="13"/>
  <c r="Z2698" i="13"/>
  <c r="Z2067" i="13"/>
  <c r="Z3470" i="13"/>
  <c r="Z2426" i="13"/>
  <c r="Z1836" i="13"/>
  <c r="Z2471" i="13"/>
  <c r="Z2205" i="13"/>
  <c r="Z1873" i="13"/>
  <c r="Z2302" i="13"/>
  <c r="Z1127" i="13"/>
  <c r="Z51" i="13"/>
  <c r="Z3374" i="13"/>
  <c r="Z1312" i="13"/>
  <c r="Z1315" i="13"/>
  <c r="Z1966" i="13"/>
  <c r="Z274" i="13"/>
  <c r="Z430" i="13"/>
  <c r="Z808" i="13"/>
  <c r="Z1907" i="13"/>
  <c r="Z975" i="13"/>
  <c r="Z726" i="13"/>
  <c r="Z1218" i="13"/>
  <c r="Z2774" i="13"/>
  <c r="Z2897" i="13"/>
  <c r="Z1801" i="13"/>
  <c r="Z1612" i="13"/>
  <c r="Z561" i="13"/>
  <c r="Z2414" i="13"/>
  <c r="Z1824" i="13"/>
  <c r="Z544" i="13"/>
  <c r="Z2276" i="13"/>
  <c r="Z1334" i="13"/>
  <c r="Z3107" i="13"/>
  <c r="Z2121" i="13"/>
  <c r="Z715" i="13"/>
  <c r="Z358" i="13"/>
  <c r="Z194" i="13"/>
  <c r="Z3066" i="13"/>
  <c r="Z3406" i="13"/>
  <c r="Z2486" i="13"/>
  <c r="Z1754" i="13"/>
  <c r="Z3398" i="13"/>
  <c r="Z2638" i="13"/>
  <c r="Z2914" i="13"/>
  <c r="Z1335" i="13"/>
  <c r="Z417" i="13"/>
  <c r="Z577" i="13"/>
  <c r="Z543" i="13"/>
  <c r="Z1173" i="13"/>
  <c r="Z1233" i="13"/>
  <c r="Z897" i="13"/>
  <c r="Z2070" i="13"/>
  <c r="Z2358" i="13"/>
  <c r="Z1239" i="13"/>
  <c r="Z1963" i="13"/>
  <c r="Z2716" i="13"/>
  <c r="Z3037" i="13"/>
  <c r="Z3212" i="13"/>
  <c r="Z2940" i="13"/>
  <c r="Z3452" i="13"/>
  <c r="Z2804" i="13"/>
  <c r="Z444" i="13"/>
  <c r="Z1052" i="13"/>
  <c r="Z563" i="13"/>
  <c r="Z584" i="13"/>
  <c r="Z3459" i="13"/>
  <c r="Z1449" i="13"/>
  <c r="Z1258" i="13"/>
  <c r="Z770" i="13"/>
  <c r="Z1715" i="13"/>
  <c r="Z302" i="13"/>
  <c r="Z3150" i="13"/>
  <c r="Z1542" i="13"/>
  <c r="Z2166" i="13"/>
  <c r="Z2461" i="13"/>
  <c r="Z3467" i="13"/>
  <c r="Z3312" i="13"/>
  <c r="Z3152" i="13"/>
  <c r="Z2676" i="13"/>
  <c r="Z2065" i="13"/>
  <c r="Z1468" i="13"/>
  <c r="Z204" i="13"/>
  <c r="Z3187" i="13"/>
  <c r="Z840" i="13"/>
  <c r="Z3385" i="13"/>
  <c r="Z3017" i="13"/>
  <c r="Z594" i="13"/>
  <c r="Z906" i="13"/>
  <c r="Z673" i="13"/>
  <c r="Z1374" i="13"/>
  <c r="Z1986" i="13"/>
  <c r="Z2215" i="13"/>
  <c r="Z2051" i="13"/>
  <c r="Z1969" i="13"/>
  <c r="Z2641" i="13"/>
  <c r="Z3026" i="13"/>
  <c r="Z2752" i="13"/>
  <c r="Z2332" i="13"/>
  <c r="Z2991" i="13"/>
  <c r="Z3508" i="13"/>
  <c r="Z3236" i="13"/>
  <c r="Z1011" i="13"/>
  <c r="Z1115" i="13"/>
  <c r="Z1607" i="13"/>
  <c r="Z2489" i="13"/>
  <c r="Z2148" i="13"/>
  <c r="Z2138" i="13"/>
  <c r="Z675" i="13"/>
  <c r="Z3177" i="13"/>
  <c r="Z386" i="13"/>
  <c r="Z2523" i="13"/>
  <c r="Z2291" i="13"/>
  <c r="Z3473" i="13"/>
  <c r="Z3479" i="13"/>
  <c r="Z3517" i="13"/>
  <c r="Z2502" i="13"/>
  <c r="Z1522" i="13"/>
  <c r="Z1459" i="13"/>
  <c r="Z2409" i="13"/>
  <c r="Z224" i="13"/>
  <c r="Z3097" i="13"/>
  <c r="Z2885" i="13"/>
  <c r="Z3118" i="13"/>
  <c r="Z1635" i="13"/>
  <c r="Z1109" i="13"/>
  <c r="Z1923" i="13"/>
  <c r="Z3067" i="13"/>
  <c r="Z86" i="13"/>
  <c r="Z1326" i="13"/>
  <c r="Z3124" i="13"/>
  <c r="Z2896" i="13"/>
  <c r="Z1394" i="13"/>
  <c r="Z2435" i="13"/>
  <c r="Z2386" i="13"/>
  <c r="Z535" i="13"/>
  <c r="Z480" i="13"/>
  <c r="Z1087" i="13"/>
  <c r="Z619" i="13"/>
  <c r="Z448" i="13"/>
  <c r="Z721" i="13"/>
  <c r="Z665" i="13"/>
  <c r="Z2182" i="13"/>
  <c r="Z2667" i="13"/>
  <c r="Z1048" i="13"/>
  <c r="Z1368" i="13"/>
  <c r="Z1047" i="13"/>
  <c r="Z2261" i="13"/>
  <c r="Z130" i="13"/>
  <c r="Z474" i="13"/>
  <c r="Z1769" i="13"/>
  <c r="Z2382" i="13"/>
  <c r="Z2018" i="13"/>
  <c r="Z1808" i="13"/>
  <c r="Z1267" i="13"/>
  <c r="Z2640" i="13"/>
  <c r="Z2575" i="13"/>
  <c r="Z3249" i="13"/>
  <c r="Z3268" i="13"/>
  <c r="Z2998" i="13"/>
  <c r="Z3100" i="13"/>
  <c r="Z3144" i="13"/>
  <c r="Z3231" i="13"/>
  <c r="Z56" i="13"/>
  <c r="Z2457" i="13"/>
  <c r="Z1718" i="13"/>
  <c r="Z1617" i="13"/>
  <c r="Z1626" i="13"/>
  <c r="Z610" i="13"/>
  <c r="Z3055" i="13"/>
  <c r="Z2535" i="13"/>
  <c r="Z3362" i="13"/>
  <c r="Z3015" i="13"/>
  <c r="Z3412" i="13"/>
  <c r="Z3252" i="13"/>
  <c r="Z3471" i="13"/>
  <c r="Z2775" i="13"/>
  <c r="Z875" i="13"/>
  <c r="Z720" i="13"/>
  <c r="Z1056" i="13"/>
  <c r="Z2181" i="13"/>
  <c r="Z1904" i="13"/>
  <c r="Z1282" i="13"/>
  <c r="Z3290" i="13"/>
  <c r="Z890" i="13"/>
  <c r="Z3296" i="13"/>
  <c r="Z2294" i="13"/>
  <c r="Z2864" i="13"/>
  <c r="Z2680" i="13"/>
  <c r="Z312" i="13"/>
  <c r="Z928" i="13"/>
  <c r="Z907" i="13"/>
  <c r="Z1896" i="13"/>
  <c r="Z1346" i="13"/>
  <c r="Z1563" i="13"/>
  <c r="Z651" i="13"/>
  <c r="Z1391" i="13"/>
  <c r="Z2719" i="13"/>
  <c r="Z2480" i="13"/>
  <c r="Z349" i="13"/>
  <c r="Z1098" i="13"/>
  <c r="Z1067" i="13"/>
  <c r="Z2586" i="13"/>
  <c r="Z3036" i="13"/>
  <c r="Z3028" i="13"/>
  <c r="Z3114" i="13"/>
  <c r="Z783" i="13"/>
  <c r="Z3086" i="13"/>
  <c r="Z3211" i="13"/>
  <c r="Z3105" i="13"/>
  <c r="Z2186" i="13"/>
  <c r="Z2259" i="13"/>
  <c r="Z2992" i="13"/>
  <c r="Z2731" i="13"/>
  <c r="Z1108" i="13"/>
  <c r="Z1874" i="13"/>
  <c r="Z687" i="13"/>
  <c r="Z3399" i="13"/>
  <c r="Z3446" i="13"/>
  <c r="Z1015" i="13"/>
  <c r="Z1726" i="13"/>
  <c r="Z994" i="13"/>
  <c r="Z3194" i="13"/>
  <c r="Z2592" i="13"/>
  <c r="Z2564" i="13"/>
  <c r="Z3389" i="13"/>
  <c r="Z836" i="13"/>
  <c r="Z2085" i="13"/>
  <c r="Z3447" i="13"/>
  <c r="Z1255" i="13"/>
  <c r="Z3458" i="13"/>
  <c r="Z548" i="13"/>
  <c r="Z3397" i="13"/>
  <c r="Z2822" i="13"/>
  <c r="Z488" i="13"/>
  <c r="Z806" i="13"/>
  <c r="Z3197" i="13"/>
  <c r="Z523" i="13"/>
  <c r="Z3175" i="13"/>
  <c r="Z2441" i="13"/>
  <c r="Z1714" i="13"/>
  <c r="Z2300" i="13"/>
  <c r="Z1872" i="13"/>
  <c r="Z2688" i="13"/>
  <c r="Z843" i="13"/>
  <c r="J36" i="5"/>
  <c r="J66" i="5"/>
  <c r="J69" i="5"/>
  <c r="J46" i="5"/>
  <c r="J110" i="5"/>
  <c r="J88" i="5"/>
  <c r="J73" i="5"/>
  <c r="J109" i="5"/>
  <c r="J61" i="5"/>
  <c r="J87" i="5"/>
  <c r="J21" i="5"/>
  <c r="J13" i="5"/>
  <c r="J34" i="5"/>
  <c r="J98" i="5"/>
  <c r="J27" i="5"/>
  <c r="J70" i="5"/>
  <c r="Z2304" i="13"/>
  <c r="Z2404" i="13"/>
  <c r="Z2529" i="13"/>
  <c r="Z2639" i="13"/>
  <c r="Z2454" i="13"/>
  <c r="Z2892" i="13"/>
  <c r="Z2399" i="13"/>
  <c r="Z1211" i="13"/>
  <c r="Z1080" i="13"/>
  <c r="Z948" i="13"/>
  <c r="Z602" i="13"/>
  <c r="Z1921" i="13"/>
  <c r="Z1916" i="13"/>
  <c r="Z1122" i="13"/>
  <c r="Z2115" i="13"/>
  <c r="Z2427" i="13"/>
  <c r="Z3549" i="13"/>
  <c r="Z2468" i="13"/>
  <c r="Z1180" i="13"/>
  <c r="Z1377" i="13"/>
  <c r="Z79" i="13"/>
  <c r="Z423" i="13"/>
  <c r="Z1158" i="13"/>
  <c r="Z1794" i="13"/>
  <c r="Z2310" i="13"/>
  <c r="Z2770" i="13"/>
  <c r="Z1380" i="13"/>
  <c r="Z2180" i="13"/>
  <c r="Z2378" i="13"/>
  <c r="Z697" i="13"/>
  <c r="Z2113" i="13"/>
  <c r="Z294" i="13"/>
  <c r="Z226" i="13"/>
  <c r="Z2339" i="13"/>
  <c r="Z989" i="13"/>
  <c r="Z1485" i="13"/>
  <c r="Z3491" i="13"/>
  <c r="Z3136" i="13"/>
  <c r="Z1289" i="13"/>
  <c r="Z1458" i="13"/>
  <c r="Z3314" i="13"/>
  <c r="Z3437" i="13"/>
  <c r="Z2394" i="13"/>
  <c r="Z699" i="13"/>
  <c r="Z2495" i="13"/>
  <c r="Z390" i="13"/>
  <c r="Z3392" i="13"/>
  <c r="Z601" i="13"/>
  <c r="Z913" i="13"/>
  <c r="Z2401" i="13"/>
  <c r="Z3196" i="13"/>
  <c r="Z860" i="13"/>
  <c r="Z2703" i="13"/>
  <c r="Z2006" i="13"/>
  <c r="Z545" i="13"/>
  <c r="Z1987" i="13"/>
  <c r="Z3147" i="13"/>
  <c r="Z230" i="13"/>
  <c r="Z2744" i="13"/>
  <c r="Z3358" i="13"/>
  <c r="Z2019" i="13"/>
  <c r="Z2172" i="13"/>
  <c r="Z170" i="13"/>
  <c r="Z2139" i="13"/>
  <c r="Z2708" i="13"/>
  <c r="Z2243" i="13"/>
  <c r="Z3238" i="13"/>
  <c r="Z261" i="13"/>
  <c r="Z207" i="13"/>
  <c r="Z2816" i="13"/>
  <c r="Z1881" i="13"/>
  <c r="Z3042" i="13"/>
  <c r="Z3081" i="13"/>
  <c r="J76" i="5"/>
  <c r="J8" i="5"/>
  <c r="J15" i="5"/>
  <c r="J32" i="5"/>
  <c r="J9" i="5"/>
  <c r="J10" i="5"/>
  <c r="J47" i="5"/>
  <c r="J108" i="5"/>
  <c r="J100" i="5"/>
  <c r="J95" i="5"/>
  <c r="J89" i="5"/>
  <c r="J79" i="5"/>
  <c r="J52" i="5"/>
  <c r="J77" i="5"/>
  <c r="J120" i="5"/>
  <c r="Z3482" i="13"/>
  <c r="Z303" i="13"/>
  <c r="Z2129" i="13"/>
  <c r="Z3436" i="13"/>
  <c r="Z3478" i="13"/>
  <c r="Z3468" i="13"/>
  <c r="Z1500" i="13"/>
  <c r="Z532" i="13"/>
  <c r="Z2110" i="13"/>
  <c r="Z1460" i="13"/>
  <c r="Z810" i="13"/>
  <c r="Z1423" i="13"/>
  <c r="Z2037" i="13"/>
  <c r="Z2117" i="13"/>
  <c r="Z2033" i="13"/>
  <c r="Z654" i="13"/>
  <c r="Z2159" i="13"/>
  <c r="Z3000" i="13"/>
  <c r="Z1146" i="13"/>
  <c r="Z3215" i="13"/>
  <c r="Z2089" i="13"/>
  <c r="Z792" i="13"/>
  <c r="Z471" i="13"/>
  <c r="Z1416" i="13"/>
  <c r="Z1421" i="13"/>
  <c r="Z531" i="13"/>
  <c r="Z2333" i="13"/>
  <c r="Z414" i="13"/>
  <c r="Z2141" i="13"/>
  <c r="Z2374" i="13"/>
  <c r="Z2543" i="13"/>
  <c r="Z1554" i="13"/>
  <c r="Z3367" i="13"/>
  <c r="Z950" i="13"/>
  <c r="Z1911" i="13"/>
  <c r="Z3158" i="13"/>
  <c r="Z3550" i="13"/>
  <c r="Z276" i="13"/>
  <c r="Z1225" i="13"/>
  <c r="Z2666" i="13"/>
  <c r="Z146" i="13"/>
  <c r="Z315" i="13"/>
  <c r="Z2122" i="13"/>
  <c r="Z1342" i="13"/>
  <c r="Z451" i="13"/>
  <c r="Z2899" i="13"/>
  <c r="Z736" i="13"/>
  <c r="Z1981" i="13"/>
  <c r="Z445" i="13"/>
  <c r="Z960" i="13"/>
  <c r="Z3098" i="13"/>
  <c r="Z1372" i="13"/>
  <c r="Z835" i="13"/>
  <c r="Z2921" i="13"/>
  <c r="Z509" i="13"/>
  <c r="Z1414" i="13"/>
  <c r="Z354" i="13"/>
  <c r="Z522" i="13"/>
  <c r="Z3162" i="13"/>
  <c r="Z2784" i="13"/>
  <c r="Z1646" i="13"/>
  <c r="Z3080" i="13"/>
  <c r="Z2996" i="13"/>
  <c r="Z164" i="13"/>
  <c r="Z1396" i="13"/>
  <c r="Z168" i="13"/>
  <c r="Z761" i="13"/>
  <c r="Z2663" i="13"/>
  <c r="Z1270" i="13"/>
  <c r="Z2143" i="13"/>
  <c r="Z3060" i="13"/>
  <c r="Z2255" i="13"/>
  <c r="Z790" i="13"/>
  <c r="Z3451" i="13"/>
  <c r="Z3232" i="13"/>
  <c r="Z1674" i="13"/>
  <c r="Z3184" i="13"/>
  <c r="Z2169" i="13"/>
  <c r="Z3262" i="13"/>
  <c r="Z360" i="13"/>
  <c r="Z1743" i="13"/>
  <c r="Z1811" i="13"/>
  <c r="Z2812" i="13"/>
  <c r="Z1386" i="13"/>
  <c r="Z2108" i="13"/>
  <c r="Z3149" i="13"/>
  <c r="Z2790" i="13"/>
  <c r="Z3010" i="13"/>
  <c r="Z1068" i="13"/>
  <c r="Z899" i="13"/>
  <c r="Z421" i="13"/>
  <c r="Z1717" i="13"/>
  <c r="Z2851" i="13"/>
  <c r="Z2673" i="13"/>
  <c r="Z1323" i="13"/>
  <c r="Z1895" i="13"/>
  <c r="Z2727" i="13"/>
  <c r="Z3134" i="13"/>
  <c r="Z136" i="13"/>
  <c r="Z158" i="13"/>
  <c r="Z1867" i="13"/>
  <c r="Z3355" i="13"/>
  <c r="Z3034" i="13"/>
  <c r="Z2161" i="13"/>
  <c r="Z1610" i="13"/>
  <c r="Z3315" i="13"/>
  <c r="Z1313" i="13"/>
  <c r="Z2545" i="13"/>
  <c r="Z2103" i="13"/>
  <c r="Z1430" i="13"/>
  <c r="Z1058" i="13"/>
  <c r="Z3501" i="13"/>
  <c r="Z3216" i="13"/>
  <c r="Z223" i="13"/>
  <c r="Z990" i="13"/>
  <c r="Z2343" i="13"/>
  <c r="Z3371" i="13"/>
  <c r="Z2957" i="13"/>
  <c r="Z1061" i="13"/>
  <c r="Z1957" i="13"/>
  <c r="Z2736" i="13"/>
  <c r="Z2801" i="13"/>
  <c r="Z1296" i="13"/>
  <c r="Z1782" i="13"/>
  <c r="Z2187" i="13"/>
  <c r="Z2842" i="13"/>
  <c r="Z2038" i="13"/>
  <c r="Z2487" i="13"/>
  <c r="Z2202" i="13"/>
  <c r="Z3122" i="13"/>
  <c r="Z2290" i="13"/>
  <c r="Z2810" i="13"/>
  <c r="Z3213" i="13"/>
  <c r="Z2954" i="13"/>
  <c r="Z2902" i="13"/>
  <c r="Z1720" i="13"/>
  <c r="Z1578" i="13"/>
  <c r="Z2055" i="13"/>
  <c r="Z2116" i="13"/>
  <c r="Z1706" i="13"/>
  <c r="Z3386" i="13"/>
  <c r="Z2237" i="13"/>
  <c r="Z1102" i="13"/>
  <c r="Z71" i="13"/>
  <c r="J83" i="5"/>
  <c r="J91" i="5"/>
  <c r="J7" i="5"/>
  <c r="J12" i="5"/>
  <c r="J125" i="5"/>
  <c r="J31" i="5"/>
  <c r="J67" i="5"/>
  <c r="J33" i="5"/>
  <c r="J20" i="5"/>
  <c r="J28" i="5"/>
  <c r="J11" i="5"/>
  <c r="J84" i="5"/>
  <c r="J78" i="5"/>
  <c r="J5" i="5"/>
  <c r="J121" i="5"/>
  <c r="J65" i="5"/>
  <c r="Z1918" i="13"/>
  <c r="Z2847" i="13"/>
  <c r="Z1962" i="13"/>
  <c r="Z1092" i="13"/>
  <c r="Z1973" i="13"/>
  <c r="Z1027" i="13"/>
  <c r="Z1632" i="13"/>
  <c r="Z779" i="13"/>
  <c r="Z1724" i="13"/>
  <c r="Z931" i="13"/>
  <c r="Z972" i="13"/>
  <c r="Z80" i="13"/>
  <c r="Z597" i="13"/>
  <c r="Z161" i="13"/>
  <c r="Z379" i="13"/>
  <c r="Z1427" i="13"/>
  <c r="Z1703" i="13"/>
  <c r="Z1688" i="13"/>
  <c r="Z2440" i="13"/>
  <c r="Z959" i="13"/>
  <c r="Z1271" i="13"/>
  <c r="Z2130" i="13"/>
  <c r="Z1304" i="13"/>
  <c r="Z2192" i="13"/>
  <c r="Z517" i="13"/>
  <c r="Z1253" i="13"/>
  <c r="Z1194" i="13"/>
  <c r="Z2052" i="13"/>
  <c r="Z825" i="13"/>
  <c r="Z605" i="13"/>
  <c r="Z1311" i="13"/>
  <c r="Z1730" i="13"/>
  <c r="Z2839" i="13"/>
  <c r="Z2711" i="13"/>
  <c r="Z2451" i="13"/>
  <c r="Z2331" i="13"/>
  <c r="Z3093" i="13"/>
  <c r="Z2184" i="13"/>
  <c r="Z177" i="13"/>
  <c r="Z2585" i="13"/>
  <c r="Z1045" i="13"/>
  <c r="Z2318" i="13"/>
  <c r="Z1936" i="13"/>
  <c r="Z258" i="13"/>
  <c r="Z2865" i="13"/>
  <c r="Z1433" i="13"/>
  <c r="Z1118" i="13"/>
  <c r="Z1719" i="13"/>
  <c r="Z2330" i="13"/>
  <c r="Z1274" i="13"/>
  <c r="Z694" i="13"/>
  <c r="Z3200" i="13"/>
  <c r="Z2068" i="13"/>
  <c r="Z765" i="13"/>
  <c r="Z1757" i="13"/>
  <c r="Z2292" i="13"/>
  <c r="Z3210" i="13"/>
  <c r="Z1537" i="13"/>
  <c r="Z576" i="13"/>
  <c r="Z3278" i="13"/>
  <c r="Z1590" i="13"/>
  <c r="Z1793" i="13"/>
  <c r="Z365" i="13"/>
  <c r="Z1803" i="13"/>
  <c r="Z2211" i="13"/>
  <c r="Z166" i="13"/>
  <c r="Z1550" i="13"/>
  <c r="Z2591" i="13"/>
  <c r="Z934" i="13"/>
  <c r="Z2142" i="13"/>
  <c r="Z923" i="13"/>
  <c r="Z671" i="13"/>
  <c r="Z752" i="13"/>
  <c r="Z1869" i="13"/>
  <c r="Z997" i="13"/>
  <c r="Z1978" i="13"/>
  <c r="Z1704" i="13"/>
  <c r="Z986" i="13"/>
  <c r="Z2597" i="13"/>
  <c r="Z1905" i="13"/>
  <c r="Z1265" i="13"/>
  <c r="Z2739" i="13"/>
  <c r="Z1402" i="13"/>
  <c r="Z3256" i="13"/>
  <c r="Z1031" i="13"/>
  <c r="Z2459" i="13"/>
  <c r="Z3432" i="13"/>
  <c r="Z3148" i="13"/>
  <c r="Z2126" i="13"/>
  <c r="Z1151" i="13"/>
  <c r="Z839" i="13"/>
  <c r="Z833" i="13"/>
  <c r="Z1750" i="13"/>
  <c r="Z355" i="13"/>
  <c r="Z1287" i="13"/>
  <c r="Z1249" i="13"/>
  <c r="Z1598" i="13"/>
  <c r="Z1134" i="13"/>
  <c r="Z1142" i="13"/>
  <c r="Z1657" i="13"/>
  <c r="Z3068" i="13"/>
  <c r="Z1799" i="13"/>
  <c r="Z2692" i="13"/>
  <c r="Z2848" i="13"/>
  <c r="Z3163" i="13"/>
  <c r="Z3083" i="13"/>
  <c r="Z3444" i="13"/>
  <c r="Z955" i="13"/>
  <c r="Z2953" i="13"/>
  <c r="Z1494" i="13"/>
  <c r="Z2216" i="13"/>
  <c r="Z1281" i="13"/>
  <c r="Z1834" i="13"/>
  <c r="Z869" i="13"/>
  <c r="Z2437" i="13"/>
  <c r="Z2253" i="13"/>
  <c r="Z778" i="13"/>
  <c r="Z1518" i="13"/>
  <c r="Z1625" i="13"/>
  <c r="Z1490" i="13"/>
  <c r="Z2091" i="13"/>
  <c r="Z3303" i="13"/>
  <c r="Z2972" i="13"/>
  <c r="Z3104" i="13"/>
  <c r="Z2348" i="13"/>
  <c r="Z2662" i="13"/>
  <c r="Z3424" i="13"/>
  <c r="Z2891" i="13"/>
  <c r="Z912" i="13"/>
  <c r="Z656" i="13"/>
  <c r="Z1405" i="13"/>
  <c r="Z2866" i="13"/>
  <c r="Z412" i="13"/>
  <c r="Z1023" i="13"/>
  <c r="Z69" i="13"/>
  <c r="Z3507" i="13"/>
  <c r="Z2537" i="13"/>
  <c r="Z2645" i="13"/>
  <c r="Z1403" i="13"/>
  <c r="Z1065" i="13"/>
  <c r="Z1508" i="13"/>
  <c r="Z189" i="13"/>
  <c r="Z655" i="13"/>
  <c r="Z220" i="13"/>
  <c r="Z1303" i="13"/>
  <c r="Z1687" i="13"/>
  <c r="Z1760" i="13"/>
  <c r="Z433" i="13"/>
  <c r="Z1675" i="13"/>
  <c r="Z2434" i="13"/>
  <c r="Z1548" i="13"/>
  <c r="Z1352" i="13"/>
  <c r="Z2759" i="13"/>
  <c r="Z1475" i="13"/>
  <c r="Z297" i="13"/>
  <c r="Z1066" i="13"/>
  <c r="Z2234" i="13"/>
  <c r="Z946" i="13"/>
  <c r="Z1393" i="13"/>
  <c r="Z118" i="13"/>
  <c r="Z2802" i="13"/>
  <c r="Z2927" i="13"/>
  <c r="Z2183" i="13"/>
  <c r="Z115" i="13"/>
  <c r="Z1124" i="13"/>
  <c r="Z2057" i="13"/>
  <c r="Z467" i="13"/>
  <c r="Z3327" i="13"/>
  <c r="Z217" i="13"/>
  <c r="Z40" i="13"/>
  <c r="Z2316" i="13"/>
  <c r="Z914" i="13"/>
  <c r="Z2171" i="13"/>
  <c r="Z2351" i="13"/>
  <c r="Z3333" i="13"/>
  <c r="Z2782" i="13"/>
  <c r="Z2214" i="13"/>
  <c r="Z2966" i="13"/>
  <c r="Z404" i="13"/>
  <c r="Z343" i="13"/>
  <c r="Z295" i="13"/>
  <c r="Z1812" i="13"/>
  <c r="Z904" i="13"/>
  <c r="Z1165" i="13"/>
  <c r="Z449" i="13"/>
  <c r="Z552" i="13"/>
  <c r="Z2189" i="13"/>
  <c r="Z1513" i="13"/>
  <c r="Z817" i="13"/>
  <c r="Z1515" i="13"/>
  <c r="Z442" i="13"/>
  <c r="Z3191" i="13"/>
  <c r="Z878" i="13"/>
  <c r="Z1354" i="13"/>
  <c r="Z1454" i="13"/>
  <c r="Z1788" i="13"/>
  <c r="Z623" i="13"/>
  <c r="Z1511" i="13"/>
  <c r="Z3445" i="13"/>
  <c r="Z608" i="13"/>
  <c r="Z1837" i="13"/>
  <c r="Z872" i="13"/>
  <c r="Z756" i="13"/>
  <c r="Z2027" i="13"/>
  <c r="Z917" i="13"/>
  <c r="Z218" i="13"/>
  <c r="Z326" i="13"/>
  <c r="Z742" i="13"/>
  <c r="Z2140" i="13"/>
  <c r="Z2579" i="13"/>
  <c r="Z2832" i="13"/>
  <c r="Z3463" i="13"/>
  <c r="Z1078" i="13"/>
  <c r="Z2955" i="13"/>
  <c r="Z3218" i="13"/>
  <c r="Z2217" i="13"/>
  <c r="Z1235" i="13"/>
  <c r="Z2766" i="13"/>
  <c r="Z31" i="13"/>
  <c r="Z3530" i="13"/>
  <c r="Z2280" i="13"/>
  <c r="Z229" i="13"/>
  <c r="Z826" i="13"/>
  <c r="Z1968" i="13"/>
  <c r="Z1786" i="13"/>
  <c r="Z3377" i="13"/>
  <c r="Z626" i="13"/>
  <c r="Z2275" i="13"/>
  <c r="Z2220" i="13"/>
  <c r="Z3378" i="13"/>
  <c r="Z3076" i="13"/>
  <c r="Z1230" i="13"/>
  <c r="Z3133" i="13"/>
  <c r="Z2956" i="13"/>
  <c r="Z53" i="13"/>
  <c r="Z213" i="13"/>
  <c r="Z368" i="13"/>
  <c r="Z3438" i="13"/>
  <c r="Z1565" i="13"/>
  <c r="Z3369" i="13"/>
  <c r="Z777" i="13"/>
  <c r="Z1745" i="13"/>
  <c r="Z282" i="13"/>
  <c r="Z1753" i="13"/>
  <c r="Z1979" i="13"/>
  <c r="Z657" i="13"/>
  <c r="Z2429" i="13"/>
  <c r="Z3259" i="13"/>
  <c r="Z2748" i="13"/>
  <c r="Z1819" i="13"/>
  <c r="Z3298" i="13"/>
  <c r="Z1857" i="13"/>
  <c r="Z1658" i="13"/>
  <c r="Z2868" i="13"/>
  <c r="Z2925" i="13"/>
  <c r="Z2819" i="13"/>
  <c r="Z1584" i="13"/>
  <c r="Z157" i="13"/>
  <c r="Z681" i="13"/>
  <c r="Z2933" i="13"/>
  <c r="Z2106" i="13"/>
  <c r="Z962" i="13"/>
  <c r="Z253" i="13"/>
  <c r="Z2544" i="13"/>
  <c r="Z3286" i="13"/>
  <c r="Z2095" i="13"/>
  <c r="Z2227" i="13"/>
  <c r="Z2595" i="13"/>
  <c r="Z2808" i="13"/>
  <c r="Z2151" i="13"/>
  <c r="Z3228" i="13"/>
  <c r="Z437" i="13"/>
  <c r="Z2340" i="13"/>
  <c r="Z725" i="13"/>
  <c r="Z1705" i="13"/>
  <c r="Z481" i="13"/>
  <c r="Z105" i="13"/>
  <c r="Z222" i="13"/>
  <c r="Z1329" i="13"/>
  <c r="Z2979" i="13"/>
  <c r="Z3063" i="13"/>
  <c r="Z2547" i="13"/>
  <c r="Z54" i="13"/>
  <c r="Z2913" i="13"/>
  <c r="Z2097" i="13"/>
  <c r="Z2758" i="13"/>
  <c r="Z3287" i="13"/>
  <c r="Z565" i="13"/>
  <c r="Z497" i="13"/>
  <c r="Z1217" i="13"/>
  <c r="Z466" i="13"/>
  <c r="Z1373" i="13"/>
  <c r="Z621" i="13"/>
  <c r="Z3279" i="13"/>
  <c r="Z1585" i="13"/>
  <c r="Z378" i="13"/>
  <c r="Z2750" i="13"/>
  <c r="Z324" i="13"/>
  <c r="Z2197" i="13"/>
  <c r="Z2080" i="13"/>
  <c r="Z424" i="13"/>
  <c r="Z39" i="13"/>
  <c r="Z554" i="13"/>
  <c r="Z216" i="13"/>
  <c r="Z1613" i="13"/>
  <c r="Z871" i="13"/>
  <c r="Z1461" i="13"/>
  <c r="Z2961" i="13"/>
  <c r="Z999" i="13"/>
  <c r="Z2697" i="13"/>
  <c r="Z3456" i="13"/>
  <c r="Z774" i="13"/>
  <c r="Z3073" i="13"/>
  <c r="Z3101" i="13"/>
  <c r="Z1560" i="13"/>
  <c r="Z2146" i="13"/>
  <c r="Z1007" i="13"/>
  <c r="Z1203" i="13"/>
  <c r="Z2327" i="13"/>
  <c r="Z1634" i="13"/>
  <c r="Z3021" i="13"/>
  <c r="Z3313" i="13"/>
  <c r="Z3469" i="13"/>
  <c r="Z2763" i="13"/>
  <c r="Z3031" i="13"/>
  <c r="Z2173" i="13"/>
  <c r="J107" i="5"/>
  <c r="Z1120" i="13"/>
  <c r="Z3337" i="13"/>
  <c r="Z2296" i="13"/>
  <c r="Z920" i="13"/>
  <c r="Z1591" i="13"/>
  <c r="Z2664" i="13"/>
  <c r="Z1555" i="13"/>
  <c r="Z1608" i="13"/>
  <c r="Z2701" i="13"/>
  <c r="Z380" i="13"/>
  <c r="Z1144" i="13"/>
  <c r="Z1700" i="13"/>
  <c r="Z335" i="13"/>
  <c r="Z722" i="13"/>
  <c r="Z1892" i="13"/>
  <c r="Z436" i="13"/>
  <c r="Z1956" i="13"/>
  <c r="Z2562" i="13"/>
  <c r="Z239" i="13"/>
  <c r="Z1712" i="13"/>
  <c r="Z57" i="13"/>
  <c r="Z112" i="13"/>
  <c r="Z604" i="13"/>
  <c r="Z2450" i="13"/>
  <c r="Z1037" i="13"/>
  <c r="Z733" i="13"/>
  <c r="Z2926" i="13"/>
  <c r="Z1672" i="13"/>
  <c r="Z1559" i="13"/>
  <c r="Z178" i="13"/>
  <c r="Z3359" i="13"/>
  <c r="Z2608" i="13"/>
  <c r="Z94" i="13"/>
  <c r="Z1926" i="13"/>
  <c r="Z470" i="13"/>
  <c r="Z502" i="13"/>
  <c r="Z1879" i="13"/>
  <c r="Z1531" i="13"/>
  <c r="Z2975" i="13"/>
  <c r="Z2153" i="13"/>
  <c r="Z919" i="13"/>
  <c r="Z1709" i="13"/>
  <c r="Z353" i="13"/>
  <c r="Z1443" i="13"/>
  <c r="Z915" i="13"/>
  <c r="Z1678" i="13"/>
  <c r="Z525" i="13"/>
  <c r="Z3302" i="13"/>
  <c r="Z506" i="13"/>
  <c r="Z711" i="13"/>
  <c r="Z2515" i="13"/>
  <c r="Z1299" i="13"/>
  <c r="Z2150" i="13"/>
  <c r="Z1084" i="13"/>
  <c r="Z2743" i="13"/>
  <c r="Z2893" i="13"/>
  <c r="Z2254" i="13"/>
  <c r="Z2368" i="13"/>
  <c r="Z1227" i="13"/>
  <c r="Z2248" i="13"/>
  <c r="Z1181" i="13"/>
  <c r="Z1266" i="13"/>
  <c r="Z361" i="13"/>
  <c r="Z2509" i="13"/>
  <c r="Z2815" i="13"/>
  <c r="Z2433" i="13"/>
  <c r="Z2959" i="13"/>
  <c r="Z1996" i="13"/>
  <c r="Z455" i="13"/>
  <c r="Z1586" i="13"/>
  <c r="Z2720" i="13"/>
  <c r="Z151" i="13"/>
  <c r="Z3182" i="13"/>
  <c r="Z1749" i="13"/>
  <c r="Z2496" i="13"/>
  <c r="Z490" i="13"/>
  <c r="Z797" i="13"/>
  <c r="Z1992" i="13"/>
  <c r="Z786" i="13"/>
  <c r="Z1840" i="13"/>
  <c r="Z1273" i="13"/>
  <c r="Z886" i="13"/>
  <c r="Z2730" i="13"/>
  <c r="Z2513" i="13"/>
  <c r="Z2764" i="13"/>
  <c r="Z3408" i="13"/>
  <c r="Z2303" i="13"/>
  <c r="Z3357" i="13"/>
  <c r="Z3382" i="13"/>
  <c r="Z1972" i="13"/>
  <c r="Z2778" i="13"/>
  <c r="Z968" i="13"/>
  <c r="Z627" i="13"/>
  <c r="Z2855" i="13"/>
  <c r="Z1128" i="13"/>
  <c r="Z475" i="13"/>
  <c r="Z1630" i="13"/>
  <c r="Z1994" i="13"/>
  <c r="Z1479" i="13"/>
  <c r="Z582" i="13"/>
  <c r="Z1463" i="13"/>
  <c r="Z2403" i="13"/>
  <c r="Z1953" i="13"/>
  <c r="Z3088" i="13"/>
  <c r="Z3156" i="13"/>
  <c r="Z2307" i="13"/>
  <c r="Z3297" i="13"/>
  <c r="Z3352" i="13"/>
  <c r="Z1063" i="13"/>
  <c r="Z1564" i="13"/>
  <c r="Z2062" i="13"/>
  <c r="Z256" i="13"/>
  <c r="Z1384" i="13"/>
  <c r="Z410" i="13"/>
  <c r="Z1575" i="13"/>
  <c r="Z2320" i="13"/>
  <c r="Z1275" i="13"/>
  <c r="Z698" i="13"/>
  <c r="Z2031" i="13"/>
  <c r="Z2620" i="13"/>
  <c r="Z3180" i="13"/>
  <c r="Z3112" i="13"/>
  <c r="Z3261" i="13"/>
  <c r="Z2538" i="13"/>
  <c r="Z2817" i="13"/>
  <c r="Z43" i="13"/>
  <c r="Z1821" i="13"/>
  <c r="Z2689" i="13"/>
  <c r="Z1447" i="13"/>
  <c r="Z1327" i="13"/>
  <c r="Z996" i="13"/>
  <c r="Z719" i="13"/>
  <c r="Z859" i="13"/>
  <c r="Z311" i="13"/>
  <c r="Z1850" i="13"/>
  <c r="Z1684" i="13"/>
  <c r="Z2228" i="13"/>
  <c r="Z2834" i="13"/>
  <c r="Z804" i="13"/>
  <c r="Z824" i="13"/>
  <c r="Z2488" i="13"/>
  <c r="Z2616" i="13"/>
  <c r="Z320" i="13"/>
  <c r="Z75" i="13"/>
  <c r="Z1825" i="13"/>
  <c r="Z383" i="13"/>
  <c r="Z2729" i="13"/>
  <c r="Z1885" i="13"/>
  <c r="Z2909" i="13"/>
  <c r="Z173" i="13"/>
  <c r="Z443" i="13"/>
  <c r="Z3089" i="13"/>
  <c r="Z3407" i="13"/>
  <c r="Z2863" i="13"/>
  <c r="Z1328" i="13"/>
  <c r="Z2606" i="13"/>
  <c r="Z351" i="13"/>
  <c r="Z1611" i="13"/>
  <c r="Z1344" i="13"/>
  <c r="Z3365" i="13"/>
  <c r="Z2044" i="13"/>
  <c r="Z758" i="13"/>
  <c r="Z1784" i="13"/>
  <c r="Z3401" i="13"/>
  <c r="Z1984" i="13"/>
  <c r="Z257" i="13"/>
  <c r="Z2594" i="13"/>
  <c r="Z327" i="13"/>
  <c r="Z250" i="13"/>
  <c r="Z1783" i="13"/>
  <c r="Z2147" i="13"/>
  <c r="Z2846" i="13"/>
  <c r="Z465" i="13"/>
  <c r="Z1021" i="13"/>
  <c r="Z2506" i="13"/>
  <c r="Z693" i="13"/>
  <c r="Z1105" i="13"/>
  <c r="Z2463" i="13"/>
  <c r="Z1338" i="13"/>
  <c r="Z2987" i="13"/>
  <c r="Z3174" i="13"/>
  <c r="Z2976" i="13"/>
  <c r="Z1208" i="13"/>
  <c r="Z1573" i="13"/>
  <c r="Z1163" i="13"/>
  <c r="Z1728" i="13"/>
  <c r="Z286" i="13"/>
  <c r="Z2298" i="13"/>
  <c r="Z2311" i="13"/>
  <c r="Z3016" i="13"/>
  <c r="Z1614" i="13"/>
  <c r="Z2881" i="13"/>
  <c r="Z3518" i="13"/>
  <c r="Z568" i="13"/>
  <c r="Z768" i="13"/>
  <c r="Z183" i="13"/>
  <c r="Z1353" i="13"/>
  <c r="Z238" i="13"/>
  <c r="Z1297" i="13"/>
  <c r="Z3153" i="13"/>
  <c r="Z2599" i="13"/>
  <c r="Z3069" i="13"/>
  <c r="Z636" i="13"/>
  <c r="Z52" i="13"/>
  <c r="Z1024" i="13"/>
  <c r="Z2096" i="13"/>
  <c r="Z2576" i="13"/>
  <c r="Z342" i="13"/>
  <c r="Z1662" i="13"/>
  <c r="Z2932" i="13"/>
  <c r="Z1434" i="13"/>
  <c r="Z3204" i="13"/>
  <c r="Z1660" i="13"/>
  <c r="Z564" i="13"/>
  <c r="Z2137" i="13"/>
  <c r="Z1106" i="13"/>
  <c r="Z2317" i="13"/>
  <c r="Z1310" i="13"/>
  <c r="Z1492" i="13"/>
  <c r="Z459" i="13"/>
  <c r="Z2602" i="13"/>
  <c r="Z1057" i="13"/>
  <c r="Z2890" i="13"/>
  <c r="Z707" i="13"/>
  <c r="Z1186" i="13"/>
  <c r="Z1922" i="13"/>
  <c r="Z2428" i="13"/>
  <c r="Z2359" i="13"/>
  <c r="Z2567" i="13"/>
  <c r="Z2025" i="13"/>
  <c r="Z453" i="13"/>
  <c r="Z2222" i="13"/>
  <c r="Z1914" i="13"/>
  <c r="Z2155" i="13"/>
  <c r="Z3318" i="13"/>
  <c r="Z2780" i="13"/>
  <c r="Z3442" i="13"/>
  <c r="Z3237" i="13"/>
  <c r="Z1827" i="13"/>
  <c r="Z156" i="13"/>
  <c r="Z2649" i="13"/>
  <c r="Z489" i="13"/>
  <c r="Z1242" i="13"/>
  <c r="Z3258" i="13"/>
  <c r="Z3170" i="13"/>
  <c r="Z2540" i="13"/>
  <c r="Z837" i="13"/>
  <c r="Z1568" i="13"/>
  <c r="Z1849" i="13"/>
  <c r="Z578" i="13"/>
  <c r="Z2551" i="13"/>
  <c r="Z1822" i="13"/>
  <c r="Z845" i="13"/>
  <c r="Z2911" i="13"/>
  <c r="Z1017" i="13"/>
  <c r="Z3201" i="13"/>
  <c r="Z1085" i="13"/>
  <c r="Z889" i="13"/>
  <c r="Z1894" i="13"/>
  <c r="Z503" i="13"/>
  <c r="Z1091" i="13"/>
  <c r="Z2779" i="13"/>
  <c r="Z1345" i="13"/>
  <c r="Z2128" i="13"/>
  <c r="Z2423" i="13"/>
  <c r="Z37" i="13"/>
  <c r="Z2099" i="13"/>
  <c r="Z2960" i="13"/>
  <c r="Z2213" i="13"/>
  <c r="Z2231" i="13"/>
  <c r="Z1830" i="13"/>
  <c r="Z3071" i="13"/>
  <c r="Z1562" i="13"/>
  <c r="Z953" i="13"/>
  <c r="Z3306" i="13"/>
  <c r="Z3078" i="13"/>
  <c r="Z1487" i="13"/>
  <c r="Z3538" i="13"/>
  <c r="Z1623" i="13"/>
  <c r="Z2157" i="13"/>
  <c r="Z206" i="13"/>
  <c r="J103" i="5"/>
  <c r="J106" i="5"/>
  <c r="J22" i="5"/>
  <c r="J63" i="5"/>
  <c r="J25" i="5"/>
  <c r="J104" i="5"/>
  <c r="J18" i="5"/>
  <c r="J102" i="5"/>
  <c r="J113" i="5"/>
  <c r="J82" i="5"/>
  <c r="Z2922" i="13"/>
  <c r="Z2239" i="13"/>
  <c r="Z106" i="13"/>
  <c r="Z2500" i="13"/>
  <c r="Z870" i="13"/>
  <c r="Z3334" i="13"/>
  <c r="Z2886" i="13"/>
  <c r="Z3394" i="13"/>
  <c r="Z1723" i="13"/>
  <c r="Z1042" i="13"/>
  <c r="Z1569" i="13"/>
  <c r="Z1041" i="13"/>
  <c r="Z2803" i="13"/>
  <c r="Z3524" i="13"/>
  <c r="Z2630" i="13"/>
  <c r="Z2984" i="13"/>
  <c r="Z2880" i="13"/>
  <c r="Z3523" i="13"/>
  <c r="Z127" i="13"/>
  <c r="Z3257" i="13"/>
  <c r="Z1214" i="13"/>
  <c r="Z2737" i="13"/>
  <c r="Z3282" i="13"/>
  <c r="Z1482" i="13"/>
  <c r="Z111" i="13"/>
  <c r="Z265" i="13"/>
  <c r="Z2323" i="13"/>
  <c r="Z363" i="13"/>
  <c r="Z3250" i="13"/>
  <c r="Z1663" i="13"/>
  <c r="Z426" i="13"/>
  <c r="Z387" i="13"/>
  <c r="Z2407" i="13"/>
  <c r="Z227" i="13"/>
  <c r="Z2029" i="13"/>
  <c r="Z2273" i="13"/>
  <c r="Z3230" i="13"/>
  <c r="Z1647" i="13"/>
  <c r="Z662" i="13"/>
  <c r="Z63" i="13"/>
  <c r="Z3234" i="13"/>
  <c r="Z2704" i="13"/>
  <c r="Z842" i="13"/>
  <c r="Z2086" i="13"/>
  <c r="Z3514" i="13"/>
  <c r="Z1497" i="13"/>
  <c r="Z3169" i="13"/>
  <c r="Z3304" i="13"/>
  <c r="Z393" i="13"/>
  <c r="Z3361" i="13"/>
  <c r="Z454" i="13"/>
  <c r="Z1940" i="13"/>
  <c r="Z3484" i="13"/>
  <c r="Z537" i="13"/>
  <c r="Z3220" i="13"/>
  <c r="Z3450" i="13"/>
  <c r="Z703" i="13"/>
  <c r="J39" i="5"/>
  <c r="J57" i="5"/>
  <c r="J50" i="5"/>
  <c r="J3" i="5"/>
  <c r="J23" i="5"/>
  <c r="J59" i="5"/>
  <c r="J117" i="5"/>
  <c r="J74" i="5"/>
  <c r="J115" i="5"/>
  <c r="J112" i="5"/>
  <c r="Z1156" i="13"/>
  <c r="Z1444" i="13"/>
  <c r="Z1076" i="13"/>
  <c r="Z1234" i="13"/>
  <c r="Z900" i="13"/>
  <c r="Z483" i="13"/>
  <c r="Z1157" i="13"/>
  <c r="Z911" i="13"/>
  <c r="Z751" i="13"/>
  <c r="Z87" i="13"/>
  <c r="Z3379" i="13"/>
  <c r="Z469" i="13"/>
  <c r="Z2528" i="13"/>
  <c r="Z1178" i="13"/>
  <c r="Z143" i="13"/>
  <c r="Z1010" i="13"/>
  <c r="Z2246" i="13"/>
  <c r="Z2247" i="13"/>
  <c r="Z1075" i="13"/>
  <c r="Z1392" i="13"/>
  <c r="Z682" i="13"/>
  <c r="Z1025" i="13"/>
  <c r="Z3075" i="13"/>
  <c r="Z110" i="13"/>
  <c r="Z2049" i="13"/>
  <c r="Z1919" i="13"/>
  <c r="Z631" i="13"/>
  <c r="Z84" i="13"/>
  <c r="Z329" i="13"/>
  <c r="Z104" i="13"/>
  <c r="Z1202" i="13"/>
  <c r="Z82" i="13"/>
  <c r="Z867" i="13"/>
  <c r="Z831" i="13"/>
  <c r="Z1983" i="13"/>
  <c r="Z2484" i="13"/>
  <c r="Z1036" i="13"/>
  <c r="Z744" i="13"/>
  <c r="Z663" i="13"/>
  <c r="Z159" i="13"/>
  <c r="Z2251" i="13"/>
  <c r="Z2895" i="13"/>
  <c r="Z3044" i="13"/>
  <c r="Z1642" i="13"/>
  <c r="Z3159" i="13"/>
  <c r="Z1933" i="13"/>
  <c r="Z2178" i="13"/>
  <c r="Z672" i="13"/>
  <c r="Z1489" i="13"/>
  <c r="Z58" i="13"/>
  <c r="Z1143" i="13"/>
  <c r="Z2379" i="13"/>
  <c r="Z3335" i="13"/>
  <c r="Z2756" i="13"/>
  <c r="Z1785" i="13"/>
  <c r="Z1221" i="13"/>
  <c r="Z419" i="13"/>
  <c r="Z281" i="13"/>
  <c r="Z2658" i="13"/>
  <c r="Z2177" i="13"/>
  <c r="Z2083" i="13"/>
  <c r="Z2964" i="13"/>
  <c r="Z2769" i="13"/>
  <c r="Z3366" i="13"/>
  <c r="Z3167" i="13"/>
  <c r="Z1051" i="13"/>
  <c r="Z1755" i="13"/>
  <c r="Z2250" i="13"/>
  <c r="Z1162" i="13"/>
  <c r="Z782" i="13"/>
  <c r="Z2838" i="13"/>
  <c r="Z3532" i="13"/>
  <c r="Z2760" i="13"/>
  <c r="Z3383" i="13"/>
  <c r="Z1131" i="13"/>
  <c r="Z2869" i="13"/>
  <c r="Z511" i="13"/>
  <c r="Z1561" i="13"/>
  <c r="Z291" i="13"/>
  <c r="Z2481" i="13"/>
  <c r="Z3179" i="13"/>
  <c r="Z3239" i="13"/>
  <c r="Z1526" i="13"/>
  <c r="Z3154" i="13"/>
  <c r="Z144" i="13"/>
  <c r="Z2286" i="13"/>
  <c r="Z285" i="13"/>
  <c r="Z1829" i="13"/>
  <c r="Z1055" i="13"/>
  <c r="Z3535" i="13"/>
  <c r="Z1661" i="13"/>
  <c r="Z1739" i="13"/>
  <c r="Z1848" i="13"/>
  <c r="Z2134" i="13"/>
  <c r="Z1747" i="13"/>
  <c r="Z3155" i="13"/>
  <c r="Z821" i="13"/>
  <c r="Z2371" i="13"/>
  <c r="Z3119" i="13"/>
  <c r="Z2919" i="13"/>
  <c r="Z3489" i="13"/>
  <c r="Z2473" i="13"/>
  <c r="Z2749" i="13"/>
  <c r="Z1133" i="13"/>
  <c r="Z3183" i="13"/>
  <c r="Z2347" i="13"/>
  <c r="Z3040" i="13"/>
  <c r="Z3117" i="13"/>
  <c r="Z2836" i="13"/>
  <c r="Z738" i="13"/>
  <c r="Z3496" i="13"/>
  <c r="Z569" i="13"/>
  <c r="Z2069" i="13"/>
  <c r="Z487" i="13"/>
  <c r="Z753" i="13"/>
  <c r="Z3476" i="13"/>
  <c r="Z1999" i="13"/>
  <c r="Z3132" i="13"/>
  <c r="Z1727" i="13"/>
  <c r="Z616" i="13"/>
  <c r="Z114" i="13"/>
  <c r="Z3418" i="13"/>
  <c r="Z2860" i="13"/>
  <c r="Z1096" i="13"/>
  <c r="Z1001" i="13"/>
  <c r="Z1138" i="13"/>
  <c r="Z1474" i="13"/>
  <c r="Z3537" i="13"/>
  <c r="Z2969" i="13"/>
  <c r="Z1852" i="13"/>
  <c r="Z2859" i="13"/>
  <c r="Z1101" i="13"/>
  <c r="Z1438" i="13"/>
  <c r="Z2888" i="13"/>
  <c r="Z3139" i="13"/>
  <c r="Z3245" i="13"/>
  <c r="Z2470" i="13"/>
  <c r="Z674" i="13"/>
  <c r="Z2973" i="13"/>
  <c r="Z3506" i="13"/>
  <c r="Z1006" i="13"/>
  <c r="Z2879" i="13"/>
  <c r="Z2870" i="13"/>
  <c r="Z1210" i="13"/>
  <c r="Z3284" i="13"/>
  <c r="Z2284" i="13"/>
  <c r="Z709" i="13"/>
  <c r="Z2439" i="13"/>
  <c r="Z2256" i="13"/>
  <c r="Z2546" i="13"/>
  <c r="Z3186" i="13"/>
  <c r="Z279" i="13"/>
  <c r="Z3300" i="13"/>
  <c r="J17" i="5"/>
  <c r="J45" i="5"/>
  <c r="J40" i="5"/>
  <c r="J114" i="5"/>
  <c r="J96" i="5"/>
  <c r="J26" i="5"/>
  <c r="J29" i="5"/>
  <c r="J44" i="5"/>
  <c r="J68" i="5"/>
  <c r="Z428" i="13"/>
  <c r="Z1348" i="13"/>
  <c r="Z1224" i="13"/>
  <c r="Z496" i="13"/>
  <c r="Z172" i="13"/>
  <c r="Z2516" i="13"/>
  <c r="Z2084" i="13"/>
  <c r="Z1331" i="13"/>
  <c r="Z1998" i="13"/>
  <c r="Z1213" i="13"/>
  <c r="Z508" i="13"/>
  <c r="Z612" i="13"/>
  <c r="Z1171" i="13"/>
  <c r="Z1950" i="13"/>
  <c r="Z242" i="13"/>
  <c r="Z2702" i="13"/>
  <c r="Z2380" i="13"/>
  <c r="Z854" i="13"/>
  <c r="Z2558" i="13"/>
  <c r="Z2094" i="13"/>
  <c r="Z2354" i="13"/>
  <c r="Z125" i="13"/>
  <c r="Z2514" i="13"/>
  <c r="Z838" i="13"/>
  <c r="Z366" i="13"/>
  <c r="Z2587" i="13"/>
  <c r="Z1864" i="13"/>
  <c r="Z855" i="13"/>
  <c r="Z2442" i="13"/>
  <c r="Z1005" i="13"/>
  <c r="Z830" i="13"/>
  <c r="Z849" i="13"/>
  <c r="Z646" i="13"/>
  <c r="Z1967" i="13"/>
  <c r="Z2556" i="13"/>
  <c r="Z2931" i="13"/>
  <c r="Z2751" i="13"/>
  <c r="Z2325" i="13"/>
  <c r="Z163" i="13"/>
  <c r="Z926" i="13"/>
  <c r="Z2257" i="13"/>
  <c r="Z3003" i="13"/>
  <c r="Z3526" i="13"/>
  <c r="Z2263" i="13"/>
  <c r="Z2941" i="13"/>
  <c r="Z1691" i="13"/>
  <c r="Z1776" i="13"/>
  <c r="Z61" i="13"/>
  <c r="Z2361" i="13"/>
  <c r="Z2483" i="13"/>
  <c r="Z2522" i="13"/>
  <c r="Z2007" i="13"/>
  <c r="Z482" i="13"/>
  <c r="Z3485" i="13"/>
  <c r="Z2654" i="13"/>
  <c r="Z1107" i="13"/>
  <c r="Z2453" i="13"/>
  <c r="Z2088" i="13"/>
  <c r="Z2341" i="13"/>
  <c r="Z2111" i="13"/>
  <c r="Z2747" i="13"/>
  <c r="Z3426" i="13"/>
  <c r="Z1734" i="13"/>
  <c r="Z3195" i="13"/>
  <c r="Z2728" i="13"/>
  <c r="Z76" i="13"/>
  <c r="Z1763" i="13"/>
  <c r="Z1579" i="13"/>
  <c r="Z1417" i="13"/>
  <c r="Z987" i="13"/>
  <c r="Z1618" i="13"/>
  <c r="Z2615" i="13"/>
  <c r="Z2460" i="13"/>
  <c r="Z1858" i="13"/>
  <c r="Z3440" i="13"/>
  <c r="Z2466" i="13"/>
  <c r="Z187" i="13"/>
  <c r="Z2530" i="13"/>
  <c r="Z1713" i="13"/>
  <c r="Z1286" i="13"/>
  <c r="Z2367" i="13"/>
  <c r="Z3457" i="13"/>
  <c r="Z3025" i="13"/>
  <c r="Z310" i="13"/>
  <c r="Z3309" i="13"/>
  <c r="Z32" i="13"/>
  <c r="Z967" i="13"/>
  <c r="Z109" i="13"/>
  <c r="Z1019" i="13"/>
  <c r="Z2525" i="13"/>
  <c r="Z2655" i="13"/>
  <c r="Z2270" i="13"/>
  <c r="Z1089" i="13"/>
  <c r="Z1152" i="13"/>
  <c r="Z1567" i="13"/>
  <c r="Z1944" i="13"/>
  <c r="Z1121" i="13"/>
  <c r="Z2605" i="13"/>
  <c r="Z625" i="13"/>
  <c r="Z2923" i="13"/>
  <c r="Z3172" i="13"/>
  <c r="Z3341" i="13"/>
  <c r="Z1860" i="13"/>
  <c r="Z3129" i="13"/>
  <c r="Z2677" i="13"/>
  <c r="Z2315" i="13"/>
  <c r="Z2499" i="13"/>
  <c r="Z2700" i="13"/>
  <c r="Z3414" i="13"/>
  <c r="Z2999" i="13"/>
  <c r="Z1820" i="13"/>
  <c r="Z1615" i="13"/>
  <c r="Z589" i="13"/>
  <c r="Z2882" i="13"/>
  <c r="Z3095" i="13"/>
  <c r="Z1298" i="13"/>
  <c r="Z3516" i="13"/>
  <c r="Z868" i="13"/>
  <c r="Z1949" i="13"/>
  <c r="Z422" i="13"/>
  <c r="Z2754" i="13"/>
  <c r="Z3051" i="13"/>
  <c r="Z413" i="13"/>
  <c r="Z729" i="13"/>
  <c r="Z1254" i="13"/>
  <c r="Z198" i="13"/>
  <c r="Z3348" i="13"/>
  <c r="Z978" i="13"/>
  <c r="Z1529" i="13"/>
  <c r="Z2167" i="13"/>
  <c r="Z2867" i="13"/>
  <c r="Z566" i="13"/>
  <c r="Z2732" i="13"/>
  <c r="Z77" i="13"/>
  <c r="Z2952" i="13"/>
  <c r="Z36" i="13"/>
  <c r="Z205" i="13"/>
  <c r="Z3264" i="13"/>
  <c r="Z3411" i="13"/>
  <c r="Z243" i="13"/>
  <c r="Z2853" i="13"/>
  <c r="Z2699" i="13"/>
  <c r="Z1546" i="13"/>
  <c r="Z2393" i="13"/>
  <c r="Z2917" i="13"/>
  <c r="Z1358" i="13"/>
  <c r="Z893" i="13"/>
  <c r="Z2980" i="13"/>
  <c r="Z2319" i="13"/>
  <c r="J51" i="5"/>
  <c r="J60" i="5"/>
  <c r="J126" i="5"/>
  <c r="J41" i="5"/>
  <c r="J24" i="5"/>
  <c r="J4" i="5"/>
  <c r="J49" i="5"/>
  <c r="T96" i="13"/>
  <c r="Z2482" i="13"/>
  <c r="Z620" i="13"/>
  <c r="Z1367" i="13"/>
  <c r="Z264" i="13"/>
  <c r="Z660" i="13"/>
  <c r="Z2553" i="13"/>
  <c r="Z1219" i="13"/>
  <c r="Z248" i="13"/>
  <c r="Z536" i="13"/>
  <c r="Z1364" i="13"/>
  <c r="Z767" i="13"/>
  <c r="Z1420" i="13"/>
  <c r="Z26" i="13"/>
  <c r="Z1640" i="13"/>
  <c r="Z2074" i="13"/>
  <c r="Z2355" i="13"/>
  <c r="Z3322" i="13"/>
  <c r="Z1955" i="13"/>
  <c r="Z2430" i="13"/>
  <c r="Z1549" i="13"/>
  <c r="Z2456" i="13"/>
  <c r="Z2309" i="13"/>
  <c r="Z661" i="13"/>
  <c r="Z1939" i="13"/>
  <c r="Z1422" i="13"/>
  <c r="Z1390" i="13"/>
  <c r="Z2297" i="13"/>
  <c r="Z944" i="13"/>
  <c r="Z1796" i="13"/>
  <c r="Z3043" i="13"/>
  <c r="Z2631" i="13"/>
  <c r="Z90" i="13"/>
  <c r="Z1871" i="13"/>
  <c r="Z882" i="13"/>
  <c r="Z2982" i="13"/>
  <c r="Z1316" i="13"/>
  <c r="Z2494" i="13"/>
  <c r="Z2650" i="13"/>
  <c r="Z1906" i="13"/>
  <c r="Z450" i="13"/>
  <c r="Z1710" i="13"/>
  <c r="Z2635" i="13"/>
  <c r="Z2611" i="13"/>
  <c r="Z2198" i="13"/>
  <c r="Z572" i="13"/>
  <c r="Z405" i="13"/>
  <c r="Z861" i="13"/>
  <c r="Z1363" i="13"/>
  <c r="Z1679" i="13"/>
  <c r="Z898" i="13"/>
  <c r="Z1350" i="13"/>
  <c r="Z2978" i="13"/>
  <c r="Z1451" i="13"/>
  <c r="Z3168" i="13"/>
  <c r="Z2306" i="13"/>
  <c r="Z2568" i="13"/>
  <c r="Z1965" i="13"/>
  <c r="Z1205" i="13"/>
  <c r="Z1525" i="13"/>
  <c r="Z3087" i="13"/>
  <c r="Z1594" i="13"/>
  <c r="Z3416" i="13"/>
  <c r="Z182" i="13"/>
  <c r="Z3474" i="13"/>
  <c r="Z3280" i="13"/>
  <c r="Z3198" i="13"/>
  <c r="Z1277" i="13"/>
  <c r="Z1633" i="13"/>
  <c r="Z670" i="13"/>
  <c r="Z930" i="13"/>
  <c r="Z3323" i="13"/>
  <c r="Z2981" i="13"/>
  <c r="Z2946" i="13"/>
  <c r="Z2252" i="13"/>
  <c r="Z3332" i="13"/>
  <c r="Z68" i="13"/>
  <c r="Z3103" i="13"/>
  <c r="Z2266" i="13"/>
  <c r="Z757" i="13"/>
  <c r="Z1606" i="13"/>
  <c r="Z190" i="13"/>
  <c r="Z1823" i="13"/>
  <c r="Z3308" i="13"/>
  <c r="Z1770" i="13"/>
  <c r="Z2827" i="13"/>
  <c r="Z580" i="13"/>
  <c r="Z259" i="13"/>
  <c r="Z372" i="13"/>
  <c r="Z3502" i="13"/>
  <c r="Z714" i="13"/>
  <c r="Z1541" i="13"/>
  <c r="Z240" i="13"/>
  <c r="Z3123" i="13"/>
  <c r="Z1365" i="13"/>
  <c r="Z192" i="13"/>
  <c r="Z176" i="13"/>
  <c r="Z293" i="13"/>
  <c r="Z1082" i="13"/>
  <c r="Z1169" i="13"/>
  <c r="Z3151" i="13"/>
  <c r="Z3094" i="13"/>
  <c r="Z2843" i="13"/>
  <c r="Z2082" i="13"/>
  <c r="Z299" i="13"/>
  <c r="Z3070" i="13"/>
  <c r="Z1137" i="13"/>
  <c r="Z1426" i="13"/>
  <c r="Z3339" i="13"/>
  <c r="Z3336" i="13"/>
  <c r="Z3552" i="13"/>
  <c r="Z3019" i="13"/>
  <c r="Z556" i="13"/>
  <c r="Z416" i="13"/>
  <c r="Z3018" i="13"/>
  <c r="Z1382" i="13"/>
  <c r="Z1774" i="13"/>
  <c r="Z3127" i="13"/>
  <c r="Z2449" i="13"/>
  <c r="Z3495" i="13"/>
  <c r="Z1243" i="13"/>
  <c r="Z1375" i="13"/>
  <c r="Z1009" i="13"/>
  <c r="Z1991" i="13"/>
  <c r="Z1428" i="13"/>
  <c r="Z1440" i="13"/>
  <c r="Z278" i="13"/>
  <c r="Z1521" i="13"/>
  <c r="Z1746" i="13"/>
  <c r="Z3048" i="13"/>
  <c r="Z2517" i="13"/>
  <c r="Z3030" i="13"/>
  <c r="Z3376" i="13"/>
  <c r="Z461" i="13"/>
  <c r="Z3441" i="13"/>
  <c r="Z3049" i="13"/>
  <c r="Z881" i="13"/>
  <c r="Z3090" i="13"/>
  <c r="Z1419" i="13"/>
  <c r="Z195" i="13"/>
  <c r="Z3320" i="13"/>
  <c r="Z2771" i="13"/>
  <c r="Z1306" i="13"/>
  <c r="Z1448" i="13"/>
  <c r="Z3375" i="13"/>
  <c r="Z1502" i="13"/>
  <c r="Z1223" i="13"/>
  <c r="Z1778" i="13"/>
  <c r="Z2042" i="13"/>
  <c r="Z2924" i="13"/>
  <c r="Z3110" i="13"/>
  <c r="Z873" i="13"/>
  <c r="Z590" i="13"/>
  <c r="Z2647" i="13"/>
  <c r="Z3346" i="13"/>
  <c r="J116" i="5"/>
  <c r="J42" i="5"/>
  <c r="J48" i="5"/>
  <c r="J58" i="5"/>
  <c r="J6" i="5"/>
  <c r="J72" i="5"/>
  <c r="J122" i="5"/>
  <c r="J124" i="5"/>
  <c r="J101" i="5"/>
  <c r="J86" i="5"/>
  <c r="Z1195" i="13"/>
  <c r="Z1556" i="13"/>
  <c r="Z2809" i="13"/>
  <c r="Z609" i="13"/>
  <c r="Z1595" i="13"/>
  <c r="Z645" i="13"/>
  <c r="Z1725" i="13"/>
  <c r="Z593" i="13"/>
  <c r="Z1149" i="13"/>
  <c r="Z2206" i="13"/>
  <c r="Z772" i="13"/>
  <c r="Z1415" i="13"/>
  <c r="Z1771" i="13"/>
  <c r="Z2862" i="13"/>
  <c r="Z2191" i="13"/>
  <c r="Z2045" i="13"/>
  <c r="Z1466" i="13"/>
  <c r="Z2079" i="13"/>
  <c r="Z3241" i="13"/>
  <c r="Z984" i="13"/>
  <c r="Z169" i="13"/>
  <c r="Z2208" i="13"/>
  <c r="Z1505" i="13"/>
  <c r="Z730" i="13"/>
  <c r="Z2093" i="13"/>
  <c r="Z2559" i="13"/>
  <c r="Z2144" i="13"/>
  <c r="Z1732" i="13"/>
  <c r="Z89" i="13"/>
  <c r="Z559" i="13"/>
  <c r="Z2557" i="13"/>
  <c r="Z1964" i="13"/>
  <c r="Z3461" i="13"/>
  <c r="Z446" i="13"/>
  <c r="Z846" i="13"/>
  <c r="Z2793" i="13"/>
  <c r="Z547" i="13"/>
  <c r="Z1301" i="13"/>
  <c r="Z1269" i="13"/>
  <c r="Z1155" i="13"/>
  <c r="Z2733" i="13"/>
  <c r="Z1971" i="13"/>
  <c r="Z2994" i="13"/>
  <c r="Z3419" i="13"/>
  <c r="Z2826" i="13"/>
  <c r="Z1476" i="13"/>
  <c r="Z3541" i="13"/>
  <c r="Z925" i="13"/>
  <c r="Z658" i="13"/>
  <c r="Z370" i="13"/>
  <c r="Z2682" i="13"/>
  <c r="Z2668" i="13"/>
  <c r="Z2561" i="13"/>
  <c r="Z2015" i="13"/>
  <c r="Z2526" i="13"/>
  <c r="Z1676" i="13"/>
  <c r="Z1325" i="13"/>
  <c r="Z2915" i="13"/>
  <c r="Z3342" i="13"/>
  <c r="Z3543" i="13"/>
  <c r="Z267" i="13"/>
  <c r="Z2977" i="13"/>
  <c r="Z1932" i="13"/>
  <c r="Z3085" i="13"/>
  <c r="Z2900" i="13"/>
  <c r="Z3338" i="13"/>
  <c r="Z2533" i="13"/>
  <c r="Z3125" i="13"/>
  <c r="Z1698" i="13"/>
  <c r="Z1222" i="13"/>
  <c r="Z126" i="13"/>
  <c r="Z2607" i="13"/>
  <c r="Z2800" i="13"/>
  <c r="Z3319" i="13"/>
  <c r="Z3192" i="13"/>
  <c r="Z432" i="13"/>
  <c r="Z95" i="13"/>
  <c r="Z287" i="13"/>
  <c r="Z787" i="13"/>
  <c r="Z1442" i="13"/>
  <c r="Z2938" i="13"/>
  <c r="Z2342" i="13"/>
  <c r="Z3396" i="13"/>
  <c r="Z3004" i="13"/>
  <c r="Z3448" i="13"/>
  <c r="Z1431" i="13"/>
  <c r="Z2061" i="13"/>
  <c r="Z2581" i="13"/>
  <c r="Z2498" i="13"/>
  <c r="Z2293" i="13"/>
  <c r="Z1020" i="13"/>
  <c r="Z245" i="13"/>
  <c r="Z232" i="13"/>
  <c r="Z1175" i="13"/>
  <c r="Z1665" i="13"/>
  <c r="Z3082" i="13"/>
  <c r="Z2573" i="13"/>
  <c r="Z1935" i="13"/>
  <c r="Z598" i="13"/>
  <c r="Z1809" i="13"/>
  <c r="Z3494" i="13"/>
  <c r="Z3499" i="13"/>
  <c r="Z1792" i="13"/>
  <c r="Z41" i="13"/>
  <c r="Z2687" i="13"/>
  <c r="Z1462" i="13"/>
  <c r="Z3233" i="13"/>
  <c r="Z3540" i="13"/>
  <c r="Z2935" i="13"/>
  <c r="Z2876" i="13"/>
  <c r="Z3120" i="13"/>
  <c r="Z2755" i="13"/>
  <c r="Z865" i="13"/>
  <c r="Z680" i="13"/>
  <c r="Z958" i="13"/>
  <c r="Z3429" i="13"/>
  <c r="Z3254" i="13"/>
  <c r="Z1887" i="13"/>
  <c r="Z92" i="13"/>
  <c r="Z29" i="13"/>
  <c r="Z22" i="13"/>
  <c r="Z1654" i="13"/>
  <c r="Z2028" i="13"/>
  <c r="Z1072" i="13"/>
  <c r="Z1925" i="13"/>
  <c r="Z1437" i="13"/>
  <c r="Z1779" i="13"/>
  <c r="Z3202" i="13"/>
  <c r="Z3388" i="13"/>
  <c r="Z2098" i="13"/>
  <c r="Z2684" i="13"/>
  <c r="Z3176" i="13"/>
  <c r="Z1861" i="13"/>
  <c r="Z3520" i="13"/>
  <c r="Z1540" i="13"/>
  <c r="Z1401" i="13"/>
  <c r="Z3008" i="13"/>
  <c r="Z2249" i="13"/>
  <c r="Z2203" i="13"/>
  <c r="Z1190" i="13"/>
  <c r="Z73" i="13"/>
  <c r="Z2944" i="13"/>
  <c r="Z2554" i="13"/>
  <c r="Z3510" i="13"/>
  <c r="Z2621" i="13"/>
  <c r="Z1481" i="13"/>
  <c r="Z3368" i="13"/>
  <c r="Z2422" i="13"/>
  <c r="Z1207" i="13"/>
  <c r="Z3260" i="13"/>
  <c r="Z579" i="13"/>
  <c r="Z1527" i="13"/>
  <c r="Z494" i="13"/>
  <c r="Z1039" i="13"/>
  <c r="J99" i="5"/>
  <c r="J123" i="5"/>
  <c r="J2" i="5"/>
  <c r="J75" i="5"/>
  <c r="J37" i="5"/>
  <c r="J97" i="5"/>
  <c r="J81" i="5"/>
  <c r="J93" i="5"/>
  <c r="J80" i="5"/>
  <c r="T103" i="13"/>
  <c r="Z2857" i="13"/>
  <c r="Z364" i="13"/>
  <c r="Z3221" i="13"/>
  <c r="Z3219" i="13"/>
  <c r="Z2014" i="13"/>
  <c r="Z740" i="13"/>
  <c r="Z1295" i="13"/>
  <c r="Z1988" i="13"/>
  <c r="Z739" i="13"/>
  <c r="Z2314" i="13"/>
  <c r="Z1993" i="13"/>
  <c r="Z1111" i="13"/>
  <c r="Z1280" i="13"/>
  <c r="Z1631" i="13"/>
  <c r="Z296" i="13"/>
  <c r="Z493" i="13"/>
  <c r="Z411" i="13"/>
  <c r="Z1695" i="13"/>
  <c r="Z2078" i="13"/>
  <c r="Z933" i="13"/>
  <c r="Z2376" i="13"/>
  <c r="Z1049" i="13"/>
  <c r="Z74" i="13"/>
  <c r="Z2518" i="13"/>
  <c r="Z1290" i="13"/>
  <c r="Z3372" i="13"/>
  <c r="Z676" i="13"/>
  <c r="Z1059" i="13"/>
  <c r="Z1621" i="13"/>
  <c r="Z1622" i="13"/>
  <c r="Z2476" i="13"/>
  <c r="Z747" i="13"/>
  <c r="Z2753" i="13"/>
  <c r="Z1928" i="13"/>
  <c r="Z328" i="13"/>
  <c r="Z2064" i="13"/>
  <c r="Z2447" i="13"/>
  <c r="Z1150" i="13"/>
  <c r="Z2788" i="13"/>
  <c r="Z1272" i="13"/>
  <c r="Z2200" i="13"/>
  <c r="Z1566" i="13"/>
  <c r="Z2811" i="13"/>
  <c r="Z1264" i="13"/>
  <c r="Z2907" i="13"/>
  <c r="Z2415" i="13"/>
  <c r="Z976" i="13"/>
  <c r="Z640" i="13"/>
  <c r="Z3387" i="13"/>
  <c r="Z2968" i="13"/>
  <c r="Z2824" i="13"/>
  <c r="Z1212" i="13"/>
  <c r="Z3157" i="13"/>
  <c r="Z794" i="13"/>
  <c r="Z641" i="13"/>
  <c r="Z591" i="13"/>
  <c r="Z1620" i="13"/>
  <c r="Z1751" i="13"/>
  <c r="Z1600" i="13"/>
  <c r="Z1381" i="13"/>
  <c r="Z96" i="13"/>
  <c r="Z1123" i="13"/>
  <c r="Z246" i="13"/>
  <c r="Z1030" i="13"/>
  <c r="Z3511" i="13"/>
  <c r="Z2814" i="13"/>
  <c r="Z973" i="13"/>
  <c r="Z2653" i="13"/>
  <c r="Z1322" i="13"/>
  <c r="Z2492" i="13"/>
  <c r="Z2497" i="13"/>
  <c r="Z3490" i="13"/>
  <c r="Z3528" i="13"/>
  <c r="Z3544" i="13"/>
  <c r="Z844" i="13"/>
  <c r="Z165" i="13"/>
  <c r="Z2572" i="13"/>
  <c r="Z3002" i="13"/>
  <c r="Z2930" i="13"/>
  <c r="Z2884" i="13"/>
  <c r="Z2626" i="13"/>
  <c r="Z121" i="13"/>
  <c r="Z1192" i="13"/>
  <c r="Z3324" i="13"/>
  <c r="Z1831" i="13"/>
  <c r="Z1519" i="13"/>
  <c r="Z512" i="13"/>
  <c r="Z1033" i="13"/>
  <c r="Z1238" i="13"/>
  <c r="Z2725" i="13"/>
  <c r="Z3047" i="13"/>
  <c r="Z2852" i="13"/>
  <c r="Z3285" i="13"/>
  <c r="Z2107" i="13"/>
  <c r="Z979" i="13"/>
  <c r="Z2043" i="13"/>
  <c r="Z2131" i="13"/>
  <c r="Z2030" i="13"/>
  <c r="Z1302" i="13"/>
  <c r="Z2550" i="13"/>
  <c r="Z1083" i="13"/>
  <c r="Z2555" i="13"/>
  <c r="Z155" i="13"/>
  <c r="Z400" i="13"/>
  <c r="Z1903" i="13"/>
  <c r="Z2190" i="13"/>
  <c r="Z3128" i="13"/>
  <c r="Z1362" i="13"/>
  <c r="Z2446" i="13"/>
  <c r="Z2861" i="13"/>
  <c r="Z2613" i="13"/>
  <c r="Z3005" i="13"/>
  <c r="Z2455" i="13"/>
  <c r="Z272" i="13"/>
  <c r="J85" i="5"/>
  <c r="J43" i="5"/>
  <c r="J1" i="5"/>
  <c r="J54" i="5"/>
  <c r="J119" i="5"/>
  <c r="J90" i="5"/>
  <c r="J16" i="5"/>
  <c r="J55" i="5"/>
  <c r="Z181" i="13"/>
  <c r="Z1044" i="13"/>
  <c r="Z1496" i="13"/>
  <c r="Z2485" i="13"/>
  <c r="Z48" i="13"/>
  <c r="Z533" i="13"/>
  <c r="Z1359" i="13"/>
  <c r="Z203" i="13"/>
  <c r="Z167" i="13"/>
  <c r="Z356" i="13"/>
  <c r="Z309" i="13"/>
  <c r="Z2963" i="13"/>
  <c r="Z1523" i="13"/>
  <c r="Z1780" i="13"/>
  <c r="Z669" i="13"/>
  <c r="Z2777" i="13"/>
  <c r="Z1952" i="13"/>
  <c r="Z822" i="13"/>
  <c r="Z816" i="13"/>
  <c r="Z2265" i="13"/>
  <c r="Z2350" i="13"/>
  <c r="Z807" i="13"/>
  <c r="Z1638" i="13"/>
  <c r="Z2588" i="13"/>
  <c r="Z2465" i="13"/>
  <c r="Z347" i="13"/>
  <c r="Z2510" i="13"/>
  <c r="Z1445" i="13"/>
  <c r="Z325" i="13"/>
  <c r="Z1229" i="13"/>
  <c r="Z3267" i="13"/>
  <c r="Z622" i="13"/>
  <c r="Z2207" i="13"/>
  <c r="Z2694" i="13"/>
  <c r="Z2625" i="13"/>
  <c r="Z2622" i="13"/>
  <c r="Z225" i="13"/>
  <c r="Z3189" i="13"/>
  <c r="Z704" i="13"/>
  <c r="Z894" i="13"/>
  <c r="Z885" i="13"/>
  <c r="Z3106" i="13"/>
  <c r="Z2767" i="13"/>
  <c r="Z2742" i="13"/>
  <c r="Z3465" i="13"/>
  <c r="Z271" i="13"/>
  <c r="Z1773" i="13"/>
  <c r="Z2661" i="13"/>
  <c r="Z2745" i="13"/>
  <c r="Z1855" i="13"/>
  <c r="Z1862" i="13"/>
  <c r="Z1530" i="13"/>
  <c r="Z2603" i="13"/>
  <c r="Z3293" i="13"/>
  <c r="Z2706" i="13"/>
  <c r="Z3193" i="13"/>
  <c r="Z384" i="13"/>
  <c r="Z513" i="13"/>
  <c r="Z702" i="13"/>
  <c r="Z2458" i="13"/>
  <c r="Z1891" i="13"/>
  <c r="Z1847" i="13"/>
  <c r="Z2438" i="13"/>
  <c r="Z2527" i="13"/>
  <c r="Z2679" i="13"/>
  <c r="Z728" i="13"/>
  <c r="Z3091" i="13"/>
  <c r="Z1357" i="13"/>
  <c r="Z1545" i="13"/>
  <c r="Z1553" i="13"/>
  <c r="Z1534" i="13"/>
  <c r="Z1650" i="13"/>
  <c r="Z2988" i="13"/>
  <c r="Z2627" i="13"/>
  <c r="Z1196" i="13"/>
  <c r="Z3423" i="13"/>
  <c r="Z321" i="13"/>
  <c r="Z737" i="13"/>
  <c r="Z2149" i="13"/>
  <c r="Z2160" i="13"/>
  <c r="Z1767" i="13"/>
  <c r="Z2289" i="13"/>
  <c r="Z2967" i="13"/>
  <c r="Z3207" i="13"/>
  <c r="Z1708" i="13"/>
  <c r="Z856" i="13"/>
  <c r="Z2176" i="13"/>
  <c r="Z2850" i="13"/>
  <c r="Z2887" i="13"/>
  <c r="Z3046" i="13"/>
  <c r="Z1276" i="13"/>
  <c r="Z1260" i="13"/>
  <c r="Z3481" i="13"/>
  <c r="Z1283" i="13"/>
  <c r="Z1204" i="13"/>
  <c r="Z1558" i="13"/>
  <c r="Z1369" i="13"/>
  <c r="Z1014" i="13"/>
  <c r="Z2023" i="13"/>
  <c r="Z943" i="13"/>
  <c r="Z208" i="13"/>
  <c r="Z333" i="13"/>
  <c r="Z1995" i="13"/>
  <c r="Z458" i="13"/>
  <c r="Z2849" i="13"/>
  <c r="Z3141" i="13"/>
  <c r="Z3400" i="13"/>
  <c r="Z1875" i="13"/>
  <c r="Z2772" i="13"/>
  <c r="Z1300" i="13"/>
  <c r="Z1043" i="13"/>
  <c r="Z2462" i="13"/>
  <c r="Z3345" i="13"/>
  <c r="Z2818" i="13"/>
  <c r="Z2740" i="13"/>
  <c r="Z2678" i="13"/>
  <c r="Z1797" i="13"/>
  <c r="Z3246" i="13"/>
  <c r="Z2385" i="13"/>
  <c r="Z2511" i="13"/>
  <c r="Z2104" i="13"/>
  <c r="Z521" i="13"/>
  <c r="Z2532" i="13"/>
  <c r="Z2746" i="13"/>
  <c r="Z678" i="13"/>
  <c r="Z1147" i="13"/>
  <c r="Z1074" i="13"/>
  <c r="Z3420" i="13"/>
  <c r="Z2244" i="13"/>
  <c r="Z802" i="13"/>
  <c r="Z2271" i="13"/>
  <c r="Z345" i="13"/>
  <c r="Z1815" i="13"/>
  <c r="Z3542" i="13"/>
  <c r="Z2120" i="13"/>
  <c r="Z3171" i="13"/>
  <c r="Z3340" i="13"/>
  <c r="Z936" i="13"/>
  <c r="Z2806" i="13"/>
  <c r="Z50" i="13"/>
  <c r="Z743" i="13"/>
  <c r="Z2175" i="13"/>
  <c r="Z486" i="13"/>
  <c r="Z3041" i="13"/>
  <c r="Z2479" i="13"/>
  <c r="Z1846" i="13"/>
  <c r="Z3079" i="13"/>
  <c r="Z1974" i="13"/>
  <c r="Z1343" i="13"/>
  <c r="Z2903" i="13"/>
  <c r="J111" i="5"/>
  <c r="J92" i="5"/>
  <c r="J38" i="5"/>
  <c r="J71" i="5"/>
  <c r="J14" i="5"/>
  <c r="J62" i="5"/>
  <c r="J30" i="5"/>
  <c r="J19" i="5"/>
  <c r="J53" i="5"/>
  <c r="J35" i="5"/>
  <c r="Z439" i="13"/>
  <c r="Z2665" i="13"/>
  <c r="Z268" i="13"/>
  <c r="Z3102" i="13"/>
  <c r="Z1588" i="13"/>
  <c r="Z618" i="13"/>
  <c r="Z252" i="13"/>
  <c r="Z2004" i="13"/>
  <c r="Z1307" i="13"/>
  <c r="Z3391" i="13"/>
  <c r="Z1902" i="13"/>
  <c r="Z1845" i="13"/>
  <c r="Z1930" i="13"/>
  <c r="Z717" i="13"/>
  <c r="Z3065" i="13"/>
  <c r="Z762" i="13"/>
  <c r="Z1597" i="13"/>
  <c r="Z1516" i="13"/>
  <c r="Z1547" i="13"/>
  <c r="Z1099" i="13"/>
  <c r="Z2416" i="13"/>
  <c r="Z1086" i="13"/>
  <c r="Z2119" i="13"/>
  <c r="Z1498" i="13"/>
  <c r="Z348" i="13"/>
  <c r="Z1308" i="13"/>
  <c r="Z981" i="13"/>
  <c r="Z1371" i="13"/>
  <c r="Z397" i="13"/>
  <c r="Z3395" i="13"/>
  <c r="Z2125" i="13"/>
  <c r="Z2363" i="13"/>
  <c r="Z3503" i="13"/>
  <c r="Z760" i="13"/>
  <c r="Z1533" i="13"/>
  <c r="Z685" i="13"/>
  <c r="Z1472" i="13"/>
  <c r="Z319" i="13"/>
  <c r="Z1026" i="13"/>
  <c r="Z1166" i="13"/>
  <c r="Z3243" i="13"/>
  <c r="Z2001" i="13"/>
  <c r="Z3099" i="13"/>
  <c r="Z1844" i="13"/>
  <c r="Z1997" i="13"/>
  <c r="Z1183" i="13"/>
  <c r="Z2512" i="13"/>
  <c r="Z1670" i="13"/>
  <c r="Z1959" i="13"/>
  <c r="Z634" i="13"/>
  <c r="Z2934" i="13"/>
  <c r="Z3137" i="13"/>
  <c r="Z1383" i="13"/>
  <c r="Z196" i="13"/>
  <c r="Z1535" i="13"/>
  <c r="Z477" i="13"/>
  <c r="Z234" i="13"/>
  <c r="Z1510" i="13"/>
  <c r="Z2002" i="13"/>
  <c r="Z2411" i="13"/>
  <c r="Z3492" i="13"/>
  <c r="Z1883" i="13"/>
  <c r="Z2406" i="13"/>
  <c r="Z1244" i="13"/>
  <c r="Z1929" i="13"/>
  <c r="Z2240" i="13"/>
  <c r="Z2346" i="13"/>
  <c r="Z91" i="13"/>
  <c r="Z1884" i="13"/>
  <c r="Z2417" i="13"/>
  <c r="Z3142" i="13"/>
  <c r="Z2715" i="13"/>
  <c r="Z3384" i="13"/>
  <c r="Z20" i="13"/>
  <c r="Z2324" i="13"/>
  <c r="Z853" i="13"/>
  <c r="Z391" i="13"/>
  <c r="Z1639" i="13"/>
  <c r="Z1378" i="13"/>
  <c r="Z3504" i="13"/>
  <c r="Z2539" i="13"/>
  <c r="Z3500" i="13"/>
  <c r="Z516" i="13"/>
  <c r="Z2821" i="13"/>
  <c r="Z1909" i="13"/>
  <c r="Z1574" i="13"/>
  <c r="Z1135" i="13"/>
  <c r="Z2390" i="13"/>
  <c r="Z27" i="13"/>
  <c r="Z3146" i="13"/>
  <c r="Z330" i="13"/>
  <c r="Z1856" i="13"/>
  <c r="Z3092" i="13"/>
  <c r="Z2135" i="13"/>
  <c r="Z34" i="13"/>
  <c r="Z3173" i="13"/>
  <c r="J94" i="5"/>
  <c r="Z2013" i="13"/>
  <c r="Z1931" i="13"/>
  <c r="J118" i="5"/>
  <c r="J105" i="5"/>
  <c r="Z2124" i="13"/>
  <c r="Z3056" i="13"/>
  <c r="Z1104" i="13"/>
  <c r="Z1199" i="13"/>
  <c r="Z3464" i="13"/>
  <c r="Z241" i="13"/>
  <c r="Z2464" i="13"/>
  <c r="Z1506" i="13"/>
  <c r="Z3032" i="13"/>
  <c r="Z2712" i="13"/>
  <c r="Z1435" i="13"/>
  <c r="Z2402" i="13"/>
  <c r="Z1418" i="13"/>
  <c r="Z1470" i="13"/>
  <c r="Z148" i="13"/>
  <c r="Z1947" i="13"/>
  <c r="Z1975" i="13"/>
  <c r="J56" i="5"/>
  <c r="Z1469" i="13"/>
  <c r="Z3001" i="13"/>
  <c r="Z3460" i="13"/>
  <c r="Z1053" i="13"/>
  <c r="Z2195" i="13"/>
  <c r="Z1046" i="13"/>
  <c r="Z1648" i="13"/>
  <c r="Z570" i="13"/>
  <c r="Z3351" i="13"/>
  <c r="Z3007" i="13"/>
  <c r="Z909" i="13"/>
  <c r="Z549" i="13"/>
  <c r="Z1486" i="13"/>
  <c r="Z614" i="13"/>
  <c r="Z2387" i="13"/>
  <c r="Z3292" i="13"/>
  <c r="Z3421" i="13"/>
  <c r="Z188" i="13"/>
  <c r="Z1488" i="13"/>
  <c r="Z628" i="13"/>
  <c r="Z1191" i="13"/>
  <c r="Z514" i="13"/>
  <c r="Z1514" i="13"/>
  <c r="Z2997" i="13"/>
  <c r="Z2366" i="13"/>
  <c r="Z3364" i="13"/>
  <c r="Z2282" i="13"/>
  <c r="Z186" i="13"/>
  <c r="J64" i="5"/>
  <c r="Z1409" i="13"/>
  <c r="Z292" i="13"/>
  <c r="S21" i="13"/>
  <c r="S74" i="13"/>
  <c r="S83" i="13"/>
  <c r="S73" i="13"/>
  <c r="S88" i="13"/>
  <c r="S85" i="13"/>
  <c r="S77" i="13"/>
  <c r="S19" i="13"/>
  <c r="S84" i="13"/>
  <c r="S75" i="13"/>
  <c r="S80" i="13"/>
  <c r="S87" i="13"/>
  <c r="S23" i="13"/>
  <c r="S81" i="13"/>
  <c r="S82" i="13"/>
  <c r="S20" i="13"/>
  <c r="D29" i="6"/>
  <c r="S24" i="13"/>
  <c r="AA19" i="13" a="1"/>
  <c r="S22" i="13"/>
  <c r="S86" i="13"/>
  <c r="S76" i="13"/>
  <c r="S79" i="13"/>
  <c r="S89" i="13"/>
  <c r="S78" i="13"/>
  <c r="T98" i="13" l="1"/>
  <c r="T92" i="13"/>
  <c r="T108" i="13"/>
  <c r="T85" i="13"/>
  <c r="T89" i="13"/>
  <c r="AA31" i="13"/>
  <c r="AA1266" i="13"/>
  <c r="AA971" i="13"/>
  <c r="AA420" i="13"/>
  <c r="AA2804" i="13"/>
  <c r="AA1345" i="13"/>
  <c r="AA2653" i="13"/>
  <c r="AA927" i="13"/>
  <c r="AA944" i="13"/>
  <c r="AA3368" i="13"/>
  <c r="AA1419" i="13"/>
  <c r="AA3357" i="13"/>
  <c r="AA2643" i="13"/>
  <c r="AA3547" i="13"/>
  <c r="AA322" i="13"/>
  <c r="AA3376" i="13"/>
  <c r="AA1339" i="13"/>
  <c r="AA2524" i="13"/>
  <c r="AA3313" i="13"/>
  <c r="AA1978" i="13"/>
  <c r="AA1392" i="13"/>
  <c r="AA903" i="13"/>
  <c r="AA3012" i="13"/>
  <c r="AA323" i="13"/>
  <c r="AA501" i="13"/>
  <c r="AA2654" i="13"/>
  <c r="AA1343" i="13"/>
  <c r="AA1079" i="13"/>
  <c r="AA1523" i="13"/>
  <c r="AA23" i="13"/>
  <c r="AA1158" i="13"/>
  <c r="AA1098" i="13"/>
  <c r="AA1232" i="13"/>
  <c r="AA574" i="13"/>
  <c r="AA2082" i="13"/>
  <c r="AA3247" i="13"/>
  <c r="AA469" i="13"/>
  <c r="AA2805" i="13"/>
  <c r="AA490" i="13"/>
  <c r="AA1772" i="13"/>
  <c r="AA3088" i="13"/>
  <c r="AA1315" i="13"/>
  <c r="AA2681" i="13"/>
  <c r="AA1681" i="13"/>
  <c r="AA1050" i="13"/>
  <c r="AA2246" i="13"/>
  <c r="AA1437" i="13"/>
  <c r="AA493" i="13"/>
  <c r="AA1069" i="13"/>
  <c r="AA1709" i="13"/>
  <c r="AA3014" i="13"/>
  <c r="AA477" i="13"/>
  <c r="AA1808" i="13"/>
  <c r="AA1911" i="13"/>
  <c r="AA1635" i="13"/>
  <c r="AA2142" i="13"/>
  <c r="AA3162" i="13"/>
  <c r="AA1328" i="13"/>
  <c r="AA2642" i="13"/>
  <c r="AA1170" i="13"/>
  <c r="AA298" i="13"/>
  <c r="AA3324" i="13"/>
  <c r="AA758" i="13"/>
  <c r="AA1382" i="13"/>
  <c r="AA1123" i="13"/>
  <c r="AA2105" i="13"/>
  <c r="AA2848" i="13"/>
  <c r="AA937" i="13"/>
  <c r="AA218" i="13"/>
  <c r="AA1644" i="13"/>
  <c r="AA2936" i="13"/>
  <c r="AA2704" i="13"/>
  <c r="AA2765" i="13"/>
  <c r="AA3298" i="13"/>
  <c r="AA1696" i="13"/>
  <c r="AA2132" i="13"/>
  <c r="AA1282" i="13"/>
  <c r="AA724" i="13"/>
  <c r="AA2461" i="13"/>
  <c r="AA473" i="13"/>
  <c r="AA484" i="13"/>
  <c r="AA1448" i="13"/>
  <c r="AA708" i="13"/>
  <c r="AA1330" i="13"/>
  <c r="AA3276" i="13"/>
  <c r="AA3147" i="13"/>
  <c r="AA872" i="13"/>
  <c r="AA3057" i="13"/>
  <c r="AA1360" i="13"/>
  <c r="AA77" i="13"/>
  <c r="AA3499" i="13"/>
  <c r="AA548" i="13"/>
  <c r="AA3282" i="13"/>
  <c r="AA2815" i="13"/>
  <c r="AA1274" i="13"/>
  <c r="AA383" i="13"/>
  <c r="AA1977" i="13"/>
  <c r="AA3254" i="13"/>
  <c r="AA2281" i="13"/>
  <c r="AA411" i="13"/>
  <c r="AA2101" i="13"/>
  <c r="AA2684" i="13"/>
  <c r="AA2564" i="13"/>
  <c r="AA2560" i="13"/>
  <c r="AA1827" i="13"/>
  <c r="AA2955" i="13"/>
  <c r="AA3540" i="13"/>
  <c r="AA2953" i="13"/>
  <c r="AA735" i="13"/>
  <c r="AA2998" i="13"/>
  <c r="AA2625" i="13"/>
  <c r="AA288" i="13"/>
  <c r="AA398" i="13"/>
  <c r="AA228" i="13"/>
  <c r="AA2918" i="13"/>
  <c r="AA593" i="13"/>
  <c r="AA833" i="13"/>
  <c r="AA311" i="13"/>
  <c r="AA2179" i="13"/>
  <c r="AA2568" i="13"/>
  <c r="AA1516" i="13"/>
  <c r="AA2292" i="13"/>
  <c r="AA1128" i="13"/>
  <c r="AA3362" i="13"/>
  <c r="AA748" i="13"/>
  <c r="AA2874" i="13"/>
  <c r="AA1110" i="13"/>
  <c r="AA2353" i="13"/>
  <c r="AA2067" i="13"/>
  <c r="AA3200" i="13"/>
  <c r="AA3296" i="13"/>
  <c r="AA2245" i="13"/>
  <c r="AA2279" i="13"/>
  <c r="AA1960" i="13"/>
  <c r="AA2380" i="13"/>
  <c r="AA2709" i="13"/>
  <c r="AA1156" i="13"/>
  <c r="AA1527" i="13"/>
  <c r="AA2097" i="13"/>
  <c r="AA2119" i="13"/>
  <c r="AA3071" i="13"/>
  <c r="AA1714" i="13"/>
  <c r="AA2896" i="13"/>
  <c r="AA3074" i="13"/>
  <c r="AA599" i="13"/>
  <c r="AA946" i="13"/>
  <c r="AA1749" i="13"/>
  <c r="AA2215" i="13"/>
  <c r="AA44" i="13"/>
  <c r="AA1711" i="13"/>
  <c r="AA726" i="13"/>
  <c r="AA1203" i="13"/>
  <c r="AA3250" i="13"/>
  <c r="AA22" i="13"/>
  <c r="AA450" i="13"/>
  <c r="AA1425" i="13"/>
  <c r="AA2854" i="13"/>
  <c r="AA575" i="13"/>
  <c r="AA1159" i="13"/>
  <c r="AA249" i="13"/>
  <c r="AA3283" i="13"/>
  <c r="AA128" i="13"/>
  <c r="AA3137" i="13"/>
  <c r="AA1969" i="13"/>
  <c r="AA3542" i="13"/>
  <c r="AA1513" i="13"/>
  <c r="AA1439" i="13"/>
  <c r="AA528" i="13"/>
  <c r="AA1353" i="13"/>
  <c r="AA2739" i="13"/>
  <c r="AA186" i="13"/>
  <c r="AA1131" i="13"/>
  <c r="AA2044" i="13"/>
  <c r="AA114" i="13"/>
  <c r="AA2571" i="13"/>
  <c r="AA2812" i="13"/>
  <c r="AA3303" i="13"/>
  <c r="AA120" i="13"/>
  <c r="AA2232" i="13"/>
  <c r="AA102" i="13"/>
  <c r="AA1107" i="13"/>
  <c r="AA1287" i="13"/>
  <c r="AA1664" i="13"/>
  <c r="AA245" i="13"/>
  <c r="AA1367" i="13"/>
  <c r="AA675" i="13"/>
  <c r="AA3378" i="13"/>
  <c r="AA862" i="13"/>
  <c r="AA992" i="13"/>
  <c r="AA2469" i="13"/>
  <c r="AA1383" i="13"/>
  <c r="AA1706" i="13"/>
  <c r="AA1837" i="13"/>
  <c r="AA2726" i="13"/>
  <c r="AA1941" i="13"/>
  <c r="AA1962" i="13"/>
  <c r="AA3211" i="13"/>
  <c r="AA1422" i="13"/>
  <c r="AA69" i="13"/>
  <c r="AA497" i="13"/>
  <c r="AA2295" i="13"/>
  <c r="AA203" i="13"/>
  <c r="AA460" i="13"/>
  <c r="AA3114" i="13"/>
  <c r="AA731" i="13"/>
  <c r="AA3064" i="13"/>
  <c r="AA1559" i="13"/>
  <c r="AA2124" i="13"/>
  <c r="AA1833" i="13"/>
  <c r="AA1979" i="13"/>
  <c r="AA3539" i="13"/>
  <c r="AA3464" i="13"/>
  <c r="AA1554" i="13"/>
  <c r="AA3168" i="13"/>
  <c r="AA3541" i="13"/>
  <c r="AA3181" i="13"/>
  <c r="AA209" i="13"/>
  <c r="AA416" i="13"/>
  <c r="AA1142" i="13"/>
  <c r="AA3475" i="13"/>
  <c r="AA82" i="13"/>
  <c r="AA2074" i="13"/>
  <c r="AA2310" i="13"/>
  <c r="AA743" i="13"/>
  <c r="AA1659" i="13"/>
  <c r="AA2500" i="13"/>
  <c r="AA2382" i="13"/>
  <c r="AA1495" i="13"/>
  <c r="AA2495" i="13"/>
  <c r="AA2244" i="13"/>
  <c r="AA1007" i="13"/>
  <c r="AA2493" i="13"/>
  <c r="AA761" i="13"/>
  <c r="AA2609" i="13"/>
  <c r="AA3274" i="13"/>
  <c r="AA2777" i="13"/>
  <c r="AA2867" i="13"/>
  <c r="AA571" i="13"/>
  <c r="AA1430" i="13"/>
  <c r="AA846" i="13"/>
  <c r="AA2392" i="13"/>
  <c r="AA1522" i="13"/>
  <c r="AA250" i="13"/>
  <c r="AA2161" i="13"/>
  <c r="AA295" i="13"/>
  <c r="AA2672" i="13"/>
  <c r="AA3026" i="13"/>
  <c r="AA554" i="13"/>
  <c r="AA1823" i="13"/>
  <c r="AA3083" i="13"/>
  <c r="AA3065" i="13"/>
  <c r="AA592" i="13"/>
  <c r="AA276" i="13"/>
  <c r="AA169" i="13"/>
  <c r="AA2539" i="13"/>
  <c r="AA3301" i="13"/>
  <c r="AA1849" i="13"/>
  <c r="AA2370" i="13"/>
  <c r="AA2984" i="13"/>
  <c r="AA3271" i="13"/>
  <c r="AA399" i="13"/>
  <c r="AA1391" i="13"/>
  <c r="AA683" i="13"/>
  <c r="AA2602" i="13"/>
  <c r="AA3459" i="13"/>
  <c r="AA1112" i="13"/>
  <c r="AA368" i="13"/>
  <c r="AA2276" i="13"/>
  <c r="AA3007" i="13"/>
  <c r="AA3207" i="13"/>
  <c r="AA734" i="13"/>
  <c r="AA1351" i="13"/>
  <c r="AA1269" i="13"/>
  <c r="AA2262" i="13"/>
  <c r="AA2162" i="13"/>
  <c r="AA925" i="13"/>
  <c r="AA2377" i="13"/>
  <c r="AA1529" i="13"/>
  <c r="AA39" i="13"/>
  <c r="AA2760" i="13"/>
  <c r="AA479" i="13"/>
  <c r="AA1186" i="13"/>
  <c r="AA2268" i="13"/>
  <c r="AA2071" i="13"/>
  <c r="AA1313" i="13"/>
  <c r="AA310" i="13"/>
  <c r="AA86" i="13"/>
  <c r="AA1097" i="13"/>
  <c r="AA219" i="13"/>
  <c r="AA3484" i="13"/>
  <c r="AA883" i="13"/>
  <c r="AA168" i="13"/>
  <c r="AA941" i="13"/>
  <c r="AA534" i="13"/>
  <c r="AA336" i="13"/>
  <c r="AA1213" i="13"/>
  <c r="AA789" i="13"/>
  <c r="AA657" i="13"/>
  <c r="AA690" i="13"/>
  <c r="AA836" i="13"/>
  <c r="AA2409" i="13"/>
  <c r="AA1140" i="13"/>
  <c r="AA2977" i="13"/>
  <c r="AA3121" i="13"/>
  <c r="AA1460" i="13"/>
  <c r="AA2860" i="13"/>
  <c r="AA2934" i="13"/>
  <c r="AA1964" i="13"/>
  <c r="AA2531" i="13"/>
  <c r="AA1488" i="13"/>
  <c r="AA2737" i="13"/>
  <c r="AA2540" i="13"/>
  <c r="AA1167" i="13"/>
  <c r="AA3069" i="13"/>
  <c r="AA1377" i="13"/>
  <c r="AA508" i="13"/>
  <c r="AA1864" i="13"/>
  <c r="AA760" i="13"/>
  <c r="AA2286" i="13"/>
  <c r="AA3184" i="13"/>
  <c r="AA988" i="13"/>
  <c r="AA2004" i="13"/>
  <c r="AA461" i="13"/>
  <c r="AA2604" i="13"/>
  <c r="AA277" i="13"/>
  <c r="AA2459" i="13"/>
  <c r="AA264" i="13"/>
  <c r="AA1618" i="13"/>
  <c r="AA2885" i="13"/>
  <c r="AA2218" i="13"/>
  <c r="AA557" i="13"/>
  <c r="AA1144" i="13"/>
  <c r="AA3020" i="13"/>
  <c r="AA1010" i="13"/>
  <c r="AA2675" i="13"/>
  <c r="AA1064" i="13"/>
  <c r="AA2957" i="13"/>
  <c r="T90" i="13"/>
  <c r="T100" i="13"/>
  <c r="T107" i="13"/>
  <c r="T87" i="13"/>
  <c r="T21" i="13"/>
  <c r="AA1467" i="13"/>
  <c r="AA1148" i="13"/>
  <c r="AA1400" i="13"/>
  <c r="AA136" i="13"/>
  <c r="AA2005" i="13"/>
  <c r="AA2511" i="13"/>
  <c r="AA1617" i="13"/>
  <c r="AA1227" i="13"/>
  <c r="AA3294" i="13"/>
  <c r="AA917" i="13"/>
  <c r="AA349" i="13"/>
  <c r="AA2144" i="13"/>
  <c r="AA3295" i="13"/>
  <c r="AA3471" i="13"/>
  <c r="AA1028" i="13"/>
  <c r="AA1299" i="13"/>
  <c r="AA767" i="13"/>
  <c r="AA1831" i="13"/>
  <c r="AA3439" i="13"/>
  <c r="AA3056" i="13"/>
  <c r="AA189" i="13"/>
  <c r="AA1077" i="13"/>
  <c r="AA2613" i="13"/>
  <c r="AA1822" i="13"/>
  <c r="AA3169" i="13"/>
  <c r="AA3534" i="13"/>
  <c r="AA1046" i="13"/>
  <c r="AA2098" i="13"/>
  <c r="AA2296" i="13"/>
  <c r="AA1418" i="13"/>
  <c r="AA1396" i="13"/>
  <c r="AA2128" i="13"/>
  <c r="AA2300" i="13"/>
  <c r="AA2152" i="13"/>
  <c r="AA1726" i="13"/>
  <c r="AA1369" i="13"/>
  <c r="AA1443" i="13"/>
  <c r="AA3427" i="13"/>
  <c r="AA602" i="13"/>
  <c r="AA939" i="13"/>
  <c r="AA72" i="13"/>
  <c r="AA817" i="13"/>
  <c r="AA373" i="13"/>
  <c r="AA2695" i="13"/>
  <c r="AA506" i="13"/>
  <c r="AA470" i="13"/>
  <c r="AA2466" i="13"/>
  <c r="AA1824" i="13"/>
  <c r="AA3307" i="13"/>
  <c r="AA1594" i="13"/>
  <c r="AA2306" i="13"/>
  <c r="AA2160" i="13"/>
  <c r="AA3256" i="13"/>
  <c r="AA649" i="13"/>
  <c r="AA3231" i="13"/>
  <c r="AA401" i="13"/>
  <c r="AA1723" i="13"/>
  <c r="AA335" i="13"/>
  <c r="AA1653" i="13"/>
  <c r="AA2165" i="13"/>
  <c r="AA1810" i="13"/>
  <c r="AA93" i="13"/>
  <c r="AA486" i="13"/>
  <c r="AA2159" i="13"/>
  <c r="AA960" i="13"/>
  <c r="AA1161" i="13"/>
  <c r="AA3505" i="13"/>
  <c r="AA2557" i="13"/>
  <c r="AA1578" i="13"/>
  <c r="AA2212" i="13"/>
  <c r="AA1820" i="13"/>
  <c r="AA1638" i="13"/>
  <c r="AA2486" i="13"/>
  <c r="AA2271" i="13"/>
  <c r="AA1219" i="13"/>
  <c r="AA454" i="13"/>
  <c r="AA612" i="13"/>
  <c r="AA932" i="13"/>
  <c r="AA2577" i="13"/>
  <c r="AA1549" i="13"/>
  <c r="AA372" i="13"/>
  <c r="AA950" i="13"/>
  <c r="AA964" i="13"/>
  <c r="AA1546" i="13"/>
  <c r="AA664" i="13"/>
  <c r="AA2048" i="13"/>
  <c r="AA614" i="13"/>
  <c r="AA644" i="13"/>
  <c r="AA1782" i="13"/>
  <c r="AA1581" i="13"/>
  <c r="AA282" i="13"/>
  <c r="AA733" i="13"/>
  <c r="AA2901" i="13"/>
  <c r="AA2237" i="13"/>
  <c r="AA2294" i="13"/>
  <c r="AA1344" i="13"/>
  <c r="AA2345" i="13"/>
  <c r="AA2047" i="13"/>
  <c r="AA757" i="13"/>
  <c r="AA236" i="13"/>
  <c r="AA895" i="13"/>
  <c r="AA723" i="13"/>
  <c r="AA109" i="13"/>
  <c r="AA1943" i="13"/>
  <c r="AA3139" i="13"/>
  <c r="AA3242" i="13"/>
  <c r="AA2319" i="13"/>
  <c r="AA3289" i="13"/>
  <c r="AA2330" i="13"/>
  <c r="AA2351" i="13"/>
  <c r="AA3149" i="13"/>
  <c r="AA1195" i="13"/>
  <c r="AA1283" i="13"/>
  <c r="AA852" i="13"/>
  <c r="AA1078" i="13"/>
  <c r="AA1498" i="13"/>
  <c r="AA145" i="13"/>
  <c r="AA216" i="13"/>
  <c r="AA3077" i="13"/>
  <c r="AA2723" i="13"/>
  <c r="AA1280" i="13"/>
  <c r="AA2827" i="13"/>
  <c r="AA1349" i="13"/>
  <c r="AA954" i="13"/>
  <c r="AA1778" i="13"/>
  <c r="AA91" i="13"/>
  <c r="AA1051" i="13"/>
  <c r="AA1848" i="13"/>
  <c r="AA3003" i="13"/>
  <c r="AA3414" i="13"/>
  <c r="AA215" i="13"/>
  <c r="AA3193" i="13"/>
  <c r="AA3043" i="13"/>
  <c r="AA871" i="13"/>
  <c r="AA1278" i="13"/>
  <c r="AA1133" i="13"/>
  <c r="AA820" i="13"/>
  <c r="AA1532" i="13"/>
  <c r="AA792" i="13"/>
  <c r="AA3525" i="13"/>
  <c r="AA1033" i="13"/>
  <c r="AA1431" i="13"/>
  <c r="AA584" i="13"/>
  <c r="AA191" i="13"/>
  <c r="AA1483" i="13"/>
  <c r="AA854" i="13"/>
  <c r="AA2416" i="13"/>
  <c r="AA2963" i="13"/>
  <c r="AA3145" i="13"/>
  <c r="AA2627" i="13"/>
  <c r="AA1120" i="13"/>
  <c r="AA2734" i="13"/>
  <c r="AA2379" i="13"/>
  <c r="AA826" i="13"/>
  <c r="AA1932" i="13"/>
  <c r="AA3279" i="13"/>
  <c r="AA2146" i="13"/>
  <c r="AA847" i="13"/>
  <c r="AA1748" i="13"/>
  <c r="AA3305" i="13"/>
  <c r="AA3319" i="13"/>
  <c r="AA2606" i="13"/>
  <c r="AA2031" i="13"/>
  <c r="AA1557" i="13"/>
  <c r="AA83" i="13"/>
  <c r="AA24" i="13"/>
  <c r="AA2386" i="13"/>
  <c r="AA2037" i="13"/>
  <c r="AA1963" i="13"/>
  <c r="AA1347" i="13"/>
  <c r="AA1884" i="13"/>
  <c r="AA2190" i="13"/>
  <c r="AA704" i="13"/>
  <c r="AA1045" i="13"/>
  <c r="AA3392" i="13"/>
  <c r="AA2022" i="13"/>
  <c r="AA3180" i="13"/>
  <c r="AA183" i="13"/>
  <c r="AA3273" i="13"/>
  <c r="AA1990" i="13"/>
  <c r="AA201" i="13"/>
  <c r="AA3512" i="13"/>
  <c r="AA2559" i="13"/>
  <c r="AA3518" i="13"/>
  <c r="AA3442" i="13"/>
  <c r="AA2869" i="13"/>
  <c r="AA2942" i="13"/>
  <c r="AA678" i="13"/>
  <c r="AA1194" i="13"/>
  <c r="AA1743" i="13"/>
  <c r="AA2877" i="13"/>
  <c r="AA1428" i="13"/>
  <c r="AA2322" i="13"/>
  <c r="AA1538" i="13"/>
  <c r="AA1863" i="13"/>
  <c r="AA2824" i="13"/>
  <c r="AA2491" i="13"/>
  <c r="AA2289" i="13"/>
  <c r="AA660" i="13"/>
  <c r="AA243" i="13"/>
  <c r="AA1925" i="13"/>
  <c r="AA2474" i="13"/>
  <c r="AA607" i="13"/>
  <c r="AA1390" i="13"/>
  <c r="AA752" i="13"/>
  <c r="AA50" i="13"/>
  <c r="AA3405" i="13"/>
  <c r="AA2166" i="13"/>
  <c r="AA3432" i="13"/>
  <c r="AA3290" i="13"/>
  <c r="AA3349" i="13"/>
  <c r="AA1015" i="13"/>
  <c r="AA221" i="13"/>
  <c r="AA1324" i="13"/>
  <c r="AA2800" i="13"/>
  <c r="AA255" i="13"/>
  <c r="AA2206" i="13"/>
  <c r="AA2378" i="13"/>
  <c r="AA2978" i="13"/>
  <c r="AA230" i="13"/>
  <c r="AA226" i="13"/>
  <c r="AA779" i="13"/>
  <c r="AA645" i="13"/>
  <c r="AA1892" i="13"/>
  <c r="AA1915" i="13"/>
  <c r="AA41" i="13"/>
  <c r="AA2260" i="13"/>
  <c r="AA443" i="13"/>
  <c r="AA1917" i="13"/>
  <c r="AA1853" i="13"/>
  <c r="AA159" i="13"/>
  <c r="AA70" i="13"/>
  <c r="AA2759" i="13"/>
  <c r="AA1298" i="13"/>
  <c r="AA489" i="13"/>
  <c r="AA2360" i="13"/>
  <c r="AA709" i="13"/>
  <c r="AA2950" i="13"/>
  <c r="AA1335" i="13"/>
  <c r="AA179" i="13"/>
  <c r="AA1807" i="13"/>
  <c r="AA2482" i="13"/>
  <c r="AA1063" i="13"/>
  <c r="AA2085" i="13"/>
  <c r="AA1576" i="13"/>
  <c r="AA3183" i="13"/>
  <c r="AA2189" i="13"/>
  <c r="AA2593" i="13"/>
  <c r="AA1509" i="13"/>
  <c r="AA1865" i="13"/>
  <c r="AA2213" i="13"/>
  <c r="AA1450" i="13"/>
  <c r="AA1070" i="13"/>
  <c r="AA1676" i="13"/>
  <c r="AA3370" i="13"/>
  <c r="AA609" i="13"/>
  <c r="AA3263" i="13"/>
  <c r="AA151" i="13"/>
  <c r="AA2582" i="13"/>
  <c r="AA875" i="13"/>
  <c r="AA2796" i="13"/>
  <c r="AA1135" i="13"/>
  <c r="AA2952" i="13"/>
  <c r="AA3516" i="13"/>
  <c r="AA2060" i="13"/>
  <c r="AA2325" i="13"/>
  <c r="AA2512" i="13"/>
  <c r="AA2368" i="13"/>
  <c r="AA3223" i="13"/>
  <c r="AA961" i="13"/>
  <c r="AA262" i="13"/>
  <c r="AA626" i="13"/>
  <c r="AA1805" i="13"/>
  <c r="AA2900" i="13"/>
  <c r="AA3204" i="13"/>
  <c r="AA2808" i="13"/>
  <c r="AA3104" i="13"/>
  <c r="AA456" i="13"/>
  <c r="AA304" i="13"/>
  <c r="AA2412" i="13"/>
  <c r="AA2114" i="13"/>
  <c r="AA2566" i="13"/>
  <c r="AA2945" i="13"/>
  <c r="AA1683" i="13"/>
  <c r="AA1761" i="13"/>
  <c r="AA1586" i="13"/>
  <c r="AA1412" i="13"/>
  <c r="AA1790" i="13"/>
  <c r="AA1652" i="13"/>
  <c r="AA1678" i="13"/>
  <c r="AA1254" i="13"/>
  <c r="AA34" i="13"/>
  <c r="AA165" i="13"/>
  <c r="AA1127" i="13"/>
  <c r="AA2608" i="13"/>
  <c r="AA898" i="13"/>
  <c r="AA3336" i="13"/>
  <c r="AA2303" i="13"/>
  <c r="AA212" i="13"/>
  <c r="AA1850" i="13"/>
  <c r="AA920" i="13"/>
  <c r="AA3374" i="13"/>
  <c r="AA1579" i="13"/>
  <c r="AA96" i="13"/>
  <c r="AA2084" i="13"/>
  <c r="AA1715" i="13"/>
  <c r="AA1757" i="13"/>
  <c r="AA2781" i="13"/>
  <c r="AA523" i="13"/>
  <c r="AA1539" i="13"/>
  <c r="AA2993" i="13"/>
  <c r="AA2664" i="13"/>
  <c r="AA814" i="13"/>
  <c r="AA1575" i="13"/>
  <c r="AA2687" i="13"/>
  <c r="AA788" i="13"/>
  <c r="AA3141" i="13"/>
  <c r="AA1923" i="13"/>
  <c r="AA3435" i="13"/>
  <c r="AA3212" i="13"/>
  <c r="AA446" i="13"/>
  <c r="AA3403" i="13"/>
  <c r="AA3467" i="13"/>
  <c r="AA3161" i="13"/>
  <c r="AA2077" i="13"/>
  <c r="AA19" i="13"/>
  <c r="AA1059" i="13"/>
  <c r="AA3407" i="13"/>
  <c r="AA1788" i="13"/>
  <c r="AA287" i="13"/>
  <c r="AA2107" i="13"/>
  <c r="AA2265" i="13"/>
  <c r="AA1496" i="13"/>
  <c r="AA192" i="13"/>
  <c r="AA2470" i="13"/>
  <c r="AA3413" i="13"/>
  <c r="T93" i="13"/>
  <c r="T99" i="13"/>
  <c r="T105" i="13"/>
  <c r="T88" i="13"/>
  <c r="AA1387" i="13"/>
  <c r="AA1220" i="13"/>
  <c r="AA610" i="13"/>
  <c r="AA1080" i="13"/>
  <c r="AA2948" i="13"/>
  <c r="AA1615" i="13"/>
  <c r="AA3129" i="13"/>
  <c r="AA3177" i="13"/>
  <c r="AA1021" i="13"/>
  <c r="AA2116" i="13"/>
  <c r="AA921" i="13"/>
  <c r="AA1544" i="13"/>
  <c r="AA2518" i="13"/>
  <c r="AA2748" i="13"/>
  <c r="AA3447" i="13"/>
  <c r="AA308" i="13"/>
  <c r="AA3492" i="13"/>
  <c r="AA389" i="13"/>
  <c r="AA2204" i="13"/>
  <c r="AA2663" i="13"/>
  <c r="AA1035" i="13"/>
  <c r="AA1356" i="13"/>
  <c r="AA2892" i="13"/>
  <c r="AA2517" i="13"/>
  <c r="AA617" i="13"/>
  <c r="AA1320" i="13"/>
  <c r="AA2509" i="13"/>
  <c r="AA410" i="13"/>
  <c r="AA3214" i="13"/>
  <c r="AA205" i="13"/>
  <c r="AA2982" i="13"/>
  <c r="AA3412" i="13"/>
  <c r="AA1872" i="13"/>
  <c r="AA2033" i="13"/>
  <c r="AA171" i="13"/>
  <c r="AA2575" i="13"/>
  <c r="AA1406" i="13"/>
  <c r="AA1597" i="13"/>
  <c r="AA388" i="13"/>
  <c r="AA1408" i="13"/>
  <c r="AA1008" i="13"/>
  <c r="AA206" i="13"/>
  <c r="AA2908" i="13"/>
  <c r="AA3384" i="13"/>
  <c r="AA1981" i="13"/>
  <c r="AA134" i="13"/>
  <c r="AA680" i="13"/>
  <c r="AA1363" i="13"/>
  <c r="AA3343" i="13"/>
  <c r="AA2853" i="13"/>
  <c r="AA3270" i="13"/>
  <c r="AA559" i="13"/>
  <c r="AA1690" i="13"/>
  <c r="AA953" i="13"/>
  <c r="AA2208" i="13"/>
  <c r="AA2235" i="13"/>
  <c r="AA3034" i="13"/>
  <c r="AA2339" i="13"/>
  <c r="AA3070" i="13"/>
  <c r="AA535" i="13"/>
  <c r="AA52" i="13"/>
  <c r="AA2810" i="13"/>
  <c r="AA543" i="13"/>
  <c r="AA2186" i="13"/>
  <c r="AA1740" i="13"/>
  <c r="AA107" i="13"/>
  <c r="AA1037" i="13"/>
  <c r="AA1385" i="13"/>
  <c r="AA3339" i="13"/>
  <c r="AA799" i="13"/>
  <c r="AA1784" i="13"/>
  <c r="AA3126" i="13"/>
  <c r="AA1357" i="13"/>
  <c r="AA2481" i="13"/>
  <c r="AA3062" i="13"/>
  <c r="AA3341" i="13"/>
  <c r="AA1327" i="13"/>
  <c r="AA2913" i="13"/>
  <c r="AA1775" i="13"/>
  <c r="AA2744" i="13"/>
  <c r="AA2099" i="13"/>
  <c r="AA3306" i="13"/>
  <c r="AA637" i="13"/>
  <c r="AA1420" i="13"/>
  <c r="AA1386" i="13"/>
  <c r="AA3075" i="13"/>
  <c r="AA3063" i="13"/>
  <c r="AA902" i="13"/>
  <c r="AA1909" i="13"/>
  <c r="AA2117" i="13"/>
  <c r="AA2003" i="13"/>
  <c r="AA426" i="13"/>
  <c r="AA880" i="13"/>
  <c r="AA581" i="13"/>
  <c r="AA1947" i="13"/>
  <c r="AA1168" i="13"/>
  <c r="AA1717" i="13"/>
  <c r="AA1567" i="13"/>
  <c r="AA1905" i="13"/>
  <c r="AA3195" i="13"/>
  <c r="AA2388" i="13"/>
  <c r="AA99" i="13"/>
  <c r="AA2282" i="13"/>
  <c r="AA573" i="13"/>
  <c r="AA2782" i="13"/>
  <c r="AA2267" i="13"/>
  <c r="AA1508" i="13"/>
  <c r="AA3461" i="13"/>
  <c r="AA1927" i="13"/>
  <c r="AA395" i="13"/>
  <c r="AA2889" i="13"/>
  <c r="AA2583" i="13"/>
  <c r="AA1318" i="13"/>
  <c r="AA2807" i="13"/>
  <c r="AA1224" i="13"/>
  <c r="AA3100" i="13"/>
  <c r="AA555" i="13"/>
  <c r="AA3267" i="13"/>
  <c r="AA1042" i="13"/>
  <c r="AA1054" i="13"/>
  <c r="AA1983" i="13"/>
  <c r="AA504" i="13"/>
  <c r="AA474" i="13"/>
  <c r="AA21" i="13"/>
  <c r="AA1171" i="13"/>
  <c r="AA351" i="13"/>
  <c r="AA3048" i="13"/>
  <c r="AA1564" i="13"/>
  <c r="AA3189" i="13"/>
  <c r="AA458" i="13"/>
  <c r="AA1928" i="13"/>
  <c r="AA797" i="13"/>
  <c r="AA1153" i="13"/>
  <c r="AA2083" i="13"/>
  <c r="AA133" i="13"/>
  <c r="AA2970" i="13"/>
  <c r="AA3433" i="13"/>
  <c r="AA1612" i="13"/>
  <c r="AA2422" i="13"/>
  <c r="AA2127" i="13"/>
  <c r="AA2439" i="13"/>
  <c r="AA430" i="13"/>
  <c r="AA651" i="13"/>
  <c r="AA2424" i="13"/>
  <c r="AA791" i="13"/>
  <c r="AA1240" i="13"/>
  <c r="AA605" i="13"/>
  <c r="AA1795" i="13"/>
  <c r="AA3327" i="13"/>
  <c r="AA564" i="13"/>
  <c r="AA821" i="13"/>
  <c r="AA3284" i="13"/>
  <c r="AA701" i="13"/>
  <c r="AA942" i="13"/>
  <c r="AA783" i="13"/>
  <c r="AA603" i="13"/>
  <c r="AA123" i="13"/>
  <c r="AA3004" i="13"/>
  <c r="AA1698" i="13"/>
  <c r="AA1285" i="13"/>
  <c r="AA1465" i="13"/>
  <c r="AA3123" i="13"/>
  <c r="AA2820" i="13"/>
  <c r="AA3130" i="13"/>
  <c r="AA2255" i="13"/>
  <c r="AA811" i="13"/>
  <c r="AA1049" i="13"/>
  <c r="AA1906" i="13"/>
  <c r="AA1302" i="13"/>
  <c r="AA1593" i="13"/>
  <c r="AA1631" i="13"/>
  <c r="AA1574" i="13"/>
  <c r="AA860" i="13"/>
  <c r="AA3366" i="13"/>
  <c r="AA2961" i="13"/>
  <c r="AA1703" i="13"/>
  <c r="AA943" i="13"/>
  <c r="AA337" i="13"/>
  <c r="AA691" i="13"/>
  <c r="AA2285" i="13"/>
  <c r="AA3000" i="13"/>
  <c r="AA1877" i="13"/>
  <c r="AA694" i="13"/>
  <c r="AA1975" i="13"/>
  <c r="AA1157" i="13"/>
  <c r="AA940" i="13"/>
  <c r="AA1998" i="13"/>
  <c r="AA2361" i="13"/>
  <c r="AA2188" i="13"/>
  <c r="AA1378" i="13"/>
  <c r="AA1939" i="13"/>
  <c r="AA1855" i="13"/>
  <c r="AA710" i="13"/>
  <c r="AA2841" i="13"/>
  <c r="AA1114" i="13"/>
  <c r="AA855" i="13"/>
  <c r="AA1181" i="13"/>
  <c r="AA1095" i="13"/>
  <c r="AA1438" i="13"/>
  <c r="AA1362" i="13"/>
  <c r="AA95" i="13"/>
  <c r="AA2931" i="13"/>
  <c r="AA624" i="13"/>
  <c r="AA1075" i="13"/>
  <c r="AA1687" i="13"/>
  <c r="AA1435" i="13"/>
  <c r="AA1365" i="13"/>
  <c r="AA3515" i="13"/>
  <c r="AA3094" i="13"/>
  <c r="AA2220" i="13"/>
  <c r="AA1785" i="13"/>
  <c r="AA858" i="13"/>
  <c r="AA3292" i="13"/>
  <c r="AA2987" i="13"/>
  <c r="AA2056" i="13"/>
  <c r="AA3105" i="13"/>
  <c r="AA1730" i="13"/>
  <c r="AA361" i="13"/>
  <c r="AA1692" i="13"/>
  <c r="AA2991" i="13"/>
  <c r="AA1276" i="13"/>
  <c r="AA1082" i="13"/>
  <c r="AA3536" i="13"/>
  <c r="AA253" i="13"/>
  <c r="AA58" i="13"/>
  <c r="AA1933" i="13"/>
  <c r="AA689" i="13"/>
  <c r="AA711" i="13"/>
  <c r="AA414" i="13"/>
  <c r="AA3395" i="13"/>
  <c r="AA3329" i="13"/>
  <c r="AA695" i="13"/>
  <c r="AA130" i="13"/>
  <c r="AA1811" i="13"/>
  <c r="AA2414" i="13"/>
  <c r="AA2013" i="13"/>
  <c r="AA2445" i="13"/>
  <c r="AA1641" i="13"/>
  <c r="AA2063" i="13"/>
  <c r="AA3502" i="13"/>
  <c r="AA776" i="13"/>
  <c r="AA2861" i="13"/>
  <c r="AA2052" i="13"/>
  <c r="AA2762" i="13"/>
  <c r="AA3245" i="13"/>
  <c r="AA2088" i="13"/>
  <c r="AA152" i="13"/>
  <c r="AA2203" i="13"/>
  <c r="AA3041" i="13"/>
  <c r="AA344" i="13"/>
  <c r="AA2561" i="13"/>
  <c r="AA1704" i="13"/>
  <c r="AA952" i="13"/>
  <c r="AA319" i="13"/>
  <c r="AA2496" i="13"/>
  <c r="AA1901" i="13"/>
  <c r="AA1190" i="13"/>
  <c r="AA2614" i="13"/>
  <c r="AA1286" i="13"/>
  <c r="AA3489" i="13"/>
  <c r="AA3328" i="13"/>
  <c r="AA3420" i="13"/>
  <c r="AA407" i="13"/>
  <c r="AA3172" i="13"/>
  <c r="AA3136" i="13"/>
  <c r="AA30" i="13"/>
  <c r="AA110" i="13"/>
  <c r="AA3127" i="13"/>
  <c r="AA1323" i="13"/>
  <c r="AA444" i="13"/>
  <c r="AA1409" i="13"/>
  <c r="AA2878" i="13"/>
  <c r="AA3112" i="13"/>
  <c r="AA3173" i="13"/>
  <c r="AA358" i="13"/>
  <c r="AA331" i="13"/>
  <c r="AA3410" i="13"/>
  <c r="AA2363" i="13"/>
  <c r="AA549" i="13"/>
  <c r="AA3388" i="13"/>
  <c r="AA3422" i="13"/>
  <c r="AA452" i="13"/>
  <c r="AA2629" i="13"/>
  <c r="AA1169" i="13"/>
  <c r="AA1931" i="13"/>
  <c r="AA2792" i="13"/>
  <c r="AA463" i="13"/>
  <c r="AA1512" i="13"/>
  <c r="AA2025" i="13"/>
  <c r="AA928" i="13"/>
  <c r="AA1474" i="13"/>
  <c r="AA2066" i="13"/>
  <c r="AA339" i="13"/>
  <c r="AA3009" i="13"/>
  <c r="AA1068" i="13"/>
  <c r="AA934" i="13"/>
  <c r="AA1348" i="13"/>
  <c r="AA1887" i="13"/>
  <c r="AA2623" i="13"/>
  <c r="AA2508" i="13"/>
  <c r="AA672" i="13"/>
  <c r="AA3051" i="13"/>
  <c r="AA2890" i="13"/>
  <c r="AA513" i="13"/>
  <c r="AA1180" i="13"/>
  <c r="AA3436" i="13"/>
  <c r="AA2311" i="13"/>
  <c r="AA3465" i="13"/>
  <c r="AA713" i="13"/>
  <c r="AA518" i="13"/>
  <c r="AA3142" i="13"/>
  <c r="AA3529" i="13"/>
  <c r="AA2742" i="13"/>
  <c r="AA1520" i="13"/>
  <c r="AA544" i="13"/>
  <c r="AA3154" i="13"/>
  <c r="AA2326" i="13"/>
  <c r="AA1971" i="13"/>
  <c r="AA3375" i="13"/>
  <c r="AA1762" i="13"/>
  <c r="AA393" i="13"/>
  <c r="AA2350" i="13"/>
  <c r="AA3383" i="13"/>
  <c r="AA175" i="13"/>
  <c r="AA1093" i="13"/>
  <c r="AA100" i="13"/>
  <c r="AA1288" i="13"/>
  <c r="AA2120" i="13"/>
  <c r="AA3365" i="13"/>
  <c r="AA586" i="13"/>
  <c r="AA2946" i="13"/>
  <c r="T94" i="13"/>
  <c r="T104" i="13"/>
  <c r="T106" i="13"/>
  <c r="T24" i="13"/>
  <c r="AA172" i="13"/>
  <c r="AA2634" i="13"/>
  <c r="AA1247" i="13"/>
  <c r="AA2222" i="13"/>
  <c r="AA882" i="13"/>
  <c r="AA238" i="13"/>
  <c r="AA3111" i="13"/>
  <c r="AA2123" i="13"/>
  <c r="AA1083" i="13"/>
  <c r="AA3364" i="13"/>
  <c r="AA2042" i="13"/>
  <c r="AA353" i="13"/>
  <c r="AA2121" i="13"/>
  <c r="AA3262" i="13"/>
  <c r="AA2599" i="13"/>
  <c r="T95" i="13"/>
  <c r="T22" i="13"/>
  <c r="AA87" i="13"/>
  <c r="AA1524" i="13"/>
  <c r="AA2314" i="13"/>
  <c r="AA126" i="13"/>
  <c r="AA1296" i="13"/>
  <c r="AA3552" i="13"/>
  <c r="AA3153" i="13"/>
  <c r="AA3483" i="13"/>
  <c r="AA3118" i="13"/>
  <c r="AA2197" i="13"/>
  <c r="AA2791" i="13"/>
  <c r="AA3178" i="13"/>
  <c r="AA2562" i="13"/>
  <c r="AA853" i="13"/>
  <c r="AA2134" i="13"/>
  <c r="AA483" i="13"/>
  <c r="AA1535" i="13"/>
  <c r="AA1039" i="13"/>
  <c r="AA2834" i="13"/>
  <c r="AA3102" i="13"/>
  <c r="AA3416" i="13"/>
  <c r="AA2669" i="13"/>
  <c r="AA32" i="13"/>
  <c r="AA746" i="13"/>
  <c r="AA2234" i="13"/>
  <c r="AA3221" i="13"/>
  <c r="AA3519" i="13"/>
  <c r="AA2888" i="13"/>
  <c r="AA2038" i="13"/>
  <c r="AA2553" i="13"/>
  <c r="AA301" i="13"/>
  <c r="AA2002" i="13"/>
  <c r="AA2935" i="13"/>
  <c r="AA2387" i="13"/>
  <c r="AA1139" i="13"/>
  <c r="AA2202" i="13"/>
  <c r="AA1471" i="13"/>
  <c r="AA2290" i="13"/>
  <c r="AA1510" i="13"/>
  <c r="AA2293" i="13"/>
  <c r="AA2019" i="13"/>
  <c r="AA751" i="13"/>
  <c r="AA2680" i="13"/>
  <c r="AA1521" i="13"/>
  <c r="AA1920" i="13"/>
  <c r="AA2811" i="13"/>
  <c r="AA1633" i="13"/>
  <c r="AA1989" i="13"/>
  <c r="AA3115" i="13"/>
  <c r="AA261" i="13"/>
  <c r="AA324" i="13"/>
  <c r="AA271" i="13"/>
  <c r="AA3323" i="13"/>
  <c r="AA2356" i="13"/>
  <c r="AA1630" i="13"/>
  <c r="AA578" i="13"/>
  <c r="AA1143" i="13"/>
  <c r="AA2972" i="13"/>
  <c r="AA3265" i="13"/>
  <c r="AA2079" i="13"/>
  <c r="AA2443" i="13"/>
  <c r="AA790" i="13"/>
  <c r="AA442" i="13"/>
  <c r="AA1870" i="13"/>
  <c r="AA2919" i="13"/>
  <c r="AA3209" i="13"/>
  <c r="AA1414" i="13"/>
  <c r="AA2793" i="13"/>
  <c r="AA3408" i="13"/>
  <c r="AA2447" i="13"/>
  <c r="AA3152" i="13"/>
  <c r="AA869" i="13"/>
  <c r="AA877" i="13"/>
  <c r="AA98" i="13"/>
  <c r="AA2999" i="13"/>
  <c r="AA296" i="13"/>
  <c r="AA794" i="13"/>
  <c r="AA2398" i="13"/>
  <c r="AA3011" i="13"/>
  <c r="AA1426" i="13"/>
  <c r="AA957" i="13"/>
  <c r="AA3140" i="13"/>
  <c r="AA595" i="13"/>
  <c r="AA2327" i="13"/>
  <c r="AA3522" i="13"/>
  <c r="AA856" i="13"/>
  <c r="AA1829" i="13"/>
  <c r="AA2794" i="13"/>
  <c r="AA1267" i="13"/>
  <c r="AA1459" i="13"/>
  <c r="AA2347" i="13"/>
  <c r="AA2372" i="13"/>
  <c r="AA1843" i="13"/>
  <c r="AA2248" i="13"/>
  <c r="AA2733" i="13"/>
  <c r="AA3080" i="13"/>
  <c r="AA265" i="13"/>
  <c r="AA514" i="13"/>
  <c r="AA3090" i="13"/>
  <c r="AA1986" i="13"/>
  <c r="AA1565" i="13"/>
  <c r="AA2954" i="13"/>
  <c r="AA1561" i="13"/>
  <c r="AA440" i="13"/>
  <c r="AA1735" i="13"/>
  <c r="AA325" i="13"/>
  <c r="AA1101" i="13"/>
  <c r="AA1686" i="13"/>
  <c r="AA2650" i="13"/>
  <c r="AA747" i="13"/>
  <c r="AA561" i="13"/>
  <c r="AA97" i="13"/>
  <c r="AA350" i="13"/>
  <c r="AA2832" i="13"/>
  <c r="AA547" i="13"/>
  <c r="AA3354" i="13"/>
  <c r="AA1880" i="13"/>
  <c r="AA658" i="13"/>
  <c r="AA2756" i="13"/>
  <c r="AA580" i="13"/>
  <c r="AA2016" i="13"/>
  <c r="AA2199" i="13"/>
  <c r="AA763" i="13"/>
  <c r="AA135" i="13"/>
  <c r="AA1789" i="13"/>
  <c r="AA386" i="13"/>
  <c r="AA3389" i="13"/>
  <c r="AA949" i="13"/>
  <c r="AA1647" i="13"/>
  <c r="AA3318" i="13"/>
  <c r="AA587" i="13"/>
  <c r="AA1218" i="13"/>
  <c r="AA2801" i="13"/>
  <c r="AA1629" i="13"/>
  <c r="AA1587" i="13"/>
  <c r="AA2648" i="13"/>
  <c r="AA1668" i="13"/>
  <c r="AA104" i="13"/>
  <c r="AA2825" i="13"/>
  <c r="AA2574" i="13"/>
  <c r="AA625" i="13"/>
  <c r="AA1201" i="13"/>
  <c r="AA2259" i="13"/>
  <c r="AA1639" i="13"/>
  <c r="AA569" i="13"/>
  <c r="AA3315" i="13"/>
  <c r="AA1895" i="13"/>
  <c r="AA509" i="13"/>
  <c r="AA1800" i="13"/>
  <c r="AA3353" i="13"/>
  <c r="AA1404" i="13"/>
  <c r="AA3359" i="13"/>
  <c r="AA3079" i="13"/>
  <c r="AA436" i="13"/>
  <c r="AA3497" i="13"/>
  <c r="AA1547" i="13"/>
  <c r="AA1381" i="13"/>
  <c r="AA3358" i="13"/>
  <c r="AA2655" i="13"/>
  <c r="AA2301" i="13"/>
  <c r="AA2981" i="13"/>
  <c r="AA232" i="13"/>
  <c r="AA459" i="13"/>
  <c r="AA2427" i="13"/>
  <c r="AA2452" i="13"/>
  <c r="AA2773" i="13"/>
  <c r="AA3021" i="13"/>
  <c r="AA3280" i="13"/>
  <c r="AA2699" i="13"/>
  <c r="AA1416" i="13"/>
  <c r="AA2241" i="13"/>
  <c r="AA1787" i="13"/>
  <c r="AA1841" i="13"/>
  <c r="AA27" i="13"/>
  <c r="AA663" i="13"/>
  <c r="AA2288" i="13"/>
  <c r="AA498" i="13"/>
  <c r="AA907" i="13"/>
  <c r="AA2014" i="13"/>
  <c r="AA1458" i="13"/>
  <c r="AA3190" i="13"/>
  <c r="AA2109" i="13"/>
  <c r="AA2394" i="13"/>
  <c r="AA831" i="13"/>
  <c r="AA2607" i="13"/>
  <c r="AA527" i="13"/>
  <c r="AA1481" i="13"/>
  <c r="AA2440" i="13"/>
  <c r="AA1563" i="13"/>
  <c r="AA641" i="13"/>
  <c r="AA2323" i="13"/>
  <c r="AA2656" i="13"/>
  <c r="AA1479" i="13"/>
  <c r="AA2772" i="13"/>
  <c r="AA3166" i="13"/>
  <c r="AA202" i="13"/>
  <c r="AA648" i="13"/>
  <c r="AA1886" i="13"/>
  <c r="AA2385" i="13"/>
  <c r="AA3259" i="13"/>
  <c r="AA2240" i="13"/>
  <c r="AA1938" i="13"/>
  <c r="AA1006" i="13"/>
  <c r="AA184" i="13"/>
  <c r="AA1014" i="13"/>
  <c r="AA1921" i="13"/>
  <c r="AA1779" i="13"/>
  <c r="AA2103" i="13"/>
  <c r="AA1067" i="13"/>
  <c r="AA1354" i="13"/>
  <c r="AA878" i="13"/>
  <c r="AA3203" i="13"/>
  <c r="AA475" i="13"/>
  <c r="AA46" i="13"/>
  <c r="AA2480" i="13"/>
  <c r="AA1454" i="13"/>
  <c r="AA2620" i="13"/>
  <c r="AA665" i="13"/>
  <c r="AA986" i="13"/>
  <c r="AA2342" i="13"/>
  <c r="AA2973" i="13"/>
  <c r="AA2401" i="13"/>
  <c r="AA1003" i="13"/>
  <c r="AA912" i="13"/>
  <c r="AA1881" i="13"/>
  <c r="AA653" i="13"/>
  <c r="AA1888" i="13"/>
  <c r="AA3549" i="13"/>
  <c r="AA3246" i="13"/>
  <c r="AA2436" i="13"/>
  <c r="AA467" i="13"/>
  <c r="AA3278" i="13"/>
  <c r="AA3197" i="13"/>
  <c r="AA1742" i="13"/>
  <c r="AA3409" i="13"/>
  <c r="AA3504" i="13"/>
  <c r="AA1009" i="13"/>
  <c r="AA222" i="13"/>
  <c r="AA1614" i="13"/>
  <c r="AA1642" i="13"/>
  <c r="AA1071" i="13"/>
  <c r="AA2505" i="13"/>
  <c r="AA2054" i="13"/>
  <c r="AA510" i="13"/>
  <c r="AA2230" i="13"/>
  <c r="AA1727" i="13"/>
  <c r="AA933" i="13"/>
  <c r="AA596" i="13"/>
  <c r="AA3397" i="13"/>
  <c r="AA976" i="13"/>
  <c r="AA997" i="13"/>
  <c r="AA3423" i="13"/>
  <c r="AA2579" i="13"/>
  <c r="AA2349" i="13"/>
  <c r="AA157" i="13"/>
  <c r="AA924" i="13"/>
  <c r="AA2758" i="13"/>
  <c r="AA1582" i="13"/>
  <c r="AA3258" i="13"/>
  <c r="AA2195" i="13"/>
  <c r="AA1771" i="13"/>
  <c r="AA1891" i="13"/>
  <c r="AA1950" i="13"/>
  <c r="AA970" i="13"/>
  <c r="AA2862" i="13"/>
  <c r="AA1000" i="13"/>
  <c r="AA3045" i="13"/>
  <c r="AA540" i="13"/>
  <c r="AA1175" i="13"/>
  <c r="AA2010" i="13"/>
  <c r="AA3355" i="13"/>
  <c r="AA2916" i="13"/>
  <c r="AA1533" i="13"/>
  <c r="AA1569" i="13"/>
  <c r="AA2595" i="13"/>
  <c r="AA1949" i="13"/>
  <c r="AA3179" i="13"/>
  <c r="AA2761" i="13"/>
  <c r="AA270" i="13"/>
  <c r="AA3224" i="13"/>
  <c r="AA3348" i="13"/>
  <c r="AA2670" i="13"/>
  <c r="AA1902" i="13"/>
  <c r="AA2513" i="13"/>
  <c r="AA382" i="13"/>
  <c r="AA2023" i="13"/>
  <c r="AA2635" i="13"/>
  <c r="AA963" i="13"/>
  <c r="AA2448" i="13"/>
  <c r="AA2131" i="13"/>
  <c r="AA545" i="13"/>
  <c r="AA2001" i="13"/>
  <c r="AA1340" i="13"/>
  <c r="AA2917" i="13"/>
  <c r="AA1293" i="13"/>
  <c r="AA2600" i="13"/>
  <c r="AA2914" i="13"/>
  <c r="AA3425" i="13"/>
  <c r="AA739" i="13"/>
  <c r="AA2728" i="13"/>
  <c r="AA495" i="13"/>
  <c r="AA1560" i="13"/>
  <c r="AA2767" i="13"/>
  <c r="AA1111" i="13"/>
  <c r="AA1611" i="13"/>
  <c r="AA1957" i="13"/>
  <c r="AA3496" i="13"/>
  <c r="AA1875" i="13"/>
  <c r="AA1589" i="13"/>
  <c r="AA3220" i="13"/>
  <c r="AA1290" i="13"/>
  <c r="AA2429" i="13"/>
  <c r="AA738" i="13"/>
  <c r="AA3487" i="13"/>
  <c r="AA1590" i="13"/>
  <c r="T75" i="13"/>
  <c r="AA234" i="13"/>
  <c r="AA2092" i="13"/>
  <c r="AA29" i="13"/>
  <c r="AA360" i="13"/>
  <c r="AA2024" i="13"/>
  <c r="AA1187" i="13"/>
  <c r="AA445" i="13"/>
  <c r="AA377" i="13"/>
  <c r="AA2417" i="13"/>
  <c r="AA1257" i="13"/>
  <c r="AA1372" i="13"/>
  <c r="AA2992" i="13"/>
  <c r="AA2431" i="13"/>
  <c r="AA3018" i="13"/>
  <c r="AA3304" i="13"/>
  <c r="AA3269" i="13"/>
  <c r="T76" i="13"/>
  <c r="AA1091" i="13"/>
  <c r="AA1534" i="13"/>
  <c r="AA1473" i="13"/>
  <c r="AA1958" i="13"/>
  <c r="AA76" i="13"/>
  <c r="AA3337" i="13"/>
  <c r="AA3198" i="13"/>
  <c r="AA990" i="13"/>
  <c r="AA2707" i="13"/>
  <c r="AA1786" i="13"/>
  <c r="AA1183" i="13"/>
  <c r="AA1138" i="13"/>
  <c r="AA1602" i="13"/>
  <c r="AA2337" i="13"/>
  <c r="AA1019" i="13"/>
  <c r="AA3342" i="13"/>
  <c r="AA640" i="13"/>
  <c r="AA273" i="13"/>
  <c r="AA2769" i="13"/>
  <c r="AA2586" i="13"/>
  <c r="AA1997" i="13"/>
  <c r="AA1852" i="13"/>
  <c r="AA812" i="13"/>
  <c r="AA2457" i="13"/>
  <c r="AA827" i="13"/>
  <c r="AA3369" i="13"/>
  <c r="AA3244" i="13"/>
  <c r="AA2442" i="13"/>
  <c r="AA3175" i="13"/>
  <c r="AA2746" i="13"/>
  <c r="AA3476" i="13"/>
  <c r="AA2924" i="13"/>
  <c r="AA1221" i="13"/>
  <c r="AA3182" i="13"/>
  <c r="AA2168" i="13"/>
  <c r="AA3120" i="13"/>
  <c r="AA740" i="13"/>
  <c r="AA2021" i="13"/>
  <c r="AA2618" i="13"/>
  <c r="T23" i="13"/>
  <c r="AA499" i="13"/>
  <c r="AA1094" i="13"/>
  <c r="AA2502" i="13"/>
  <c r="AA3036" i="13"/>
  <c r="AA396" i="13"/>
  <c r="AA1733" i="13"/>
  <c r="AA375" i="13"/>
  <c r="AA2757" i="13"/>
  <c r="AA180" i="13"/>
  <c r="AA2775" i="13"/>
  <c r="AA1506" i="13"/>
  <c r="AA279" i="13"/>
  <c r="AA947" i="13"/>
  <c r="AA1645" i="13"/>
  <c r="AA3194" i="13"/>
  <c r="AA2149" i="13"/>
  <c r="AA143" i="13"/>
  <c r="AA2075" i="13"/>
  <c r="AA1922" i="13"/>
  <c r="AA1182" i="13"/>
  <c r="AA2507" i="13"/>
  <c r="AA1469" i="13"/>
  <c r="AA2191" i="13"/>
  <c r="AA3131" i="13"/>
  <c r="AA1480" i="13"/>
  <c r="AA1643" i="13"/>
  <c r="AA59" i="13"/>
  <c r="AA1697" i="13"/>
  <c r="AA3513" i="13"/>
  <c r="AA519" i="13"/>
  <c r="AA979" i="13"/>
  <c r="AA1056" i="13"/>
  <c r="AA989" i="13"/>
  <c r="AA2619" i="13"/>
  <c r="AA2318" i="13"/>
  <c r="AA421" i="13"/>
  <c r="AA1289" i="13"/>
  <c r="AA688" i="13"/>
  <c r="AA3430" i="13"/>
  <c r="AA2425" i="13"/>
  <c r="AA321" i="13"/>
  <c r="AA257" i="13"/>
  <c r="AA2938" i="13"/>
  <c r="AA3495" i="13"/>
  <c r="AA1890" i="13"/>
  <c r="AA3508" i="13"/>
  <c r="AA429" i="13"/>
  <c r="AA364" i="13"/>
  <c r="AA1568" i="13"/>
  <c r="AA3510" i="13"/>
  <c r="AA3029" i="13"/>
  <c r="AA1308" i="13"/>
  <c r="AA2395" i="13"/>
  <c r="AA2527" i="13"/>
  <c r="AA1624" i="13"/>
  <c r="AA1407" i="13"/>
  <c r="AA2960" i="13"/>
  <c r="AA2899" i="13"/>
  <c r="AA2755" i="13"/>
  <c r="AA500" i="13"/>
  <c r="AA244" i="13"/>
  <c r="AA1846" i="13"/>
  <c r="AA1085" i="13"/>
  <c r="AA2951" i="13"/>
  <c r="AA1395" i="13"/>
  <c r="AA390" i="13"/>
  <c r="AA823" i="13"/>
  <c r="AA728" i="13"/>
  <c r="AA1145" i="13"/>
  <c r="AA198" i="13"/>
  <c r="AA621" i="13"/>
  <c r="AA1047" i="13"/>
  <c r="AA428" i="13"/>
  <c r="AA2072" i="13"/>
  <c r="AA616" i="13"/>
  <c r="AA259" i="13"/>
  <c r="AA1185" i="13"/>
  <c r="AA2364" i="13"/>
  <c r="AA840" i="13"/>
  <c r="AA1878" i="13"/>
  <c r="AA3452" i="13"/>
  <c r="AA2258" i="13"/>
  <c r="AA3092" i="13"/>
  <c r="AA974" i="13"/>
  <c r="AA1973" i="13"/>
  <c r="AA1325" i="13"/>
  <c r="AA1682" i="13"/>
  <c r="AA2156" i="13"/>
  <c r="AA105" i="13"/>
  <c r="AA2390" i="13"/>
  <c r="AA627" i="13"/>
  <c r="AA51" i="13"/>
  <c r="AA3022" i="13"/>
  <c r="AA2907" i="13"/>
  <c r="AA2346" i="13"/>
  <c r="AA103" i="13"/>
  <c r="AA996" i="13"/>
  <c r="AA1457" i="13"/>
  <c r="AA84" i="13"/>
  <c r="AA2863" i="13"/>
  <c r="AA778" i="13"/>
  <c r="AA2309" i="13"/>
  <c r="AA2842" i="13"/>
  <c r="AA1893" i="13"/>
  <c r="AA1018" i="13"/>
  <c r="AA1334" i="13"/>
  <c r="AA2297" i="13"/>
  <c r="AA2964" i="13"/>
  <c r="AA1860" i="13"/>
  <c r="AA369" i="13"/>
  <c r="AA195" i="13"/>
  <c r="AA2041" i="13"/>
  <c r="AA1844" i="13"/>
  <c r="AA2923" i="13"/>
  <c r="AA3437" i="13"/>
  <c r="AA1626" i="13"/>
  <c r="AA1924" i="13"/>
  <c r="AA2679" i="13"/>
  <c r="AA620" i="13"/>
  <c r="AA246" i="13"/>
  <c r="AA2122" i="13"/>
  <c r="AA327" i="13"/>
  <c r="AA3233" i="13"/>
  <c r="AA2966" i="13"/>
  <c r="AA346" i="13"/>
  <c r="AA1212" i="13"/>
  <c r="AA45" i="13"/>
  <c r="AA3208" i="13"/>
  <c r="AA1453" i="13"/>
  <c r="AA424" i="13"/>
  <c r="AA787" i="13"/>
  <c r="AA3227" i="13"/>
  <c r="AA281" i="13"/>
  <c r="AA1885" i="13"/>
  <c r="AA1211" i="13"/>
  <c r="AA546" i="13"/>
  <c r="AA1961" i="13"/>
  <c r="AA1903" i="13"/>
  <c r="AA2298" i="13"/>
  <c r="AA897" i="13"/>
  <c r="AA1907" i="13"/>
  <c r="AA1088" i="13"/>
  <c r="AA1263" i="13"/>
  <c r="AA604" i="13"/>
  <c r="AA3199" i="13"/>
  <c r="AA2685" i="13"/>
  <c r="AA2315" i="13"/>
  <c r="AA1376" i="13"/>
  <c r="AA376" i="13"/>
  <c r="AA1055" i="13"/>
  <c r="AA2413" i="13"/>
  <c r="AA1728" i="13"/>
  <c r="AA2373" i="13"/>
  <c r="AA2238" i="13"/>
  <c r="AA394" i="13"/>
  <c r="AA2554" i="13"/>
  <c r="AA1725" i="13"/>
  <c r="AA1830" i="13"/>
  <c r="AA2750" i="13"/>
  <c r="AA204" i="13"/>
  <c r="AA1622" i="13"/>
  <c r="AA2786" i="13"/>
  <c r="AA1188" i="13"/>
  <c r="AA2802" i="13"/>
  <c r="AA2545" i="13"/>
  <c r="AA178" i="13"/>
  <c r="AA1160" i="13"/>
  <c r="AA2819" i="13"/>
  <c r="AA2045" i="13"/>
  <c r="AA1583" i="13"/>
  <c r="AA516" i="13"/>
  <c r="AA455" i="13"/>
  <c r="AA608" i="13"/>
  <c r="AA408" i="13"/>
  <c r="AA1926" i="13"/>
  <c r="AA494" i="13"/>
  <c r="AA638" i="13"/>
  <c r="AA1951" i="13"/>
  <c r="AA633" i="13"/>
  <c r="AA2184" i="13"/>
  <c r="AA2671" i="13"/>
  <c r="AA1673" i="13"/>
  <c r="AA106" i="13"/>
  <c r="AA2397" i="13"/>
  <c r="AA2155" i="13"/>
  <c r="AA3400" i="13"/>
  <c r="AA25" i="13"/>
  <c r="AA3477" i="13"/>
  <c r="AA744" i="13"/>
  <c r="AA1760" i="13"/>
  <c r="AA36" i="13"/>
  <c r="AA453" i="13"/>
  <c r="AA630" i="13"/>
  <c r="AA2596" i="13"/>
  <c r="AA881" i="13"/>
  <c r="AA3320" i="13"/>
  <c r="AA512" i="13"/>
  <c r="AA3213" i="13"/>
  <c r="AA3340" i="13"/>
  <c r="AA1086" i="13"/>
  <c r="AA2435" i="13"/>
  <c r="AA3217" i="13"/>
  <c r="AA3456" i="13"/>
  <c r="AA2455" i="13"/>
  <c r="AA3005" i="13"/>
  <c r="AA1840" i="13"/>
  <c r="AA1258" i="13"/>
  <c r="AA173" i="13"/>
  <c r="AA656" i="13"/>
  <c r="AA1540" i="13"/>
  <c r="AA938" i="13"/>
  <c r="AA567" i="13"/>
  <c r="AA291" i="13"/>
  <c r="AA3387" i="13"/>
  <c r="AA1389" i="13"/>
  <c r="AA1861" i="13"/>
  <c r="AA2308" i="13"/>
  <c r="AA1173" i="13"/>
  <c r="AA729" i="13"/>
  <c r="AA2257" i="13"/>
  <c r="AA1117" i="13"/>
  <c r="AA1585" i="13"/>
  <c r="AA1826" i="13"/>
  <c r="AA1023" i="13"/>
  <c r="AA2910" i="13"/>
  <c r="AA2515" i="13"/>
  <c r="AA3415" i="13"/>
  <c r="AA2776" i="13"/>
  <c r="AA2358" i="13"/>
  <c r="AA507" i="13"/>
  <c r="AA2503" i="13"/>
  <c r="AA2705" i="13"/>
  <c r="AA3185" i="13"/>
  <c r="AA2225" i="13"/>
  <c r="AA2651" i="13"/>
  <c r="AA1599" i="13"/>
  <c r="AA745" i="13"/>
  <c r="AA2719" i="13"/>
  <c r="AA2239" i="13"/>
  <c r="AA958" i="13"/>
  <c r="AA2542" i="13"/>
  <c r="AA3268" i="13"/>
  <c r="AA66" i="13"/>
  <c r="AA975" i="13"/>
  <c r="AA3025" i="13"/>
  <c r="AA901" i="13"/>
  <c r="AA3058" i="13"/>
  <c r="AA423" i="13"/>
  <c r="AA3101" i="13"/>
  <c r="AA965" i="13"/>
  <c r="AA2816" i="13"/>
  <c r="AA3001" i="13"/>
  <c r="AA874" i="13"/>
  <c r="AA3297" i="13"/>
  <c r="AA3078" i="13"/>
  <c r="AA71" i="13"/>
  <c r="AA1151" i="13"/>
  <c r="AA2803" i="13"/>
  <c r="AA2449" i="13"/>
  <c r="AA1913" i="13"/>
  <c r="AA768" i="13"/>
  <c r="T19" i="13"/>
  <c r="T20" i="13"/>
  <c r="T77" i="13"/>
  <c r="T78" i="13"/>
  <c r="T79" i="13"/>
  <c r="T80" i="13"/>
  <c r="T81" i="13"/>
  <c r="T82" i="13"/>
  <c r="T83" i="13"/>
  <c r="T84" i="13"/>
  <c r="T86" i="13"/>
  <c r="T91" i="13"/>
  <c r="T97" i="13"/>
  <c r="T101" i="13"/>
  <c r="T102" i="13"/>
  <c r="T109" i="13"/>
  <c r="AA1005" i="13"/>
  <c r="AA825" i="13"/>
  <c r="AA818" i="13"/>
  <c r="AA2035" i="13"/>
  <c r="AA2313" i="13"/>
  <c r="AA563" i="13"/>
  <c r="AA1680" i="13"/>
  <c r="AA1125" i="13"/>
  <c r="AA2027" i="13"/>
  <c r="AA643" i="13"/>
  <c r="AA1337" i="13"/>
  <c r="AA2826" i="13"/>
  <c r="AA1515" i="13"/>
  <c r="AA121" i="13"/>
  <c r="AA1102" i="13"/>
  <c r="AA824" i="13"/>
  <c r="AA815" i="13"/>
  <c r="AA2551" i="13"/>
  <c r="AA1604" i="13"/>
  <c r="AA703" i="13"/>
  <c r="AA2891" i="13"/>
  <c r="AA2912" i="13"/>
  <c r="AA3385" i="13"/>
  <c r="AA3517" i="13"/>
  <c r="AA1873" i="13"/>
  <c r="AA425" i="13"/>
  <c r="AA3215" i="13"/>
  <c r="AA542" i="13"/>
  <c r="AA1100" i="13"/>
  <c r="AA1507" i="13"/>
  <c r="AA2497" i="13"/>
  <c r="AA1525" i="13"/>
  <c r="AA1013" i="13"/>
  <c r="AA119" i="13"/>
  <c r="AA1126" i="13"/>
  <c r="AA2927" i="13"/>
  <c r="AA2558" i="13"/>
  <c r="AA1794" i="13"/>
  <c r="AA2546" i="13"/>
  <c r="AA2381" i="13"/>
  <c r="AA1982" i="13"/>
  <c r="AA2266" i="13"/>
  <c r="AA2467" i="13"/>
  <c r="AA1421" i="13"/>
  <c r="AA1573" i="13"/>
  <c r="AA1792" i="13"/>
  <c r="AA2410" i="13"/>
  <c r="AA1364" i="13"/>
  <c r="AA3176" i="13"/>
  <c r="AA2661" i="13"/>
  <c r="AA2688" i="13"/>
  <c r="AA3113" i="13"/>
  <c r="AA886" i="13"/>
  <c r="AA1394" i="13"/>
  <c r="AA737" i="13"/>
  <c r="AA1577" i="13"/>
  <c r="AA2884" i="13"/>
  <c r="AA3165" i="13"/>
  <c r="AA936" i="13"/>
  <c r="AA868" i="13"/>
  <c r="AA2061" i="13"/>
  <c r="AA1316" i="13"/>
  <c r="AA2340" i="13"/>
  <c r="AA2403" i="13"/>
  <c r="AA406" i="13"/>
  <c r="AA533" i="13"/>
  <c r="AA1914" i="13"/>
  <c r="AA2110" i="13"/>
  <c r="AA3291" i="13"/>
  <c r="AA1821" i="13"/>
  <c r="AA851" i="13"/>
  <c r="AA859" i="13"/>
  <c r="AA526" i="13"/>
  <c r="AA391" i="13"/>
  <c r="AA1244" i="13"/>
  <c r="AA2573" i="13"/>
  <c r="AA914" i="13"/>
  <c r="AA207" i="13"/>
  <c r="AA661" i="13"/>
  <c r="AA1122" i="13"/>
  <c r="AA2787" i="13"/>
  <c r="AA785" i="13"/>
  <c r="AA3468" i="13"/>
  <c r="AA606" i="13"/>
  <c r="AA2645" i="13"/>
  <c r="AA3052" i="13"/>
  <c r="AA3490" i="13"/>
  <c r="AA993" i="13"/>
  <c r="AA3228" i="13"/>
  <c r="AA1319" i="13"/>
  <c r="AA3192" i="13"/>
  <c r="AA919" i="13"/>
  <c r="AA1423" i="13"/>
  <c r="AA1256" i="13"/>
  <c r="AA1942" i="13"/>
  <c r="AA2549" i="13"/>
  <c r="AA2406" i="13"/>
  <c r="AA594" i="13"/>
  <c r="AA890" i="13"/>
  <c r="AA1935" i="13"/>
  <c r="AA3038" i="13"/>
  <c r="AA719" i="13"/>
  <c r="AA2137" i="13"/>
  <c r="AA2823" i="13"/>
  <c r="AA2336" i="13"/>
  <c r="AA1494" i="13"/>
  <c r="AA316" i="13"/>
  <c r="AA2624" i="13"/>
  <c r="AA1825" i="13"/>
  <c r="AA3187" i="13"/>
  <c r="AA3027" i="13"/>
  <c r="AA3281" i="13"/>
  <c r="AA1451" i="13"/>
  <c r="AA35" i="13"/>
  <c r="AA3260" i="13"/>
  <c r="AA2421" i="13"/>
  <c r="AA1517" i="13"/>
  <c r="AA1403" i="13"/>
  <c r="AA3537" i="13"/>
  <c r="AA3191" i="13"/>
  <c r="AA3481" i="13"/>
  <c r="AA333" i="13"/>
  <c r="AA2141" i="13"/>
  <c r="AA1230" i="13"/>
  <c r="AA2686" i="13"/>
  <c r="AA2274" i="13"/>
  <c r="AA1974" i="13"/>
  <c r="AA552" i="13"/>
  <c r="AA1073" i="13"/>
  <c r="AA1081" i="13"/>
  <c r="AA367" i="13"/>
  <c r="AA292" i="13"/>
  <c r="AA2261" i="13"/>
  <c r="AA1646" i="13"/>
  <c r="AA1558" i="13"/>
  <c r="AA2766" i="13"/>
  <c r="AA1209" i="13"/>
  <c r="AA1305" i="13"/>
  <c r="AA2227" i="13"/>
  <c r="AA422" i="13"/>
  <c r="AA1716" i="13"/>
  <c r="AA3548" i="13"/>
  <c r="AA1222" i="13"/>
  <c r="AA2714" i="13"/>
  <c r="AA3236" i="13"/>
  <c r="AA662" i="13"/>
  <c r="AA1708" i="13"/>
  <c r="AA462" i="13"/>
  <c r="AA3040" i="13"/>
  <c r="AA3086" i="13"/>
  <c r="AA1415" i="13"/>
  <c r="AA926" i="13"/>
  <c r="AA223" i="13"/>
  <c r="AA2683" i="13"/>
  <c r="AA1553" i="13"/>
  <c r="AA1662" i="13"/>
  <c r="AA1048" i="13"/>
  <c r="AA2771" i="13"/>
  <c r="AA803" i="13"/>
  <c r="AA1193" i="13"/>
  <c r="AA2905" i="13"/>
  <c r="AA170" i="13"/>
  <c r="AA252" i="13"/>
  <c r="AA3431" i="13"/>
  <c r="AA1307" i="13"/>
  <c r="AA3091" i="13"/>
  <c r="AA667" i="13"/>
  <c r="AA2136" i="13"/>
  <c r="AA807" i="13"/>
  <c r="AA1373" i="13"/>
  <c r="AA1208" i="13"/>
  <c r="AA1342" i="13"/>
  <c r="AA598" i="13"/>
  <c r="AA163" i="13"/>
  <c r="AA251" i="13"/>
  <c r="AA2393" i="13"/>
  <c r="AA256" i="13"/>
  <c r="AA164" i="13"/>
  <c r="AA3446" i="13"/>
  <c r="AA1411" i="13"/>
  <c r="AA913" i="13"/>
  <c r="AA419" i="13"/>
  <c r="AA1205" i="13"/>
  <c r="AA2456" i="13"/>
  <c r="AA1229" i="13"/>
  <c r="AA1475" i="13"/>
  <c r="AA3150" i="13"/>
  <c r="AA2790" i="13"/>
  <c r="AA2665" i="13"/>
  <c r="AA1502" i="13"/>
  <c r="AA619" i="13"/>
  <c r="AA698" i="13"/>
  <c r="AA2015" i="13"/>
  <c r="AA1628" i="13"/>
  <c r="AA801" i="13"/>
  <c r="AA2941" i="13"/>
  <c r="AA1245" i="13"/>
  <c r="AA1791" i="13"/>
  <c r="AA2051" i="13"/>
  <c r="AA1038" i="13"/>
  <c r="AA1312" i="13"/>
  <c r="AA3312" i="13"/>
  <c r="AA1198" i="13"/>
  <c r="AA2030" i="13"/>
  <c r="AA1405" i="13"/>
  <c r="AA1655" i="13"/>
  <c r="AA38" i="13"/>
  <c r="AA1780" i="13"/>
  <c r="AA2375" i="13"/>
  <c r="AA2689" i="13"/>
  <c r="AA1556" i="13"/>
  <c r="AA987" i="13"/>
  <c r="AA2272" i="13"/>
  <c r="AA1329" i="13"/>
  <c r="AA1146" i="13"/>
  <c r="AA1024" i="13"/>
  <c r="AA1429" i="13"/>
  <c r="AA2485" i="13"/>
  <c r="AA3073" i="13"/>
  <c r="AA3373" i="13"/>
  <c r="AA2332" i="13"/>
  <c r="AA843" i="13"/>
  <c r="AA2975" i="13"/>
  <c r="AA867" i="13"/>
  <c r="AA356" i="13"/>
  <c r="AA2081" i="13"/>
  <c r="AA3160" i="13"/>
  <c r="AA3098" i="13"/>
  <c r="AA263" i="13"/>
  <c r="AA267" i="13"/>
  <c r="AA2418" i="13"/>
  <c r="AA967" i="13"/>
  <c r="AA328" i="13"/>
  <c r="AA1384" i="13"/>
  <c r="AA2584" i="13"/>
  <c r="AA2864" i="13"/>
  <c r="AA1455" i="13"/>
  <c r="AA3237" i="13"/>
  <c r="AA2844" i="13"/>
  <c r="AA2652" i="13"/>
  <c r="AA3006" i="13"/>
  <c r="AA1074" i="13"/>
  <c r="AA2798" i="13"/>
  <c r="AA1734" i="13"/>
  <c r="AA1712" i="13"/>
  <c r="AA1297" i="13"/>
  <c r="AA1025" i="13"/>
  <c r="AA2591" i="13"/>
  <c r="AA1119" i="13"/>
  <c r="AA42" i="13"/>
  <c r="AA3470" i="13"/>
  <c r="AA53" i="13"/>
  <c r="AA2104" i="13"/>
  <c r="AA309" i="13"/>
  <c r="AA48" i="13"/>
  <c r="AA2692" i="13"/>
  <c r="AA2150" i="13"/>
  <c r="AA1331" i="13"/>
  <c r="AA3232" i="13"/>
  <c r="AA1713" i="13"/>
  <c r="AA1667" i="13"/>
  <c r="AA816" i="13"/>
  <c r="AA496" i="13"/>
  <c r="AA1856" i="13"/>
  <c r="AA1060" i="13"/>
  <c r="AA1847" i="13"/>
  <c r="AA3287" i="13"/>
  <c r="AA659" i="13"/>
  <c r="AA3469" i="13"/>
  <c r="AA2541" i="13"/>
  <c r="AA623" i="13"/>
  <c r="AA1819" i="13"/>
  <c r="AA1106" i="13"/>
  <c r="AA1501" i="13"/>
  <c r="AA2217" i="13"/>
  <c r="AA673" i="13"/>
  <c r="AA3479" i="13"/>
  <c r="AA3060" i="13"/>
  <c r="AA3379" i="13"/>
  <c r="AA1177" i="13"/>
  <c r="AA2532" i="13"/>
  <c r="AA478" i="13"/>
  <c r="AA2779" i="13"/>
  <c r="AA1020" i="13"/>
  <c r="AA418" i="13"/>
  <c r="AA3124" i="13"/>
  <c r="AA1393" i="13"/>
  <c r="AA343" i="13"/>
  <c r="AA906" i="13"/>
  <c r="AA3322" i="13"/>
  <c r="AA1721" i="13"/>
  <c r="AA2492" i="13"/>
  <c r="AA174" i="13"/>
  <c r="AA2547" i="13"/>
  <c r="AA2830" i="13"/>
  <c r="AA2717" i="13"/>
  <c r="AA1121" i="13"/>
  <c r="AA1918" i="13"/>
  <c r="AA2069" i="13"/>
  <c r="AA313" i="13"/>
  <c r="AA3528" i="13"/>
  <c r="AA1491" i="13"/>
  <c r="AA2113" i="13"/>
  <c r="AA1809" i="13"/>
  <c r="AA904" i="13"/>
  <c r="AA2112" i="13"/>
  <c r="AA79" i="13"/>
  <c r="AA1210" i="13"/>
  <c r="AA1456" i="13"/>
  <c r="AA1634" i="13"/>
  <c r="AA1441" i="13"/>
  <c r="AA3076" i="13"/>
  <c r="AA832" i="13"/>
  <c r="AA85" i="13"/>
  <c r="AA2956" i="13"/>
  <c r="AA2886" i="13"/>
  <c r="AA2718" i="13"/>
  <c r="AA449" i="13"/>
  <c r="AA2712" i="13"/>
  <c r="AA769" i="13"/>
  <c r="AA1022" i="13"/>
  <c r="AA3252" i="13"/>
  <c r="AA345" i="13"/>
  <c r="AA2735" i="13"/>
  <c r="AA78" i="13"/>
  <c r="AA918" i="13"/>
  <c r="AA2249" i="13"/>
  <c r="AA3032" i="13"/>
  <c r="AA2147" i="13"/>
  <c r="AA1374" i="13"/>
  <c r="AA371" i="13"/>
  <c r="AA1718" i="13"/>
  <c r="AA1874" i="13"/>
  <c r="AA2405" i="13"/>
  <c r="AA1838" i="13"/>
  <c r="AA2846" i="13"/>
  <c r="AA3417" i="13"/>
  <c r="AA951" i="13"/>
  <c r="AA977" i="13"/>
  <c r="AA74" i="13"/>
  <c r="AA1433" i="13"/>
  <c r="AA438" i="13"/>
  <c r="AA471" i="13"/>
  <c r="AA588" i="13"/>
  <c r="AA582" i="13"/>
  <c r="AA888" i="13"/>
  <c r="AA2224" i="13"/>
  <c r="AA945" i="13"/>
  <c r="AA639" i="13"/>
  <c r="AA3066" i="13"/>
  <c r="AA1679" i="13"/>
  <c r="AA583" i="13"/>
  <c r="AA1058" i="13"/>
  <c r="AA809" i="13"/>
  <c r="AA1566" i="13"/>
  <c r="AA160" i="13"/>
  <c r="AA753" i="13"/>
  <c r="AA3449" i="13"/>
  <c r="AA2253" i="13"/>
  <c r="AA1371" i="13"/>
  <c r="AA2062" i="13"/>
  <c r="AA1255" i="13"/>
  <c r="AA2498" i="13"/>
  <c r="AA1300" i="13"/>
  <c r="AA3426" i="13"/>
  <c r="AA2247" i="13"/>
  <c r="AA1149" i="13"/>
  <c r="AA290" i="13"/>
  <c r="AA718" i="13"/>
  <c r="AA2211" i="13"/>
  <c r="AA3509" i="13"/>
  <c r="AA887" i="13"/>
  <c r="AA3226" i="13"/>
  <c r="AA1959" i="13"/>
  <c r="AA1314" i="13"/>
  <c r="AA611" i="13"/>
  <c r="AA905" i="13"/>
  <c r="AA1613" i="13"/>
  <c r="AA668" i="13"/>
  <c r="AA1174" i="13"/>
  <c r="AA2430" i="13"/>
  <c r="AA692" i="13"/>
  <c r="AA3055" i="13"/>
  <c r="AA3402" i="13"/>
  <c r="AA2716" i="13"/>
  <c r="AA283" i="13"/>
  <c r="AA696" i="13"/>
  <c r="AA3302" i="13"/>
  <c r="AA2996" i="13"/>
  <c r="AA822" i="13"/>
  <c r="AA2785" i="13"/>
  <c r="AA2007" i="13"/>
  <c r="AA2587" i="13"/>
  <c r="AA1223" i="13"/>
  <c r="AA3186" i="13"/>
  <c r="AA1956" i="13"/>
  <c r="AA2569" i="13"/>
  <c r="AA2352" i="13"/>
  <c r="AA2193" i="13"/>
  <c r="AA770" i="13"/>
  <c r="AA647" i="13"/>
  <c r="AA359" i="13"/>
  <c r="AA1518" i="13"/>
  <c r="AA3511" i="13"/>
  <c r="AA1620" i="13"/>
  <c r="AA2446" i="13"/>
  <c r="AA214" i="13"/>
  <c r="AA2976" i="13"/>
  <c r="AA2943" i="13"/>
  <c r="AA2335" i="13"/>
  <c r="AA511" i="13"/>
  <c r="AA113" i="13"/>
  <c r="AA2228" i="13"/>
  <c r="AA1991" i="13"/>
  <c r="AA3155" i="13"/>
  <c r="AA33" i="13"/>
  <c r="AA1368" i="13"/>
  <c r="AA2471" i="13"/>
  <c r="AA2713" i="13"/>
  <c r="AA1217" i="13"/>
  <c r="AA2990" i="13"/>
  <c r="AA1868" i="13"/>
  <c r="AA3309" i="13"/>
  <c r="AA1099" i="13"/>
  <c r="AA972" i="13"/>
  <c r="AA149" i="13"/>
  <c r="AA565" i="13"/>
  <c r="AA1545" i="13"/>
  <c r="AA1828" i="13"/>
  <c r="AA2847" i="13"/>
  <c r="AA1836" i="13"/>
  <c r="AA247" i="13"/>
  <c r="AA900" i="13"/>
  <c r="AA916" i="13"/>
  <c r="AA521" i="13"/>
  <c r="AA524" i="13"/>
  <c r="AA2187" i="13"/>
  <c r="AA166" i="13"/>
  <c r="AA3543" i="13"/>
  <c r="AA2865" i="13"/>
  <c r="AA560" i="13"/>
  <c r="AA2506" i="13"/>
  <c r="AA2089" i="13"/>
  <c r="AA2858" i="13"/>
  <c r="AA2453" i="13"/>
  <c r="AA911" i="13"/>
  <c r="AA1835" i="13"/>
  <c r="AA1580" i="13"/>
  <c r="AA3406" i="13"/>
  <c r="AA75" i="13"/>
  <c r="AA2605" i="13"/>
  <c r="AA2039" i="13"/>
  <c r="AA1470" i="13"/>
  <c r="AA380" i="13"/>
  <c r="AA2879" i="13"/>
  <c r="AA1754" i="13"/>
  <c r="AA2096" i="13"/>
  <c r="AA2597" i="13"/>
  <c r="AA1699" i="13"/>
  <c r="AA2059" i="13"/>
  <c r="AA2317" i="13"/>
  <c r="AA3494" i="13"/>
  <c r="AA985" i="13"/>
  <c r="AA3054" i="13"/>
  <c r="AA2678" i="13"/>
  <c r="AA2797" i="13"/>
  <c r="AA1336" i="13"/>
  <c r="AA1720" i="13"/>
  <c r="AA1908" i="13"/>
  <c r="AA1432" i="13"/>
  <c r="AA2275" i="13"/>
  <c r="AA1165" i="13"/>
  <c r="AA3326" i="13"/>
  <c r="AA2903" i="13"/>
  <c r="AA2254" i="13"/>
  <c r="AA2428" i="13"/>
  <c r="AA2567" i="13"/>
  <c r="AA2530" i="13"/>
  <c r="AA873" i="13"/>
  <c r="AA600" i="13"/>
  <c r="AA3506" i="13"/>
  <c r="AA1189" i="13"/>
  <c r="AA830" i="13"/>
  <c r="AA2754" i="13"/>
  <c r="AA3350" i="13"/>
  <c r="AA1417" i="13"/>
  <c r="AA1899" i="13"/>
  <c r="AA1984" i="13"/>
  <c r="AA702" i="13"/>
  <c r="AA810" i="13"/>
  <c r="AA2732" i="13"/>
  <c r="AA90" i="13"/>
  <c r="AA1281" i="13"/>
  <c r="AA1043" i="13"/>
  <c r="AA3480" i="13"/>
  <c r="AA879" i="13"/>
  <c r="AA2231" i="13"/>
  <c r="AA1818" i="13"/>
  <c r="AA2475" i="13"/>
  <c r="AA348" i="13"/>
  <c r="AA2192" i="13"/>
  <c r="AA2904" i="13"/>
  <c r="AA2284" i="13"/>
  <c r="AA1851" i="13"/>
  <c r="AA305" i="13"/>
  <c r="AA1588" i="13"/>
  <c r="AA1499" i="13"/>
  <c r="AA3458" i="13"/>
  <c r="AA132" i="13"/>
  <c r="AA2183" i="13"/>
  <c r="AA2129" i="13"/>
  <c r="AA2640" i="13"/>
  <c r="AA1543" i="13"/>
  <c r="AA1654" i="13"/>
  <c r="AA3061" i="13"/>
  <c r="AA889" i="13"/>
  <c r="AA2676" i="13"/>
  <c r="AA269" i="13"/>
  <c r="AA1246" i="13"/>
  <c r="AA3545" i="13"/>
  <c r="AA764" i="13"/>
  <c r="AA3314" i="13"/>
  <c r="AA2649" i="13"/>
  <c r="AA2000" i="13"/>
  <c r="AA1862" i="13"/>
  <c r="AA3478" i="13"/>
  <c r="AA2632" i="13"/>
  <c r="AA865" i="13"/>
  <c r="AA2997" i="13"/>
  <c r="AA2696" i="13"/>
  <c r="AA885" i="13"/>
  <c r="AA998" i="13"/>
  <c r="AA765" i="13"/>
  <c r="AA2647" i="13"/>
  <c r="AA1264" i="13"/>
  <c r="AA385" i="13"/>
  <c r="AA1036" i="13"/>
  <c r="AA1769" i="13"/>
  <c r="AA2932" i="13"/>
  <c r="AA148" i="13"/>
  <c r="AA2894" i="13"/>
  <c r="AA838" i="13"/>
  <c r="AA1124" i="13"/>
  <c r="AA892" i="13"/>
  <c r="AA2158" i="13"/>
  <c r="AA1116" i="13"/>
  <c r="AA3059" i="13"/>
  <c r="AA2391" i="13"/>
  <c r="AA1062" i="13"/>
  <c r="AA2341" i="13"/>
  <c r="AA531" i="13"/>
  <c r="AA2115" i="13"/>
  <c r="AA666" i="13"/>
  <c r="AA1207" i="13"/>
  <c r="AA2251" i="13"/>
  <c r="AA772" i="13"/>
  <c r="AA1294" i="13"/>
  <c r="AA1732" i="13"/>
  <c r="AA1752" i="13"/>
  <c r="AA193" i="13"/>
  <c r="AA3351" i="13"/>
  <c r="AA686" i="13"/>
  <c r="AA2658" i="13"/>
  <c r="AA154" i="13"/>
  <c r="AA2745" i="13"/>
  <c r="AA285" i="13"/>
  <c r="AA2068" i="13"/>
  <c r="AA1026" i="13"/>
  <c r="AA1658" i="13"/>
  <c r="AA3047" i="13"/>
  <c r="AA3421" i="13"/>
  <c r="AA2450" i="13"/>
  <c r="AA413" i="13"/>
  <c r="AA929" i="13"/>
  <c r="AA2029" i="13"/>
  <c r="AA2887" i="13"/>
  <c r="AA2873" i="13"/>
  <c r="AA2818" i="13"/>
  <c r="AA1777" i="13"/>
  <c r="AA3550" i="13"/>
  <c r="AA2354" i="13"/>
  <c r="AA572" i="13"/>
  <c r="AA532" i="13"/>
  <c r="AA3398" i="13"/>
  <c r="AA749" i="13"/>
  <c r="AA233" i="13"/>
  <c r="AA3106" i="13"/>
  <c r="AA2441" i="13"/>
  <c r="AA3501" i="13"/>
  <c r="AA2374" i="13"/>
  <c r="AA1029" i="13"/>
  <c r="AA2362" i="13"/>
  <c r="AA1663" i="13"/>
  <c r="AA2064" i="13"/>
  <c r="AA2032" i="13"/>
  <c r="AA1350" i="13"/>
  <c r="AA844" i="13"/>
  <c r="AA3367" i="13"/>
  <c r="AA805" i="13"/>
  <c r="AA2494" i="13"/>
  <c r="AA3438" i="13"/>
  <c r="AA1857" i="13"/>
  <c r="AA2947" i="13"/>
  <c r="AA303" i="13"/>
  <c r="AA682" i="13"/>
  <c r="AA112" i="13"/>
  <c r="AA2701" i="13"/>
  <c r="AA3334" i="13"/>
  <c r="AA3286" i="13"/>
  <c r="AA1397" i="13"/>
  <c r="AA2697" i="13"/>
  <c r="AA307" i="13"/>
  <c r="AA272" i="13"/>
  <c r="AA2522" i="13"/>
  <c r="AA2034" i="13"/>
  <c r="AA632" i="13"/>
  <c r="AA766" i="13"/>
  <c r="AA1649" i="13"/>
  <c r="AA777" i="13"/>
  <c r="AA2795" i="13"/>
  <c r="AA2921" i="13"/>
  <c r="AA570" i="13"/>
  <c r="AA837" i="13"/>
  <c r="AA2930" i="13"/>
  <c r="AA1251" i="13"/>
  <c r="AA274" i="13"/>
  <c r="AA699" i="13"/>
  <c r="AA3167" i="13"/>
  <c r="AA2210" i="13"/>
  <c r="AA1413" i="13"/>
  <c r="AA2009" i="13"/>
  <c r="AA1002" i="13"/>
  <c r="AA2747" i="13"/>
  <c r="AA2939" i="13"/>
  <c r="AA706" i="13"/>
  <c r="AA1801" i="13"/>
  <c r="AA2893" i="13"/>
  <c r="AA1737" i="13"/>
  <c r="AA2008" i="13"/>
  <c r="AA3148" i="13"/>
  <c r="AA2250" i="13"/>
  <c r="AA3335" i="13"/>
  <c r="AA1764" i="13"/>
  <c r="AA1741" i="13"/>
  <c r="AA492" i="13"/>
  <c r="AA1839" i="13"/>
  <c r="AA56" i="13"/>
  <c r="AA1625" i="13"/>
  <c r="AA2216" i="13"/>
  <c r="AA2020" i="13"/>
  <c r="AA966" i="13"/>
  <c r="AA3310" i="13"/>
  <c r="AA67" i="13"/>
  <c r="AA2499" i="13"/>
  <c r="AA2458" i="13"/>
  <c r="AA1032" i="13"/>
  <c r="AA1401" i="13"/>
  <c r="AA1424" i="13"/>
  <c r="AA80" i="13"/>
  <c r="AA1729" i="13"/>
  <c r="AA2523" i="13"/>
  <c r="AA266" i="13"/>
  <c r="AA771" i="13"/>
  <c r="AA3451" i="13"/>
  <c r="AA2729" i="13"/>
  <c r="AA434" i="13"/>
  <c r="AA1253" i="13"/>
  <c r="AA628" i="13"/>
  <c r="AA1445" i="13"/>
  <c r="AA387" i="13"/>
  <c r="AA1233" i="13"/>
  <c r="AA3546" i="13"/>
  <c r="AA1370" i="13"/>
  <c r="AA2028" i="13"/>
  <c r="AA197" i="13"/>
  <c r="AA3135" i="13"/>
  <c r="AA1684" i="13"/>
  <c r="AA2868" i="13"/>
  <c r="AA3361" i="13"/>
  <c r="AA2087" i="13"/>
  <c r="AA1528" i="13"/>
  <c r="AA2464" i="13"/>
  <c r="AA536" i="13"/>
  <c r="AA2348" i="13"/>
  <c r="AA1104" i="13"/>
  <c r="AA1511" i="13"/>
  <c r="AA2384" i="13"/>
  <c r="AA522" i="13"/>
  <c r="AA1236" i="13"/>
  <c r="AA1689" i="13"/>
  <c r="AA3188" i="13"/>
  <c r="AA1770" i="13"/>
  <c r="AA158" i="13"/>
  <c r="AA2940" i="13"/>
  <c r="AA3049" i="13"/>
  <c r="AA1636" i="13"/>
  <c r="AA2017" i="13"/>
  <c r="AA2462" i="13"/>
  <c r="AA3103" i="13"/>
  <c r="AA254" i="13"/>
  <c r="AA1531" i="13"/>
  <c r="AA3428" i="13"/>
  <c r="AA3441" i="13"/>
  <c r="AA3010" i="13"/>
  <c r="AA3520" i="13"/>
  <c r="AA3332" i="13"/>
  <c r="AA2304" i="13"/>
  <c r="AA1034" i="13"/>
  <c r="AA2487" i="13"/>
  <c r="AA3466" i="13"/>
  <c r="AA2510" i="13"/>
  <c r="AA505" i="13"/>
  <c r="AA355" i="13"/>
  <c r="AA725" i="13"/>
  <c r="AA3531" i="13"/>
  <c r="AA2926" i="13"/>
  <c r="AA1966" i="13"/>
  <c r="AA3037" i="13"/>
  <c r="AA3450" i="13"/>
  <c r="AA654" i="13"/>
  <c r="AA1497" i="13"/>
  <c r="AA813" i="13"/>
  <c r="AA334" i="13"/>
  <c r="AA2065" i="13"/>
  <c r="AA2774" i="13"/>
  <c r="AA441" i="13"/>
  <c r="AA122" i="13"/>
  <c r="AA3338" i="13"/>
  <c r="AA3255" i="13"/>
  <c r="AA3240" i="13"/>
  <c r="AA2420" i="13"/>
  <c r="AA3171" i="13"/>
  <c r="AA1380" i="13"/>
  <c r="AA1695" i="13"/>
  <c r="AA2040" i="13"/>
  <c r="AA3097" i="13"/>
  <c r="AA3418" i="13"/>
  <c r="AA2316" i="13"/>
  <c r="AA1665" i="13"/>
  <c r="AA341" i="13"/>
  <c r="AA3527" i="13"/>
  <c r="AA302" i="13"/>
  <c r="AA2011" i="13"/>
  <c r="AA2181" i="13"/>
  <c r="AA804" i="13"/>
  <c r="AA1731" i="13"/>
  <c r="AA2214" i="13"/>
  <c r="AA784" i="13"/>
  <c r="AA3081" i="13"/>
  <c r="AA2344" i="13"/>
  <c r="AA2588" i="13"/>
  <c r="AA1910" i="13"/>
  <c r="AA1747" i="13"/>
  <c r="AA2814" i="13"/>
  <c r="AA3308" i="13"/>
  <c r="AA242" i="13"/>
  <c r="AA618" i="13"/>
  <c r="AA2198" i="13"/>
  <c r="AA1505" i="13"/>
  <c r="AA1490" i="13"/>
  <c r="AA2477" i="13"/>
  <c r="AA1816" i="13"/>
  <c r="AA1600" i="13"/>
  <c r="AA3241" i="13"/>
  <c r="AA2725" i="13"/>
  <c r="AA1478" i="13"/>
  <c r="AA342" i="13"/>
  <c r="AA1202" i="13"/>
  <c r="AA2871" i="13"/>
  <c r="AA457" i="13"/>
  <c r="AA2423" i="13"/>
  <c r="AA994" i="13"/>
  <c r="AA956" i="13"/>
  <c r="AA3507" i="13"/>
  <c r="AA1338" i="13"/>
  <c r="AA3222" i="13"/>
  <c r="AA167" i="13"/>
  <c r="AA1321" i="13"/>
  <c r="AA306" i="13"/>
  <c r="AA3453" i="13"/>
  <c r="AA1440" i="13"/>
  <c r="AA1746" i="13"/>
  <c r="AA2095" i="13"/>
  <c r="AA1346" i="13"/>
  <c r="AA655" i="13"/>
  <c r="AA1719" i="13"/>
  <c r="AA1040" i="13"/>
  <c r="AA935" i="13"/>
  <c r="AA1988" i="13"/>
  <c r="AA2677" i="13"/>
  <c r="AA922" i="13"/>
  <c r="AA431" i="13"/>
  <c r="AA2366" i="13"/>
  <c r="AA2057" i="13"/>
  <c r="AA1375" i="13"/>
  <c r="AA1132" i="13"/>
  <c r="AA2788" i="13"/>
  <c r="AA3440" i="13"/>
  <c r="AA1694" i="13"/>
  <c r="AA1087" i="13"/>
  <c r="AA3325" i="13"/>
  <c r="AA1399" i="13"/>
  <c r="AA2753" i="13"/>
  <c r="AA2572" i="13"/>
  <c r="AA1946" i="13"/>
  <c r="AA3538" i="13"/>
  <c r="AA3530" i="13"/>
  <c r="AA26" i="13"/>
  <c r="AA1967" i="13"/>
  <c r="AA481" i="13"/>
  <c r="AA1526" i="13"/>
  <c r="AA2974" i="13"/>
  <c r="AA1519" i="13"/>
  <c r="AA2933" i="13"/>
  <c r="AA294" i="13"/>
  <c r="AA1317" i="13"/>
  <c r="AA525" i="13"/>
  <c r="AA2407" i="13"/>
  <c r="AA2207" i="13"/>
  <c r="AA1476" i="13"/>
  <c r="AA1994" i="13"/>
  <c r="AA529" i="13"/>
  <c r="AA289" i="13"/>
  <c r="AA3089" i="13"/>
  <c r="AA2594" i="13"/>
  <c r="AA338" i="13"/>
  <c r="AA2223" i="13"/>
  <c r="AA1261" i="13"/>
  <c r="AA2806" i="13"/>
  <c r="AA1859" i="13"/>
  <c r="AA1152" i="13"/>
  <c r="AA1660" i="13"/>
  <c r="AA2433" i="13"/>
  <c r="AA3266" i="13"/>
  <c r="AA1897" i="13"/>
  <c r="AA2415" i="13"/>
  <c r="AA1277" i="13"/>
  <c r="AA2036" i="13"/>
  <c r="AA2209" i="13"/>
  <c r="AA480" i="13"/>
  <c r="AA2752" i="13"/>
  <c r="AA3457" i="13"/>
  <c r="AA2454" i="13"/>
  <c r="AA1940" i="13"/>
  <c r="AA3551" i="13"/>
  <c r="AA2094" i="13"/>
  <c r="AA2321" i="13"/>
  <c r="AA1896" i="13"/>
  <c r="AA2983" i="13"/>
  <c r="AA161" i="13"/>
  <c r="AA2813" i="13"/>
  <c r="AA2521" i="13"/>
  <c r="AA2278" i="13"/>
  <c r="AA1555" i="13"/>
  <c r="AA1447" i="13"/>
  <c r="AA227" i="13"/>
  <c r="AA1275" i="13"/>
  <c r="AA3016" i="13"/>
  <c r="AA2411" i="13"/>
  <c r="AA20" i="13"/>
  <c r="AA2026" i="13"/>
  <c r="AA2488" i="13"/>
  <c r="AA3429" i="13"/>
  <c r="AA3419" i="13"/>
  <c r="AA1595" i="13"/>
  <c r="AA1627" i="13"/>
  <c r="AA412" i="13"/>
  <c r="AA3532" i="13"/>
  <c r="AA3033" i="13"/>
  <c r="AA2236" i="13"/>
  <c r="AA1672" i="13"/>
  <c r="AA959" i="13"/>
  <c r="AA2058" i="13"/>
  <c r="AA2153" i="13"/>
  <c r="AA1268" i="13"/>
  <c r="AA1598" i="13"/>
  <c r="AA268" i="13"/>
  <c r="AA2399" i="13"/>
  <c r="AA2049" i="13"/>
  <c r="AA2333" i="13"/>
  <c r="AA1446" i="13"/>
  <c r="AA716" i="13"/>
  <c r="AA2533" i="13"/>
  <c r="AA717" i="13"/>
  <c r="AA465" i="13"/>
  <c r="AA556" i="13"/>
  <c r="AA2673" i="13"/>
  <c r="AA774" i="13"/>
  <c r="AA101" i="13"/>
  <c r="AA2426" i="13"/>
  <c r="AA275" i="13"/>
  <c r="AA1783" i="13"/>
  <c r="AA491" i="13"/>
  <c r="AA2514" i="13"/>
  <c r="AA1934" i="13"/>
  <c r="AA1929" i="13"/>
  <c r="AA2702" i="13"/>
  <c r="AA2731" i="13"/>
  <c r="AA1796" i="13"/>
  <c r="AA3072" i="13"/>
  <c r="AA697" i="13"/>
  <c r="AA597" i="13"/>
  <c r="AA3454" i="13"/>
  <c r="AA2840" i="13"/>
  <c r="AA1739" i="13"/>
  <c r="AA115" i="13"/>
  <c r="AA978" i="13"/>
  <c r="AA1204" i="13"/>
  <c r="AA1355" i="13"/>
  <c r="AA1225" i="13"/>
  <c r="AA1484" i="13"/>
  <c r="AA2906" i="13"/>
  <c r="AA3229" i="13"/>
  <c r="AA1493" i="13"/>
  <c r="AA3030" i="13"/>
  <c r="AA2280" i="13"/>
  <c r="AA1057" i="13"/>
  <c r="AA155" i="13"/>
  <c r="AA2053" i="13"/>
  <c r="AA1803" i="13"/>
  <c r="AA2768" i="13"/>
  <c r="AA1987" i="13"/>
  <c r="AA1693" i="13"/>
  <c r="AA568" i="13"/>
  <c r="AA3473" i="13"/>
  <c r="AA2291" i="13"/>
  <c r="AA1953" i="13"/>
  <c r="AA2636" i="13"/>
  <c r="AA3158" i="13"/>
  <c r="T73" i="13"/>
  <c r="AA715" i="13"/>
  <c r="AA1031" i="13"/>
  <c r="AA2949" i="13"/>
  <c r="AA3491" i="13"/>
  <c r="AA1562" i="13"/>
  <c r="AA225" i="13"/>
  <c r="AA1651" i="13"/>
  <c r="AA2086" i="13"/>
  <c r="AA1444" i="13"/>
  <c r="AA622" i="13"/>
  <c r="AA722" i="13"/>
  <c r="AA502" i="13"/>
  <c r="AA2537" i="13"/>
  <c r="AA3299" i="13"/>
  <c r="AA2985" i="13"/>
  <c r="AA468" i="13"/>
  <c r="AA759" i="13"/>
  <c r="AA3300" i="13"/>
  <c r="AA558" i="13"/>
  <c r="AA2221" i="13"/>
  <c r="AA2682" i="13"/>
  <c r="AA2468" i="13"/>
  <c r="AA2205" i="13"/>
  <c r="AA3196" i="13"/>
  <c r="AA1192" i="13"/>
  <c r="AA1955" i="13"/>
  <c r="AA1259" i="13"/>
  <c r="AA315" i="13"/>
  <c r="AA2169" i="13"/>
  <c r="AA2111" i="13"/>
  <c r="AA2633" i="13"/>
  <c r="AA138" i="13"/>
  <c r="AA1781" i="13"/>
  <c r="AA1196" i="13"/>
  <c r="AA374" i="13"/>
  <c r="AA1279" i="13"/>
  <c r="AA2164" i="13"/>
  <c r="AA1952" i="13"/>
  <c r="AA1250" i="13"/>
  <c r="AA732" i="13"/>
  <c r="AA1272" i="13"/>
  <c r="AA2489" i="13"/>
  <c r="AA1674" i="13"/>
  <c r="AA3424" i="13"/>
  <c r="AA61" i="13"/>
  <c r="AA1492" i="13"/>
  <c r="AA3443" i="13"/>
  <c r="AA1750" i="13"/>
  <c r="AA3330" i="13"/>
  <c r="AA1072" i="13"/>
  <c r="AA2180" i="13"/>
  <c r="AA515" i="13"/>
  <c r="AA2875" i="13"/>
  <c r="AA3028" i="13"/>
  <c r="AA2438" i="13"/>
  <c r="AA3013" i="13"/>
  <c r="AA2090" i="13"/>
  <c r="AA1228" i="13"/>
  <c r="AA2937" i="13"/>
  <c r="AA200" i="13"/>
  <c r="AA241" i="13"/>
  <c r="AA381" i="13"/>
  <c r="AA2971" i="13"/>
  <c r="AA2859" i="13"/>
  <c r="AA786" i="13"/>
  <c r="AA845" i="13"/>
  <c r="AA2666" i="13"/>
  <c r="AA1936" i="13"/>
  <c r="AA1366" i="13"/>
  <c r="AA2831" i="13"/>
  <c r="AA3133" i="13"/>
  <c r="AA1238" i="13"/>
  <c r="AA354" i="13"/>
  <c r="AA3321" i="13"/>
  <c r="AA213" i="13"/>
  <c r="AA1702" i="13"/>
  <c r="AA1656" i="13"/>
  <c r="AA2501" i="13"/>
  <c r="AA1434" i="13"/>
  <c r="AA2252" i="13"/>
  <c r="AA433" i="13"/>
  <c r="AA2400" i="13"/>
  <c r="AA2080" i="13"/>
  <c r="AA962" i="13"/>
  <c r="AA464" i="13"/>
  <c r="AA314" i="13"/>
  <c r="AA1802" i="13"/>
  <c r="AA3380" i="13"/>
  <c r="AA1813" i="13"/>
  <c r="AA2263" i="13"/>
  <c r="AA1200" i="13"/>
  <c r="AA1806" i="13"/>
  <c r="AA2270" i="13"/>
  <c r="AA1609" i="13"/>
  <c r="AA3544" i="13"/>
  <c r="AA870" i="13"/>
  <c r="AA2603" i="13"/>
  <c r="AA1084" i="13"/>
  <c r="AA775" i="13"/>
  <c r="AA1572" i="13"/>
  <c r="AA57" i="13"/>
  <c r="AA2644" i="13"/>
  <c r="AA2721" i="13"/>
  <c r="AA2621" i="13"/>
  <c r="AA687" i="13"/>
  <c r="AA2078" i="13"/>
  <c r="AA762" i="13"/>
  <c r="AA1089" i="13"/>
  <c r="AA590" i="13"/>
  <c r="AA156" i="13"/>
  <c r="AA2576" i="13"/>
  <c r="AA915" i="13"/>
  <c r="AA1814" i="13"/>
  <c r="AA2118" i="13"/>
  <c r="AA1592" i="13"/>
  <c r="AA1004" i="13"/>
  <c r="AA2667" i="13"/>
  <c r="AA2484" i="13"/>
  <c r="AA2703" i="13"/>
  <c r="AA2269" i="13"/>
  <c r="AA1610" i="13"/>
  <c r="AA576" i="13"/>
  <c r="AA864" i="13"/>
  <c r="AA2196" i="13"/>
  <c r="AA1030" i="13"/>
  <c r="AA1468" i="13"/>
  <c r="AA1657" i="13"/>
  <c r="AA2789" i="13"/>
  <c r="AA796" i="13"/>
  <c r="AA2219" i="13"/>
  <c r="AA2178" i="13"/>
  <c r="AA793" i="13"/>
  <c r="AA839" i="13"/>
  <c r="AA2852" i="13"/>
  <c r="AA1485" i="13"/>
  <c r="AA1759" i="13"/>
  <c r="AA3482" i="13"/>
  <c r="AA2828" i="13"/>
  <c r="AA3463" i="13"/>
  <c r="AA2328" i="13"/>
  <c r="AA3109" i="13"/>
  <c r="AA520" i="13"/>
  <c r="AA773" i="13"/>
  <c r="AA3411" i="13"/>
  <c r="AA1234" i="13"/>
  <c r="AA3372" i="13"/>
  <c r="AA1176" i="13"/>
  <c r="AA2357" i="13"/>
  <c r="AA3230" i="13"/>
  <c r="AA3526" i="13"/>
  <c r="AA2106" i="13"/>
  <c r="AA1537" i="13"/>
  <c r="AA2175" i="13"/>
  <c r="AA2287" i="13"/>
  <c r="AA720" i="13"/>
  <c r="AA1235" i="13"/>
  <c r="AA2176" i="13"/>
  <c r="AA2822" i="13"/>
  <c r="AA43" i="13"/>
  <c r="AA677" i="13"/>
  <c r="AA3157" i="13"/>
  <c r="AA1548" i="13"/>
  <c r="AA3134" i="13"/>
  <c r="AA2965" i="13"/>
  <c r="AA2550" i="13"/>
  <c r="AA674" i="13"/>
  <c r="AA370" i="13"/>
  <c r="AA2980" i="13"/>
  <c r="AA2829" i="13"/>
  <c r="AA671" i="13"/>
  <c r="AA2710" i="13"/>
  <c r="AA3205" i="13"/>
  <c r="AA1916" i="13"/>
  <c r="AA217" i="13"/>
  <c r="AA681" i="13"/>
  <c r="AA3138" i="13"/>
  <c r="AA541" i="13"/>
  <c r="AA3486" i="13"/>
  <c r="AA2006" i="13"/>
  <c r="AA2283" i="13"/>
  <c r="AA1442" i="13"/>
  <c r="AA3444" i="13"/>
  <c r="AA2770" i="13"/>
  <c r="AA1352" i="13"/>
  <c r="AA1239" i="13"/>
  <c r="AA1774" i="13"/>
  <c r="AA3317" i="13"/>
  <c r="AA1215" i="13"/>
  <c r="AA2850" i="13"/>
  <c r="AA537" i="13"/>
  <c r="AA2331" i="13"/>
  <c r="AA530" i="13"/>
  <c r="AA89" i="13"/>
  <c r="AA3031" i="13"/>
  <c r="AA487" i="13"/>
  <c r="AA1999" i="13"/>
  <c r="AA3345" i="13"/>
  <c r="AA1869" i="13"/>
  <c r="AA1398" i="13"/>
  <c r="AA485" i="13"/>
  <c r="AA1596" i="13"/>
  <c r="AA861" i="13"/>
  <c r="AA1461" i="13"/>
  <c r="AA2535" i="13"/>
  <c r="AA2659" i="13"/>
  <c r="AA1166" i="13"/>
  <c r="AA670" i="13"/>
  <c r="AA1773" i="13"/>
  <c r="AA2601" i="13"/>
  <c r="AA1136" i="13"/>
  <c r="AA2145" i="13"/>
  <c r="AA1751" i="13"/>
  <c r="AA893" i="13"/>
  <c r="AA1154" i="13"/>
  <c r="AA2740" i="13"/>
  <c r="AA1817" i="13"/>
  <c r="AA795" i="13"/>
  <c r="AA1147" i="13"/>
  <c r="AA1113" i="13"/>
  <c r="AA1191" i="13"/>
  <c r="AA3119" i="13"/>
  <c r="AA2799" i="13"/>
  <c r="AA2979" i="13"/>
  <c r="AA2911" i="13"/>
  <c r="AA2690" i="13"/>
  <c r="AA2693" i="13"/>
  <c r="AA1670" i="13"/>
  <c r="AA3023" i="13"/>
  <c r="AA131" i="13"/>
  <c r="AA3067" i="13"/>
  <c r="AA1650" i="13"/>
  <c r="AA2472" i="13"/>
  <c r="AA224" i="13"/>
  <c r="AA684" i="13"/>
  <c r="AA999" i="13"/>
  <c r="AA636" i="13"/>
  <c r="AA3272" i="13"/>
  <c r="AA124" i="13"/>
  <c r="AA73" i="13"/>
  <c r="AA2408" i="13"/>
  <c r="AA635" i="13"/>
  <c r="AA1541" i="13"/>
  <c r="AA1799" i="13"/>
  <c r="AA539" i="13"/>
  <c r="AA2369" i="13"/>
  <c r="AA2738" i="13"/>
  <c r="AA2870" i="13"/>
  <c r="AA1291" i="13"/>
  <c r="AA3096" i="13"/>
  <c r="AA1262" i="13"/>
  <c r="AA1677" i="13"/>
  <c r="AA2724" i="13"/>
  <c r="AA312" i="13"/>
  <c r="AA2986" i="13"/>
  <c r="AA2617" i="13"/>
  <c r="AA1797" i="13"/>
  <c r="AA1710" i="13"/>
  <c r="AA3159" i="13"/>
  <c r="AA1012" i="13"/>
  <c r="AA968" i="13"/>
  <c r="AA1798" i="13"/>
  <c r="AA63" i="13"/>
  <c r="AA585" i="13"/>
  <c r="AA1472" i="13"/>
  <c r="AA1883" i="13"/>
  <c r="AA802" i="13"/>
  <c r="AA1724" i="13"/>
  <c r="AA2845" i="13"/>
  <c r="AA2909" i="13"/>
  <c r="AA876" i="13"/>
  <c r="AA1076" i="13"/>
  <c r="AA2233" i="13"/>
  <c r="AA3008" i="13"/>
  <c r="AA982" i="13"/>
  <c r="AA819" i="13"/>
  <c r="AA646" i="13"/>
  <c r="AA1607" i="13"/>
  <c r="AA3399" i="13"/>
  <c r="AA28" i="13"/>
  <c r="AA2928" i="13"/>
  <c r="AA1514" i="13"/>
  <c r="AA2855" i="13"/>
  <c r="AA2843" i="13"/>
  <c r="AA3128" i="13"/>
  <c r="AA1700" i="13"/>
  <c r="AA2320" i="13"/>
  <c r="AA1292" i="13"/>
  <c r="AA3042" i="13"/>
  <c r="AA1427" i="13"/>
  <c r="AA1530" i="13"/>
  <c r="AA2465" i="13"/>
  <c r="AA3316" i="13"/>
  <c r="AA2736" i="13"/>
  <c r="AA2473" i="13"/>
  <c r="AA1945" i="13"/>
  <c r="AA984" i="13"/>
  <c r="AA2108" i="13"/>
  <c r="AA1150" i="13"/>
  <c r="AA2741" i="13"/>
  <c r="AA1669" i="13"/>
  <c r="AA1199" i="13"/>
  <c r="AA2706" i="13"/>
  <c r="AA417" i="13"/>
  <c r="AA2817" i="13"/>
  <c r="AA403" i="13"/>
  <c r="AA1402" i="13"/>
  <c r="AA1241" i="13"/>
  <c r="AA1965" i="13"/>
  <c r="AA1477" i="13"/>
  <c r="AA562" i="13"/>
  <c r="AA64" i="13"/>
  <c r="AA2715" i="13"/>
  <c r="AA1322" i="13"/>
  <c r="AA2126" i="13"/>
  <c r="AA3498" i="13"/>
  <c r="AA1623" i="13"/>
  <c r="AA240" i="13"/>
  <c r="AA3535" i="13"/>
  <c r="AA2784" i="13"/>
  <c r="AA3087" i="13"/>
  <c r="AA1500" i="13"/>
  <c r="AA503" i="13"/>
  <c r="AA931" i="13"/>
  <c r="AA3346" i="13"/>
  <c r="AA147" i="13"/>
  <c r="AA1972" i="13"/>
  <c r="AA1871" i="13"/>
  <c r="AA366" i="13"/>
  <c r="AA1061" i="13"/>
  <c r="AA3311" i="13"/>
  <c r="AA466" i="13"/>
  <c r="AA2866" i="13"/>
  <c r="AA2305" i="13"/>
  <c r="AA2883" i="13"/>
  <c r="AA68" i="13"/>
  <c r="AA1996" i="13"/>
  <c r="AA1944" i="13"/>
  <c r="AA176" i="13"/>
  <c r="AA1542" i="13"/>
  <c r="AA3122" i="13"/>
  <c r="AA1867" i="13"/>
  <c r="AA2691" i="13"/>
  <c r="AA3156" i="13"/>
  <c r="AA2138" i="13"/>
  <c r="AA2722" i="13"/>
  <c r="AA741" i="13"/>
  <c r="AA402" i="13"/>
  <c r="AA357" i="13"/>
  <c r="AA3225" i="13"/>
  <c r="AA1242" i="13"/>
  <c r="AA2200" i="13"/>
  <c r="AA229" i="13"/>
  <c r="AA2371" i="13"/>
  <c r="AA409" i="13"/>
  <c r="AA1052" i="13"/>
  <c r="AA1753" i="13"/>
  <c r="AA1332" i="13"/>
  <c r="AA2764" i="13"/>
  <c r="AA2526" i="13"/>
  <c r="AA2616" i="13"/>
  <c r="AA188" i="13"/>
  <c r="AA1260" i="13"/>
  <c r="AA1768" i="13"/>
  <c r="AA742" i="13"/>
  <c r="AA3393" i="13"/>
  <c r="AA150" i="13"/>
  <c r="AA849" i="13"/>
  <c r="AA231" i="13"/>
  <c r="AA2478" i="13"/>
  <c r="AA1137" i="13"/>
  <c r="AA2140" i="13"/>
  <c r="AA910" i="13"/>
  <c r="AA2277" i="13"/>
  <c r="AA3117" i="13"/>
  <c r="AA2694" i="13"/>
  <c r="AA1027" i="13"/>
  <c r="AA1304" i="13"/>
  <c r="AA153" i="13"/>
  <c r="AA2076" i="13"/>
  <c r="AA3095" i="13"/>
  <c r="AA125" i="13"/>
  <c r="AA210" i="13"/>
  <c r="AA37" i="13"/>
  <c r="AA2944" i="13"/>
  <c r="AA1466" i="13"/>
  <c r="AA2662" i="13"/>
  <c r="AA2920" i="13"/>
  <c r="AA2367" i="13"/>
  <c r="AA1164" i="13"/>
  <c r="AA488" i="13"/>
  <c r="AA866" i="13"/>
  <c r="AA2091" i="13"/>
  <c r="AA3093" i="13"/>
  <c r="AA2612" i="13"/>
  <c r="AA1912" i="13"/>
  <c r="AA2780" i="13"/>
  <c r="AA3248" i="13"/>
  <c r="AA1948" i="13"/>
  <c r="AA3144" i="13"/>
  <c r="AA2520" i="13"/>
  <c r="AA955" i="13"/>
  <c r="AA1303" i="13"/>
  <c r="AA550" i="13"/>
  <c r="AA142" i="13"/>
  <c r="AA1648" i="13"/>
  <c r="AA1464" i="13"/>
  <c r="AA88" i="13"/>
  <c r="AA2915" i="13"/>
  <c r="AA220" i="13"/>
  <c r="AA589" i="13"/>
  <c r="AA2581" i="13"/>
  <c r="AA2151" i="13"/>
  <c r="AA2516" i="13"/>
  <c r="AA1845" i="13"/>
  <c r="AA3352" i="13"/>
  <c r="AA237" i="13"/>
  <c r="AA2148" i="13"/>
  <c r="AA842" i="13"/>
  <c r="AA2590" i="13"/>
  <c r="AA2434" i="13"/>
  <c r="AA2185" i="13"/>
  <c r="AA2711" i="13"/>
  <c r="AA2698" i="13"/>
  <c r="AA1482" i="13"/>
  <c r="AA3216" i="13"/>
  <c r="AA553" i="13"/>
  <c r="AA2302" i="13"/>
  <c r="AA92" i="13"/>
  <c r="AA1310" i="13"/>
  <c r="AA2638" i="13"/>
  <c r="AA2451" i="13"/>
  <c r="AA404" i="13"/>
  <c r="AA182" i="13"/>
  <c r="AA1776" i="13"/>
  <c r="AA2170" i="13"/>
  <c r="AA1489" i="13"/>
  <c r="AA1486" i="13"/>
  <c r="AA652" i="13"/>
  <c r="AA800" i="13"/>
  <c r="AA118" i="13"/>
  <c r="AA1130" i="13"/>
  <c r="AA1900" i="13"/>
  <c r="AA863" i="13"/>
  <c r="AA2324" i="13"/>
  <c r="AA3108" i="13"/>
  <c r="AA384" i="13"/>
  <c r="AA378" i="13"/>
  <c r="AA1571" i="13"/>
  <c r="AA1736" i="13"/>
  <c r="AA835" i="13"/>
  <c r="AA129" i="13"/>
  <c r="AA1092" i="13"/>
  <c r="AA1707" i="13"/>
  <c r="AA2273" i="13"/>
  <c r="AA642" i="13"/>
  <c r="AA2967" i="13"/>
  <c r="AA2102" i="13"/>
  <c r="AA3202" i="13"/>
  <c r="AA1361" i="13"/>
  <c r="AA1179" i="13"/>
  <c r="AA3261" i="13"/>
  <c r="AA1011" i="13"/>
  <c r="AA2872" i="13"/>
  <c r="AA435" i="13"/>
  <c r="AA1898" i="13"/>
  <c r="AA2519" i="13"/>
  <c r="AA3249" i="13"/>
  <c r="AA1993" i="13"/>
  <c r="AA707" i="13"/>
  <c r="AA3019" i="13"/>
  <c r="AA3293" i="13"/>
  <c r="AA891" i="13"/>
  <c r="AA1231" i="13"/>
  <c r="AA3455" i="13"/>
  <c r="AA577" i="13"/>
  <c r="AA330" i="13"/>
  <c r="AA2763" i="13"/>
  <c r="AA332" i="13"/>
  <c r="AA1858" i="13"/>
  <c r="AA2895" i="13"/>
  <c r="AA2708" i="13"/>
  <c r="AA2046" i="13"/>
  <c r="AA2849" i="13"/>
  <c r="AA2630" i="13"/>
  <c r="AA3002" i="13"/>
  <c r="AA2700" i="13"/>
  <c r="AA3333" i="13"/>
  <c r="AA899" i="13"/>
  <c r="AA736" i="13"/>
  <c r="AA2139" i="13"/>
  <c r="AA2359" i="13"/>
  <c r="AA2476" i="13"/>
  <c r="AA1108" i="13"/>
  <c r="AA141" i="13"/>
  <c r="AA1301" i="13"/>
  <c r="AA1206" i="13"/>
  <c r="AA1129" i="13"/>
  <c r="AA679" i="13"/>
  <c r="AA55" i="13"/>
  <c r="AA1812" i="13"/>
  <c r="AA3371" i="13"/>
  <c r="AA451" i="13"/>
  <c r="AA2264" i="13"/>
  <c r="AA2243" i="13"/>
  <c r="AA1763" i="13"/>
  <c r="AA3164" i="13"/>
  <c r="AA1044" i="13"/>
  <c r="AA3404" i="13"/>
  <c r="AA782" i="13"/>
  <c r="AA829" i="13"/>
  <c r="AA750" i="13"/>
  <c r="AA2043" i="13"/>
  <c r="AA2897" i="13"/>
  <c r="AA239" i="13"/>
  <c r="AA995" i="13"/>
  <c r="AA347" i="13"/>
  <c r="AA278" i="13"/>
  <c r="AA260" i="13"/>
  <c r="AA2994" i="13"/>
  <c r="AA1980" i="13"/>
  <c r="AA352" i="13"/>
  <c r="AA181" i="13"/>
  <c r="AA3218" i="13"/>
  <c r="AA363" i="13"/>
  <c r="AA2543" i="13"/>
  <c r="AA755" i="13"/>
  <c r="AA1552" i="13"/>
  <c r="AA828" i="13"/>
  <c r="AA127" i="13"/>
  <c r="AA2880" i="13"/>
  <c r="AA948" i="13"/>
  <c r="AA1388" i="13"/>
  <c r="AA1463" i="13"/>
  <c r="AA437" i="13"/>
  <c r="AA185" i="13"/>
  <c r="AA2922" i="13"/>
  <c r="AA969" i="13"/>
  <c r="AA2329" i="13"/>
  <c r="AA81" i="13"/>
  <c r="AA3099" i="13"/>
  <c r="AA2018" i="13"/>
  <c r="AA579" i="13"/>
  <c r="AA3460" i="13"/>
  <c r="AA2598" i="13"/>
  <c r="AA2988" i="13"/>
  <c r="AA3344" i="13"/>
  <c r="AA2171" i="13"/>
  <c r="AA2836" i="13"/>
  <c r="AA2929" i="13"/>
  <c r="AA3533" i="13"/>
  <c r="AA297" i="13"/>
  <c r="AA2881" i="13"/>
  <c r="AA329" i="13"/>
  <c r="AA284" i="13"/>
  <c r="AA3234" i="13"/>
  <c r="AA1065" i="13"/>
  <c r="AA2182" i="13"/>
  <c r="AA415" i="13"/>
  <c r="AA139" i="13"/>
  <c r="AA1410" i="13"/>
  <c r="AA2626" i="13"/>
  <c r="AA1767" i="13"/>
  <c r="AA634" i="13"/>
  <c r="AA685" i="13"/>
  <c r="AA991" i="13"/>
  <c r="AA727" i="13"/>
  <c r="AA2902" i="13"/>
  <c r="AA884" i="13"/>
  <c r="AA62" i="13"/>
  <c r="AA2544" i="13"/>
  <c r="AA1745" i="13"/>
  <c r="AA834" i="13"/>
  <c r="AA2100" i="13"/>
  <c r="AA1919" i="13"/>
  <c r="AA1842" i="13"/>
  <c r="AA3514" i="13"/>
  <c r="AA208" i="13"/>
  <c r="T74" i="13"/>
  <c r="AA1738" i="13"/>
  <c r="AA2552" i="13"/>
  <c r="AA2389" i="13"/>
  <c r="AA2242" i="13"/>
  <c r="AA1894" i="13"/>
  <c r="AA65" i="13"/>
  <c r="AA3024" i="13"/>
  <c r="AA1640" i="13"/>
  <c r="AA1551" i="13"/>
  <c r="AA400" i="13"/>
  <c r="AA187" i="13"/>
  <c r="AA2201" i="13"/>
  <c r="AA427" i="13"/>
  <c r="AA1178" i="13"/>
  <c r="AA2727" i="13"/>
  <c r="AA1115" i="13"/>
  <c r="AA2334" i="13"/>
  <c r="AA1379" i="13"/>
  <c r="AA3360" i="13"/>
  <c r="AA326" i="13"/>
  <c r="AA601" i="13"/>
  <c r="AA2525" i="13"/>
  <c r="AA3257" i="13"/>
  <c r="AA2143" i="13"/>
  <c r="AA1601" i="13"/>
  <c r="AA2783" i="13"/>
  <c r="AA3163" i="13"/>
  <c r="AA3377" i="13"/>
  <c r="AA293" i="13"/>
  <c r="AA146" i="13"/>
  <c r="AA676" i="13"/>
  <c r="AA1295" i="13"/>
  <c r="AA629" i="13"/>
  <c r="AA1249" i="13"/>
  <c r="AA2343" i="13"/>
  <c r="AA47" i="13"/>
  <c r="AA1685" i="13"/>
  <c r="AA117" i="13"/>
  <c r="AA280" i="13"/>
  <c r="AA472" i="13"/>
  <c r="AA3035" i="13"/>
  <c r="AA3251" i="13"/>
  <c r="AA3053" i="13"/>
  <c r="AA1306" i="13"/>
  <c r="AA1744" i="13"/>
  <c r="AA3396" i="13"/>
  <c r="AA2376" i="13"/>
  <c r="AA2925" i="13"/>
  <c r="AA1570" i="13"/>
  <c r="AA2432" i="13"/>
  <c r="AA2154" i="13"/>
  <c r="AA2628" i="13"/>
  <c r="AA2641" i="13"/>
  <c r="AA1766" i="13"/>
  <c r="AA3146" i="13"/>
  <c r="AA3500" i="13"/>
  <c r="AA392" i="13"/>
  <c r="AA591" i="13"/>
  <c r="AA2968" i="13"/>
  <c r="AA1109" i="13"/>
  <c r="AA1937" i="13"/>
  <c r="AA1226" i="13"/>
  <c r="AA432" i="13"/>
  <c r="AA3277" i="13"/>
  <c r="AA1619" i="13"/>
  <c r="AA317" i="13"/>
  <c r="AA1487" i="13"/>
  <c r="AA111" i="13"/>
  <c r="AA1954" i="13"/>
  <c r="AA973" i="13"/>
  <c r="AA1141" i="13"/>
  <c r="AA3174" i="13"/>
  <c r="AA194" i="13"/>
  <c r="AA2585" i="13"/>
  <c r="AA3143" i="13"/>
  <c r="AA714" i="13"/>
  <c r="AA3201" i="13"/>
  <c r="AA2876" i="13"/>
  <c r="AA2851" i="13"/>
  <c r="AA1832" i="13"/>
  <c r="AA2012" i="13"/>
  <c r="AA439" i="13"/>
  <c r="AA1090" i="13"/>
  <c r="AA2404" i="13"/>
  <c r="AA848" i="13"/>
  <c r="AA3288" i="13"/>
  <c r="AA2229" i="13"/>
  <c r="AA2578" i="13"/>
  <c r="AA365" i="13"/>
  <c r="AA2637" i="13"/>
  <c r="AA447" i="13"/>
  <c r="AA1616" i="13"/>
  <c r="AA1666" i="13"/>
  <c r="AA808" i="13"/>
  <c r="AA397" i="13"/>
  <c r="AA137" i="13"/>
  <c r="AA2055" i="13"/>
  <c r="AA2570" i="13"/>
  <c r="AA3206" i="13"/>
  <c r="AA2167" i="13"/>
  <c r="AA1765" i="13"/>
  <c r="AA1053" i="13"/>
  <c r="AA1815" i="13"/>
  <c r="AA981" i="13"/>
  <c r="AA3125" i="13"/>
  <c r="AA705" i="13"/>
  <c r="AA1504" i="13"/>
  <c r="AA2660" i="13"/>
  <c r="AA211" i="13"/>
  <c r="AA3391" i="13"/>
  <c r="AA1976" i="13"/>
  <c r="AA2299" i="13"/>
  <c r="AA3285" i="13"/>
  <c r="AA2093" i="13"/>
  <c r="AA1675" i="13"/>
  <c r="AA3210" i="13"/>
  <c r="AA3524" i="13"/>
  <c r="AA2355" i="13"/>
  <c r="AA1632" i="13"/>
  <c r="AA3275" i="13"/>
  <c r="AA2177" i="13"/>
  <c r="AA3472" i="13"/>
  <c r="AA1550" i="13"/>
  <c r="AA108" i="13"/>
  <c r="AA2504" i="13"/>
  <c r="AA1105" i="13"/>
  <c r="AA2720" i="13"/>
  <c r="AA1066" i="13"/>
  <c r="AA754" i="13"/>
  <c r="AA2838" i="13"/>
  <c r="AA300" i="13"/>
  <c r="AA2657" i="13"/>
  <c r="AA1265" i="13"/>
  <c r="AA3085" i="13"/>
  <c r="AA235" i="13"/>
  <c r="AA144" i="13"/>
  <c r="AA2743" i="13"/>
  <c r="AA2556" i="13"/>
  <c r="AA730" i="13"/>
  <c r="AA1661" i="13"/>
  <c r="AA1904" i="13"/>
  <c r="AA3219" i="13"/>
  <c r="AA1866" i="13"/>
  <c r="AA3390" i="13"/>
  <c r="AA631" i="13"/>
  <c r="AA1103" i="13"/>
  <c r="AA1536" i="13"/>
  <c r="AA850" i="13"/>
  <c r="AA2837" i="13"/>
  <c r="AA2962" i="13"/>
  <c r="AA1017" i="13"/>
  <c r="AA1722" i="13"/>
  <c r="AA1701" i="13"/>
  <c r="AA2194" i="13"/>
  <c r="AA1270" i="13"/>
  <c r="AA650" i="13"/>
  <c r="AA1671" i="13"/>
  <c r="AA2135" i="13"/>
  <c r="AA379" i="13"/>
  <c r="AA2610" i="13"/>
  <c r="AA896" i="13"/>
  <c r="AA756" i="13"/>
  <c r="AA2589" i="13"/>
  <c r="AA3485" i="13"/>
  <c r="AA909" i="13"/>
  <c r="AA2833" i="13"/>
  <c r="AA248" i="13"/>
  <c r="AA1970" i="13"/>
  <c r="AA2133" i="13"/>
  <c r="AA190" i="13"/>
  <c r="AA1584" i="13"/>
  <c r="AA1985" i="13"/>
  <c r="AA1016" i="13"/>
  <c r="AA3107" i="13"/>
  <c r="AA1216" i="13"/>
  <c r="AA3401" i="13"/>
  <c r="AA538" i="13"/>
  <c r="AA258" i="13"/>
  <c r="AA199" i="13"/>
  <c r="AA693" i="13"/>
  <c r="AA2538" i="13"/>
  <c r="AA1968" i="13"/>
  <c r="AA551" i="13"/>
  <c r="AA340" i="13"/>
  <c r="AA405" i="13"/>
  <c r="AA2580" i="13"/>
  <c r="AA2312" i="13"/>
  <c r="AA3347" i="13"/>
  <c r="AA1172" i="13"/>
  <c r="AA196" i="13"/>
  <c r="AA2565" i="13"/>
  <c r="AA2534" i="13"/>
  <c r="AA3382" i="13"/>
  <c r="AA2173" i="13"/>
  <c r="AA2073" i="13"/>
  <c r="AA780" i="13"/>
  <c r="AA3394" i="13"/>
  <c r="AA362" i="13"/>
  <c r="AA3239" i="13"/>
  <c r="AA2631" i="13"/>
  <c r="AA3381" i="13"/>
  <c r="AA980" i="13"/>
  <c r="AA3015" i="13"/>
  <c r="AA2592" i="13"/>
  <c r="AA1155" i="13"/>
  <c r="AA2969" i="13"/>
  <c r="AA2563" i="13"/>
  <c r="AA2959" i="13"/>
  <c r="AA3116" i="13"/>
  <c r="AA1992" i="13"/>
  <c r="AA3503" i="13"/>
  <c r="AA983" i="13"/>
  <c r="AA2730" i="13"/>
  <c r="AA448" i="13"/>
  <c r="AA2402" i="13"/>
  <c r="AA3110" i="13"/>
  <c r="AA930" i="13"/>
  <c r="AA2751" i="13"/>
  <c r="AA60" i="13"/>
  <c r="AA1271" i="13"/>
  <c r="AA1879" i="13"/>
  <c r="AA3068" i="13"/>
  <c r="AA712" i="13"/>
  <c r="AA3082" i="13"/>
  <c r="AA1252" i="13"/>
  <c r="AA1691" i="13"/>
  <c r="AA3264" i="13"/>
  <c r="AA1605" i="13"/>
  <c r="AA1688" i="13"/>
  <c r="AA286" i="13"/>
  <c r="AA2615" i="13"/>
  <c r="AA1603" i="13"/>
  <c r="AA2444" i="13"/>
  <c r="AA2479" i="13"/>
  <c r="AA2490" i="13"/>
  <c r="AA2674" i="13"/>
  <c r="AA2898" i="13"/>
  <c r="AA2307" i="13"/>
  <c r="AA1237" i="13"/>
  <c r="AA1197" i="13"/>
  <c r="AA3363" i="13"/>
  <c r="AA177" i="13"/>
  <c r="AA857" i="13"/>
  <c r="AA2611" i="13"/>
  <c r="AA1995" i="13"/>
  <c r="AA2622" i="13"/>
  <c r="AA3386" i="13"/>
  <c r="AA3017" i="13"/>
  <c r="AA1591" i="13"/>
  <c r="AA2835" i="13"/>
  <c r="AA2163" i="13"/>
  <c r="AA3521" i="13"/>
  <c r="AA1608" i="13"/>
  <c r="AA1248" i="13"/>
  <c r="AA1462" i="13"/>
  <c r="AA841" i="13"/>
  <c r="AA1882" i="13"/>
  <c r="AA3356" i="13"/>
  <c r="AA3474" i="13"/>
  <c r="AA1804" i="13"/>
  <c r="AA798" i="13"/>
  <c r="AA1503" i="13"/>
  <c r="AA1359" i="13"/>
  <c r="AA1163" i="13"/>
  <c r="AA3243" i="13"/>
  <c r="AA2528" i="13"/>
  <c r="AA1705" i="13"/>
  <c r="AA2396" i="13"/>
  <c r="AA2338" i="13"/>
  <c r="AA2778" i="13"/>
  <c r="AA320" i="13"/>
  <c r="AA2157" i="13"/>
  <c r="AA1309" i="13"/>
  <c r="AA517" i="13"/>
  <c r="AA613" i="13"/>
  <c r="AA1756" i="13"/>
  <c r="AA482" i="13"/>
  <c r="AA299" i="13"/>
  <c r="AA1243" i="13"/>
  <c r="AA2437" i="13"/>
  <c r="AA1436" i="13"/>
  <c r="AA476" i="13"/>
  <c r="AA908" i="13"/>
  <c r="AA1214" i="13"/>
  <c r="AA3132" i="13"/>
  <c r="AA2365" i="13"/>
  <c r="AA1096" i="13"/>
  <c r="AA1930" i="13"/>
  <c r="AA2548" i="13"/>
  <c r="AA1326" i="13"/>
  <c r="AA1452" i="13"/>
  <c r="AA140" i="13"/>
  <c r="AA3488" i="13"/>
  <c r="AA3151" i="13"/>
  <c r="AA2172" i="13"/>
  <c r="AA615" i="13"/>
  <c r="AA3046" i="13"/>
  <c r="AA2483" i="13"/>
  <c r="AA2130" i="13"/>
  <c r="AA2839" i="13"/>
  <c r="AA2125" i="13"/>
  <c r="AA2226" i="13"/>
  <c r="AA2856" i="13"/>
  <c r="AA2419" i="13"/>
  <c r="AA1118" i="13"/>
  <c r="AA3170" i="13"/>
  <c r="AA1606" i="13"/>
  <c r="AA2174" i="13"/>
  <c r="AA2958" i="13"/>
  <c r="AA1134" i="13"/>
  <c r="AA1358" i="13"/>
  <c r="AA2668" i="13"/>
  <c r="AA2463" i="13"/>
  <c r="AA894" i="13"/>
  <c r="AA566" i="13"/>
  <c r="AA1854" i="13"/>
  <c r="AA2857" i="13"/>
  <c r="AA40" i="13"/>
  <c r="AA2383" i="13"/>
  <c r="AA2070" i="13"/>
  <c r="AA3084" i="13"/>
  <c r="AA318" i="13"/>
  <c r="AA1834" i="13"/>
  <c r="AA2460" i="13"/>
  <c r="AA2555" i="13"/>
  <c r="AA162" i="13"/>
  <c r="AA1041" i="13"/>
  <c r="AA1758" i="13"/>
  <c r="AA3235" i="13"/>
  <c r="AA2989" i="13"/>
  <c r="AA3044" i="13"/>
  <c r="AA2050" i="13"/>
  <c r="AA1889" i="13"/>
  <c r="AA1001" i="13"/>
  <c r="AA2639" i="13"/>
  <c r="AA1755" i="13"/>
  <c r="AA3434" i="13"/>
  <c r="AA1449" i="13"/>
  <c r="AA3238" i="13"/>
  <c r="AA2529" i="13"/>
  <c r="AA1876" i="13"/>
  <c r="AA1637" i="13"/>
  <c r="AA669" i="13"/>
  <c r="AA806" i="13"/>
  <c r="AA3448" i="13"/>
  <c r="AA2821" i="13"/>
  <c r="AA3039" i="13"/>
  <c r="AA1341" i="13"/>
  <c r="AA2882" i="13"/>
  <c r="AA2646" i="13"/>
  <c r="AA3462" i="13"/>
  <c r="AA700" i="13"/>
  <c r="AA781" i="13"/>
  <c r="AA1162" i="13"/>
  <c r="AA2809" i="13"/>
  <c r="AA3523" i="13"/>
  <c r="AA54" i="13"/>
  <c r="AA2536" i="13"/>
  <c r="AA94" i="13"/>
  <c r="AA3331" i="13"/>
  <c r="AA1284" i="13"/>
  <c r="AA1621" i="13"/>
  <c r="AA3445" i="13"/>
  <c r="AA1333" i="13"/>
  <c r="AA1793" i="13"/>
  <c r="AA2749" i="13"/>
  <c r="AA116" i="13"/>
  <c r="AA3253" i="13"/>
  <c r="AA923" i="13"/>
  <c r="AA2995" i="13"/>
  <c r="AA1273" i="13"/>
  <c r="AA49" i="13"/>
  <c r="AA3050" i="13"/>
  <c r="AA3493" i="13"/>
  <c r="AA721" i="13"/>
  <c r="AA1184" i="13"/>
  <c r="AA2256" i="13"/>
  <c r="AA1311" i="13"/>
  <c r="U75" i="13" a="1"/>
  <c r="R43" i="13"/>
  <c r="R39" i="13"/>
  <c r="R31" i="13"/>
  <c r="R52" i="13"/>
  <c r="R27" i="13"/>
  <c r="R49" i="13"/>
  <c r="R51" i="13"/>
  <c r="S51" i="13"/>
  <c r="R50" i="13"/>
  <c r="R63" i="13"/>
  <c r="S63" i="13" l="1"/>
  <c r="R40" i="13"/>
  <c r="D28" i="6"/>
  <c r="R30" i="13"/>
  <c r="D27" i="6"/>
  <c r="S40" i="13"/>
  <c r="K5" i="13"/>
  <c r="J15" i="13"/>
  <c r="K13" i="13"/>
  <c r="J8" i="13"/>
  <c r="J16" i="13"/>
  <c r="K8" i="13"/>
  <c r="J7" i="13"/>
  <c r="J10" i="13"/>
  <c r="J3" i="13"/>
  <c r="J5" i="13"/>
  <c r="K12" i="13"/>
  <c r="J9" i="13"/>
  <c r="J11" i="13"/>
  <c r="J13" i="13"/>
  <c r="K4" i="13"/>
  <c r="J4" i="13"/>
  <c r="K6" i="13"/>
  <c r="J12" i="13"/>
  <c r="K9" i="13"/>
  <c r="K7" i="13"/>
  <c r="J6" i="13"/>
  <c r="K11" i="13"/>
  <c r="K3" i="13"/>
  <c r="K16" i="13"/>
  <c r="K15" i="13"/>
  <c r="K14" i="13"/>
  <c r="J14" i="13"/>
  <c r="K10" i="13"/>
  <c r="H15" i="13" l="1"/>
  <c r="G5" i="13"/>
  <c r="G10" i="13"/>
  <c r="G6" i="13"/>
  <c r="H11" i="13"/>
  <c r="G14" i="13"/>
  <c r="H5" i="13"/>
  <c r="T63" i="13"/>
  <c r="H9" i="13"/>
  <c r="H7" i="13"/>
  <c r="H8" i="13"/>
  <c r="U75" i="13"/>
  <c r="H13" i="13"/>
  <c r="G15" i="13"/>
  <c r="G12" i="13"/>
  <c r="U19" i="13"/>
  <c r="H14" i="13"/>
  <c r="G3" i="13"/>
  <c r="G8" i="13"/>
  <c r="G9" i="13"/>
  <c r="H3" i="13"/>
  <c r="H16" i="13"/>
  <c r="H10" i="13"/>
  <c r="H12" i="13"/>
  <c r="H6" i="13"/>
  <c r="H4" i="13"/>
  <c r="G4" i="13"/>
  <c r="G11" i="13"/>
  <c r="G13" i="13"/>
  <c r="G16" i="13"/>
  <c r="G7" i="13"/>
  <c r="T51" i="13"/>
  <c r="T40" i="13"/>
  <c r="R46" i="13"/>
  <c r="R48" i="13"/>
  <c r="S48" i="13" l="1"/>
  <c r="R34" i="13"/>
  <c r="R29" i="13"/>
  <c r="S34" i="13"/>
  <c r="S43" i="13"/>
  <c r="R64" i="13"/>
  <c r="S64" i="13"/>
  <c r="R38" i="13"/>
  <c r="S38" i="13"/>
  <c r="R57" i="13"/>
  <c r="T48" i="13" l="1"/>
  <c r="S57" i="13"/>
  <c r="R53" i="13"/>
  <c r="T57" i="13" l="1"/>
  <c r="S53" i="13"/>
  <c r="R41" i="13"/>
  <c r="R32" i="13"/>
  <c r="R60" i="13"/>
  <c r="S60" i="13"/>
  <c r="S27" i="13"/>
  <c r="S30" i="13"/>
  <c r="R56" i="13"/>
  <c r="R58" i="13"/>
  <c r="R47" i="13"/>
  <c r="R59" i="13"/>
  <c r="T53" i="13" l="1"/>
  <c r="S59" i="13"/>
  <c r="R37" i="13"/>
  <c r="S37" i="13"/>
  <c r="R36" i="13"/>
  <c r="S36" i="13"/>
  <c r="S50" i="13"/>
  <c r="R35" i="13"/>
  <c r="S35" i="13"/>
  <c r="R28" i="13"/>
  <c r="R42" i="13"/>
  <c r="R68" i="13"/>
  <c r="S68" i="13"/>
  <c r="S46" i="13"/>
  <c r="R44" i="13"/>
  <c r="S44" i="13"/>
  <c r="S31" i="13"/>
  <c r="R69" i="13"/>
  <c r="T59" i="13" l="1"/>
  <c r="S69" i="13"/>
  <c r="R33" i="13"/>
  <c r="T69" i="13" l="1"/>
  <c r="S33" i="13"/>
  <c r="R67" i="13"/>
  <c r="S67" i="13"/>
  <c r="R54" i="13"/>
  <c r="S54" i="13"/>
  <c r="S49" i="13"/>
  <c r="S42" i="13"/>
  <c r="R66" i="13"/>
  <c r="S56" i="13"/>
  <c r="R65" i="13"/>
  <c r="S65" i="13"/>
  <c r="S66" i="13"/>
  <c r="S32" i="13"/>
  <c r="S52" i="13"/>
  <c r="R55" i="13"/>
  <c r="S58" i="13"/>
  <c r="R45" i="13"/>
  <c r="S45" i="13"/>
  <c r="S28" i="13"/>
  <c r="S55" i="13"/>
  <c r="R70" i="13"/>
  <c r="T33" i="13"/>
  <c r="S70" i="13"/>
  <c r="S29" i="13"/>
  <c r="S39" i="13"/>
  <c r="S47" i="13"/>
  <c r="S41" i="13"/>
  <c r="T70" i="13" l="1"/>
  <c r="T67" i="13"/>
  <c r="I11" i="13"/>
  <c r="I12" i="13"/>
  <c r="T64" i="13"/>
  <c r="T65" i="13"/>
  <c r="T66" i="13"/>
  <c r="T68" i="13"/>
  <c r="I13" i="13"/>
  <c r="I10" i="13"/>
  <c r="I8" i="13"/>
  <c r="I16" i="13"/>
  <c r="I14" i="13"/>
  <c r="I3" i="13"/>
  <c r="I5" i="13"/>
  <c r="I15" i="13"/>
  <c r="I7" i="13"/>
  <c r="I4" i="13"/>
  <c r="I9" i="13"/>
  <c r="I6" i="13"/>
  <c r="T42" i="13"/>
  <c r="T41" i="13"/>
  <c r="T43" i="13"/>
  <c r="T32" i="13"/>
  <c r="T39" i="13"/>
  <c r="T30" i="13"/>
  <c r="T54" i="13"/>
  <c r="T52" i="13"/>
  <c r="T47" i="13"/>
  <c r="T37" i="13"/>
  <c r="T27" i="13"/>
  <c r="T38" i="13"/>
  <c r="T56" i="13"/>
  <c r="T55" i="13"/>
  <c r="T44" i="13"/>
  <c r="U63" i="13" a="1"/>
  <c r="T45" i="13"/>
  <c r="T58" i="13"/>
  <c r="T60" i="13"/>
  <c r="T46" i="13"/>
  <c r="T28" i="13"/>
  <c r="T34" i="13"/>
  <c r="T31" i="13"/>
  <c r="T50" i="13"/>
  <c r="T36" i="13"/>
  <c r="T35" i="13"/>
  <c r="T29" i="13"/>
  <c r="T49" i="13"/>
  <c r="U63" i="13" l="1"/>
  <c r="U27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<sst xmlns="http://schemas.openxmlformats.org/spreadsheetml/2006/main" count="327" uniqueCount="172">
  <si>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</si>
  <si>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</si>
  <si>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</si>
  <si>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</si>
  <si>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</si>
  <si>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</si>
  <si>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</si>
  <si>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</si>
  <si>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</si>
  <si>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</si>
  <si>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</si>
  <si>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</si>
  <si>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</si>
  <si>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</si>
  <si>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</si>
  <si>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</si>
  <si>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</si>
  <si>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</si>
  <si>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</si>
  <si>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</si>
  <si>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</si>
  <si>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</si>
  <si>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</si>
  <si>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</si>
  <si>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</si>
  <si>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</si>
  <si>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</si>
  <si>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</si>
  <si>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</si>
  <si>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</si>
  <si>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</si>
  <si>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</si>
  <si>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</si>
  <si>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</si>
  <si>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</si>
  <si>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</si>
  <si>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</si>
  <si>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</si>
  <si>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</si>
  <si>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</si>
  <si>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</si>
  <si>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</si>
  <si>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</si>
  <si>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</si>
  <si>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</si>
  <si>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</si>
  <si>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</si>
  <si>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</si>
  <si>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</si>
  <si>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</si>
  <si>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</si>
  <si>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</si>
  <si>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</si>
  <si>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</si>
  <si>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</si>
  <si>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</si>
  <si>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</si>
  <si>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</si>
  <si>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</si>
  <si>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</si>
  <si>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</si>
  <si>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</si>
  <si>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</si>
  <si>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</si>
  <si>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</si>
  <si>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</si>
  <si>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</si>
  <si>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</si>
  <si>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</si>
  <si>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</si>
  <si>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</si>
  <si>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</si>
  <si>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</si>
  <si>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</si>
  <si>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</si>
  <si>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</si>
  <si>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</si>
  <si>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</si>
  <si>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</si>
  <si>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</si>
  <si>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</si>
  <si>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</si>
  <si>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</si>
  <si>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</si>
  <si>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</si>
  <si>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</si>
  <si>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</si>
  <si>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</si>
  <si>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</si>
  <si>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</si>
  <si>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</si>
  <si>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</si>
  <si>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</si>
  <si>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</si>
  <si>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</si>
  <si>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</si>
  <si>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</si>
  <si>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</si>
  <si>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</si>
  <si>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</si>
  <si>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</si>
  <si>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</si>
  <si>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</si>
  <si>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</si>
  <si>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</si>
  <si>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</si>
  <si>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</si>
  <si>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</si>
  <si>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</si>
  <si>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</si>
  <si>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</si>
  <si>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</si>
  <si>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</si>
  <si>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</si>
  <si>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</si>
  <si>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</si>
  <si>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</si>
  <si>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</si>
  <si>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</si>
  <si>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</si>
  <si>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</si>
  <si>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</si>
  <si>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</si>
  <si>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</si>
  <si>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</si>
  <si>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</si>
  <si>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</si>
  <si>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</si>
  <si>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</si>
  <si>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</si>
  <si>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</si>
  <si>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</si>
  <si>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</si>
  <si>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</si>
  <si>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</si>
  <si>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</si>
  <si>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</si>
  <si>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</si>
  <si>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</si>
  <si>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</si>
  <si>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</si>
  <si>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</si>
  <si>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</si>
  <si>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</si>
  <si>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</si>
  <si>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</si>
  <si>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</si>
  <si>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</si>
  <si>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</si>
  <si>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</si>
  <si>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</si>
  <si>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</si>
  <si>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</si>
  <si>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</si>
  <si>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</si>
  <si>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</si>
  <si>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</si>
  <si>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</si>
  <si>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</si>
  <si>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</si>
  <si>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</si>
  <si>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</si>
  <si>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</si>
  <si>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</si>
  <si>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</si>
  <si>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</si>
  <si>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</si>
  <si>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</si>
  <si>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GB Calendar</t>
  </si>
  <si>
    <t>US Calendar</t>
  </si>
  <si>
    <t>UnitedStates::Settlement</t>
  </si>
  <si>
    <t>HolidayCheck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</si>
</sst>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7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2.2900000000895516E-3</c:v>
                </c:pt>
                <c:pt idx="1">
                  <c:v>2.2900000000895516E-3</c:v>
                </c:pt>
                <c:pt idx="2">
                  <c:v>2.2920888670011682E-3</c:v>
                </c:pt>
                <c:pt idx="3">
                  <c:v>2.2943208278364512E-3</c:v>
                </c:pt>
                <c:pt idx="4">
                  <c:v>2.2966671700239503E-3</c:v>
                </c:pt>
                <c:pt idx="5">
                  <c:v>2.3053454252842257E-3</c:v>
                </c:pt>
                <c:pt idx="6">
                  <c:v>2.306622098707945E-3</c:v>
                </c:pt>
                <c:pt idx="7">
                  <c:v>2.3091102250198852E-3</c:v>
                </c:pt>
                <c:pt idx="8">
                  <c:v>2.3115438648286901E-3</c:v>
                </c:pt>
                <c:pt idx="9">
                  <c:v>2.3139023718044961E-3</c:v>
                </c:pt>
                <c:pt idx="10">
                  <c:v>2.31959558464405E-3</c:v>
                </c:pt>
                <c:pt idx="11">
                  <c:v>2.3225913421042817E-3</c:v>
                </c:pt>
                <c:pt idx="12">
                  <c:v>2.3245905324193149E-3</c:v>
                </c:pt>
                <c:pt idx="13">
                  <c:v>2.3265257867204733E-3</c:v>
                </c:pt>
                <c:pt idx="14">
                  <c:v>2.3283997474670523E-3</c:v>
                </c:pt>
                <c:pt idx="15">
                  <c:v>2.3326680641880082E-3</c:v>
                </c:pt>
                <c:pt idx="16">
                  <c:v>2.3353355043854093E-3</c:v>
                </c:pt>
                <c:pt idx="17">
                  <c:v>2.3369426345291578E-3</c:v>
                </c:pt>
                <c:pt idx="18">
                  <c:v>2.338504326033968E-3</c:v>
                </c:pt>
                <c:pt idx="19">
                  <c:v>2.3400232214086602E-3</c:v>
                </c:pt>
                <c:pt idx="20">
                  <c:v>2.3432494590785173E-3</c:v>
                </c:pt>
                <c:pt idx="21">
                  <c:v>2.3457236919590388E-3</c:v>
                </c:pt>
                <c:pt idx="22">
                  <c:v>2.3470682444918286E-3</c:v>
                </c:pt>
                <c:pt idx="23">
                  <c:v>2.3483858560534253E-3</c:v>
                </c:pt>
                <c:pt idx="24">
                  <c:v>2.3496791691830598E-3</c:v>
                </c:pt>
                <c:pt idx="25">
                  <c:v>2.3522269574844648E-3</c:v>
                </c:pt>
                <c:pt idx="26">
                  <c:v>2.355247220380489E-3</c:v>
                </c:pt>
                <c:pt idx="27">
                  <c:v>2.3558840443558562E-3</c:v>
                </c:pt>
                <c:pt idx="28">
                  <c:v>2.3570945565298336E-3</c:v>
                </c:pt>
                <c:pt idx="29">
                  <c:v>2.3583022336385851E-3</c:v>
                </c:pt>
                <c:pt idx="30">
                  <c:v>2.3605287150399029E-3</c:v>
                </c:pt>
                <c:pt idx="31">
                  <c:v>2.363167327824359E-3</c:v>
                </c:pt>
                <c:pt idx="32">
                  <c:v>2.3644078819420517E-3</c:v>
                </c:pt>
                <c:pt idx="33">
                  <c:v>2.3656644219575674E-3</c:v>
                </c:pt>
                <c:pt idx="34">
                  <c:v>2.3669400847103894E-3</c:v>
                </c:pt>
                <c:pt idx="35">
                  <c:v>2.3691903662608487E-3</c:v>
                </c:pt>
                <c:pt idx="36">
                  <c:v>2.3737150292931245E-3</c:v>
                </c:pt>
                <c:pt idx="37">
                  <c:v>2.3756685979956574E-3</c:v>
                </c:pt>
                <c:pt idx="38">
                  <c:v>2.3766686562500519E-3</c:v>
                </c:pt>
                <c:pt idx="39">
                  <c:v>2.3777092737487203E-3</c:v>
                </c:pt>
                <c:pt idx="40">
                  <c:v>2.3843280589424904E-3</c:v>
                </c:pt>
                <c:pt idx="41">
                  <c:v>2.3843280589424904E-3</c:v>
                </c:pt>
                <c:pt idx="42">
                  <c:v>2.3861210887541487E-3</c:v>
                </c:pt>
                <c:pt idx="43">
                  <c:v>2.3879757947025322E-3</c:v>
                </c:pt>
                <c:pt idx="44">
                  <c:v>2.3898953481690404E-3</c:v>
                </c:pt>
                <c:pt idx="45">
                  <c:v>2.3960748076195535E-3</c:v>
                </c:pt>
                <c:pt idx="46">
                  <c:v>2.3982841044582134E-3</c:v>
                </c:pt>
                <c:pt idx="47">
                  <c:v>2.4005659416784873E-3</c:v>
                </c:pt>
                <c:pt idx="48">
                  <c:v>2.4029153265216407E-3</c:v>
                </c:pt>
                <c:pt idx="49">
                  <c:v>2.4053272662175203E-3</c:v>
                </c:pt>
                <c:pt idx="50">
                  <c:v>2.4128884865961273E-3</c:v>
                </c:pt>
                <c:pt idx="51">
                  <c:v>2.4155007178248171E-3</c:v>
                </c:pt>
                <c:pt idx="52">
                  <c:v>2.4181505399114055E-3</c:v>
                </c:pt>
                <c:pt idx="53">
                  <c:v>2.4208326669584589E-3</c:v>
                </c:pt>
                <c:pt idx="54">
                  <c:v>2.4235406407922015E-3</c:v>
                </c:pt>
                <c:pt idx="55">
                  <c:v>2.4317521303649039E-3</c:v>
                </c:pt>
                <c:pt idx="56">
                  <c:v>2.4344959786036318E-3</c:v>
                </c:pt>
                <c:pt idx="57">
                  <c:v>2.4372319171641721E-3</c:v>
                </c:pt>
                <c:pt idx="58">
                  <c:v>2.445119686194144E-3</c:v>
                </c:pt>
                <c:pt idx="59">
                  <c:v>2.4465817885604623E-3</c:v>
                </c:pt>
                <c:pt idx="60">
                  <c:v>2.4505566669547492E-3</c:v>
                </c:pt>
                <c:pt idx="61">
                  <c:v>2.4545320378905988E-3</c:v>
                </c:pt>
                <c:pt idx="62">
                  <c:v>2.4585724421904449E-3</c:v>
                </c:pt>
                <c:pt idx="63">
                  <c:v>2.4595374850656035E-3</c:v>
                </c:pt>
                <c:pt idx="64">
                  <c:v>2.4651613240059323E-3</c:v>
                </c:pt>
                <c:pt idx="65">
                  <c:v>2.4686833606042502E-3</c:v>
                </c:pt>
                <c:pt idx="66">
                  <c:v>2.4707506612245051E-3</c:v>
                </c:pt>
                <c:pt idx="67">
                  <c:v>2.472722419220513E-3</c:v>
                </c:pt>
                <c:pt idx="68">
                  <c:v>2.4746193617400988E-3</c:v>
                </c:pt>
                <c:pt idx="69">
                  <c:v>2.4803500554980398E-3</c:v>
                </c:pt>
                <c:pt idx="70">
                  <c:v>2.4838991332365445E-3</c:v>
                </c:pt>
                <c:pt idx="71">
                  <c:v>2.4838991332365445E-3</c:v>
                </c:pt>
                <c:pt idx="72">
                  <c:v>2.4858975582324654E-3</c:v>
                </c:pt>
                <c:pt idx="73">
                  <c:v>2.4880046266782751E-3</c:v>
                </c:pt>
                <c:pt idx="74">
                  <c:v>2.4971620083805769E-3</c:v>
                </c:pt>
                <c:pt idx="75">
                  <c:v>2.4977453986203646E-3</c:v>
                </c:pt>
                <c:pt idx="76">
                  <c:v>2.5005046787204229E-3</c:v>
                </c:pt>
                <c:pt idx="77">
                  <c:v>2.5033901155429414E-3</c:v>
                </c:pt>
                <c:pt idx="78">
                  <c:v>2.5063999700381465E-3</c:v>
                </c:pt>
                <c:pt idx="79">
                  <c:v>2.5147403034435916E-3</c:v>
                </c:pt>
                <c:pt idx="80">
                  <c:v>2.5196487839918981E-3</c:v>
                </c:pt>
                <c:pt idx="81">
                  <c:v>2.5232546413315716E-3</c:v>
                </c:pt>
                <c:pt idx="82">
                  <c:v>2.5269744821712747E-3</c:v>
                </c:pt>
                <c:pt idx="83">
                  <c:v>2.5308065674977268E-3</c:v>
                </c:pt>
                <c:pt idx="84">
                  <c:v>2.53190921364513E-3</c:v>
                </c:pt>
                <c:pt idx="85">
                  <c:v>2.5472225734792511E-3</c:v>
                </c:pt>
                <c:pt idx="86">
                  <c:v>2.5515897961140822E-3</c:v>
                </c:pt>
                <c:pt idx="87">
                  <c:v>2.5560588291985492E-3</c:v>
                </c:pt>
                <c:pt idx="88">
                  <c:v>2.5606279337271913E-3</c:v>
                </c:pt>
                <c:pt idx="89">
                  <c:v>2.571458716369907E-3</c:v>
                </c:pt>
                <c:pt idx="90">
                  <c:v>2.579870286204689E-3</c:v>
                </c:pt>
                <c:pt idx="91">
                  <c:v>2.5900466769608432E-3</c:v>
                </c:pt>
                <c:pt idx="92">
                  <c:v>2.5900466769608432E-3</c:v>
                </c:pt>
                <c:pt idx="93">
                  <c:v>2.5952675894275433E-3</c:v>
                </c:pt>
                <c:pt idx="94">
                  <c:v>2.6103808978038836E-3</c:v>
                </c:pt>
                <c:pt idx="95">
                  <c:v>2.6169954427580008E-3</c:v>
                </c:pt>
                <c:pt idx="96">
                  <c:v>2.6226297618154003E-3</c:v>
                </c:pt>
                <c:pt idx="97">
                  <c:v>2.62834154508958E-3</c:v>
                </c:pt>
                <c:pt idx="98">
                  <c:v>2.6341290535359797E-3</c:v>
                </c:pt>
                <c:pt idx="99">
                  <c:v>2.6468196467587411E-3</c:v>
                </c:pt>
                <c:pt idx="100">
                  <c:v>2.658001557916232E-3</c:v>
                </c:pt>
                <c:pt idx="101">
                  <c:v>2.664141606322465E-3</c:v>
                </c:pt>
                <c:pt idx="102">
                  <c:v>2.6703469454936665E-3</c:v>
                </c:pt>
                <c:pt idx="103">
                  <c:v>2.679418318733143E-3</c:v>
                </c:pt>
                <c:pt idx="104">
                  <c:v>2.679418318733143E-3</c:v>
                </c:pt>
                <c:pt idx="105">
                  <c:v>2.6987144278191031E-3</c:v>
                </c:pt>
                <c:pt idx="106">
                  <c:v>2.7016748660733114E-3</c:v>
                </c:pt>
                <c:pt idx="107">
                  <c:v>2.7082573548824485E-3</c:v>
                </c:pt>
                <c:pt idx="108">
                  <c:v>2.714891761404381E-3</c:v>
                </c:pt>
                <c:pt idx="109">
                  <c:v>2.7215763078451971E-3</c:v>
                </c:pt>
                <c:pt idx="110">
                  <c:v>2.7455872747741269E-3</c:v>
                </c:pt>
                <c:pt idx="111">
                  <c:v>2.7487803366117447E-3</c:v>
                </c:pt>
                <c:pt idx="112">
                  <c:v>2.7556889154132236E-3</c:v>
                </c:pt>
                <c:pt idx="113">
                  <c:v>2.7626369671658324E-3</c:v>
                </c:pt>
                <c:pt idx="114">
                  <c:v>2.7696227140010521E-3</c:v>
                </c:pt>
                <c:pt idx="115">
                  <c:v>2.7945599334163167E-3</c:v>
                </c:pt>
                <c:pt idx="116">
                  <c:v>2.7979070944619266E-3</c:v>
                </c:pt>
                <c:pt idx="117">
                  <c:v>2.8050546483235905E-3</c:v>
                </c:pt>
                <c:pt idx="118">
                  <c:v>2.8122297261443663E-3</c:v>
                </c:pt>
                <c:pt idx="119">
                  <c:v>2.8194330315578497E-3</c:v>
                </c:pt>
                <c:pt idx="120">
                  <c:v>2.8451086447596001E-3</c:v>
                </c:pt>
                <c:pt idx="121">
                  <c:v>2.8485525284080992E-3</c:v>
                </c:pt>
                <c:pt idx="122">
                  <c:v>2.8559149713194287E-3</c:v>
                </c:pt>
                <c:pt idx="123">
                  <c:v>2.8973331867902905E-3</c:v>
                </c:pt>
                <c:pt idx="124">
                  <c:v>2.9008756065387331E-3</c:v>
                </c:pt>
                <c:pt idx="125">
                  <c:v>2.9085112423947734E-3</c:v>
                </c:pt>
                <c:pt idx="126">
                  <c:v>2.9239151975337663E-3</c:v>
                </c:pt>
                <c:pt idx="127">
                  <c:v>2.9559333563620948E-3</c:v>
                </c:pt>
                <c:pt idx="128">
                  <c:v>2.9595895211215746E-3</c:v>
                </c:pt>
                <c:pt idx="129">
                  <c:v>2.9632550767733079E-3</c:v>
                </c:pt>
                <c:pt idx="130">
                  <c:v>2.9712749378720815E-3</c:v>
                </c:pt>
                <c:pt idx="131">
                  <c:v>2.9793482277442607E-3</c:v>
                </c:pt>
                <c:pt idx="132">
                  <c:v>3.0084305312966914E-3</c:v>
                </c:pt>
                <c:pt idx="133">
                  <c:v>3.0121996786407479E-3</c:v>
                </c:pt>
                <c:pt idx="134">
                  <c:v>3.0205581152467076E-3</c:v>
                </c:pt>
                <c:pt idx="135">
                  <c:v>3.0289771818603484E-3</c:v>
                </c:pt>
                <c:pt idx="136">
                  <c:v>3.0374580787304595E-3</c:v>
                </c:pt>
                <c:pt idx="137">
                  <c:v>3.0720239742372257E-3</c:v>
                </c:pt>
                <c:pt idx="138">
                  <c:v>3.0720239742372257E-3</c:v>
                </c:pt>
                <c:pt idx="139">
                  <c:v>3.0808320266002553E-3</c:v>
                </c:pt>
                <c:pt idx="140">
                  <c:v>3.0897091109984842E-3</c:v>
                </c:pt>
                <c:pt idx="141">
                  <c:v>3.098656427777513E-3</c:v>
                </c:pt>
                <c:pt idx="142">
                  <c:v>3.1311064830505846E-3</c:v>
                </c:pt>
                <c:pt idx="143">
                  <c:v>3.1351720260905935E-3</c:v>
                </c:pt>
                <c:pt idx="144">
                  <c:v>3.1444885104505715E-3</c:v>
                </c:pt>
                <c:pt idx="145">
                  <c:v>3.1538824295669343E-3</c:v>
                </c:pt>
                <c:pt idx="146">
                  <c:v>3.163354983891864E-3</c:v>
                </c:pt>
                <c:pt idx="147">
                  <c:v>3.2033936455525113E-3</c:v>
                </c:pt>
                <c:pt idx="148">
                  <c:v>3.2076591955185777E-3</c:v>
                </c:pt>
                <c:pt idx="149">
                  <c:v>3.2119393005123342E-3</c:v>
                </c:pt>
                <c:pt idx="150">
                  <c:v>3.2162341494973621E-3</c:v>
                </c:pt>
                <c:pt idx="151">
                  <c:v>3.2262336736112655E-3</c:v>
                </c:pt>
                <c:pt idx="152">
                  <c:v>3.2686185894987038E-3</c:v>
                </c:pt>
                <c:pt idx="153">
                  <c:v>3.2730863503260821E-3</c:v>
                </c:pt>
                <c:pt idx="154">
                  <c:v>3.2775712572848535E-3</c:v>
                </c:pt>
                <c:pt idx="155">
                  <c:v>3.288115265294031E-3</c:v>
                </c:pt>
                <c:pt idx="156">
                  <c:v>3.2987542700336904E-3</c:v>
                </c:pt>
                <c:pt idx="157">
                  <c:v>3.3486761957304267E-3</c:v>
                </c:pt>
                <c:pt idx="158">
                  <c:v>3.3486761957304267E-3</c:v>
                </c:pt>
                <c:pt idx="159">
                  <c:v>3.3534167412878173E-3</c:v>
                </c:pt>
                <c:pt idx="160">
                  <c:v>3.3646512246556814E-3</c:v>
                </c:pt>
                <c:pt idx="161">
                  <c:v>3.3759892043586435E-3</c:v>
                </c:pt>
                <c:pt idx="162">
                  <c:v>3.4310863101222576E-3</c:v>
                </c:pt>
                <c:pt idx="163">
                  <c:v>3.4361182214144477E-3</c:v>
                </c:pt>
                <c:pt idx="164">
                  <c:v>3.4411754370937686E-3</c:v>
                </c:pt>
                <c:pt idx="165">
                  <c:v>3.4462585087114486E-3</c:v>
                </c:pt>
                <c:pt idx="166">
                  <c:v>3.472463443516718E-3</c:v>
                </c:pt>
                <c:pt idx="167">
                  <c:v>3.5171511594886289E-3</c:v>
                </c:pt>
                <c:pt idx="168">
                  <c:v>3.5299065585160726E-3</c:v>
                </c:pt>
                <c:pt idx="169">
                  <c:v>3.5427805878716855E-3</c:v>
                </c:pt>
                <c:pt idx="170">
                  <c:v>3.5557744226824201E-3</c:v>
                </c:pt>
                <c:pt idx="171">
                  <c:v>3.5841955555768129E-3</c:v>
                </c:pt>
                <c:pt idx="172">
                  <c:v>3.6089713199705113E-3</c:v>
                </c:pt>
                <c:pt idx="173">
                  <c:v>3.6225818099160272E-3</c:v>
                </c:pt>
                <c:pt idx="174">
                  <c:v>3.6363191566544397E-3</c:v>
                </c:pt>
                <c:pt idx="175">
                  <c:v>3.6501845355047212E-3</c:v>
                </c:pt>
                <c:pt idx="176">
                  <c:v>3.6804276792873464E-3</c:v>
                </c:pt>
                <c:pt idx="177">
                  <c:v>3.7069498794848623E-3</c:v>
                </c:pt>
                <c:pt idx="178">
                  <c:v>3.7214730497495251E-3</c:v>
                </c:pt>
                <c:pt idx="179">
                  <c:v>3.7361311090089448E-3</c:v>
                </c:pt>
                <c:pt idx="180">
                  <c:v>3.7509240905034876E-3</c:v>
                </c:pt>
                <c:pt idx="181">
                  <c:v>3.7830382832805569E-3</c:v>
                </c:pt>
                <c:pt idx="182">
                  <c:v>3.8114272353811209E-3</c:v>
                </c:pt>
                <c:pt idx="183">
                  <c:v>3.8268809155940077E-3</c:v>
                </c:pt>
                <c:pt idx="184">
                  <c:v>3.8424637891029561E-3</c:v>
                </c:pt>
                <c:pt idx="185">
                  <c:v>3.8581748737536075E-3</c:v>
                </c:pt>
                <c:pt idx="186">
                  <c:v>3.8920632471519099E-3</c:v>
                </c:pt>
                <c:pt idx="187">
                  <c:v>3.9222816805679246E-3</c:v>
                </c:pt>
                <c:pt idx="188">
                  <c:v>3.9294177310709799E-3</c:v>
                </c:pt>
                <c:pt idx="189">
                  <c:v>3.9458216635426969E-3</c:v>
                </c:pt>
                <c:pt idx="190">
                  <c:v>3.9623477723116241E-3</c:v>
                </c:pt>
                <c:pt idx="191">
                  <c:v>4.0467762055646011E-3</c:v>
                </c:pt>
                <c:pt idx="192">
                  <c:v>4.0640145189944892E-3</c:v>
                </c:pt>
                <c:pt idx="193">
                  <c:v>4.0813680576199168E-3</c:v>
                </c:pt>
                <c:pt idx="194">
                  <c:v>4.098835828398751E-3</c:v>
                </c:pt>
                <c:pt idx="195">
                  <c:v>4.1519146031236921E-3</c:v>
                </c:pt>
                <c:pt idx="196">
                  <c:v>4.1698293719437439E-3</c:v>
                </c:pt>
                <c:pt idx="197">
                  <c:v>4.1878534075888351E-3</c:v>
                </c:pt>
                <c:pt idx="198">
                  <c:v>4.2059857169676421E-3</c:v>
                </c:pt>
                <c:pt idx="199">
                  <c:v>4.2242253069800549E-3</c:v>
                </c:pt>
                <c:pt idx="200">
                  <c:v>4.2795778296579922E-3</c:v>
                </c:pt>
                <c:pt idx="201">
                  <c:v>4.2982366109973313E-3</c:v>
                </c:pt>
                <c:pt idx="202">
                  <c:v>4.3169977073168938E-3</c:v>
                </c:pt>
                <c:pt idx="203">
                  <c:v>4.3358601254542065E-3</c:v>
                </c:pt>
                <c:pt idx="204">
                  <c:v>4.3548228722344942E-3</c:v>
                </c:pt>
                <c:pt idx="205">
                  <c:v>4.4123031525414216E-3</c:v>
                </c:pt>
                <c:pt idx="206">
                  <c:v>4.4316572819368171E-3</c:v>
                </c:pt>
                <c:pt idx="207">
                  <c:v>4.4511067739344242E-3</c:v>
                </c:pt>
                <c:pt idx="208">
                  <c:v>4.481204128626703E-3</c:v>
                </c:pt>
                <c:pt idx="209">
                  <c:v>4.5221123488793204E-3</c:v>
                </c:pt>
                <c:pt idx="210">
                  <c:v>4.5804755801779635E-3</c:v>
                </c:pt>
                <c:pt idx="211">
                  <c:v>4.600597610625928E-3</c:v>
                </c:pt>
                <c:pt idx="212">
                  <c:v>4.6208065952394999E-3</c:v>
                </c:pt>
                <c:pt idx="213">
                  <c:v>4.6627987941073659E-3</c:v>
                </c:pt>
                <c:pt idx="214">
                  <c:v>4.7024924241752556E-3</c:v>
                </c:pt>
                <c:pt idx="215">
                  <c:v>4.7231214411021065E-3</c:v>
                </c:pt>
                <c:pt idx="216">
                  <c:v>4.7438315166809207E-3</c:v>
                </c:pt>
                <c:pt idx="217">
                  <c:v>4.764621668272513E-3</c:v>
                </c:pt>
                <c:pt idx="218">
                  <c:v>4.8076079182426072E-3</c:v>
                </c:pt>
                <c:pt idx="219">
                  <c:v>4.8485633814164004E-3</c:v>
                </c:pt>
                <c:pt idx="220">
                  <c:v>4.8697391729149563E-3</c:v>
                </c:pt>
                <c:pt idx="221">
                  <c:v>4.8909891442479618E-3</c:v>
                </c:pt>
                <c:pt idx="222">
                  <c:v>4.9123123126606693E-3</c:v>
                </c:pt>
                <c:pt idx="223">
                  <c:v>4.9562098573862935E-3</c:v>
                </c:pt>
                <c:pt idx="224">
                  <c:v>5.0199917132541455E-3</c:v>
                </c:pt>
                <c:pt idx="225">
                  <c:v>5.0417334253013866E-3</c:v>
                </c:pt>
                <c:pt idx="226">
                  <c:v>5.0635414546472352E-3</c:v>
                </c:pt>
                <c:pt idx="227">
                  <c:v>5.0740081408976543E-3</c:v>
                </c:pt>
                <c:pt idx="228">
                  <c:v>5.1514170867686514E-3</c:v>
                </c:pt>
                <c:pt idx="229">
                  <c:v>5.1735419587561893E-3</c:v>
                </c:pt>
                <c:pt idx="230">
                  <c:v>5.1957272503695522E-3</c:v>
                </c:pt>
                <c:pt idx="231">
                  <c:v>5.2179719785950679E-3</c:v>
                </c:pt>
                <c:pt idx="232">
                  <c:v>5.2750941648657531E-3</c:v>
                </c:pt>
                <c:pt idx="233">
                  <c:v>5.3075255966718851E-3</c:v>
                </c:pt>
                <c:pt idx="234">
                  <c:v>5.3300527620745251E-3</c:v>
                </c:pt>
                <c:pt idx="235">
                  <c:v>5.3526334655954518E-3</c:v>
                </c:pt>
                <c:pt idx="236">
                  <c:v>5.3752667240811068E-3</c:v>
                </c:pt>
                <c:pt idx="237">
                  <c:v>5.4214733184532416E-3</c:v>
                </c:pt>
                <c:pt idx="238">
                  <c:v>5.4663056438917033E-3</c:v>
                </c:pt>
                <c:pt idx="239">
                  <c:v>5.48918692918167E-3</c:v>
                </c:pt>
                <c:pt idx="240">
                  <c:v>5.5121148700814472E-3</c:v>
                </c:pt>
                <c:pt idx="241">
                  <c:v>5.5350884307795983E-3</c:v>
                </c:pt>
                <c:pt idx="242">
                  <c:v>5.5819439194391939E-3</c:v>
                </c:pt>
                <c:pt idx="243">
                  <c:v>5.6274239260467604E-3</c:v>
                </c:pt>
                <c:pt idx="244">
                  <c:v>5.6506163774973908E-3</c:v>
                </c:pt>
                <c:pt idx="245">
                  <c:v>5.6738516313948259E-3</c:v>
                </c:pt>
                <c:pt idx="246">
                  <c:v>5.6971293734244038E-3</c:v>
                </c:pt>
                <c:pt idx="247">
                  <c:v>5.744577414726254E-3</c:v>
                </c:pt>
                <c:pt idx="248">
                  <c:v>5.7906589363754266E-3</c:v>
                </c:pt>
                <c:pt idx="249">
                  <c:v>5.8141444041424854E-3</c:v>
                </c:pt>
                <c:pt idx="250">
                  <c:v>5.8376704740286016E-3</c:v>
                </c:pt>
                <c:pt idx="251">
                  <c:v>5.8612368316765416E-3</c:v>
                </c:pt>
                <c:pt idx="252">
                  <c:v>5.9558988525115529E-3</c:v>
                </c:pt>
                <c:pt idx="253">
                  <c:v>5.9558988525115529E-3</c:v>
                </c:pt>
                <c:pt idx="254">
                  <c:v>5.9796619333824207E-3</c:v>
                </c:pt>
                <c:pt idx="255">
                  <c:v>6.0034634157352836E-3</c:v>
                </c:pt>
                <c:pt idx="256">
                  <c:v>6.0273029851685925E-3</c:v>
                </c:pt>
                <c:pt idx="257">
                  <c:v>6.0881408581504063E-3</c:v>
                </c:pt>
                <c:pt idx="258">
                  <c:v>6.1230358454276938E-3</c:v>
                </c:pt>
                <c:pt idx="259">
                  <c:v>6.1470611339958557E-3</c:v>
                </c:pt>
                <c:pt idx="260">
                  <c:v>6.1711226230909419E-3</c:v>
                </c:pt>
                <c:pt idx="261">
                  <c:v>6.1952199982644842E-3</c:v>
                </c:pt>
                <c:pt idx="262">
                  <c:v>6.2442003724002566E-3</c:v>
                </c:pt>
                <c:pt idx="263">
                  <c:v>6.2919620705219042E-3</c:v>
                </c:pt>
                <c:pt idx="264">
                  <c:v>6.3162341591148311E-3</c:v>
                </c:pt>
                <c:pt idx="265">
                  <c:v>6.3405402469485714E-3</c:v>
                </c:pt>
                <c:pt idx="266">
                  <c:v>6.3648800195268713E-3</c:v>
                </c:pt>
                <c:pt idx="267">
                  <c:v>6.4142970482502287E-3</c:v>
                </c:pt>
                <c:pt idx="268">
                  <c:v>6.4625696671103215E-3</c:v>
                </c:pt>
                <c:pt idx="269">
                  <c:v>6.4870731457164852E-3</c:v>
                </c:pt>
                <c:pt idx="270">
                  <c:v>6.5116084219402313E-3</c:v>
                </c:pt>
                <c:pt idx="271">
                  <c:v>6.5361751812340416E-3</c:v>
                </c:pt>
                <c:pt idx="272">
                  <c:v>6.5481724200889451E-3</c:v>
                </c:pt>
                <c:pt idx="273">
                  <c:v>6.6347507579475494E-3</c:v>
                </c:pt>
                <c:pt idx="274">
                  <c:v>6.6594702141547337E-3</c:v>
                </c:pt>
                <c:pt idx="275">
                  <c:v>6.6842192660061146E-3</c:v>
                </c:pt>
                <c:pt idx="276">
                  <c:v>6.7089975989037785E-3</c:v>
                </c:pt>
                <c:pt idx="277">
                  <c:v>6.7591905248071474E-3</c:v>
                </c:pt>
                <c:pt idx="278">
                  <c:v>6.8083974487809238E-3</c:v>
                </c:pt>
                <c:pt idx="279">
                  <c:v>6.846050677529191E-3</c:v>
                </c:pt>
                <c:pt idx="280">
                  <c:v>6.8582648799540308E-3</c:v>
                </c:pt>
                <c:pt idx="281">
                  <c:v>6.8832393708623991E-3</c:v>
                </c:pt>
                <c:pt idx="282">
                  <c:v>6.9337761299058586E-3</c:v>
                </c:pt>
                <c:pt idx="283">
                  <c:v>6.9834018279291152E-3</c:v>
                </c:pt>
                <c:pt idx="284">
                  <c:v>7.0085069921818023E-3</c:v>
                </c:pt>
                <c:pt idx="285">
                  <c:v>7.0336373470527768E-3</c:v>
                </c:pt>
                <c:pt idx="286">
                  <c:v>7.0587925778415987E-3</c:v>
                </c:pt>
                <c:pt idx="287">
                  <c:v>7.1096468199664184E-3</c:v>
                </c:pt>
                <c:pt idx="288">
                  <c:v>7.1596559658954791E-3</c:v>
                </c:pt>
                <c:pt idx="289">
                  <c:v>7.1849308554941182E-3</c:v>
                </c:pt>
                <c:pt idx="290">
                  <c:v>7.2231099329134532E-3</c:v>
                </c:pt>
                <c:pt idx="291">
                  <c:v>7.2355492825952796E-3</c:v>
                </c:pt>
                <c:pt idx="292">
                  <c:v>7.2866969528486841E-3</c:v>
                </c:pt>
                <c:pt idx="293">
                  <c:v>7.349551707350902E-3</c:v>
                </c:pt>
                <c:pt idx="294">
                  <c:v>7.3749928764309048E-3</c:v>
                </c:pt>
                <c:pt idx="295">
                  <c:v>7.400454564375757E-3</c:v>
                </c:pt>
                <c:pt idx="296">
                  <c:v>7.425936452910821E-3</c:v>
                </c:pt>
                <c:pt idx="297">
                  <c:v>7.5280596471266432E-3</c:v>
                </c:pt>
                <c:pt idx="298">
                  <c:v>7.5280596471266432E-3</c:v>
                </c:pt>
                <c:pt idx="299">
                  <c:v>7.5536377641778514E-3</c:v>
                </c:pt>
                <c:pt idx="300">
                  <c:v>7.5792341719913706E-3</c:v>
                </c:pt>
                <c:pt idx="301">
                  <c:v>7.6048485522354665E-3</c:v>
                </c:pt>
                <c:pt idx="302">
                  <c:v>7.6817963441029851E-3</c:v>
                </c:pt>
                <c:pt idx="303">
                  <c:v>7.7074794305833864E-3</c:v>
                </c:pt>
                <c:pt idx="304">
                  <c:v>7.7331788977135904E-3</c:v>
                </c:pt>
                <c:pt idx="305">
                  <c:v>7.7588944418349615E-3</c:v>
                </c:pt>
                <c:pt idx="306">
                  <c:v>7.7846258713029975E-3</c:v>
                </c:pt>
                <c:pt idx="307">
                  <c:v>7.8619160396616299E-3</c:v>
                </c:pt>
                <c:pt idx="308">
                  <c:v>7.8877116846373021E-3</c:v>
                </c:pt>
                <c:pt idx="309">
                  <c:v>7.9135236051503764E-3</c:v>
                </c:pt>
                <c:pt idx="310">
                  <c:v>7.9393518898683863E-3</c:v>
                </c:pt>
                <c:pt idx="311">
                  <c:v>8.0177869992657091E-3</c:v>
                </c:pt>
                <c:pt idx="312">
                  <c:v>8.0559961535751363E-3</c:v>
                </c:pt>
                <c:pt idx="313">
                  <c:v>8.0687418801254646E-3</c:v>
                </c:pt>
                <c:pt idx="314">
                  <c:v>8.1078550309718212E-3</c:v>
                </c:pt>
                <c:pt idx="315">
                  <c:v>8.1734356748737417E-3</c:v>
                </c:pt>
                <c:pt idx="316">
                  <c:v>8.1862118495982916E-3</c:v>
                </c:pt>
                <c:pt idx="317">
                  <c:v>8.2378023331957494E-3</c:v>
                </c:pt>
                <c:pt idx="318">
                  <c:v>8.2638439427758052E-3</c:v>
                </c:pt>
                <c:pt idx="319">
                  <c:v>8.2899031401427407E-3</c:v>
                </c:pt>
                <c:pt idx="320">
                  <c:v>8.3159800130472306E-3</c:v>
                </c:pt>
                <c:pt idx="321">
                  <c:v>8.3686459902095663E-3</c:v>
                </c:pt>
                <c:pt idx="322">
                  <c:v>8.4466325821134763E-3</c:v>
                </c:pt>
                <c:pt idx="323">
                  <c:v>8.4466325821134763E-3</c:v>
                </c:pt>
                <c:pt idx="324">
                  <c:v>8.4728173511665044E-3</c:v>
                </c:pt>
                <c:pt idx="325">
                  <c:v>8.4990204100891514E-3</c:v>
                </c:pt>
                <c:pt idx="326">
                  <c:v>8.5653327026404356E-3</c:v>
                </c:pt>
                <c:pt idx="327">
                  <c:v>8.6040172999525613E-3</c:v>
                </c:pt>
                <c:pt idx="328">
                  <c:v>8.6303131248544537E-3</c:v>
                </c:pt>
                <c:pt idx="329">
                  <c:v>8.6566277662959781E-3</c:v>
                </c:pt>
                <c:pt idx="330">
                  <c:v>8.68296131206517E-3</c:v>
                </c:pt>
                <c:pt idx="331">
                  <c:v>8.7361871719611132E-3</c:v>
                </c:pt>
                <c:pt idx="332">
                  <c:v>8.7884862942653966E-3</c:v>
                </c:pt>
                <c:pt idx="333">
                  <c:v>8.8149156785812532E-3</c:v>
                </c:pt>
                <c:pt idx="334">
                  <c:v>8.8413644940051363E-3</c:v>
                </c:pt>
                <c:pt idx="335">
                  <c:v>8.8678328283433305E-3</c:v>
                </c:pt>
                <c:pt idx="336">
                  <c:v>8.8808169189641475E-3</c:v>
                </c:pt>
                <c:pt idx="337">
                  <c:v>8.9739031110596026E-3</c:v>
                </c:pt>
                <c:pt idx="338">
                  <c:v>9.0004703571557113E-3</c:v>
                </c:pt>
                <c:pt idx="339">
                  <c:v>9.027057649058574E-3</c:v>
                </c:pt>
                <c:pt idx="340">
                  <c:v>9.0536650745935889E-3</c:v>
                </c:pt>
                <c:pt idx="341">
                  <c:v>9.1074887282971417E-3</c:v>
                </c:pt>
                <c:pt idx="342">
                  <c:v>9.1602978696378821E-3</c:v>
                </c:pt>
                <c:pt idx="343">
                  <c:v>9.1870072807954534E-3</c:v>
                </c:pt>
                <c:pt idx="344">
                  <c:v>9.2404881728625418E-3</c:v>
                </c:pt>
                <c:pt idx="345">
                  <c:v>9.2404881728625418E-3</c:v>
                </c:pt>
                <c:pt idx="346">
                  <c:v>9.3083178883073148E-3</c:v>
                </c:pt>
                <c:pt idx="347">
                  <c:v>9.3477006957212849E-3</c:v>
                </c:pt>
                <c:pt idx="348">
                  <c:v>9.3745565761425304E-3</c:v>
                </c:pt>
                <c:pt idx="349">
                  <c:v>9.4014337321624494E-3</c:v>
                </c:pt>
                <c:pt idx="350">
                  <c:v>9.428332251642935E-3</c:v>
                </c:pt>
                <c:pt idx="351">
                  <c:v>9.4827865568348369E-3</c:v>
                </c:pt>
                <c:pt idx="352">
                  <c:v>9.5361417215247945E-3</c:v>
                </c:pt>
                <c:pt idx="353">
                  <c:v>9.5631483763468309E-3</c:v>
                </c:pt>
                <c:pt idx="354">
                  <c:v>9.5901769218633415E-3</c:v>
                </c:pt>
                <c:pt idx="355">
                  <c:v>9.6720078195045248E-3</c:v>
                </c:pt>
                <c:pt idx="356">
                  <c:v>9.6720078195045248E-3</c:v>
                </c:pt>
                <c:pt idx="357">
                  <c:v>9.7117726839449237E-3</c:v>
                </c:pt>
                <c:pt idx="358">
                  <c:v>9.7389218924043112E-3</c:v>
                </c:pt>
                <c:pt idx="359">
                  <c:v>9.7660935894856513E-3</c:v>
                </c:pt>
                <c:pt idx="360">
                  <c:v>9.7932878640427049E-3</c:v>
                </c:pt>
                <c:pt idx="361">
                  <c:v>9.8205048049327445E-3</c:v>
                </c:pt>
                <c:pt idx="362">
                  <c:v>9.9022925142121659E-3</c:v>
                </c:pt>
                <c:pt idx="363">
                  <c:v>9.9296010090587101E-3</c:v>
                </c:pt>
                <c:pt idx="364">
                  <c:v>9.9569326145658912E-3</c:v>
                </c:pt>
                <c:pt idx="365">
                  <c:v>9.9842874196067969E-3</c:v>
                </c:pt>
                <c:pt idx="366">
                  <c:v>1.0011665513057145E-2</c:v>
                </c:pt>
                <c:pt idx="367">
                  <c:v>1.0093940412681773E-2</c:v>
                </c:pt>
                <c:pt idx="368">
                  <c:v>1.0121412548597365E-2</c:v>
                </c:pt>
                <c:pt idx="369">
                  <c:v>1.0148908417350191E-2</c:v>
                </c:pt>
                <c:pt idx="370">
                  <c:v>1.0176428149108652E-2</c:v>
                </c:pt>
                <c:pt idx="371">
                  <c:v>1.020397203915128E-2</c:v>
                </c:pt>
                <c:pt idx="372">
                  <c:v>1.0286752024652328E-2</c:v>
                </c:pt>
                <c:pt idx="373">
                  <c:v>1.0314395913550746E-2</c:v>
                </c:pt>
                <c:pt idx="374">
                  <c:v>1.0342065643642083E-2</c:v>
                </c:pt>
                <c:pt idx="375">
                  <c:v>1.0369761551537961E-2</c:v>
                </c:pt>
                <c:pt idx="376">
                  <c:v>1.050864554018513E-2</c:v>
                </c:pt>
                <c:pt idx="377">
                  <c:v>1.0536505584306497E-2</c:v>
                </c:pt>
                <c:pt idx="378">
                  <c:v>1.0564394162791308E-2</c:v>
                </c:pt>
                <c:pt idx="379">
                  <c:v>1.0676240554344515E-2</c:v>
                </c:pt>
                <c:pt idx="380">
                  <c:v>1.0704276855219252E-2</c:v>
                </c:pt>
                <c:pt idx="381">
                  <c:v>1.0732343710757842E-2</c:v>
                </c:pt>
                <c:pt idx="382">
                  <c:v>1.0760441457710693E-2</c:v>
                </c:pt>
                <c:pt idx="383">
                  <c:v>1.078857043284227E-2</c:v>
                </c:pt>
                <c:pt idx="384">
                  <c:v>1.0873148095083095E-2</c:v>
                </c:pt>
                <c:pt idx="385">
                  <c:v>1.0901405350756902E-2</c:v>
                </c:pt>
                <c:pt idx="386">
                  <c:v>1.0929695518575809E-2</c:v>
                </c:pt>
                <c:pt idx="387">
                  <c:v>1.0958018935363127E-2</c:v>
                </c:pt>
                <c:pt idx="388">
                  <c:v>1.0986375937955354E-2</c:v>
                </c:pt>
                <c:pt idx="389">
                  <c:v>1.1100146543429069E-2</c:v>
                </c:pt>
                <c:pt idx="390">
                  <c:v>1.1100146543429069E-2</c:v>
                </c:pt>
                <c:pt idx="391">
                  <c:v>1.1128676527931409E-2</c:v>
                </c:pt>
                <c:pt idx="392">
                  <c:v>1.1157242119468435E-2</c:v>
                </c:pt>
                <c:pt idx="393">
                  <c:v>1.1185843654948664E-2</c:v>
                </c:pt>
                <c:pt idx="394">
                  <c:v>1.1271867294291939E-2</c:v>
                </c:pt>
                <c:pt idx="395">
                  <c:v>1.1300615974844559E-2</c:v>
                </c:pt>
                <c:pt idx="396">
                  <c:v>1.1329402284042875E-2</c:v>
                </c:pt>
                <c:pt idx="397">
                  <c:v>1.1358226558862166E-2</c:v>
                </c:pt>
                <c:pt idx="398">
                  <c:v>1.1387089136285623E-2</c:v>
                </c:pt>
                <c:pt idx="399">
                  <c:v>1.1488902319986538E-2</c:v>
                </c:pt>
                <c:pt idx="400">
                  <c:v>1.1502929212081041E-2</c:v>
                </c:pt>
                <c:pt idx="401">
                  <c:v>1.1516964628286885E-2</c:v>
                </c:pt>
                <c:pt idx="402">
                  <c:v>1.1546039160950983E-2</c:v>
                </c:pt>
                <c:pt idx="403">
                  <c:v>1.1575154198122384E-2</c:v>
                </c:pt>
                <c:pt idx="404">
                  <c:v>1.1677895698049648E-2</c:v>
                </c:pt>
                <c:pt idx="405">
                  <c:v>1.1692026207669848E-2</c:v>
                </c:pt>
                <c:pt idx="406">
                  <c:v>1.1721348879317972E-2</c:v>
                </c:pt>
                <c:pt idx="407">
                  <c:v>1.1750714100328352E-2</c:v>
                </c:pt>
                <c:pt idx="408">
                  <c:v>1.1780122211549227E-2</c:v>
                </c:pt>
                <c:pt idx="409">
                  <c:v>1.1898190375903894E-2</c:v>
                </c:pt>
                <c:pt idx="410">
                  <c:v>1.1898190375903894E-2</c:v>
                </c:pt>
                <c:pt idx="411">
                  <c:v>1.1927818051302275E-2</c:v>
                </c:pt>
                <c:pt idx="412">
                  <c:v>1.1957490662241277E-2</c:v>
                </c:pt>
                <c:pt idx="413">
                  <c:v>1.1987208549649075E-2</c:v>
                </c:pt>
                <c:pt idx="414">
                  <c:v>1.2092158127852089E-2</c:v>
                </c:pt>
                <c:pt idx="415">
                  <c:v>1.2106539682950945E-2</c:v>
                </c:pt>
                <c:pt idx="416">
                  <c:v>1.2136489067041012E-2</c:v>
                </c:pt>
                <c:pt idx="417">
                  <c:v>1.2166485773416724E-2</c:v>
                </c:pt>
                <c:pt idx="418">
                  <c:v>1.2196530143087969E-2</c:v>
                </c:pt>
                <c:pt idx="419">
                  <c:v>1.2318398961064044E-2</c:v>
                </c:pt>
                <c:pt idx="420">
                  <c:v>1.2348693052522036E-2</c:v>
                </c:pt>
                <c:pt idx="421">
                  <c:v>1.2379036633034621E-2</c:v>
                </c:pt>
                <c:pt idx="422">
                  <c:v>1.2409430036348743E-2</c:v>
                </c:pt>
                <c:pt idx="423">
                  <c:v>1.2471620063700523E-2</c:v>
                </c:pt>
                <c:pt idx="424">
                  <c:v>1.2531508552992156E-2</c:v>
                </c:pt>
                <c:pt idx="425">
                  <c:v>1.256215607694733E-2</c:v>
                </c:pt>
                <c:pt idx="426">
                  <c:v>1.2592855426442015E-2</c:v>
                </c:pt>
                <c:pt idx="427">
                  <c:v>1.2623606935310042E-2</c:v>
                </c:pt>
                <c:pt idx="428">
                  <c:v>1.2686551960176007E-2</c:v>
                </c:pt>
                <c:pt idx="429">
                  <c:v>1.2747141241616187E-2</c:v>
                </c:pt>
                <c:pt idx="430">
                  <c:v>1.2778158555284993E-2</c:v>
                </c:pt>
                <c:pt idx="431">
                  <c:v>1.2809230031589916E-2</c:v>
                </c:pt>
                <c:pt idx="432">
                  <c:v>1.2840355551179466E-2</c:v>
                </c:pt>
                <c:pt idx="433">
                  <c:v>1.2904049267732505E-2</c:v>
                </c:pt>
                <c:pt idx="434">
                  <c:v>1.2965354879595324E-2</c:v>
                </c:pt>
                <c:pt idx="435">
                  <c:v>1.2996717094706319E-2</c:v>
                </c:pt>
                <c:pt idx="436">
                  <c:v>1.302811949095573E-2</c:v>
                </c:pt>
                <c:pt idx="437">
                  <c:v>1.3059559682180118E-2</c:v>
                </c:pt>
                <c:pt idx="438">
                  <c:v>1.321724404195047E-2</c:v>
                </c:pt>
                <c:pt idx="439">
                  <c:v>1.3248860889372355E-2</c:v>
                </c:pt>
                <c:pt idx="440">
                  <c:v>1.3264128782753045E-2</c:v>
                </c:pt>
                <c:pt idx="441">
                  <c:v>1.3295790048429077E-2</c:v>
                </c:pt>
                <c:pt idx="442">
                  <c:v>1.3407213735618446E-2</c:v>
                </c:pt>
                <c:pt idx="443">
                  <c:v>1.3422594045081409E-2</c:v>
                </c:pt>
                <c:pt idx="444">
                  <c:v>1.3454322712074496E-2</c:v>
                </c:pt>
                <c:pt idx="445">
                  <c:v>1.3486057619667709E-2</c:v>
                </c:pt>
                <c:pt idx="446">
                  <c:v>1.351779635445882E-2</c:v>
                </c:pt>
                <c:pt idx="447">
                  <c:v>1.3613011386856232E-2</c:v>
                </c:pt>
                <c:pt idx="448">
                  <c:v>1.3644741294888241E-2</c:v>
                </c:pt>
                <c:pt idx="449">
                  <c:v>1.3676462961954535E-2</c:v>
                </c:pt>
                <c:pt idx="450">
                  <c:v>1.3708173974193482E-2</c:v>
                </c:pt>
                <c:pt idx="451">
                  <c:v>1.3739871917662625E-2</c:v>
                </c:pt>
                <c:pt idx="452">
                  <c:v>1.3834863194888284E-2</c:v>
                </c:pt>
                <c:pt idx="453">
                  <c:v>1.3866484722330513E-2</c:v>
                </c:pt>
                <c:pt idx="454">
                  <c:v>1.3898081110144343E-2</c:v>
                </c:pt>
                <c:pt idx="455">
                  <c:v>1.3929649943928785E-2</c:v>
                </c:pt>
                <c:pt idx="456">
                  <c:v>1.3961188809207306E-2</c:v>
                </c:pt>
                <c:pt idx="457">
                  <c:v>1.4055601448085179E-2</c:v>
                </c:pt>
                <c:pt idx="458">
                  <c:v>1.408699629304188E-2</c:v>
                </c:pt>
                <c:pt idx="459">
                  <c:v>1.4118349095967186E-2</c:v>
                </c:pt>
                <c:pt idx="460">
                  <c:v>1.4149657441929546E-2</c:v>
                </c:pt>
                <c:pt idx="461">
                  <c:v>1.41809189159245E-2</c:v>
                </c:pt>
                <c:pt idx="462">
                  <c:v>1.4320756637763204E-2</c:v>
                </c:pt>
                <c:pt idx="463">
                  <c:v>1.4351690993518428E-2</c:v>
                </c:pt>
                <c:pt idx="464">
                  <c:v>1.4382562856427101E-2</c:v>
                </c:pt>
                <c:pt idx="465">
                  <c:v>1.4443499187964781E-2</c:v>
                </c:pt>
                <c:pt idx="466">
                  <c:v>1.4505377590044855E-2</c:v>
                </c:pt>
                <c:pt idx="467">
                  <c:v>1.4535901145932045E-2</c:v>
                </c:pt>
                <c:pt idx="468">
                  <c:v>1.4566347871361584E-2</c:v>
                </c:pt>
                <c:pt idx="469">
                  <c:v>1.4596715376484288E-2</c:v>
                </c:pt>
                <c:pt idx="470">
                  <c:v>1.4656242199718278E-2</c:v>
                </c:pt>
                <c:pt idx="471">
                  <c:v>1.4717345394532719E-2</c:v>
                </c:pt>
                <c:pt idx="472">
                  <c:v>1.4747280947994896E-2</c:v>
                </c:pt>
                <c:pt idx="473">
                  <c:v>1.4777122940625817E-2</c:v>
                </c:pt>
                <c:pt idx="474">
                  <c:v>1.4806868982103628E-2</c:v>
                </c:pt>
                <c:pt idx="475">
                  <c:v>1.4864784309654728E-2</c:v>
                </c:pt>
                <c:pt idx="476">
                  <c:v>1.4924845827782428E-2</c:v>
                </c:pt>
                <c:pt idx="477">
                  <c:v>1.4954076256404351E-2</c:v>
                </c:pt>
                <c:pt idx="478">
                  <c:v>1.4983196390591817E-2</c:v>
                </c:pt>
                <c:pt idx="479">
                  <c:v>1.5012203839578114E-2</c:v>
                </c:pt>
                <c:pt idx="480">
                  <c:v>1.5081856468410081E-2</c:v>
                </c:pt>
                <c:pt idx="481">
                  <c:v>1.5155467125421273E-2</c:v>
                </c:pt>
                <c:pt idx="482">
                  <c:v>1.5183748253731793E-2</c:v>
                </c:pt>
                <c:pt idx="483">
                  <c:v>1.5211899959806773E-2</c:v>
                </c:pt>
                <c:pt idx="484">
                  <c:v>1.5279042686856687E-2</c:v>
                </c:pt>
                <c:pt idx="485">
                  <c:v>1.532316473623908E-2</c:v>
                </c:pt>
                <c:pt idx="486">
                  <c:v>1.535063346153083E-2</c:v>
                </c:pt>
                <c:pt idx="487">
                  <c:v>1.5377958416370513E-2</c:v>
                </c:pt>
                <c:pt idx="488">
                  <c:v>1.5405137209207694E-2</c:v>
                </c:pt>
                <c:pt idx="489">
                  <c:v>1.5457179237005328E-2</c:v>
                </c:pt>
                <c:pt idx="490">
                  <c:v>1.5512342927751065E-2</c:v>
                </c:pt>
                <c:pt idx="491">
                  <c:v>1.5538755035573643E-2</c:v>
                </c:pt>
                <c:pt idx="492">
                  <c:v>1.556500663106236E-2</c:v>
                </c:pt>
                <c:pt idx="493">
                  <c:v>1.5591095661414943E-2</c:v>
                </c:pt>
                <c:pt idx="494">
                  <c:v>1.5640912665188605E-2</c:v>
                </c:pt>
                <c:pt idx="495">
                  <c:v>1.5693841071938865E-2</c:v>
                </c:pt>
                <c:pt idx="496">
                  <c:v>1.5719134505642884E-2</c:v>
                </c:pt>
                <c:pt idx="497">
                  <c:v>1.574427483478831E-2</c:v>
                </c:pt>
                <c:pt idx="498">
                  <c:v>1.5769264091006523E-2</c:v>
                </c:pt>
                <c:pt idx="499">
                  <c:v>1.5817029209022247E-2</c:v>
                </c:pt>
                <c:pt idx="500">
                  <c:v>1.5867751021600891E-2</c:v>
                </c:pt>
                <c:pt idx="501">
                  <c:v>1.5892015390024963E-2</c:v>
                </c:pt>
                <c:pt idx="502">
                  <c:v>1.5916140876730739E-2</c:v>
                </c:pt>
                <c:pt idx="503">
                  <c:v>1.5940129513815314E-2</c:v>
                </c:pt>
                <c:pt idx="504">
                  <c:v>1.5986117788917422E-2</c:v>
                </c:pt>
                <c:pt idx="505">
                  <c:v>1.6058091082869801E-2</c:v>
                </c:pt>
                <c:pt idx="506">
                  <c:v>1.6058091082869801E-2</c:v>
                </c:pt>
                <c:pt idx="507">
                  <c:v>1.6081301299865118E-2</c:v>
                </c:pt>
                <c:pt idx="508">
                  <c:v>1.6104388893693165E-2</c:v>
                </c:pt>
                <c:pt idx="509">
                  <c:v>1.6159587848962337E-2</c:v>
                </c:pt>
                <c:pt idx="510">
                  <c:v>1.6195553690081618E-2</c:v>
                </c:pt>
                <c:pt idx="511">
                  <c:v>1.6218058658142034E-2</c:v>
                </c:pt>
                <c:pt idx="512">
                  <c:v>1.6240453199465998E-2</c:v>
                </c:pt>
                <c:pt idx="513">
                  <c:v>1.6262739346989071E-2</c:v>
                </c:pt>
                <c:pt idx="514">
                  <c:v>1.6305940042656532E-2</c:v>
                </c:pt>
                <c:pt idx="515">
                  <c:v>1.6350840659749011E-2</c:v>
                </c:pt>
                <c:pt idx="516">
                  <c:v>1.6372615334244674E-2</c:v>
                </c:pt>
                <c:pt idx="517">
                  <c:v>1.6394293813704924E-2</c:v>
                </c:pt>
                <c:pt idx="518">
                  <c:v>1.6543520513608904E-2</c:v>
                </c:pt>
                <c:pt idx="519">
                  <c:v>1.6688830794247475E-2</c:v>
                </c:pt>
                <c:pt idx="520">
                  <c:v>1.6830922267155254E-2</c:v>
                </c:pt>
                <c:pt idx="521">
                  <c:v>1.6970492654002248E-2</c:v>
                </c:pt>
                <c:pt idx="522">
                  <c:v>1.7118399418119705E-2</c:v>
                </c:pt>
                <c:pt idx="523">
                  <c:v>1.7254110319005509E-2</c:v>
                </c:pt>
                <c:pt idx="524">
                  <c:v>1.7390226831334239E-2</c:v>
                </c:pt>
                <c:pt idx="525">
                  <c:v>1.7526706155474331E-2</c:v>
                </c:pt>
                <c:pt idx="526">
                  <c:v>1.7664136522169901E-2</c:v>
                </c:pt>
                <c:pt idx="527">
                  <c:v>1.7802635672619718E-2</c:v>
                </c:pt>
                <c:pt idx="528">
                  <c:v>1.795282630533181E-2</c:v>
                </c:pt>
                <c:pt idx="529">
                  <c:v>1.8093546755006382E-2</c:v>
                </c:pt>
                <c:pt idx="530">
                  <c:v>1.8235336442227287E-2</c:v>
                </c:pt>
                <c:pt idx="531">
                  <c:v>1.8378195482326613E-2</c:v>
                </c:pt>
                <c:pt idx="532">
                  <c:v>1.8522123991508797E-2</c:v>
                </c:pt>
                <c:pt idx="533">
                  <c:v>1.8667122086852356E-2</c:v>
                </c:pt>
                <c:pt idx="534">
                  <c:v>1.8813189886306425E-2</c:v>
                </c:pt>
                <c:pt idx="535">
                  <c:v>1.90039015439376E-2</c:v>
                </c:pt>
                <c:pt idx="536">
                  <c:v>1.908595728483764E-2</c:v>
                </c:pt>
                <c:pt idx="537">
                  <c:v>1.9235066191794381E-2</c:v>
                </c:pt>
                <c:pt idx="538">
                  <c:v>1.9385245028010978E-2</c:v>
                </c:pt>
                <c:pt idx="539">
                  <c:v>1.9536493913007824E-2</c:v>
                </c:pt>
                <c:pt idx="540">
                  <c:v>1.9722295173346564E-2</c:v>
                </c:pt>
                <c:pt idx="541">
                  <c:v>1.9864202452945179E-2</c:v>
                </c:pt>
                <c:pt idx="542">
                  <c:v>2.0018815136023882E-2</c:v>
                </c:pt>
                <c:pt idx="543">
                  <c:v>2.0174498372138139E-2</c:v>
                </c:pt>
                <c:pt idx="544">
                  <c:v>2.033125228520305E-2</c:v>
                </c:pt>
                <c:pt idx="545">
                  <c:v>2.047702483148358E-2</c:v>
                </c:pt>
                <c:pt idx="546">
                  <c:v>2.063583492268518E-2</c:v>
                </c:pt>
                <c:pt idx="547">
                  <c:v>2.0795715927202557E-2</c:v>
                </c:pt>
                <c:pt idx="548">
                  <c:v>2.0956667970889201E-2</c:v>
                </c:pt>
                <c:pt idx="549">
                  <c:v>2.1180754132673216E-2</c:v>
                </c:pt>
                <c:pt idx="550">
                  <c:v>2.1344279455274402E-2</c:v>
                </c:pt>
                <c:pt idx="551">
                  <c:v>2.1508876934528409E-2</c:v>
                </c:pt>
                <c:pt idx="552">
                  <c:v>2.1674546707311278E-2</c:v>
                </c:pt>
                <c:pt idx="553">
                  <c:v>2.1802988196715639E-2</c:v>
                </c:pt>
                <c:pt idx="554">
                  <c:v>2.1970542622006494E-2</c:v>
                </c:pt>
                <c:pt idx="555">
                  <c:v>2.2235851363895692E-2</c:v>
                </c:pt>
                <c:pt idx="556">
                  <c:v>2.2308543641305471E-2</c:v>
                </c:pt>
                <c:pt idx="557">
                  <c:v>2.2517400774175883E-2</c:v>
                </c:pt>
                <c:pt idx="558">
                  <c:v>2.2687677467280575E-2</c:v>
                </c:pt>
                <c:pt idx="559">
                  <c:v>2.2857982833118393E-2</c:v>
                </c:pt>
                <c:pt idx="560">
                  <c:v>2.3028081023163092E-2</c:v>
                </c:pt>
                <c:pt idx="561">
                  <c:v>2.3210450390094867E-2</c:v>
                </c:pt>
                <c:pt idx="562">
                  <c:v>2.3379325470139427E-2</c:v>
                </c:pt>
                <c:pt idx="563">
                  <c:v>2.3534773430155802E-2</c:v>
                </c:pt>
                <c:pt idx="564">
                  <c:v>2.3701683603022595E-2</c:v>
                </c:pt>
                <c:pt idx="565">
                  <c:v>2.3867206739175816E-2</c:v>
                </c:pt>
                <c:pt idx="566">
                  <c:v>2.3994701778533165E-2</c:v>
                </c:pt>
                <c:pt idx="567">
                  <c:v>2.4205118602791655E-2</c:v>
                </c:pt>
                <c:pt idx="568">
                  <c:v>2.4353132135004198E-2</c:v>
                </c:pt>
                <c:pt idx="569">
                  <c:v>2.4511021090677303E-2</c:v>
                </c:pt>
                <c:pt idx="570">
                  <c:v>2.4666814102312508E-2</c:v>
                </c:pt>
                <c:pt idx="571">
                  <c:v>2.4820510915233532E-2</c:v>
                </c:pt>
                <c:pt idx="572">
                  <c:v>2.4972111278183481E-2</c:v>
                </c:pt>
                <c:pt idx="573">
                  <c:v>2.512161494332487E-2</c:v>
                </c:pt>
                <c:pt idx="574">
                  <c:v>2.526902166624214E-2</c:v>
                </c:pt>
                <c:pt idx="575">
                  <c:v>2.5381683645026108E-2</c:v>
                </c:pt>
                <c:pt idx="576">
                  <c:v>2.5525314896458352E-2</c:v>
                </c:pt>
                <c:pt idx="577">
                  <c:v>2.5666848818666894E-2</c:v>
                </c:pt>
                <c:pt idx="578">
                  <c:v>2.5806285187623471E-2</c:v>
                </c:pt>
                <c:pt idx="579">
                  <c:v>2.594362378261408E-2</c:v>
                </c:pt>
                <c:pt idx="580">
                  <c:v>2.6109412961043868E-2</c:v>
                </c:pt>
                <c:pt idx="581">
                  <c:v>2.6252151272603112E-2</c:v>
                </c:pt>
                <c:pt idx="582">
                  <c:v>2.6372757329244458E-2</c:v>
                </c:pt>
                <c:pt idx="583">
                  <c:v>2.6501281138298555E-2</c:v>
                </c:pt>
                <c:pt idx="584">
                  <c:v>2.6627705749289611E-2</c:v>
                </c:pt>
                <c:pt idx="585">
                  <c:v>2.6785843653664022E-2</c:v>
                </c:pt>
                <c:pt idx="586">
                  <c:v>2.6883569920538787E-2</c:v>
                </c:pt>
                <c:pt idx="587">
                  <c:v>2.6994382343642886E-2</c:v>
                </c:pt>
                <c:pt idx="588">
                  <c:v>2.7076153266598624E-2</c:v>
                </c:pt>
                <c:pt idx="589">
                  <c:v>2.7192643962630214E-2</c:v>
                </c:pt>
                <c:pt idx="590">
                  <c:v>2.7307034809976649E-2</c:v>
                </c:pt>
                <c:pt idx="591">
                  <c:v>2.7419325629510993E-2</c:v>
                </c:pt>
                <c:pt idx="592">
                  <c:v>2.7529516245394348E-2</c:v>
                </c:pt>
                <c:pt idx="593">
                  <c:v>2.7637606485070521E-2</c:v>
                </c:pt>
                <c:pt idx="594">
                  <c:v>2.7743596179269581E-2</c:v>
                </c:pt>
                <c:pt idx="595">
                  <c:v>2.7847485162011409E-2</c:v>
                </c:pt>
                <c:pt idx="596">
                  <c:v>2.7949273270598596E-2</c:v>
                </c:pt>
                <c:pt idx="597">
                  <c:v>2.8041140107478199E-2</c:v>
                </c:pt>
                <c:pt idx="598">
                  <c:v>2.8138868491204443E-2</c:v>
                </c:pt>
                <c:pt idx="599">
                  <c:v>2.8234495680942447E-2</c:v>
                </c:pt>
                <c:pt idx="600">
                  <c:v>2.8328021528588661E-2</c:v>
                </c:pt>
                <c:pt idx="601">
                  <c:v>2.8455559798336333E-2</c:v>
                </c:pt>
                <c:pt idx="602">
                  <c:v>2.8544166816284747E-2</c:v>
                </c:pt>
                <c:pt idx="603">
                  <c:v>2.8630671294938154E-2</c:v>
                </c:pt>
                <c:pt idx="604">
                  <c:v>2.8715073092788472E-2</c:v>
                </c:pt>
                <c:pt idx="605">
                  <c:v>2.8823794595311057E-2</c:v>
                </c:pt>
                <c:pt idx="606">
                  <c:v>2.8858091738858227E-2</c:v>
                </c:pt>
                <c:pt idx="607">
                  <c:v>2.8936621231407385E-2</c:v>
                </c:pt>
                <c:pt idx="608">
                  <c:v>2.901313639473356E-2</c:v>
                </c:pt>
                <c:pt idx="609">
                  <c:v>2.9087786360978113E-2</c:v>
                </c:pt>
                <c:pt idx="610">
                  <c:v>2.9178882165639602E-2</c:v>
                </c:pt>
                <c:pt idx="611">
                  <c:v>2.925005043179222E-2</c:v>
                </c:pt>
                <c:pt idx="612">
                  <c:v>2.9319847309686564E-2</c:v>
                </c:pt>
                <c:pt idx="613">
                  <c:v>2.9394303334753444E-2</c:v>
                </c:pt>
                <c:pt idx="614">
                  <c:v>2.9461765118223262E-2</c:v>
                </c:pt>
                <c:pt idx="615">
                  <c:v>2.952247345121084E-2</c:v>
                </c:pt>
                <c:pt idx="616">
                  <c:v>2.9588248670144441E-2</c:v>
                </c:pt>
                <c:pt idx="617">
                  <c:v>2.9653384503199331E-2</c:v>
                </c:pt>
                <c:pt idx="618">
                  <c:v>2.9700642843157168E-2</c:v>
                </c:pt>
                <c:pt idx="619">
                  <c:v>2.9788113089410696E-2</c:v>
                </c:pt>
                <c:pt idx="620">
                  <c:v>2.9846415507239054E-2</c:v>
                </c:pt>
                <c:pt idx="621">
                  <c:v>2.9910368046357917E-2</c:v>
                </c:pt>
                <c:pt idx="622">
                  <c:v>2.997418328380802E-2</c:v>
                </c:pt>
                <c:pt idx="623">
                  <c:v>3.003786121274378E-2</c:v>
                </c:pt>
                <c:pt idx="624">
                  <c:v>3.0107168540464264E-2</c:v>
                </c:pt>
                <c:pt idx="625">
                  <c:v>3.0164805117763892E-2</c:v>
                </c:pt>
                <c:pt idx="626">
                  <c:v>3.0228071080231053E-2</c:v>
                </c:pt>
                <c:pt idx="627">
                  <c:v>3.0273939596271802E-2</c:v>
                </c:pt>
                <c:pt idx="628">
                  <c:v>3.0336944459700255E-2</c:v>
                </c:pt>
                <c:pt idx="629">
                  <c:v>3.0399811977124245E-2</c:v>
                </c:pt>
                <c:pt idx="630">
                  <c:v>3.0462542142013618E-2</c:v>
                </c:pt>
                <c:pt idx="631">
                  <c:v>3.0542340721105343E-2</c:v>
                </c:pt>
                <c:pt idx="632">
                  <c:v>3.0604782567789229E-2</c:v>
                </c:pt>
                <c:pt idx="633">
                  <c:v>3.0667087038311606E-2</c:v>
                </c:pt>
                <c:pt idx="634">
                  <c:v>3.0734975562450896E-2</c:v>
                </c:pt>
                <c:pt idx="635">
                  <c:v>3.0791283824150223E-2</c:v>
                </c:pt>
                <c:pt idx="636">
                  <c:v>3.0853176126141801E-2</c:v>
                </c:pt>
                <c:pt idx="637">
                  <c:v>3.0914931025323403E-2</c:v>
                </c:pt>
                <c:pt idx="638">
                  <c:v>3.0982251801475139E-2</c:v>
                </c:pt>
                <c:pt idx="639">
                  <c:v>3.1038028588770611E-2</c:v>
                </c:pt>
                <c:pt idx="640">
                  <c:v>3.1076593332787006E-2</c:v>
                </c:pt>
                <c:pt idx="641">
                  <c:v>3.1137816739398083E-2</c:v>
                </c:pt>
                <c:pt idx="642">
                  <c:v>3.1198902718213795E-2</c:v>
                </c:pt>
                <c:pt idx="643">
                  <c:v>3.125985126295916E-2</c:v>
                </c:pt>
                <c:pt idx="644">
                  <c:v>3.1335332880346733E-2</c:v>
                </c:pt>
                <c:pt idx="645">
                  <c:v>3.1412966881028417E-2</c:v>
                </c:pt>
                <c:pt idx="646">
                  <c:v>3.1473439617700688E-2</c:v>
                </c:pt>
                <c:pt idx="647">
                  <c:v>3.1542382993060135E-2</c:v>
                </c:pt>
                <c:pt idx="648">
                  <c:v>3.1593972692621243E-2</c:v>
                </c:pt>
                <c:pt idx="649">
                  <c:v>3.16596845992657E-2</c:v>
                </c:pt>
                <c:pt idx="650">
                  <c:v>3.1713955861258643E-2</c:v>
                </c:pt>
                <c:pt idx="651">
                  <c:v>3.1776628857810074E-2</c:v>
                </c:pt>
                <c:pt idx="652">
                  <c:v>3.1839026943223867E-2</c:v>
                </c:pt>
                <c:pt idx="653">
                  <c:v>3.189853272446113E-2</c:v>
                </c:pt>
                <c:pt idx="654">
                  <c:v>3.1957900995229292E-2</c:v>
                </c:pt>
                <c:pt idx="655">
                  <c:v>3.2017131749291605E-2</c:v>
                </c:pt>
                <c:pt idx="656">
                  <c:v>3.207622498042783E-2</c:v>
                </c:pt>
                <c:pt idx="657">
                  <c:v>3.2129565721772273E-2</c:v>
                </c:pt>
                <c:pt idx="658">
                  <c:v>3.2188388479274979E-2</c:v>
                </c:pt>
                <c:pt idx="659">
                  <c:v>3.2247070925498611E-2</c:v>
                </c:pt>
                <c:pt idx="660">
                  <c:v>3.2322290901788481E-2</c:v>
                </c:pt>
                <c:pt idx="661">
                  <c:v>3.2363956625518595E-2</c:v>
                </c:pt>
                <c:pt idx="662">
                  <c:v>3.2435992868284337E-2</c:v>
                </c:pt>
                <c:pt idx="663">
                  <c:v>3.2485653294734518E-2</c:v>
                </c:pt>
                <c:pt idx="664">
                  <c:v>3.2543383377408808E-2</c:v>
                </c:pt>
                <c:pt idx="665">
                  <c:v>3.2609067373292902E-2</c:v>
                </c:pt>
                <c:pt idx="666">
                  <c:v>3.2658110983577113E-2</c:v>
                </c:pt>
                <c:pt idx="667">
                  <c:v>3.2715075565142811E-2</c:v>
                </c:pt>
                <c:pt idx="668">
                  <c:v>3.2771752036240859E-2</c:v>
                </c:pt>
                <c:pt idx="669">
                  <c:v>3.2828123923671917E-2</c:v>
                </c:pt>
                <c:pt idx="670">
                  <c:v>3.2884174753364324E-2</c:v>
                </c:pt>
                <c:pt idx="671">
                  <c:v>3.2939888050384482E-2</c:v>
                </c:pt>
                <c:pt idx="672">
                  <c:v>3.2995250082531798E-2</c:v>
                </c:pt>
                <c:pt idx="673">
                  <c:v>3.3050258091384954E-2</c:v>
                </c:pt>
                <c:pt idx="674">
                  <c:v>3.3104912062116687E-2</c:v>
                </c:pt>
                <c:pt idx="675">
                  <c:v>3.3159211979995294E-2</c:v>
                </c:pt>
                <c:pt idx="676">
                  <c:v>3.3213157830385531E-2</c:v>
                </c:pt>
                <c:pt idx="677">
                  <c:v>3.3266749598745114E-2</c:v>
                </c:pt>
                <c:pt idx="678">
                  <c:v>3.3327563745652967E-2</c:v>
                </c:pt>
                <c:pt idx="679">
                  <c:v>3.3375147095096792E-2</c:v>
                </c:pt>
                <c:pt idx="680">
                  <c:v>3.3420168167373608E-2</c:v>
                </c:pt>
                <c:pt idx="681">
                  <c:v>3.3472363931813E-2</c:v>
                </c:pt>
                <c:pt idx="682">
                  <c:v>3.3524205569277613E-2</c:v>
                </c:pt>
                <c:pt idx="683">
                  <c:v>3.3580863683980673E-2</c:v>
                </c:pt>
                <c:pt idx="684">
                  <c:v>3.3631976478986712E-2</c:v>
                </c:pt>
                <c:pt idx="685">
                  <c:v>3.3689957392979322E-2</c:v>
                </c:pt>
                <c:pt idx="686">
                  <c:v>3.3733139470537389E-2</c:v>
                </c:pt>
                <c:pt idx="687">
                  <c:v>3.37831896398108E-2</c:v>
                </c:pt>
                <c:pt idx="688">
                  <c:v>3.3832885573395602E-2</c:v>
                </c:pt>
                <c:pt idx="689">
                  <c:v>3.3889247150894621E-2</c:v>
                </c:pt>
                <c:pt idx="690">
                  <c:v>3.3931214680003041E-2</c:v>
                </c:pt>
                <c:pt idx="691">
                  <c:v>3.3979847826519062E-2</c:v>
                </c:pt>
                <c:pt idx="692">
                  <c:v>3.4023141966041559E-2</c:v>
                </c:pt>
                <c:pt idx="693">
                  <c:v>3.4071087315241839E-2</c:v>
                </c:pt>
                <c:pt idx="694">
                  <c:v>3.4118678377820101E-2</c:v>
                </c:pt>
                <c:pt idx="695">
                  <c:v>3.4165915141087591E-2</c:v>
                </c:pt>
                <c:pt idx="696">
                  <c:v>3.4219466161344886E-2</c:v>
                </c:pt>
                <c:pt idx="697">
                  <c:v>3.4265943669506117E-2</c:v>
                </c:pt>
                <c:pt idx="698">
                  <c:v>3.4312066839083381E-2</c:v>
                </c:pt>
                <c:pt idx="699">
                  <c:v>3.4357835657778828E-2</c:v>
                </c:pt>
                <c:pt idx="700">
                  <c:v>3.4403250113385943E-2</c:v>
                </c:pt>
                <c:pt idx="701">
                  <c:v>3.4448310193795739E-2</c:v>
                </c:pt>
                <c:pt idx="702">
                  <c:v>3.4488241675385112E-2</c:v>
                </c:pt>
                <c:pt idx="703">
                  <c:v>3.4532614049071597E-2</c:v>
                </c:pt>
                <c:pt idx="704">
                  <c:v>3.4581364064141813E-2</c:v>
                </c:pt>
                <c:pt idx="705">
                  <c:v>3.4629715687373261E-2</c:v>
                </c:pt>
                <c:pt idx="706">
                  <c:v>3.4672982541720389E-2</c:v>
                </c:pt>
                <c:pt idx="707">
                  <c:v>3.471589492049254E-2</c:v>
                </c:pt>
                <c:pt idx="708">
                  <c:v>3.4758452812122434E-2</c:v>
                </c:pt>
                <c:pt idx="709">
                  <c:v>3.4796031907786976E-2</c:v>
                </c:pt>
                <c:pt idx="710">
                  <c:v>3.4837902082003519E-2</c:v>
                </c:pt>
                <c:pt idx="711">
                  <c:v>3.4891213108021825E-2</c:v>
                </c:pt>
                <c:pt idx="712">
                  <c:v>3.4932267602857628E-2</c:v>
                </c:pt>
                <c:pt idx="713">
                  <c:v>3.4977490458810663E-2</c:v>
                </c:pt>
                <c:pt idx="714">
                  <c:v>3.5017794564626066E-2</c:v>
                </c:pt>
                <c:pt idx="715">
                  <c:v>3.5057729647488406E-2</c:v>
                </c:pt>
                <c:pt idx="716">
                  <c:v>3.5097292432376553E-2</c:v>
                </c:pt>
                <c:pt idx="717">
                  <c:v>3.5136479644245926E-2</c:v>
                </c:pt>
                <c:pt idx="718">
                  <c:v>3.517528800802501E-2</c:v>
                </c:pt>
                <c:pt idx="719">
                  <c:v>3.5213714248626647E-2</c:v>
                </c:pt>
                <c:pt idx="720">
                  <c:v>3.5251755090944567E-2</c:v>
                </c:pt>
                <c:pt idx="721">
                  <c:v>3.5289407259858581E-2</c:v>
                </c:pt>
                <c:pt idx="722">
                  <c:v>3.5326667480240714E-2</c:v>
                </c:pt>
                <c:pt idx="723">
                  <c:v>3.5363532489639769E-2</c:v>
                </c:pt>
                <c:pt idx="724">
                  <c:v>3.5400000131073341E-2</c:v>
                </c:pt>
                <c:pt idx="725">
                  <c:v>3.5436070195267955E-2</c:v>
                </c:pt>
                <c:pt idx="726">
                  <c:v>3.5471742671321894E-2</c:v>
                </c:pt>
                <c:pt idx="727">
                  <c:v>3.5507017548452487E-2</c:v>
                </c:pt>
                <c:pt idx="728">
                  <c:v>3.5541894815996948E-2</c:v>
                </c:pt>
                <c:pt idx="729">
                  <c:v>3.5576374463415897E-2</c:v>
                </c:pt>
                <c:pt idx="730">
                  <c:v>3.5610456480287218E-2</c:v>
                </c:pt>
                <c:pt idx="731">
                  <c:v>3.5640050971502364E-2</c:v>
                </c:pt>
                <c:pt idx="732">
                  <c:v>3.567336281619516E-2</c:v>
                </c:pt>
                <c:pt idx="733">
                  <c:v>3.5706277036711732E-2</c:v>
                </c:pt>
                <c:pt idx="734">
                  <c:v>3.5738793623212917E-2</c:v>
                </c:pt>
                <c:pt idx="735">
                  <c:v>3.5786856396522598E-2</c:v>
                </c:pt>
                <c:pt idx="736">
                  <c:v>3.5806597771526449E-2</c:v>
                </c:pt>
                <c:pt idx="737">
                  <c:v>3.5837896092846315E-2</c:v>
                </c:pt>
                <c:pt idx="738">
                  <c:v>3.5868796704570494E-2</c:v>
                </c:pt>
                <c:pt idx="739">
                  <c:v>3.5899299597358623E-2</c:v>
                </c:pt>
                <c:pt idx="740">
                  <c:v>3.5929404761989393E-2</c:v>
                </c:pt>
                <c:pt idx="741">
                  <c:v>3.5959112189364852E-2</c:v>
                </c:pt>
                <c:pt idx="742">
                  <c:v>3.5988421870503495E-2</c:v>
                </c:pt>
                <c:pt idx="743">
                  <c:v>3.6017649261350405E-2</c:v>
                </c:pt>
                <c:pt idx="744">
                  <c:v>3.6038324920749432E-2</c:v>
                </c:pt>
                <c:pt idx="745">
                  <c:v>3.6066492519534421E-2</c:v>
                </c:pt>
                <c:pt idx="746">
                  <c:v>3.6094262413590705E-2</c:v>
                </c:pt>
                <c:pt idx="747">
                  <c:v>3.6121634594707075E-2</c:v>
                </c:pt>
                <c:pt idx="748">
                  <c:v>3.6148609054788672E-2</c:v>
                </c:pt>
                <c:pt idx="749">
                  <c:v>3.6175185785860542E-2</c:v>
                </c:pt>
                <c:pt idx="750">
                  <c:v>3.6201364780061418E-2</c:v>
                </c:pt>
                <c:pt idx="751">
                  <c:v>3.6227146029650825E-2</c:v>
                </c:pt>
                <c:pt idx="752">
                  <c:v>3.625252952700464E-2</c:v>
                </c:pt>
                <c:pt idx="753">
                  <c:v>3.6273982202912232E-2</c:v>
                </c:pt>
                <c:pt idx="754">
                  <c:v>3.6298596115916203E-2</c:v>
                </c:pt>
                <c:pt idx="755">
                  <c:v>3.632281229331303E-2</c:v>
                </c:pt>
                <c:pt idx="756">
                  <c:v>3.6346630728020732E-2</c:v>
                </c:pt>
                <c:pt idx="757">
                  <c:v>3.6380331800837155E-2</c:v>
                </c:pt>
                <c:pt idx="758">
                  <c:v>3.6403276419036477E-2</c:v>
                </c:pt>
                <c:pt idx="759">
                  <c:v>3.642582315673594E-2</c:v>
                </c:pt>
                <c:pt idx="760">
                  <c:v>3.6447972007119273E-2</c:v>
                </c:pt>
                <c:pt idx="761">
                  <c:v>3.6466403100427917E-2</c:v>
                </c:pt>
                <c:pt idx="762">
                  <c:v>3.6487782440617983E-2</c:v>
                </c:pt>
                <c:pt idx="763">
                  <c:v>3.6508773517352378E-2</c:v>
                </c:pt>
                <c:pt idx="764">
                  <c:v>3.6529411012890797E-2</c:v>
                </c:pt>
                <c:pt idx="765">
                  <c:v>3.6549733678026594E-2</c:v>
                </c:pt>
                <c:pt idx="766">
                  <c:v>3.6573012100264111E-2</c:v>
                </c:pt>
                <c:pt idx="767">
                  <c:v>3.6592816202130354E-2</c:v>
                </c:pt>
                <c:pt idx="768">
                  <c:v>3.6612425022234531E-2</c:v>
                </c:pt>
                <c:pt idx="769">
                  <c:v>3.6631876897333021E-2</c:v>
                </c:pt>
                <c:pt idx="770">
                  <c:v>3.6651210164960708E-2</c:v>
                </c:pt>
                <c:pt idx="771">
                  <c:v>3.6670463163415351E-2</c:v>
                </c:pt>
                <c:pt idx="772">
                  <c:v>3.6689674231748882E-2</c:v>
                </c:pt>
                <c:pt idx="773">
                  <c:v>3.6708881709765669E-2</c:v>
                </c:pt>
                <c:pt idx="774">
                  <c:v>3.6728123938010365E-2</c:v>
                </c:pt>
                <c:pt idx="775">
                  <c:v>3.6747439239148888E-2</c:v>
                </c:pt>
                <c:pt idx="776">
                  <c:v>3.6766856472450989E-2</c:v>
                </c:pt>
                <c:pt idx="777">
                  <c:v>3.6786379663565183E-2</c:v>
                </c:pt>
                <c:pt idx="778">
                  <c:v>3.6806008814060646E-2</c:v>
                </c:pt>
                <c:pt idx="779">
                  <c:v>3.6825743925516977E-2</c:v>
                </c:pt>
                <c:pt idx="780">
                  <c:v>3.6845584999521619E-2</c:v>
                </c:pt>
                <c:pt idx="781">
                  <c:v>3.6865532037669797E-2</c:v>
                </c:pt>
                <c:pt idx="782">
                  <c:v>3.6885585041566332E-2</c:v>
                </c:pt>
                <c:pt idx="783">
                  <c:v>3.6902398516735289E-2</c:v>
                </c:pt>
                <c:pt idx="784">
                  <c:v>3.6922653820274348E-2</c:v>
                </c:pt>
                <c:pt idx="785">
                  <c:v>3.6943015082356444E-2</c:v>
                </c:pt>
                <c:pt idx="786">
                  <c:v>3.6963482304601378E-2</c:v>
                </c:pt>
                <c:pt idx="787">
                  <c:v>3.6984055488636862E-2</c:v>
                </c:pt>
                <c:pt idx="788">
                  <c:v>3.7008128436578587E-2</c:v>
                </c:pt>
                <c:pt idx="789">
                  <c:v>3.702892324635098E-2</c:v>
                </c:pt>
                <c:pt idx="790">
                  <c:v>3.704982403501425E-2</c:v>
                </c:pt>
                <c:pt idx="791">
                  <c:v>3.7070830804248792E-2</c:v>
                </c:pt>
                <c:pt idx="792">
                  <c:v>3.7091943555742829E-2</c:v>
                </c:pt>
                <c:pt idx="793">
                  <c:v>3.7123093295352426E-2</c:v>
                </c:pt>
                <c:pt idx="794">
                  <c:v>3.71344870123161E-2</c:v>
                </c:pt>
                <c:pt idx="795">
                  <c:v>3.7165918083464707E-2</c:v>
                </c:pt>
                <c:pt idx="796">
                  <c:v>3.7170512150535018E-2</c:v>
                </c:pt>
                <c:pt idx="797">
                  <c:v>3.7192135250786684E-2</c:v>
                </c:pt>
                <c:pt idx="798">
                  <c:v>3.7213864318982992E-2</c:v>
                </c:pt>
                <c:pt idx="799">
                  <c:v>3.7235699356834573E-2</c:v>
                </c:pt>
                <c:pt idx="800">
                  <c:v>3.7273377396892293E-2</c:v>
                </c:pt>
                <c:pt idx="801">
                  <c:v>3.7282845568250345E-2</c:v>
                </c:pt>
                <c:pt idx="802">
                  <c:v>3.7305013664810538E-2</c:v>
                </c:pt>
                <c:pt idx="803">
                  <c:v>3.7327287738197157E-2</c:v>
                </c:pt>
                <c:pt idx="804">
                  <c:v>3.7349667790163465E-2</c:v>
                </c:pt>
                <c:pt idx="805">
                  <c:v>3.736859446762468E-2</c:v>
                </c:pt>
                <c:pt idx="806">
                  <c:v>3.7391176577620568E-2</c:v>
                </c:pt>
                <c:pt idx="807">
                  <c:v>3.741386465900811E-2</c:v>
                </c:pt>
                <c:pt idx="808">
                  <c:v>3.7436658713554893E-2</c:v>
                </c:pt>
                <c:pt idx="809">
                  <c:v>3.7477565966453318E-2</c:v>
                </c:pt>
                <c:pt idx="810">
                  <c:v>3.750062176563633E-2</c:v>
                </c:pt>
                <c:pt idx="811">
                  <c:v>3.7523783606257105E-2</c:v>
                </c:pt>
                <c:pt idx="812">
                  <c:v>3.7547051490217948E-2</c:v>
                </c:pt>
                <c:pt idx="813">
                  <c:v>3.7559497734893768E-2</c:v>
                </c:pt>
                <c:pt idx="814">
                  <c:v>3.7582947663161968E-2</c:v>
                </c:pt>
                <c:pt idx="815">
                  <c:v>3.7619986302727469E-2</c:v>
                </c:pt>
                <c:pt idx="816">
                  <c:v>3.76301158489315E-2</c:v>
                </c:pt>
                <c:pt idx="817">
                  <c:v>3.765377662025788E-2</c:v>
                </c:pt>
                <c:pt idx="818">
                  <c:v>3.7688418049703673E-2</c:v>
                </c:pt>
                <c:pt idx="819">
                  <c:v>3.7712049271206693E-2</c:v>
                </c:pt>
                <c:pt idx="820">
                  <c:v>3.7735622868123757E-2</c:v>
                </c:pt>
                <c:pt idx="821">
                  <c:v>3.7762735762568056E-2</c:v>
                </c:pt>
                <c:pt idx="822">
                  <c:v>3.7786092255716872E-2</c:v>
                </c:pt>
                <c:pt idx="823">
                  <c:v>3.7805704113079069E-2</c:v>
                </c:pt>
                <c:pt idx="824">
                  <c:v>3.7828753409863462E-2</c:v>
                </c:pt>
                <c:pt idx="825">
                  <c:v>3.7851598177692389E-2</c:v>
                </c:pt>
                <c:pt idx="826">
                  <c:v>3.7874209033645911E-2</c:v>
                </c:pt>
                <c:pt idx="827">
                  <c:v>3.7900083996738478E-2</c:v>
                </c:pt>
                <c:pt idx="828">
                  <c:v>3.7918618784255606E-2</c:v>
                </c:pt>
                <c:pt idx="829">
                  <c:v>3.7940392472626212E-2</c:v>
                </c:pt>
                <c:pt idx="830">
                  <c:v>3.7961877668675724E-2</c:v>
                </c:pt>
                <c:pt idx="831">
                  <c:v>3.7983074367592663E-2</c:v>
                </c:pt>
                <c:pt idx="832">
                  <c:v>3.8003982564634449E-2</c:v>
                </c:pt>
                <c:pt idx="833">
                  <c:v>3.8024602255120575E-2</c:v>
                </c:pt>
                <c:pt idx="834">
                  <c:v>3.8044933434435144E-2</c:v>
                </c:pt>
                <c:pt idx="835">
                  <c:v>3.8054826323391952E-2</c:v>
                </c:pt>
                <c:pt idx="836">
                  <c:v>3.8074636038895965E-2</c:v>
                </c:pt>
                <c:pt idx="837">
                  <c:v>3.8094157318602537E-2</c:v>
                </c:pt>
                <c:pt idx="838">
                  <c:v>3.8113390158282079E-2</c:v>
                </c:pt>
                <c:pt idx="839">
                  <c:v>3.8132334553766502E-2</c:v>
                </c:pt>
                <c:pt idx="840">
                  <c:v>3.8160861525399423E-2</c:v>
                </c:pt>
                <c:pt idx="841">
                  <c:v>3.8182441558709111E-2</c:v>
                </c:pt>
                <c:pt idx="842">
                  <c:v>3.819719593424703E-2</c:v>
                </c:pt>
                <c:pt idx="843">
                  <c:v>3.8214930315981228E-2</c:v>
                </c:pt>
                <c:pt idx="844">
                  <c:v>3.8232376143940511E-2</c:v>
                </c:pt>
                <c:pt idx="845">
                  <c:v>3.8250422534042018E-2</c:v>
                </c:pt>
                <c:pt idx="846">
                  <c:v>3.8269576827768187E-2</c:v>
                </c:pt>
                <c:pt idx="847">
                  <c:v>3.8282982266450043E-2</c:v>
                </c:pt>
                <c:pt idx="848">
                  <c:v>3.8286710175073679E-2</c:v>
                </c:pt>
                <c:pt idx="849">
                  <c:v>3.830278881700977E-2</c:v>
                </c:pt>
                <c:pt idx="850">
                  <c:v>3.8318579003123077E-2</c:v>
                </c:pt>
                <c:pt idx="851">
                  <c:v>3.8334080730028752E-2</c:v>
                </c:pt>
                <c:pt idx="852">
                  <c:v>3.8352361490782937E-2</c:v>
                </c:pt>
                <c:pt idx="853">
                  <c:v>3.8364218792987792E-2</c:v>
                </c:pt>
                <c:pt idx="854">
                  <c:v>3.8378855122584099E-2</c:v>
                </c:pt>
                <c:pt idx="855">
                  <c:v>3.8393202980052443E-2</c:v>
                </c:pt>
                <c:pt idx="856">
                  <c:v>3.8407262362320616E-2</c:v>
                </c:pt>
                <c:pt idx="857">
                  <c:v>3.8418059574345721E-2</c:v>
                </c:pt>
                <c:pt idx="858">
                  <c:v>3.8431561168897309E-2</c:v>
                </c:pt>
                <c:pt idx="859">
                  <c:v>3.8444774309755611E-2</c:v>
                </c:pt>
                <c:pt idx="860">
                  <c:v>3.8457698994116572E-2</c:v>
                </c:pt>
                <c:pt idx="861">
                  <c:v>3.8484802958123676E-2</c:v>
                </c:pt>
                <c:pt idx="862">
                  <c:v>3.8497054212962373E-2</c:v>
                </c:pt>
                <c:pt idx="863">
                  <c:v>3.8509016850873268E-2</c:v>
                </c:pt>
                <c:pt idx="864">
                  <c:v>3.8520690869180203E-2</c:v>
                </c:pt>
                <c:pt idx="865">
                  <c:v>3.8523632755084428E-2</c:v>
                </c:pt>
                <c:pt idx="866">
                  <c:v>3.8541034073374912E-2</c:v>
                </c:pt>
                <c:pt idx="867">
                  <c:v>3.8545662327303588E-2</c:v>
                </c:pt>
                <c:pt idx="868">
                  <c:v>3.8556296290335045E-2</c:v>
                </c:pt>
                <c:pt idx="869">
                  <c:v>3.8575043708755696E-2</c:v>
                </c:pt>
                <c:pt idx="870">
                  <c:v>3.8585346476565648E-2</c:v>
                </c:pt>
                <c:pt idx="871">
                  <c:v>3.8595566395229333E-2</c:v>
                </c:pt>
                <c:pt idx="872">
                  <c:v>3.8605749931924095E-2</c:v>
                </c:pt>
                <c:pt idx="873">
                  <c:v>3.8618750075111515E-2</c:v>
                </c:pt>
                <c:pt idx="874">
                  <c:v>3.8629017883273123E-2</c:v>
                </c:pt>
                <c:pt idx="875">
                  <c:v>3.8636546929363996E-2</c:v>
                </c:pt>
                <c:pt idx="876">
                  <c:v>3.8647049619821745E-2</c:v>
                </c:pt>
                <c:pt idx="877">
                  <c:v>3.8657748271635574E-2</c:v>
                </c:pt>
                <c:pt idx="878">
                  <c:v>3.8659961760734551E-2</c:v>
                </c:pt>
                <c:pt idx="879">
                  <c:v>3.868285882956142E-2</c:v>
                </c:pt>
                <c:pt idx="880">
                  <c:v>3.8691476955437239E-2</c:v>
                </c:pt>
                <c:pt idx="881">
                  <c:v>3.8703369946805129E-2</c:v>
                </c:pt>
                <c:pt idx="882">
                  <c:v>3.8715598317965894E-2</c:v>
                </c:pt>
                <c:pt idx="883">
                  <c:v>3.8728162072097422E-2</c:v>
                </c:pt>
                <c:pt idx="884">
                  <c:v>3.8741061212468578E-2</c:v>
                </c:pt>
                <c:pt idx="885">
                  <c:v>3.8754295742431576E-2</c:v>
                </c:pt>
                <c:pt idx="886">
                  <c:v>3.876786566543132E-2</c:v>
                </c:pt>
                <c:pt idx="887">
                  <c:v>3.8772360735098918E-2</c:v>
                </c:pt>
                <c:pt idx="888">
                  <c:v>3.8786525026683824E-2</c:v>
                </c:pt>
                <c:pt idx="889">
                  <c:v>3.8801024611779485E-2</c:v>
                </c:pt>
                <c:pt idx="890">
                  <c:v>3.881585949403573E-2</c:v>
                </c:pt>
                <c:pt idx="891">
                  <c:v>3.8831029677188475E-2</c:v>
                </c:pt>
                <c:pt idx="892">
                  <c:v>3.8856328660910044E-2</c:v>
                </c:pt>
                <c:pt idx="893">
                  <c:v>3.8875541976974494E-2</c:v>
                </c:pt>
                <c:pt idx="894">
                  <c:v>3.8888499640517132E-2</c:v>
                </c:pt>
                <c:pt idx="895">
                  <c:v>3.8905088270113061E-2</c:v>
                </c:pt>
                <c:pt idx="896">
                  <c:v>3.892201233196288E-2</c:v>
                </c:pt>
                <c:pt idx="897">
                  <c:v>3.8939960242618622E-2</c:v>
                </c:pt>
                <c:pt idx="898">
                  <c:v>3.8960291222138052E-2</c:v>
                </c:pt>
                <c:pt idx="899">
                  <c:v>3.8974797155475846E-2</c:v>
                </c:pt>
                <c:pt idx="900">
                  <c:v>3.8982650523948024E-2</c:v>
                </c:pt>
                <c:pt idx="901">
                  <c:v>3.9001173940060647E-2</c:v>
                </c:pt>
                <c:pt idx="902">
                  <c:v>3.9020032703725185E-2</c:v>
                </c:pt>
                <c:pt idx="903">
                  <c:v>3.9039226819693899E-2</c:v>
                </c:pt>
                <c:pt idx="904">
                  <c:v>3.9055186910139206E-2</c:v>
                </c:pt>
                <c:pt idx="905">
                  <c:v>3.9078621127948084E-2</c:v>
                </c:pt>
                <c:pt idx="906">
                  <c:v>3.9098821330154417E-2</c:v>
                </c:pt>
                <c:pt idx="907">
                  <c:v>3.911935690450135E-2</c:v>
                </c:pt>
                <c:pt idx="908">
                  <c:v>3.9140227856157506E-2</c:v>
                </c:pt>
                <c:pt idx="909">
                  <c:v>3.9157733943665285E-2</c:v>
                </c:pt>
                <c:pt idx="910">
                  <c:v>3.9179249379406755E-2</c:v>
                </c:pt>
                <c:pt idx="911">
                  <c:v>3.9201100170466852E-2</c:v>
                </c:pt>
                <c:pt idx="912">
                  <c:v>3.9223286322285666E-2</c:v>
                </c:pt>
                <c:pt idx="913">
                  <c:v>3.9261047121308686E-2</c:v>
                </c:pt>
                <c:pt idx="914">
                  <c:v>3.9284009800917521E-2</c:v>
                </c:pt>
                <c:pt idx="915">
                  <c:v>3.9307308011331199E-2</c:v>
                </c:pt>
                <c:pt idx="916">
                  <c:v>3.9330941758607005E-2</c:v>
                </c:pt>
                <c:pt idx="917">
                  <c:v>3.9356961094028427E-2</c:v>
                </c:pt>
                <c:pt idx="918">
                  <c:v>3.9367384322662041E-2</c:v>
                </c:pt>
                <c:pt idx="919">
                  <c:v>3.9391943336228571E-2</c:v>
                </c:pt>
                <c:pt idx="920">
                  <c:v>3.9416810466603655E-2</c:v>
                </c:pt>
                <c:pt idx="921">
                  <c:v>3.9441939580064506E-2</c:v>
                </c:pt>
                <c:pt idx="922">
                  <c:v>3.9479307923736759E-2</c:v>
                </c:pt>
                <c:pt idx="923">
                  <c:v>3.9504830294732958E-2</c:v>
                </c:pt>
                <c:pt idx="924">
                  <c:v>3.9530461865445655E-2</c:v>
                </c:pt>
                <c:pt idx="925">
                  <c:v>3.9560161194862935E-2</c:v>
                </c:pt>
                <c:pt idx="926">
                  <c:v>3.9569878665956147E-2</c:v>
                </c:pt>
                <c:pt idx="927">
                  <c:v>3.9607559023537381E-2</c:v>
                </c:pt>
                <c:pt idx="928">
                  <c:v>3.9633174634767829E-2</c:v>
                </c:pt>
                <c:pt idx="929">
                  <c:v>3.9658673060541202E-2</c:v>
                </c:pt>
                <c:pt idx="930">
                  <c:v>3.9684009020239087E-2</c:v>
                </c:pt>
                <c:pt idx="931">
                  <c:v>3.9709137232073803E-2</c:v>
                </c:pt>
                <c:pt idx="932">
                  <c:v>3.9737922018747589E-2</c:v>
                </c:pt>
                <c:pt idx="933">
                  <c:v>3.9758618563351271E-2</c:v>
                </c:pt>
                <c:pt idx="934">
                  <c:v>3.9782950859290241E-2</c:v>
                </c:pt>
                <c:pt idx="935">
                  <c:v>3.9807010703875823E-2</c:v>
                </c:pt>
                <c:pt idx="936">
                  <c:v>3.9834639077803047E-2</c:v>
                </c:pt>
                <c:pt idx="937">
                  <c:v>3.9854313018709411E-2</c:v>
                </c:pt>
                <c:pt idx="938">
                  <c:v>3.9877555478962858E-2</c:v>
                </c:pt>
                <c:pt idx="939">
                  <c:v>3.9889146596084682E-2</c:v>
                </c:pt>
                <c:pt idx="940">
                  <c:v>3.9911894970428484E-2</c:v>
                </c:pt>
                <c:pt idx="941">
                  <c:v>3.9934370950730019E-2</c:v>
                </c:pt>
                <c:pt idx="942">
                  <c:v>3.9956574532394276E-2</c:v>
                </c:pt>
                <c:pt idx="943">
                  <c:v>3.9978505710877209E-2</c:v>
                </c:pt>
                <c:pt idx="944">
                  <c:v>4.0011288174397898E-2</c:v>
                </c:pt>
                <c:pt idx="945">
                  <c:v>4.0032623235332E-2</c:v>
                </c:pt>
                <c:pt idx="946">
                  <c:v>4.005735672508938E-2</c:v>
                </c:pt>
                <c:pt idx="947">
                  <c:v>4.0074475840416582E-2</c:v>
                </c:pt>
                <c:pt idx="948">
                  <c:v>4.0094993375723073E-2</c:v>
                </c:pt>
                <c:pt idx="949">
                  <c:v>4.0115238393738269E-2</c:v>
                </c:pt>
                <c:pt idx="950">
                  <c:v>4.0138812984803145E-2</c:v>
                </c:pt>
                <c:pt idx="951">
                  <c:v>4.015491086084292E-2</c:v>
                </c:pt>
                <c:pt idx="952">
                  <c:v>4.0163627452229685E-2</c:v>
                </c:pt>
                <c:pt idx="953">
                  <c:v>4.0179278622122894E-2</c:v>
                </c:pt>
                <c:pt idx="954">
                  <c:v>4.019823043752524E-2</c:v>
                </c:pt>
                <c:pt idx="955">
                  <c:v>4.021690982915338E-2</c:v>
                </c:pt>
                <c:pt idx="956">
                  <c:v>4.0245712742569495E-2</c:v>
                </c:pt>
                <c:pt idx="957">
                  <c:v>4.0263691598703133E-2</c:v>
                </c:pt>
                <c:pt idx="958">
                  <c:v>4.0281398017818937E-2</c:v>
                </c:pt>
                <c:pt idx="959">
                  <c:v>4.0302273141160187E-2</c:v>
                </c:pt>
                <c:pt idx="960">
                  <c:v>4.031599353072135E-2</c:v>
                </c:pt>
                <c:pt idx="961">
                  <c:v>4.0336288631051355E-2</c:v>
                </c:pt>
                <c:pt idx="962">
                  <c:v>4.0349499253277799E-2</c:v>
                </c:pt>
                <c:pt idx="963">
                  <c:v>4.0365843434669202E-2</c:v>
                </c:pt>
                <c:pt idx="964">
                  <c:v>4.0385268251087646E-2</c:v>
                </c:pt>
                <c:pt idx="965">
                  <c:v>4.0404383760960859E-2</c:v>
                </c:pt>
                <c:pt idx="966">
                  <c:v>4.0419875095327455E-2</c:v>
                </c:pt>
                <c:pt idx="967">
                  <c:v>4.0435093902398536E-2</c:v>
                </c:pt>
                <c:pt idx="968">
                  <c:v>4.0450040179027057E-2</c:v>
                </c:pt>
                <c:pt idx="969">
                  <c:v>4.0461451091788135E-2</c:v>
                </c:pt>
                <c:pt idx="970">
                  <c:v>4.0475870152718876E-2</c:v>
                </c:pt>
                <c:pt idx="971">
                  <c:v>4.0490016704233273E-2</c:v>
                </c:pt>
                <c:pt idx="972">
                  <c:v>4.0507804700958085E-2</c:v>
                </c:pt>
                <c:pt idx="973">
                  <c:v>4.0524514462169238E-2</c:v>
                </c:pt>
                <c:pt idx="974">
                  <c:v>4.0537747621785164E-2</c:v>
                </c:pt>
                <c:pt idx="975">
                  <c:v>4.055070822972421E-2</c:v>
                </c:pt>
                <c:pt idx="976">
                  <c:v>4.056339628330765E-2</c:v>
                </c:pt>
                <c:pt idx="977">
                  <c:v>4.0575811779910625E-2</c:v>
                </c:pt>
                <c:pt idx="978">
                  <c:v>4.0587954716964761E-2</c:v>
                </c:pt>
                <c:pt idx="979">
                  <c:v>4.0599825091958142E-2</c:v>
                </c:pt>
                <c:pt idx="980">
                  <c:v>4.0611422902437092E-2</c:v>
                </c:pt>
                <c:pt idx="981">
                  <c:v>4.0622748146000046E-2</c:v>
                </c:pt>
                <c:pt idx="982">
                  <c:v>4.0633800820308874E-2</c:v>
                </c:pt>
                <c:pt idx="983">
                  <c:v>4.0644580923072375E-2</c:v>
                </c:pt>
                <c:pt idx="984">
                  <c:v>4.0655088452064489E-2</c:v>
                </c:pt>
                <c:pt idx="985">
                  <c:v>4.0665323405110441E-2</c:v>
                </c:pt>
                <c:pt idx="986">
                  <c:v>4.0675285780092801E-2</c:v>
                </c:pt>
                <c:pt idx="987">
                  <c:v>4.0684975574951467E-2</c:v>
                </c:pt>
                <c:pt idx="988">
                  <c:v>4.0694392787682825E-2</c:v>
                </c:pt>
                <c:pt idx="989">
                  <c:v>4.0703537416338004E-2</c:v>
                </c:pt>
                <c:pt idx="990">
                  <c:v>4.0712409459025475E-2</c:v>
                </c:pt>
                <c:pt idx="991">
                  <c:v>4.0718151168900256E-2</c:v>
                </c:pt>
                <c:pt idx="992">
                  <c:v>4.0726496565798631E-2</c:v>
                </c:pt>
                <c:pt idx="993">
                  <c:v>4.0734569402003866E-2</c:v>
                </c:pt>
                <c:pt idx="994">
                  <c:v>4.0753568496526497E-2</c:v>
                </c:pt>
                <c:pt idx="995">
                  <c:v>4.0752680820701305E-2</c:v>
                </c:pt>
                <c:pt idx="996">
                  <c:v>4.0759917311022187E-2</c:v>
                </c:pt>
                <c:pt idx="997">
                  <c:v>4.0766881203713384E-2</c:v>
                </c:pt>
                <c:pt idx="998">
                  <c:v>4.0773572497335181E-2</c:v>
                </c:pt>
                <c:pt idx="999">
                  <c:v>4.0779991190503462E-2</c:v>
                </c:pt>
                <c:pt idx="1000">
                  <c:v>4.0786137281890594E-2</c:v>
                </c:pt>
                <c:pt idx="1001">
                  <c:v>4.0792010770224547E-2</c:v>
                </c:pt>
                <c:pt idx="1002">
                  <c:v>4.0797611654293256E-2</c:v>
                </c:pt>
                <c:pt idx="1003">
                  <c:v>4.0801048217422566E-2</c:v>
                </c:pt>
                <c:pt idx="1004">
                  <c:v>4.0802765108324479E-2</c:v>
                </c:pt>
                <c:pt idx="1005">
                  <c:v>4.080758602950052E-2</c:v>
                </c:pt>
                <c:pt idx="1006">
                  <c:v>4.0812134403609868E-2</c:v>
                </c:pt>
                <c:pt idx="1007">
                  <c:v>4.0821279509294241E-2</c:v>
                </c:pt>
                <c:pt idx="1008">
                  <c:v>4.082096315480932E-2</c:v>
                </c:pt>
                <c:pt idx="1009">
                  <c:v>4.0824144234590243E-2</c:v>
                </c:pt>
                <c:pt idx="1010">
                  <c:v>4.0827602411769526E-2</c:v>
                </c:pt>
                <c:pt idx="1011">
                  <c:v>4.0830788037828469E-2</c:v>
                </c:pt>
                <c:pt idx="1012">
                  <c:v>4.083370111212492E-2</c:v>
                </c:pt>
                <c:pt idx="1013">
                  <c:v>4.0833895373619408E-2</c:v>
                </c:pt>
                <c:pt idx="1014">
                  <c:v>4.083628254134223E-2</c:v>
                </c:pt>
                <c:pt idx="1015">
                  <c:v>4.0838397186474487E-2</c:v>
                </c:pt>
                <c:pt idx="1016">
                  <c:v>4.0840239308592256E-2</c:v>
                </c:pt>
                <c:pt idx="1017">
                  <c:v>4.0848911749631928E-2</c:v>
                </c:pt>
                <c:pt idx="1018">
                  <c:v>4.0850150846205968E-2</c:v>
                </c:pt>
                <c:pt idx="1019">
                  <c:v>4.0851117326488731E-2</c:v>
                </c:pt>
                <c:pt idx="1020">
                  <c:v>4.0851811190276026E-2</c:v>
                </c:pt>
                <c:pt idx="1021">
                  <c:v>4.0849943997366182E-2</c:v>
                </c:pt>
                <c:pt idx="1022">
                  <c:v>4.0850112156691765E-2</c:v>
                </c:pt>
                <c:pt idx="1023">
                  <c:v>4.085001443641418E-2</c:v>
                </c:pt>
                <c:pt idx="1024">
                  <c:v>4.0849669018091665E-2</c:v>
                </c:pt>
                <c:pt idx="1025">
                  <c:v>4.085131988659655E-2</c:v>
                </c:pt>
                <c:pt idx="1026">
                  <c:v>4.0850526618070031E-2</c:v>
                </c:pt>
                <c:pt idx="1027">
                  <c:v>4.0849545535904953E-2</c:v>
                </c:pt>
                <c:pt idx="1028">
                  <c:v>4.0848395789250549E-2</c:v>
                </c:pt>
                <c:pt idx="1029">
                  <c:v>4.084709652725256E-2</c:v>
                </c:pt>
                <c:pt idx="1030">
                  <c:v>4.0845666899054132E-2</c:v>
                </c:pt>
                <c:pt idx="1031">
                  <c:v>4.0844126053781883E-2</c:v>
                </c:pt>
                <c:pt idx="1032">
                  <c:v>4.0842493140546825E-2</c:v>
                </c:pt>
                <c:pt idx="1033">
                  <c:v>4.0840787308430389E-2</c:v>
                </c:pt>
                <c:pt idx="1034">
                  <c:v>4.0839027706492323E-2</c:v>
                </c:pt>
                <c:pt idx="1035">
                  <c:v>4.0837233409317136E-2</c:v>
                </c:pt>
                <c:pt idx="1036">
                  <c:v>4.0835417006130144E-2</c:v>
                </c:pt>
                <c:pt idx="1037">
                  <c:v>4.0833579660037485E-2</c:v>
                </c:pt>
                <c:pt idx="1038">
                  <c:v>4.08317213710713E-2</c:v>
                </c:pt>
                <c:pt idx="1039">
                  <c:v>4.0829842139259394E-2</c:v>
                </c:pt>
                <c:pt idx="1040">
                  <c:v>4.0827941964633054E-2</c:v>
                </c:pt>
                <c:pt idx="1041">
                  <c:v>4.0826020847220951E-2</c:v>
                </c:pt>
                <c:pt idx="1042">
                  <c:v>4.0824078787055219E-2</c:v>
                </c:pt>
                <c:pt idx="1043">
                  <c:v>4.0819953522521553E-2</c:v>
                </c:pt>
                <c:pt idx="1044">
                  <c:v>4.0817971296460892E-2</c:v>
                </c:pt>
                <c:pt idx="1045">
                  <c:v>4.0815968130088774E-2</c:v>
                </c:pt>
                <c:pt idx="1046">
                  <c:v>4.0813944023435064E-2</c:v>
                </c:pt>
                <c:pt idx="1047">
                  <c:v>4.0820520437159738E-2</c:v>
                </c:pt>
                <c:pt idx="1048">
                  <c:v>4.0811986629964804E-2</c:v>
                </c:pt>
                <c:pt idx="1049">
                  <c:v>4.0809897971400437E-2</c:v>
                </c:pt>
                <c:pt idx="1050">
                  <c:v>4.0807788370337904E-2</c:v>
                </c:pt>
                <c:pt idx="1051">
                  <c:v>4.0805657826809345E-2</c:v>
                </c:pt>
                <c:pt idx="1052">
                  <c:v>4.0803506340850393E-2</c:v>
                </c:pt>
                <c:pt idx="1053">
                  <c:v>4.0801333912494922E-2</c:v>
                </c:pt>
                <c:pt idx="1054">
                  <c:v>4.0799140541776829E-2</c:v>
                </c:pt>
                <c:pt idx="1055">
                  <c:v>4.0794466965815582E-2</c:v>
                </c:pt>
                <c:pt idx="1056">
                  <c:v>4.0790411517830805E-2</c:v>
                </c:pt>
                <c:pt idx="1057">
                  <c:v>4.0788158819931475E-2</c:v>
                </c:pt>
                <c:pt idx="1058">
                  <c:v>4.078588518449866E-2</c:v>
                </c:pt>
                <c:pt idx="1059">
                  <c:v>4.0783590611567888E-2</c:v>
                </c:pt>
                <c:pt idx="1060">
                  <c:v>4.0781275101175574E-2</c:v>
                </c:pt>
                <c:pt idx="1061">
                  <c:v>4.0778938653357244E-2</c:v>
                </c:pt>
                <c:pt idx="1062">
                  <c:v>4.0776581268148426E-2</c:v>
                </c:pt>
                <c:pt idx="1063">
                  <c:v>4.0774202945587312E-2</c:v>
                </c:pt>
                <c:pt idx="1064">
                  <c:v>4.0771803685708541E-2</c:v>
                </c:pt>
                <c:pt idx="1065">
                  <c:v>4.076725957975056E-2</c:v>
                </c:pt>
                <c:pt idx="1066">
                  <c:v>4.0764820215730115E-2</c:v>
                </c:pt>
                <c:pt idx="1067">
                  <c:v>4.076235991684684E-2</c:v>
                </c:pt>
                <c:pt idx="1068">
                  <c:v>4.0759878683136665E-2</c:v>
                </c:pt>
                <c:pt idx="1069">
                  <c:v>4.0763726922040139E-2</c:v>
                </c:pt>
                <c:pt idx="1070">
                  <c:v>4.0761198478493431E-2</c:v>
                </c:pt>
                <c:pt idx="1071">
                  <c:v>4.0758649093221848E-2</c:v>
                </c:pt>
                <c:pt idx="1072">
                  <c:v>4.0756078766267093E-2</c:v>
                </c:pt>
                <c:pt idx="1073">
                  <c:v>4.0751377841893907E-2</c:v>
                </c:pt>
                <c:pt idx="1074">
                  <c:v>4.0748767421510318E-2</c:v>
                </c:pt>
                <c:pt idx="1075">
                  <c:v>4.0746136061901875E-2</c:v>
                </c:pt>
                <c:pt idx="1076">
                  <c:v>4.0743483763111606E-2</c:v>
                </c:pt>
                <c:pt idx="1077">
                  <c:v>4.0740810525179048E-2</c:v>
                </c:pt>
                <c:pt idx="1078">
                  <c:v>4.0740217031486677E-2</c:v>
                </c:pt>
                <c:pt idx="1079">
                  <c:v>4.0737500113907067E-2</c:v>
                </c:pt>
                <c:pt idx="1080">
                  <c:v>4.0734762254978803E-2</c:v>
                </c:pt>
                <c:pt idx="1081">
                  <c:v>4.073200345474793E-2</c:v>
                </c:pt>
                <c:pt idx="1082">
                  <c:v>4.0729223713254423E-2</c:v>
                </c:pt>
                <c:pt idx="1083">
                  <c:v>4.0726423030545196E-2</c:v>
                </c:pt>
                <c:pt idx="1084">
                  <c:v>4.0723601406665436E-2</c:v>
                </c:pt>
                <c:pt idx="1085">
                  <c:v>4.0720758841656844E-2</c:v>
                </c:pt>
                <c:pt idx="1086">
                  <c:v>4.0717895335567203E-2</c:v>
                </c:pt>
                <c:pt idx="1087">
                  <c:v>4.0715010888441705E-2</c:v>
                </c:pt>
                <c:pt idx="1088">
                  <c:v>4.0712105500325529E-2</c:v>
                </c:pt>
                <c:pt idx="1089">
                  <c:v>4.0709179171265583E-2</c:v>
                </c:pt>
                <c:pt idx="1090">
                  <c:v>4.0706231901307066E-2</c:v>
                </c:pt>
                <c:pt idx="1091">
                  <c:v>4.0703263690497753E-2</c:v>
                </c:pt>
                <c:pt idx="1092">
                  <c:v>4.0700274538884564E-2</c:v>
                </c:pt>
                <c:pt idx="1093">
                  <c:v>4.0697264446515287E-2</c:v>
                </c:pt>
                <c:pt idx="1094">
                  <c:v>4.0694233413436851E-2</c:v>
                </c:pt>
                <c:pt idx="1095">
                  <c:v>4.0689111698777633E-2</c:v>
                </c:pt>
                <c:pt idx="1096">
                  <c:v>4.0686040625524347E-2</c:v>
                </c:pt>
                <c:pt idx="1097">
                  <c:v>4.0682948614031787E-2</c:v>
                </c:pt>
                <c:pt idx="1098">
                  <c:v>4.0679835664350905E-2</c:v>
                </c:pt>
                <c:pt idx="1099">
                  <c:v>4.0676701776529128E-2</c:v>
                </c:pt>
                <c:pt idx="1100">
                  <c:v>4.0675607462811521E-2</c:v>
                </c:pt>
                <c:pt idx="1101">
                  <c:v>4.0672429846141729E-2</c:v>
                </c:pt>
                <c:pt idx="1102">
                  <c:v>4.0669231289158107E-2</c:v>
                </c:pt>
                <c:pt idx="1103">
                  <c:v>4.0666011791911046E-2</c:v>
                </c:pt>
                <c:pt idx="1104">
                  <c:v>4.0662771354452683E-2</c:v>
                </c:pt>
                <c:pt idx="1105">
                  <c:v>4.0663144202108578E-2</c:v>
                </c:pt>
                <c:pt idx="1106">
                  <c:v>4.0656227659106231E-2</c:v>
                </c:pt>
                <c:pt idx="1107">
                  <c:v>4.0656545178250153E-2</c:v>
                </c:pt>
                <c:pt idx="1108">
                  <c:v>4.0647554578036101E-2</c:v>
                </c:pt>
                <c:pt idx="1109">
                  <c:v>4.0644211311570672E-2</c:v>
                </c:pt>
                <c:pt idx="1110">
                  <c:v>4.0640847107525656E-2</c:v>
                </c:pt>
                <c:pt idx="1111">
                  <c:v>4.0637461965951131E-2</c:v>
                </c:pt>
                <c:pt idx="1112">
                  <c:v>4.0631610154464766E-2</c:v>
                </c:pt>
                <c:pt idx="1113">
                  <c:v>4.0630137587476856E-2</c:v>
                </c:pt>
                <c:pt idx="1114">
                  <c:v>4.0634822852738721E-2</c:v>
                </c:pt>
                <c:pt idx="1115">
                  <c:v>4.0623214760402183E-2</c:v>
                </c:pt>
                <c:pt idx="1116">
                  <c:v>4.0619721940961036E-2</c:v>
                </c:pt>
                <c:pt idx="1117">
                  <c:v>4.0614179725158905E-2</c:v>
                </c:pt>
                <c:pt idx="1118">
                  <c:v>4.061064692344285E-2</c:v>
                </c:pt>
                <c:pt idx="1119">
                  <c:v>4.0607093186952881E-2</c:v>
                </c:pt>
                <c:pt idx="1120">
                  <c:v>4.0603518515744064E-2</c:v>
                </c:pt>
                <c:pt idx="1121">
                  <c:v>4.060800623697617E-2</c:v>
                </c:pt>
                <c:pt idx="1122">
                  <c:v>4.0604382089033574E-2</c:v>
                </c:pt>
                <c:pt idx="1123">
                  <c:v>4.0600736997304696E-2</c:v>
                </c:pt>
                <c:pt idx="1124">
                  <c:v>4.0597070961848211E-2</c:v>
                </c:pt>
                <c:pt idx="1125">
                  <c:v>4.0587344398878025E-2</c:v>
                </c:pt>
                <c:pt idx="1126">
                  <c:v>4.0583642210003441E-2</c:v>
                </c:pt>
                <c:pt idx="1127">
                  <c:v>4.0577782184116479E-2</c:v>
                </c:pt>
                <c:pt idx="1128">
                  <c:v>4.0576175022426594E-2</c:v>
                </c:pt>
                <c:pt idx="1129">
                  <c:v>4.0578426630747941E-2</c:v>
                </c:pt>
                <c:pt idx="1130">
                  <c:v>4.0574634934189509E-2</c:v>
                </c:pt>
                <c:pt idx="1131">
                  <c:v>4.0570822294326965E-2</c:v>
                </c:pt>
                <c:pt idx="1132">
                  <c:v>4.0566988711222385E-2</c:v>
                </c:pt>
                <c:pt idx="1133">
                  <c:v>4.0565131955169698E-2</c:v>
                </c:pt>
                <c:pt idx="1134">
                  <c:v>4.0561254555295682E-2</c:v>
                </c:pt>
                <c:pt idx="1135">
                  <c:v>4.0555362303081474E-2</c:v>
                </c:pt>
                <c:pt idx="1136">
                  <c:v>4.0551444947636336E-2</c:v>
                </c:pt>
                <c:pt idx="1137">
                  <c:v>4.0547506649262113E-2</c:v>
                </c:pt>
                <c:pt idx="1138">
                  <c:v>4.0537582903440388E-2</c:v>
                </c:pt>
                <c:pt idx="1139">
                  <c:v>4.0541553376881555E-2</c:v>
                </c:pt>
                <c:pt idx="1140">
                  <c:v>4.0535566097222225E-2</c:v>
                </c:pt>
                <c:pt idx="1141">
                  <c:v>4.0531544027783022E-2</c:v>
                </c:pt>
                <c:pt idx="1142">
                  <c:v>4.0527501015740416E-2</c:v>
                </c:pt>
                <c:pt idx="1143">
                  <c:v>4.0523437061159899E-2</c:v>
                </c:pt>
                <c:pt idx="1144">
                  <c:v>4.0519352164106945E-2</c:v>
                </c:pt>
                <c:pt idx="1145">
                  <c:v>4.0515246324647036E-2</c:v>
                </c:pt>
                <c:pt idx="1146">
                  <c:v>4.0511119542847349E-2</c:v>
                </c:pt>
                <c:pt idx="1147">
                  <c:v>4.0501059974927651E-2</c:v>
                </c:pt>
                <c:pt idx="1148">
                  <c:v>4.0496897194246616E-2</c:v>
                </c:pt>
                <c:pt idx="1149">
                  <c:v>4.0492713478297991E-2</c:v>
                </c:pt>
                <c:pt idx="1150">
                  <c:v>4.0488508827151173E-2</c:v>
                </c:pt>
                <c:pt idx="1151">
                  <c:v>4.0484283240871173E-2</c:v>
                </c:pt>
                <c:pt idx="1152">
                  <c:v>4.0485919066701501E-2</c:v>
                </c:pt>
                <c:pt idx="1153">
                  <c:v>4.0483604414786989E-2</c:v>
                </c:pt>
                <c:pt idx="1154">
                  <c:v>4.0477351372347523E-2</c:v>
                </c:pt>
                <c:pt idx="1155">
                  <c:v>4.0473036112550369E-2</c:v>
                </c:pt>
                <c:pt idx="1156">
                  <c:v>4.0468699911097146E-2</c:v>
                </c:pt>
                <c:pt idx="1157">
                  <c:v>4.0458568969062136E-2</c:v>
                </c:pt>
                <c:pt idx="1158">
                  <c:v>4.0461913503227455E-2</c:v>
                </c:pt>
                <c:pt idx="1159">
                  <c:v>4.0455565657521335E-2</c:v>
                </c:pt>
                <c:pt idx="1160">
                  <c:v>4.0443365872584458E-2</c:v>
                </c:pt>
                <c:pt idx="1161">
                  <c:v>4.0438932929497184E-2</c:v>
                </c:pt>
                <c:pt idx="1162">
                  <c:v>4.0434479054304973E-2</c:v>
                </c:pt>
                <c:pt idx="1163">
                  <c:v>4.0430004247077989E-2</c:v>
                </c:pt>
                <c:pt idx="1164">
                  <c:v>4.0425508507884622E-2</c:v>
                </c:pt>
                <c:pt idx="1165">
                  <c:v>4.0420991836795039E-2</c:v>
                </c:pt>
                <c:pt idx="1166">
                  <c:v>4.0416454233881183E-2</c:v>
                </c:pt>
                <c:pt idx="1167">
                  <c:v>4.0411895699210554E-2</c:v>
                </c:pt>
                <c:pt idx="1168">
                  <c:v>4.040731623285776E-2</c:v>
                </c:pt>
                <c:pt idx="1169">
                  <c:v>4.0400788764167396E-2</c:v>
                </c:pt>
                <c:pt idx="1170">
                  <c:v>4.0396169445591212E-2</c:v>
                </c:pt>
                <c:pt idx="1171">
                  <c:v>4.0391529197817772E-2</c:v>
                </c:pt>
                <c:pt idx="1172">
                  <c:v>4.0386868020918933E-2</c:v>
                </c:pt>
                <c:pt idx="1173">
                  <c:v>4.0391780482861787E-2</c:v>
                </c:pt>
                <c:pt idx="1174">
                  <c:v>4.0387067344002173E-2</c:v>
                </c:pt>
                <c:pt idx="1175">
                  <c:v>4.038233326488537E-2</c:v>
                </c:pt>
                <c:pt idx="1176">
                  <c:v>4.0377578245586208E-2</c:v>
                </c:pt>
                <c:pt idx="1177">
                  <c:v>4.0364334948303271E-2</c:v>
                </c:pt>
                <c:pt idx="1178">
                  <c:v>4.0362279181326836E-2</c:v>
                </c:pt>
                <c:pt idx="1179">
                  <c:v>4.0357467464032341E-2</c:v>
                </c:pt>
                <c:pt idx="1180">
                  <c:v>4.0352635275279471E-2</c:v>
                </c:pt>
                <c:pt idx="1181">
                  <c:v>4.0347783394472023E-2</c:v>
                </c:pt>
                <c:pt idx="1182">
                  <c:v>4.034861654760255E-2</c:v>
                </c:pt>
                <c:pt idx="1183">
                  <c:v>4.0343722724096961E-2</c:v>
                </c:pt>
                <c:pt idx="1184">
                  <c:v>4.0338811784731157E-2</c:v>
                </c:pt>
                <c:pt idx="1185">
                  <c:v>4.033578109290397E-2</c:v>
                </c:pt>
                <c:pt idx="1186">
                  <c:v>4.0330836761297936E-2</c:v>
                </c:pt>
                <c:pt idx="1187">
                  <c:v>4.0323983919518885E-2</c:v>
                </c:pt>
                <c:pt idx="1188">
                  <c:v>4.0319012164742506E-2</c:v>
                </c:pt>
                <c:pt idx="1189">
                  <c:v>4.0314027118103189E-2</c:v>
                </c:pt>
                <c:pt idx="1190">
                  <c:v>4.0303360634655006E-2</c:v>
                </c:pt>
                <c:pt idx="1191">
                  <c:v>4.0305908549910612E-2</c:v>
                </c:pt>
                <c:pt idx="1192">
                  <c:v>4.0298999851085218E-2</c:v>
                </c:pt>
                <c:pt idx="1193">
                  <c:v>4.0293968814031876E-2</c:v>
                </c:pt>
                <c:pt idx="1194">
                  <c:v>4.0288927107294668E-2</c:v>
                </c:pt>
                <c:pt idx="1195">
                  <c:v>4.0283874730917824E-2</c:v>
                </c:pt>
                <c:pt idx="1196">
                  <c:v>4.028069340861104E-2</c:v>
                </c:pt>
                <c:pt idx="1197">
                  <c:v>4.0273737969408495E-2</c:v>
                </c:pt>
                <c:pt idx="1198">
                  <c:v>4.0268653584361047E-2</c:v>
                </c:pt>
                <c:pt idx="1199">
                  <c:v>4.0257925386184189E-2</c:v>
                </c:pt>
                <c:pt idx="1200">
                  <c:v>4.0252823651599511E-2</c:v>
                </c:pt>
                <c:pt idx="1201">
                  <c:v>4.024771125096218E-2</c:v>
                </c:pt>
                <c:pt idx="1202">
                  <c:v>4.024258818431347E-2</c:v>
                </c:pt>
                <c:pt idx="1203">
                  <c:v>4.0243071617871204E-2</c:v>
                </c:pt>
                <c:pt idx="1204">
                  <c:v>4.0237923216618648E-2</c:v>
                </c:pt>
                <c:pt idx="1205">
                  <c:v>4.0232764146149097E-2</c:v>
                </c:pt>
                <c:pt idx="1206">
                  <c:v>4.0229462811176869E-2</c:v>
                </c:pt>
                <c:pt idx="1207">
                  <c:v>4.0222413997723118E-2</c:v>
                </c:pt>
                <c:pt idx="1208">
                  <c:v>4.0217222919853426E-2</c:v>
                </c:pt>
                <c:pt idx="1209">
                  <c:v>4.0212021172935972E-2</c:v>
                </c:pt>
                <c:pt idx="1210">
                  <c:v>4.0208671803003665E-2</c:v>
                </c:pt>
                <c:pt idx="1211">
                  <c:v>4.0201585672132056E-2</c:v>
                </c:pt>
                <c:pt idx="1212">
                  <c:v>4.018891057495555E-2</c:v>
                </c:pt>
                <c:pt idx="1213">
                  <c:v>4.0183671528669862E-2</c:v>
                </c:pt>
                <c:pt idx="1214">
                  <c:v>4.0178421817976151E-2</c:v>
                </c:pt>
                <c:pt idx="1215">
                  <c:v>4.0173161442917049E-2</c:v>
                </c:pt>
                <c:pt idx="1216">
                  <c:v>4.0161919424412537E-2</c:v>
                </c:pt>
                <c:pt idx="1217">
                  <c:v>4.0162194861320485E-2</c:v>
                </c:pt>
                <c:pt idx="1218">
                  <c:v>4.0156896573276583E-2</c:v>
                </c:pt>
                <c:pt idx="1219">
                  <c:v>4.0150828327412104E-2</c:v>
                </c:pt>
                <c:pt idx="1220">
                  <c:v>4.0146268001379701E-2</c:v>
                </c:pt>
                <c:pt idx="1221">
                  <c:v>4.0142785332858665E-2</c:v>
                </c:pt>
                <c:pt idx="1222">
                  <c:v>4.0135596768685722E-2</c:v>
                </c:pt>
                <c:pt idx="1223">
                  <c:v>4.0127635063237577E-2</c:v>
                </c:pt>
                <c:pt idx="1224">
                  <c:v>4.0126726424301817E-2</c:v>
                </c:pt>
                <c:pt idx="1225">
                  <c:v>4.012135212246782E-2</c:v>
                </c:pt>
                <c:pt idx="1226">
                  <c:v>4.011596715455016E-2</c:v>
                </c:pt>
                <c:pt idx="1227">
                  <c:v>4.0110571520590534E-2</c:v>
                </c:pt>
                <c:pt idx="1228">
                  <c:v>4.0105165220634995E-2</c:v>
                </c:pt>
                <c:pt idx="1229">
                  <c:v>4.0097911505441668E-2</c:v>
                </c:pt>
                <c:pt idx="1230">
                  <c:v>4.0092485236815148E-2</c:v>
                </c:pt>
                <c:pt idx="1231">
                  <c:v>4.0087048303419345E-2</c:v>
                </c:pt>
                <c:pt idx="1232">
                  <c:v>4.0080042289872456E-2</c:v>
                </c:pt>
                <c:pt idx="1233">
                  <c:v>4.007614244249643E-2</c:v>
                </c:pt>
                <c:pt idx="1234">
                  <c:v>4.007172109602529E-2</c:v>
                </c:pt>
                <c:pt idx="1235">
                  <c:v>4.0067022476704711E-2</c:v>
                </c:pt>
                <c:pt idx="1236">
                  <c:v>4.0061530850354528E-2</c:v>
                </c:pt>
                <c:pt idx="1237">
                  <c:v>4.0055241646035453E-2</c:v>
                </c:pt>
                <c:pt idx="1238">
                  <c:v>4.0050515600895002E-2</c:v>
                </c:pt>
                <c:pt idx="1239">
                  <c:v>4.0044991977876893E-2</c:v>
                </c:pt>
                <c:pt idx="1240">
                  <c:v>4.0039457689392884E-2</c:v>
                </c:pt>
                <c:pt idx="1241">
                  <c:v>4.003391273548642E-2</c:v>
                </c:pt>
                <c:pt idx="1242">
                  <c:v>4.0028357116204408E-2</c:v>
                </c:pt>
                <c:pt idx="1243">
                  <c:v>4.0022790831591173E-2</c:v>
                </c:pt>
                <c:pt idx="1244">
                  <c:v>4.0017213881690154E-2</c:v>
                </c:pt>
                <c:pt idx="1245">
                  <c:v>4.0011626266550013E-2</c:v>
                </c:pt>
                <c:pt idx="1246">
                  <c:v>4.0006027986212445E-2</c:v>
                </c:pt>
                <c:pt idx="1247">
                  <c:v>4.0000419040724378E-2</c:v>
                </c:pt>
                <c:pt idx="1248">
                  <c:v>3.9994799430130124E-2</c:v>
                </c:pt>
                <c:pt idx="1249">
                  <c:v>3.9989169154477464E-2</c:v>
                </c:pt>
                <c:pt idx="1250">
                  <c:v>3.9982721494532386E-2</c:v>
                </c:pt>
                <c:pt idx="1251">
                  <c:v>3.9975262057143905E-2</c:v>
                </c:pt>
                <c:pt idx="1252">
                  <c:v>3.9970409218541732E-2</c:v>
                </c:pt>
                <c:pt idx="1253">
                  <c:v>3.9964737671415285E-2</c:v>
                </c:pt>
                <c:pt idx="1254">
                  <c:v>3.9959055460543791E-2</c:v>
                </c:pt>
                <c:pt idx="1255">
                  <c:v>3.9955163536861758E-2</c:v>
                </c:pt>
                <c:pt idx="1256">
                  <c:v>3.9949458607071442E-2</c:v>
                </c:pt>
                <c:pt idx="1257">
                  <c:v>3.9942925628506369E-2</c:v>
                </c:pt>
                <c:pt idx="1258">
                  <c:v>3.9938016753459919E-2</c:v>
                </c:pt>
                <c:pt idx="1259">
                  <c:v>3.9932279829729932E-2</c:v>
                </c:pt>
                <c:pt idx="1260">
                  <c:v>3.9926532241447231E-2</c:v>
                </c:pt>
                <c:pt idx="1261">
                  <c:v>3.9919950510546941E-2</c:v>
                </c:pt>
                <c:pt idx="1262">
                  <c:v>3.9915005071406995E-2</c:v>
                </c:pt>
                <c:pt idx="1263">
                  <c:v>3.9909225489745043E-2</c:v>
                </c:pt>
                <c:pt idx="1264">
                  <c:v>3.9901646855914998E-2</c:v>
                </c:pt>
                <c:pt idx="1265">
                  <c:v>3.9895847346872328E-2</c:v>
                </c:pt>
                <c:pt idx="1266">
                  <c:v>3.9890037174636246E-2</c:v>
                </c:pt>
                <c:pt idx="1267">
                  <c:v>3.9884216339254201E-2</c:v>
                </c:pt>
                <c:pt idx="1268">
                  <c:v>3.9875768320785987E-2</c:v>
                </c:pt>
                <c:pt idx="1269">
                  <c:v>3.9869926041513182E-2</c:v>
                </c:pt>
                <c:pt idx="1270">
                  <c:v>3.9865852866454679E-2</c:v>
                </c:pt>
                <c:pt idx="1271">
                  <c:v>3.9858209497247721E-2</c:v>
                </c:pt>
                <c:pt idx="1272">
                  <c:v>3.9852335232347436E-2</c:v>
                </c:pt>
                <c:pt idx="1273">
                  <c:v>3.984822584545053E-2</c:v>
                </c:pt>
                <c:pt idx="1274">
                  <c:v>3.9840554717247123E-2</c:v>
                </c:pt>
                <c:pt idx="1275">
                  <c:v>3.983464846713769E-2</c:v>
                </c:pt>
                <c:pt idx="1276">
                  <c:v>3.9830502859140353E-2</c:v>
                </c:pt>
                <c:pt idx="1277">
                  <c:v>3.9826343756240001E-2</c:v>
                </c:pt>
                <c:pt idx="1278">
                  <c:v>3.9820402690654427E-2</c:v>
                </c:pt>
                <c:pt idx="1279">
                  <c:v>3.981445096142236E-2</c:v>
                </c:pt>
                <c:pt idx="1280">
                  <c:v>3.9808488568588984E-2</c:v>
                </c:pt>
                <c:pt idx="1281">
                  <c:v>3.9800751295865806E-2</c:v>
                </c:pt>
                <c:pt idx="1282">
                  <c:v>3.979476899572483E-2</c:v>
                </c:pt>
                <c:pt idx="1283">
                  <c:v>3.9787061799804242E-2</c:v>
                </c:pt>
                <c:pt idx="1284">
                  <c:v>3.9781055128572627E-2</c:v>
                </c:pt>
                <c:pt idx="1285">
                  <c:v>3.9776795919244975E-2</c:v>
                </c:pt>
                <c:pt idx="1286">
                  <c:v>3.9770766499183485E-2</c:v>
                </c:pt>
                <c:pt idx="1287">
                  <c:v>3.9764726415876063E-2</c:v>
                </c:pt>
                <c:pt idx="1288">
                  <c:v>3.975867566937135E-2</c:v>
                </c:pt>
                <c:pt idx="1289">
                  <c:v>3.9752614259718023E-2</c:v>
                </c:pt>
                <c:pt idx="1290">
                  <c:v>3.9746542186967326E-2</c:v>
                </c:pt>
                <c:pt idx="1291">
                  <c:v>3.9740459451167061E-2</c:v>
                </c:pt>
                <c:pt idx="1292">
                  <c:v>3.9734366052366743E-2</c:v>
                </c:pt>
                <c:pt idx="1293">
                  <c:v>3.9728261990615035E-2</c:v>
                </c:pt>
                <c:pt idx="1294">
                  <c:v>3.9722147265963202E-2</c:v>
                </c:pt>
                <c:pt idx="1295">
                  <c:v>3.971602187845729E-2</c:v>
                </c:pt>
                <c:pt idx="1296">
                  <c:v>3.9709885828151166E-2</c:v>
                </c:pt>
                <c:pt idx="1297">
                  <c:v>3.970373911509089E-2</c:v>
                </c:pt>
                <c:pt idx="1298">
                  <c:v>3.969758173932858E-2</c:v>
                </c:pt>
                <c:pt idx="1299">
                  <c:v>3.9691413700912913E-2</c:v>
                </c:pt>
                <c:pt idx="1300">
                  <c:v>3.9685234999894264E-2</c:v>
                </c:pt>
                <c:pt idx="1301">
                  <c:v>3.9679045636322165E-2</c:v>
                </c:pt>
                <c:pt idx="1302">
                  <c:v>3.9672845610247885E-2</c:v>
                </c:pt>
                <c:pt idx="1303">
                  <c:v>3.9664902598516065E-2</c:v>
                </c:pt>
                <c:pt idx="1304">
                  <c:v>3.9658682691065435E-2</c:v>
                </c:pt>
                <c:pt idx="1305">
                  <c:v>3.9652452122320547E-2</c:v>
                </c:pt>
                <c:pt idx="1306">
                  <c:v>3.96531227808221E-2</c:v>
                </c:pt>
                <c:pt idx="1307">
                  <c:v>3.9641685544091851E-2</c:v>
                </c:pt>
                <c:pt idx="1308">
                  <c:v>3.9635421544055791E-2</c:v>
                </c:pt>
                <c:pt idx="1309">
                  <c:v>3.9629146881872045E-2</c:v>
                </c:pt>
                <c:pt idx="1310">
                  <c:v>3.9622861557587527E-2</c:v>
                </c:pt>
                <c:pt idx="1311">
                  <c:v>3.9616565571257846E-2</c:v>
                </c:pt>
                <c:pt idx="1312">
                  <c:v>3.9610258922928195E-2</c:v>
                </c:pt>
                <c:pt idx="1313">
                  <c:v>3.9603941612655034E-2</c:v>
                </c:pt>
                <c:pt idx="1314">
                  <c:v>3.9597613640485294E-2</c:v>
                </c:pt>
                <c:pt idx="1315">
                  <c:v>3.9588653893207738E-2</c:v>
                </c:pt>
                <c:pt idx="1316">
                  <c:v>3.9583212235085825E-2</c:v>
                </c:pt>
                <c:pt idx="1317">
                  <c:v>3.9576853734735407E-2</c:v>
                </c:pt>
                <c:pt idx="1318">
                  <c:v>3.95704845737469E-2</c:v>
                </c:pt>
                <c:pt idx="1319">
                  <c:v>3.9562162619965265E-2</c:v>
                </c:pt>
                <c:pt idx="1320">
                  <c:v>3.95568004737979E-2</c:v>
                </c:pt>
                <c:pt idx="1321">
                  <c:v>3.9551313127463218E-2</c:v>
                </c:pt>
                <c:pt idx="1322">
                  <c:v>3.9544901324433605E-2</c:v>
                </c:pt>
                <c:pt idx="1323">
                  <c:v>3.9538478861019764E-2</c:v>
                </c:pt>
                <c:pt idx="1324">
                  <c:v>3.953204573727704E-2</c:v>
                </c:pt>
                <c:pt idx="1325">
                  <c:v>3.952390161431385E-2</c:v>
                </c:pt>
                <c:pt idx="1326">
                  <c:v>3.9517448636471109E-2</c:v>
                </c:pt>
                <c:pt idx="1327">
                  <c:v>3.95109849994979E-2</c:v>
                </c:pt>
                <c:pt idx="1328">
                  <c:v>3.9504510703447515E-2</c:v>
                </c:pt>
                <c:pt idx="1329">
                  <c:v>3.9501414665627975E-2</c:v>
                </c:pt>
                <c:pt idx="1330">
                  <c:v>3.9494916110169864E-2</c:v>
                </c:pt>
                <c:pt idx="1331">
                  <c:v>3.9488406893700562E-2</c:v>
                </c:pt>
                <c:pt idx="1332">
                  <c:v>3.9481887016270444E-2</c:v>
                </c:pt>
                <c:pt idx="1333">
                  <c:v>3.947366791723176E-2</c:v>
                </c:pt>
                <c:pt idx="1334">
                  <c:v>3.9467128193028708E-2</c:v>
                </c:pt>
                <c:pt idx="1335">
                  <c:v>3.9460577809065991E-2</c:v>
                </c:pt>
                <c:pt idx="1336">
                  <c:v>3.945401676539631E-2</c:v>
                </c:pt>
                <c:pt idx="1337">
                  <c:v>3.9447445062072373E-2</c:v>
                </c:pt>
                <c:pt idx="1338">
                  <c:v>3.9442543874513798E-2</c:v>
                </c:pt>
                <c:pt idx="1339">
                  <c:v>3.9435949371851603E-2</c:v>
                </c:pt>
                <c:pt idx="1340">
                  <c:v>3.9429344208657818E-2</c:v>
                </c:pt>
                <c:pt idx="1341">
                  <c:v>3.9422728384980225E-2</c:v>
                </c:pt>
                <c:pt idx="1342">
                  <c:v>3.9416101900876188E-2</c:v>
                </c:pt>
                <c:pt idx="1343">
                  <c:v>3.9409464756398692E-2</c:v>
                </c:pt>
                <c:pt idx="1344">
                  <c:v>3.9402816951600743E-2</c:v>
                </c:pt>
                <c:pt idx="1345">
                  <c:v>3.9396158486537082E-2</c:v>
                </c:pt>
                <c:pt idx="1346">
                  <c:v>3.9389489361260709E-2</c:v>
                </c:pt>
                <c:pt idx="1347">
                  <c:v>3.9382809575826357E-2</c:v>
                </c:pt>
                <c:pt idx="1348">
                  <c:v>3.9376119130287039E-2</c:v>
                </c:pt>
                <c:pt idx="1349">
                  <c:v>3.9369418024699225E-2</c:v>
                </c:pt>
                <c:pt idx="1350">
                  <c:v>3.9362706259114172E-2</c:v>
                </c:pt>
                <c:pt idx="1351">
                  <c:v>3.9355983833588369E-2</c:v>
                </c:pt>
                <c:pt idx="1352">
                  <c:v>3.9349250748175676E-2</c:v>
                </c:pt>
                <c:pt idx="1353">
                  <c:v>3.93425070029291E-2</c:v>
                </c:pt>
                <c:pt idx="1354">
                  <c:v>3.9335752597906851E-2</c:v>
                </c:pt>
                <c:pt idx="1355">
                  <c:v>3.9327331661773032E-2</c:v>
                </c:pt>
                <c:pt idx="1356">
                  <c:v>3.9320557435115602E-2</c:v>
                </c:pt>
                <c:pt idx="1357">
                  <c:v>3.9313772549872075E-2</c:v>
                </c:pt>
                <c:pt idx="1358">
                  <c:v>3.9306977006098663E-2</c:v>
                </c:pt>
                <c:pt idx="1359">
                  <c:v>3.9300170803845437E-2</c:v>
                </c:pt>
                <c:pt idx="1360">
                  <c:v>3.9295002315498387E-2</c:v>
                </c:pt>
                <c:pt idx="1361">
                  <c:v>3.9288173293566098E-2</c:v>
                </c:pt>
                <c:pt idx="1362">
                  <c:v>3.9281333612295181E-2</c:v>
                </c:pt>
                <c:pt idx="1363">
                  <c:v>3.9274483271743849E-2</c:v>
                </c:pt>
                <c:pt idx="1364">
                  <c:v>3.9267622271962489E-2</c:v>
                </c:pt>
                <c:pt idx="1365">
                  <c:v>3.9263049266661167E-2</c:v>
                </c:pt>
                <c:pt idx="1366">
                  <c:v>3.9253868294943449E-2</c:v>
                </c:pt>
                <c:pt idx="1367">
                  <c:v>3.9249264889987028E-2</c:v>
                </c:pt>
                <c:pt idx="1368">
                  <c:v>3.9236799014963353E-2</c:v>
                </c:pt>
                <c:pt idx="1369">
                  <c:v>3.9229887741805136E-2</c:v>
                </c:pt>
                <c:pt idx="1370">
                  <c:v>3.922296581179463E-2</c:v>
                </c:pt>
                <c:pt idx="1371">
                  <c:v>3.9216033224986901E-2</c:v>
                </c:pt>
                <c:pt idx="1372">
                  <c:v>3.920412399725226E-2</c:v>
                </c:pt>
                <c:pt idx="1373">
                  <c:v>3.9201141796948669E-2</c:v>
                </c:pt>
                <c:pt idx="1374">
                  <c:v>3.9194175717708113E-2</c:v>
                </c:pt>
                <c:pt idx="1375">
                  <c:v>3.9187198981895932E-2</c:v>
                </c:pt>
                <c:pt idx="1376">
                  <c:v>3.9180211589571634E-2</c:v>
                </c:pt>
                <c:pt idx="1377">
                  <c:v>3.91715910182567E-2</c:v>
                </c:pt>
                <c:pt idx="1378">
                  <c:v>3.9164583832993205E-2</c:v>
                </c:pt>
                <c:pt idx="1379">
                  <c:v>3.9157565992396025E-2</c:v>
                </c:pt>
                <c:pt idx="1380">
                  <c:v>3.9150537496521726E-2</c:v>
                </c:pt>
                <c:pt idx="1381">
                  <c:v>3.9151580242619402E-2</c:v>
                </c:pt>
                <c:pt idx="1382">
                  <c:v>3.9144522814189654E-2</c:v>
                </c:pt>
                <c:pt idx="1383">
                  <c:v>3.9137454725587592E-2</c:v>
                </c:pt>
                <c:pt idx="1384">
                  <c:v>3.9130375976871891E-2</c:v>
                </c:pt>
                <c:pt idx="1385">
                  <c:v>3.9118455829903559E-2</c:v>
                </c:pt>
                <c:pt idx="1386">
                  <c:v>3.9111360347245869E-2</c:v>
                </c:pt>
                <c:pt idx="1387">
                  <c:v>3.9100188771785109E-2</c:v>
                </c:pt>
                <c:pt idx="1388">
                  <c:v>3.90971374112591E-2</c:v>
                </c:pt>
                <c:pt idx="1389">
                  <c:v>3.9090009958042467E-2</c:v>
                </c:pt>
                <c:pt idx="1390">
                  <c:v>3.9087679625465138E-2</c:v>
                </c:pt>
                <c:pt idx="1391">
                  <c:v>3.9080526257596025E-2</c:v>
                </c:pt>
                <c:pt idx="1392">
                  <c:v>3.9073362230082676E-2</c:v>
                </c:pt>
                <c:pt idx="1393">
                  <c:v>3.9067785468300038E-2</c:v>
                </c:pt>
                <c:pt idx="1394">
                  <c:v>3.9060598584463355E-2</c:v>
                </c:pt>
                <c:pt idx="1395">
                  <c:v>3.9051806190279328E-2</c:v>
                </c:pt>
                <c:pt idx="1396">
                  <c:v>3.9044599524786873E-2</c:v>
                </c:pt>
                <c:pt idx="1397">
                  <c:v>3.9037382199949532E-2</c:v>
                </c:pt>
                <c:pt idx="1398">
                  <c:v>3.9030154215825966E-2</c:v>
                </c:pt>
                <c:pt idx="1399">
                  <c:v>3.9024504259446521E-2</c:v>
                </c:pt>
                <c:pt idx="1400">
                  <c:v>3.9015666269959129E-2</c:v>
                </c:pt>
                <c:pt idx="1401">
                  <c:v>3.9008406308335769E-2</c:v>
                </c:pt>
                <c:pt idx="1402">
                  <c:v>3.9001135687667693E-2</c:v>
                </c:pt>
                <c:pt idx="1403">
                  <c:v>3.8993854408010183E-2</c:v>
                </c:pt>
                <c:pt idx="1404">
                  <c:v>3.8986562469428714E-2</c:v>
                </c:pt>
                <c:pt idx="1405">
                  <c:v>3.8979259871981121E-2</c:v>
                </c:pt>
                <c:pt idx="1406">
                  <c:v>3.8971946615728621E-2</c:v>
                </c:pt>
                <c:pt idx="1407">
                  <c:v>3.8959893553501934E-2</c:v>
                </c:pt>
                <c:pt idx="1408">
                  <c:v>3.8952563632103296E-2</c:v>
                </c:pt>
                <c:pt idx="1409">
                  <c:v>3.8945223055064773E-2</c:v>
                </c:pt>
                <c:pt idx="1410">
                  <c:v>3.8937871822447852E-2</c:v>
                </c:pt>
                <c:pt idx="1411">
                  <c:v>3.893050993430875E-2</c:v>
                </c:pt>
                <c:pt idx="1412">
                  <c:v>3.8927843246690103E-2</c:v>
                </c:pt>
                <c:pt idx="1413">
                  <c:v>3.8922022371436653E-2</c:v>
                </c:pt>
                <c:pt idx="1414">
                  <c:v>3.8913056855987616E-2</c:v>
                </c:pt>
                <c:pt idx="1415">
                  <c:v>3.8905647673219024E-2</c:v>
                </c:pt>
                <c:pt idx="1416">
                  <c:v>3.8898227832255258E-2</c:v>
                </c:pt>
                <c:pt idx="1417">
                  <c:v>3.8884489285123433E-2</c:v>
                </c:pt>
                <c:pt idx="1418">
                  <c:v>3.8884915371133033E-2</c:v>
                </c:pt>
                <c:pt idx="1419">
                  <c:v>3.8875904360797513E-2</c:v>
                </c:pt>
                <c:pt idx="1420">
                  <c:v>3.8862217232224161E-2</c:v>
                </c:pt>
                <c:pt idx="1421">
                  <c:v>3.8854750355327816E-2</c:v>
                </c:pt>
                <c:pt idx="1422">
                  <c:v>3.8847272824551027E-2</c:v>
                </c:pt>
                <c:pt idx="1423">
                  <c:v>3.8839784639951525E-2</c:v>
                </c:pt>
                <c:pt idx="1424">
                  <c:v>3.8833835763083108E-2</c:v>
                </c:pt>
                <c:pt idx="1425">
                  <c:v>3.8824776309525966E-2</c:v>
                </c:pt>
                <c:pt idx="1426">
                  <c:v>3.8817256163818925E-2</c:v>
                </c:pt>
                <c:pt idx="1427">
                  <c:v>3.8809725364528092E-2</c:v>
                </c:pt>
                <c:pt idx="1428">
                  <c:v>3.8802183911712085E-2</c:v>
                </c:pt>
                <c:pt idx="1429">
                  <c:v>3.8793089649891241E-2</c:v>
                </c:pt>
                <c:pt idx="1430">
                  <c:v>3.878552846202396E-2</c:v>
                </c:pt>
                <c:pt idx="1431">
                  <c:v>3.8777956621793189E-2</c:v>
                </c:pt>
                <c:pt idx="1432">
                  <c:v>3.8770374129255519E-2</c:v>
                </c:pt>
                <c:pt idx="1433">
                  <c:v>3.8770459891620937E-2</c:v>
                </c:pt>
                <c:pt idx="1434">
                  <c:v>3.8762848213701483E-2</c:v>
                </c:pt>
                <c:pt idx="1435">
                  <c:v>3.8755225878768888E-2</c:v>
                </c:pt>
                <c:pt idx="1436">
                  <c:v>3.8747592886881822E-2</c:v>
                </c:pt>
                <c:pt idx="1437">
                  <c:v>3.8735360949881732E-2</c:v>
                </c:pt>
                <c:pt idx="1438">
                  <c:v>3.8723335469446112E-2</c:v>
                </c:pt>
                <c:pt idx="1439">
                  <c:v>3.8720051420516176E-2</c:v>
                </c:pt>
                <c:pt idx="1440">
                  <c:v>3.8712382324382642E-2</c:v>
                </c:pt>
                <c:pt idx="1441">
                  <c:v>3.8709277978309149E-2</c:v>
                </c:pt>
                <c:pt idx="1442">
                  <c:v>3.870159248408004E-2</c:v>
                </c:pt>
                <c:pt idx="1443">
                  <c:v>3.8693902862151894E-2</c:v>
                </c:pt>
                <c:pt idx="1444">
                  <c:v>3.8686210586808392E-2</c:v>
                </c:pt>
                <c:pt idx="1445">
                  <c:v>3.8680038617498379E-2</c:v>
                </c:pt>
                <c:pt idx="1446">
                  <c:v>3.8672345053334528E-2</c:v>
                </c:pt>
                <c:pt idx="1447">
                  <c:v>3.8663132582898802E-2</c:v>
                </c:pt>
                <c:pt idx="1448">
                  <c:v>3.8655444436450824E-2</c:v>
                </c:pt>
                <c:pt idx="1449">
                  <c:v>3.8647761007809416E-2</c:v>
                </c:pt>
                <c:pt idx="1450">
                  <c:v>3.8635524065215497E-2</c:v>
                </c:pt>
                <c:pt idx="1451">
                  <c:v>3.8633934119270789E-2</c:v>
                </c:pt>
                <c:pt idx="1452">
                  <c:v>3.8624753525058106E-2</c:v>
                </c:pt>
                <c:pt idx="1453">
                  <c:v>3.8617101989688547E-2</c:v>
                </c:pt>
                <c:pt idx="1454">
                  <c:v>3.8609459594610915E-2</c:v>
                </c:pt>
                <c:pt idx="1455">
                  <c:v>3.8601826339772494E-2</c:v>
                </c:pt>
                <c:pt idx="1456">
                  <c:v>3.8594202225117995E-2</c:v>
                </c:pt>
                <c:pt idx="1457">
                  <c:v>3.858658725059385E-2</c:v>
                </c:pt>
                <c:pt idx="1458">
                  <c:v>3.8578981416147344E-2</c:v>
                </c:pt>
                <c:pt idx="1459">
                  <c:v>3.8566829390236784E-2</c:v>
                </c:pt>
                <c:pt idx="1460">
                  <c:v>3.8559242303986094E-2</c:v>
                </c:pt>
                <c:pt idx="1461">
                  <c:v>3.8551664354265179E-2</c:v>
                </c:pt>
                <c:pt idx="1462">
                  <c:v>3.8544095541023095E-2</c:v>
                </c:pt>
                <c:pt idx="1463">
                  <c:v>3.8536535864205371E-2</c:v>
                </c:pt>
                <c:pt idx="1464">
                  <c:v>3.8533538348059254E-2</c:v>
                </c:pt>
                <c:pt idx="1465">
                  <c:v>3.8527514204509068E-2</c:v>
                </c:pt>
                <c:pt idx="1466">
                  <c:v>3.8518463776873887E-2</c:v>
                </c:pt>
                <c:pt idx="1467">
                  <c:v>3.8510940200699055E-2</c:v>
                </c:pt>
                <c:pt idx="1468">
                  <c:v>3.8503425764066117E-2</c:v>
                </c:pt>
                <c:pt idx="1469">
                  <c:v>3.8489672871391462E-2</c:v>
                </c:pt>
                <c:pt idx="1470">
                  <c:v>3.8489941286543101E-2</c:v>
                </c:pt>
                <c:pt idx="1471">
                  <c:v>3.8480937290877794E-2</c:v>
                </c:pt>
                <c:pt idx="1472">
                  <c:v>3.8467393589247223E-2</c:v>
                </c:pt>
                <c:pt idx="1473">
                  <c:v>3.8459925415447849E-2</c:v>
                </c:pt>
                <c:pt idx="1474">
                  <c:v>3.8452466376386774E-2</c:v>
                </c:pt>
                <c:pt idx="1475">
                  <c:v>3.8445016472013371E-2</c:v>
                </c:pt>
                <c:pt idx="1476">
                  <c:v>3.8439091456870994E-2</c:v>
                </c:pt>
                <c:pt idx="1477">
                  <c:v>3.8430144067128857E-2</c:v>
                </c:pt>
                <c:pt idx="1478">
                  <c:v>3.8422721566516493E-2</c:v>
                </c:pt>
                <c:pt idx="1479">
                  <c:v>3.8415308200391962E-2</c:v>
                </c:pt>
                <c:pt idx="1480">
                  <c:v>3.8407903968701973E-2</c:v>
                </c:pt>
                <c:pt idx="1481">
                  <c:v>3.8398993886128316E-2</c:v>
                </c:pt>
                <c:pt idx="1482">
                  <c:v>3.8391608054765179E-2</c:v>
                </c:pt>
                <c:pt idx="1483">
                  <c:v>3.838423135657177E-2</c:v>
                </c:pt>
                <c:pt idx="1484">
                  <c:v>3.8376863791497795E-2</c:v>
                </c:pt>
                <c:pt idx="1485">
                  <c:v>3.8377078639744912E-2</c:v>
                </c:pt>
                <c:pt idx="1486">
                  <c:v>3.8369728705811942E-2</c:v>
                </c:pt>
                <c:pt idx="1487">
                  <c:v>3.8362387910419966E-2</c:v>
                </c:pt>
                <c:pt idx="1488">
                  <c:v>3.8347842136405373E-2</c:v>
                </c:pt>
                <c:pt idx="1489">
                  <c:v>3.8343190984058827E-2</c:v>
                </c:pt>
                <c:pt idx="1490">
                  <c:v>3.8335877971364077E-2</c:v>
                </c:pt>
                <c:pt idx="1491">
                  <c:v>3.8328574093669771E-2</c:v>
                </c:pt>
                <c:pt idx="1492">
                  <c:v>3.8321279350924095E-2</c:v>
                </c:pt>
                <c:pt idx="1493">
                  <c:v>3.8313993743076966E-2</c:v>
                </c:pt>
                <c:pt idx="1494">
                  <c:v>3.8311258217466414E-2</c:v>
                </c:pt>
                <c:pt idx="1495">
                  <c:v>3.8303990528537446E-2</c:v>
                </c:pt>
                <c:pt idx="1496">
                  <c:v>3.8296731977682602E-2</c:v>
                </c:pt>
                <c:pt idx="1497">
                  <c:v>3.8290996059001485E-2</c:v>
                </c:pt>
                <c:pt idx="1498">
                  <c:v>3.8283755670714244E-2</c:v>
                </c:pt>
                <c:pt idx="1499">
                  <c:v>3.827501115306197E-2</c:v>
                </c:pt>
                <c:pt idx="1500">
                  <c:v>3.8267789153996812E-2</c:v>
                </c:pt>
                <c:pt idx="1501">
                  <c:v>3.8260576292752368E-2</c:v>
                </c:pt>
                <c:pt idx="1502">
                  <c:v>3.8248834334681459E-2</c:v>
                </c:pt>
                <c:pt idx="1503">
                  <c:v>3.8247690813676627E-2</c:v>
                </c:pt>
                <c:pt idx="1504">
                  <c:v>3.8238992535422019E-2</c:v>
                </c:pt>
                <c:pt idx="1505">
                  <c:v>3.8231816224943392E-2</c:v>
                </c:pt>
                <c:pt idx="1506">
                  <c:v>3.8224649052028659E-2</c:v>
                </c:pt>
                <c:pt idx="1507">
                  <c:v>3.8217491016630203E-2</c:v>
                </c:pt>
                <c:pt idx="1508">
                  <c:v>3.8211854425912822E-2</c:v>
                </c:pt>
                <c:pt idx="1509">
                  <c:v>3.8203202358168667E-2</c:v>
                </c:pt>
                <c:pt idx="1510">
                  <c:v>3.8196071735006949E-2</c:v>
                </c:pt>
                <c:pt idx="1511">
                  <c:v>3.8184414812904743E-2</c:v>
                </c:pt>
                <c:pt idx="1512">
                  <c:v>3.817730275871873E-2</c:v>
                </c:pt>
                <c:pt idx="1513">
                  <c:v>3.8170199838445676E-2</c:v>
                </c:pt>
                <c:pt idx="1514">
                  <c:v>3.8163106052033768E-2</c:v>
                </c:pt>
                <c:pt idx="1515">
                  <c:v>3.8160555677861488E-2</c:v>
                </c:pt>
                <c:pt idx="1516">
                  <c:v>3.8153479877814332E-2</c:v>
                </c:pt>
                <c:pt idx="1517">
                  <c:v>3.8146413214775764E-2</c:v>
                </c:pt>
                <c:pt idx="1518">
                  <c:v>3.8140867032605247E-2</c:v>
                </c:pt>
                <c:pt idx="1519">
                  <c:v>3.8132307299529683E-2</c:v>
                </c:pt>
                <c:pt idx="1520">
                  <c:v>3.8125268047222681E-2</c:v>
                </c:pt>
                <c:pt idx="1521">
                  <c:v>3.8118237931723573E-2</c:v>
                </c:pt>
                <c:pt idx="1522">
                  <c:v>3.811272794230023E-2</c:v>
                </c:pt>
                <c:pt idx="1523">
                  <c:v>3.8104205110959452E-2</c:v>
                </c:pt>
                <c:pt idx="1524">
                  <c:v>3.8092670539747776E-2</c:v>
                </c:pt>
                <c:pt idx="1525">
                  <c:v>3.8085677222639079E-2</c:v>
                </c:pt>
                <c:pt idx="1526">
                  <c:v>3.8078693038813519E-2</c:v>
                </c:pt>
                <c:pt idx="1527">
                  <c:v>3.8071717988225416E-2</c:v>
                </c:pt>
                <c:pt idx="1528">
                  <c:v>3.8061769473516242E-2</c:v>
                </c:pt>
                <c:pt idx="1529">
                  <c:v>3.8054816603443148E-2</c:v>
                </c:pt>
                <c:pt idx="1530">
                  <c:v>3.8049382869398504E-2</c:v>
                </c:pt>
                <c:pt idx="1531">
                  <c:v>3.8039948350310729E-2</c:v>
                </c:pt>
                <c:pt idx="1532">
                  <c:v>3.8034012791475086E-2</c:v>
                </c:pt>
                <c:pt idx="1533">
                  <c:v>3.8028606228791423E-2</c:v>
                </c:pt>
                <c:pt idx="1534">
                  <c:v>3.8020189248224347E-2</c:v>
                </c:pt>
                <c:pt idx="1535">
                  <c:v>3.8010796962867133E-2</c:v>
                </c:pt>
                <c:pt idx="1536">
                  <c:v>3.800791179392133E-2</c:v>
                </c:pt>
                <c:pt idx="1537">
                  <c:v>3.8001031916682991E-2</c:v>
                </c:pt>
                <c:pt idx="1538">
                  <c:v>3.7994161173223601E-2</c:v>
                </c:pt>
                <c:pt idx="1539">
                  <c:v>3.7987299563497105E-2</c:v>
                </c:pt>
                <c:pt idx="1540">
                  <c:v>3.7980447087453989E-2</c:v>
                </c:pt>
                <c:pt idx="1541">
                  <c:v>3.7972094528676767E-2</c:v>
                </c:pt>
                <c:pt idx="1542">
                  <c:v>3.7965260384853608E-2</c:v>
                </c:pt>
                <c:pt idx="1543">
                  <c:v>3.7956487047625033E-2</c:v>
                </c:pt>
                <c:pt idx="1544">
                  <c:v>3.7951619494536522E-2</c:v>
                </c:pt>
                <c:pt idx="1545">
                  <c:v>3.7944812747948614E-2</c:v>
                </c:pt>
                <c:pt idx="1546">
                  <c:v>3.7938553685082491E-2</c:v>
                </c:pt>
                <c:pt idx="1547">
                  <c:v>3.7932735494343728E-2</c:v>
                </c:pt>
                <c:pt idx="1548">
                  <c:v>3.7925956086073319E-2</c:v>
                </c:pt>
                <c:pt idx="1549">
                  <c:v>3.7918219374487153E-2</c:v>
                </c:pt>
                <c:pt idx="1550">
                  <c:v>3.7912424669262798E-2</c:v>
                </c:pt>
                <c:pt idx="1551">
                  <c:v>3.7905672660630593E-2</c:v>
                </c:pt>
                <c:pt idx="1552">
                  <c:v>3.789892978511613E-2</c:v>
                </c:pt>
                <c:pt idx="1553">
                  <c:v>3.7892196042675089E-2</c:v>
                </c:pt>
                <c:pt idx="1554">
                  <c:v>3.7885471433257954E-2</c:v>
                </c:pt>
                <c:pt idx="1555">
                  <c:v>3.7878755956820415E-2</c:v>
                </c:pt>
                <c:pt idx="1556">
                  <c:v>3.7872049613315535E-2</c:v>
                </c:pt>
                <c:pt idx="1557">
                  <c:v>3.7865352402696416E-2</c:v>
                </c:pt>
                <c:pt idx="1558">
                  <c:v>3.7858664324916129E-2</c:v>
                </c:pt>
                <c:pt idx="1559">
                  <c:v>3.7851985379930363E-2</c:v>
                </c:pt>
                <c:pt idx="1560">
                  <c:v>3.7846823835189475E-2</c:v>
                </c:pt>
                <c:pt idx="1561">
                  <c:v>3.7838654888151239E-2</c:v>
                </c:pt>
                <c:pt idx="1562">
                  <c:v>3.7831053865804917E-2</c:v>
                </c:pt>
                <c:pt idx="1563">
                  <c:v>3.7822904726103397E-2</c:v>
                </c:pt>
                <c:pt idx="1564">
                  <c:v>3.7817219650509812E-2</c:v>
                </c:pt>
                <c:pt idx="1565">
                  <c:v>3.7810595541513101E-2</c:v>
                </c:pt>
                <c:pt idx="1566">
                  <c:v>3.7803980563915332E-2</c:v>
                </c:pt>
                <c:pt idx="1567">
                  <c:v>3.7797374717669932E-2</c:v>
                </c:pt>
                <c:pt idx="1568">
                  <c:v>3.7792285843128465E-2</c:v>
                </c:pt>
                <c:pt idx="1569">
                  <c:v>3.7784757880521269E-2</c:v>
                </c:pt>
                <c:pt idx="1570">
                  <c:v>3.7779119736237647E-2</c:v>
                </c:pt>
                <c:pt idx="1571">
                  <c:v>3.7772550381176842E-2</c:v>
                </c:pt>
                <c:pt idx="1572">
                  <c:v>3.7765990158312772E-2</c:v>
                </c:pt>
                <c:pt idx="1573">
                  <c:v>3.7759439067601132E-2</c:v>
                </c:pt>
                <c:pt idx="1574">
                  <c:v>3.7752897108993259E-2</c:v>
                </c:pt>
                <c:pt idx="1575">
                  <c:v>3.7746364282447445E-2</c:v>
                </c:pt>
                <c:pt idx="1576">
                  <c:v>3.7738333004919446E-2</c:v>
                </c:pt>
                <c:pt idx="1577">
                  <c:v>3.773181846972859E-2</c:v>
                </c:pt>
                <c:pt idx="1578">
                  <c:v>3.7725313065396442E-2</c:v>
                </c:pt>
                <c:pt idx="1579">
                  <c:v>3.7718816791878204E-2</c:v>
                </c:pt>
                <c:pt idx="1580">
                  <c:v>3.7708970486484361E-2</c:v>
                </c:pt>
                <c:pt idx="1581">
                  <c:v>3.7702495106119116E-2</c:v>
                </c:pt>
                <c:pt idx="1582">
                  <c:v>3.7696028855359387E-2</c:v>
                </c:pt>
                <c:pt idx="1583">
                  <c:v>3.7689571734158989E-2</c:v>
                </c:pt>
                <c:pt idx="1584">
                  <c:v>3.7683123742476177E-2</c:v>
                </c:pt>
                <c:pt idx="1585">
                  <c:v>3.7676684880265654E-2</c:v>
                </c:pt>
                <c:pt idx="1586">
                  <c:v>3.7668748001807521E-2</c:v>
                </c:pt>
                <c:pt idx="1587">
                  <c:v>3.7662327415008218E-2</c:v>
                </c:pt>
                <c:pt idx="1588">
                  <c:v>3.7657423070037943E-2</c:v>
                </c:pt>
                <c:pt idx="1589">
                  <c:v>3.7654035234107625E-2</c:v>
                </c:pt>
                <c:pt idx="1590">
                  <c:v>3.7647641992029274E-2</c:v>
                </c:pt>
                <c:pt idx="1591">
                  <c:v>3.7641257881281399E-2</c:v>
                </c:pt>
                <c:pt idx="1592">
                  <c:v>3.7634882901821425E-2</c:v>
                </c:pt>
                <c:pt idx="1593">
                  <c:v>3.7627009794048316E-2</c:v>
                </c:pt>
                <c:pt idx="1594">
                  <c:v>3.7619745730213476E-2</c:v>
                </c:pt>
                <c:pt idx="1595">
                  <c:v>3.7613399456601353E-2</c:v>
                </c:pt>
                <c:pt idx="1596">
                  <c:v>3.7607062313035407E-2</c:v>
                </c:pt>
                <c:pt idx="1597">
                  <c:v>3.7602241528566678E-2</c:v>
                </c:pt>
                <c:pt idx="1598">
                  <c:v>3.7595922640329675E-2</c:v>
                </c:pt>
                <c:pt idx="1599">
                  <c:v>3.7589612883065171E-2</c:v>
                </c:pt>
                <c:pt idx="1600">
                  <c:v>3.7583312256728854E-2</c:v>
                </c:pt>
                <c:pt idx="1601">
                  <c:v>3.7577020761279022E-2</c:v>
                </c:pt>
                <c:pt idx="1602">
                  <c:v>3.7570738396669613E-2</c:v>
                </c:pt>
                <c:pt idx="1603">
                  <c:v>3.756446516285894E-2</c:v>
                </c:pt>
                <c:pt idx="1604">
                  <c:v>3.7558201059804411E-2</c:v>
                </c:pt>
                <c:pt idx="1605">
                  <c:v>3.7551946087459119E-2</c:v>
                </c:pt>
                <c:pt idx="1606">
                  <c:v>3.754570024578309E-2</c:v>
                </c:pt>
                <c:pt idx="1607">
                  <c:v>3.7539463534730276E-2</c:v>
                </c:pt>
                <c:pt idx="1608">
                  <c:v>3.7533235954260703E-2</c:v>
                </c:pt>
                <c:pt idx="1609">
                  <c:v>3.7527017504328332E-2</c:v>
                </c:pt>
                <c:pt idx="1610">
                  <c:v>3.7520808184891445E-2</c:v>
                </c:pt>
                <c:pt idx="1611">
                  <c:v>3.751460799590748E-2</c:v>
                </c:pt>
                <c:pt idx="1612">
                  <c:v>3.7508416937331243E-2</c:v>
                </c:pt>
                <c:pt idx="1613">
                  <c:v>3.7502235009122774E-2</c:v>
                </c:pt>
                <c:pt idx="1614">
                  <c:v>3.749606221123776E-2</c:v>
                </c:pt>
                <c:pt idx="1615">
                  <c:v>3.7488391236869596E-2</c:v>
                </c:pt>
                <c:pt idx="1616">
                  <c:v>3.7482236685210078E-2</c:v>
                </c:pt>
                <c:pt idx="1617">
                  <c:v>3.7476091262699865E-2</c:v>
                </c:pt>
                <c:pt idx="1618">
                  <c:v>3.7469954969295914E-2</c:v>
                </c:pt>
                <c:pt idx="1619">
                  <c:v>3.7469857922413655E-2</c:v>
                </c:pt>
                <c:pt idx="1620">
                  <c:v>3.7459217158328208E-2</c:v>
                </c:pt>
                <c:pt idx="1621">
                  <c:v>3.745310827151354E-2</c:v>
                </c:pt>
                <c:pt idx="1622">
                  <c:v>3.7447008514682606E-2</c:v>
                </c:pt>
                <c:pt idx="1623">
                  <c:v>3.7440917887791948E-2</c:v>
                </c:pt>
                <c:pt idx="1624">
                  <c:v>3.7434836390800731E-2</c:v>
                </c:pt>
                <c:pt idx="1625">
                  <c:v>3.7428764023664657E-2</c:v>
                </c:pt>
                <c:pt idx="1626">
                  <c:v>3.7422700786344611E-2</c:v>
                </c:pt>
                <c:pt idx="1627">
                  <c:v>3.7414275000525757E-2</c:v>
                </c:pt>
                <c:pt idx="1628">
                  <c:v>3.7407586659593761E-2</c:v>
                </c:pt>
                <c:pt idx="1629">
                  <c:v>3.7401550755810753E-2</c:v>
                </c:pt>
                <c:pt idx="1630">
                  <c:v>3.7395523979592227E-2</c:v>
                </c:pt>
                <c:pt idx="1631">
                  <c:v>3.7389506330899103E-2</c:v>
                </c:pt>
                <c:pt idx="1632">
                  <c:v>3.7383497809686972E-2</c:v>
                </c:pt>
                <c:pt idx="1633">
                  <c:v>3.7377498415917643E-2</c:v>
                </c:pt>
                <c:pt idx="1634">
                  <c:v>3.7371508149550259E-2</c:v>
                </c:pt>
                <c:pt idx="1635">
                  <c:v>3.7365527010543076E-2</c:v>
                </c:pt>
                <c:pt idx="1636">
                  <c:v>3.7359554998857014E-2</c:v>
                </c:pt>
                <c:pt idx="1637">
                  <c:v>3.7352084467242121E-2</c:v>
                </c:pt>
                <c:pt idx="1638">
                  <c:v>3.734613067302224E-2</c:v>
                </c:pt>
                <c:pt idx="1639">
                  <c:v>3.7340186004963756E-2</c:v>
                </c:pt>
                <c:pt idx="1640">
                  <c:v>3.7334250463028046E-2</c:v>
                </c:pt>
                <c:pt idx="1641">
                  <c:v>3.7332847775856055E-2</c:v>
                </c:pt>
                <c:pt idx="1642">
                  <c:v>3.7326930609897106E-2</c:v>
                </c:pt>
                <c:pt idx="1643">
                  <c:v>3.7321022573046057E-2</c:v>
                </c:pt>
                <c:pt idx="1644">
                  <c:v>3.7315123665264682E-2</c:v>
                </c:pt>
                <c:pt idx="1645">
                  <c:v>3.7307725697340491E-2</c:v>
                </c:pt>
                <c:pt idx="1646">
                  <c:v>3.7301845002064696E-2</c:v>
                </c:pt>
                <c:pt idx="1647">
                  <c:v>3.7295973434699634E-2</c:v>
                </c:pt>
                <c:pt idx="1648">
                  <c:v>3.7290110995208417E-2</c:v>
                </c:pt>
                <c:pt idx="1649">
                  <c:v>3.7284257683547116E-2</c:v>
                </c:pt>
                <c:pt idx="1650">
                  <c:v>3.7279921926716239E-2</c:v>
                </c:pt>
                <c:pt idx="1651">
                  <c:v>3.7274086921269593E-2</c:v>
                </c:pt>
                <c:pt idx="1652">
                  <c:v>3.7268261044565064E-2</c:v>
                </c:pt>
                <c:pt idx="1653">
                  <c:v>3.7262444296563536E-2</c:v>
                </c:pt>
                <c:pt idx="1654">
                  <c:v>3.7256636677223315E-2</c:v>
                </c:pt>
                <c:pt idx="1655">
                  <c:v>3.7250838186506173E-2</c:v>
                </c:pt>
                <c:pt idx="1656">
                  <c:v>3.7245048824370394E-2</c:v>
                </c:pt>
                <c:pt idx="1657">
                  <c:v>3.7239268590777759E-2</c:v>
                </c:pt>
                <c:pt idx="1658">
                  <c:v>3.7233497485683081E-2</c:v>
                </c:pt>
                <c:pt idx="1659">
                  <c:v>3.7227735509053339E-2</c:v>
                </c:pt>
                <c:pt idx="1660">
                  <c:v>3.7221982660845102E-2</c:v>
                </c:pt>
                <c:pt idx="1661">
                  <c:v>3.7216238941016652E-2</c:v>
                </c:pt>
                <c:pt idx="1662">
                  <c:v>3.7210504349531499E-2</c:v>
                </c:pt>
                <c:pt idx="1663">
                  <c:v>3.720477888634794E-2</c:v>
                </c:pt>
                <c:pt idx="1664">
                  <c:v>3.7199062551428609E-2</c:v>
                </c:pt>
                <c:pt idx="1665">
                  <c:v>3.7193355344730943E-2</c:v>
                </c:pt>
                <c:pt idx="1666">
                  <c:v>3.7187657266217568E-2</c:v>
                </c:pt>
                <c:pt idx="1667">
                  <c:v>3.7180458887441967E-2</c:v>
                </c:pt>
                <c:pt idx="1668">
                  <c:v>3.7174778997032538E-2</c:v>
                </c:pt>
                <c:pt idx="1669">
                  <c:v>3.7169108233664205E-2</c:v>
                </c:pt>
                <c:pt idx="1670">
                  <c:v>3.7163446597298325E-2</c:v>
                </c:pt>
                <c:pt idx="1671">
                  <c:v>3.715779408789624E-2</c:v>
                </c:pt>
                <c:pt idx="1672">
                  <c:v>3.7153660484780603E-2</c:v>
                </c:pt>
                <c:pt idx="1673">
                  <c:v>3.714802630245035E-2</c:v>
                </c:pt>
                <c:pt idx="1674">
                  <c:v>3.7142401247987261E-2</c:v>
                </c:pt>
                <c:pt idx="1675">
                  <c:v>3.7136785321357446E-2</c:v>
                </c:pt>
                <c:pt idx="1676">
                  <c:v>3.7131178522517454E-2</c:v>
                </c:pt>
                <c:pt idx="1677">
                  <c:v>3.7127802596451299E-2</c:v>
                </c:pt>
                <c:pt idx="1678">
                  <c:v>3.7119992308056647E-2</c:v>
                </c:pt>
                <c:pt idx="1679">
                  <c:v>3.7116637561890577E-2</c:v>
                </c:pt>
                <c:pt idx="1680">
                  <c:v>3.710582192752554E-2</c:v>
                </c:pt>
                <c:pt idx="1681">
                  <c:v>3.7100260604304047E-2</c:v>
                </c:pt>
                <c:pt idx="1682">
                  <c:v>3.7094708406605115E-2</c:v>
                </c:pt>
                <c:pt idx="1683">
                  <c:v>3.708916533439055E-2</c:v>
                </c:pt>
                <c:pt idx="1684">
                  <c:v>3.7079684155490789E-2</c:v>
                </c:pt>
                <c:pt idx="1685">
                  <c:v>3.7077318051001562E-2</c:v>
                </c:pt>
                <c:pt idx="1686">
                  <c:v>3.7071803658637492E-2</c:v>
                </c:pt>
                <c:pt idx="1687">
                  <c:v>3.7066298391604136E-2</c:v>
                </c:pt>
                <c:pt idx="1688">
                  <c:v>3.7060802249863301E-2</c:v>
                </c:pt>
                <c:pt idx="1689">
                  <c:v>3.7053804281184897E-2</c:v>
                </c:pt>
                <c:pt idx="1690">
                  <c:v>3.7048326299372915E-2</c:v>
                </c:pt>
                <c:pt idx="1691">
                  <c:v>3.7042857441726619E-2</c:v>
                </c:pt>
                <c:pt idx="1692">
                  <c:v>3.7037397708210094E-2</c:v>
                </c:pt>
                <c:pt idx="1693">
                  <c:v>3.7039504825406709E-2</c:v>
                </c:pt>
                <c:pt idx="1694">
                  <c:v>3.7034063813918543E-2</c:v>
                </c:pt>
                <c:pt idx="1695">
                  <c:v>3.7028631931514247E-2</c:v>
                </c:pt>
                <c:pt idx="1696">
                  <c:v>3.7023209178157254E-2</c:v>
                </c:pt>
                <c:pt idx="1697">
                  <c:v>3.70132594239201E-2</c:v>
                </c:pt>
                <c:pt idx="1698">
                  <c:v>3.7004770262837001E-2</c:v>
                </c:pt>
                <c:pt idx="1699">
                  <c:v>3.7002458909592813E-2</c:v>
                </c:pt>
                <c:pt idx="1700">
                  <c:v>3.6997072056160041E-2</c:v>
                </c:pt>
                <c:pt idx="1701">
                  <c:v>3.6991693846315093E-2</c:v>
                </c:pt>
                <c:pt idx="1702">
                  <c:v>3.6990860895946075E-2</c:v>
                </c:pt>
                <c:pt idx="1703">
                  <c:v>3.6985499233286687E-2</c:v>
                </c:pt>
                <c:pt idx="1704">
                  <c:v>3.6980145485209483E-2</c:v>
                </c:pt>
                <c:pt idx="1705">
                  <c:v>3.6976311788260122E-2</c:v>
                </c:pt>
                <c:pt idx="1706">
                  <c:v>3.6970973145879743E-2</c:v>
                </c:pt>
                <c:pt idx="1707">
                  <c:v>3.6964129548881682E-2</c:v>
                </c:pt>
                <c:pt idx="1708">
                  <c:v>3.6958805279547327E-2</c:v>
                </c:pt>
                <c:pt idx="1709">
                  <c:v>3.6953487835009874E-2</c:v>
                </c:pt>
                <c:pt idx="1710">
                  <c:v>3.6948176997313453E-2</c:v>
                </c:pt>
                <c:pt idx="1711">
                  <c:v>3.6944384376132976E-2</c:v>
                </c:pt>
                <c:pt idx="1712">
                  <c:v>3.693757432485345E-2</c:v>
                </c:pt>
                <c:pt idx="1713">
                  <c:v>3.693228230314069E-2</c:v>
                </c:pt>
                <c:pt idx="1714">
                  <c:v>3.6926996483447251E-2</c:v>
                </c:pt>
                <c:pt idx="1715">
                  <c:v>3.6921716865745934E-2</c:v>
                </c:pt>
                <c:pt idx="1716">
                  <c:v>3.6916443450013756E-2</c:v>
                </c:pt>
                <c:pt idx="1717">
                  <c:v>3.6911176236225224E-2</c:v>
                </c:pt>
                <c:pt idx="1718">
                  <c:v>3.690591522435397E-2</c:v>
                </c:pt>
                <c:pt idx="1719">
                  <c:v>3.6896127789892014E-2</c:v>
                </c:pt>
                <c:pt idx="1720">
                  <c:v>3.689087945916112E-2</c:v>
                </c:pt>
                <c:pt idx="1721">
                  <c:v>3.6885637328152289E-2</c:v>
                </c:pt>
                <c:pt idx="1722">
                  <c:v>3.6880401396841789E-2</c:v>
                </c:pt>
                <c:pt idx="1723">
                  <c:v>3.6875171665205909E-2</c:v>
                </c:pt>
                <c:pt idx="1724">
                  <c:v>3.6874479391985279E-2</c:v>
                </c:pt>
                <c:pt idx="1725">
                  <c:v>3.6870772312336028E-2</c:v>
                </c:pt>
                <c:pt idx="1726">
                  <c:v>3.6864050395393859E-2</c:v>
                </c:pt>
                <c:pt idx="1727">
                  <c:v>3.6858845199647945E-2</c:v>
                </c:pt>
                <c:pt idx="1728">
                  <c:v>3.6853646205567588E-2</c:v>
                </c:pt>
                <c:pt idx="1729">
                  <c:v>3.6843209843906821E-2</c:v>
                </c:pt>
                <c:pt idx="1730">
                  <c:v>3.6844776908195175E-2</c:v>
                </c:pt>
                <c:pt idx="1731">
                  <c:v>3.6838086433074152E-2</c:v>
                </c:pt>
                <c:pt idx="1732">
                  <c:v>3.6828383061802798E-2</c:v>
                </c:pt>
                <c:pt idx="1733">
                  <c:v>3.682321532557177E-2</c:v>
                </c:pt>
                <c:pt idx="1734">
                  <c:v>3.6818053788748327E-2</c:v>
                </c:pt>
                <c:pt idx="1735">
                  <c:v>3.6812898451309625E-2</c:v>
                </c:pt>
                <c:pt idx="1736">
                  <c:v>3.680624010417155E-2</c:v>
                </c:pt>
                <c:pt idx="1737">
                  <c:v>3.6802606374486305E-2</c:v>
                </c:pt>
                <c:pt idx="1738">
                  <c:v>3.6797469635056014E-2</c:v>
                </c:pt>
                <c:pt idx="1739">
                  <c:v>3.6792339094911197E-2</c:v>
                </c:pt>
                <c:pt idx="1740">
                  <c:v>3.6787214754030781E-2</c:v>
                </c:pt>
                <c:pt idx="1741">
                  <c:v>3.6780587799227327E-2</c:v>
                </c:pt>
                <c:pt idx="1742">
                  <c:v>3.677547593387942E-2</c:v>
                </c:pt>
                <c:pt idx="1743">
                  <c:v>3.67703702670239E-2</c:v>
                </c:pt>
                <c:pt idx="1744">
                  <c:v>3.6765270798636784E-2</c:v>
                </c:pt>
                <c:pt idx="1745">
                  <c:v>3.676621213702061E-2</c:v>
                </c:pt>
                <c:pt idx="1746">
                  <c:v>3.6761124768685503E-2</c:v>
                </c:pt>
                <c:pt idx="1747">
                  <c:v>3.675604360154739E-2</c:v>
                </c:pt>
                <c:pt idx="1748">
                  <c:v>3.6750968635579924E-2</c:v>
                </c:pt>
                <c:pt idx="1749">
                  <c:v>3.673848111884017E-2</c:v>
                </c:pt>
                <c:pt idx="1750">
                  <c:v>3.673631229952614E-2</c:v>
                </c:pt>
                <c:pt idx="1751">
                  <c:v>3.6731256148983496E-2</c:v>
                </c:pt>
                <c:pt idx="1752">
                  <c:v>3.6726206197420647E-2</c:v>
                </c:pt>
                <c:pt idx="1753">
                  <c:v>3.6721162444813861E-2</c:v>
                </c:pt>
                <c:pt idx="1754">
                  <c:v>3.6720649063023483E-2</c:v>
                </c:pt>
                <c:pt idx="1755">
                  <c:v>3.6715617504577851E-2</c:v>
                </c:pt>
                <c:pt idx="1756">
                  <c:v>3.6710592147110671E-2</c:v>
                </c:pt>
                <c:pt idx="1757">
                  <c:v>3.6707081038175382E-2</c:v>
                </c:pt>
                <c:pt idx="1758">
                  <c:v>3.6702068016882992E-2</c:v>
                </c:pt>
                <c:pt idx="1759">
                  <c:v>3.6695553280330688E-2</c:v>
                </c:pt>
                <c:pt idx="1760">
                  <c:v>3.6690552726530719E-2</c:v>
                </c:pt>
                <c:pt idx="1761">
                  <c:v>3.6685558373589292E-2</c:v>
                </c:pt>
                <c:pt idx="1762">
                  <c:v>3.6676047620521672E-2</c:v>
                </c:pt>
                <c:pt idx="1763">
                  <c:v>3.6677095933960215E-2</c:v>
                </c:pt>
                <c:pt idx="1764">
                  <c:v>3.6670612519664601E-2</c:v>
                </c:pt>
                <c:pt idx="1765">
                  <c:v>3.6665642969910768E-2</c:v>
                </c:pt>
                <c:pt idx="1766">
                  <c:v>3.666067962089388E-2</c:v>
                </c:pt>
                <c:pt idx="1767">
                  <c:v>3.6655722472590122E-2</c:v>
                </c:pt>
                <c:pt idx="1768">
                  <c:v>3.6652278888046355E-2</c:v>
                </c:pt>
                <c:pt idx="1769">
                  <c:v>3.6645826778028467E-2</c:v>
                </c:pt>
                <c:pt idx="1770">
                  <c:v>3.6640888231722103E-2</c:v>
                </c:pt>
                <c:pt idx="1771">
                  <c:v>3.6631434892791609E-2</c:v>
                </c:pt>
                <c:pt idx="1772">
                  <c:v>3.6626508915927392E-2</c:v>
                </c:pt>
                <c:pt idx="1773">
                  <c:v>3.6621589137553694E-2</c:v>
                </c:pt>
                <c:pt idx="1774">
                  <c:v>3.6616675557651177E-2</c:v>
                </c:pt>
                <c:pt idx="1775">
                  <c:v>3.661628850899093E-2</c:v>
                </c:pt>
                <c:pt idx="1776">
                  <c:v>3.6611387166038151E-2</c:v>
                </c:pt>
                <c:pt idx="1777">
                  <c:v>3.6606492023562948E-2</c:v>
                </c:pt>
                <c:pt idx="1778">
                  <c:v>3.6603109895202796E-2</c:v>
                </c:pt>
                <c:pt idx="1779">
                  <c:v>3.659672033994664E-2</c:v>
                </c:pt>
                <c:pt idx="1780">
                  <c:v>3.6591843798759613E-2</c:v>
                </c:pt>
                <c:pt idx="1781">
                  <c:v>3.6586973457954065E-2</c:v>
                </c:pt>
                <c:pt idx="1782">
                  <c:v>3.6583615930782E-2</c:v>
                </c:pt>
                <c:pt idx="1783">
                  <c:v>3.6577251377397292E-2</c:v>
                </c:pt>
                <c:pt idx="1784">
                  <c:v>3.6566374541131985E-2</c:v>
                </c:pt>
                <c:pt idx="1785">
                  <c:v>3.6561529190073827E-2</c:v>
                </c:pt>
                <c:pt idx="1786">
                  <c:v>3.6556690036524842E-2</c:v>
                </c:pt>
                <c:pt idx="1787">
                  <c:v>3.6551857080458383E-2</c:v>
                </c:pt>
                <c:pt idx="1788">
                  <c:v>3.6541952051373935E-2</c:v>
                </c:pt>
                <c:pt idx="1789">
                  <c:v>3.6541651583488356E-2</c:v>
                </c:pt>
                <c:pt idx="1790">
                  <c:v>3.6536839832327327E-2</c:v>
                </c:pt>
                <c:pt idx="1791">
                  <c:v>3.6531348277622729E-2</c:v>
                </c:pt>
                <c:pt idx="1792">
                  <c:v>3.6527234924208361E-2</c:v>
                </c:pt>
                <c:pt idx="1793">
                  <c:v>3.6523947575636602E-2</c:v>
                </c:pt>
                <c:pt idx="1794">
                  <c:v>3.651765480821028E-2</c:v>
                </c:pt>
                <c:pt idx="1795">
                  <c:v>3.6510685962912959E-2</c:v>
                </c:pt>
                <c:pt idx="1796">
                  <c:v>3.6509605172712165E-2</c:v>
                </c:pt>
                <c:pt idx="1797">
                  <c:v>3.6504836769022005E-2</c:v>
                </c:pt>
                <c:pt idx="1798">
                  <c:v>3.6500074563938681E-2</c:v>
                </c:pt>
                <c:pt idx="1799">
                  <c:v>3.6495318557437012E-2</c:v>
                </c:pt>
                <c:pt idx="1800">
                  <c:v>3.6490568749497007E-2</c:v>
                </c:pt>
                <c:pt idx="1801">
                  <c:v>3.6484319637598711E-2</c:v>
                </c:pt>
                <c:pt idx="1802">
                  <c:v>3.6479582261867448E-2</c:v>
                </c:pt>
                <c:pt idx="1803">
                  <c:v>3.6474851083944167E-2</c:v>
                </c:pt>
                <c:pt idx="1804">
                  <c:v>3.6468777247848992E-2</c:v>
                </c:pt>
                <c:pt idx="1805">
                  <c:v>3.6465407321434586E-2</c:v>
                </c:pt>
                <c:pt idx="1806">
                  <c:v>3.6461527345364189E-2</c:v>
                </c:pt>
                <c:pt idx="1807">
                  <c:v>3.6457493651738115E-2</c:v>
                </c:pt>
                <c:pt idx="1808">
                  <c:v>3.6452793431479898E-2</c:v>
                </c:pt>
                <c:pt idx="1809">
                  <c:v>3.6447429341013304E-2</c:v>
                </c:pt>
                <c:pt idx="1810">
                  <c:v>3.6443411586024599E-2</c:v>
                </c:pt>
                <c:pt idx="1811">
                  <c:v>3.6438729960783213E-2</c:v>
                </c:pt>
                <c:pt idx="1812">
                  <c:v>3.6434054533835004E-2</c:v>
                </c:pt>
                <c:pt idx="1813">
                  <c:v>3.6429385305159996E-2</c:v>
                </c:pt>
                <c:pt idx="1814">
                  <c:v>3.6424722274735602E-2</c:v>
                </c:pt>
                <c:pt idx="1815">
                  <c:v>3.6420065442538348E-2</c:v>
                </c:pt>
                <c:pt idx="1816">
                  <c:v>3.6415414808549137E-2</c:v>
                </c:pt>
                <c:pt idx="1817">
                  <c:v>3.6410770372743623E-2</c:v>
                </c:pt>
                <c:pt idx="1818">
                  <c:v>3.6406132135100966E-2</c:v>
                </c:pt>
                <c:pt idx="1819">
                  <c:v>3.6401500095598567E-2</c:v>
                </c:pt>
                <c:pt idx="1820">
                  <c:v>3.6396874254217323E-2</c:v>
                </c:pt>
                <c:pt idx="1821">
                  <c:v>3.6392254610932886E-2</c:v>
                </c:pt>
                <c:pt idx="1822">
                  <c:v>3.6386982608086434E-2</c:v>
                </c:pt>
                <c:pt idx="1823">
                  <c:v>3.6380871362254985E-2</c:v>
                </c:pt>
                <c:pt idx="1824">
                  <c:v>3.6376928002550282E-2</c:v>
                </c:pt>
                <c:pt idx="1825">
                  <c:v>3.6372333170892265E-2</c:v>
                </c:pt>
                <c:pt idx="1826">
                  <c:v>3.6367744536541534E-2</c:v>
                </c:pt>
                <c:pt idx="1827">
                  <c:v>3.6364666910055236E-2</c:v>
                </c:pt>
                <c:pt idx="1828">
                  <c:v>3.6360090652844672E-2</c:v>
                </c:pt>
                <c:pt idx="1829">
                  <c:v>3.6354868233899551E-2</c:v>
                </c:pt>
                <c:pt idx="1830">
                  <c:v>3.6350956732177031E-2</c:v>
                </c:pt>
                <c:pt idx="1831">
                  <c:v>3.6346399068675643E-2</c:v>
                </c:pt>
                <c:pt idx="1832">
                  <c:v>3.6341847603034744E-2</c:v>
                </c:pt>
                <c:pt idx="1833">
                  <c:v>3.6336653517204609E-2</c:v>
                </c:pt>
                <c:pt idx="1834">
                  <c:v>3.6332763265246641E-2</c:v>
                </c:pt>
                <c:pt idx="1835">
                  <c:v>3.6328230393056868E-2</c:v>
                </c:pt>
                <c:pt idx="1836">
                  <c:v>3.6322199040369645E-2</c:v>
                </c:pt>
                <c:pt idx="1837">
                  <c:v>3.631767857501815E-2</c:v>
                </c:pt>
                <c:pt idx="1838">
                  <c:v>3.6313164306721837E-2</c:v>
                </c:pt>
                <c:pt idx="1839">
                  <c:v>3.6308656235459612E-2</c:v>
                </c:pt>
                <c:pt idx="1840">
                  <c:v>3.6302007206435505E-2</c:v>
                </c:pt>
                <c:pt idx="1841">
                  <c:v>3.6299016950219719E-2</c:v>
                </c:pt>
                <c:pt idx="1842">
                  <c:v>3.629302383589561E-2</c:v>
                </c:pt>
                <c:pt idx="1843">
                  <c:v>3.6288541445042455E-2</c:v>
                </c:pt>
                <c:pt idx="1844">
                  <c:v>3.6284065250441699E-2</c:v>
                </c:pt>
                <c:pt idx="1845">
                  <c:v>3.6281099751791501E-2</c:v>
                </c:pt>
                <c:pt idx="1846">
                  <c:v>3.6275131449907683E-2</c:v>
                </c:pt>
                <c:pt idx="1847">
                  <c:v>3.6270673843934453E-2</c:v>
                </c:pt>
                <c:pt idx="1848">
                  <c:v>3.626772692033129E-2</c:v>
                </c:pt>
                <c:pt idx="1849">
                  <c:v>3.6264786287082844E-2</c:v>
                </c:pt>
                <c:pt idx="1850">
                  <c:v>3.6260347264639309E-2</c:v>
                </c:pt>
                <c:pt idx="1851">
                  <c:v>3.6255914439648755E-2</c:v>
                </c:pt>
                <c:pt idx="1852">
                  <c:v>3.6251487812094675E-2</c:v>
                </c:pt>
                <c:pt idx="1853">
                  <c:v>3.6245562804071166E-2</c:v>
                </c:pt>
                <c:pt idx="1854">
                  <c:v>3.6239888499797236E-2</c:v>
                </c:pt>
                <c:pt idx="1855">
                  <c:v>3.6235482233965034E-2</c:v>
                </c:pt>
                <c:pt idx="1856">
                  <c:v>3.6231082164805903E-2</c:v>
                </c:pt>
                <c:pt idx="1857">
                  <c:v>3.6228192876045846E-2</c:v>
                </c:pt>
                <c:pt idx="1858">
                  <c:v>3.6223805203315487E-2</c:v>
                </c:pt>
                <c:pt idx="1859">
                  <c:v>3.6219423727868683E-2</c:v>
                </c:pt>
                <c:pt idx="1860">
                  <c:v>3.6215048449684581E-2</c:v>
                </c:pt>
                <c:pt idx="1861">
                  <c:v>3.6210679368741457E-2</c:v>
                </c:pt>
                <c:pt idx="1862">
                  <c:v>3.62063164850202E-2</c:v>
                </c:pt>
                <c:pt idx="1863">
                  <c:v>3.6201959798499959E-2</c:v>
                </c:pt>
                <c:pt idx="1864">
                  <c:v>3.619760930915901E-2</c:v>
                </c:pt>
                <c:pt idx="1865">
                  <c:v>3.6193265016979108E-2</c:v>
                </c:pt>
                <c:pt idx="1866">
                  <c:v>3.6188926921937654E-2</c:v>
                </c:pt>
                <c:pt idx="1867">
                  <c:v>3.6184595024016414E-2</c:v>
                </c:pt>
                <c:pt idx="1868">
                  <c:v>3.6180269323191919E-2</c:v>
                </c:pt>
                <c:pt idx="1869">
                  <c:v>3.6175949819446801E-2</c:v>
                </c:pt>
                <c:pt idx="1870">
                  <c:v>3.6171636512760195E-2</c:v>
                </c:pt>
                <c:pt idx="1871">
                  <c:v>3.6167329403111258E-2</c:v>
                </c:pt>
                <c:pt idx="1872">
                  <c:v>3.6163028490478262E-2</c:v>
                </c:pt>
                <c:pt idx="1873">
                  <c:v>3.6158733774842966E-2</c:v>
                </c:pt>
                <c:pt idx="1874">
                  <c:v>3.6154445256184511E-2</c:v>
                </c:pt>
                <c:pt idx="1875">
                  <c:v>3.6148658191450328E-2</c:v>
                </c:pt>
                <c:pt idx="1876">
                  <c:v>3.6144382051474591E-2</c:v>
                </c:pt>
                <c:pt idx="1877">
                  <c:v>3.6140112107747639E-2</c:v>
                </c:pt>
                <c:pt idx="1878">
                  <c:v>3.614186813538018E-2</c:v>
                </c:pt>
                <c:pt idx="1879">
                  <c:v>3.6133095616842012E-2</c:v>
                </c:pt>
                <c:pt idx="1880">
                  <c:v>3.6128844279623228E-2</c:v>
                </c:pt>
                <c:pt idx="1881">
                  <c:v>3.6124599139239662E-2</c:v>
                </c:pt>
                <c:pt idx="1882">
                  <c:v>3.6120360195672198E-2</c:v>
                </c:pt>
                <c:pt idx="1883">
                  <c:v>3.6116127448901726E-2</c:v>
                </c:pt>
                <c:pt idx="1884">
                  <c:v>3.6111900898908256E-2</c:v>
                </c:pt>
                <c:pt idx="1885">
                  <c:v>3.6107680545670935E-2</c:v>
                </c:pt>
                <c:pt idx="1886">
                  <c:v>3.6103466389169787E-2</c:v>
                </c:pt>
                <c:pt idx="1887">
                  <c:v>3.6097152825242708E-2</c:v>
                </c:pt>
                <c:pt idx="1888">
                  <c:v>3.6092046783238629E-2</c:v>
                </c:pt>
                <c:pt idx="1889">
                  <c:v>3.608785116912383E-2</c:v>
                </c:pt>
                <c:pt idx="1890">
                  <c:v>3.6083661750335061E-2</c:v>
                </c:pt>
                <c:pt idx="1891">
                  <c:v>3.6080100954543545E-2</c:v>
                </c:pt>
                <c:pt idx="1892">
                  <c:v>3.6074705286085695E-2</c:v>
                </c:pt>
                <c:pt idx="1893">
                  <c:v>3.6071130665740192E-2</c:v>
                </c:pt>
                <c:pt idx="1894">
                  <c:v>3.6066966028066361E-2</c:v>
                </c:pt>
                <c:pt idx="1895">
                  <c:v>3.6062807585624412E-2</c:v>
                </c:pt>
                <c:pt idx="1896">
                  <c:v>3.6058655338393031E-2</c:v>
                </c:pt>
                <c:pt idx="1897">
                  <c:v>3.6053004260803906E-2</c:v>
                </c:pt>
                <c:pt idx="1898">
                  <c:v>3.6048864374186119E-2</c:v>
                </c:pt>
                <c:pt idx="1899">
                  <c:v>3.6044730682060447E-2</c:v>
                </c:pt>
                <c:pt idx="1900">
                  <c:v>3.6040603184407119E-2</c:v>
                </c:pt>
                <c:pt idx="1901">
                  <c:v>3.6040997636649412E-2</c:v>
                </c:pt>
                <c:pt idx="1902">
                  <c:v>3.6036882625260384E-2</c:v>
                </c:pt>
                <c:pt idx="1903">
                  <c:v>3.6032773810273006E-2</c:v>
                </c:pt>
                <c:pt idx="1904">
                  <c:v>3.6028671191669907E-2</c:v>
                </c:pt>
                <c:pt idx="1905">
                  <c:v>3.6023069280318551E-2</c:v>
                </c:pt>
                <c:pt idx="1906">
                  <c:v>3.6018979019265616E-2</c:v>
                </c:pt>
                <c:pt idx="1907">
                  <c:v>3.6014894953877323E-2</c:v>
                </c:pt>
                <c:pt idx="1908">
                  <c:v>3.601081708413522E-2</c:v>
                </c:pt>
                <c:pt idx="1909">
                  <c:v>3.6008251043747753E-2</c:v>
                </c:pt>
                <c:pt idx="1910">
                  <c:v>3.6004185603046281E-2</c:v>
                </c:pt>
                <c:pt idx="1911">
                  <c:v>3.6000126358594405E-2</c:v>
                </c:pt>
                <c:pt idx="1912">
                  <c:v>3.5996073310375624E-2</c:v>
                </c:pt>
                <c:pt idx="1913">
                  <c:v>3.5992026458364731E-2</c:v>
                </c:pt>
                <c:pt idx="1914">
                  <c:v>3.5987985802549576E-2</c:v>
                </c:pt>
                <c:pt idx="1915">
                  <c:v>3.5983951342904948E-2</c:v>
                </c:pt>
                <c:pt idx="1916">
                  <c:v>3.5979923079417823E-2</c:v>
                </c:pt>
                <c:pt idx="1917">
                  <c:v>3.5975901012063875E-2</c:v>
                </c:pt>
                <c:pt idx="1918">
                  <c:v>3.5971885140827449E-2</c:v>
                </c:pt>
                <c:pt idx="1919">
                  <c:v>3.5967875465688581E-2</c:v>
                </c:pt>
                <c:pt idx="1920">
                  <c:v>3.5963871986629876E-2</c:v>
                </c:pt>
                <c:pt idx="1921">
                  <c:v>3.595987470363049E-2</c:v>
                </c:pt>
                <c:pt idx="1922">
                  <c:v>3.595588361667218E-2</c:v>
                </c:pt>
                <c:pt idx="1923">
                  <c:v>3.5951898725737563E-2</c:v>
                </c:pt>
                <c:pt idx="1924">
                  <c:v>3.5947920030804048E-2</c:v>
                </c:pt>
                <c:pt idx="1925">
                  <c:v>3.5943947531857735E-2</c:v>
                </c:pt>
                <c:pt idx="1926">
                  <c:v>3.5939981228876032E-2</c:v>
                </c:pt>
                <c:pt idx="1927">
                  <c:v>3.5934514706641073E-2</c:v>
                </c:pt>
                <c:pt idx="1928">
                  <c:v>3.5930560745864704E-2</c:v>
                </c:pt>
                <c:pt idx="1929">
                  <c:v>3.5926612980342748E-2</c:v>
                </c:pt>
                <c:pt idx="1930">
                  <c:v>3.5922671410054126E-2</c:v>
                </c:pt>
                <c:pt idx="1931">
                  <c:v>3.5924763135940965E-2</c:v>
                </c:pt>
                <c:pt idx="1932">
                  <c:v>3.5916313525244312E-2</c:v>
                </c:pt>
                <c:pt idx="1933">
                  <c:v>3.5912390593505726E-2</c:v>
                </c:pt>
                <c:pt idx="1934">
                  <c:v>3.5908473857586651E-2</c:v>
                </c:pt>
                <c:pt idx="1935">
                  <c:v>3.5904563317467102E-2</c:v>
                </c:pt>
                <c:pt idx="1936">
                  <c:v>3.5900658973127969E-2</c:v>
                </c:pt>
                <c:pt idx="1937">
                  <c:v>3.5896760824551857E-2</c:v>
                </c:pt>
                <c:pt idx="1938">
                  <c:v>3.589286887171967E-2</c:v>
                </c:pt>
                <c:pt idx="1939">
                  <c:v>3.5891442953929611E-2</c:v>
                </c:pt>
                <c:pt idx="1940">
                  <c:v>3.5883596441075846E-2</c:v>
                </c:pt>
                <c:pt idx="1941">
                  <c:v>3.5879723017166312E-2</c:v>
                </c:pt>
                <c:pt idx="1942">
                  <c:v>3.5875855788274909E-2</c:v>
                </c:pt>
                <c:pt idx="1943">
                  <c:v>3.5871994754382304E-2</c:v>
                </c:pt>
                <c:pt idx="1944">
                  <c:v>3.5868139915469173E-2</c:v>
                </c:pt>
                <c:pt idx="1945">
                  <c:v>3.5864291271519709E-2</c:v>
                </c:pt>
                <c:pt idx="1946">
                  <c:v>3.5860448822513699E-2</c:v>
                </c:pt>
                <c:pt idx="1947">
                  <c:v>3.5856612568437092E-2</c:v>
                </c:pt>
                <c:pt idx="1948">
                  <c:v>3.5852782509266178E-2</c:v>
                </c:pt>
                <c:pt idx="1949">
                  <c:v>3.5847451091414406E-2</c:v>
                </c:pt>
                <c:pt idx="1950">
                  <c:v>3.584363335798102E-2</c:v>
                </c:pt>
                <c:pt idx="1951">
                  <c:v>3.5839821818751005E-2</c:v>
                </c:pt>
                <c:pt idx="1952">
                  <c:v>3.58360164737066E-2</c:v>
                </c:pt>
                <c:pt idx="1953">
                  <c:v>3.5835233056177744E-2</c:v>
                </c:pt>
                <c:pt idx="1954">
                  <c:v>3.5831440232784999E-2</c:v>
                </c:pt>
                <c:pt idx="1955">
                  <c:v>3.5827653604828584E-2</c:v>
                </c:pt>
                <c:pt idx="1956">
                  <c:v>3.5823873172292006E-2</c:v>
                </c:pt>
                <c:pt idx="1957">
                  <c:v>3.5818590744722996E-2</c:v>
                </c:pt>
                <c:pt idx="1958">
                  <c:v>3.5814822633669925E-2</c:v>
                </c:pt>
                <c:pt idx="1959">
                  <c:v>3.5811060531246046E-2</c:v>
                </c:pt>
                <c:pt idx="1960">
                  <c:v>3.5807303507020258E-2</c:v>
                </c:pt>
                <c:pt idx="1961">
                  <c:v>3.5803550444475557E-2</c:v>
                </c:pt>
                <c:pt idx="1962">
                  <c:v>3.5801307590968487E-2</c:v>
                </c:pt>
                <c:pt idx="1963">
                  <c:v>3.5797558575804959E-2</c:v>
                </c:pt>
                <c:pt idx="1964">
                  <c:v>3.5793810075810208E-2</c:v>
                </c:pt>
                <c:pt idx="1965">
                  <c:v>3.5790060986511198E-2</c:v>
                </c:pt>
                <c:pt idx="1966">
                  <c:v>3.5786310203445318E-2</c:v>
                </c:pt>
                <c:pt idx="1967">
                  <c:v>3.5782556622149103E-2</c:v>
                </c:pt>
                <c:pt idx="1968">
                  <c:v>3.5778799138164272E-2</c:v>
                </c:pt>
                <c:pt idx="1969">
                  <c:v>3.577503664703692E-2</c:v>
                </c:pt>
                <c:pt idx="1970">
                  <c:v>3.5771268044319203E-2</c:v>
                </c:pt>
                <c:pt idx="1971">
                  <c:v>3.5767492225563288E-2</c:v>
                </c:pt>
                <c:pt idx="1972">
                  <c:v>3.5763708270407119E-2</c:v>
                </c:pt>
                <c:pt idx="1973">
                  <c:v>3.5759915994795319E-2</c:v>
                </c:pt>
                <c:pt idx="1974">
                  <c:v>3.5756115398756567E-2</c:v>
                </c:pt>
                <c:pt idx="1975">
                  <c:v>3.5752306482307365E-2</c:v>
                </c:pt>
                <c:pt idx="1976">
                  <c:v>3.5752975162524001E-2</c:v>
                </c:pt>
                <c:pt idx="1977">
                  <c:v>3.5744663688293182E-2</c:v>
                </c:pt>
                <c:pt idx="1978">
                  <c:v>3.5740829810771646E-2</c:v>
                </c:pt>
                <c:pt idx="1979">
                  <c:v>3.5735495238446727E-2</c:v>
                </c:pt>
                <c:pt idx="1980">
                  <c:v>3.5731645695043557E-2</c:v>
                </c:pt>
                <c:pt idx="1981">
                  <c:v>3.57277878321599E-2</c:v>
                </c:pt>
                <c:pt idx="1982">
                  <c:v>3.57239216498186E-2</c:v>
                </c:pt>
                <c:pt idx="1983">
                  <c:v>3.5720047148045116E-2</c:v>
                </c:pt>
                <c:pt idx="1984">
                  <c:v>3.5717651819999752E-2</c:v>
                </c:pt>
                <c:pt idx="1985">
                  <c:v>3.5713759700824105E-2</c:v>
                </c:pt>
                <c:pt idx="1986">
                  <c:v>3.5709859261510837E-2</c:v>
                </c:pt>
                <c:pt idx="1987">
                  <c:v>3.5705950502083403E-2</c:v>
                </c:pt>
                <c:pt idx="1988">
                  <c:v>3.5702033422567003E-2</c:v>
                </c:pt>
                <c:pt idx="1989">
                  <c:v>3.5698108022985099E-2</c:v>
                </c:pt>
                <c:pt idx="1990">
                  <c:v>3.5694174303367229E-2</c:v>
                </c:pt>
                <c:pt idx="1991">
                  <c:v>3.5692629418912429E-2</c:v>
                </c:pt>
                <c:pt idx="1992">
                  <c:v>3.5683322622590552E-2</c:v>
                </c:pt>
                <c:pt idx="1993">
                  <c:v>3.5679365912501204E-2</c:v>
                </c:pt>
                <c:pt idx="1994">
                  <c:v>3.56754008840241E-2</c:v>
                </c:pt>
                <c:pt idx="1995">
                  <c:v>3.5671427537182332E-2</c:v>
                </c:pt>
                <c:pt idx="1996">
                  <c:v>3.566835193823556E-2</c:v>
                </c:pt>
                <c:pt idx="1997">
                  <c:v>3.5662885211823259E-2</c:v>
                </c:pt>
                <c:pt idx="1998">
                  <c:v>3.5658885721715272E-2</c:v>
                </c:pt>
                <c:pt idx="1999">
                  <c:v>3.5654877913345651E-2</c:v>
                </c:pt>
                <c:pt idx="2000">
                  <c:v>3.5650861786739263E-2</c:v>
                </c:pt>
                <c:pt idx="2001">
                  <c:v>3.5645366736661868E-2</c:v>
                </c:pt>
                <c:pt idx="2002">
                  <c:v>3.5641334965267821E-2</c:v>
                </c:pt>
                <c:pt idx="2003">
                  <c:v>3.5637294876482054E-2</c:v>
                </c:pt>
                <c:pt idx="2004">
                  <c:v>3.5633246470334209E-2</c:v>
                </c:pt>
                <c:pt idx="2005">
                  <c:v>3.5636522933145273E-2</c:v>
                </c:pt>
                <c:pt idx="2006">
                  <c:v>3.5632452917349393E-2</c:v>
                </c:pt>
                <c:pt idx="2007">
                  <c:v>3.5628374580401238E-2</c:v>
                </c:pt>
                <c:pt idx="2008">
                  <c:v>3.5624287922330571E-2</c:v>
                </c:pt>
                <c:pt idx="2009">
                  <c:v>3.5615804982476622E-2</c:v>
                </c:pt>
                <c:pt idx="2010">
                  <c:v>3.5609357910271297E-2</c:v>
                </c:pt>
                <c:pt idx="2011">
                  <c:v>3.5607596052683127E-2</c:v>
                </c:pt>
                <c:pt idx="2012">
                  <c:v>3.5603479109715487E-2</c:v>
                </c:pt>
                <c:pt idx="2013">
                  <c:v>3.5603729816044316E-2</c:v>
                </c:pt>
                <c:pt idx="2014">
                  <c:v>3.5599593231786207E-2</c:v>
                </c:pt>
                <c:pt idx="2015">
                  <c:v>3.5595448326591818E-2</c:v>
                </c:pt>
                <c:pt idx="2016">
                  <c:v>3.5591295100485816E-2</c:v>
                </c:pt>
                <c:pt idx="2017">
                  <c:v>3.5588588198987775E-2</c:v>
                </c:pt>
                <c:pt idx="2018">
                  <c:v>3.5584417326441908E-2</c:v>
                </c:pt>
                <c:pt idx="2019">
                  <c:v>3.5578785496966796E-2</c:v>
                </c:pt>
                <c:pt idx="2020">
                  <c:v>3.5574598987485578E-2</c:v>
                </c:pt>
                <c:pt idx="2021">
                  <c:v>3.557040415722626E-2</c:v>
                </c:pt>
                <c:pt idx="2022">
                  <c:v>3.5561852156919094E-2</c:v>
                </c:pt>
                <c:pt idx="2023">
                  <c:v>3.5563438140275939E-2</c:v>
                </c:pt>
                <c:pt idx="2024">
                  <c:v>3.5557769742063663E-2</c:v>
                </c:pt>
                <c:pt idx="2025">
                  <c:v>3.5553541628972535E-2</c:v>
                </c:pt>
                <c:pt idx="2026">
                  <c:v>3.5549305195239356E-2</c:v>
                </c:pt>
                <c:pt idx="2027">
                  <c:v>3.5545060440893887E-2</c:v>
                </c:pt>
                <c:pt idx="2028">
                  <c:v>3.5540807365961651E-2</c:v>
                </c:pt>
                <c:pt idx="2029">
                  <c:v>3.5536545970472407E-2</c:v>
                </c:pt>
                <c:pt idx="2030">
                  <c:v>3.5532276254452516E-2</c:v>
                </c:pt>
                <c:pt idx="2031">
                  <c:v>3.5523676673819116E-2</c:v>
                </c:pt>
                <c:pt idx="2032">
                  <c:v>3.5519393362215691E-2</c:v>
                </c:pt>
                <c:pt idx="2033">
                  <c:v>3.5515101732458192E-2</c:v>
                </c:pt>
                <c:pt idx="2034">
                  <c:v>3.5510801784572964E-2</c:v>
                </c:pt>
                <c:pt idx="2035">
                  <c:v>3.5506493518588117E-2</c:v>
                </c:pt>
                <c:pt idx="2036">
                  <c:v>3.5506483228739803E-2</c:v>
                </c:pt>
                <c:pt idx="2037">
                  <c:v>3.5503589675602569E-2</c:v>
                </c:pt>
                <c:pt idx="2038">
                  <c:v>3.5497818990512506E-2</c:v>
                </c:pt>
                <c:pt idx="2039">
                  <c:v>3.54934743909643E-2</c:v>
                </c:pt>
                <c:pt idx="2040">
                  <c:v>3.5489121471165216E-2</c:v>
                </c:pt>
                <c:pt idx="2041">
                  <c:v>3.5480028803671723E-2</c:v>
                </c:pt>
                <c:pt idx="2042">
                  <c:v>3.5481819969039673E-2</c:v>
                </c:pt>
                <c:pt idx="2043">
                  <c:v>3.5476012790534028E-2</c:v>
                </c:pt>
                <c:pt idx="2044">
                  <c:v>3.5465917547546688E-2</c:v>
                </c:pt>
                <c:pt idx="2045">
                  <c:v>3.5461527126796177E-2</c:v>
                </c:pt>
                <c:pt idx="2046">
                  <c:v>3.5457128389004389E-2</c:v>
                </c:pt>
                <c:pt idx="2047">
                  <c:v>3.5452721334199744E-2</c:v>
                </c:pt>
                <c:pt idx="2048">
                  <c:v>3.5449729125996012E-2</c:v>
                </c:pt>
                <c:pt idx="2049">
                  <c:v>3.5443882273658467E-2</c:v>
                </c:pt>
                <c:pt idx="2050">
                  <c:v>3.543945026797779E-2</c:v>
                </c:pt>
                <c:pt idx="2051">
                  <c:v>3.5435009945392615E-2</c:v>
                </c:pt>
                <c:pt idx="2052">
                  <c:v>3.5430561305932251E-2</c:v>
                </c:pt>
                <c:pt idx="2053">
                  <c:v>3.5424686326878604E-2</c:v>
                </c:pt>
                <c:pt idx="2054">
                  <c:v>3.5420222085174209E-2</c:v>
                </c:pt>
                <c:pt idx="2055">
                  <c:v>3.5415749527434315E-2</c:v>
                </c:pt>
                <c:pt idx="2056">
                  <c:v>3.5411268653685865E-2</c:v>
                </c:pt>
                <c:pt idx="2057">
                  <c:v>3.5413848863423456E-2</c:v>
                </c:pt>
                <c:pt idx="2058">
                  <c:v>3.5409346183943119E-2</c:v>
                </c:pt>
                <c:pt idx="2059">
                  <c:v>3.5404835184752764E-2</c:v>
                </c:pt>
                <c:pt idx="2060">
                  <c:v>3.5394909321449924E-2</c:v>
                </c:pt>
                <c:pt idx="2061">
                  <c:v>3.5391559039136988E-2</c:v>
                </c:pt>
                <c:pt idx="2062">
                  <c:v>3.5387026194801503E-2</c:v>
                </c:pt>
                <c:pt idx="2063">
                  <c:v>3.5382485033139413E-2</c:v>
                </c:pt>
                <c:pt idx="2064">
                  <c:v>3.5377935554180576E-2</c:v>
                </c:pt>
                <c:pt idx="2065">
                  <c:v>3.5373377757951352E-2</c:v>
                </c:pt>
                <c:pt idx="2066">
                  <c:v>3.5373025241033668E-2</c:v>
                </c:pt>
                <c:pt idx="2067">
                  <c:v>3.5368447685229475E-2</c:v>
                </c:pt>
                <c:pt idx="2068">
                  <c:v>3.5363861809977165E-2</c:v>
                </c:pt>
                <c:pt idx="2069">
                  <c:v>3.5360669003803351E-2</c:v>
                </c:pt>
                <c:pt idx="2070">
                  <c:v>3.5356065445479749E-2</c:v>
                </c:pt>
                <c:pt idx="2071">
                  <c:v>3.5350054267854744E-2</c:v>
                </c:pt>
                <c:pt idx="2072">
                  <c:v>3.5345435115120394E-2</c:v>
                </c:pt>
                <c:pt idx="2073">
                  <c:v>3.5340807643091852E-2</c:v>
                </c:pt>
                <c:pt idx="2074">
                  <c:v>3.5331983319495046E-2</c:v>
                </c:pt>
                <c:pt idx="2075">
                  <c:v>3.5332922852843396E-2</c:v>
                </c:pt>
                <c:pt idx="2076">
                  <c:v>3.5326875311529372E-2</c:v>
                </c:pt>
                <c:pt idx="2077">
                  <c:v>3.5322214562614904E-2</c:v>
                </c:pt>
                <c:pt idx="2078">
                  <c:v>3.5317545494557609E-2</c:v>
                </c:pt>
                <c:pt idx="2079">
                  <c:v>3.5312868107382163E-2</c:v>
                </c:pt>
                <c:pt idx="2080">
                  <c:v>3.5309572261279489E-2</c:v>
                </c:pt>
                <c:pt idx="2081">
                  <c:v>3.5303488375805187E-2</c:v>
                </c:pt>
                <c:pt idx="2082">
                  <c:v>3.5298786031466592E-2</c:v>
                </c:pt>
                <c:pt idx="2083">
                  <c:v>3.5289915205532152E-2</c:v>
                </c:pt>
                <c:pt idx="2084">
                  <c:v>3.5285199386660047E-2</c:v>
                </c:pt>
                <c:pt idx="2085">
                  <c:v>3.5280475251102575E-2</c:v>
                </c:pt>
                <c:pt idx="2086">
                  <c:v>3.5275742798882584E-2</c:v>
                </c:pt>
                <c:pt idx="2087">
                  <c:v>3.5275149525452021E-2</c:v>
                </c:pt>
                <c:pt idx="2088">
                  <c:v>3.527039726760095E-2</c:v>
                </c:pt>
                <c:pt idx="2089">
                  <c:v>3.5265636690939565E-2</c:v>
                </c:pt>
                <c:pt idx="2090">
                  <c:v>3.5262247096643516E-2</c:v>
                </c:pt>
                <c:pt idx="2091">
                  <c:v>3.5256090581304876E-2</c:v>
                </c:pt>
                <c:pt idx="2092">
                  <c:v>3.5251305048394507E-2</c:v>
                </c:pt>
                <c:pt idx="2093">
                  <c:v>3.5246511196796268E-2</c:v>
                </c:pt>
                <c:pt idx="2094">
                  <c:v>3.5243084083171054E-2</c:v>
                </c:pt>
                <c:pt idx="2095">
                  <c:v>3.5236898537657803E-2</c:v>
                </c:pt>
                <c:pt idx="2096">
                  <c:v>3.5226587888072203E-2</c:v>
                </c:pt>
                <c:pt idx="2097">
                  <c:v>3.5221765018431661E-2</c:v>
                </c:pt>
                <c:pt idx="2098">
                  <c:v>3.5216933833233988E-2</c:v>
                </c:pt>
                <c:pt idx="2099">
                  <c:v>3.521209433250938E-2</c:v>
                </c:pt>
                <c:pt idx="2100">
                  <c:v>3.5202429773026296E-2</c:v>
                </c:pt>
                <c:pt idx="2101">
                  <c:v>3.520167383438496E-2</c:v>
                </c:pt>
                <c:pt idx="2102">
                  <c:v>3.5198170869131844E-2</c:v>
                </c:pt>
                <c:pt idx="2103">
                  <c:v>3.5189865005760268E-2</c:v>
                </c:pt>
                <c:pt idx="2104">
                  <c:v>3.5187041649657809E-2</c:v>
                </c:pt>
                <c:pt idx="2105">
                  <c:v>3.5183510527464254E-2</c:v>
                </c:pt>
                <c:pt idx="2106">
                  <c:v>3.5177245279410053E-2</c:v>
                </c:pt>
                <c:pt idx="2107">
                  <c:v>3.517027179572807E-2</c:v>
                </c:pt>
                <c:pt idx="2108">
                  <c:v>3.5168775334725226E-2</c:v>
                </c:pt>
                <c:pt idx="2109">
                  <c:v>3.5163846970385118E-2</c:v>
                </c:pt>
                <c:pt idx="2110">
                  <c:v>3.5158910289384608E-2</c:v>
                </c:pt>
                <c:pt idx="2111">
                  <c:v>3.5153965291752368E-2</c:v>
                </c:pt>
                <c:pt idx="2112">
                  <c:v>3.5149011977523154E-2</c:v>
                </c:pt>
                <c:pt idx="2113">
                  <c:v>3.5142696030716458E-2</c:v>
                </c:pt>
                <c:pt idx="2114">
                  <c:v>3.513772716031912E-2</c:v>
                </c:pt>
                <c:pt idx="2115">
                  <c:v>3.5131326393585779E-2</c:v>
                </c:pt>
                <c:pt idx="2116">
                  <c:v>3.5127764472257343E-2</c:v>
                </c:pt>
                <c:pt idx="2117">
                  <c:v>3.5122770654651754E-2</c:v>
                </c:pt>
                <c:pt idx="2118">
                  <c:v>3.5118402021695715E-2</c:v>
                </c:pt>
                <c:pt idx="2119">
                  <c:v>3.5114105915777745E-2</c:v>
                </c:pt>
                <c:pt idx="2120">
                  <c:v>3.510908606988835E-2</c:v>
                </c:pt>
                <c:pt idx="2121">
                  <c:v>3.5103338919916773E-2</c:v>
                </c:pt>
                <c:pt idx="2122">
                  <c:v>3.509902142919618E-2</c:v>
                </c:pt>
                <c:pt idx="2123">
                  <c:v>3.509397663445684E-2</c:v>
                </c:pt>
                <c:pt idx="2124">
                  <c:v>3.508892352349674E-2</c:v>
                </c:pt>
                <c:pt idx="2125">
                  <c:v>3.5083862096348901E-2</c:v>
                </c:pt>
                <c:pt idx="2126">
                  <c:v>3.5078792353046347E-2</c:v>
                </c:pt>
                <c:pt idx="2127">
                  <c:v>3.5073714293620349E-2</c:v>
                </c:pt>
                <c:pt idx="2128">
                  <c:v>3.5068627918100448E-2</c:v>
                </c:pt>
                <c:pt idx="2129">
                  <c:v>3.5063533226523141E-2</c:v>
                </c:pt>
                <c:pt idx="2130">
                  <c:v>3.5058430218919703E-2</c:v>
                </c:pt>
                <c:pt idx="2131">
                  <c:v>3.5053318895318812E-2</c:v>
                </c:pt>
                <c:pt idx="2132">
                  <c:v>3.5048199255756959E-2</c:v>
                </c:pt>
                <c:pt idx="2133">
                  <c:v>3.5043071300263677E-2</c:v>
                </c:pt>
                <c:pt idx="2134">
                  <c:v>3.5037200596970616E-2</c:v>
                </c:pt>
                <c:pt idx="2135">
                  <c:v>3.5030724524347155E-2</c:v>
                </c:pt>
                <c:pt idx="2136">
                  <c:v>3.5026308178116021E-2</c:v>
                </c:pt>
                <c:pt idx="2137">
                  <c:v>3.5021148053044175E-2</c:v>
                </c:pt>
                <c:pt idx="2138">
                  <c:v>3.5015979612933117E-2</c:v>
                </c:pt>
                <c:pt idx="2139">
                  <c:v>3.5012128934593115E-2</c:v>
                </c:pt>
                <c:pt idx="2140">
                  <c:v>3.500694276850002E-2</c:v>
                </c:pt>
                <c:pt idx="2141">
                  <c:v>3.5001005539084952E-2</c:v>
                </c:pt>
                <c:pt idx="2142">
                  <c:v>3.4996545489337172E-2</c:v>
                </c:pt>
                <c:pt idx="2143">
                  <c:v>3.4991334376334317E-2</c:v>
                </c:pt>
                <c:pt idx="2144">
                  <c:v>3.4986114947760626E-2</c:v>
                </c:pt>
                <c:pt idx="2145">
                  <c:v>3.4980139704243261E-2</c:v>
                </c:pt>
                <c:pt idx="2146">
                  <c:v>3.4975651144032789E-2</c:v>
                </c:pt>
                <c:pt idx="2147">
                  <c:v>3.4970406768943807E-2</c:v>
                </c:pt>
                <c:pt idx="2148">
                  <c:v>3.4963837891880636E-2</c:v>
                </c:pt>
                <c:pt idx="2149">
                  <c:v>3.4958577988496581E-2</c:v>
                </c:pt>
                <c:pt idx="2150">
                  <c:v>3.4953309770465971E-2</c:v>
                </c:pt>
                <c:pt idx="2151">
                  <c:v>3.4948033237823063E-2</c:v>
                </c:pt>
                <c:pt idx="2152">
                  <c:v>3.494199273368398E-2</c:v>
                </c:pt>
                <c:pt idx="2153">
                  <c:v>3.4936698384121272E-2</c:v>
                </c:pt>
                <c:pt idx="2154">
                  <c:v>3.4931395720049913E-2</c:v>
                </c:pt>
                <c:pt idx="2155">
                  <c:v>3.4926084741499788E-2</c:v>
                </c:pt>
                <c:pt idx="2156">
                  <c:v>3.4920765448507772E-2</c:v>
                </c:pt>
                <c:pt idx="2157">
                  <c:v>3.491543784110638E-2</c:v>
                </c:pt>
                <c:pt idx="2158">
                  <c:v>3.4908796927590302E-2</c:v>
                </c:pt>
                <c:pt idx="2159">
                  <c:v>3.4903453801200968E-2</c:v>
                </c:pt>
                <c:pt idx="2160">
                  <c:v>3.4899405132769172E-2</c:v>
                </c:pt>
                <c:pt idx="2161">
                  <c:v>3.4895345906205424E-2</c:v>
                </c:pt>
                <c:pt idx="2162">
                  <c:v>3.4889975615201359E-2</c:v>
                </c:pt>
                <c:pt idx="2163">
                  <c:v>3.4884597009268548E-2</c:v>
                </c:pt>
                <c:pt idx="2164">
                  <c:v>3.4879210088441748E-2</c:v>
                </c:pt>
                <c:pt idx="2165">
                  <c:v>3.4872517667123584E-2</c:v>
                </c:pt>
                <c:pt idx="2166">
                  <c:v>3.486557015143292E-2</c:v>
                </c:pt>
                <c:pt idx="2167">
                  <c:v>3.4860157026324327E-2</c:v>
                </c:pt>
                <c:pt idx="2168">
                  <c:v>3.4854735587183196E-2</c:v>
                </c:pt>
                <c:pt idx="2169">
                  <c:v>3.4850598236348083E-2</c:v>
                </c:pt>
                <c:pt idx="2170">
                  <c:v>3.4845159051240554E-2</c:v>
                </c:pt>
                <c:pt idx="2171">
                  <c:v>3.4839711551486657E-2</c:v>
                </c:pt>
                <c:pt idx="2172">
                  <c:v>3.4834255737122892E-2</c:v>
                </c:pt>
                <c:pt idx="2173">
                  <c:v>3.4828791608178804E-2</c:v>
                </c:pt>
                <c:pt idx="2174">
                  <c:v>3.4823319164692612E-2</c:v>
                </c:pt>
                <c:pt idx="2175">
                  <c:v>3.4817838406697339E-2</c:v>
                </c:pt>
                <c:pt idx="2176">
                  <c:v>3.4812349334227735E-2</c:v>
                </c:pt>
                <c:pt idx="2177">
                  <c:v>3.4806851947320305E-2</c:v>
                </c:pt>
                <c:pt idx="2178">
                  <c:v>3.4801346246008925E-2</c:v>
                </c:pt>
                <c:pt idx="2179">
                  <c:v>3.4795832230325743E-2</c:v>
                </c:pt>
                <c:pt idx="2180">
                  <c:v>3.479030990030986E-2</c:v>
                </c:pt>
                <c:pt idx="2181">
                  <c:v>3.4784779255992562E-2</c:v>
                </c:pt>
                <c:pt idx="2182">
                  <c:v>3.4779240297411196E-2</c:v>
                </c:pt>
                <c:pt idx="2183">
                  <c:v>3.4773693024600531E-2</c:v>
                </c:pt>
                <c:pt idx="2184">
                  <c:v>3.4768137437594444E-2</c:v>
                </c:pt>
                <c:pt idx="2185">
                  <c:v>3.4762573536429434E-2</c:v>
                </c:pt>
                <c:pt idx="2186">
                  <c:v>3.4757001321138507E-2</c:v>
                </c:pt>
                <c:pt idx="2187">
                  <c:v>3.4750148623000424E-2</c:v>
                </c:pt>
                <c:pt idx="2188">
                  <c:v>3.4744560910424709E-2</c:v>
                </c:pt>
                <c:pt idx="2189">
                  <c:v>3.473896488453939E-2</c:v>
                </c:pt>
                <c:pt idx="2190">
                  <c:v>3.4733360545382244E-2</c:v>
                </c:pt>
                <c:pt idx="2191">
                  <c:v>3.4732818295909615E-2</c:v>
                </c:pt>
                <c:pt idx="2192">
                  <c:v>3.4723393434763786E-2</c:v>
                </c:pt>
                <c:pt idx="2193">
                  <c:v>3.47177630215907E-2</c:v>
                </c:pt>
                <c:pt idx="2194">
                  <c:v>3.4712124294575819E-2</c:v>
                </c:pt>
                <c:pt idx="2195">
                  <c:v>3.470647725375739E-2</c:v>
                </c:pt>
                <c:pt idx="2196">
                  <c:v>3.4700821899170148E-2</c:v>
                </c:pt>
                <c:pt idx="2197">
                  <c:v>3.4695158230847123E-2</c:v>
                </c:pt>
                <c:pt idx="2198">
                  <c:v>3.4689486248825667E-2</c:v>
                </c:pt>
                <c:pt idx="2199">
                  <c:v>3.4681735414706392E-2</c:v>
                </c:pt>
                <c:pt idx="2200">
                  <c:v>3.4675602490936264E-2</c:v>
                </c:pt>
                <c:pt idx="2201">
                  <c:v>3.4669907848003056E-2</c:v>
                </c:pt>
                <c:pt idx="2202">
                  <c:v>3.4664204892925099E-2</c:v>
                </c:pt>
                <c:pt idx="2203">
                  <c:v>3.4658493625736142E-2</c:v>
                </c:pt>
                <c:pt idx="2204">
                  <c:v>3.4652774046476154E-2</c:v>
                </c:pt>
                <c:pt idx="2205">
                  <c:v>3.464704615517622E-2</c:v>
                </c:pt>
                <c:pt idx="2206">
                  <c:v>3.4641309951873644E-2</c:v>
                </c:pt>
                <c:pt idx="2207">
                  <c:v>3.4635565436604843E-2</c:v>
                </c:pt>
                <c:pt idx="2208">
                  <c:v>3.4629812609402677E-2</c:v>
                </c:pt>
                <c:pt idx="2209">
                  <c:v>3.4622804284641637E-2</c:v>
                </c:pt>
                <c:pt idx="2210">
                  <c:v>3.4617035979767882E-2</c:v>
                </c:pt>
                <c:pt idx="2211">
                  <c:v>3.4611259363768861E-2</c:v>
                </c:pt>
                <c:pt idx="2212">
                  <c:v>3.4605474436684977E-2</c:v>
                </c:pt>
                <c:pt idx="2213">
                  <c:v>3.4603408899230623E-2</c:v>
                </c:pt>
                <c:pt idx="2214">
                  <c:v>3.459760390294956E-2</c:v>
                </c:pt>
                <c:pt idx="2215">
                  <c:v>3.4591790593586108E-2</c:v>
                </c:pt>
                <c:pt idx="2216">
                  <c:v>3.4585968971179354E-2</c:v>
                </c:pt>
                <c:pt idx="2217">
                  <c:v>3.457890110007527E-2</c:v>
                </c:pt>
                <c:pt idx="2218">
                  <c:v>3.4573064003680466E-2</c:v>
                </c:pt>
                <c:pt idx="2219">
                  <c:v>3.4567218595049486E-2</c:v>
                </c:pt>
                <c:pt idx="2220">
                  <c:v>3.4561364874220984E-2</c:v>
                </c:pt>
                <c:pt idx="2221">
                  <c:v>3.4555502841228339E-2</c:v>
                </c:pt>
                <c:pt idx="2222">
                  <c:v>3.4550864664861021E-2</c:v>
                </c:pt>
                <c:pt idx="2223">
                  <c:v>3.454498485217472E-2</c:v>
                </c:pt>
                <c:pt idx="2224">
                  <c:v>3.4539096726737925E-2</c:v>
                </c:pt>
                <c:pt idx="2225">
                  <c:v>3.4533200288591484E-2</c:v>
                </c:pt>
                <c:pt idx="2226">
                  <c:v>3.4527295537768406E-2</c:v>
                </c:pt>
                <c:pt idx="2227">
                  <c:v>3.4521382474308665E-2</c:v>
                </c:pt>
                <c:pt idx="2228">
                  <c:v>3.4515461098251356E-2</c:v>
                </c:pt>
                <c:pt idx="2229">
                  <c:v>3.45095314096295E-2</c:v>
                </c:pt>
                <c:pt idx="2230">
                  <c:v>3.4503593408483926E-2</c:v>
                </c:pt>
                <c:pt idx="2231">
                  <c:v>3.4497647094849399E-2</c:v>
                </c:pt>
                <c:pt idx="2232">
                  <c:v>3.4491692468768487E-2</c:v>
                </c:pt>
                <c:pt idx="2233">
                  <c:v>3.4485729530273339E-2</c:v>
                </c:pt>
                <c:pt idx="2234">
                  <c:v>3.447975827940479E-2</c:v>
                </c:pt>
                <c:pt idx="2235">
                  <c:v>3.4473778716198472E-2</c:v>
                </c:pt>
                <c:pt idx="2236">
                  <c:v>3.446779084069608E-2</c:v>
                </c:pt>
                <c:pt idx="2237">
                  <c:v>3.446179465292977E-2</c:v>
                </c:pt>
                <c:pt idx="2238">
                  <c:v>3.4455790152940376E-2</c:v>
                </c:pt>
                <c:pt idx="2239">
                  <c:v>3.444856490955895E-2</c:v>
                </c:pt>
                <c:pt idx="2240">
                  <c:v>3.4442544952495997E-2</c:v>
                </c:pt>
                <c:pt idx="2241">
                  <c:v>3.4436516684012923E-2</c:v>
                </c:pt>
                <c:pt idx="2242">
                  <c:v>3.4430480104149251E-2</c:v>
                </c:pt>
                <c:pt idx="2243">
                  <c:v>3.4424435212940127E-2</c:v>
                </c:pt>
                <c:pt idx="2244">
                  <c:v>3.4419588598457541E-2</c:v>
                </c:pt>
                <c:pt idx="2245">
                  <c:v>3.4413525913975271E-2</c:v>
                </c:pt>
                <c:pt idx="2246">
                  <c:v>3.4407454917573146E-2</c:v>
                </c:pt>
                <c:pt idx="2247">
                  <c:v>3.4401375609292018E-2</c:v>
                </c:pt>
                <c:pt idx="2248">
                  <c:v>3.4395287989170978E-2</c:v>
                </c:pt>
                <c:pt idx="2249">
                  <c:v>3.4390721543882542E-2</c:v>
                </c:pt>
                <c:pt idx="2250">
                  <c:v>3.4383087813560344E-2</c:v>
                </c:pt>
                <c:pt idx="2251">
                  <c:v>3.4378497670804531E-2</c:v>
                </c:pt>
                <c:pt idx="2252">
                  <c:v>3.4368459948377783E-2</c:v>
                </c:pt>
                <c:pt idx="2253">
                  <c:v>3.4362333121841893E-2</c:v>
                </c:pt>
                <c:pt idx="2254">
                  <c:v>3.4356197985065506E-2</c:v>
                </c:pt>
                <c:pt idx="2255">
                  <c:v>3.4350054538083263E-2</c:v>
                </c:pt>
                <c:pt idx="2256">
                  <c:v>3.4339503580850916E-2</c:v>
                </c:pt>
                <c:pt idx="2257">
                  <c:v>3.4336862025672765E-2</c:v>
                </c:pt>
                <c:pt idx="2258">
                  <c:v>3.4330692461153944E-2</c:v>
                </c:pt>
                <c:pt idx="2259">
                  <c:v>3.4324514586589139E-2</c:v>
                </c:pt>
                <c:pt idx="2260">
                  <c:v>3.4318328402015652E-2</c:v>
                </c:pt>
                <c:pt idx="2261">
                  <c:v>3.4310947408124001E-2</c:v>
                </c:pt>
                <c:pt idx="2262">
                  <c:v>3.4304745785759594E-2</c:v>
                </c:pt>
                <c:pt idx="2263">
                  <c:v>3.4298535854181196E-2</c:v>
                </c:pt>
                <c:pt idx="2264">
                  <c:v>3.429231761342743E-2</c:v>
                </c:pt>
                <c:pt idx="2265">
                  <c:v>3.4291999515441103E-2</c:v>
                </c:pt>
                <c:pt idx="2266">
                  <c:v>3.4285758730783537E-2</c:v>
                </c:pt>
                <c:pt idx="2267">
                  <c:v>3.4279509633674828E-2</c:v>
                </c:pt>
                <c:pt idx="2268">
                  <c:v>3.4273252224155774E-2</c:v>
                </c:pt>
                <c:pt idx="2269">
                  <c:v>3.4263455781447037E-2</c:v>
                </c:pt>
                <c:pt idx="2270">
                  <c:v>3.4253598454227943E-2</c:v>
                </c:pt>
                <c:pt idx="2271">
                  <c:v>3.4250906530720104E-2</c:v>
                </c:pt>
                <c:pt idx="2272">
                  <c:v>3.4244619440004814E-2</c:v>
                </c:pt>
                <c:pt idx="2273">
                  <c:v>3.4238324039107086E-2</c:v>
                </c:pt>
                <c:pt idx="2274">
                  <c:v>3.4235533208687323E-2</c:v>
                </c:pt>
                <c:pt idx="2275">
                  <c:v>3.4229217613430341E-2</c:v>
                </c:pt>
                <c:pt idx="2276">
                  <c:v>3.4222893706086173E-2</c:v>
                </c:pt>
                <c:pt idx="2277">
                  <c:v>3.4217728790556269E-2</c:v>
                </c:pt>
                <c:pt idx="2278">
                  <c:v>3.4211387065465095E-2</c:v>
                </c:pt>
                <c:pt idx="2279">
                  <c:v>3.4203872111945519E-2</c:v>
                </c:pt>
                <c:pt idx="2280">
                  <c:v>3.4197514956667584E-2</c:v>
                </c:pt>
                <c:pt idx="2281">
                  <c:v>3.4191149489507404E-2</c:v>
                </c:pt>
                <c:pt idx="2282">
                  <c:v>3.418477571050834E-2</c:v>
                </c:pt>
                <c:pt idx="2283">
                  <c:v>3.4179553751301051E-2</c:v>
                </c:pt>
                <c:pt idx="2284">
                  <c:v>3.4172003217153468E-2</c:v>
                </c:pt>
                <c:pt idx="2285">
                  <c:v>3.4165604502880982E-2</c:v>
                </c:pt>
                <c:pt idx="2286">
                  <c:v>3.4159197476932905E-2</c:v>
                </c:pt>
                <c:pt idx="2287">
                  <c:v>3.4152782139352585E-2</c:v>
                </c:pt>
                <c:pt idx="2288">
                  <c:v>3.4146358490180002E-2</c:v>
                </c:pt>
                <c:pt idx="2289">
                  <c:v>3.4139926529455127E-2</c:v>
                </c:pt>
                <c:pt idx="2290">
                  <c:v>3.4133486257223018E-2</c:v>
                </c:pt>
                <c:pt idx="2291">
                  <c:v>3.4123585826916859E-2</c:v>
                </c:pt>
                <c:pt idx="2292">
                  <c:v>3.4117132540093263E-2</c:v>
                </c:pt>
                <c:pt idx="2293">
                  <c:v>3.4110670943887478E-2</c:v>
                </c:pt>
                <c:pt idx="2294">
                  <c:v>3.4104201038336383E-2</c:v>
                </c:pt>
                <c:pt idx="2295">
                  <c:v>3.4097722823480406E-2</c:v>
                </c:pt>
                <c:pt idx="2296">
                  <c:v>3.4094670084466136E-2</c:v>
                </c:pt>
                <c:pt idx="2297">
                  <c:v>3.4089314935450629E-2</c:v>
                </c:pt>
                <c:pt idx="2298">
                  <c:v>3.4081664870033959E-2</c:v>
                </c:pt>
                <c:pt idx="2299">
                  <c:v>3.4075149796096597E-2</c:v>
                </c:pt>
                <c:pt idx="2300">
                  <c:v>3.4068626411068691E-2</c:v>
                </c:pt>
                <c:pt idx="2301">
                  <c:v>3.4057016836939957E-2</c:v>
                </c:pt>
                <c:pt idx="2302">
                  <c:v>3.4056691968566109E-2</c:v>
                </c:pt>
                <c:pt idx="2303">
                  <c:v>3.4049006389863544E-2</c:v>
                </c:pt>
                <c:pt idx="2304">
                  <c:v>3.4037909961686097E-2</c:v>
                </c:pt>
                <c:pt idx="2305">
                  <c:v>3.4031349867114535E-2</c:v>
                </c:pt>
                <c:pt idx="2306">
                  <c:v>3.4024781464346177E-2</c:v>
                </c:pt>
                <c:pt idx="2307">
                  <c:v>3.4018204753425429E-2</c:v>
                </c:pt>
                <c:pt idx="2308">
                  <c:v>3.4011619734389598E-2</c:v>
                </c:pt>
                <c:pt idx="2309">
                  <c:v>3.4005026407280425E-2</c:v>
                </c:pt>
                <c:pt idx="2310">
                  <c:v>3.3998424772137881E-2</c:v>
                </c:pt>
                <c:pt idx="2311">
                  <c:v>3.3991814829005484E-2</c:v>
                </c:pt>
                <c:pt idx="2312">
                  <c:v>3.3985196577919652E-2</c:v>
                </c:pt>
                <c:pt idx="2313">
                  <c:v>3.3977445880832645E-2</c:v>
                </c:pt>
                <c:pt idx="2314">
                  <c:v>3.3970812230833897E-2</c:v>
                </c:pt>
                <c:pt idx="2315">
                  <c:v>3.3964170273665363E-2</c:v>
                </c:pt>
                <c:pt idx="2316">
                  <c:v>3.3957520009364771E-2</c:v>
                </c:pt>
                <c:pt idx="2317">
                  <c:v>3.3956457309749923E-2</c:v>
                </c:pt>
                <c:pt idx="2318">
                  <c:v>3.3949784332346938E-2</c:v>
                </c:pt>
                <c:pt idx="2319">
                  <c:v>3.3943103044661277E-2</c:v>
                </c:pt>
                <c:pt idx="2320">
                  <c:v>3.3936413446737167E-2</c:v>
                </c:pt>
                <c:pt idx="2321">
                  <c:v>3.392365738646165E-2</c:v>
                </c:pt>
                <c:pt idx="2322">
                  <c:v>3.3919670254613114E-2</c:v>
                </c:pt>
                <c:pt idx="2323">
                  <c:v>3.3912959395873195E-2</c:v>
                </c:pt>
                <c:pt idx="2324">
                  <c:v>3.3906240229025664E-2</c:v>
                </c:pt>
                <c:pt idx="2325">
                  <c:v>3.3902840805064512E-2</c:v>
                </c:pt>
                <c:pt idx="2326">
                  <c:v>3.3896101346622132E-2</c:v>
                </c:pt>
                <c:pt idx="2327">
                  <c:v>3.388935357824828E-2</c:v>
                </c:pt>
                <c:pt idx="2328">
                  <c:v>3.3882597499978684E-2</c:v>
                </c:pt>
                <c:pt idx="2329">
                  <c:v>3.3876937461520998E-2</c:v>
                </c:pt>
                <c:pt idx="2330">
                  <c:v>3.387016353553076E-2</c:v>
                </c:pt>
                <c:pt idx="2331">
                  <c:v>3.3862279406271602E-2</c:v>
                </c:pt>
                <c:pt idx="2332">
                  <c:v>3.3855490088876512E-2</c:v>
                </c:pt>
                <c:pt idx="2333">
                  <c:v>3.3848692461811873E-2</c:v>
                </c:pt>
                <c:pt idx="2334">
                  <c:v>3.3838591623847399E-2</c:v>
                </c:pt>
                <c:pt idx="2335">
                  <c:v>3.3836169250341858E-2</c:v>
                </c:pt>
                <c:pt idx="2336">
                  <c:v>3.3828249723024152E-2</c:v>
                </c:pt>
                <c:pt idx="2337">
                  <c:v>3.3821418857710762E-2</c:v>
                </c:pt>
                <c:pt idx="2338">
                  <c:v>3.3814579682943824E-2</c:v>
                </c:pt>
                <c:pt idx="2339">
                  <c:v>3.3807732198769251E-2</c:v>
                </c:pt>
                <c:pt idx="2340">
                  <c:v>3.3800876405232119E-2</c:v>
                </c:pt>
                <c:pt idx="2341">
                  <c:v>3.3794012302375796E-2</c:v>
                </c:pt>
                <c:pt idx="2342">
                  <c:v>3.3787139890244511E-2</c:v>
                </c:pt>
                <c:pt idx="2343">
                  <c:v>3.3776997574484081E-2</c:v>
                </c:pt>
                <c:pt idx="2344">
                  <c:v>3.3770112254359046E-2</c:v>
                </c:pt>
                <c:pt idx="2345">
                  <c:v>3.3763218627017116E-2</c:v>
                </c:pt>
                <c:pt idx="2346">
                  <c:v>3.3756316692501336E-2</c:v>
                </c:pt>
                <c:pt idx="2347">
                  <c:v>3.3749406450859137E-2</c:v>
                </c:pt>
                <c:pt idx="2348">
                  <c:v>3.3745730925166362E-2</c:v>
                </c:pt>
                <c:pt idx="2349">
                  <c:v>3.3739880014844875E-2</c:v>
                </c:pt>
                <c:pt idx="2350">
                  <c:v>3.3731861464622911E-2</c:v>
                </c:pt>
                <c:pt idx="2351">
                  <c:v>3.3724914271019542E-2</c:v>
                </c:pt>
                <c:pt idx="2352">
                  <c:v>3.3717958768588505E-2</c:v>
                </c:pt>
                <c:pt idx="2353">
                  <c:v>3.3705859438106972E-2</c:v>
                </c:pt>
                <c:pt idx="2354">
                  <c:v>3.3705096291737145E-2</c:v>
                </c:pt>
                <c:pt idx="2355">
                  <c:v>3.3697042408768176E-2</c:v>
                </c:pt>
                <c:pt idx="2356">
                  <c:v>3.3686840462406609E-2</c:v>
                </c:pt>
                <c:pt idx="2357">
                  <c:v>3.3679847151856172E-2</c:v>
                </c:pt>
                <c:pt idx="2358">
                  <c:v>3.3672845534655431E-2</c:v>
                </c:pt>
                <c:pt idx="2359">
                  <c:v>3.3665835610849175E-2</c:v>
                </c:pt>
                <c:pt idx="2360">
                  <c:v>3.3658817380476928E-2</c:v>
                </c:pt>
                <c:pt idx="2361">
                  <c:v>3.3651790843586139E-2</c:v>
                </c:pt>
                <c:pt idx="2362">
                  <c:v>3.3644756000219836E-2</c:v>
                </c:pt>
                <c:pt idx="2363">
                  <c:v>3.3641962106128027E-2</c:v>
                </c:pt>
                <c:pt idx="2364">
                  <c:v>3.36306613942364E-2</c:v>
                </c:pt>
                <c:pt idx="2365">
                  <c:v>3.3622541683957508E-2</c:v>
                </c:pt>
                <c:pt idx="2366">
                  <c:v>3.3615474865649198E-2</c:v>
                </c:pt>
                <c:pt idx="2367">
                  <c:v>3.3608399741715367E-2</c:v>
                </c:pt>
                <c:pt idx="2368">
                  <c:v>3.3601316312203089E-2</c:v>
                </c:pt>
                <c:pt idx="2369">
                  <c:v>3.3598444020172334E-2</c:v>
                </c:pt>
                <c:pt idx="2370">
                  <c:v>3.3591338966556243E-2</c:v>
                </c:pt>
                <c:pt idx="2371">
                  <c:v>3.3584225604973074E-2</c:v>
                </c:pt>
                <c:pt idx="2372">
                  <c:v>3.3577103935468741E-2</c:v>
                </c:pt>
                <c:pt idx="2373">
                  <c:v>3.3566824508417623E-2</c:v>
                </c:pt>
                <c:pt idx="2374">
                  <c:v>3.3559689990788635E-2</c:v>
                </c:pt>
                <c:pt idx="2375">
                  <c:v>3.3552547167260381E-2</c:v>
                </c:pt>
                <c:pt idx="2376">
                  <c:v>3.3541305949089564E-2</c:v>
                </c:pt>
                <c:pt idx="2377">
                  <c:v>3.3538236602684394E-2</c:v>
                </c:pt>
                <c:pt idx="2378">
                  <c:v>3.3534199454706537E-2</c:v>
                </c:pt>
                <c:pt idx="2379">
                  <c:v>3.3527019631050925E-2</c:v>
                </c:pt>
                <c:pt idx="2380">
                  <c:v>3.3519831499846622E-2</c:v>
                </c:pt>
                <c:pt idx="2381">
                  <c:v>3.3513674701410236E-2</c:v>
                </c:pt>
                <c:pt idx="2382">
                  <c:v>3.3502314841130511E-2</c:v>
                </c:pt>
                <c:pt idx="2383">
                  <c:v>3.3498217261393112E-2</c:v>
                </c:pt>
                <c:pt idx="2384">
                  <c:v>3.3490995900449849E-2</c:v>
                </c:pt>
                <c:pt idx="2385">
                  <c:v>3.3483766232189197E-2</c:v>
                </c:pt>
                <c:pt idx="2386">
                  <c:v>3.3476528256657083E-2</c:v>
                </c:pt>
                <c:pt idx="2387">
                  <c:v>3.3469281973899416E-2</c:v>
                </c:pt>
                <c:pt idx="2388">
                  <c:v>3.3463058182996115E-2</c:v>
                </c:pt>
                <c:pt idx="2389">
                  <c:v>3.3454764486899644E-2</c:v>
                </c:pt>
                <c:pt idx="2390">
                  <c:v>3.3447493282750221E-2</c:v>
                </c:pt>
                <c:pt idx="2391">
                  <c:v>3.3440213771562338E-2</c:v>
                </c:pt>
                <c:pt idx="2392">
                  <c:v>3.3433951686619216E-2</c:v>
                </c:pt>
                <c:pt idx="2393">
                  <c:v>3.3425629828264219E-2</c:v>
                </c:pt>
                <c:pt idx="2394">
                  <c:v>3.3418325396248387E-2</c:v>
                </c:pt>
                <c:pt idx="2395">
                  <c:v>3.3407946526905596E-2</c:v>
                </c:pt>
                <c:pt idx="2396">
                  <c:v>3.3400629289878317E-2</c:v>
                </c:pt>
                <c:pt idx="2397">
                  <c:v>3.339330374794526E-2</c:v>
                </c:pt>
                <c:pt idx="2398">
                  <c:v>3.3385969901154743E-2</c:v>
                </c:pt>
                <c:pt idx="2399">
                  <c:v>3.3378627749548924E-2</c:v>
                </c:pt>
                <c:pt idx="2400">
                  <c:v>3.3374324361980311E-2</c:v>
                </c:pt>
                <c:pt idx="2401">
                  <c:v>3.3366961783015091E-2</c:v>
                </c:pt>
                <c:pt idx="2402">
                  <c:v>3.3360603923067118E-2</c:v>
                </c:pt>
                <c:pt idx="2403">
                  <c:v>3.3352211705583293E-2</c:v>
                </c:pt>
                <c:pt idx="2404">
                  <c:v>3.3344824207209404E-2</c:v>
                </c:pt>
                <c:pt idx="2405">
                  <c:v>3.3337428402463759E-2</c:v>
                </c:pt>
                <c:pt idx="2406">
                  <c:v>3.3331032216644581E-2</c:v>
                </c:pt>
                <c:pt idx="2407">
                  <c:v>3.3322611874038316E-2</c:v>
                </c:pt>
                <c:pt idx="2408">
                  <c:v>3.3312174676072427E-2</c:v>
                </c:pt>
                <c:pt idx="2409">
                  <c:v>3.3303745144674934E-2</c:v>
                </c:pt>
                <c:pt idx="2410">
                  <c:v>3.3296312920987781E-2</c:v>
                </c:pt>
                <c:pt idx="2411">
                  <c:v>3.3288872393649527E-2</c:v>
                </c:pt>
                <c:pt idx="2412">
                  <c:v>3.3277163359751505E-2</c:v>
                </c:pt>
                <c:pt idx="2413">
                  <c:v>3.3270699968103765E-2</c:v>
                </c:pt>
                <c:pt idx="2414">
                  <c:v>3.3262231297525702E-2</c:v>
                </c:pt>
                <c:pt idx="2415">
                  <c:v>3.3254752811231469E-2</c:v>
                </c:pt>
                <c:pt idx="2416">
                  <c:v>3.3247266021542821E-2</c:v>
                </c:pt>
                <c:pt idx="2417">
                  <c:v>3.3240764290157584E-2</c:v>
                </c:pt>
                <c:pt idx="2418">
                  <c:v>3.3232267532171456E-2</c:v>
                </c:pt>
                <c:pt idx="2419">
                  <c:v>3.3224755832581998E-2</c:v>
                </c:pt>
                <c:pt idx="2420">
                  <c:v>3.3218225340524321E-2</c:v>
                </c:pt>
                <c:pt idx="2421">
                  <c:v>3.3211683913614287E-2</c:v>
                </c:pt>
                <c:pt idx="2422">
                  <c:v>3.3204144733494964E-2</c:v>
                </c:pt>
                <c:pt idx="2423">
                  <c:v>3.3196597249101845E-2</c:v>
                </c:pt>
                <c:pt idx="2424">
                  <c:v>3.318904146048185E-2</c:v>
                </c:pt>
                <c:pt idx="2425">
                  <c:v>3.3180494349794296E-2</c:v>
                </c:pt>
                <c:pt idx="2426">
                  <c:v>3.3170758541762879E-2</c:v>
                </c:pt>
                <c:pt idx="2427">
                  <c:v>3.3163176756942699E-2</c:v>
                </c:pt>
                <c:pt idx="2428">
                  <c:v>3.315558666870478E-2</c:v>
                </c:pt>
                <c:pt idx="2429">
                  <c:v>3.3148965770736859E-2</c:v>
                </c:pt>
                <c:pt idx="2430">
                  <c:v>3.3141357785223972E-2</c:v>
                </c:pt>
                <c:pt idx="2431">
                  <c:v>3.3133741495832633E-2</c:v>
                </c:pt>
                <c:pt idx="2432">
                  <c:v>3.3126116902614973E-2</c:v>
                </c:pt>
                <c:pt idx="2433">
                  <c:v>3.3118484005617038E-2</c:v>
                </c:pt>
                <c:pt idx="2434">
                  <c:v>3.3110842804884882E-2</c:v>
                </c:pt>
                <c:pt idx="2435">
                  <c:v>3.3103193300471505E-2</c:v>
                </c:pt>
                <c:pt idx="2436">
                  <c:v>3.3095535492422092E-2</c:v>
                </c:pt>
                <c:pt idx="2437">
                  <c:v>3.3087869380787026E-2</c:v>
                </c:pt>
                <c:pt idx="2438">
                  <c:v>3.3080194965612368E-2</c:v>
                </c:pt>
                <c:pt idx="2439">
                  <c:v>3.3072512246946774E-2</c:v>
                </c:pt>
                <c:pt idx="2440">
                  <c:v>3.3064821224840633E-2</c:v>
                </c:pt>
                <c:pt idx="2441">
                  <c:v>3.3057121899341742E-2</c:v>
                </c:pt>
                <c:pt idx="2442">
                  <c:v>3.304941427049788E-2</c:v>
                </c:pt>
                <c:pt idx="2443">
                  <c:v>3.3041698338359446E-2</c:v>
                </c:pt>
                <c:pt idx="2444">
                  <c:v>3.3033974102975087E-2</c:v>
                </c:pt>
                <c:pt idx="2445">
                  <c:v>3.3026241564392607E-2</c:v>
                </c:pt>
                <c:pt idx="2446">
                  <c:v>3.3018500722659785E-2</c:v>
                </c:pt>
                <c:pt idx="2447">
                  <c:v>3.3009797405621835E-2</c:v>
                </c:pt>
                <c:pt idx="2448">
                  <c:v>3.3002041259000171E-2</c:v>
                </c:pt>
                <c:pt idx="2449">
                  <c:v>3.2994276809963044E-2</c:v>
                </c:pt>
                <c:pt idx="2450">
                  <c:v>3.2990304726760546E-2</c:v>
                </c:pt>
                <c:pt idx="2451">
                  <c:v>3.297967196847916E-2</c:v>
                </c:pt>
                <c:pt idx="2452">
                  <c:v>3.2971881308883455E-2</c:v>
                </c:pt>
                <c:pt idx="2453">
                  <c:v>3.2964082346481481E-2</c:v>
                </c:pt>
                <c:pt idx="2454">
                  <c:v>3.2956275081322768E-2</c:v>
                </c:pt>
                <c:pt idx="2455">
                  <c:v>3.2948459513459448E-2</c:v>
                </c:pt>
                <c:pt idx="2456">
                  <c:v>3.2940635642936693E-2</c:v>
                </c:pt>
                <c:pt idx="2457">
                  <c:v>3.2932803469806642E-2</c:v>
                </c:pt>
                <c:pt idx="2458">
                  <c:v>3.292496299411795E-2</c:v>
                </c:pt>
                <c:pt idx="2459">
                  <c:v>3.2915053952650486E-2</c:v>
                </c:pt>
                <c:pt idx="2460">
                  <c:v>3.2907382647278105E-2</c:v>
                </c:pt>
                <c:pt idx="2461">
                  <c:v>3.2899519881802952E-2</c:v>
                </c:pt>
                <c:pt idx="2462">
                  <c:v>3.2891648815129848E-2</c:v>
                </c:pt>
                <c:pt idx="2463">
                  <c:v>3.2881128358494043E-2</c:v>
                </c:pt>
                <c:pt idx="2464">
                  <c:v>3.2874754290907582E-2</c:v>
                </c:pt>
                <c:pt idx="2465">
                  <c:v>3.286798580841932E-2</c:v>
                </c:pt>
                <c:pt idx="2466">
                  <c:v>3.2860081537446462E-2</c:v>
                </c:pt>
                <c:pt idx="2467">
                  <c:v>3.2852168965520789E-2</c:v>
                </c:pt>
                <c:pt idx="2468">
                  <c:v>3.2844248092691153E-2</c:v>
                </c:pt>
                <c:pt idx="2469">
                  <c:v>3.2835393371291967E-2</c:v>
                </c:pt>
                <c:pt idx="2470">
                  <c:v>3.2827457210586289E-2</c:v>
                </c:pt>
                <c:pt idx="2471">
                  <c:v>3.281951274970208E-2</c:v>
                </c:pt>
                <c:pt idx="2472">
                  <c:v>3.2811559988686061E-2</c:v>
                </c:pt>
                <c:pt idx="2473">
                  <c:v>3.2806359585600145E-2</c:v>
                </c:pt>
                <c:pt idx="2474">
                  <c:v>3.2798386275751261E-2</c:v>
                </c:pt>
                <c:pt idx="2475">
                  <c:v>3.2790404664193487E-2</c:v>
                </c:pt>
                <c:pt idx="2476">
                  <c:v>3.2782414750977228E-2</c:v>
                </c:pt>
                <c:pt idx="2477">
                  <c:v>3.2773501655580746E-2</c:v>
                </c:pt>
                <c:pt idx="2478">
                  <c:v>3.2765496464985069E-2</c:v>
                </c:pt>
                <c:pt idx="2479">
                  <c:v>3.2757483606765489E-2</c:v>
                </c:pt>
                <c:pt idx="2480">
                  <c:v>3.2749464797918668E-2</c:v>
                </c:pt>
                <c:pt idx="2481">
                  <c:v>3.2742352808306147E-2</c:v>
                </c:pt>
                <c:pt idx="2482">
                  <c:v>3.273432711562093E-2</c:v>
                </c:pt>
                <c:pt idx="2483">
                  <c:v>3.2726301129598193E-2</c:v>
                </c:pt>
                <c:pt idx="2484">
                  <c:v>3.2718276658499287E-2</c:v>
                </c:pt>
                <c:pt idx="2485">
                  <c:v>3.2710255510566472E-2</c:v>
                </c:pt>
                <c:pt idx="2486">
                  <c:v>3.2702239494036785E-2</c:v>
                </c:pt>
                <c:pt idx="2487">
                  <c:v>3.2694230417127282E-2</c:v>
                </c:pt>
                <c:pt idx="2488">
                  <c:v>3.2686230088038511E-2</c:v>
                </c:pt>
                <c:pt idx="2489">
                  <c:v>3.2678240314957981E-2</c:v>
                </c:pt>
                <c:pt idx="2490">
                  <c:v>3.267026290606017E-2</c:v>
                </c:pt>
                <c:pt idx="2491">
                  <c:v>3.2662299662475629E-2</c:v>
                </c:pt>
                <c:pt idx="2492">
                  <c:v>3.2654351772910879E-2</c:v>
                </c:pt>
                <c:pt idx="2493">
                  <c:v>3.2646419347100761E-2</c:v>
                </c:pt>
                <c:pt idx="2494">
                  <c:v>3.2638502384954027E-2</c:v>
                </c:pt>
                <c:pt idx="2495">
                  <c:v>3.2630600886380333E-2</c:v>
                </c:pt>
                <c:pt idx="2496">
                  <c:v>3.2622714851279745E-2</c:v>
                </c:pt>
                <c:pt idx="2497">
                  <c:v>3.261484427956364E-2</c:v>
                </c:pt>
                <c:pt idx="2498">
                  <c:v>3.2606989171140799E-2</c:v>
                </c:pt>
                <c:pt idx="2499">
                  <c:v>3.2598234681189421E-2</c:v>
                </c:pt>
                <c:pt idx="2500">
                  <c:v>3.2590410100138648E-2</c:v>
                </c:pt>
                <c:pt idx="2501">
                  <c:v>3.2582600980546793E-2</c:v>
                </c:pt>
                <c:pt idx="2502">
                  <c:v>3.2574807322326024E-2</c:v>
                </c:pt>
                <c:pt idx="2503">
                  <c:v>3.2570695488008936E-2</c:v>
                </c:pt>
                <c:pt idx="2504">
                  <c:v>3.2560183244574041E-2</c:v>
                </c:pt>
                <c:pt idx="2505">
                  <c:v>3.2552436376620822E-2</c:v>
                </c:pt>
                <c:pt idx="2506">
                  <c:v>3.2544704971225795E-2</c:v>
                </c:pt>
                <c:pt idx="2507">
                  <c:v>3.2536989028295993E-2</c:v>
                </c:pt>
                <c:pt idx="2508">
                  <c:v>3.2529288547745394E-2</c:v>
                </c:pt>
                <c:pt idx="2509">
                  <c:v>3.2521603529482759E-2</c:v>
                </c:pt>
                <c:pt idx="2510">
                  <c:v>3.25139339734134E-2</c:v>
                </c:pt>
                <c:pt idx="2511">
                  <c:v>3.2504267905699082E-2</c:v>
                </c:pt>
                <c:pt idx="2512">
                  <c:v>3.2496801038901957E-2</c:v>
                </c:pt>
                <c:pt idx="2513">
                  <c:v>3.2489177030875283E-2</c:v>
                </c:pt>
                <c:pt idx="2514">
                  <c:v>3.2481568481599332E-2</c:v>
                </c:pt>
                <c:pt idx="2515">
                  <c:v>3.2473975390986176E-2</c:v>
                </c:pt>
                <c:pt idx="2516">
                  <c:v>3.2466397758948773E-2</c:v>
                </c:pt>
                <c:pt idx="2517">
                  <c:v>3.2458835585400969E-2</c:v>
                </c:pt>
                <c:pt idx="2518">
                  <c:v>3.2451288870255723E-2</c:v>
                </c:pt>
                <c:pt idx="2519">
                  <c:v>3.2443757613424218E-2</c:v>
                </c:pt>
                <c:pt idx="2520">
                  <c:v>3.2436241814822964E-2</c:v>
                </c:pt>
                <c:pt idx="2521">
                  <c:v>3.2427817688628381E-2</c:v>
                </c:pt>
                <c:pt idx="2522">
                  <c:v>3.2420332373607086E-2</c:v>
                </c:pt>
                <c:pt idx="2523">
                  <c:v>3.241286251502281E-2</c:v>
                </c:pt>
                <c:pt idx="2524">
                  <c:v>3.2405408112787554E-2</c:v>
                </c:pt>
                <c:pt idx="2525">
                  <c:v>3.2400746035113941E-2</c:v>
                </c:pt>
                <c:pt idx="2526">
                  <c:v>3.2393323862056914E-2</c:v>
                </c:pt>
                <c:pt idx="2527">
                  <c:v>3.2385917149688269E-2</c:v>
                </c:pt>
                <c:pt idx="2528">
                  <c:v>3.2378525897921118E-2</c:v>
                </c:pt>
                <c:pt idx="2529">
                  <c:v>3.2370222621084528E-2</c:v>
                </c:pt>
                <c:pt idx="2530">
                  <c:v>3.2362861845078229E-2</c:v>
                </c:pt>
                <c:pt idx="2531">
                  <c:v>3.2355516527884182E-2</c:v>
                </c:pt>
                <c:pt idx="2532">
                  <c:v>3.2348186669418938E-2</c:v>
                </c:pt>
                <c:pt idx="2533">
                  <c:v>3.2340872269601681E-2</c:v>
                </c:pt>
                <c:pt idx="2534">
                  <c:v>3.2334503055117807E-2</c:v>
                </c:pt>
                <c:pt idx="2535">
                  <c:v>3.2327220025145653E-2</c:v>
                </c:pt>
                <c:pt idx="2536">
                  <c:v>3.2319952455085121E-2</c:v>
                </c:pt>
                <c:pt idx="2537">
                  <c:v>3.2312700344853652E-2</c:v>
                </c:pt>
                <c:pt idx="2538">
                  <c:v>3.2305463694363497E-2</c:v>
                </c:pt>
                <c:pt idx="2539">
                  <c:v>3.229824250352864E-2</c:v>
                </c:pt>
                <c:pt idx="2540">
                  <c:v>3.2291036772267398E-2</c:v>
                </c:pt>
                <c:pt idx="2541">
                  <c:v>3.2283846500492895E-2</c:v>
                </c:pt>
                <c:pt idx="2542">
                  <c:v>3.2276671688121712E-2</c:v>
                </c:pt>
                <c:pt idx="2543">
                  <c:v>3.2269512335067842E-2</c:v>
                </c:pt>
                <c:pt idx="2544">
                  <c:v>3.2262368441249592E-2</c:v>
                </c:pt>
                <c:pt idx="2545">
                  <c:v>3.2255240006583565E-2</c:v>
                </c:pt>
                <c:pt idx="2546">
                  <c:v>3.224812703098287E-2</c:v>
                </c:pt>
                <c:pt idx="2547">
                  <c:v>3.2241029514364965E-2</c:v>
                </c:pt>
                <c:pt idx="2548">
                  <c:v>3.2233947456648177E-2</c:v>
                </c:pt>
                <c:pt idx="2549">
                  <c:v>3.2226880857747352E-2</c:v>
                </c:pt>
                <c:pt idx="2550">
                  <c:v>3.2219829717580827E-2</c:v>
                </c:pt>
                <c:pt idx="2551">
                  <c:v>3.2211856405084227E-2</c:v>
                </c:pt>
                <c:pt idx="2552">
                  <c:v>3.2204835703571327E-2</c:v>
                </c:pt>
                <c:pt idx="2553">
                  <c:v>3.2197830459035667E-2</c:v>
                </c:pt>
                <c:pt idx="2554">
                  <c:v>3.2190840671397304E-2</c:v>
                </c:pt>
                <c:pt idx="2555">
                  <c:v>3.218386634057719E-2</c:v>
                </c:pt>
                <c:pt idx="2556">
                  <c:v>3.2177847505362026E-2</c:v>
                </c:pt>
                <c:pt idx="2557">
                  <c:v>3.2170904574020873E-2</c:v>
                </c:pt>
                <c:pt idx="2558">
                  <c:v>3.2163977100756282E-2</c:v>
                </c:pt>
                <c:pt idx="2559">
                  <c:v>3.2157065085487435E-2</c:v>
                </c:pt>
                <c:pt idx="2560">
                  <c:v>3.2150168528132676E-2</c:v>
                </c:pt>
                <c:pt idx="2561">
                  <c:v>3.2144191095308416E-2</c:v>
                </c:pt>
                <c:pt idx="2562">
                  <c:v>3.2136421786836088E-2</c:v>
                </c:pt>
                <c:pt idx="2563">
                  <c:v>3.2130481665103738E-2</c:v>
                </c:pt>
                <c:pt idx="2564">
                  <c:v>3.2121792906600985E-2</c:v>
                </c:pt>
                <c:pt idx="2565">
                  <c:v>3.2114973139513232E-2</c:v>
                </c:pt>
                <c:pt idx="2566">
                  <c:v>3.210816882836267E-2</c:v>
                </c:pt>
                <c:pt idx="2567">
                  <c:v>3.2101379973066717E-2</c:v>
                </c:pt>
                <c:pt idx="2568">
                  <c:v>3.208977789370706E-2</c:v>
                </c:pt>
                <c:pt idx="2569">
                  <c:v>3.2086884470862449E-2</c:v>
                </c:pt>
                <c:pt idx="2570">
                  <c:v>3.2080144190597966E-2</c:v>
                </c:pt>
                <c:pt idx="2571">
                  <c:v>3.2073419365866607E-2</c:v>
                </c:pt>
                <c:pt idx="2572">
                  <c:v>3.2066709996584036E-2</c:v>
                </c:pt>
                <c:pt idx="2573">
                  <c:v>3.2059067608591008E-2</c:v>
                </c:pt>
                <c:pt idx="2574">
                  <c:v>3.2052388638411422E-2</c:v>
                </c:pt>
                <c:pt idx="2575">
                  <c:v>3.2045725121963464E-2</c:v>
                </c:pt>
                <c:pt idx="2576">
                  <c:v>3.2039077059169863E-2</c:v>
                </c:pt>
                <c:pt idx="2577">
                  <c:v>3.2036247201388923E-2</c:v>
                </c:pt>
                <c:pt idx="2578">
                  <c:v>3.2029632116687634E-2</c:v>
                </c:pt>
                <c:pt idx="2579">
                  <c:v>3.2023032491349496E-2</c:v>
                </c:pt>
                <c:pt idx="2580">
                  <c:v>3.2016448325291172E-2</c:v>
                </c:pt>
                <c:pt idx="2581">
                  <c:v>3.200422666589231E-2</c:v>
                </c:pt>
                <c:pt idx="2582">
                  <c:v>3.2000466336547975E-2</c:v>
                </c:pt>
                <c:pt idx="2583">
                  <c:v>3.1993926972129216E-2</c:v>
                </c:pt>
                <c:pt idx="2584">
                  <c:v>3.1987403062237789E-2</c:v>
                </c:pt>
                <c:pt idx="2585">
                  <c:v>3.1983759381501053E-2</c:v>
                </c:pt>
                <c:pt idx="2586">
                  <c:v>3.1977267969493128E-2</c:v>
                </c:pt>
                <c:pt idx="2587">
                  <c:v>3.1970792016217366E-2</c:v>
                </c:pt>
                <c:pt idx="2588">
                  <c:v>3.196433152159979E-2</c:v>
                </c:pt>
                <c:pt idx="2589">
                  <c:v>3.1958843753439471E-2</c:v>
                </c:pt>
                <c:pt idx="2590">
                  <c:v>3.1952414711812822E-2</c:v>
                </c:pt>
                <c:pt idx="2591">
                  <c:v>3.1945042788907009E-2</c:v>
                </c:pt>
                <c:pt idx="2592">
                  <c:v>3.1938644128140667E-2</c:v>
                </c:pt>
                <c:pt idx="2593">
                  <c:v>3.1932260925644732E-2</c:v>
                </c:pt>
                <c:pt idx="2594">
                  <c:v>3.192301394578153E-2</c:v>
                </c:pt>
                <c:pt idx="2595">
                  <c:v>3.1920501400605684E-2</c:v>
                </c:pt>
                <c:pt idx="2596">
                  <c:v>3.1913204067013173E-2</c:v>
                </c:pt>
                <c:pt idx="2597">
                  <c:v>3.1906882696834379E-2</c:v>
                </c:pt>
                <c:pt idx="2598">
                  <c:v>3.1900576784544166E-2</c:v>
                </c:pt>
                <c:pt idx="2599">
                  <c:v>3.1894286330068564E-2</c:v>
                </c:pt>
                <c:pt idx="2600">
                  <c:v>3.1888011333331023E-2</c:v>
                </c:pt>
                <c:pt idx="2601">
                  <c:v>3.1881751794255862E-2</c:v>
                </c:pt>
                <c:pt idx="2602">
                  <c:v>3.1875507712767412E-2</c:v>
                </c:pt>
                <c:pt idx="2603">
                  <c:v>3.1866385034882982E-2</c:v>
                </c:pt>
                <c:pt idx="2604">
                  <c:v>3.1860170199870648E-2</c:v>
                </c:pt>
                <c:pt idx="2605">
                  <c:v>3.1853970817832596E-2</c:v>
                </c:pt>
                <c:pt idx="2606">
                  <c:v>3.1847786888695044E-2</c:v>
                </c:pt>
                <c:pt idx="2607">
                  <c:v>3.1841618412390353E-2</c:v>
                </c:pt>
                <c:pt idx="2608">
                  <c:v>3.1838367828996447E-2</c:v>
                </c:pt>
                <c:pt idx="2609">
                  <c:v>3.183320021386702E-2</c:v>
                </c:pt>
                <c:pt idx="2610">
                  <c:v>3.182611152506299E-2</c:v>
                </c:pt>
                <c:pt idx="2611">
                  <c:v>3.1820006558513678E-2</c:v>
                </c:pt>
                <c:pt idx="2612">
                  <c:v>3.1813917048810376E-2</c:v>
                </c:pt>
                <c:pt idx="2613">
                  <c:v>3.1803303337590225E-2</c:v>
                </c:pt>
                <c:pt idx="2614">
                  <c:v>3.1802755505801292E-2</c:v>
                </c:pt>
                <c:pt idx="2615">
                  <c:v>3.1795741260047805E-2</c:v>
                </c:pt>
                <c:pt idx="2616">
                  <c:v>3.1785825686601044E-2</c:v>
                </c:pt>
                <c:pt idx="2617">
                  <c:v>3.1779811159884375E-2</c:v>
                </c:pt>
                <c:pt idx="2618">
                  <c:v>3.1773812083764952E-2</c:v>
                </c:pt>
                <c:pt idx="2619">
                  <c:v>3.1767828458176162E-2</c:v>
                </c:pt>
                <c:pt idx="2620">
                  <c:v>3.17628343955512E-2</c:v>
                </c:pt>
                <c:pt idx="2621">
                  <c:v>3.1755907558310703E-2</c:v>
                </c:pt>
                <c:pt idx="2622">
                  <c:v>3.1749970283897255E-2</c:v>
                </c:pt>
                <c:pt idx="2623">
                  <c:v>3.1744048459738217E-2</c:v>
                </c:pt>
                <c:pt idx="2624">
                  <c:v>3.1738142085766974E-2</c:v>
                </c:pt>
                <c:pt idx="2625">
                  <c:v>3.1731274245306473E-2</c:v>
                </c:pt>
                <c:pt idx="2626">
                  <c:v>3.1725398183820995E-2</c:v>
                </c:pt>
                <c:pt idx="2627">
                  <c:v>3.171953757087325E-2</c:v>
                </c:pt>
                <c:pt idx="2628">
                  <c:v>3.1713692406396765E-2</c:v>
                </c:pt>
                <c:pt idx="2629">
                  <c:v>3.171276021124441E-2</c:v>
                </c:pt>
                <c:pt idx="2630">
                  <c:v>3.1706948912458392E-2</c:v>
                </c:pt>
                <c:pt idx="2631">
                  <c:v>3.170115306915948E-2</c:v>
                </c:pt>
                <c:pt idx="2632">
                  <c:v>3.1695372681281343E-2</c:v>
                </c:pt>
                <c:pt idx="2633">
                  <c:v>3.1686661740557051E-2</c:v>
                </c:pt>
                <c:pt idx="2634">
                  <c:v>3.168091046414985E-2</c:v>
                </c:pt>
                <c:pt idx="2635">
                  <c:v>3.1675174638634195E-2</c:v>
                </c:pt>
                <c:pt idx="2636">
                  <c:v>3.166619241548168E-2</c:v>
                </c:pt>
                <c:pt idx="2637">
                  <c:v>3.1663749340008769E-2</c:v>
                </c:pt>
                <c:pt idx="2638">
                  <c:v>3.1661014913959937E-2</c:v>
                </c:pt>
                <c:pt idx="2639">
                  <c:v>3.1655342712089189E-2</c:v>
                </c:pt>
                <c:pt idx="2640">
                  <c:v>3.1649685965088159E-2</c:v>
                </c:pt>
                <c:pt idx="2641">
                  <c:v>3.1645031745838804E-2</c:v>
                </c:pt>
                <c:pt idx="2642">
                  <c:v>3.1639406519922572E-2</c:v>
                </c:pt>
                <c:pt idx="2643">
                  <c:v>3.1632808452625664E-2</c:v>
                </c:pt>
                <c:pt idx="2644">
                  <c:v>3.1627213524429182E-2</c:v>
                </c:pt>
                <c:pt idx="2645">
                  <c:v>3.1621634050762265E-2</c:v>
                </c:pt>
                <c:pt idx="2646">
                  <c:v>3.1613100297816797E-2</c:v>
                </c:pt>
                <c:pt idx="2647">
                  <c:v>3.1611512230506171E-2</c:v>
                </c:pt>
                <c:pt idx="2648">
                  <c:v>3.1604988356289263E-2</c:v>
                </c:pt>
                <c:pt idx="2649">
                  <c:v>3.1599470700084988E-2</c:v>
                </c:pt>
                <c:pt idx="2650">
                  <c:v>3.159396849807948E-2</c:v>
                </c:pt>
                <c:pt idx="2651">
                  <c:v>3.1588481750208973E-2</c:v>
                </c:pt>
                <c:pt idx="2652">
                  <c:v>3.1584004335184594E-2</c:v>
                </c:pt>
                <c:pt idx="2653">
                  <c:v>3.1577554616601659E-2</c:v>
                </c:pt>
                <c:pt idx="2654">
                  <c:v>3.1572114230735596E-2</c:v>
                </c:pt>
                <c:pt idx="2655">
                  <c:v>3.1563702714052705E-2</c:v>
                </c:pt>
                <c:pt idx="2656">
                  <c:v>3.1558291342122811E-2</c:v>
                </c:pt>
                <c:pt idx="2657">
                  <c:v>3.1552895419659679E-2</c:v>
                </c:pt>
                <c:pt idx="2658">
                  <c:v>3.1547514946600942E-2</c:v>
                </c:pt>
                <c:pt idx="2659">
                  <c:v>3.154514410817056E-2</c:v>
                </c:pt>
                <c:pt idx="2660">
                  <c:v>3.1539796444558198E-2</c:v>
                </c:pt>
                <c:pt idx="2661">
                  <c:v>3.1534464234427739E-2</c:v>
                </c:pt>
                <c:pt idx="2662">
                  <c:v>3.1530147693559052E-2</c:v>
                </c:pt>
                <c:pt idx="2663">
                  <c:v>3.1523846174362505E-2</c:v>
                </c:pt>
                <c:pt idx="2664">
                  <c:v>3.1518560324297624E-2</c:v>
                </c:pt>
                <c:pt idx="2665">
                  <c:v>3.1513289927462919E-2</c:v>
                </c:pt>
                <c:pt idx="2666">
                  <c:v>3.1509037774286222E-2</c:v>
                </c:pt>
                <c:pt idx="2667">
                  <c:v>3.1502795493223004E-2</c:v>
                </c:pt>
                <c:pt idx="2668">
                  <c:v>3.1493556314980964E-2</c:v>
                </c:pt>
                <c:pt idx="2669">
                  <c:v>3.1488345131879036E-2</c:v>
                </c:pt>
                <c:pt idx="2670">
                  <c:v>3.1483149396023258E-2</c:v>
                </c:pt>
                <c:pt idx="2671">
                  <c:v>3.1477969107358561E-2</c:v>
                </c:pt>
                <c:pt idx="2672">
                  <c:v>3.1468582871969228E-2</c:v>
                </c:pt>
                <c:pt idx="2673">
                  <c:v>3.1466459863520348E-2</c:v>
                </c:pt>
                <c:pt idx="2674">
                  <c:v>3.1462341118628008E-2</c:v>
                </c:pt>
                <c:pt idx="2675">
                  <c:v>3.1454484501310276E-2</c:v>
                </c:pt>
                <c:pt idx="2676">
                  <c:v>3.145112619772128E-2</c:v>
                </c:pt>
                <c:pt idx="2677">
                  <c:v>3.1447055777851424E-2</c:v>
                </c:pt>
                <c:pt idx="2678">
                  <c:v>3.144098099505651E-2</c:v>
                </c:pt>
                <c:pt idx="2679">
                  <c:v>3.1434200274520485E-2</c:v>
                </c:pt>
                <c:pt idx="2680">
                  <c:v>3.143190948322943E-2</c:v>
                </c:pt>
                <c:pt idx="2681">
                  <c:v>3.1426891617224118E-2</c:v>
                </c:pt>
                <c:pt idx="2682">
                  <c:v>3.1421889200553652E-2</c:v>
                </c:pt>
                <c:pt idx="2683">
                  <c:v>3.1416902233160703E-2</c:v>
                </c:pt>
                <c:pt idx="2684">
                  <c:v>3.1411930714985305E-2</c:v>
                </c:pt>
                <c:pt idx="2685">
                  <c:v>3.140595939791245E-2</c:v>
                </c:pt>
                <c:pt idx="2686">
                  <c:v>3.1401018103851056E-2</c:v>
                </c:pt>
                <c:pt idx="2687">
                  <c:v>3.1394687710052445E-2</c:v>
                </c:pt>
                <c:pt idx="2688">
                  <c:v>3.1391181858591001E-2</c:v>
                </c:pt>
                <c:pt idx="2689">
                  <c:v>3.1386286907273749E-2</c:v>
                </c:pt>
                <c:pt idx="2690">
                  <c:v>3.1381730322524573E-2</c:v>
                </c:pt>
                <c:pt idx="2691">
                  <c:v>3.1377562660993903E-2</c:v>
                </c:pt>
                <c:pt idx="2692">
                  <c:v>3.1372714734479765E-2</c:v>
                </c:pt>
                <c:pt idx="2693">
                  <c:v>3.1367193163803431E-2</c:v>
                </c:pt>
                <c:pt idx="2694">
                  <c:v>3.1363065227488052E-2</c:v>
                </c:pt>
                <c:pt idx="2695">
                  <c:v>3.1358263646901009E-2</c:v>
                </c:pt>
                <c:pt idx="2696">
                  <c:v>3.1353477514843374E-2</c:v>
                </c:pt>
                <c:pt idx="2697">
                  <c:v>3.1348706831258677E-2</c:v>
                </c:pt>
                <c:pt idx="2698">
                  <c:v>3.1343951596091303E-2</c:v>
                </c:pt>
                <c:pt idx="2699">
                  <c:v>3.1339211809285658E-2</c:v>
                </c:pt>
                <c:pt idx="2700">
                  <c:v>3.1334487470785252E-2</c:v>
                </c:pt>
                <c:pt idx="2701">
                  <c:v>3.1329778580534477E-2</c:v>
                </c:pt>
                <c:pt idx="2702">
                  <c:v>3.1325085138480348E-2</c:v>
                </c:pt>
                <c:pt idx="2703">
                  <c:v>3.13204071445655E-2</c:v>
                </c:pt>
                <c:pt idx="2704">
                  <c:v>3.1315744598734332E-2</c:v>
                </c:pt>
                <c:pt idx="2705">
                  <c:v>3.131109750093472E-2</c:v>
                </c:pt>
                <c:pt idx="2706">
                  <c:v>3.1305805447903276E-2</c:v>
                </c:pt>
                <c:pt idx="2707">
                  <c:v>3.1300160949293394E-2</c:v>
                </c:pt>
                <c:pt idx="2708">
                  <c:v>3.1296217787316241E-2</c:v>
                </c:pt>
                <c:pt idx="2709">
                  <c:v>3.1291631774782995E-2</c:v>
                </c:pt>
                <c:pt idx="2710">
                  <c:v>3.1287061208614825E-2</c:v>
                </c:pt>
                <c:pt idx="2711">
                  <c:v>3.1283539319718563E-2</c:v>
                </c:pt>
                <c:pt idx="2712">
                  <c:v>3.127900035661059E-2</c:v>
                </c:pt>
                <c:pt idx="2713">
                  <c:v>3.127383188562461E-2</c:v>
                </c:pt>
                <c:pt idx="2714">
                  <c:v>3.1269968773136446E-2</c:v>
                </c:pt>
                <c:pt idx="2715">
                  <c:v>3.1265476152664284E-2</c:v>
                </c:pt>
                <c:pt idx="2716">
                  <c:v>3.1260998979631971E-2</c:v>
                </c:pt>
                <c:pt idx="2717">
                  <c:v>3.1255901125615659E-2</c:v>
                </c:pt>
                <c:pt idx="2718">
                  <c:v>3.1252090975674017E-2</c:v>
                </c:pt>
                <c:pt idx="2719">
                  <c:v>3.1247660144645854E-2</c:v>
                </c:pt>
                <c:pt idx="2720">
                  <c:v>3.1242205085563277E-2</c:v>
                </c:pt>
                <c:pt idx="2721">
                  <c:v>3.1237804425974458E-2</c:v>
                </c:pt>
                <c:pt idx="2722">
                  <c:v>3.1233419212126148E-2</c:v>
                </c:pt>
                <c:pt idx="2723">
                  <c:v>3.1229049443971792E-2</c:v>
                </c:pt>
                <c:pt idx="2724">
                  <c:v>3.121886288386223E-2</c:v>
                </c:pt>
                <c:pt idx="2725">
                  <c:v>3.1218694387533219E-2</c:v>
                </c:pt>
                <c:pt idx="2726">
                  <c:v>3.1214372432730286E-2</c:v>
                </c:pt>
                <c:pt idx="2727">
                  <c:v>3.1210065922027574E-2</c:v>
                </c:pt>
                <c:pt idx="2728">
                  <c:v>3.1205774855374457E-2</c:v>
                </c:pt>
                <c:pt idx="2729">
                  <c:v>3.1202545438985471E-2</c:v>
                </c:pt>
                <c:pt idx="2730">
                  <c:v>3.1197239054026937E-2</c:v>
                </c:pt>
                <c:pt idx="2731">
                  <c:v>3.119299431923217E-2</c:v>
                </c:pt>
                <c:pt idx="2732">
                  <c:v>3.118981344501822E-2</c:v>
                </c:pt>
                <c:pt idx="2733">
                  <c:v>3.1186649624953017E-2</c:v>
                </c:pt>
                <c:pt idx="2734">
                  <c:v>3.1182452703658169E-2</c:v>
                </c:pt>
                <c:pt idx="2735">
                  <c:v>3.1178271228826566E-2</c:v>
                </c:pt>
                <c:pt idx="2736">
                  <c:v>3.1174105200410411E-2</c:v>
                </c:pt>
                <c:pt idx="2737">
                  <c:v>3.1167719101428373E-2</c:v>
                </c:pt>
                <c:pt idx="2738">
                  <c:v>3.1163587631898807E-2</c:v>
                </c:pt>
                <c:pt idx="2739">
                  <c:v>3.1159471607248902E-2</c:v>
                </c:pt>
                <c:pt idx="2740">
                  <c:v>3.1155371027429466E-2</c:v>
                </c:pt>
                <c:pt idx="2741">
                  <c:v>3.1152341362163168E-2</c:v>
                </c:pt>
                <c:pt idx="2742">
                  <c:v>3.1148272424387759E-2</c:v>
                </c:pt>
                <c:pt idx="2743">
                  <c:v>3.1144218932675039E-2</c:v>
                </c:pt>
                <c:pt idx="2744">
                  <c:v>3.114018088697635E-2</c:v>
                </c:pt>
                <c:pt idx="2745">
                  <c:v>3.1136158287245645E-2</c:v>
                </c:pt>
                <c:pt idx="2746">
                  <c:v>3.1132151133436006E-2</c:v>
                </c:pt>
                <c:pt idx="2747">
                  <c:v>3.1128159425499641E-2</c:v>
                </c:pt>
                <c:pt idx="2748">
                  <c:v>3.1124183163389635E-2</c:v>
                </c:pt>
                <c:pt idx="2749">
                  <c:v>3.1120222347059065E-2</c:v>
                </c:pt>
                <c:pt idx="2750">
                  <c:v>3.111627697646362E-2</c:v>
                </c:pt>
                <c:pt idx="2751">
                  <c:v>3.1112347051553777E-2</c:v>
                </c:pt>
                <c:pt idx="2752">
                  <c:v>3.1108432572285221E-2</c:v>
                </c:pt>
                <c:pt idx="2753">
                  <c:v>3.1104533538612773E-2</c:v>
                </c:pt>
                <c:pt idx="2754">
                  <c:v>3.1100649950487773E-2</c:v>
                </c:pt>
                <c:pt idx="2755">
                  <c:v>3.109678180786591E-2</c:v>
                </c:pt>
                <c:pt idx="2756">
                  <c:v>3.1092929110702872E-2</c:v>
                </c:pt>
                <c:pt idx="2757">
                  <c:v>3.108909185895261E-2</c:v>
                </c:pt>
                <c:pt idx="2758">
                  <c:v>3.1085270052571678E-2</c:v>
                </c:pt>
                <c:pt idx="2759">
                  <c:v>3.1080394466680501E-2</c:v>
                </c:pt>
                <c:pt idx="2760">
                  <c:v>3.1076602773739338E-2</c:v>
                </c:pt>
                <c:pt idx="2761">
                  <c:v>3.1072826524664143E-2</c:v>
                </c:pt>
                <c:pt idx="2762">
                  <c:v>3.1073352777653534E-2</c:v>
                </c:pt>
                <c:pt idx="2763">
                  <c:v>3.1066392699607405E-2</c:v>
                </c:pt>
                <c:pt idx="2764">
                  <c:v>3.1062663564494525E-2</c:v>
                </c:pt>
                <c:pt idx="2765">
                  <c:v>3.1058949874439919E-2</c:v>
                </c:pt>
                <c:pt idx="2766">
                  <c:v>3.1055251629396673E-2</c:v>
                </c:pt>
                <c:pt idx="2767">
                  <c:v>3.1051568829325683E-2</c:v>
                </c:pt>
                <c:pt idx="2768">
                  <c:v>3.1047901474180028E-2</c:v>
                </c:pt>
                <c:pt idx="2769">
                  <c:v>3.1044249563920618E-2</c:v>
                </c:pt>
                <c:pt idx="2770">
                  <c:v>3.1040613098499658E-2</c:v>
                </c:pt>
                <c:pt idx="2771">
                  <c:v>3.1035397296028985E-2</c:v>
                </c:pt>
                <c:pt idx="2772">
                  <c:v>3.1032307067800073E-2</c:v>
                </c:pt>
                <c:pt idx="2773">
                  <c:v>3.1028716141783753E-2</c:v>
                </c:pt>
                <c:pt idx="2774">
                  <c:v>3.102514065908351E-2</c:v>
                </c:pt>
                <c:pt idx="2775">
                  <c:v>3.1019553245104105E-2</c:v>
                </c:pt>
                <c:pt idx="2776">
                  <c:v>3.1017530913237303E-2</c:v>
                </c:pt>
                <c:pt idx="2777">
                  <c:v>3.1014506870440911E-2</c:v>
                </c:pt>
                <c:pt idx="2778">
                  <c:v>3.101099316057894E-2</c:v>
                </c:pt>
                <c:pt idx="2779">
                  <c:v>3.1007494893822225E-2</c:v>
                </c:pt>
                <c:pt idx="2780">
                  <c:v>3.100401207013212E-2</c:v>
                </c:pt>
                <c:pt idx="2781">
                  <c:v>3.0999458191881324E-2</c:v>
                </c:pt>
                <c:pt idx="2782">
                  <c:v>3.0996005447298636E-2</c:v>
                </c:pt>
                <c:pt idx="2783">
                  <c:v>3.0992568144309729E-2</c:v>
                </c:pt>
                <c:pt idx="2784">
                  <c:v>3.0989146282871083E-2</c:v>
                </c:pt>
                <c:pt idx="2785">
                  <c:v>3.0987919469503824E-2</c:v>
                </c:pt>
                <c:pt idx="2786">
                  <c:v>3.0984530115854777E-2</c:v>
                </c:pt>
                <c:pt idx="2787">
                  <c:v>3.0981156206344743E-2</c:v>
                </c:pt>
                <c:pt idx="2788">
                  <c:v>3.0977797740933753E-2</c:v>
                </c:pt>
                <c:pt idx="2789">
                  <c:v>3.0973361588288981E-2</c:v>
                </c:pt>
                <c:pt idx="2790">
                  <c:v>3.0970033193065374E-2</c:v>
                </c:pt>
                <c:pt idx="2791">
                  <c:v>3.096672024047355E-2</c:v>
                </c:pt>
                <c:pt idx="2792">
                  <c:v>3.0963422730473991E-2</c:v>
                </c:pt>
                <c:pt idx="2793">
                  <c:v>3.0960140663029795E-2</c:v>
                </c:pt>
                <c:pt idx="2794">
                  <c:v>3.0957971272371189E-2</c:v>
                </c:pt>
                <c:pt idx="2795">
                  <c:v>3.0954720914563937E-2</c:v>
                </c:pt>
                <c:pt idx="2796">
                  <c:v>3.0951486000549013E-2</c:v>
                </c:pt>
                <c:pt idx="2797">
                  <c:v>3.0948266530282983E-2</c:v>
                </c:pt>
                <c:pt idx="2798">
                  <c:v>3.0945062503731083E-2</c:v>
                </c:pt>
                <c:pt idx="2799">
                  <c:v>3.0941873920855956E-2</c:v>
                </c:pt>
                <c:pt idx="2800">
                  <c:v>3.0938700781618502E-2</c:v>
                </c:pt>
                <c:pt idx="2801">
                  <c:v>3.0935543085983098E-2</c:v>
                </c:pt>
                <c:pt idx="2802">
                  <c:v>3.0932400833910644E-2</c:v>
                </c:pt>
                <c:pt idx="2803">
                  <c:v>3.0929274025365515E-2</c:v>
                </c:pt>
                <c:pt idx="2804">
                  <c:v>3.0926162660311222E-2</c:v>
                </c:pt>
                <c:pt idx="2805">
                  <c:v>3.0923066738713006E-2</c:v>
                </c:pt>
                <c:pt idx="2806">
                  <c:v>3.0919986260529168E-2</c:v>
                </c:pt>
                <c:pt idx="2807">
                  <c:v>3.091692122572668E-2</c:v>
                </c:pt>
                <c:pt idx="2808">
                  <c:v>3.0913871634272536E-2</c:v>
                </c:pt>
                <c:pt idx="2809">
                  <c:v>3.0910837486125026E-2</c:v>
                </c:pt>
                <c:pt idx="2810">
                  <c:v>3.0907818781252868E-2</c:v>
                </c:pt>
                <c:pt idx="2811">
                  <c:v>3.0903704083201877E-2</c:v>
                </c:pt>
                <c:pt idx="2812">
                  <c:v>3.0900715417247159E-2</c:v>
                </c:pt>
                <c:pt idx="2813">
                  <c:v>3.0897742193118721E-2</c:v>
                </c:pt>
                <c:pt idx="2814">
                  <c:v>3.0894784410781424E-2</c:v>
                </c:pt>
                <c:pt idx="2815">
                  <c:v>3.0891842070200137E-2</c:v>
                </c:pt>
                <c:pt idx="2816">
                  <c:v>3.0890030858795266E-2</c:v>
                </c:pt>
                <c:pt idx="2817">
                  <c:v>3.0887120255858339E-2</c:v>
                </c:pt>
                <c:pt idx="2818">
                  <c:v>3.088422509591612E-2</c:v>
                </c:pt>
                <c:pt idx="2819">
                  <c:v>3.0881345378936463E-2</c:v>
                </c:pt>
                <c:pt idx="2820">
                  <c:v>3.0878481104882002E-2</c:v>
                </c:pt>
                <c:pt idx="2821">
                  <c:v>3.0877467186571299E-2</c:v>
                </c:pt>
                <c:pt idx="2822">
                  <c:v>3.0872798885422697E-2</c:v>
                </c:pt>
                <c:pt idx="2823">
                  <c:v>3.0871823713225638E-2</c:v>
                </c:pt>
                <c:pt idx="2824">
                  <c:v>3.0864933466163258E-2</c:v>
                </c:pt>
                <c:pt idx="2825">
                  <c:v>3.0862144676526704E-2</c:v>
                </c:pt>
                <c:pt idx="2826">
                  <c:v>3.0859371326941165E-2</c:v>
                </c:pt>
                <c:pt idx="2827">
                  <c:v>3.0856613417377332E-2</c:v>
                </c:pt>
                <c:pt idx="2828">
                  <c:v>3.0851921494003065E-2</c:v>
                </c:pt>
                <c:pt idx="2829">
                  <c:v>3.0850755602932267E-2</c:v>
                </c:pt>
                <c:pt idx="2830">
                  <c:v>3.0848046218943104E-2</c:v>
                </c:pt>
                <c:pt idx="2831">
                  <c:v>3.0845352274845972E-2</c:v>
                </c:pt>
                <c:pt idx="2832">
                  <c:v>3.0842673770608009E-2</c:v>
                </c:pt>
                <c:pt idx="2833">
                  <c:v>3.083888048570619E-2</c:v>
                </c:pt>
                <c:pt idx="2834">
                  <c:v>3.0836231984275438E-2</c:v>
                </c:pt>
                <c:pt idx="2835">
                  <c:v>3.0833598921279935E-2</c:v>
                </c:pt>
                <c:pt idx="2836">
                  <c:v>3.0830981296687345E-2</c:v>
                </c:pt>
                <c:pt idx="2837">
                  <c:v>3.0834049277224343E-2</c:v>
                </c:pt>
                <c:pt idx="2838">
                  <c:v>3.0831466941854121E-2</c:v>
                </c:pt>
                <c:pt idx="2839">
                  <c:v>3.0828900051462816E-2</c:v>
                </c:pt>
                <c:pt idx="2840">
                  <c:v>3.0826348606023211E-2</c:v>
                </c:pt>
                <c:pt idx="2841">
                  <c:v>3.0820399443007511E-2</c:v>
                </c:pt>
                <c:pt idx="2842">
                  <c:v>3.0816441316206249E-2</c:v>
                </c:pt>
                <c:pt idx="2843">
                  <c:v>3.0815368444589646E-2</c:v>
                </c:pt>
                <c:pt idx="2844">
                  <c:v>3.0812876106646583E-2</c:v>
                </c:pt>
                <c:pt idx="2845">
                  <c:v>3.081039920950996E-2</c:v>
                </c:pt>
                <c:pt idx="2846">
                  <c:v>3.0811364275660318E-2</c:v>
                </c:pt>
                <c:pt idx="2847">
                  <c:v>3.0808920944030531E-2</c:v>
                </c:pt>
                <c:pt idx="2848">
                  <c:v>3.0806493057114338E-2</c:v>
                </c:pt>
                <c:pt idx="2849">
                  <c:v>3.0805225778857897E-2</c:v>
                </c:pt>
                <c:pt idx="2850">
                  <c:v>3.0802829680275191E-2</c:v>
                </c:pt>
                <c:pt idx="2851">
                  <c:v>3.0799302064340329E-2</c:v>
                </c:pt>
                <c:pt idx="2852">
                  <c:v>3.0796935955980025E-2</c:v>
                </c:pt>
                <c:pt idx="2853">
                  <c:v>3.0794585292186198E-2</c:v>
                </c:pt>
                <c:pt idx="2854">
                  <c:v>3.0792250072930783E-2</c:v>
                </c:pt>
                <c:pt idx="2855">
                  <c:v>3.0791080876097235E-2</c:v>
                </c:pt>
                <c:pt idx="2856">
                  <c:v>3.0787625967928049E-2</c:v>
                </c:pt>
                <c:pt idx="2857">
                  <c:v>3.0785337082123755E-2</c:v>
                </c:pt>
                <c:pt idx="2858">
                  <c:v>3.0783063640747323E-2</c:v>
                </c:pt>
                <c:pt idx="2859">
                  <c:v>3.0780805643772394E-2</c:v>
                </c:pt>
                <c:pt idx="2860">
                  <c:v>3.0778563091171756E-2</c:v>
                </c:pt>
                <c:pt idx="2861">
                  <c:v>3.0776335982917343E-2</c:v>
                </c:pt>
                <c:pt idx="2862">
                  <c:v>3.0774124318983648E-2</c:v>
                </c:pt>
                <c:pt idx="2863">
                  <c:v>3.0768455406783534E-2</c:v>
                </c:pt>
                <c:pt idx="2864">
                  <c:v>3.0766271879682866E-2</c:v>
                </c:pt>
                <c:pt idx="2865">
                  <c:v>3.0764103792843136E-2</c:v>
                </c:pt>
                <c:pt idx="2866">
                  <c:v>3.0761951146244141E-2</c:v>
                </c:pt>
                <c:pt idx="2867">
                  <c:v>3.0759813939857768E-2</c:v>
                </c:pt>
                <c:pt idx="2868">
                  <c:v>3.0761178664633442E-2</c:v>
                </c:pt>
                <c:pt idx="2869">
                  <c:v>3.0760238506504223E-2</c:v>
                </c:pt>
                <c:pt idx="2870">
                  <c:v>3.0756986999898983E-2</c:v>
                </c:pt>
                <c:pt idx="2871">
                  <c:v>3.0754914333675651E-2</c:v>
                </c:pt>
                <c:pt idx="2872">
                  <c:v>3.0752857111514518E-2</c:v>
                </c:pt>
                <c:pt idx="2873">
                  <c:v>3.0747610468525446E-2</c:v>
                </c:pt>
                <c:pt idx="2874">
                  <c:v>3.074995703653409E-2</c:v>
                </c:pt>
                <c:pt idx="2875">
                  <c:v>3.0746778109167056E-2</c:v>
                </c:pt>
                <c:pt idx="2876">
                  <c:v>3.0740104607382079E-2</c:v>
                </c:pt>
                <c:pt idx="2877">
                  <c:v>3.0738120867686014E-2</c:v>
                </c:pt>
                <c:pt idx="2878">
                  <c:v>3.0736152566618102E-2</c:v>
                </c:pt>
                <c:pt idx="2879">
                  <c:v>3.0734199704157028E-2</c:v>
                </c:pt>
                <c:pt idx="2880">
                  <c:v>3.0733435305220276E-2</c:v>
                </c:pt>
                <c:pt idx="2881">
                  <c:v>3.0730340294957692E-2</c:v>
                </c:pt>
                <c:pt idx="2882">
                  <c:v>3.0728433748177686E-2</c:v>
                </c:pt>
                <c:pt idx="2883">
                  <c:v>3.0726542639913035E-2</c:v>
                </c:pt>
                <c:pt idx="2884">
                  <c:v>3.0724666970144199E-2</c:v>
                </c:pt>
                <c:pt idx="2885">
                  <c:v>3.0721629160791776E-2</c:v>
                </c:pt>
                <c:pt idx="2886">
                  <c:v>3.0719783422120658E-2</c:v>
                </c:pt>
                <c:pt idx="2887">
                  <c:v>3.0717953120560908E-2</c:v>
                </c:pt>
                <c:pt idx="2888">
                  <c:v>3.0716138256090965E-2</c:v>
                </c:pt>
                <c:pt idx="2889">
                  <c:v>3.0720247253254857E-2</c:v>
                </c:pt>
                <c:pt idx="2890">
                  <c:v>3.0718468020188447E-2</c:v>
                </c:pt>
                <c:pt idx="2891">
                  <c:v>3.0716704230750538E-2</c:v>
                </c:pt>
                <c:pt idx="2892">
                  <c:v>3.0711593110557173E-2</c:v>
                </c:pt>
                <c:pt idx="2893">
                  <c:v>3.0709666011109291E-2</c:v>
                </c:pt>
                <c:pt idx="2894">
                  <c:v>3.0707945681690149E-2</c:v>
                </c:pt>
                <c:pt idx="2895">
                  <c:v>3.0706240791859081E-2</c:v>
                </c:pt>
                <c:pt idx="2896">
                  <c:v>3.0704551341594121E-2</c:v>
                </c:pt>
                <c:pt idx="2897">
                  <c:v>3.0706445809085214E-2</c:v>
                </c:pt>
                <c:pt idx="2898">
                  <c:v>3.0704790124444763E-2</c:v>
                </c:pt>
                <c:pt idx="2899">
                  <c:v>3.0703149883266986E-2</c:v>
                </c:pt>
                <c:pt idx="2900">
                  <c:v>3.0701525085529782E-2</c:v>
                </c:pt>
                <c:pt idx="2901">
                  <c:v>3.0701109400583629E-2</c:v>
                </c:pt>
                <c:pt idx="2902">
                  <c:v>3.069951645748073E-2</c:v>
                </c:pt>
                <c:pt idx="2903">
                  <c:v>3.0696743352775346E-2</c:v>
                </c:pt>
                <c:pt idx="2904">
                  <c:v>3.0695180328612483E-2</c:v>
                </c:pt>
                <c:pt idx="2905">
                  <c:v>3.0693632747796646E-2</c:v>
                </c:pt>
                <c:pt idx="2906">
                  <c:v>3.0688506010857083E-2</c:v>
                </c:pt>
                <c:pt idx="2907">
                  <c:v>3.0691783412100267E-2</c:v>
                </c:pt>
                <c:pt idx="2908">
                  <c:v>3.0689082665240806E-2</c:v>
                </c:pt>
                <c:pt idx="2909">
                  <c:v>3.0687596857626842E-2</c:v>
                </c:pt>
                <c:pt idx="2910">
                  <c:v>3.0686126493268063E-2</c:v>
                </c:pt>
                <c:pt idx="2911">
                  <c:v>3.0684671572144908E-2</c:v>
                </c:pt>
                <c:pt idx="2912">
                  <c:v>3.0683232094244627E-2</c:v>
                </c:pt>
                <c:pt idx="2913">
                  <c:v>3.0681808059545106E-2</c:v>
                </c:pt>
                <c:pt idx="2914">
                  <c:v>3.0680399468033588E-2</c:v>
                </c:pt>
                <c:pt idx="2915">
                  <c:v>3.067538527911819E-2</c:v>
                </c:pt>
                <c:pt idx="2916">
                  <c:v>3.067400461629544E-2</c:v>
                </c:pt>
                <c:pt idx="2917">
                  <c:v>3.0672639392665471E-2</c:v>
                </c:pt>
                <c:pt idx="2918">
                  <c:v>3.0671289608211593E-2</c:v>
                </c:pt>
                <c:pt idx="2919">
                  <c:v>3.0669955262915358E-2</c:v>
                </c:pt>
                <c:pt idx="2920">
                  <c:v>3.0672272224927001E-2</c:v>
                </c:pt>
                <c:pt idx="2921">
                  <c:v>3.067218501084976E-2</c:v>
                </c:pt>
                <c:pt idx="2922">
                  <c:v>3.0669686688635549E-2</c:v>
                </c:pt>
                <c:pt idx="2923">
                  <c:v>3.0668417085055837E-2</c:v>
                </c:pt>
                <c:pt idx="2924">
                  <c:v>3.0667162924502552E-2</c:v>
                </c:pt>
                <c:pt idx="2925">
                  <c:v>3.066296317230785E-2</c:v>
                </c:pt>
                <c:pt idx="2926">
                  <c:v>3.0665919191742406E-2</c:v>
                </c:pt>
                <c:pt idx="2927">
                  <c:v>3.0663493100844829E-2</c:v>
                </c:pt>
                <c:pt idx="2928">
                  <c:v>3.0657421312057842E-2</c:v>
                </c:pt>
                <c:pt idx="2929">
                  <c:v>3.0656240354946185E-2</c:v>
                </c:pt>
                <c:pt idx="2930">
                  <c:v>3.0655074835522989E-2</c:v>
                </c:pt>
                <c:pt idx="2931">
                  <c:v>3.0653924753772266E-2</c:v>
                </c:pt>
                <c:pt idx="2932">
                  <c:v>3.0654013730865768E-2</c:v>
                </c:pt>
                <c:pt idx="2933">
                  <c:v>3.0651670903239392E-2</c:v>
                </c:pt>
                <c:pt idx="2934">
                  <c:v>3.0650567134430595E-2</c:v>
                </c:pt>
                <c:pt idx="2935">
                  <c:v>3.0649478803245422E-2</c:v>
                </c:pt>
                <c:pt idx="2936">
                  <c:v>3.0648405909667886E-2</c:v>
                </c:pt>
                <c:pt idx="2937">
                  <c:v>3.0646119946470575E-2</c:v>
                </c:pt>
                <c:pt idx="2938">
                  <c:v>3.0645076913851196E-2</c:v>
                </c:pt>
                <c:pt idx="2939">
                  <c:v>3.0644049317494426E-2</c:v>
                </c:pt>
                <c:pt idx="2940">
                  <c:v>3.0643037157386789E-2</c:v>
                </c:pt>
                <c:pt idx="2941">
                  <c:v>3.0648204964081473E-2</c:v>
                </c:pt>
                <c:pt idx="2942">
                  <c:v>3.0647228775586326E-2</c:v>
                </c:pt>
                <c:pt idx="2943">
                  <c:v>3.0646268029865052E-2</c:v>
                </c:pt>
                <c:pt idx="2944">
                  <c:v>3.0645322726898933E-2</c:v>
                </c:pt>
                <c:pt idx="2945">
                  <c:v>3.0640681383405886E-2</c:v>
                </c:pt>
                <c:pt idx="2946">
                  <c:v>3.0639763890167579E-2</c:v>
                </c:pt>
                <c:pt idx="2947">
                  <c:v>3.0638353307737815E-2</c:v>
                </c:pt>
                <c:pt idx="2948">
                  <c:v>3.0637975220059729E-2</c:v>
                </c:pt>
                <c:pt idx="2949">
                  <c:v>3.0637104043171735E-2</c:v>
                </c:pt>
                <c:pt idx="2950">
                  <c:v>3.06399752064376E-2</c:v>
                </c:pt>
                <c:pt idx="2951">
                  <c:v>3.0639138002482077E-2</c:v>
                </c:pt>
                <c:pt idx="2952">
                  <c:v>3.0638316241198376E-2</c:v>
                </c:pt>
                <c:pt idx="2953">
                  <c:v>3.0638755660999786E-2</c:v>
                </c:pt>
                <c:pt idx="2954">
                  <c:v>3.0637965821134695E-2</c:v>
                </c:pt>
                <c:pt idx="2955">
                  <c:v>3.0635943613297419E-2</c:v>
                </c:pt>
                <c:pt idx="2956">
                  <c:v>3.0635183622612566E-2</c:v>
                </c:pt>
                <c:pt idx="2957">
                  <c:v>3.0634439074556166E-2</c:v>
                </c:pt>
                <c:pt idx="2958">
                  <c:v>3.0629958194360599E-2</c:v>
                </c:pt>
                <c:pt idx="2959">
                  <c:v>3.0634248280943223E-2</c:v>
                </c:pt>
                <c:pt idx="2960">
                  <c:v>3.0632298086052234E-2</c:v>
                </c:pt>
                <c:pt idx="2961">
                  <c:v>3.0631615308411849E-2</c:v>
                </c:pt>
                <c:pt idx="2962">
                  <c:v>3.063094797335655E-2</c:v>
                </c:pt>
                <c:pt idx="2963">
                  <c:v>3.0630296080874427E-2</c:v>
                </c:pt>
                <c:pt idx="2964">
                  <c:v>3.0630916838503414E-2</c:v>
                </c:pt>
                <c:pt idx="2965">
                  <c:v>3.0629038623610154E-2</c:v>
                </c:pt>
                <c:pt idx="2966">
                  <c:v>3.0628433058808448E-2</c:v>
                </c:pt>
                <c:pt idx="2967">
                  <c:v>3.0624062878732403E-2</c:v>
                </c:pt>
                <c:pt idx="2968">
                  <c:v>3.0623485036817426E-2</c:v>
                </c:pt>
                <c:pt idx="2969">
                  <c:v>3.062292263350757E-2</c:v>
                </c:pt>
                <c:pt idx="2970">
                  <c:v>3.062237566879317E-2</c:v>
                </c:pt>
                <c:pt idx="2971">
                  <c:v>3.0625636872846525E-2</c:v>
                </c:pt>
                <c:pt idx="2972">
                  <c:v>3.0625123963216865E-2</c:v>
                </c:pt>
                <c:pt idx="2973">
                  <c:v>3.0624626496089796E-2</c:v>
                </c:pt>
                <c:pt idx="2974">
                  <c:v>3.0625412242958561E-2</c:v>
                </c:pt>
                <c:pt idx="2975">
                  <c:v>3.0623677889333248E-2</c:v>
                </c:pt>
                <c:pt idx="2976">
                  <c:v>3.0623226749690157E-2</c:v>
                </c:pt>
                <c:pt idx="2977">
                  <c:v>3.0622791052527555E-2</c:v>
                </c:pt>
                <c:pt idx="2978">
                  <c:v>3.0623642831566419E-2</c:v>
                </c:pt>
                <c:pt idx="2979">
                  <c:v>3.062196598563445E-2</c:v>
                </c:pt>
                <c:pt idx="2980">
                  <c:v>3.0617755143270541E-2</c:v>
                </c:pt>
                <c:pt idx="2981">
                  <c:v>3.0617378002760071E-2</c:v>
                </c:pt>
                <c:pt idx="2982">
                  <c:v>3.0617016300785324E-2</c:v>
                </c:pt>
                <c:pt idx="2983">
                  <c:v>3.0616670037339276E-2</c:v>
                </c:pt>
                <c:pt idx="2984">
                  <c:v>3.0616202156386833E-2</c:v>
                </c:pt>
                <c:pt idx="2985">
                  <c:v>3.0617172865633625E-2</c:v>
                </c:pt>
                <c:pt idx="2986">
                  <c:v>3.0615600055122164E-2</c:v>
                </c:pt>
                <c:pt idx="2987">
                  <c:v>3.0615283723567806E-2</c:v>
                </c:pt>
                <c:pt idx="2988">
                  <c:v>3.0615059707908159E-2</c:v>
                </c:pt>
                <c:pt idx="2989">
                  <c:v>3.0616096491024182E-2</c:v>
                </c:pt>
                <c:pt idx="2990">
                  <c:v>3.0614581114727247E-2</c:v>
                </c:pt>
                <c:pt idx="2991">
                  <c:v>3.0613049413746651E-2</c:v>
                </c:pt>
                <c:pt idx="2992">
                  <c:v>3.0615451328105444E-2</c:v>
                </c:pt>
                <c:pt idx="2993">
                  <c:v>3.0615267153410817E-2</c:v>
                </c:pt>
                <c:pt idx="2994">
                  <c:v>3.0615098418519539E-2</c:v>
                </c:pt>
                <c:pt idx="2995">
                  <c:v>3.0614945123426399E-2</c:v>
                </c:pt>
                <c:pt idx="2996">
                  <c:v>3.0614807268134002E-2</c:v>
                </c:pt>
                <c:pt idx="2997">
                  <c:v>3.0613392351261561E-2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809088"/>
        <c:axId val="54415065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43362</c:v>
                </c:pt>
                <c:pt idx="17">
                  <c:v>43453</c:v>
                </c:pt>
                <c:pt idx="18">
                  <c:v>43544</c:v>
                </c:pt>
                <c:pt idx="19">
                  <c:v>43635</c:v>
                </c:pt>
                <c:pt idx="20">
                  <c:v>43726</c:v>
                </c:pt>
                <c:pt idx="21">
                  <c:v>43817</c:v>
                </c:pt>
                <c:pt idx="22">
                  <c:v>43908</c:v>
                </c:pt>
                <c:pt idx="23">
                  <c:v>43999</c:v>
                </c:pt>
                <c:pt idx="24">
                  <c:v>44090</c:v>
                </c:pt>
                <c:pt idx="25">
                  <c:v>44181</c:v>
                </c:pt>
                <c:pt idx="26">
                  <c:v>44272</c:v>
                </c:pt>
                <c:pt idx="27">
                  <c:v>44363</c:v>
                </c:pt>
                <c:pt idx="28">
                  <c:v>44454</c:v>
                </c:pt>
                <c:pt idx="29">
                  <c:v>44545</c:v>
                </c:pt>
                <c:pt idx="30">
                  <c:v>44636</c:v>
                </c:pt>
                <c:pt idx="31">
                  <c:v>44727</c:v>
                </c:pt>
                <c:pt idx="32">
                  <c:v>44825</c:v>
                </c:pt>
                <c:pt idx="33">
                  <c:v>44916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2.4250000000001215E-3</c:v>
                </c:pt>
                <c:pt idx="1">
                  <c:v>2.8249999999999664E-3</c:v>
                </c:pt>
                <c:pt idx="2">
                  <c:v>3.7749999999999728E-3</c:v>
                </c:pt>
                <c:pt idx="3">
                  <c:v>5.5749999999999966E-3</c:v>
                </c:pt>
                <c:pt idx="4">
                  <c:v>7.8249999999999709E-3</c:v>
                </c:pt>
                <c:pt idx="5">
                  <c:v>1.0275000000000034E-2</c:v>
                </c:pt>
                <c:pt idx="6">
                  <c:v>1.2974999999999959E-2</c:v>
                </c:pt>
                <c:pt idx="7">
                  <c:v>1.5774999999999983E-2</c:v>
                </c:pt>
                <c:pt idx="8">
                  <c:v>1.8625000000000003E-2</c:v>
                </c:pt>
                <c:pt idx="9">
                  <c:v>2.1225000000000049E-2</c:v>
                </c:pt>
                <c:pt idx="10">
                  <c:v>2.3375000000000035E-2</c:v>
                </c:pt>
                <c:pt idx="11">
                  <c:v>2.5374999999999925E-2</c:v>
                </c:pt>
                <c:pt idx="12">
                  <c:v>2.707499999999996E-2</c:v>
                </c:pt>
                <c:pt idx="13">
                  <c:v>2.8700000000000059E-2</c:v>
                </c:pt>
                <c:pt idx="14">
                  <c:v>2.9974999999999974E-2</c:v>
                </c:pt>
                <c:pt idx="15">
                  <c:v>3.1225000000000058E-2</c:v>
                </c:pt>
                <c:pt idx="16">
                  <c:v>3.2325000000000048E-2</c:v>
                </c:pt>
                <c:pt idx="17">
                  <c:v>3.3324999999999938E-2</c:v>
                </c:pt>
                <c:pt idx="18">
                  <c:v>3.422499999999995E-2</c:v>
                </c:pt>
                <c:pt idx="19">
                  <c:v>3.5125000000000073E-2</c:v>
                </c:pt>
                <c:pt idx="20">
                  <c:v>3.5950000000000037E-2</c:v>
                </c:pt>
                <c:pt idx="21">
                  <c:v>3.6800000000000055E-2</c:v>
                </c:pt>
                <c:pt idx="22">
                  <c:v>3.7549999999999972E-2</c:v>
                </c:pt>
                <c:pt idx="23">
                  <c:v>3.8249999999999895E-2</c:v>
                </c:pt>
                <c:pt idx="24">
                  <c:v>3.8925000000000098E-2</c:v>
                </c:pt>
                <c:pt idx="25">
                  <c:v>3.960000000000008E-2</c:v>
                </c:pt>
                <c:pt idx="26">
                  <c:v>4.0099999999999913E-2</c:v>
                </c:pt>
                <c:pt idx="27">
                  <c:v>4.0599999999999969E-2</c:v>
                </c:pt>
                <c:pt idx="28">
                  <c:v>4.0999999999999925E-2</c:v>
                </c:pt>
                <c:pt idx="29">
                  <c:v>4.1399999999999992E-2</c:v>
                </c:pt>
                <c:pt idx="30">
                  <c:v>4.1649999999999965E-2</c:v>
                </c:pt>
                <c:pt idx="31">
                  <c:v>4.192499999999999E-2</c:v>
                </c:pt>
                <c:pt idx="32">
                  <c:v>4.2274999999999952E-2</c:v>
                </c:pt>
                <c:pt idx="33">
                  <c:v>4.2499999999999982E-2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41855</c:v>
                </c:pt>
                <c:pt idx="1">
                  <c:v>41886</c:v>
                </c:pt>
                <c:pt idx="2">
                  <c:v>41918</c:v>
                </c:pt>
                <c:pt idx="3">
                  <c:v>41947</c:v>
                </c:pt>
                <c:pt idx="4">
                  <c:v>41977</c:v>
                </c:pt>
                <c:pt idx="5">
                  <c:v>42009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2.33E-3</c:v>
                </c:pt>
                <c:pt idx="1">
                  <c:v>2.3899999999999998E-3</c:v>
                </c:pt>
                <c:pt idx="2">
                  <c:v>2.4399999999999999E-3</c:v>
                </c:pt>
                <c:pt idx="3">
                  <c:v>2.5700000000000002E-3</c:v>
                </c:pt>
                <c:pt idx="4">
                  <c:v>2.7000000000000001E-3</c:v>
                </c:pt>
                <c:pt idx="5">
                  <c:v>2.9100000000000003E-3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41927</c:v>
                </c:pt>
                <c:pt idx="3">
                  <c:v>41962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2.3125000000000506E-3</c:v>
                </c:pt>
                <c:pt idx="1">
                  <c:v>2.375000000000016E-3</c:v>
                </c:pt>
                <c:pt idx="2">
                  <c:v>2.5499999999999412E-3</c:v>
                </c:pt>
                <c:pt idx="3">
                  <c:v>2.6249999999999885E-3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809088"/>
        <c:axId val="544150656"/>
      </c:scatterChart>
      <c:dateAx>
        <c:axId val="542809088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41506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4150656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280908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41827</c:v>
                </c:pt>
                <c:pt idx="1">
                  <c:v>41827</c:v>
                </c:pt>
                <c:pt idx="2">
                  <c:v>41828</c:v>
                </c:pt>
                <c:pt idx="3">
                  <c:v>41829</c:v>
                </c:pt>
                <c:pt idx="4">
                  <c:v>41830</c:v>
                </c:pt>
                <c:pt idx="5">
                  <c:v>41831</c:v>
                </c:pt>
                <c:pt idx="6">
                  <c:v>41834</c:v>
                </c:pt>
                <c:pt idx="7">
                  <c:v>41835</c:v>
                </c:pt>
                <c:pt idx="8">
                  <c:v>41836</c:v>
                </c:pt>
                <c:pt idx="9">
                  <c:v>41837</c:v>
                </c:pt>
                <c:pt idx="10">
                  <c:v>41838</c:v>
                </c:pt>
                <c:pt idx="11">
                  <c:v>41841</c:v>
                </c:pt>
                <c:pt idx="12">
                  <c:v>41842</c:v>
                </c:pt>
                <c:pt idx="13">
                  <c:v>41843</c:v>
                </c:pt>
                <c:pt idx="14">
                  <c:v>41844</c:v>
                </c:pt>
                <c:pt idx="15">
                  <c:v>41845</c:v>
                </c:pt>
                <c:pt idx="16">
                  <c:v>41848</c:v>
                </c:pt>
                <c:pt idx="17">
                  <c:v>41849</c:v>
                </c:pt>
                <c:pt idx="18">
                  <c:v>41850</c:v>
                </c:pt>
                <c:pt idx="19">
                  <c:v>41851</c:v>
                </c:pt>
                <c:pt idx="20">
                  <c:v>41852</c:v>
                </c:pt>
                <c:pt idx="21">
                  <c:v>41855</c:v>
                </c:pt>
                <c:pt idx="22">
                  <c:v>41856</c:v>
                </c:pt>
                <c:pt idx="23">
                  <c:v>41857</c:v>
                </c:pt>
                <c:pt idx="24">
                  <c:v>41858</c:v>
                </c:pt>
                <c:pt idx="25">
                  <c:v>41859</c:v>
                </c:pt>
                <c:pt idx="26">
                  <c:v>41862</c:v>
                </c:pt>
                <c:pt idx="27">
                  <c:v>41863</c:v>
                </c:pt>
                <c:pt idx="28">
                  <c:v>41864</c:v>
                </c:pt>
                <c:pt idx="29">
                  <c:v>41865</c:v>
                </c:pt>
                <c:pt idx="30">
                  <c:v>41866</c:v>
                </c:pt>
                <c:pt idx="31">
                  <c:v>41869</c:v>
                </c:pt>
                <c:pt idx="32">
                  <c:v>41870</c:v>
                </c:pt>
                <c:pt idx="33">
                  <c:v>41871</c:v>
                </c:pt>
                <c:pt idx="34">
                  <c:v>41872</c:v>
                </c:pt>
                <c:pt idx="35">
                  <c:v>41873</c:v>
                </c:pt>
                <c:pt idx="36">
                  <c:v>41877</c:v>
                </c:pt>
                <c:pt idx="37">
                  <c:v>41878</c:v>
                </c:pt>
                <c:pt idx="38">
                  <c:v>41879</c:v>
                </c:pt>
                <c:pt idx="39">
                  <c:v>41880</c:v>
                </c:pt>
                <c:pt idx="40">
                  <c:v>41884</c:v>
                </c:pt>
                <c:pt idx="41">
                  <c:v>41884</c:v>
                </c:pt>
                <c:pt idx="42">
                  <c:v>41885</c:v>
                </c:pt>
                <c:pt idx="43">
                  <c:v>41886</c:v>
                </c:pt>
                <c:pt idx="44">
                  <c:v>41887</c:v>
                </c:pt>
                <c:pt idx="45">
                  <c:v>41890</c:v>
                </c:pt>
                <c:pt idx="46">
                  <c:v>41891</c:v>
                </c:pt>
                <c:pt idx="47">
                  <c:v>41892</c:v>
                </c:pt>
                <c:pt idx="48">
                  <c:v>41893</c:v>
                </c:pt>
                <c:pt idx="49">
                  <c:v>41894</c:v>
                </c:pt>
                <c:pt idx="50">
                  <c:v>41897</c:v>
                </c:pt>
                <c:pt idx="51">
                  <c:v>41898</c:v>
                </c:pt>
                <c:pt idx="52">
                  <c:v>41899</c:v>
                </c:pt>
                <c:pt idx="53">
                  <c:v>41900</c:v>
                </c:pt>
                <c:pt idx="54">
                  <c:v>41901</c:v>
                </c:pt>
                <c:pt idx="55">
                  <c:v>41904</c:v>
                </c:pt>
                <c:pt idx="56">
                  <c:v>41905</c:v>
                </c:pt>
                <c:pt idx="57">
                  <c:v>41906</c:v>
                </c:pt>
                <c:pt idx="58">
                  <c:v>41907</c:v>
                </c:pt>
                <c:pt idx="59">
                  <c:v>41908</c:v>
                </c:pt>
                <c:pt idx="60">
                  <c:v>41911</c:v>
                </c:pt>
                <c:pt idx="61">
                  <c:v>41912</c:v>
                </c:pt>
                <c:pt idx="62">
                  <c:v>41913</c:v>
                </c:pt>
                <c:pt idx="63">
                  <c:v>41914</c:v>
                </c:pt>
                <c:pt idx="64">
                  <c:v>41915</c:v>
                </c:pt>
                <c:pt idx="65">
                  <c:v>41918</c:v>
                </c:pt>
                <c:pt idx="66">
                  <c:v>41919</c:v>
                </c:pt>
                <c:pt idx="67">
                  <c:v>41920</c:v>
                </c:pt>
                <c:pt idx="68">
                  <c:v>41921</c:v>
                </c:pt>
                <c:pt idx="69">
                  <c:v>41922</c:v>
                </c:pt>
                <c:pt idx="70">
                  <c:v>41926</c:v>
                </c:pt>
                <c:pt idx="71">
                  <c:v>41926</c:v>
                </c:pt>
                <c:pt idx="72">
                  <c:v>41927</c:v>
                </c:pt>
                <c:pt idx="73">
                  <c:v>41928</c:v>
                </c:pt>
                <c:pt idx="74">
                  <c:v>41929</c:v>
                </c:pt>
                <c:pt idx="75">
                  <c:v>41932</c:v>
                </c:pt>
                <c:pt idx="76">
                  <c:v>41933</c:v>
                </c:pt>
                <c:pt idx="77">
                  <c:v>41934</c:v>
                </c:pt>
                <c:pt idx="78">
                  <c:v>41935</c:v>
                </c:pt>
                <c:pt idx="79">
                  <c:v>41936</c:v>
                </c:pt>
                <c:pt idx="80">
                  <c:v>41939</c:v>
                </c:pt>
                <c:pt idx="81">
                  <c:v>41940</c:v>
                </c:pt>
                <c:pt idx="82">
                  <c:v>41941</c:v>
                </c:pt>
                <c:pt idx="83">
                  <c:v>41942</c:v>
                </c:pt>
                <c:pt idx="84">
                  <c:v>41943</c:v>
                </c:pt>
                <c:pt idx="85">
                  <c:v>41946</c:v>
                </c:pt>
                <c:pt idx="86">
                  <c:v>41947</c:v>
                </c:pt>
                <c:pt idx="87">
                  <c:v>41948</c:v>
                </c:pt>
                <c:pt idx="88">
                  <c:v>41949</c:v>
                </c:pt>
                <c:pt idx="89">
                  <c:v>41950</c:v>
                </c:pt>
                <c:pt idx="90">
                  <c:v>41953</c:v>
                </c:pt>
                <c:pt idx="91">
                  <c:v>41955</c:v>
                </c:pt>
                <c:pt idx="92">
                  <c:v>41955</c:v>
                </c:pt>
                <c:pt idx="93">
                  <c:v>41956</c:v>
                </c:pt>
                <c:pt idx="94">
                  <c:v>41957</c:v>
                </c:pt>
                <c:pt idx="95">
                  <c:v>41960</c:v>
                </c:pt>
                <c:pt idx="96">
                  <c:v>41961</c:v>
                </c:pt>
                <c:pt idx="97">
                  <c:v>41962</c:v>
                </c:pt>
                <c:pt idx="98">
                  <c:v>41963</c:v>
                </c:pt>
                <c:pt idx="99">
                  <c:v>41964</c:v>
                </c:pt>
                <c:pt idx="100">
                  <c:v>41967</c:v>
                </c:pt>
                <c:pt idx="101">
                  <c:v>41968</c:v>
                </c:pt>
                <c:pt idx="102">
                  <c:v>41969</c:v>
                </c:pt>
                <c:pt idx="103">
                  <c:v>41971</c:v>
                </c:pt>
                <c:pt idx="104">
                  <c:v>41971</c:v>
                </c:pt>
                <c:pt idx="105">
                  <c:v>41974</c:v>
                </c:pt>
                <c:pt idx="106">
                  <c:v>41975</c:v>
                </c:pt>
                <c:pt idx="107">
                  <c:v>41976</c:v>
                </c:pt>
                <c:pt idx="108">
                  <c:v>41977</c:v>
                </c:pt>
                <c:pt idx="109">
                  <c:v>41978</c:v>
                </c:pt>
                <c:pt idx="110">
                  <c:v>41981</c:v>
                </c:pt>
                <c:pt idx="111">
                  <c:v>41982</c:v>
                </c:pt>
                <c:pt idx="112">
                  <c:v>41983</c:v>
                </c:pt>
                <c:pt idx="113">
                  <c:v>41984</c:v>
                </c:pt>
                <c:pt idx="114">
                  <c:v>41985</c:v>
                </c:pt>
                <c:pt idx="115">
                  <c:v>41988</c:v>
                </c:pt>
                <c:pt idx="116">
                  <c:v>41989</c:v>
                </c:pt>
                <c:pt idx="117">
                  <c:v>41990</c:v>
                </c:pt>
                <c:pt idx="118">
                  <c:v>41991</c:v>
                </c:pt>
                <c:pt idx="119">
                  <c:v>41992</c:v>
                </c:pt>
                <c:pt idx="120">
                  <c:v>41995</c:v>
                </c:pt>
                <c:pt idx="121">
                  <c:v>41996</c:v>
                </c:pt>
                <c:pt idx="122">
                  <c:v>41997</c:v>
                </c:pt>
                <c:pt idx="123">
                  <c:v>42002</c:v>
                </c:pt>
                <c:pt idx="124">
                  <c:v>42003</c:v>
                </c:pt>
                <c:pt idx="125">
                  <c:v>42004</c:v>
                </c:pt>
                <c:pt idx="126">
                  <c:v>42006</c:v>
                </c:pt>
                <c:pt idx="127">
                  <c:v>42009</c:v>
                </c:pt>
                <c:pt idx="128">
                  <c:v>42010</c:v>
                </c:pt>
                <c:pt idx="129">
                  <c:v>42011</c:v>
                </c:pt>
                <c:pt idx="130">
                  <c:v>42012</c:v>
                </c:pt>
                <c:pt idx="131">
                  <c:v>42013</c:v>
                </c:pt>
                <c:pt idx="132">
                  <c:v>42016</c:v>
                </c:pt>
                <c:pt idx="133">
                  <c:v>42017</c:v>
                </c:pt>
                <c:pt idx="134">
                  <c:v>42018</c:v>
                </c:pt>
                <c:pt idx="135">
                  <c:v>42019</c:v>
                </c:pt>
                <c:pt idx="136">
                  <c:v>42020</c:v>
                </c:pt>
                <c:pt idx="137">
                  <c:v>42024</c:v>
                </c:pt>
                <c:pt idx="138">
                  <c:v>42024</c:v>
                </c:pt>
                <c:pt idx="139">
                  <c:v>42025</c:v>
                </c:pt>
                <c:pt idx="140">
                  <c:v>42026</c:v>
                </c:pt>
                <c:pt idx="141">
                  <c:v>42027</c:v>
                </c:pt>
                <c:pt idx="142">
                  <c:v>42030</c:v>
                </c:pt>
                <c:pt idx="143">
                  <c:v>42031</c:v>
                </c:pt>
                <c:pt idx="144">
                  <c:v>42032</c:v>
                </c:pt>
                <c:pt idx="145">
                  <c:v>42033</c:v>
                </c:pt>
                <c:pt idx="146">
                  <c:v>42034</c:v>
                </c:pt>
                <c:pt idx="147">
                  <c:v>42037</c:v>
                </c:pt>
                <c:pt idx="148">
                  <c:v>42038</c:v>
                </c:pt>
                <c:pt idx="149">
                  <c:v>42039</c:v>
                </c:pt>
                <c:pt idx="150">
                  <c:v>42040</c:v>
                </c:pt>
                <c:pt idx="151">
                  <c:v>42041</c:v>
                </c:pt>
                <c:pt idx="152">
                  <c:v>42044</c:v>
                </c:pt>
                <c:pt idx="153">
                  <c:v>42045</c:v>
                </c:pt>
                <c:pt idx="154">
                  <c:v>42046</c:v>
                </c:pt>
                <c:pt idx="155">
                  <c:v>42047</c:v>
                </c:pt>
                <c:pt idx="156">
                  <c:v>42048</c:v>
                </c:pt>
                <c:pt idx="157">
                  <c:v>42052</c:v>
                </c:pt>
                <c:pt idx="158">
                  <c:v>42052</c:v>
                </c:pt>
                <c:pt idx="159">
                  <c:v>42053</c:v>
                </c:pt>
                <c:pt idx="160">
                  <c:v>42054</c:v>
                </c:pt>
                <c:pt idx="161">
                  <c:v>42055</c:v>
                </c:pt>
                <c:pt idx="162">
                  <c:v>42058</c:v>
                </c:pt>
                <c:pt idx="163">
                  <c:v>42059</c:v>
                </c:pt>
                <c:pt idx="164">
                  <c:v>42060</c:v>
                </c:pt>
                <c:pt idx="165">
                  <c:v>42061</c:v>
                </c:pt>
                <c:pt idx="166">
                  <c:v>42062</c:v>
                </c:pt>
                <c:pt idx="167">
                  <c:v>42065</c:v>
                </c:pt>
                <c:pt idx="168">
                  <c:v>42066</c:v>
                </c:pt>
                <c:pt idx="169">
                  <c:v>42067</c:v>
                </c:pt>
                <c:pt idx="170">
                  <c:v>42068</c:v>
                </c:pt>
                <c:pt idx="171">
                  <c:v>42069</c:v>
                </c:pt>
                <c:pt idx="172">
                  <c:v>42072</c:v>
                </c:pt>
                <c:pt idx="173">
                  <c:v>42073</c:v>
                </c:pt>
                <c:pt idx="174">
                  <c:v>42074</c:v>
                </c:pt>
                <c:pt idx="175">
                  <c:v>42075</c:v>
                </c:pt>
                <c:pt idx="176">
                  <c:v>42076</c:v>
                </c:pt>
                <c:pt idx="177">
                  <c:v>42079</c:v>
                </c:pt>
                <c:pt idx="178">
                  <c:v>42080</c:v>
                </c:pt>
                <c:pt idx="179">
                  <c:v>42081</c:v>
                </c:pt>
                <c:pt idx="180">
                  <c:v>42082</c:v>
                </c:pt>
                <c:pt idx="181">
                  <c:v>42083</c:v>
                </c:pt>
                <c:pt idx="182">
                  <c:v>42086</c:v>
                </c:pt>
                <c:pt idx="183">
                  <c:v>42087</c:v>
                </c:pt>
                <c:pt idx="184">
                  <c:v>42088</c:v>
                </c:pt>
                <c:pt idx="185">
                  <c:v>42089</c:v>
                </c:pt>
                <c:pt idx="186">
                  <c:v>42090</c:v>
                </c:pt>
                <c:pt idx="187">
                  <c:v>42093</c:v>
                </c:pt>
                <c:pt idx="188">
                  <c:v>42094</c:v>
                </c:pt>
                <c:pt idx="189">
                  <c:v>42095</c:v>
                </c:pt>
                <c:pt idx="190">
                  <c:v>42096</c:v>
                </c:pt>
                <c:pt idx="191">
                  <c:v>42101</c:v>
                </c:pt>
                <c:pt idx="192">
                  <c:v>42102</c:v>
                </c:pt>
                <c:pt idx="193">
                  <c:v>42103</c:v>
                </c:pt>
                <c:pt idx="194">
                  <c:v>42104</c:v>
                </c:pt>
                <c:pt idx="195">
                  <c:v>42107</c:v>
                </c:pt>
                <c:pt idx="196">
                  <c:v>42108</c:v>
                </c:pt>
                <c:pt idx="197">
                  <c:v>42109</c:v>
                </c:pt>
                <c:pt idx="198">
                  <c:v>42110</c:v>
                </c:pt>
                <c:pt idx="199">
                  <c:v>42111</c:v>
                </c:pt>
                <c:pt idx="200">
                  <c:v>42114</c:v>
                </c:pt>
                <c:pt idx="201">
                  <c:v>42115</c:v>
                </c:pt>
                <c:pt idx="202">
                  <c:v>42116</c:v>
                </c:pt>
                <c:pt idx="203">
                  <c:v>42117</c:v>
                </c:pt>
                <c:pt idx="204">
                  <c:v>42118</c:v>
                </c:pt>
                <c:pt idx="205">
                  <c:v>42121</c:v>
                </c:pt>
                <c:pt idx="206">
                  <c:v>42122</c:v>
                </c:pt>
                <c:pt idx="207">
                  <c:v>42123</c:v>
                </c:pt>
                <c:pt idx="208">
                  <c:v>42124</c:v>
                </c:pt>
                <c:pt idx="209">
                  <c:v>42125</c:v>
                </c:pt>
                <c:pt idx="210">
                  <c:v>42129</c:v>
                </c:pt>
                <c:pt idx="211">
                  <c:v>42130</c:v>
                </c:pt>
                <c:pt idx="212">
                  <c:v>42131</c:v>
                </c:pt>
                <c:pt idx="213">
                  <c:v>42132</c:v>
                </c:pt>
                <c:pt idx="214">
                  <c:v>42135</c:v>
                </c:pt>
                <c:pt idx="215">
                  <c:v>42136</c:v>
                </c:pt>
                <c:pt idx="216">
                  <c:v>42137</c:v>
                </c:pt>
                <c:pt idx="217">
                  <c:v>42138</c:v>
                </c:pt>
                <c:pt idx="218">
                  <c:v>42139</c:v>
                </c:pt>
                <c:pt idx="219">
                  <c:v>42142</c:v>
                </c:pt>
                <c:pt idx="220">
                  <c:v>42143</c:v>
                </c:pt>
                <c:pt idx="221">
                  <c:v>42144</c:v>
                </c:pt>
                <c:pt idx="222">
                  <c:v>42145</c:v>
                </c:pt>
                <c:pt idx="223">
                  <c:v>42146</c:v>
                </c:pt>
                <c:pt idx="224">
                  <c:v>42150</c:v>
                </c:pt>
                <c:pt idx="225">
                  <c:v>42151</c:v>
                </c:pt>
                <c:pt idx="226">
                  <c:v>42152</c:v>
                </c:pt>
                <c:pt idx="227">
                  <c:v>42153</c:v>
                </c:pt>
                <c:pt idx="228">
                  <c:v>42156</c:v>
                </c:pt>
                <c:pt idx="229">
                  <c:v>42157</c:v>
                </c:pt>
                <c:pt idx="230">
                  <c:v>42158</c:v>
                </c:pt>
                <c:pt idx="231">
                  <c:v>42159</c:v>
                </c:pt>
                <c:pt idx="232">
                  <c:v>42160</c:v>
                </c:pt>
                <c:pt idx="233">
                  <c:v>42163</c:v>
                </c:pt>
                <c:pt idx="234">
                  <c:v>42164</c:v>
                </c:pt>
                <c:pt idx="235">
                  <c:v>42165</c:v>
                </c:pt>
                <c:pt idx="236">
                  <c:v>42166</c:v>
                </c:pt>
                <c:pt idx="237">
                  <c:v>42167</c:v>
                </c:pt>
                <c:pt idx="238">
                  <c:v>42170</c:v>
                </c:pt>
                <c:pt idx="239">
                  <c:v>42171</c:v>
                </c:pt>
                <c:pt idx="240">
                  <c:v>42172</c:v>
                </c:pt>
                <c:pt idx="241">
                  <c:v>42173</c:v>
                </c:pt>
                <c:pt idx="242">
                  <c:v>42174</c:v>
                </c:pt>
                <c:pt idx="243">
                  <c:v>42177</c:v>
                </c:pt>
                <c:pt idx="244">
                  <c:v>42178</c:v>
                </c:pt>
                <c:pt idx="245">
                  <c:v>42179</c:v>
                </c:pt>
                <c:pt idx="246">
                  <c:v>42180</c:v>
                </c:pt>
                <c:pt idx="247">
                  <c:v>42181</c:v>
                </c:pt>
                <c:pt idx="248">
                  <c:v>42184</c:v>
                </c:pt>
                <c:pt idx="249">
                  <c:v>42185</c:v>
                </c:pt>
                <c:pt idx="250">
                  <c:v>42186</c:v>
                </c:pt>
                <c:pt idx="251">
                  <c:v>42187</c:v>
                </c:pt>
                <c:pt idx="252">
                  <c:v>42191</c:v>
                </c:pt>
                <c:pt idx="253">
                  <c:v>42191</c:v>
                </c:pt>
                <c:pt idx="254">
                  <c:v>42192</c:v>
                </c:pt>
                <c:pt idx="255">
                  <c:v>42193</c:v>
                </c:pt>
                <c:pt idx="256">
                  <c:v>42194</c:v>
                </c:pt>
                <c:pt idx="257">
                  <c:v>42195</c:v>
                </c:pt>
                <c:pt idx="258">
                  <c:v>42198</c:v>
                </c:pt>
                <c:pt idx="259">
                  <c:v>42199</c:v>
                </c:pt>
                <c:pt idx="260">
                  <c:v>42200</c:v>
                </c:pt>
                <c:pt idx="261">
                  <c:v>42201</c:v>
                </c:pt>
                <c:pt idx="262">
                  <c:v>42202</c:v>
                </c:pt>
                <c:pt idx="263">
                  <c:v>42205</c:v>
                </c:pt>
                <c:pt idx="264">
                  <c:v>42206</c:v>
                </c:pt>
                <c:pt idx="265">
                  <c:v>42207</c:v>
                </c:pt>
                <c:pt idx="266">
                  <c:v>42208</c:v>
                </c:pt>
                <c:pt idx="267">
                  <c:v>42209</c:v>
                </c:pt>
                <c:pt idx="268">
                  <c:v>42212</c:v>
                </c:pt>
                <c:pt idx="269">
                  <c:v>42213</c:v>
                </c:pt>
                <c:pt idx="270">
                  <c:v>42214</c:v>
                </c:pt>
                <c:pt idx="271">
                  <c:v>42215</c:v>
                </c:pt>
                <c:pt idx="272">
                  <c:v>42216</c:v>
                </c:pt>
                <c:pt idx="273">
                  <c:v>42219</c:v>
                </c:pt>
                <c:pt idx="274">
                  <c:v>42220</c:v>
                </c:pt>
                <c:pt idx="275">
                  <c:v>42221</c:v>
                </c:pt>
                <c:pt idx="276">
                  <c:v>42222</c:v>
                </c:pt>
                <c:pt idx="277">
                  <c:v>42223</c:v>
                </c:pt>
                <c:pt idx="278">
                  <c:v>42226</c:v>
                </c:pt>
                <c:pt idx="279">
                  <c:v>42227</c:v>
                </c:pt>
                <c:pt idx="280">
                  <c:v>42228</c:v>
                </c:pt>
                <c:pt idx="281">
                  <c:v>42229</c:v>
                </c:pt>
                <c:pt idx="282">
                  <c:v>42230</c:v>
                </c:pt>
                <c:pt idx="283">
                  <c:v>42233</c:v>
                </c:pt>
                <c:pt idx="284">
                  <c:v>42234</c:v>
                </c:pt>
                <c:pt idx="285">
                  <c:v>42235</c:v>
                </c:pt>
                <c:pt idx="286">
                  <c:v>42236</c:v>
                </c:pt>
                <c:pt idx="287">
                  <c:v>42237</c:v>
                </c:pt>
                <c:pt idx="288">
                  <c:v>42240</c:v>
                </c:pt>
                <c:pt idx="289">
                  <c:v>42241</c:v>
                </c:pt>
                <c:pt idx="290">
                  <c:v>42242</c:v>
                </c:pt>
                <c:pt idx="291">
                  <c:v>42243</c:v>
                </c:pt>
                <c:pt idx="292">
                  <c:v>42244</c:v>
                </c:pt>
                <c:pt idx="293">
                  <c:v>42248</c:v>
                </c:pt>
                <c:pt idx="294">
                  <c:v>42249</c:v>
                </c:pt>
                <c:pt idx="295">
                  <c:v>42250</c:v>
                </c:pt>
                <c:pt idx="296">
                  <c:v>42251</c:v>
                </c:pt>
                <c:pt idx="297">
                  <c:v>42255</c:v>
                </c:pt>
                <c:pt idx="298">
                  <c:v>42255</c:v>
                </c:pt>
                <c:pt idx="299">
                  <c:v>42256</c:v>
                </c:pt>
                <c:pt idx="300">
                  <c:v>42257</c:v>
                </c:pt>
                <c:pt idx="301">
                  <c:v>42258</c:v>
                </c:pt>
                <c:pt idx="302">
                  <c:v>42261</c:v>
                </c:pt>
                <c:pt idx="303">
                  <c:v>42262</c:v>
                </c:pt>
                <c:pt idx="304">
                  <c:v>42263</c:v>
                </c:pt>
                <c:pt idx="305">
                  <c:v>42264</c:v>
                </c:pt>
                <c:pt idx="306">
                  <c:v>42265</c:v>
                </c:pt>
                <c:pt idx="307">
                  <c:v>42268</c:v>
                </c:pt>
                <c:pt idx="308">
                  <c:v>42269</c:v>
                </c:pt>
                <c:pt idx="309">
                  <c:v>42270</c:v>
                </c:pt>
                <c:pt idx="310">
                  <c:v>42271</c:v>
                </c:pt>
                <c:pt idx="311">
                  <c:v>42272</c:v>
                </c:pt>
                <c:pt idx="312">
                  <c:v>42275</c:v>
                </c:pt>
                <c:pt idx="313">
                  <c:v>42276</c:v>
                </c:pt>
                <c:pt idx="314">
                  <c:v>42277</c:v>
                </c:pt>
                <c:pt idx="315">
                  <c:v>42278</c:v>
                </c:pt>
                <c:pt idx="316">
                  <c:v>42279</c:v>
                </c:pt>
                <c:pt idx="317">
                  <c:v>42282</c:v>
                </c:pt>
                <c:pt idx="318">
                  <c:v>42283</c:v>
                </c:pt>
                <c:pt idx="319">
                  <c:v>42284</c:v>
                </c:pt>
                <c:pt idx="320">
                  <c:v>42285</c:v>
                </c:pt>
                <c:pt idx="321">
                  <c:v>42286</c:v>
                </c:pt>
                <c:pt idx="322">
                  <c:v>42290</c:v>
                </c:pt>
                <c:pt idx="323">
                  <c:v>42290</c:v>
                </c:pt>
                <c:pt idx="324">
                  <c:v>42291</c:v>
                </c:pt>
                <c:pt idx="325">
                  <c:v>42292</c:v>
                </c:pt>
                <c:pt idx="326">
                  <c:v>42293</c:v>
                </c:pt>
                <c:pt idx="327">
                  <c:v>42296</c:v>
                </c:pt>
                <c:pt idx="328">
                  <c:v>42297</c:v>
                </c:pt>
                <c:pt idx="329">
                  <c:v>42298</c:v>
                </c:pt>
                <c:pt idx="330">
                  <c:v>42299</c:v>
                </c:pt>
                <c:pt idx="331">
                  <c:v>42300</c:v>
                </c:pt>
                <c:pt idx="332">
                  <c:v>42303</c:v>
                </c:pt>
                <c:pt idx="333">
                  <c:v>42304</c:v>
                </c:pt>
                <c:pt idx="334">
                  <c:v>42305</c:v>
                </c:pt>
                <c:pt idx="335">
                  <c:v>42306</c:v>
                </c:pt>
                <c:pt idx="336">
                  <c:v>42307</c:v>
                </c:pt>
                <c:pt idx="337">
                  <c:v>42310</c:v>
                </c:pt>
                <c:pt idx="338">
                  <c:v>42311</c:v>
                </c:pt>
                <c:pt idx="339">
                  <c:v>42312</c:v>
                </c:pt>
                <c:pt idx="340">
                  <c:v>42313</c:v>
                </c:pt>
                <c:pt idx="341">
                  <c:v>42314</c:v>
                </c:pt>
                <c:pt idx="342">
                  <c:v>42317</c:v>
                </c:pt>
                <c:pt idx="343">
                  <c:v>42318</c:v>
                </c:pt>
                <c:pt idx="344">
                  <c:v>42320</c:v>
                </c:pt>
                <c:pt idx="345">
                  <c:v>42320</c:v>
                </c:pt>
                <c:pt idx="346">
                  <c:v>42321</c:v>
                </c:pt>
                <c:pt idx="347">
                  <c:v>42324</c:v>
                </c:pt>
                <c:pt idx="348">
                  <c:v>42325</c:v>
                </c:pt>
                <c:pt idx="349">
                  <c:v>42326</c:v>
                </c:pt>
                <c:pt idx="350">
                  <c:v>42327</c:v>
                </c:pt>
                <c:pt idx="351">
                  <c:v>42328</c:v>
                </c:pt>
                <c:pt idx="352">
                  <c:v>42331</c:v>
                </c:pt>
                <c:pt idx="353">
                  <c:v>42332</c:v>
                </c:pt>
                <c:pt idx="354">
                  <c:v>42333</c:v>
                </c:pt>
                <c:pt idx="355">
                  <c:v>42335</c:v>
                </c:pt>
                <c:pt idx="356">
                  <c:v>42335</c:v>
                </c:pt>
                <c:pt idx="357">
                  <c:v>42338</c:v>
                </c:pt>
                <c:pt idx="358">
                  <c:v>42339</c:v>
                </c:pt>
                <c:pt idx="359">
                  <c:v>42340</c:v>
                </c:pt>
                <c:pt idx="360">
                  <c:v>42341</c:v>
                </c:pt>
                <c:pt idx="361">
                  <c:v>42342</c:v>
                </c:pt>
                <c:pt idx="362">
                  <c:v>42345</c:v>
                </c:pt>
                <c:pt idx="363">
                  <c:v>42346</c:v>
                </c:pt>
                <c:pt idx="364">
                  <c:v>42347</c:v>
                </c:pt>
                <c:pt idx="365">
                  <c:v>42348</c:v>
                </c:pt>
                <c:pt idx="366">
                  <c:v>42349</c:v>
                </c:pt>
                <c:pt idx="367">
                  <c:v>42352</c:v>
                </c:pt>
                <c:pt idx="368">
                  <c:v>42353</c:v>
                </c:pt>
                <c:pt idx="369">
                  <c:v>42354</c:v>
                </c:pt>
                <c:pt idx="370">
                  <c:v>42355</c:v>
                </c:pt>
                <c:pt idx="371">
                  <c:v>42356</c:v>
                </c:pt>
                <c:pt idx="372">
                  <c:v>42359</c:v>
                </c:pt>
                <c:pt idx="373">
                  <c:v>42360</c:v>
                </c:pt>
                <c:pt idx="374">
                  <c:v>42361</c:v>
                </c:pt>
                <c:pt idx="375">
                  <c:v>42362</c:v>
                </c:pt>
                <c:pt idx="376">
                  <c:v>42367</c:v>
                </c:pt>
                <c:pt idx="377">
                  <c:v>42368</c:v>
                </c:pt>
                <c:pt idx="378">
                  <c:v>42369</c:v>
                </c:pt>
                <c:pt idx="379">
                  <c:v>42373</c:v>
                </c:pt>
                <c:pt idx="380">
                  <c:v>42374</c:v>
                </c:pt>
                <c:pt idx="381">
                  <c:v>42375</c:v>
                </c:pt>
                <c:pt idx="382">
                  <c:v>42376</c:v>
                </c:pt>
                <c:pt idx="383">
                  <c:v>42377</c:v>
                </c:pt>
                <c:pt idx="384">
                  <c:v>42380</c:v>
                </c:pt>
                <c:pt idx="385">
                  <c:v>42381</c:v>
                </c:pt>
                <c:pt idx="386">
                  <c:v>42382</c:v>
                </c:pt>
                <c:pt idx="387">
                  <c:v>42383</c:v>
                </c:pt>
                <c:pt idx="388">
                  <c:v>42384</c:v>
                </c:pt>
                <c:pt idx="389">
                  <c:v>42388</c:v>
                </c:pt>
                <c:pt idx="390">
                  <c:v>42388</c:v>
                </c:pt>
                <c:pt idx="391">
                  <c:v>42389</c:v>
                </c:pt>
                <c:pt idx="392">
                  <c:v>42390</c:v>
                </c:pt>
                <c:pt idx="393">
                  <c:v>42391</c:v>
                </c:pt>
                <c:pt idx="394">
                  <c:v>42394</c:v>
                </c:pt>
                <c:pt idx="395">
                  <c:v>42395</c:v>
                </c:pt>
                <c:pt idx="396">
                  <c:v>42396</c:v>
                </c:pt>
                <c:pt idx="397">
                  <c:v>42397</c:v>
                </c:pt>
                <c:pt idx="398">
                  <c:v>42398</c:v>
                </c:pt>
                <c:pt idx="399">
                  <c:v>42401</c:v>
                </c:pt>
                <c:pt idx="400">
                  <c:v>42402</c:v>
                </c:pt>
                <c:pt idx="401">
                  <c:v>42403</c:v>
                </c:pt>
                <c:pt idx="402">
                  <c:v>42404</c:v>
                </c:pt>
                <c:pt idx="403">
                  <c:v>42405</c:v>
                </c:pt>
                <c:pt idx="404">
                  <c:v>42408</c:v>
                </c:pt>
                <c:pt idx="405">
                  <c:v>42409</c:v>
                </c:pt>
                <c:pt idx="406">
                  <c:v>42410</c:v>
                </c:pt>
                <c:pt idx="407">
                  <c:v>42411</c:v>
                </c:pt>
                <c:pt idx="408">
                  <c:v>42412</c:v>
                </c:pt>
                <c:pt idx="409">
                  <c:v>42416</c:v>
                </c:pt>
                <c:pt idx="410">
                  <c:v>42416</c:v>
                </c:pt>
                <c:pt idx="411">
                  <c:v>42417</c:v>
                </c:pt>
                <c:pt idx="412">
                  <c:v>42418</c:v>
                </c:pt>
                <c:pt idx="413">
                  <c:v>42419</c:v>
                </c:pt>
                <c:pt idx="414">
                  <c:v>42422</c:v>
                </c:pt>
                <c:pt idx="415">
                  <c:v>42423</c:v>
                </c:pt>
                <c:pt idx="416">
                  <c:v>42424</c:v>
                </c:pt>
                <c:pt idx="417">
                  <c:v>42425</c:v>
                </c:pt>
                <c:pt idx="418">
                  <c:v>42426</c:v>
                </c:pt>
                <c:pt idx="419">
                  <c:v>42429</c:v>
                </c:pt>
                <c:pt idx="420">
                  <c:v>42430</c:v>
                </c:pt>
                <c:pt idx="421">
                  <c:v>42431</c:v>
                </c:pt>
                <c:pt idx="422">
                  <c:v>42432</c:v>
                </c:pt>
                <c:pt idx="423">
                  <c:v>42433</c:v>
                </c:pt>
                <c:pt idx="424">
                  <c:v>42436</c:v>
                </c:pt>
                <c:pt idx="425">
                  <c:v>42437</c:v>
                </c:pt>
                <c:pt idx="426">
                  <c:v>42438</c:v>
                </c:pt>
                <c:pt idx="427">
                  <c:v>42439</c:v>
                </c:pt>
                <c:pt idx="428">
                  <c:v>42440</c:v>
                </c:pt>
                <c:pt idx="429">
                  <c:v>42443</c:v>
                </c:pt>
                <c:pt idx="430">
                  <c:v>42444</c:v>
                </c:pt>
                <c:pt idx="431">
                  <c:v>42445</c:v>
                </c:pt>
                <c:pt idx="432">
                  <c:v>42446</c:v>
                </c:pt>
                <c:pt idx="433">
                  <c:v>42447</c:v>
                </c:pt>
                <c:pt idx="434">
                  <c:v>42450</c:v>
                </c:pt>
                <c:pt idx="435">
                  <c:v>42451</c:v>
                </c:pt>
                <c:pt idx="436">
                  <c:v>42452</c:v>
                </c:pt>
                <c:pt idx="437">
                  <c:v>42453</c:v>
                </c:pt>
                <c:pt idx="438">
                  <c:v>42458</c:v>
                </c:pt>
                <c:pt idx="439">
                  <c:v>42459</c:v>
                </c:pt>
                <c:pt idx="440">
                  <c:v>42460</c:v>
                </c:pt>
                <c:pt idx="441">
                  <c:v>42461</c:v>
                </c:pt>
                <c:pt idx="442">
                  <c:v>42464</c:v>
                </c:pt>
                <c:pt idx="443">
                  <c:v>42465</c:v>
                </c:pt>
                <c:pt idx="444">
                  <c:v>42466</c:v>
                </c:pt>
                <c:pt idx="445">
                  <c:v>42467</c:v>
                </c:pt>
                <c:pt idx="446">
                  <c:v>42468</c:v>
                </c:pt>
                <c:pt idx="447">
                  <c:v>42471</c:v>
                </c:pt>
                <c:pt idx="448">
                  <c:v>42472</c:v>
                </c:pt>
                <c:pt idx="449">
                  <c:v>42473</c:v>
                </c:pt>
                <c:pt idx="450">
                  <c:v>42474</c:v>
                </c:pt>
                <c:pt idx="451">
                  <c:v>42475</c:v>
                </c:pt>
                <c:pt idx="452">
                  <c:v>42478</c:v>
                </c:pt>
                <c:pt idx="453">
                  <c:v>42479</c:v>
                </c:pt>
                <c:pt idx="454">
                  <c:v>42480</c:v>
                </c:pt>
                <c:pt idx="455">
                  <c:v>42481</c:v>
                </c:pt>
                <c:pt idx="456">
                  <c:v>42482</c:v>
                </c:pt>
                <c:pt idx="457">
                  <c:v>42485</c:v>
                </c:pt>
                <c:pt idx="458">
                  <c:v>42486</c:v>
                </c:pt>
                <c:pt idx="459">
                  <c:v>42487</c:v>
                </c:pt>
                <c:pt idx="460">
                  <c:v>42488</c:v>
                </c:pt>
                <c:pt idx="461">
                  <c:v>42489</c:v>
                </c:pt>
                <c:pt idx="462">
                  <c:v>42493</c:v>
                </c:pt>
                <c:pt idx="463">
                  <c:v>42494</c:v>
                </c:pt>
                <c:pt idx="464">
                  <c:v>42495</c:v>
                </c:pt>
                <c:pt idx="465">
                  <c:v>42496</c:v>
                </c:pt>
                <c:pt idx="466">
                  <c:v>42499</c:v>
                </c:pt>
                <c:pt idx="467">
                  <c:v>42500</c:v>
                </c:pt>
                <c:pt idx="468">
                  <c:v>42501</c:v>
                </c:pt>
                <c:pt idx="469">
                  <c:v>42502</c:v>
                </c:pt>
                <c:pt idx="470">
                  <c:v>42503</c:v>
                </c:pt>
                <c:pt idx="471">
                  <c:v>42506</c:v>
                </c:pt>
                <c:pt idx="472">
                  <c:v>42507</c:v>
                </c:pt>
                <c:pt idx="473">
                  <c:v>42508</c:v>
                </c:pt>
                <c:pt idx="474">
                  <c:v>42509</c:v>
                </c:pt>
                <c:pt idx="475">
                  <c:v>42510</c:v>
                </c:pt>
                <c:pt idx="476">
                  <c:v>42513</c:v>
                </c:pt>
                <c:pt idx="477">
                  <c:v>42514</c:v>
                </c:pt>
                <c:pt idx="478">
                  <c:v>42515</c:v>
                </c:pt>
                <c:pt idx="479">
                  <c:v>42516</c:v>
                </c:pt>
                <c:pt idx="480">
                  <c:v>42517</c:v>
                </c:pt>
                <c:pt idx="481">
                  <c:v>42521</c:v>
                </c:pt>
                <c:pt idx="482">
                  <c:v>42522</c:v>
                </c:pt>
                <c:pt idx="483">
                  <c:v>42523</c:v>
                </c:pt>
                <c:pt idx="484">
                  <c:v>42524</c:v>
                </c:pt>
                <c:pt idx="485">
                  <c:v>42527</c:v>
                </c:pt>
                <c:pt idx="486">
                  <c:v>42528</c:v>
                </c:pt>
                <c:pt idx="487">
                  <c:v>42529</c:v>
                </c:pt>
                <c:pt idx="488">
                  <c:v>42530</c:v>
                </c:pt>
                <c:pt idx="489">
                  <c:v>42531</c:v>
                </c:pt>
                <c:pt idx="490">
                  <c:v>42534</c:v>
                </c:pt>
                <c:pt idx="491">
                  <c:v>42535</c:v>
                </c:pt>
                <c:pt idx="492">
                  <c:v>42536</c:v>
                </c:pt>
                <c:pt idx="493">
                  <c:v>42537</c:v>
                </c:pt>
                <c:pt idx="494">
                  <c:v>42538</c:v>
                </c:pt>
                <c:pt idx="495">
                  <c:v>42541</c:v>
                </c:pt>
                <c:pt idx="496">
                  <c:v>42542</c:v>
                </c:pt>
                <c:pt idx="497">
                  <c:v>42543</c:v>
                </c:pt>
                <c:pt idx="498">
                  <c:v>42544</c:v>
                </c:pt>
                <c:pt idx="499">
                  <c:v>42545</c:v>
                </c:pt>
                <c:pt idx="500">
                  <c:v>42548</c:v>
                </c:pt>
                <c:pt idx="501">
                  <c:v>42549</c:v>
                </c:pt>
                <c:pt idx="502">
                  <c:v>42550</c:v>
                </c:pt>
                <c:pt idx="503">
                  <c:v>42551</c:v>
                </c:pt>
                <c:pt idx="504">
                  <c:v>42552</c:v>
                </c:pt>
                <c:pt idx="505">
                  <c:v>42556</c:v>
                </c:pt>
                <c:pt idx="506">
                  <c:v>42556</c:v>
                </c:pt>
                <c:pt idx="507">
                  <c:v>42557</c:v>
                </c:pt>
                <c:pt idx="508">
                  <c:v>42558</c:v>
                </c:pt>
                <c:pt idx="509">
                  <c:v>42559</c:v>
                </c:pt>
                <c:pt idx="510">
                  <c:v>42562</c:v>
                </c:pt>
                <c:pt idx="511">
                  <c:v>42563</c:v>
                </c:pt>
                <c:pt idx="512">
                  <c:v>42564</c:v>
                </c:pt>
                <c:pt idx="513">
                  <c:v>42565</c:v>
                </c:pt>
                <c:pt idx="514">
                  <c:v>42566</c:v>
                </c:pt>
                <c:pt idx="515">
                  <c:v>42569</c:v>
                </c:pt>
                <c:pt idx="516">
                  <c:v>42570</c:v>
                </c:pt>
                <c:pt idx="517">
                  <c:v>42571</c:v>
                </c:pt>
                <c:pt idx="518">
                  <c:v>42578</c:v>
                </c:pt>
                <c:pt idx="519">
                  <c:v>42585</c:v>
                </c:pt>
                <c:pt idx="520">
                  <c:v>42592</c:v>
                </c:pt>
                <c:pt idx="521">
                  <c:v>42599</c:v>
                </c:pt>
                <c:pt idx="522">
                  <c:v>42606</c:v>
                </c:pt>
                <c:pt idx="523">
                  <c:v>42614</c:v>
                </c:pt>
                <c:pt idx="524">
                  <c:v>42621</c:v>
                </c:pt>
                <c:pt idx="525">
                  <c:v>42628</c:v>
                </c:pt>
                <c:pt idx="526">
                  <c:v>42635</c:v>
                </c:pt>
                <c:pt idx="527">
                  <c:v>42642</c:v>
                </c:pt>
                <c:pt idx="528">
                  <c:v>42649</c:v>
                </c:pt>
                <c:pt idx="529">
                  <c:v>42656</c:v>
                </c:pt>
                <c:pt idx="530">
                  <c:v>42663</c:v>
                </c:pt>
                <c:pt idx="531">
                  <c:v>42670</c:v>
                </c:pt>
                <c:pt idx="532">
                  <c:v>42677</c:v>
                </c:pt>
                <c:pt idx="533">
                  <c:v>42684</c:v>
                </c:pt>
                <c:pt idx="534">
                  <c:v>42691</c:v>
                </c:pt>
                <c:pt idx="535">
                  <c:v>42699</c:v>
                </c:pt>
                <c:pt idx="536">
                  <c:v>42705</c:v>
                </c:pt>
                <c:pt idx="537">
                  <c:v>42712</c:v>
                </c:pt>
                <c:pt idx="538">
                  <c:v>42719</c:v>
                </c:pt>
                <c:pt idx="539">
                  <c:v>42726</c:v>
                </c:pt>
                <c:pt idx="540">
                  <c:v>42734</c:v>
                </c:pt>
                <c:pt idx="541">
                  <c:v>42741</c:v>
                </c:pt>
                <c:pt idx="542">
                  <c:v>42748</c:v>
                </c:pt>
                <c:pt idx="543">
                  <c:v>42755</c:v>
                </c:pt>
                <c:pt idx="544">
                  <c:v>42762</c:v>
                </c:pt>
                <c:pt idx="545">
                  <c:v>42769</c:v>
                </c:pt>
                <c:pt idx="546">
                  <c:v>42776</c:v>
                </c:pt>
                <c:pt idx="547">
                  <c:v>42783</c:v>
                </c:pt>
                <c:pt idx="548">
                  <c:v>42790</c:v>
                </c:pt>
                <c:pt idx="549">
                  <c:v>42797</c:v>
                </c:pt>
                <c:pt idx="550">
                  <c:v>42804</c:v>
                </c:pt>
                <c:pt idx="551">
                  <c:v>42811</c:v>
                </c:pt>
                <c:pt idx="552">
                  <c:v>42818</c:v>
                </c:pt>
                <c:pt idx="553">
                  <c:v>42825</c:v>
                </c:pt>
                <c:pt idx="554">
                  <c:v>42832</c:v>
                </c:pt>
                <c:pt idx="555">
                  <c:v>42843</c:v>
                </c:pt>
                <c:pt idx="556">
                  <c:v>42846</c:v>
                </c:pt>
                <c:pt idx="557">
                  <c:v>42853</c:v>
                </c:pt>
                <c:pt idx="558">
                  <c:v>42860</c:v>
                </c:pt>
                <c:pt idx="559">
                  <c:v>42867</c:v>
                </c:pt>
                <c:pt idx="560">
                  <c:v>42874</c:v>
                </c:pt>
                <c:pt idx="561">
                  <c:v>42881</c:v>
                </c:pt>
                <c:pt idx="562">
                  <c:v>42888</c:v>
                </c:pt>
                <c:pt idx="563">
                  <c:v>42895</c:v>
                </c:pt>
                <c:pt idx="564">
                  <c:v>42902</c:v>
                </c:pt>
                <c:pt idx="565">
                  <c:v>42909</c:v>
                </c:pt>
                <c:pt idx="566">
                  <c:v>42916</c:v>
                </c:pt>
                <c:pt idx="567">
                  <c:v>42923</c:v>
                </c:pt>
                <c:pt idx="568">
                  <c:v>42930</c:v>
                </c:pt>
                <c:pt idx="569">
                  <c:v>42937</c:v>
                </c:pt>
                <c:pt idx="570">
                  <c:v>42944</c:v>
                </c:pt>
                <c:pt idx="571">
                  <c:v>42951</c:v>
                </c:pt>
                <c:pt idx="572">
                  <c:v>42958</c:v>
                </c:pt>
                <c:pt idx="573">
                  <c:v>42965</c:v>
                </c:pt>
                <c:pt idx="574">
                  <c:v>42972</c:v>
                </c:pt>
                <c:pt idx="575">
                  <c:v>42979</c:v>
                </c:pt>
                <c:pt idx="576">
                  <c:v>42986</c:v>
                </c:pt>
                <c:pt idx="577">
                  <c:v>42993</c:v>
                </c:pt>
                <c:pt idx="578">
                  <c:v>43000</c:v>
                </c:pt>
                <c:pt idx="579">
                  <c:v>43007</c:v>
                </c:pt>
                <c:pt idx="580">
                  <c:v>43014</c:v>
                </c:pt>
                <c:pt idx="581">
                  <c:v>43021</c:v>
                </c:pt>
                <c:pt idx="582">
                  <c:v>43028</c:v>
                </c:pt>
                <c:pt idx="583">
                  <c:v>43035</c:v>
                </c:pt>
                <c:pt idx="584">
                  <c:v>43042</c:v>
                </c:pt>
                <c:pt idx="585">
                  <c:v>43052</c:v>
                </c:pt>
                <c:pt idx="586">
                  <c:v>43056</c:v>
                </c:pt>
                <c:pt idx="587">
                  <c:v>43063</c:v>
                </c:pt>
                <c:pt idx="588">
                  <c:v>43070</c:v>
                </c:pt>
                <c:pt idx="589">
                  <c:v>43077</c:v>
                </c:pt>
                <c:pt idx="590">
                  <c:v>43084</c:v>
                </c:pt>
                <c:pt idx="591">
                  <c:v>43091</c:v>
                </c:pt>
                <c:pt idx="592">
                  <c:v>43098</c:v>
                </c:pt>
                <c:pt idx="593">
                  <c:v>43105</c:v>
                </c:pt>
                <c:pt idx="594">
                  <c:v>43112</c:v>
                </c:pt>
                <c:pt idx="595">
                  <c:v>43119</c:v>
                </c:pt>
                <c:pt idx="596">
                  <c:v>43126</c:v>
                </c:pt>
                <c:pt idx="597">
                  <c:v>43133</c:v>
                </c:pt>
                <c:pt idx="598">
                  <c:v>43140</c:v>
                </c:pt>
                <c:pt idx="599">
                  <c:v>43147</c:v>
                </c:pt>
                <c:pt idx="600">
                  <c:v>43154</c:v>
                </c:pt>
                <c:pt idx="601">
                  <c:v>43161</c:v>
                </c:pt>
                <c:pt idx="602">
                  <c:v>43168</c:v>
                </c:pt>
                <c:pt idx="603">
                  <c:v>43175</c:v>
                </c:pt>
                <c:pt idx="604">
                  <c:v>43182</c:v>
                </c:pt>
                <c:pt idx="605">
                  <c:v>43193</c:v>
                </c:pt>
                <c:pt idx="606">
                  <c:v>43196</c:v>
                </c:pt>
                <c:pt idx="607">
                  <c:v>43203</c:v>
                </c:pt>
                <c:pt idx="608">
                  <c:v>43210</c:v>
                </c:pt>
                <c:pt idx="609">
                  <c:v>43217</c:v>
                </c:pt>
                <c:pt idx="610">
                  <c:v>43224</c:v>
                </c:pt>
                <c:pt idx="611">
                  <c:v>43231</c:v>
                </c:pt>
                <c:pt idx="612">
                  <c:v>43238</c:v>
                </c:pt>
                <c:pt idx="613">
                  <c:v>43245</c:v>
                </c:pt>
                <c:pt idx="614">
                  <c:v>43252</c:v>
                </c:pt>
                <c:pt idx="615">
                  <c:v>43259</c:v>
                </c:pt>
                <c:pt idx="616">
                  <c:v>43266</c:v>
                </c:pt>
                <c:pt idx="617">
                  <c:v>43273</c:v>
                </c:pt>
                <c:pt idx="618">
                  <c:v>43280</c:v>
                </c:pt>
                <c:pt idx="619">
                  <c:v>43287</c:v>
                </c:pt>
                <c:pt idx="620">
                  <c:v>43294</c:v>
                </c:pt>
                <c:pt idx="621">
                  <c:v>43301</c:v>
                </c:pt>
                <c:pt idx="622">
                  <c:v>43308</c:v>
                </c:pt>
                <c:pt idx="623">
                  <c:v>43315</c:v>
                </c:pt>
                <c:pt idx="624">
                  <c:v>43322</c:v>
                </c:pt>
                <c:pt idx="625">
                  <c:v>43329</c:v>
                </c:pt>
                <c:pt idx="626">
                  <c:v>43336</c:v>
                </c:pt>
                <c:pt idx="627">
                  <c:v>43343</c:v>
                </c:pt>
                <c:pt idx="628">
                  <c:v>43350</c:v>
                </c:pt>
                <c:pt idx="629">
                  <c:v>43357</c:v>
                </c:pt>
                <c:pt idx="630">
                  <c:v>43364</c:v>
                </c:pt>
                <c:pt idx="631">
                  <c:v>43371</c:v>
                </c:pt>
                <c:pt idx="632">
                  <c:v>43378</c:v>
                </c:pt>
                <c:pt idx="633">
                  <c:v>43385</c:v>
                </c:pt>
                <c:pt idx="634">
                  <c:v>43392</c:v>
                </c:pt>
                <c:pt idx="635">
                  <c:v>43399</c:v>
                </c:pt>
                <c:pt idx="636">
                  <c:v>43406</c:v>
                </c:pt>
                <c:pt idx="637">
                  <c:v>43413</c:v>
                </c:pt>
                <c:pt idx="638">
                  <c:v>43420</c:v>
                </c:pt>
                <c:pt idx="639">
                  <c:v>43427</c:v>
                </c:pt>
                <c:pt idx="640">
                  <c:v>43434</c:v>
                </c:pt>
                <c:pt idx="641">
                  <c:v>43441</c:v>
                </c:pt>
                <c:pt idx="642">
                  <c:v>43448</c:v>
                </c:pt>
                <c:pt idx="643">
                  <c:v>43455</c:v>
                </c:pt>
                <c:pt idx="644">
                  <c:v>43465</c:v>
                </c:pt>
                <c:pt idx="645">
                  <c:v>43472</c:v>
                </c:pt>
                <c:pt idx="646">
                  <c:v>43479</c:v>
                </c:pt>
                <c:pt idx="647">
                  <c:v>43487</c:v>
                </c:pt>
                <c:pt idx="648">
                  <c:v>43493</c:v>
                </c:pt>
                <c:pt idx="649">
                  <c:v>43500</c:v>
                </c:pt>
                <c:pt idx="650">
                  <c:v>43507</c:v>
                </c:pt>
                <c:pt idx="651">
                  <c:v>43515</c:v>
                </c:pt>
                <c:pt idx="652">
                  <c:v>43521</c:v>
                </c:pt>
                <c:pt idx="653">
                  <c:v>43528</c:v>
                </c:pt>
                <c:pt idx="654">
                  <c:v>43535</c:v>
                </c:pt>
                <c:pt idx="655">
                  <c:v>43542</c:v>
                </c:pt>
                <c:pt idx="656">
                  <c:v>43549</c:v>
                </c:pt>
                <c:pt idx="657">
                  <c:v>43556</c:v>
                </c:pt>
                <c:pt idx="658">
                  <c:v>43563</c:v>
                </c:pt>
                <c:pt idx="659">
                  <c:v>43570</c:v>
                </c:pt>
                <c:pt idx="660">
                  <c:v>43579</c:v>
                </c:pt>
                <c:pt idx="661">
                  <c:v>43584</c:v>
                </c:pt>
                <c:pt idx="662">
                  <c:v>43592</c:v>
                </c:pt>
                <c:pt idx="663">
                  <c:v>43598</c:v>
                </c:pt>
                <c:pt idx="664">
                  <c:v>43605</c:v>
                </c:pt>
                <c:pt idx="665">
                  <c:v>43613</c:v>
                </c:pt>
                <c:pt idx="666">
                  <c:v>43619</c:v>
                </c:pt>
                <c:pt idx="667">
                  <c:v>43626</c:v>
                </c:pt>
                <c:pt idx="668">
                  <c:v>43633</c:v>
                </c:pt>
                <c:pt idx="669">
                  <c:v>43640</c:v>
                </c:pt>
                <c:pt idx="670">
                  <c:v>43647</c:v>
                </c:pt>
                <c:pt idx="671">
                  <c:v>43654</c:v>
                </c:pt>
                <c:pt idx="672">
                  <c:v>43661</c:v>
                </c:pt>
                <c:pt idx="673">
                  <c:v>43668</c:v>
                </c:pt>
                <c:pt idx="674">
                  <c:v>43675</c:v>
                </c:pt>
                <c:pt idx="675">
                  <c:v>43682</c:v>
                </c:pt>
                <c:pt idx="676">
                  <c:v>43689</c:v>
                </c:pt>
                <c:pt idx="677">
                  <c:v>43696</c:v>
                </c:pt>
                <c:pt idx="678">
                  <c:v>43704</c:v>
                </c:pt>
                <c:pt idx="679">
                  <c:v>43711</c:v>
                </c:pt>
                <c:pt idx="680">
                  <c:v>43717</c:v>
                </c:pt>
                <c:pt idx="681">
                  <c:v>43724</c:v>
                </c:pt>
                <c:pt idx="682">
                  <c:v>43731</c:v>
                </c:pt>
                <c:pt idx="683">
                  <c:v>43738</c:v>
                </c:pt>
                <c:pt idx="684">
                  <c:v>43745</c:v>
                </c:pt>
                <c:pt idx="685">
                  <c:v>43753</c:v>
                </c:pt>
                <c:pt idx="686">
                  <c:v>43759</c:v>
                </c:pt>
                <c:pt idx="687">
                  <c:v>43766</c:v>
                </c:pt>
                <c:pt idx="688">
                  <c:v>43773</c:v>
                </c:pt>
                <c:pt idx="689">
                  <c:v>43781</c:v>
                </c:pt>
                <c:pt idx="690">
                  <c:v>43787</c:v>
                </c:pt>
                <c:pt idx="691">
                  <c:v>43794</c:v>
                </c:pt>
                <c:pt idx="692">
                  <c:v>43801</c:v>
                </c:pt>
                <c:pt idx="693">
                  <c:v>43808</c:v>
                </c:pt>
                <c:pt idx="694">
                  <c:v>43815</c:v>
                </c:pt>
                <c:pt idx="695">
                  <c:v>43822</c:v>
                </c:pt>
                <c:pt idx="696">
                  <c:v>43830</c:v>
                </c:pt>
                <c:pt idx="697">
                  <c:v>43837</c:v>
                </c:pt>
                <c:pt idx="698">
                  <c:v>43844</c:v>
                </c:pt>
                <c:pt idx="699">
                  <c:v>43851</c:v>
                </c:pt>
                <c:pt idx="700">
                  <c:v>43858</c:v>
                </c:pt>
                <c:pt idx="701">
                  <c:v>43865</c:v>
                </c:pt>
                <c:pt idx="702">
                  <c:v>43872</c:v>
                </c:pt>
                <c:pt idx="703">
                  <c:v>43879</c:v>
                </c:pt>
                <c:pt idx="704">
                  <c:v>43886</c:v>
                </c:pt>
                <c:pt idx="705">
                  <c:v>43893</c:v>
                </c:pt>
                <c:pt idx="706">
                  <c:v>43900</c:v>
                </c:pt>
                <c:pt idx="707">
                  <c:v>43907</c:v>
                </c:pt>
                <c:pt idx="708">
                  <c:v>43914</c:v>
                </c:pt>
                <c:pt idx="709">
                  <c:v>43921</c:v>
                </c:pt>
                <c:pt idx="710">
                  <c:v>43928</c:v>
                </c:pt>
                <c:pt idx="711">
                  <c:v>43937</c:v>
                </c:pt>
                <c:pt idx="712">
                  <c:v>43944</c:v>
                </c:pt>
                <c:pt idx="713">
                  <c:v>43951</c:v>
                </c:pt>
                <c:pt idx="714">
                  <c:v>43958</c:v>
                </c:pt>
                <c:pt idx="715">
                  <c:v>43965</c:v>
                </c:pt>
                <c:pt idx="716">
                  <c:v>43972</c:v>
                </c:pt>
                <c:pt idx="717">
                  <c:v>43979</c:v>
                </c:pt>
                <c:pt idx="718">
                  <c:v>43986</c:v>
                </c:pt>
                <c:pt idx="719">
                  <c:v>43993</c:v>
                </c:pt>
                <c:pt idx="720">
                  <c:v>44000</c:v>
                </c:pt>
                <c:pt idx="721">
                  <c:v>44007</c:v>
                </c:pt>
                <c:pt idx="722">
                  <c:v>44014</c:v>
                </c:pt>
                <c:pt idx="723">
                  <c:v>44021</c:v>
                </c:pt>
                <c:pt idx="724">
                  <c:v>44028</c:v>
                </c:pt>
                <c:pt idx="725">
                  <c:v>44035</c:v>
                </c:pt>
                <c:pt idx="726">
                  <c:v>44042</c:v>
                </c:pt>
                <c:pt idx="727">
                  <c:v>44049</c:v>
                </c:pt>
                <c:pt idx="728">
                  <c:v>44056</c:v>
                </c:pt>
                <c:pt idx="729">
                  <c:v>44063</c:v>
                </c:pt>
                <c:pt idx="730">
                  <c:v>44070</c:v>
                </c:pt>
                <c:pt idx="731">
                  <c:v>44077</c:v>
                </c:pt>
                <c:pt idx="732">
                  <c:v>44084</c:v>
                </c:pt>
                <c:pt idx="733">
                  <c:v>44091</c:v>
                </c:pt>
                <c:pt idx="734">
                  <c:v>44098</c:v>
                </c:pt>
                <c:pt idx="735">
                  <c:v>44105</c:v>
                </c:pt>
                <c:pt idx="736">
                  <c:v>44112</c:v>
                </c:pt>
                <c:pt idx="737">
                  <c:v>44119</c:v>
                </c:pt>
                <c:pt idx="738">
                  <c:v>44126</c:v>
                </c:pt>
                <c:pt idx="739">
                  <c:v>44133</c:v>
                </c:pt>
                <c:pt idx="740">
                  <c:v>44140</c:v>
                </c:pt>
                <c:pt idx="741">
                  <c:v>44147</c:v>
                </c:pt>
                <c:pt idx="742">
                  <c:v>44154</c:v>
                </c:pt>
                <c:pt idx="743">
                  <c:v>44162</c:v>
                </c:pt>
                <c:pt idx="744">
                  <c:v>44168</c:v>
                </c:pt>
                <c:pt idx="745">
                  <c:v>44175</c:v>
                </c:pt>
                <c:pt idx="746">
                  <c:v>44182</c:v>
                </c:pt>
                <c:pt idx="747">
                  <c:v>44189</c:v>
                </c:pt>
                <c:pt idx="748">
                  <c:v>44196</c:v>
                </c:pt>
                <c:pt idx="749">
                  <c:v>44203</c:v>
                </c:pt>
                <c:pt idx="750">
                  <c:v>44210</c:v>
                </c:pt>
                <c:pt idx="751">
                  <c:v>44217</c:v>
                </c:pt>
                <c:pt idx="752">
                  <c:v>44224</c:v>
                </c:pt>
                <c:pt idx="753">
                  <c:v>44231</c:v>
                </c:pt>
                <c:pt idx="754">
                  <c:v>44238</c:v>
                </c:pt>
                <c:pt idx="755">
                  <c:v>44245</c:v>
                </c:pt>
                <c:pt idx="756">
                  <c:v>44252</c:v>
                </c:pt>
                <c:pt idx="757">
                  <c:v>44259</c:v>
                </c:pt>
                <c:pt idx="758">
                  <c:v>44266</c:v>
                </c:pt>
                <c:pt idx="759">
                  <c:v>44273</c:v>
                </c:pt>
                <c:pt idx="760">
                  <c:v>44280</c:v>
                </c:pt>
                <c:pt idx="761">
                  <c:v>44287</c:v>
                </c:pt>
                <c:pt idx="762">
                  <c:v>44294</c:v>
                </c:pt>
                <c:pt idx="763">
                  <c:v>44301</c:v>
                </c:pt>
                <c:pt idx="764">
                  <c:v>44308</c:v>
                </c:pt>
                <c:pt idx="765">
                  <c:v>44315</c:v>
                </c:pt>
                <c:pt idx="766">
                  <c:v>44322</c:v>
                </c:pt>
                <c:pt idx="767">
                  <c:v>44329</c:v>
                </c:pt>
                <c:pt idx="768">
                  <c:v>44336</c:v>
                </c:pt>
                <c:pt idx="769">
                  <c:v>44343</c:v>
                </c:pt>
                <c:pt idx="770">
                  <c:v>44350</c:v>
                </c:pt>
                <c:pt idx="771">
                  <c:v>44357</c:v>
                </c:pt>
                <c:pt idx="772">
                  <c:v>44364</c:v>
                </c:pt>
                <c:pt idx="773">
                  <c:v>44371</c:v>
                </c:pt>
                <c:pt idx="774">
                  <c:v>44378</c:v>
                </c:pt>
                <c:pt idx="775">
                  <c:v>44385</c:v>
                </c:pt>
                <c:pt idx="776">
                  <c:v>44392</c:v>
                </c:pt>
                <c:pt idx="777">
                  <c:v>44399</c:v>
                </c:pt>
                <c:pt idx="778">
                  <c:v>44406</c:v>
                </c:pt>
                <c:pt idx="779">
                  <c:v>44413</c:v>
                </c:pt>
                <c:pt idx="780">
                  <c:v>44420</c:v>
                </c:pt>
                <c:pt idx="781">
                  <c:v>44427</c:v>
                </c:pt>
                <c:pt idx="782">
                  <c:v>44434</c:v>
                </c:pt>
                <c:pt idx="783">
                  <c:v>44441</c:v>
                </c:pt>
                <c:pt idx="784">
                  <c:v>44448</c:v>
                </c:pt>
                <c:pt idx="785">
                  <c:v>44455</c:v>
                </c:pt>
                <c:pt idx="786">
                  <c:v>44462</c:v>
                </c:pt>
                <c:pt idx="787">
                  <c:v>44469</c:v>
                </c:pt>
                <c:pt idx="788">
                  <c:v>44476</c:v>
                </c:pt>
                <c:pt idx="789">
                  <c:v>44483</c:v>
                </c:pt>
                <c:pt idx="790">
                  <c:v>44490</c:v>
                </c:pt>
                <c:pt idx="791">
                  <c:v>44497</c:v>
                </c:pt>
                <c:pt idx="792">
                  <c:v>44504</c:v>
                </c:pt>
                <c:pt idx="793">
                  <c:v>44512</c:v>
                </c:pt>
                <c:pt idx="794">
                  <c:v>44518</c:v>
                </c:pt>
                <c:pt idx="795">
                  <c:v>44526</c:v>
                </c:pt>
                <c:pt idx="796">
                  <c:v>44532</c:v>
                </c:pt>
                <c:pt idx="797">
                  <c:v>44539</c:v>
                </c:pt>
                <c:pt idx="798">
                  <c:v>44546</c:v>
                </c:pt>
                <c:pt idx="799">
                  <c:v>44553</c:v>
                </c:pt>
                <c:pt idx="800">
                  <c:v>44565</c:v>
                </c:pt>
                <c:pt idx="801">
                  <c:v>44568</c:v>
                </c:pt>
                <c:pt idx="802">
                  <c:v>44575</c:v>
                </c:pt>
                <c:pt idx="803">
                  <c:v>44582</c:v>
                </c:pt>
                <c:pt idx="804">
                  <c:v>44589</c:v>
                </c:pt>
                <c:pt idx="805">
                  <c:v>44596</c:v>
                </c:pt>
                <c:pt idx="806">
                  <c:v>44603</c:v>
                </c:pt>
                <c:pt idx="807">
                  <c:v>44610</c:v>
                </c:pt>
                <c:pt idx="808">
                  <c:v>44617</c:v>
                </c:pt>
                <c:pt idx="809">
                  <c:v>44624</c:v>
                </c:pt>
                <c:pt idx="810">
                  <c:v>44631</c:v>
                </c:pt>
                <c:pt idx="811">
                  <c:v>44638</c:v>
                </c:pt>
                <c:pt idx="812">
                  <c:v>44645</c:v>
                </c:pt>
                <c:pt idx="813">
                  <c:v>44652</c:v>
                </c:pt>
                <c:pt idx="814">
                  <c:v>44659</c:v>
                </c:pt>
                <c:pt idx="815">
                  <c:v>44670</c:v>
                </c:pt>
                <c:pt idx="816">
                  <c:v>44673</c:v>
                </c:pt>
                <c:pt idx="817">
                  <c:v>44680</c:v>
                </c:pt>
                <c:pt idx="818">
                  <c:v>44687</c:v>
                </c:pt>
                <c:pt idx="819">
                  <c:v>44694</c:v>
                </c:pt>
                <c:pt idx="820">
                  <c:v>44701</c:v>
                </c:pt>
                <c:pt idx="821">
                  <c:v>44708</c:v>
                </c:pt>
                <c:pt idx="822">
                  <c:v>44715</c:v>
                </c:pt>
                <c:pt idx="823">
                  <c:v>44722</c:v>
                </c:pt>
                <c:pt idx="824">
                  <c:v>44729</c:v>
                </c:pt>
                <c:pt idx="825">
                  <c:v>44736</c:v>
                </c:pt>
                <c:pt idx="826">
                  <c:v>44743</c:v>
                </c:pt>
                <c:pt idx="827">
                  <c:v>44750</c:v>
                </c:pt>
                <c:pt idx="828">
                  <c:v>44757</c:v>
                </c:pt>
                <c:pt idx="829">
                  <c:v>44764</c:v>
                </c:pt>
                <c:pt idx="830">
                  <c:v>44771</c:v>
                </c:pt>
                <c:pt idx="831">
                  <c:v>44778</c:v>
                </c:pt>
                <c:pt idx="832">
                  <c:v>44785</c:v>
                </c:pt>
                <c:pt idx="833">
                  <c:v>44792</c:v>
                </c:pt>
                <c:pt idx="834">
                  <c:v>44799</c:v>
                </c:pt>
                <c:pt idx="835">
                  <c:v>44806</c:v>
                </c:pt>
                <c:pt idx="836">
                  <c:v>44813</c:v>
                </c:pt>
                <c:pt idx="837">
                  <c:v>44820</c:v>
                </c:pt>
                <c:pt idx="838">
                  <c:v>44827</c:v>
                </c:pt>
                <c:pt idx="839">
                  <c:v>44834</c:v>
                </c:pt>
                <c:pt idx="840">
                  <c:v>44841</c:v>
                </c:pt>
                <c:pt idx="841">
                  <c:v>44848</c:v>
                </c:pt>
                <c:pt idx="842">
                  <c:v>44855</c:v>
                </c:pt>
                <c:pt idx="843">
                  <c:v>44862</c:v>
                </c:pt>
                <c:pt idx="844">
                  <c:v>44869</c:v>
                </c:pt>
                <c:pt idx="845">
                  <c:v>44879</c:v>
                </c:pt>
                <c:pt idx="846">
                  <c:v>44883</c:v>
                </c:pt>
                <c:pt idx="847">
                  <c:v>44890</c:v>
                </c:pt>
                <c:pt idx="848">
                  <c:v>44897</c:v>
                </c:pt>
                <c:pt idx="849">
                  <c:v>44904</c:v>
                </c:pt>
                <c:pt idx="850">
                  <c:v>44911</c:v>
                </c:pt>
                <c:pt idx="851">
                  <c:v>44918</c:v>
                </c:pt>
                <c:pt idx="852">
                  <c:v>44925</c:v>
                </c:pt>
                <c:pt idx="853">
                  <c:v>44932</c:v>
                </c:pt>
                <c:pt idx="854">
                  <c:v>44939</c:v>
                </c:pt>
                <c:pt idx="855">
                  <c:v>44946</c:v>
                </c:pt>
                <c:pt idx="856">
                  <c:v>44953</c:v>
                </c:pt>
                <c:pt idx="857">
                  <c:v>44960</c:v>
                </c:pt>
                <c:pt idx="858">
                  <c:v>44967</c:v>
                </c:pt>
                <c:pt idx="859">
                  <c:v>44974</c:v>
                </c:pt>
                <c:pt idx="860">
                  <c:v>44981</c:v>
                </c:pt>
                <c:pt idx="861">
                  <c:v>44988</c:v>
                </c:pt>
                <c:pt idx="862">
                  <c:v>44995</c:v>
                </c:pt>
                <c:pt idx="863">
                  <c:v>45002</c:v>
                </c:pt>
                <c:pt idx="864">
                  <c:v>45009</c:v>
                </c:pt>
                <c:pt idx="865">
                  <c:v>45016</c:v>
                </c:pt>
                <c:pt idx="866">
                  <c:v>45027</c:v>
                </c:pt>
                <c:pt idx="867">
                  <c:v>45030</c:v>
                </c:pt>
                <c:pt idx="868">
                  <c:v>45037</c:v>
                </c:pt>
                <c:pt idx="869">
                  <c:v>45044</c:v>
                </c:pt>
                <c:pt idx="870">
                  <c:v>45051</c:v>
                </c:pt>
                <c:pt idx="871">
                  <c:v>45058</c:v>
                </c:pt>
                <c:pt idx="872">
                  <c:v>45065</c:v>
                </c:pt>
                <c:pt idx="873">
                  <c:v>45072</c:v>
                </c:pt>
                <c:pt idx="874">
                  <c:v>45079</c:v>
                </c:pt>
                <c:pt idx="875">
                  <c:v>45086</c:v>
                </c:pt>
                <c:pt idx="876">
                  <c:v>45093</c:v>
                </c:pt>
                <c:pt idx="877">
                  <c:v>45100</c:v>
                </c:pt>
                <c:pt idx="878">
                  <c:v>45107</c:v>
                </c:pt>
                <c:pt idx="879">
                  <c:v>45114</c:v>
                </c:pt>
                <c:pt idx="880">
                  <c:v>45121</c:v>
                </c:pt>
                <c:pt idx="881">
                  <c:v>45128</c:v>
                </c:pt>
                <c:pt idx="882">
                  <c:v>45135</c:v>
                </c:pt>
                <c:pt idx="883">
                  <c:v>45142</c:v>
                </c:pt>
                <c:pt idx="884">
                  <c:v>45149</c:v>
                </c:pt>
                <c:pt idx="885">
                  <c:v>45156</c:v>
                </c:pt>
                <c:pt idx="886">
                  <c:v>45163</c:v>
                </c:pt>
                <c:pt idx="887">
                  <c:v>45170</c:v>
                </c:pt>
                <c:pt idx="888">
                  <c:v>45177</c:v>
                </c:pt>
                <c:pt idx="889">
                  <c:v>45184</c:v>
                </c:pt>
                <c:pt idx="890">
                  <c:v>45191</c:v>
                </c:pt>
                <c:pt idx="891">
                  <c:v>45198</c:v>
                </c:pt>
                <c:pt idx="892">
                  <c:v>45205</c:v>
                </c:pt>
                <c:pt idx="893">
                  <c:v>45212</c:v>
                </c:pt>
                <c:pt idx="894">
                  <c:v>45219</c:v>
                </c:pt>
                <c:pt idx="895">
                  <c:v>45226</c:v>
                </c:pt>
                <c:pt idx="896">
                  <c:v>45233</c:v>
                </c:pt>
                <c:pt idx="897">
                  <c:v>45243</c:v>
                </c:pt>
                <c:pt idx="898">
                  <c:v>45247</c:v>
                </c:pt>
                <c:pt idx="899">
                  <c:v>45254</c:v>
                </c:pt>
                <c:pt idx="900">
                  <c:v>45261</c:v>
                </c:pt>
                <c:pt idx="901">
                  <c:v>45268</c:v>
                </c:pt>
                <c:pt idx="902">
                  <c:v>45275</c:v>
                </c:pt>
                <c:pt idx="903">
                  <c:v>45282</c:v>
                </c:pt>
                <c:pt idx="904">
                  <c:v>45289</c:v>
                </c:pt>
                <c:pt idx="905">
                  <c:v>45296</c:v>
                </c:pt>
                <c:pt idx="906">
                  <c:v>45303</c:v>
                </c:pt>
                <c:pt idx="907">
                  <c:v>45310</c:v>
                </c:pt>
                <c:pt idx="908">
                  <c:v>45317</c:v>
                </c:pt>
                <c:pt idx="909">
                  <c:v>45324</c:v>
                </c:pt>
                <c:pt idx="910">
                  <c:v>45331</c:v>
                </c:pt>
                <c:pt idx="911">
                  <c:v>45338</c:v>
                </c:pt>
                <c:pt idx="912">
                  <c:v>45345</c:v>
                </c:pt>
                <c:pt idx="913">
                  <c:v>45352</c:v>
                </c:pt>
                <c:pt idx="914">
                  <c:v>45359</c:v>
                </c:pt>
                <c:pt idx="915">
                  <c:v>45366</c:v>
                </c:pt>
                <c:pt idx="916">
                  <c:v>45373</c:v>
                </c:pt>
                <c:pt idx="917">
                  <c:v>45384</c:v>
                </c:pt>
                <c:pt idx="918">
                  <c:v>45387</c:v>
                </c:pt>
                <c:pt idx="919">
                  <c:v>45394</c:v>
                </c:pt>
                <c:pt idx="920">
                  <c:v>45401</c:v>
                </c:pt>
                <c:pt idx="921">
                  <c:v>45408</c:v>
                </c:pt>
                <c:pt idx="922">
                  <c:v>45415</c:v>
                </c:pt>
                <c:pt idx="923">
                  <c:v>45422</c:v>
                </c:pt>
                <c:pt idx="924">
                  <c:v>45429</c:v>
                </c:pt>
                <c:pt idx="925">
                  <c:v>45436</c:v>
                </c:pt>
                <c:pt idx="926">
                  <c:v>45443</c:v>
                </c:pt>
                <c:pt idx="927">
                  <c:v>45450</c:v>
                </c:pt>
                <c:pt idx="928">
                  <c:v>45457</c:v>
                </c:pt>
                <c:pt idx="929">
                  <c:v>45464</c:v>
                </c:pt>
                <c:pt idx="930">
                  <c:v>45471</c:v>
                </c:pt>
                <c:pt idx="931">
                  <c:v>45478</c:v>
                </c:pt>
                <c:pt idx="932">
                  <c:v>45485</c:v>
                </c:pt>
                <c:pt idx="933">
                  <c:v>45492</c:v>
                </c:pt>
                <c:pt idx="934">
                  <c:v>45499</c:v>
                </c:pt>
                <c:pt idx="935">
                  <c:v>45506</c:v>
                </c:pt>
                <c:pt idx="936">
                  <c:v>45513</c:v>
                </c:pt>
                <c:pt idx="937">
                  <c:v>45520</c:v>
                </c:pt>
                <c:pt idx="938">
                  <c:v>45527</c:v>
                </c:pt>
                <c:pt idx="939">
                  <c:v>45534</c:v>
                </c:pt>
                <c:pt idx="940">
                  <c:v>45541</c:v>
                </c:pt>
                <c:pt idx="941">
                  <c:v>45548</c:v>
                </c:pt>
                <c:pt idx="942">
                  <c:v>45555</c:v>
                </c:pt>
                <c:pt idx="943">
                  <c:v>45562</c:v>
                </c:pt>
                <c:pt idx="944">
                  <c:v>45569</c:v>
                </c:pt>
                <c:pt idx="945">
                  <c:v>45576</c:v>
                </c:pt>
                <c:pt idx="946">
                  <c:v>45583</c:v>
                </c:pt>
                <c:pt idx="947">
                  <c:v>45590</c:v>
                </c:pt>
                <c:pt idx="948">
                  <c:v>45597</c:v>
                </c:pt>
                <c:pt idx="949">
                  <c:v>45604</c:v>
                </c:pt>
                <c:pt idx="950">
                  <c:v>45611</c:v>
                </c:pt>
                <c:pt idx="951">
                  <c:v>45618</c:v>
                </c:pt>
                <c:pt idx="952">
                  <c:v>45625</c:v>
                </c:pt>
                <c:pt idx="953">
                  <c:v>45632</c:v>
                </c:pt>
                <c:pt idx="954">
                  <c:v>45639</c:v>
                </c:pt>
                <c:pt idx="955">
                  <c:v>45646</c:v>
                </c:pt>
                <c:pt idx="956">
                  <c:v>45657</c:v>
                </c:pt>
                <c:pt idx="957">
                  <c:v>45664</c:v>
                </c:pt>
                <c:pt idx="958">
                  <c:v>45671</c:v>
                </c:pt>
                <c:pt idx="959">
                  <c:v>45678</c:v>
                </c:pt>
                <c:pt idx="960">
                  <c:v>45685</c:v>
                </c:pt>
                <c:pt idx="961">
                  <c:v>45692</c:v>
                </c:pt>
                <c:pt idx="962">
                  <c:v>45699</c:v>
                </c:pt>
                <c:pt idx="963">
                  <c:v>45706</c:v>
                </c:pt>
                <c:pt idx="964">
                  <c:v>45713</c:v>
                </c:pt>
                <c:pt idx="965">
                  <c:v>45720</c:v>
                </c:pt>
                <c:pt idx="966">
                  <c:v>45727</c:v>
                </c:pt>
                <c:pt idx="967">
                  <c:v>45734</c:v>
                </c:pt>
                <c:pt idx="968">
                  <c:v>45741</c:v>
                </c:pt>
                <c:pt idx="969">
                  <c:v>45748</c:v>
                </c:pt>
                <c:pt idx="970">
                  <c:v>45755</c:v>
                </c:pt>
                <c:pt idx="971">
                  <c:v>45762</c:v>
                </c:pt>
                <c:pt idx="972">
                  <c:v>45771</c:v>
                </c:pt>
                <c:pt idx="973">
                  <c:v>45778</c:v>
                </c:pt>
                <c:pt idx="974">
                  <c:v>45785</c:v>
                </c:pt>
                <c:pt idx="975">
                  <c:v>45792</c:v>
                </c:pt>
                <c:pt idx="976">
                  <c:v>45799</c:v>
                </c:pt>
                <c:pt idx="977">
                  <c:v>45806</c:v>
                </c:pt>
                <c:pt idx="978">
                  <c:v>45813</c:v>
                </c:pt>
                <c:pt idx="979">
                  <c:v>45820</c:v>
                </c:pt>
                <c:pt idx="980">
                  <c:v>45827</c:v>
                </c:pt>
                <c:pt idx="981">
                  <c:v>45834</c:v>
                </c:pt>
                <c:pt idx="982">
                  <c:v>45841</c:v>
                </c:pt>
                <c:pt idx="983">
                  <c:v>45848</c:v>
                </c:pt>
                <c:pt idx="984">
                  <c:v>45855</c:v>
                </c:pt>
                <c:pt idx="985">
                  <c:v>45862</c:v>
                </c:pt>
                <c:pt idx="986">
                  <c:v>45869</c:v>
                </c:pt>
                <c:pt idx="987">
                  <c:v>45876</c:v>
                </c:pt>
                <c:pt idx="988">
                  <c:v>45883</c:v>
                </c:pt>
                <c:pt idx="989">
                  <c:v>45890</c:v>
                </c:pt>
                <c:pt idx="990">
                  <c:v>45897</c:v>
                </c:pt>
                <c:pt idx="991">
                  <c:v>45904</c:v>
                </c:pt>
                <c:pt idx="992">
                  <c:v>45911</c:v>
                </c:pt>
                <c:pt idx="993">
                  <c:v>45918</c:v>
                </c:pt>
                <c:pt idx="994">
                  <c:v>45925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45989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46024</c:v>
                </c:pt>
                <c:pt idx="1009">
                  <c:v>46030</c:v>
                </c:pt>
                <c:pt idx="1010">
                  <c:v>46037</c:v>
                </c:pt>
                <c:pt idx="1011">
                  <c:v>46044</c:v>
                </c:pt>
                <c:pt idx="1012">
                  <c:v>46051</c:v>
                </c:pt>
                <c:pt idx="1013">
                  <c:v>46058</c:v>
                </c:pt>
                <c:pt idx="1014">
                  <c:v>46065</c:v>
                </c:pt>
                <c:pt idx="1015">
                  <c:v>46072</c:v>
                </c:pt>
                <c:pt idx="1016">
                  <c:v>46079</c:v>
                </c:pt>
                <c:pt idx="1017">
                  <c:v>46086</c:v>
                </c:pt>
                <c:pt idx="1018">
                  <c:v>46093</c:v>
                </c:pt>
                <c:pt idx="1019">
                  <c:v>46100</c:v>
                </c:pt>
                <c:pt idx="1020">
                  <c:v>46107</c:v>
                </c:pt>
                <c:pt idx="1021">
                  <c:v>46114</c:v>
                </c:pt>
                <c:pt idx="1022">
                  <c:v>46121</c:v>
                </c:pt>
                <c:pt idx="1023">
                  <c:v>46128</c:v>
                </c:pt>
                <c:pt idx="1024">
                  <c:v>46135</c:v>
                </c:pt>
                <c:pt idx="1025">
                  <c:v>46142</c:v>
                </c:pt>
                <c:pt idx="1026">
                  <c:v>46149</c:v>
                </c:pt>
                <c:pt idx="1027">
                  <c:v>46156</c:v>
                </c:pt>
                <c:pt idx="1028">
                  <c:v>46163</c:v>
                </c:pt>
                <c:pt idx="1029">
                  <c:v>46170</c:v>
                </c:pt>
                <c:pt idx="1030">
                  <c:v>46177</c:v>
                </c:pt>
                <c:pt idx="1031">
                  <c:v>46184</c:v>
                </c:pt>
                <c:pt idx="1032">
                  <c:v>46191</c:v>
                </c:pt>
                <c:pt idx="1033">
                  <c:v>46198</c:v>
                </c:pt>
                <c:pt idx="1034">
                  <c:v>46205</c:v>
                </c:pt>
                <c:pt idx="1035">
                  <c:v>46212</c:v>
                </c:pt>
                <c:pt idx="1036">
                  <c:v>46219</c:v>
                </c:pt>
                <c:pt idx="1037">
                  <c:v>46226</c:v>
                </c:pt>
                <c:pt idx="1038">
                  <c:v>46233</c:v>
                </c:pt>
                <c:pt idx="1039">
                  <c:v>46240</c:v>
                </c:pt>
                <c:pt idx="1040">
                  <c:v>46247</c:v>
                </c:pt>
                <c:pt idx="1041">
                  <c:v>46254</c:v>
                </c:pt>
                <c:pt idx="1042">
                  <c:v>46261</c:v>
                </c:pt>
                <c:pt idx="1043">
                  <c:v>46268</c:v>
                </c:pt>
                <c:pt idx="1044">
                  <c:v>46275</c:v>
                </c:pt>
                <c:pt idx="1045">
                  <c:v>46282</c:v>
                </c:pt>
                <c:pt idx="1046">
                  <c:v>46289</c:v>
                </c:pt>
                <c:pt idx="1047">
                  <c:v>46296</c:v>
                </c:pt>
                <c:pt idx="1048">
                  <c:v>46303</c:v>
                </c:pt>
                <c:pt idx="1049">
                  <c:v>46310</c:v>
                </c:pt>
                <c:pt idx="1050">
                  <c:v>46317</c:v>
                </c:pt>
                <c:pt idx="1051">
                  <c:v>46324</c:v>
                </c:pt>
                <c:pt idx="1052">
                  <c:v>46331</c:v>
                </c:pt>
                <c:pt idx="1053">
                  <c:v>46338</c:v>
                </c:pt>
                <c:pt idx="1054">
                  <c:v>46345</c:v>
                </c:pt>
                <c:pt idx="1055">
                  <c:v>46353</c:v>
                </c:pt>
                <c:pt idx="1056">
                  <c:v>46359</c:v>
                </c:pt>
                <c:pt idx="1057">
                  <c:v>46366</c:v>
                </c:pt>
                <c:pt idx="1058">
                  <c:v>46373</c:v>
                </c:pt>
                <c:pt idx="1059">
                  <c:v>46380</c:v>
                </c:pt>
                <c:pt idx="1060">
                  <c:v>46387</c:v>
                </c:pt>
                <c:pt idx="1061">
                  <c:v>46394</c:v>
                </c:pt>
                <c:pt idx="1062">
                  <c:v>46401</c:v>
                </c:pt>
                <c:pt idx="1063">
                  <c:v>46408</c:v>
                </c:pt>
                <c:pt idx="1064">
                  <c:v>46415</c:v>
                </c:pt>
                <c:pt idx="1065">
                  <c:v>46422</c:v>
                </c:pt>
                <c:pt idx="1066">
                  <c:v>46429</c:v>
                </c:pt>
                <c:pt idx="1067">
                  <c:v>46436</c:v>
                </c:pt>
                <c:pt idx="1068">
                  <c:v>46443</c:v>
                </c:pt>
                <c:pt idx="1069">
                  <c:v>46450</c:v>
                </c:pt>
                <c:pt idx="1070">
                  <c:v>46457</c:v>
                </c:pt>
                <c:pt idx="1071">
                  <c:v>46464</c:v>
                </c:pt>
                <c:pt idx="1072">
                  <c:v>46471</c:v>
                </c:pt>
                <c:pt idx="1073">
                  <c:v>46478</c:v>
                </c:pt>
                <c:pt idx="1074">
                  <c:v>46485</c:v>
                </c:pt>
                <c:pt idx="1075">
                  <c:v>46492</c:v>
                </c:pt>
                <c:pt idx="1076">
                  <c:v>46499</c:v>
                </c:pt>
                <c:pt idx="1077">
                  <c:v>46506</c:v>
                </c:pt>
                <c:pt idx="1078">
                  <c:v>46513</c:v>
                </c:pt>
                <c:pt idx="1079">
                  <c:v>46520</c:v>
                </c:pt>
                <c:pt idx="1080">
                  <c:v>46527</c:v>
                </c:pt>
                <c:pt idx="1081">
                  <c:v>46534</c:v>
                </c:pt>
                <c:pt idx="1082">
                  <c:v>46541</c:v>
                </c:pt>
                <c:pt idx="1083">
                  <c:v>46548</c:v>
                </c:pt>
                <c:pt idx="1084">
                  <c:v>46555</c:v>
                </c:pt>
                <c:pt idx="1085">
                  <c:v>46562</c:v>
                </c:pt>
                <c:pt idx="1086">
                  <c:v>46569</c:v>
                </c:pt>
                <c:pt idx="1087">
                  <c:v>46576</c:v>
                </c:pt>
                <c:pt idx="1088">
                  <c:v>46583</c:v>
                </c:pt>
                <c:pt idx="1089">
                  <c:v>46590</c:v>
                </c:pt>
                <c:pt idx="1090">
                  <c:v>46597</c:v>
                </c:pt>
                <c:pt idx="1091">
                  <c:v>46604</c:v>
                </c:pt>
                <c:pt idx="1092">
                  <c:v>46611</c:v>
                </c:pt>
                <c:pt idx="1093">
                  <c:v>46618</c:v>
                </c:pt>
                <c:pt idx="1094">
                  <c:v>46625</c:v>
                </c:pt>
                <c:pt idx="1095">
                  <c:v>46632</c:v>
                </c:pt>
                <c:pt idx="1096">
                  <c:v>46639</c:v>
                </c:pt>
                <c:pt idx="1097">
                  <c:v>46646</c:v>
                </c:pt>
                <c:pt idx="1098">
                  <c:v>46653</c:v>
                </c:pt>
                <c:pt idx="1099">
                  <c:v>46660</c:v>
                </c:pt>
                <c:pt idx="1100">
                  <c:v>46667</c:v>
                </c:pt>
                <c:pt idx="1101">
                  <c:v>46674</c:v>
                </c:pt>
                <c:pt idx="1102">
                  <c:v>46681</c:v>
                </c:pt>
                <c:pt idx="1103">
                  <c:v>46688</c:v>
                </c:pt>
                <c:pt idx="1104">
                  <c:v>46695</c:v>
                </c:pt>
                <c:pt idx="1105">
                  <c:v>46703</c:v>
                </c:pt>
                <c:pt idx="1106">
                  <c:v>46709</c:v>
                </c:pt>
                <c:pt idx="1107">
                  <c:v>46717</c:v>
                </c:pt>
                <c:pt idx="1108">
                  <c:v>46723</c:v>
                </c:pt>
                <c:pt idx="1109">
                  <c:v>46730</c:v>
                </c:pt>
                <c:pt idx="1110">
                  <c:v>46737</c:v>
                </c:pt>
                <c:pt idx="1111">
                  <c:v>46744</c:v>
                </c:pt>
                <c:pt idx="1112">
                  <c:v>46756</c:v>
                </c:pt>
                <c:pt idx="1113">
                  <c:v>46759</c:v>
                </c:pt>
                <c:pt idx="1114">
                  <c:v>46766</c:v>
                </c:pt>
                <c:pt idx="1115">
                  <c:v>46773</c:v>
                </c:pt>
                <c:pt idx="1116">
                  <c:v>46780</c:v>
                </c:pt>
                <c:pt idx="1117">
                  <c:v>46787</c:v>
                </c:pt>
                <c:pt idx="1118">
                  <c:v>46794</c:v>
                </c:pt>
                <c:pt idx="1119">
                  <c:v>46801</c:v>
                </c:pt>
                <c:pt idx="1120">
                  <c:v>46808</c:v>
                </c:pt>
                <c:pt idx="1121">
                  <c:v>46815</c:v>
                </c:pt>
                <c:pt idx="1122">
                  <c:v>46822</c:v>
                </c:pt>
                <c:pt idx="1123">
                  <c:v>46829</c:v>
                </c:pt>
                <c:pt idx="1124">
                  <c:v>46836</c:v>
                </c:pt>
                <c:pt idx="1125">
                  <c:v>46843</c:v>
                </c:pt>
                <c:pt idx="1126">
                  <c:v>46850</c:v>
                </c:pt>
                <c:pt idx="1127">
                  <c:v>46861</c:v>
                </c:pt>
                <c:pt idx="1128">
                  <c:v>46864</c:v>
                </c:pt>
                <c:pt idx="1129">
                  <c:v>46871</c:v>
                </c:pt>
                <c:pt idx="1130">
                  <c:v>46878</c:v>
                </c:pt>
                <c:pt idx="1131">
                  <c:v>46885</c:v>
                </c:pt>
                <c:pt idx="1132">
                  <c:v>46892</c:v>
                </c:pt>
                <c:pt idx="1133">
                  <c:v>46899</c:v>
                </c:pt>
                <c:pt idx="1134">
                  <c:v>46906</c:v>
                </c:pt>
                <c:pt idx="1135">
                  <c:v>46913</c:v>
                </c:pt>
                <c:pt idx="1136">
                  <c:v>46920</c:v>
                </c:pt>
                <c:pt idx="1137">
                  <c:v>46927</c:v>
                </c:pt>
                <c:pt idx="1138">
                  <c:v>46934</c:v>
                </c:pt>
                <c:pt idx="1139">
                  <c:v>46941</c:v>
                </c:pt>
                <c:pt idx="1140">
                  <c:v>46948</c:v>
                </c:pt>
                <c:pt idx="1141">
                  <c:v>46955</c:v>
                </c:pt>
                <c:pt idx="1142">
                  <c:v>46962</c:v>
                </c:pt>
                <c:pt idx="1143">
                  <c:v>46969</c:v>
                </c:pt>
                <c:pt idx="1144">
                  <c:v>46976</c:v>
                </c:pt>
                <c:pt idx="1145">
                  <c:v>46983</c:v>
                </c:pt>
                <c:pt idx="1146">
                  <c:v>46990</c:v>
                </c:pt>
                <c:pt idx="1147">
                  <c:v>46997</c:v>
                </c:pt>
                <c:pt idx="1148">
                  <c:v>47004</c:v>
                </c:pt>
                <c:pt idx="1149">
                  <c:v>47011</c:v>
                </c:pt>
                <c:pt idx="1150">
                  <c:v>47018</c:v>
                </c:pt>
                <c:pt idx="1151">
                  <c:v>47025</c:v>
                </c:pt>
                <c:pt idx="1152">
                  <c:v>47032</c:v>
                </c:pt>
                <c:pt idx="1153">
                  <c:v>47039</c:v>
                </c:pt>
                <c:pt idx="1154">
                  <c:v>47046</c:v>
                </c:pt>
                <c:pt idx="1155">
                  <c:v>47053</c:v>
                </c:pt>
                <c:pt idx="1156">
                  <c:v>47060</c:v>
                </c:pt>
                <c:pt idx="1157">
                  <c:v>47070</c:v>
                </c:pt>
                <c:pt idx="1158">
                  <c:v>47074</c:v>
                </c:pt>
                <c:pt idx="1159">
                  <c:v>47081</c:v>
                </c:pt>
                <c:pt idx="1160">
                  <c:v>47088</c:v>
                </c:pt>
                <c:pt idx="1161">
                  <c:v>47095</c:v>
                </c:pt>
                <c:pt idx="1162">
                  <c:v>47102</c:v>
                </c:pt>
                <c:pt idx="1163">
                  <c:v>47109</c:v>
                </c:pt>
                <c:pt idx="1164">
                  <c:v>47116</c:v>
                </c:pt>
                <c:pt idx="1165">
                  <c:v>47123</c:v>
                </c:pt>
                <c:pt idx="1166">
                  <c:v>47130</c:v>
                </c:pt>
                <c:pt idx="1167">
                  <c:v>47137</c:v>
                </c:pt>
                <c:pt idx="1168">
                  <c:v>47144</c:v>
                </c:pt>
                <c:pt idx="1169">
                  <c:v>47151</c:v>
                </c:pt>
                <c:pt idx="1170">
                  <c:v>47158</c:v>
                </c:pt>
                <c:pt idx="1171">
                  <c:v>47165</c:v>
                </c:pt>
                <c:pt idx="1172">
                  <c:v>47172</c:v>
                </c:pt>
                <c:pt idx="1173">
                  <c:v>47179</c:v>
                </c:pt>
                <c:pt idx="1174">
                  <c:v>47186</c:v>
                </c:pt>
                <c:pt idx="1175">
                  <c:v>47193</c:v>
                </c:pt>
                <c:pt idx="1176">
                  <c:v>47200</c:v>
                </c:pt>
                <c:pt idx="1177">
                  <c:v>47211</c:v>
                </c:pt>
                <c:pt idx="1178">
                  <c:v>47214</c:v>
                </c:pt>
                <c:pt idx="1179">
                  <c:v>47221</c:v>
                </c:pt>
                <c:pt idx="1180">
                  <c:v>47228</c:v>
                </c:pt>
                <c:pt idx="1181">
                  <c:v>47235</c:v>
                </c:pt>
                <c:pt idx="1182">
                  <c:v>47242</c:v>
                </c:pt>
                <c:pt idx="1183">
                  <c:v>47249</c:v>
                </c:pt>
                <c:pt idx="1184">
                  <c:v>47256</c:v>
                </c:pt>
                <c:pt idx="1185">
                  <c:v>47263</c:v>
                </c:pt>
                <c:pt idx="1186">
                  <c:v>47270</c:v>
                </c:pt>
                <c:pt idx="1187">
                  <c:v>47277</c:v>
                </c:pt>
                <c:pt idx="1188">
                  <c:v>47284</c:v>
                </c:pt>
                <c:pt idx="1189">
                  <c:v>47291</c:v>
                </c:pt>
                <c:pt idx="1190">
                  <c:v>47298</c:v>
                </c:pt>
                <c:pt idx="1191">
                  <c:v>47305</c:v>
                </c:pt>
                <c:pt idx="1192">
                  <c:v>47312</c:v>
                </c:pt>
                <c:pt idx="1193">
                  <c:v>47319</c:v>
                </c:pt>
                <c:pt idx="1194">
                  <c:v>47326</c:v>
                </c:pt>
                <c:pt idx="1195">
                  <c:v>47333</c:v>
                </c:pt>
                <c:pt idx="1196">
                  <c:v>47340</c:v>
                </c:pt>
                <c:pt idx="1197">
                  <c:v>47347</c:v>
                </c:pt>
                <c:pt idx="1198">
                  <c:v>47354</c:v>
                </c:pt>
                <c:pt idx="1199">
                  <c:v>47361</c:v>
                </c:pt>
                <c:pt idx="1200">
                  <c:v>47368</c:v>
                </c:pt>
                <c:pt idx="1201">
                  <c:v>47375</c:v>
                </c:pt>
                <c:pt idx="1202">
                  <c:v>47382</c:v>
                </c:pt>
                <c:pt idx="1203">
                  <c:v>47389</c:v>
                </c:pt>
                <c:pt idx="1204">
                  <c:v>47396</c:v>
                </c:pt>
                <c:pt idx="1205">
                  <c:v>47403</c:v>
                </c:pt>
                <c:pt idx="1206">
                  <c:v>47410</c:v>
                </c:pt>
                <c:pt idx="1207">
                  <c:v>47417</c:v>
                </c:pt>
                <c:pt idx="1208">
                  <c:v>47424</c:v>
                </c:pt>
                <c:pt idx="1209">
                  <c:v>47431</c:v>
                </c:pt>
                <c:pt idx="1210">
                  <c:v>47438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47483</c:v>
                </c:pt>
                <c:pt idx="1217">
                  <c:v>47490</c:v>
                </c:pt>
                <c:pt idx="1218">
                  <c:v>47497</c:v>
                </c:pt>
                <c:pt idx="1219">
                  <c:v>47505</c:v>
                </c:pt>
                <c:pt idx="1220">
                  <c:v>47511</c:v>
                </c:pt>
                <c:pt idx="1221">
                  <c:v>47518</c:v>
                </c:pt>
                <c:pt idx="1222">
                  <c:v>47525</c:v>
                </c:pt>
                <c:pt idx="1223">
                  <c:v>47533</c:v>
                </c:pt>
                <c:pt idx="1224">
                  <c:v>47539</c:v>
                </c:pt>
                <c:pt idx="1225">
                  <c:v>47546</c:v>
                </c:pt>
                <c:pt idx="1226">
                  <c:v>47553</c:v>
                </c:pt>
                <c:pt idx="1227">
                  <c:v>47560</c:v>
                </c:pt>
                <c:pt idx="1228">
                  <c:v>47567</c:v>
                </c:pt>
                <c:pt idx="1229">
                  <c:v>47574</c:v>
                </c:pt>
                <c:pt idx="1230">
                  <c:v>47581</c:v>
                </c:pt>
                <c:pt idx="1231">
                  <c:v>47588</c:v>
                </c:pt>
                <c:pt idx="1232">
                  <c:v>47597</c:v>
                </c:pt>
                <c:pt idx="1233">
                  <c:v>47602</c:v>
                </c:pt>
                <c:pt idx="1234">
                  <c:v>47610</c:v>
                </c:pt>
                <c:pt idx="1235">
                  <c:v>47616</c:v>
                </c:pt>
                <c:pt idx="1236">
                  <c:v>47623</c:v>
                </c:pt>
                <c:pt idx="1237">
                  <c:v>47631</c:v>
                </c:pt>
                <c:pt idx="1238">
                  <c:v>47637</c:v>
                </c:pt>
                <c:pt idx="1239">
                  <c:v>47644</c:v>
                </c:pt>
                <c:pt idx="1240">
                  <c:v>47651</c:v>
                </c:pt>
                <c:pt idx="1241">
                  <c:v>47658</c:v>
                </c:pt>
                <c:pt idx="1242">
                  <c:v>47665</c:v>
                </c:pt>
                <c:pt idx="1243">
                  <c:v>47672</c:v>
                </c:pt>
                <c:pt idx="1244">
                  <c:v>47679</c:v>
                </c:pt>
                <c:pt idx="1245">
                  <c:v>47686</c:v>
                </c:pt>
                <c:pt idx="1246">
                  <c:v>47693</c:v>
                </c:pt>
                <c:pt idx="1247">
                  <c:v>47700</c:v>
                </c:pt>
                <c:pt idx="1248">
                  <c:v>47707</c:v>
                </c:pt>
                <c:pt idx="1249">
                  <c:v>47714</c:v>
                </c:pt>
                <c:pt idx="1250">
                  <c:v>47722</c:v>
                </c:pt>
                <c:pt idx="1251">
                  <c:v>47729</c:v>
                </c:pt>
                <c:pt idx="1252">
                  <c:v>47735</c:v>
                </c:pt>
                <c:pt idx="1253">
                  <c:v>47742</c:v>
                </c:pt>
                <c:pt idx="1254">
                  <c:v>47749</c:v>
                </c:pt>
                <c:pt idx="1255">
                  <c:v>47756</c:v>
                </c:pt>
                <c:pt idx="1256">
                  <c:v>47763</c:v>
                </c:pt>
                <c:pt idx="1257">
                  <c:v>47771</c:v>
                </c:pt>
                <c:pt idx="1258">
                  <c:v>47777</c:v>
                </c:pt>
                <c:pt idx="1259">
                  <c:v>47784</c:v>
                </c:pt>
                <c:pt idx="1260">
                  <c:v>47791</c:v>
                </c:pt>
                <c:pt idx="1261">
                  <c:v>47799</c:v>
                </c:pt>
                <c:pt idx="1262">
                  <c:v>47805</c:v>
                </c:pt>
                <c:pt idx="1263">
                  <c:v>47812</c:v>
                </c:pt>
                <c:pt idx="1264">
                  <c:v>47819</c:v>
                </c:pt>
                <c:pt idx="1265">
                  <c:v>47826</c:v>
                </c:pt>
                <c:pt idx="1266">
                  <c:v>47833</c:v>
                </c:pt>
                <c:pt idx="1267">
                  <c:v>47840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47955</c:v>
                </c:pt>
                <c:pt idx="1284">
                  <c:v>47962</c:v>
                </c:pt>
                <c:pt idx="1285">
                  <c:v>47969</c:v>
                </c:pt>
                <c:pt idx="1286">
                  <c:v>47976</c:v>
                </c:pt>
                <c:pt idx="1287">
                  <c:v>47983</c:v>
                </c:pt>
                <c:pt idx="1288">
                  <c:v>47990</c:v>
                </c:pt>
                <c:pt idx="1289">
                  <c:v>47997</c:v>
                </c:pt>
                <c:pt idx="1290">
                  <c:v>48004</c:v>
                </c:pt>
                <c:pt idx="1291">
                  <c:v>48011</c:v>
                </c:pt>
                <c:pt idx="1292">
                  <c:v>48018</c:v>
                </c:pt>
                <c:pt idx="1293">
                  <c:v>48025</c:v>
                </c:pt>
                <c:pt idx="1294">
                  <c:v>48032</c:v>
                </c:pt>
                <c:pt idx="1295">
                  <c:v>48039</c:v>
                </c:pt>
                <c:pt idx="1296">
                  <c:v>48046</c:v>
                </c:pt>
                <c:pt idx="1297">
                  <c:v>48053</c:v>
                </c:pt>
                <c:pt idx="1298">
                  <c:v>48060</c:v>
                </c:pt>
                <c:pt idx="1299">
                  <c:v>48067</c:v>
                </c:pt>
                <c:pt idx="1300">
                  <c:v>48074</c:v>
                </c:pt>
                <c:pt idx="1301">
                  <c:v>48081</c:v>
                </c:pt>
                <c:pt idx="1302">
                  <c:v>48088</c:v>
                </c:pt>
                <c:pt idx="1303">
                  <c:v>48095</c:v>
                </c:pt>
                <c:pt idx="1304">
                  <c:v>48102</c:v>
                </c:pt>
                <c:pt idx="1305">
                  <c:v>48109</c:v>
                </c:pt>
                <c:pt idx="1306">
                  <c:v>48116</c:v>
                </c:pt>
                <c:pt idx="1307">
                  <c:v>48123</c:v>
                </c:pt>
                <c:pt idx="1308">
                  <c:v>48130</c:v>
                </c:pt>
                <c:pt idx="1309">
                  <c:v>48137</c:v>
                </c:pt>
                <c:pt idx="1310">
                  <c:v>48144</c:v>
                </c:pt>
                <c:pt idx="1311">
                  <c:v>48151</c:v>
                </c:pt>
                <c:pt idx="1312">
                  <c:v>48158</c:v>
                </c:pt>
                <c:pt idx="1313">
                  <c:v>48165</c:v>
                </c:pt>
                <c:pt idx="1314">
                  <c:v>48172</c:v>
                </c:pt>
                <c:pt idx="1315">
                  <c:v>48180</c:v>
                </c:pt>
                <c:pt idx="1316">
                  <c:v>48186</c:v>
                </c:pt>
                <c:pt idx="1317">
                  <c:v>48193</c:v>
                </c:pt>
                <c:pt idx="1318">
                  <c:v>48200</c:v>
                </c:pt>
                <c:pt idx="1319">
                  <c:v>48211</c:v>
                </c:pt>
                <c:pt idx="1320">
                  <c:v>48215</c:v>
                </c:pt>
                <c:pt idx="1321">
                  <c:v>48221</c:v>
                </c:pt>
                <c:pt idx="1322">
                  <c:v>48228</c:v>
                </c:pt>
                <c:pt idx="1323">
                  <c:v>48235</c:v>
                </c:pt>
                <c:pt idx="1324">
                  <c:v>48242</c:v>
                </c:pt>
                <c:pt idx="1325">
                  <c:v>48249</c:v>
                </c:pt>
                <c:pt idx="1326">
                  <c:v>48256</c:v>
                </c:pt>
                <c:pt idx="1327">
                  <c:v>48263</c:v>
                </c:pt>
                <c:pt idx="1328">
                  <c:v>48270</c:v>
                </c:pt>
                <c:pt idx="1329">
                  <c:v>48277</c:v>
                </c:pt>
                <c:pt idx="1330">
                  <c:v>48284</c:v>
                </c:pt>
                <c:pt idx="1331">
                  <c:v>48291</c:v>
                </c:pt>
                <c:pt idx="1332">
                  <c:v>48298</c:v>
                </c:pt>
                <c:pt idx="1333">
                  <c:v>48305</c:v>
                </c:pt>
                <c:pt idx="1334">
                  <c:v>48312</c:v>
                </c:pt>
                <c:pt idx="1335">
                  <c:v>48319</c:v>
                </c:pt>
                <c:pt idx="1336">
                  <c:v>48326</c:v>
                </c:pt>
                <c:pt idx="1337">
                  <c:v>48333</c:v>
                </c:pt>
                <c:pt idx="1338">
                  <c:v>48340</c:v>
                </c:pt>
                <c:pt idx="1339">
                  <c:v>48347</c:v>
                </c:pt>
                <c:pt idx="1340">
                  <c:v>48354</c:v>
                </c:pt>
                <c:pt idx="1341">
                  <c:v>48361</c:v>
                </c:pt>
                <c:pt idx="1342">
                  <c:v>48368</c:v>
                </c:pt>
                <c:pt idx="1343">
                  <c:v>48375</c:v>
                </c:pt>
                <c:pt idx="1344">
                  <c:v>48382</c:v>
                </c:pt>
                <c:pt idx="1345">
                  <c:v>48389</c:v>
                </c:pt>
                <c:pt idx="1346">
                  <c:v>48396</c:v>
                </c:pt>
                <c:pt idx="1347">
                  <c:v>48403</c:v>
                </c:pt>
                <c:pt idx="1348">
                  <c:v>48410</c:v>
                </c:pt>
                <c:pt idx="1349">
                  <c:v>48417</c:v>
                </c:pt>
                <c:pt idx="1350">
                  <c:v>48424</c:v>
                </c:pt>
                <c:pt idx="1351">
                  <c:v>48431</c:v>
                </c:pt>
                <c:pt idx="1352">
                  <c:v>48438</c:v>
                </c:pt>
                <c:pt idx="1353">
                  <c:v>48445</c:v>
                </c:pt>
                <c:pt idx="1354">
                  <c:v>48452</c:v>
                </c:pt>
                <c:pt idx="1355">
                  <c:v>48459</c:v>
                </c:pt>
                <c:pt idx="1356">
                  <c:v>48466</c:v>
                </c:pt>
                <c:pt idx="1357">
                  <c:v>48473</c:v>
                </c:pt>
                <c:pt idx="1358">
                  <c:v>48480</c:v>
                </c:pt>
                <c:pt idx="1359">
                  <c:v>48487</c:v>
                </c:pt>
                <c:pt idx="1360">
                  <c:v>48494</c:v>
                </c:pt>
                <c:pt idx="1361">
                  <c:v>48501</c:v>
                </c:pt>
                <c:pt idx="1362">
                  <c:v>48508</c:v>
                </c:pt>
                <c:pt idx="1363">
                  <c:v>48515</c:v>
                </c:pt>
                <c:pt idx="1364">
                  <c:v>48522</c:v>
                </c:pt>
                <c:pt idx="1365">
                  <c:v>48530</c:v>
                </c:pt>
                <c:pt idx="1366">
                  <c:v>48536</c:v>
                </c:pt>
                <c:pt idx="1367">
                  <c:v>48544</c:v>
                </c:pt>
                <c:pt idx="1368">
                  <c:v>48550</c:v>
                </c:pt>
                <c:pt idx="1369">
                  <c:v>48557</c:v>
                </c:pt>
                <c:pt idx="1370">
                  <c:v>48564</c:v>
                </c:pt>
                <c:pt idx="1371">
                  <c:v>48571</c:v>
                </c:pt>
                <c:pt idx="1372">
                  <c:v>48583</c:v>
                </c:pt>
                <c:pt idx="1373">
                  <c:v>48586</c:v>
                </c:pt>
                <c:pt idx="1374">
                  <c:v>48593</c:v>
                </c:pt>
                <c:pt idx="1375">
                  <c:v>48600</c:v>
                </c:pt>
                <c:pt idx="1376">
                  <c:v>48607</c:v>
                </c:pt>
                <c:pt idx="1377">
                  <c:v>48614</c:v>
                </c:pt>
                <c:pt idx="1378">
                  <c:v>48621</c:v>
                </c:pt>
                <c:pt idx="1379">
                  <c:v>48628</c:v>
                </c:pt>
                <c:pt idx="1380">
                  <c:v>48635</c:v>
                </c:pt>
                <c:pt idx="1381">
                  <c:v>48642</c:v>
                </c:pt>
                <c:pt idx="1382">
                  <c:v>48649</c:v>
                </c:pt>
                <c:pt idx="1383">
                  <c:v>48656</c:v>
                </c:pt>
                <c:pt idx="1384">
                  <c:v>48663</c:v>
                </c:pt>
                <c:pt idx="1385">
                  <c:v>48670</c:v>
                </c:pt>
                <c:pt idx="1386">
                  <c:v>48677</c:v>
                </c:pt>
                <c:pt idx="1387">
                  <c:v>48688</c:v>
                </c:pt>
                <c:pt idx="1388">
                  <c:v>48691</c:v>
                </c:pt>
                <c:pt idx="1389">
                  <c:v>48698</c:v>
                </c:pt>
                <c:pt idx="1390">
                  <c:v>48705</c:v>
                </c:pt>
                <c:pt idx="1391">
                  <c:v>48712</c:v>
                </c:pt>
                <c:pt idx="1392">
                  <c:v>48719</c:v>
                </c:pt>
                <c:pt idx="1393">
                  <c:v>48726</c:v>
                </c:pt>
                <c:pt idx="1394">
                  <c:v>48733</c:v>
                </c:pt>
                <c:pt idx="1395">
                  <c:v>48740</c:v>
                </c:pt>
                <c:pt idx="1396">
                  <c:v>48747</c:v>
                </c:pt>
                <c:pt idx="1397">
                  <c:v>48754</c:v>
                </c:pt>
                <c:pt idx="1398">
                  <c:v>48761</c:v>
                </c:pt>
                <c:pt idx="1399">
                  <c:v>48768</c:v>
                </c:pt>
                <c:pt idx="1400">
                  <c:v>48775</c:v>
                </c:pt>
                <c:pt idx="1401">
                  <c:v>48782</c:v>
                </c:pt>
                <c:pt idx="1402">
                  <c:v>48789</c:v>
                </c:pt>
                <c:pt idx="1403">
                  <c:v>48796</c:v>
                </c:pt>
                <c:pt idx="1404">
                  <c:v>48803</c:v>
                </c:pt>
                <c:pt idx="1405">
                  <c:v>48810</c:v>
                </c:pt>
                <c:pt idx="1406">
                  <c:v>48817</c:v>
                </c:pt>
                <c:pt idx="1407">
                  <c:v>48824</c:v>
                </c:pt>
                <c:pt idx="1408">
                  <c:v>48831</c:v>
                </c:pt>
                <c:pt idx="1409">
                  <c:v>48838</c:v>
                </c:pt>
                <c:pt idx="1410">
                  <c:v>48845</c:v>
                </c:pt>
                <c:pt idx="1411">
                  <c:v>48852</c:v>
                </c:pt>
                <c:pt idx="1412">
                  <c:v>48859</c:v>
                </c:pt>
                <c:pt idx="1413">
                  <c:v>48866</c:v>
                </c:pt>
                <c:pt idx="1414">
                  <c:v>48873</c:v>
                </c:pt>
                <c:pt idx="1415">
                  <c:v>48880</c:v>
                </c:pt>
                <c:pt idx="1416">
                  <c:v>48887</c:v>
                </c:pt>
                <c:pt idx="1417">
                  <c:v>48897</c:v>
                </c:pt>
                <c:pt idx="1418">
                  <c:v>48901</c:v>
                </c:pt>
                <c:pt idx="1419">
                  <c:v>48908</c:v>
                </c:pt>
                <c:pt idx="1420">
                  <c:v>48915</c:v>
                </c:pt>
                <c:pt idx="1421">
                  <c:v>48922</c:v>
                </c:pt>
                <c:pt idx="1422">
                  <c:v>48929</c:v>
                </c:pt>
                <c:pt idx="1423">
                  <c:v>48936</c:v>
                </c:pt>
                <c:pt idx="1424">
                  <c:v>48943</c:v>
                </c:pt>
                <c:pt idx="1425">
                  <c:v>48950</c:v>
                </c:pt>
                <c:pt idx="1426">
                  <c:v>48957</c:v>
                </c:pt>
                <c:pt idx="1427">
                  <c:v>48964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49048</c:v>
                </c:pt>
                <c:pt idx="1440">
                  <c:v>49055</c:v>
                </c:pt>
                <c:pt idx="1441">
                  <c:v>49062</c:v>
                </c:pt>
                <c:pt idx="1442">
                  <c:v>49069</c:v>
                </c:pt>
                <c:pt idx="1443">
                  <c:v>49076</c:v>
                </c:pt>
                <c:pt idx="1444">
                  <c:v>49083</c:v>
                </c:pt>
                <c:pt idx="1445">
                  <c:v>49090</c:v>
                </c:pt>
                <c:pt idx="1446">
                  <c:v>49097</c:v>
                </c:pt>
                <c:pt idx="1447">
                  <c:v>49104</c:v>
                </c:pt>
                <c:pt idx="1448">
                  <c:v>49111</c:v>
                </c:pt>
                <c:pt idx="1449">
                  <c:v>49118</c:v>
                </c:pt>
                <c:pt idx="1450">
                  <c:v>49125</c:v>
                </c:pt>
                <c:pt idx="1451">
                  <c:v>49132</c:v>
                </c:pt>
                <c:pt idx="1452">
                  <c:v>49139</c:v>
                </c:pt>
                <c:pt idx="1453">
                  <c:v>49146</c:v>
                </c:pt>
                <c:pt idx="1454">
                  <c:v>49153</c:v>
                </c:pt>
                <c:pt idx="1455">
                  <c:v>49160</c:v>
                </c:pt>
                <c:pt idx="1456">
                  <c:v>49167</c:v>
                </c:pt>
                <c:pt idx="1457">
                  <c:v>49174</c:v>
                </c:pt>
                <c:pt idx="1458">
                  <c:v>49181</c:v>
                </c:pt>
                <c:pt idx="1459">
                  <c:v>49188</c:v>
                </c:pt>
                <c:pt idx="1460">
                  <c:v>49195</c:v>
                </c:pt>
                <c:pt idx="1461">
                  <c:v>49202</c:v>
                </c:pt>
                <c:pt idx="1462">
                  <c:v>49209</c:v>
                </c:pt>
                <c:pt idx="1463">
                  <c:v>49216</c:v>
                </c:pt>
                <c:pt idx="1464">
                  <c:v>49223</c:v>
                </c:pt>
                <c:pt idx="1465">
                  <c:v>49230</c:v>
                </c:pt>
                <c:pt idx="1466">
                  <c:v>49237</c:v>
                </c:pt>
                <c:pt idx="1467">
                  <c:v>49244</c:v>
                </c:pt>
                <c:pt idx="1468">
                  <c:v>49251</c:v>
                </c:pt>
                <c:pt idx="1469">
                  <c:v>49261</c:v>
                </c:pt>
                <c:pt idx="1470">
                  <c:v>49265</c:v>
                </c:pt>
                <c:pt idx="1471">
                  <c:v>49272</c:v>
                </c:pt>
                <c:pt idx="1472">
                  <c:v>49279</c:v>
                </c:pt>
                <c:pt idx="1473">
                  <c:v>49286</c:v>
                </c:pt>
                <c:pt idx="1474">
                  <c:v>49293</c:v>
                </c:pt>
                <c:pt idx="1475">
                  <c:v>49300</c:v>
                </c:pt>
                <c:pt idx="1476">
                  <c:v>49307</c:v>
                </c:pt>
                <c:pt idx="1477">
                  <c:v>49314</c:v>
                </c:pt>
                <c:pt idx="1478">
                  <c:v>49321</c:v>
                </c:pt>
                <c:pt idx="1479">
                  <c:v>49328</c:v>
                </c:pt>
                <c:pt idx="1480">
                  <c:v>49335</c:v>
                </c:pt>
                <c:pt idx="1481">
                  <c:v>49342</c:v>
                </c:pt>
                <c:pt idx="1482">
                  <c:v>49349</c:v>
                </c:pt>
                <c:pt idx="1483">
                  <c:v>49356</c:v>
                </c:pt>
                <c:pt idx="1484">
                  <c:v>49363</c:v>
                </c:pt>
                <c:pt idx="1485">
                  <c:v>49370</c:v>
                </c:pt>
                <c:pt idx="1486">
                  <c:v>49377</c:v>
                </c:pt>
                <c:pt idx="1487">
                  <c:v>49384</c:v>
                </c:pt>
                <c:pt idx="1488">
                  <c:v>49395</c:v>
                </c:pt>
                <c:pt idx="1489">
                  <c:v>49398</c:v>
                </c:pt>
                <c:pt idx="1490">
                  <c:v>49405</c:v>
                </c:pt>
                <c:pt idx="1491">
                  <c:v>49412</c:v>
                </c:pt>
                <c:pt idx="1492">
                  <c:v>49419</c:v>
                </c:pt>
                <c:pt idx="1493">
                  <c:v>49426</c:v>
                </c:pt>
                <c:pt idx="1494">
                  <c:v>49433</c:v>
                </c:pt>
                <c:pt idx="1495">
                  <c:v>49440</c:v>
                </c:pt>
                <c:pt idx="1496">
                  <c:v>49447</c:v>
                </c:pt>
                <c:pt idx="1497">
                  <c:v>49454</c:v>
                </c:pt>
                <c:pt idx="1498">
                  <c:v>49461</c:v>
                </c:pt>
                <c:pt idx="1499">
                  <c:v>49468</c:v>
                </c:pt>
                <c:pt idx="1500">
                  <c:v>49475</c:v>
                </c:pt>
                <c:pt idx="1501">
                  <c:v>49482</c:v>
                </c:pt>
                <c:pt idx="1502">
                  <c:v>49489</c:v>
                </c:pt>
                <c:pt idx="1503">
                  <c:v>49496</c:v>
                </c:pt>
                <c:pt idx="1504">
                  <c:v>49503</c:v>
                </c:pt>
                <c:pt idx="1505">
                  <c:v>49510</c:v>
                </c:pt>
                <c:pt idx="1506">
                  <c:v>49517</c:v>
                </c:pt>
                <c:pt idx="1507">
                  <c:v>49524</c:v>
                </c:pt>
                <c:pt idx="1508">
                  <c:v>49531</c:v>
                </c:pt>
                <c:pt idx="1509">
                  <c:v>49538</c:v>
                </c:pt>
                <c:pt idx="1510">
                  <c:v>49545</c:v>
                </c:pt>
                <c:pt idx="1511">
                  <c:v>49552</c:v>
                </c:pt>
                <c:pt idx="1512">
                  <c:v>49559</c:v>
                </c:pt>
                <c:pt idx="1513">
                  <c:v>49566</c:v>
                </c:pt>
                <c:pt idx="1514">
                  <c:v>49573</c:v>
                </c:pt>
                <c:pt idx="1515">
                  <c:v>49580</c:v>
                </c:pt>
                <c:pt idx="1516">
                  <c:v>49587</c:v>
                </c:pt>
                <c:pt idx="1517">
                  <c:v>49594</c:v>
                </c:pt>
                <c:pt idx="1518">
                  <c:v>49601</c:v>
                </c:pt>
                <c:pt idx="1519">
                  <c:v>49608</c:v>
                </c:pt>
                <c:pt idx="1520">
                  <c:v>49615</c:v>
                </c:pt>
                <c:pt idx="1521">
                  <c:v>49622</c:v>
                </c:pt>
                <c:pt idx="1522">
                  <c:v>49629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49674</c:v>
                </c:pt>
                <c:pt idx="1529">
                  <c:v>49681</c:v>
                </c:pt>
                <c:pt idx="1530">
                  <c:v>49688</c:v>
                </c:pt>
                <c:pt idx="1531">
                  <c:v>49696</c:v>
                </c:pt>
                <c:pt idx="1532">
                  <c:v>49702</c:v>
                </c:pt>
                <c:pt idx="1533">
                  <c:v>49709</c:v>
                </c:pt>
                <c:pt idx="1534">
                  <c:v>49716</c:v>
                </c:pt>
                <c:pt idx="1535">
                  <c:v>49724</c:v>
                </c:pt>
                <c:pt idx="1536">
                  <c:v>49730</c:v>
                </c:pt>
                <c:pt idx="1537">
                  <c:v>49737</c:v>
                </c:pt>
                <c:pt idx="1538">
                  <c:v>49744</c:v>
                </c:pt>
                <c:pt idx="1539">
                  <c:v>49751</c:v>
                </c:pt>
                <c:pt idx="1540">
                  <c:v>49758</c:v>
                </c:pt>
                <c:pt idx="1541">
                  <c:v>49765</c:v>
                </c:pt>
                <c:pt idx="1542">
                  <c:v>49772</c:v>
                </c:pt>
                <c:pt idx="1543">
                  <c:v>49781</c:v>
                </c:pt>
                <c:pt idx="1544">
                  <c:v>49786</c:v>
                </c:pt>
                <c:pt idx="1545">
                  <c:v>49793</c:v>
                </c:pt>
                <c:pt idx="1546">
                  <c:v>49801</c:v>
                </c:pt>
                <c:pt idx="1547">
                  <c:v>49807</c:v>
                </c:pt>
                <c:pt idx="1548">
                  <c:v>49814</c:v>
                </c:pt>
                <c:pt idx="1549">
                  <c:v>49822</c:v>
                </c:pt>
                <c:pt idx="1550">
                  <c:v>49828</c:v>
                </c:pt>
                <c:pt idx="1551">
                  <c:v>49835</c:v>
                </c:pt>
                <c:pt idx="1552">
                  <c:v>49842</c:v>
                </c:pt>
                <c:pt idx="1553">
                  <c:v>49849</c:v>
                </c:pt>
                <c:pt idx="1554">
                  <c:v>49856</c:v>
                </c:pt>
                <c:pt idx="1555">
                  <c:v>49863</c:v>
                </c:pt>
                <c:pt idx="1556">
                  <c:v>49870</c:v>
                </c:pt>
                <c:pt idx="1557">
                  <c:v>49877</c:v>
                </c:pt>
                <c:pt idx="1558">
                  <c:v>49884</c:v>
                </c:pt>
                <c:pt idx="1559">
                  <c:v>49891</c:v>
                </c:pt>
                <c:pt idx="1560">
                  <c:v>49898</c:v>
                </c:pt>
                <c:pt idx="1561">
                  <c:v>49905</c:v>
                </c:pt>
                <c:pt idx="1562">
                  <c:v>49913</c:v>
                </c:pt>
                <c:pt idx="1563">
                  <c:v>49920</c:v>
                </c:pt>
                <c:pt idx="1564">
                  <c:v>49926</c:v>
                </c:pt>
                <c:pt idx="1565">
                  <c:v>49933</c:v>
                </c:pt>
                <c:pt idx="1566">
                  <c:v>49940</c:v>
                </c:pt>
                <c:pt idx="1567">
                  <c:v>49947</c:v>
                </c:pt>
                <c:pt idx="1568">
                  <c:v>49954</c:v>
                </c:pt>
                <c:pt idx="1569">
                  <c:v>49962</c:v>
                </c:pt>
                <c:pt idx="1570">
                  <c:v>49968</c:v>
                </c:pt>
                <c:pt idx="1571">
                  <c:v>49975</c:v>
                </c:pt>
                <c:pt idx="1572">
                  <c:v>49982</c:v>
                </c:pt>
                <c:pt idx="1573">
                  <c:v>49989</c:v>
                </c:pt>
                <c:pt idx="1574">
                  <c:v>49996</c:v>
                </c:pt>
                <c:pt idx="1575">
                  <c:v>50003</c:v>
                </c:pt>
                <c:pt idx="1576">
                  <c:v>50010</c:v>
                </c:pt>
                <c:pt idx="1577">
                  <c:v>50017</c:v>
                </c:pt>
                <c:pt idx="1578">
                  <c:v>50024</c:v>
                </c:pt>
                <c:pt idx="1579">
                  <c:v>50031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50139</c:v>
                </c:pt>
                <c:pt idx="1595">
                  <c:v>50146</c:v>
                </c:pt>
                <c:pt idx="1596">
                  <c:v>50153</c:v>
                </c:pt>
                <c:pt idx="1597">
                  <c:v>50160</c:v>
                </c:pt>
                <c:pt idx="1598">
                  <c:v>50167</c:v>
                </c:pt>
                <c:pt idx="1599">
                  <c:v>50174</c:v>
                </c:pt>
                <c:pt idx="1600">
                  <c:v>50181</c:v>
                </c:pt>
                <c:pt idx="1601">
                  <c:v>50188</c:v>
                </c:pt>
                <c:pt idx="1602">
                  <c:v>50195</c:v>
                </c:pt>
                <c:pt idx="1603">
                  <c:v>50202</c:v>
                </c:pt>
                <c:pt idx="1604">
                  <c:v>50209</c:v>
                </c:pt>
                <c:pt idx="1605">
                  <c:v>50216</c:v>
                </c:pt>
                <c:pt idx="1606">
                  <c:v>50223</c:v>
                </c:pt>
                <c:pt idx="1607">
                  <c:v>50230</c:v>
                </c:pt>
                <c:pt idx="1608">
                  <c:v>50237</c:v>
                </c:pt>
                <c:pt idx="1609">
                  <c:v>50244</c:v>
                </c:pt>
                <c:pt idx="1610">
                  <c:v>50251</c:v>
                </c:pt>
                <c:pt idx="1611">
                  <c:v>50258</c:v>
                </c:pt>
                <c:pt idx="1612">
                  <c:v>50265</c:v>
                </c:pt>
                <c:pt idx="1613">
                  <c:v>50272</c:v>
                </c:pt>
                <c:pt idx="1614">
                  <c:v>50279</c:v>
                </c:pt>
                <c:pt idx="1615">
                  <c:v>50286</c:v>
                </c:pt>
                <c:pt idx="1616">
                  <c:v>50293</c:v>
                </c:pt>
                <c:pt idx="1617">
                  <c:v>50300</c:v>
                </c:pt>
                <c:pt idx="1618">
                  <c:v>50307</c:v>
                </c:pt>
                <c:pt idx="1619">
                  <c:v>50314</c:v>
                </c:pt>
                <c:pt idx="1620">
                  <c:v>50321</c:v>
                </c:pt>
                <c:pt idx="1621">
                  <c:v>50328</c:v>
                </c:pt>
                <c:pt idx="1622">
                  <c:v>50335</c:v>
                </c:pt>
                <c:pt idx="1623">
                  <c:v>50342</c:v>
                </c:pt>
                <c:pt idx="1624">
                  <c:v>50349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50377</c:v>
                </c:pt>
                <c:pt idx="1629">
                  <c:v>50384</c:v>
                </c:pt>
                <c:pt idx="1630">
                  <c:v>50391</c:v>
                </c:pt>
                <c:pt idx="1631">
                  <c:v>50398</c:v>
                </c:pt>
                <c:pt idx="1632">
                  <c:v>50405</c:v>
                </c:pt>
                <c:pt idx="1633">
                  <c:v>50412</c:v>
                </c:pt>
                <c:pt idx="1634">
                  <c:v>50419</c:v>
                </c:pt>
                <c:pt idx="1635">
                  <c:v>50426</c:v>
                </c:pt>
                <c:pt idx="1636">
                  <c:v>50433</c:v>
                </c:pt>
                <c:pt idx="1637">
                  <c:v>50440</c:v>
                </c:pt>
                <c:pt idx="1638">
                  <c:v>50447</c:v>
                </c:pt>
                <c:pt idx="1639">
                  <c:v>50454</c:v>
                </c:pt>
                <c:pt idx="1640">
                  <c:v>50461</c:v>
                </c:pt>
                <c:pt idx="1641">
                  <c:v>50468</c:v>
                </c:pt>
                <c:pt idx="1642">
                  <c:v>50475</c:v>
                </c:pt>
                <c:pt idx="1643">
                  <c:v>50482</c:v>
                </c:pt>
                <c:pt idx="1644">
                  <c:v>50489</c:v>
                </c:pt>
                <c:pt idx="1645">
                  <c:v>50496</c:v>
                </c:pt>
                <c:pt idx="1646">
                  <c:v>50503</c:v>
                </c:pt>
                <c:pt idx="1647">
                  <c:v>50510</c:v>
                </c:pt>
                <c:pt idx="1648">
                  <c:v>50517</c:v>
                </c:pt>
                <c:pt idx="1649">
                  <c:v>50524</c:v>
                </c:pt>
                <c:pt idx="1650">
                  <c:v>50531</c:v>
                </c:pt>
                <c:pt idx="1651">
                  <c:v>50538</c:v>
                </c:pt>
                <c:pt idx="1652">
                  <c:v>50545</c:v>
                </c:pt>
                <c:pt idx="1653">
                  <c:v>50552</c:v>
                </c:pt>
                <c:pt idx="1654">
                  <c:v>50559</c:v>
                </c:pt>
                <c:pt idx="1655">
                  <c:v>50566</c:v>
                </c:pt>
                <c:pt idx="1656">
                  <c:v>50573</c:v>
                </c:pt>
                <c:pt idx="1657">
                  <c:v>50580</c:v>
                </c:pt>
                <c:pt idx="1658">
                  <c:v>50587</c:v>
                </c:pt>
                <c:pt idx="1659">
                  <c:v>50594</c:v>
                </c:pt>
                <c:pt idx="1660">
                  <c:v>50601</c:v>
                </c:pt>
                <c:pt idx="1661">
                  <c:v>50608</c:v>
                </c:pt>
                <c:pt idx="1662">
                  <c:v>50615</c:v>
                </c:pt>
                <c:pt idx="1663">
                  <c:v>50622</c:v>
                </c:pt>
                <c:pt idx="1664">
                  <c:v>50629</c:v>
                </c:pt>
                <c:pt idx="1665">
                  <c:v>50636</c:v>
                </c:pt>
                <c:pt idx="1666">
                  <c:v>50643</c:v>
                </c:pt>
                <c:pt idx="1667">
                  <c:v>50650</c:v>
                </c:pt>
                <c:pt idx="1668">
                  <c:v>50657</c:v>
                </c:pt>
                <c:pt idx="1669">
                  <c:v>50664</c:v>
                </c:pt>
                <c:pt idx="1670">
                  <c:v>50671</c:v>
                </c:pt>
                <c:pt idx="1671">
                  <c:v>50678</c:v>
                </c:pt>
                <c:pt idx="1672">
                  <c:v>50685</c:v>
                </c:pt>
                <c:pt idx="1673">
                  <c:v>50692</c:v>
                </c:pt>
                <c:pt idx="1674">
                  <c:v>50699</c:v>
                </c:pt>
                <c:pt idx="1675">
                  <c:v>50706</c:v>
                </c:pt>
                <c:pt idx="1676">
                  <c:v>50713</c:v>
                </c:pt>
                <c:pt idx="1677">
                  <c:v>50721</c:v>
                </c:pt>
                <c:pt idx="1678">
                  <c:v>50727</c:v>
                </c:pt>
                <c:pt idx="1679">
                  <c:v>50735</c:v>
                </c:pt>
                <c:pt idx="1680">
                  <c:v>50741</c:v>
                </c:pt>
                <c:pt idx="1681">
                  <c:v>50748</c:v>
                </c:pt>
                <c:pt idx="1682">
                  <c:v>50755</c:v>
                </c:pt>
                <c:pt idx="1683">
                  <c:v>50762</c:v>
                </c:pt>
                <c:pt idx="1684">
                  <c:v>50774</c:v>
                </c:pt>
                <c:pt idx="1685">
                  <c:v>50777</c:v>
                </c:pt>
                <c:pt idx="1686">
                  <c:v>50784</c:v>
                </c:pt>
                <c:pt idx="1687">
                  <c:v>50791</c:v>
                </c:pt>
                <c:pt idx="1688">
                  <c:v>50798</c:v>
                </c:pt>
                <c:pt idx="1689">
                  <c:v>50805</c:v>
                </c:pt>
                <c:pt idx="1690">
                  <c:v>50812</c:v>
                </c:pt>
                <c:pt idx="1691">
                  <c:v>50819</c:v>
                </c:pt>
                <c:pt idx="1692">
                  <c:v>50826</c:v>
                </c:pt>
                <c:pt idx="1693">
                  <c:v>50833</c:v>
                </c:pt>
                <c:pt idx="1694">
                  <c:v>50840</c:v>
                </c:pt>
                <c:pt idx="1695">
                  <c:v>50847</c:v>
                </c:pt>
                <c:pt idx="1696">
                  <c:v>50854</c:v>
                </c:pt>
                <c:pt idx="1697">
                  <c:v>50861</c:v>
                </c:pt>
                <c:pt idx="1698">
                  <c:v>50872</c:v>
                </c:pt>
                <c:pt idx="1699">
                  <c:v>50875</c:v>
                </c:pt>
                <c:pt idx="1700">
                  <c:v>50882</c:v>
                </c:pt>
                <c:pt idx="1701">
                  <c:v>50889</c:v>
                </c:pt>
                <c:pt idx="1702">
                  <c:v>50896</c:v>
                </c:pt>
                <c:pt idx="1703">
                  <c:v>50903</c:v>
                </c:pt>
                <c:pt idx="1704">
                  <c:v>50910</c:v>
                </c:pt>
                <c:pt idx="1705">
                  <c:v>50917</c:v>
                </c:pt>
                <c:pt idx="1706">
                  <c:v>50924</c:v>
                </c:pt>
                <c:pt idx="1707">
                  <c:v>50931</c:v>
                </c:pt>
                <c:pt idx="1708">
                  <c:v>50938</c:v>
                </c:pt>
                <c:pt idx="1709">
                  <c:v>50945</c:v>
                </c:pt>
                <c:pt idx="1710">
                  <c:v>50952</c:v>
                </c:pt>
                <c:pt idx="1711">
                  <c:v>50959</c:v>
                </c:pt>
                <c:pt idx="1712">
                  <c:v>50966</c:v>
                </c:pt>
                <c:pt idx="1713">
                  <c:v>50973</c:v>
                </c:pt>
                <c:pt idx="1714">
                  <c:v>50980</c:v>
                </c:pt>
                <c:pt idx="1715">
                  <c:v>50987</c:v>
                </c:pt>
                <c:pt idx="1716">
                  <c:v>50994</c:v>
                </c:pt>
                <c:pt idx="1717">
                  <c:v>51001</c:v>
                </c:pt>
                <c:pt idx="1718">
                  <c:v>51008</c:v>
                </c:pt>
                <c:pt idx="1719">
                  <c:v>51015</c:v>
                </c:pt>
                <c:pt idx="1720">
                  <c:v>51022</c:v>
                </c:pt>
                <c:pt idx="1721">
                  <c:v>51029</c:v>
                </c:pt>
                <c:pt idx="1722">
                  <c:v>51036</c:v>
                </c:pt>
                <c:pt idx="1723">
                  <c:v>51043</c:v>
                </c:pt>
                <c:pt idx="1724">
                  <c:v>51050</c:v>
                </c:pt>
                <c:pt idx="1725">
                  <c:v>51057</c:v>
                </c:pt>
                <c:pt idx="1726">
                  <c:v>51064</c:v>
                </c:pt>
                <c:pt idx="1727">
                  <c:v>51071</c:v>
                </c:pt>
                <c:pt idx="1728">
                  <c:v>51078</c:v>
                </c:pt>
                <c:pt idx="1729">
                  <c:v>51088</c:v>
                </c:pt>
                <c:pt idx="1730">
                  <c:v>51092</c:v>
                </c:pt>
                <c:pt idx="1731">
                  <c:v>51099</c:v>
                </c:pt>
                <c:pt idx="1732">
                  <c:v>51106</c:v>
                </c:pt>
                <c:pt idx="1733">
                  <c:v>51113</c:v>
                </c:pt>
                <c:pt idx="1734">
                  <c:v>51120</c:v>
                </c:pt>
                <c:pt idx="1735">
                  <c:v>51127</c:v>
                </c:pt>
                <c:pt idx="1736">
                  <c:v>51134</c:v>
                </c:pt>
                <c:pt idx="1737">
                  <c:v>51141</c:v>
                </c:pt>
                <c:pt idx="1738">
                  <c:v>51148</c:v>
                </c:pt>
                <c:pt idx="1739">
                  <c:v>51155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51232</c:v>
                </c:pt>
                <c:pt idx="1751">
                  <c:v>51239</c:v>
                </c:pt>
                <c:pt idx="1752">
                  <c:v>51246</c:v>
                </c:pt>
                <c:pt idx="1753">
                  <c:v>51253</c:v>
                </c:pt>
                <c:pt idx="1754">
                  <c:v>51260</c:v>
                </c:pt>
                <c:pt idx="1755">
                  <c:v>51267</c:v>
                </c:pt>
                <c:pt idx="1756">
                  <c:v>51274</c:v>
                </c:pt>
                <c:pt idx="1757">
                  <c:v>51281</c:v>
                </c:pt>
                <c:pt idx="1758">
                  <c:v>51288</c:v>
                </c:pt>
                <c:pt idx="1759">
                  <c:v>51295</c:v>
                </c:pt>
                <c:pt idx="1760">
                  <c:v>51302</c:v>
                </c:pt>
                <c:pt idx="1761">
                  <c:v>51309</c:v>
                </c:pt>
                <c:pt idx="1762">
                  <c:v>51316</c:v>
                </c:pt>
                <c:pt idx="1763">
                  <c:v>51323</c:v>
                </c:pt>
                <c:pt idx="1764">
                  <c:v>51330</c:v>
                </c:pt>
                <c:pt idx="1765">
                  <c:v>51337</c:v>
                </c:pt>
                <c:pt idx="1766">
                  <c:v>51344</c:v>
                </c:pt>
                <c:pt idx="1767">
                  <c:v>51351</c:v>
                </c:pt>
                <c:pt idx="1768">
                  <c:v>51358</c:v>
                </c:pt>
                <c:pt idx="1769">
                  <c:v>51365</c:v>
                </c:pt>
                <c:pt idx="1770">
                  <c:v>51372</c:v>
                </c:pt>
                <c:pt idx="1771">
                  <c:v>51379</c:v>
                </c:pt>
                <c:pt idx="1772">
                  <c:v>51386</c:v>
                </c:pt>
                <c:pt idx="1773">
                  <c:v>51393</c:v>
                </c:pt>
                <c:pt idx="1774">
                  <c:v>51400</c:v>
                </c:pt>
                <c:pt idx="1775">
                  <c:v>51407</c:v>
                </c:pt>
                <c:pt idx="1776">
                  <c:v>51414</c:v>
                </c:pt>
                <c:pt idx="1777">
                  <c:v>51421</c:v>
                </c:pt>
                <c:pt idx="1778">
                  <c:v>51428</c:v>
                </c:pt>
                <c:pt idx="1779">
                  <c:v>51435</c:v>
                </c:pt>
                <c:pt idx="1780">
                  <c:v>51442</c:v>
                </c:pt>
                <c:pt idx="1781">
                  <c:v>51449</c:v>
                </c:pt>
                <c:pt idx="1782">
                  <c:v>51456</c:v>
                </c:pt>
                <c:pt idx="1783">
                  <c:v>51463</c:v>
                </c:pt>
                <c:pt idx="1784">
                  <c:v>51470</c:v>
                </c:pt>
                <c:pt idx="1785">
                  <c:v>51477</c:v>
                </c:pt>
                <c:pt idx="1786">
                  <c:v>51484</c:v>
                </c:pt>
                <c:pt idx="1787">
                  <c:v>51491</c:v>
                </c:pt>
                <c:pt idx="1788">
                  <c:v>51501</c:v>
                </c:pt>
                <c:pt idx="1789">
                  <c:v>51508</c:v>
                </c:pt>
                <c:pt idx="1790">
                  <c:v>51515</c:v>
                </c:pt>
                <c:pt idx="1791">
                  <c:v>51523</c:v>
                </c:pt>
                <c:pt idx="1792">
                  <c:v>51529</c:v>
                </c:pt>
                <c:pt idx="1793">
                  <c:v>51536</c:v>
                </c:pt>
                <c:pt idx="1794">
                  <c:v>51543</c:v>
                </c:pt>
                <c:pt idx="1795">
                  <c:v>51551</c:v>
                </c:pt>
                <c:pt idx="1796">
                  <c:v>51557</c:v>
                </c:pt>
                <c:pt idx="1797">
                  <c:v>51564</c:v>
                </c:pt>
                <c:pt idx="1798">
                  <c:v>51571</c:v>
                </c:pt>
                <c:pt idx="1799">
                  <c:v>51578</c:v>
                </c:pt>
                <c:pt idx="1800">
                  <c:v>51585</c:v>
                </c:pt>
                <c:pt idx="1801">
                  <c:v>51592</c:v>
                </c:pt>
                <c:pt idx="1802">
                  <c:v>51599</c:v>
                </c:pt>
                <c:pt idx="1803">
                  <c:v>51606</c:v>
                </c:pt>
                <c:pt idx="1804">
                  <c:v>51615</c:v>
                </c:pt>
                <c:pt idx="1805">
                  <c:v>51620</c:v>
                </c:pt>
                <c:pt idx="1806">
                  <c:v>51628</c:v>
                </c:pt>
                <c:pt idx="1807">
                  <c:v>51634</c:v>
                </c:pt>
                <c:pt idx="1808">
                  <c:v>51641</c:v>
                </c:pt>
                <c:pt idx="1809">
                  <c:v>51649</c:v>
                </c:pt>
                <c:pt idx="1810">
                  <c:v>51655</c:v>
                </c:pt>
                <c:pt idx="1811">
                  <c:v>51662</c:v>
                </c:pt>
                <c:pt idx="1812">
                  <c:v>51669</c:v>
                </c:pt>
                <c:pt idx="1813">
                  <c:v>51676</c:v>
                </c:pt>
                <c:pt idx="1814">
                  <c:v>51683</c:v>
                </c:pt>
                <c:pt idx="1815">
                  <c:v>51690</c:v>
                </c:pt>
                <c:pt idx="1816">
                  <c:v>51697</c:v>
                </c:pt>
                <c:pt idx="1817">
                  <c:v>51704</c:v>
                </c:pt>
                <c:pt idx="1818">
                  <c:v>51711</c:v>
                </c:pt>
                <c:pt idx="1819">
                  <c:v>51718</c:v>
                </c:pt>
                <c:pt idx="1820">
                  <c:v>51725</c:v>
                </c:pt>
                <c:pt idx="1821">
                  <c:v>51732</c:v>
                </c:pt>
                <c:pt idx="1822">
                  <c:v>51740</c:v>
                </c:pt>
                <c:pt idx="1823">
                  <c:v>51747</c:v>
                </c:pt>
                <c:pt idx="1824">
                  <c:v>51753</c:v>
                </c:pt>
                <c:pt idx="1825">
                  <c:v>51760</c:v>
                </c:pt>
                <c:pt idx="1826">
                  <c:v>51767</c:v>
                </c:pt>
                <c:pt idx="1827">
                  <c:v>51774</c:v>
                </c:pt>
                <c:pt idx="1828">
                  <c:v>51781</c:v>
                </c:pt>
                <c:pt idx="1829">
                  <c:v>51789</c:v>
                </c:pt>
                <c:pt idx="1830">
                  <c:v>51795</c:v>
                </c:pt>
                <c:pt idx="1831">
                  <c:v>51802</c:v>
                </c:pt>
                <c:pt idx="1832">
                  <c:v>51809</c:v>
                </c:pt>
                <c:pt idx="1833">
                  <c:v>51817</c:v>
                </c:pt>
                <c:pt idx="1834">
                  <c:v>51823</c:v>
                </c:pt>
                <c:pt idx="1835">
                  <c:v>51830</c:v>
                </c:pt>
                <c:pt idx="1836">
                  <c:v>51837</c:v>
                </c:pt>
                <c:pt idx="1837">
                  <c:v>51844</c:v>
                </c:pt>
                <c:pt idx="1838">
                  <c:v>51851</c:v>
                </c:pt>
                <c:pt idx="1839">
                  <c:v>51858</c:v>
                </c:pt>
                <c:pt idx="1840">
                  <c:v>51866</c:v>
                </c:pt>
                <c:pt idx="1841">
                  <c:v>51873</c:v>
                </c:pt>
                <c:pt idx="1842">
                  <c:v>51880</c:v>
                </c:pt>
                <c:pt idx="1843">
                  <c:v>51887</c:v>
                </c:pt>
                <c:pt idx="1844">
                  <c:v>51894</c:v>
                </c:pt>
                <c:pt idx="1845">
                  <c:v>51901</c:v>
                </c:pt>
                <c:pt idx="1846">
                  <c:v>51908</c:v>
                </c:pt>
                <c:pt idx="1847">
                  <c:v>51915</c:v>
                </c:pt>
                <c:pt idx="1848">
                  <c:v>51922</c:v>
                </c:pt>
                <c:pt idx="1849">
                  <c:v>51929</c:v>
                </c:pt>
                <c:pt idx="1850">
                  <c:v>51936</c:v>
                </c:pt>
                <c:pt idx="1851">
                  <c:v>51943</c:v>
                </c:pt>
                <c:pt idx="1852">
                  <c:v>51950</c:v>
                </c:pt>
                <c:pt idx="1853">
                  <c:v>51957</c:v>
                </c:pt>
                <c:pt idx="1854">
                  <c:v>51966</c:v>
                </c:pt>
                <c:pt idx="1855">
                  <c:v>51973</c:v>
                </c:pt>
                <c:pt idx="1856">
                  <c:v>51980</c:v>
                </c:pt>
                <c:pt idx="1857">
                  <c:v>51987</c:v>
                </c:pt>
                <c:pt idx="1858">
                  <c:v>51994</c:v>
                </c:pt>
                <c:pt idx="1859">
                  <c:v>52001</c:v>
                </c:pt>
                <c:pt idx="1860">
                  <c:v>52008</c:v>
                </c:pt>
                <c:pt idx="1861">
                  <c:v>52015</c:v>
                </c:pt>
                <c:pt idx="1862">
                  <c:v>52022</c:v>
                </c:pt>
                <c:pt idx="1863">
                  <c:v>52029</c:v>
                </c:pt>
                <c:pt idx="1864">
                  <c:v>52036</c:v>
                </c:pt>
                <c:pt idx="1865">
                  <c:v>52043</c:v>
                </c:pt>
                <c:pt idx="1866">
                  <c:v>52050</c:v>
                </c:pt>
                <c:pt idx="1867">
                  <c:v>52057</c:v>
                </c:pt>
                <c:pt idx="1868">
                  <c:v>52064</c:v>
                </c:pt>
                <c:pt idx="1869">
                  <c:v>52071</c:v>
                </c:pt>
                <c:pt idx="1870">
                  <c:v>52078</c:v>
                </c:pt>
                <c:pt idx="1871">
                  <c:v>52085</c:v>
                </c:pt>
                <c:pt idx="1872">
                  <c:v>52092</c:v>
                </c:pt>
                <c:pt idx="1873">
                  <c:v>52099</c:v>
                </c:pt>
                <c:pt idx="1874">
                  <c:v>52106</c:v>
                </c:pt>
                <c:pt idx="1875">
                  <c:v>52113</c:v>
                </c:pt>
                <c:pt idx="1876">
                  <c:v>52120</c:v>
                </c:pt>
                <c:pt idx="1877">
                  <c:v>52127</c:v>
                </c:pt>
                <c:pt idx="1878">
                  <c:v>52134</c:v>
                </c:pt>
                <c:pt idx="1879">
                  <c:v>52141</c:v>
                </c:pt>
                <c:pt idx="1880">
                  <c:v>52148</c:v>
                </c:pt>
                <c:pt idx="1881">
                  <c:v>52155</c:v>
                </c:pt>
                <c:pt idx="1882">
                  <c:v>52162</c:v>
                </c:pt>
                <c:pt idx="1883">
                  <c:v>52169</c:v>
                </c:pt>
                <c:pt idx="1884">
                  <c:v>52176</c:v>
                </c:pt>
                <c:pt idx="1885">
                  <c:v>52183</c:v>
                </c:pt>
                <c:pt idx="1886">
                  <c:v>52190</c:v>
                </c:pt>
                <c:pt idx="1887">
                  <c:v>52198</c:v>
                </c:pt>
                <c:pt idx="1888">
                  <c:v>52204</c:v>
                </c:pt>
                <c:pt idx="1889">
                  <c:v>52211</c:v>
                </c:pt>
                <c:pt idx="1890">
                  <c:v>52218</c:v>
                </c:pt>
                <c:pt idx="1891">
                  <c:v>52229</c:v>
                </c:pt>
                <c:pt idx="1892">
                  <c:v>52233</c:v>
                </c:pt>
                <c:pt idx="1893">
                  <c:v>52239</c:v>
                </c:pt>
                <c:pt idx="1894">
                  <c:v>52246</c:v>
                </c:pt>
                <c:pt idx="1895">
                  <c:v>52253</c:v>
                </c:pt>
                <c:pt idx="1896">
                  <c:v>52260</c:v>
                </c:pt>
                <c:pt idx="1897">
                  <c:v>52267</c:v>
                </c:pt>
                <c:pt idx="1898">
                  <c:v>52274</c:v>
                </c:pt>
                <c:pt idx="1899">
                  <c:v>52281</c:v>
                </c:pt>
                <c:pt idx="1900">
                  <c:v>52288</c:v>
                </c:pt>
                <c:pt idx="1901">
                  <c:v>52295</c:v>
                </c:pt>
                <c:pt idx="1902">
                  <c:v>52302</c:v>
                </c:pt>
                <c:pt idx="1903">
                  <c:v>52309</c:v>
                </c:pt>
                <c:pt idx="1904">
                  <c:v>52316</c:v>
                </c:pt>
                <c:pt idx="1905">
                  <c:v>52323</c:v>
                </c:pt>
                <c:pt idx="1906">
                  <c:v>52330</c:v>
                </c:pt>
                <c:pt idx="1907">
                  <c:v>52337</c:v>
                </c:pt>
                <c:pt idx="1908">
                  <c:v>52344</c:v>
                </c:pt>
                <c:pt idx="1909">
                  <c:v>52351</c:v>
                </c:pt>
                <c:pt idx="1910">
                  <c:v>52358</c:v>
                </c:pt>
                <c:pt idx="1911">
                  <c:v>52365</c:v>
                </c:pt>
                <c:pt idx="1912">
                  <c:v>52372</c:v>
                </c:pt>
                <c:pt idx="1913">
                  <c:v>52379</c:v>
                </c:pt>
                <c:pt idx="1914">
                  <c:v>52386</c:v>
                </c:pt>
                <c:pt idx="1915">
                  <c:v>52393</c:v>
                </c:pt>
                <c:pt idx="1916">
                  <c:v>52400</c:v>
                </c:pt>
                <c:pt idx="1917">
                  <c:v>52407</c:v>
                </c:pt>
                <c:pt idx="1918">
                  <c:v>52414</c:v>
                </c:pt>
                <c:pt idx="1919">
                  <c:v>52421</c:v>
                </c:pt>
                <c:pt idx="1920">
                  <c:v>52428</c:v>
                </c:pt>
                <c:pt idx="1921">
                  <c:v>52435</c:v>
                </c:pt>
                <c:pt idx="1922">
                  <c:v>52442</c:v>
                </c:pt>
                <c:pt idx="1923">
                  <c:v>52449</c:v>
                </c:pt>
                <c:pt idx="1924">
                  <c:v>52456</c:v>
                </c:pt>
                <c:pt idx="1925">
                  <c:v>52463</c:v>
                </c:pt>
                <c:pt idx="1926">
                  <c:v>52470</c:v>
                </c:pt>
                <c:pt idx="1927">
                  <c:v>52477</c:v>
                </c:pt>
                <c:pt idx="1928">
                  <c:v>52484</c:v>
                </c:pt>
                <c:pt idx="1929">
                  <c:v>52491</c:v>
                </c:pt>
                <c:pt idx="1930">
                  <c:v>52498</c:v>
                </c:pt>
                <c:pt idx="1931">
                  <c:v>52505</c:v>
                </c:pt>
                <c:pt idx="1932">
                  <c:v>52512</c:v>
                </c:pt>
                <c:pt idx="1933">
                  <c:v>52519</c:v>
                </c:pt>
                <c:pt idx="1934">
                  <c:v>52526</c:v>
                </c:pt>
                <c:pt idx="1935">
                  <c:v>52533</c:v>
                </c:pt>
                <c:pt idx="1936">
                  <c:v>52540</c:v>
                </c:pt>
                <c:pt idx="1937">
                  <c:v>52547</c:v>
                </c:pt>
                <c:pt idx="1938">
                  <c:v>52554</c:v>
                </c:pt>
                <c:pt idx="1939">
                  <c:v>52562</c:v>
                </c:pt>
                <c:pt idx="1940">
                  <c:v>52568</c:v>
                </c:pt>
                <c:pt idx="1941">
                  <c:v>52575</c:v>
                </c:pt>
                <c:pt idx="1942">
                  <c:v>52582</c:v>
                </c:pt>
                <c:pt idx="1943">
                  <c:v>52589</c:v>
                </c:pt>
                <c:pt idx="1944">
                  <c:v>52596</c:v>
                </c:pt>
                <c:pt idx="1945">
                  <c:v>52603</c:v>
                </c:pt>
                <c:pt idx="1946">
                  <c:v>52610</c:v>
                </c:pt>
                <c:pt idx="1947">
                  <c:v>52617</c:v>
                </c:pt>
                <c:pt idx="1948">
                  <c:v>52624</c:v>
                </c:pt>
                <c:pt idx="1949">
                  <c:v>52631</c:v>
                </c:pt>
                <c:pt idx="1950">
                  <c:v>52638</c:v>
                </c:pt>
                <c:pt idx="1951">
                  <c:v>52645</c:v>
                </c:pt>
                <c:pt idx="1952">
                  <c:v>52652</c:v>
                </c:pt>
                <c:pt idx="1953">
                  <c:v>52659</c:v>
                </c:pt>
                <c:pt idx="1954">
                  <c:v>52666</c:v>
                </c:pt>
                <c:pt idx="1955">
                  <c:v>52673</c:v>
                </c:pt>
                <c:pt idx="1956">
                  <c:v>52680</c:v>
                </c:pt>
                <c:pt idx="1957">
                  <c:v>52687</c:v>
                </c:pt>
                <c:pt idx="1958">
                  <c:v>52694</c:v>
                </c:pt>
                <c:pt idx="1959">
                  <c:v>52701</c:v>
                </c:pt>
                <c:pt idx="1960">
                  <c:v>52708</c:v>
                </c:pt>
                <c:pt idx="1961">
                  <c:v>52715</c:v>
                </c:pt>
                <c:pt idx="1962">
                  <c:v>52722</c:v>
                </c:pt>
                <c:pt idx="1963">
                  <c:v>52729</c:v>
                </c:pt>
                <c:pt idx="1964">
                  <c:v>52736</c:v>
                </c:pt>
                <c:pt idx="1965">
                  <c:v>52743</c:v>
                </c:pt>
                <c:pt idx="1966">
                  <c:v>52750</c:v>
                </c:pt>
                <c:pt idx="1967">
                  <c:v>52757</c:v>
                </c:pt>
                <c:pt idx="1968">
                  <c:v>52764</c:v>
                </c:pt>
                <c:pt idx="1969">
                  <c:v>52771</c:v>
                </c:pt>
                <c:pt idx="1970">
                  <c:v>52778</c:v>
                </c:pt>
                <c:pt idx="1971">
                  <c:v>52785</c:v>
                </c:pt>
                <c:pt idx="1972">
                  <c:v>52792</c:v>
                </c:pt>
                <c:pt idx="1973">
                  <c:v>52799</c:v>
                </c:pt>
                <c:pt idx="1974">
                  <c:v>52806</c:v>
                </c:pt>
                <c:pt idx="1975">
                  <c:v>52813</c:v>
                </c:pt>
                <c:pt idx="1976">
                  <c:v>52820</c:v>
                </c:pt>
                <c:pt idx="1977">
                  <c:v>52827</c:v>
                </c:pt>
                <c:pt idx="1978">
                  <c:v>52834</c:v>
                </c:pt>
                <c:pt idx="1979">
                  <c:v>52841</c:v>
                </c:pt>
                <c:pt idx="1980">
                  <c:v>52848</c:v>
                </c:pt>
                <c:pt idx="1981">
                  <c:v>52855</c:v>
                </c:pt>
                <c:pt idx="1982">
                  <c:v>52862</c:v>
                </c:pt>
                <c:pt idx="1983">
                  <c:v>52869</c:v>
                </c:pt>
                <c:pt idx="1984">
                  <c:v>52876</c:v>
                </c:pt>
                <c:pt idx="1985">
                  <c:v>52883</c:v>
                </c:pt>
                <c:pt idx="1986">
                  <c:v>52890</c:v>
                </c:pt>
                <c:pt idx="1987">
                  <c:v>52897</c:v>
                </c:pt>
                <c:pt idx="1988">
                  <c:v>52904</c:v>
                </c:pt>
                <c:pt idx="1989">
                  <c:v>52911</c:v>
                </c:pt>
                <c:pt idx="1990">
                  <c:v>52918</c:v>
                </c:pt>
                <c:pt idx="1991">
                  <c:v>52926</c:v>
                </c:pt>
                <c:pt idx="1992">
                  <c:v>52932</c:v>
                </c:pt>
                <c:pt idx="1993">
                  <c:v>52939</c:v>
                </c:pt>
                <c:pt idx="1994">
                  <c:v>52946</c:v>
                </c:pt>
                <c:pt idx="1995">
                  <c:v>52953</c:v>
                </c:pt>
                <c:pt idx="1996">
                  <c:v>52961</c:v>
                </c:pt>
                <c:pt idx="1997">
                  <c:v>52968</c:v>
                </c:pt>
                <c:pt idx="1998">
                  <c:v>52975</c:v>
                </c:pt>
                <c:pt idx="1999">
                  <c:v>52982</c:v>
                </c:pt>
                <c:pt idx="2000">
                  <c:v>52989</c:v>
                </c:pt>
                <c:pt idx="2001">
                  <c:v>52996</c:v>
                </c:pt>
                <c:pt idx="2002">
                  <c:v>53003</c:v>
                </c:pt>
                <c:pt idx="2003">
                  <c:v>53010</c:v>
                </c:pt>
                <c:pt idx="2004">
                  <c:v>53017</c:v>
                </c:pt>
                <c:pt idx="2005">
                  <c:v>53024</c:v>
                </c:pt>
                <c:pt idx="2006">
                  <c:v>53031</c:v>
                </c:pt>
                <c:pt idx="2007">
                  <c:v>53038</c:v>
                </c:pt>
                <c:pt idx="2008">
                  <c:v>53045</c:v>
                </c:pt>
                <c:pt idx="2009">
                  <c:v>53052</c:v>
                </c:pt>
                <c:pt idx="2010">
                  <c:v>53063</c:v>
                </c:pt>
                <c:pt idx="2011">
                  <c:v>53066</c:v>
                </c:pt>
                <c:pt idx="2012">
                  <c:v>53073</c:v>
                </c:pt>
                <c:pt idx="2013">
                  <c:v>53080</c:v>
                </c:pt>
                <c:pt idx="2014">
                  <c:v>53087</c:v>
                </c:pt>
                <c:pt idx="2015">
                  <c:v>53094</c:v>
                </c:pt>
                <c:pt idx="2016">
                  <c:v>53101</c:v>
                </c:pt>
                <c:pt idx="2017">
                  <c:v>53108</c:v>
                </c:pt>
                <c:pt idx="2018">
                  <c:v>53115</c:v>
                </c:pt>
                <c:pt idx="2019">
                  <c:v>53122</c:v>
                </c:pt>
                <c:pt idx="2020">
                  <c:v>53129</c:v>
                </c:pt>
                <c:pt idx="2021">
                  <c:v>53136</c:v>
                </c:pt>
                <c:pt idx="2022">
                  <c:v>53143</c:v>
                </c:pt>
                <c:pt idx="2023">
                  <c:v>53150</c:v>
                </c:pt>
                <c:pt idx="2024">
                  <c:v>53157</c:v>
                </c:pt>
                <c:pt idx="2025">
                  <c:v>53164</c:v>
                </c:pt>
                <c:pt idx="2026">
                  <c:v>53171</c:v>
                </c:pt>
                <c:pt idx="2027">
                  <c:v>53178</c:v>
                </c:pt>
                <c:pt idx="2028">
                  <c:v>53185</c:v>
                </c:pt>
                <c:pt idx="2029">
                  <c:v>53192</c:v>
                </c:pt>
                <c:pt idx="2030">
                  <c:v>53199</c:v>
                </c:pt>
                <c:pt idx="2031">
                  <c:v>53206</c:v>
                </c:pt>
                <c:pt idx="2032">
                  <c:v>53213</c:v>
                </c:pt>
                <c:pt idx="2033">
                  <c:v>53220</c:v>
                </c:pt>
                <c:pt idx="2034">
                  <c:v>53227</c:v>
                </c:pt>
                <c:pt idx="2035">
                  <c:v>53234</c:v>
                </c:pt>
                <c:pt idx="2036">
                  <c:v>53241</c:v>
                </c:pt>
                <c:pt idx="2037">
                  <c:v>53248</c:v>
                </c:pt>
                <c:pt idx="2038">
                  <c:v>53255</c:v>
                </c:pt>
                <c:pt idx="2039">
                  <c:v>53262</c:v>
                </c:pt>
                <c:pt idx="2040">
                  <c:v>53269</c:v>
                </c:pt>
                <c:pt idx="2041">
                  <c:v>53279</c:v>
                </c:pt>
                <c:pt idx="2042">
                  <c:v>53283</c:v>
                </c:pt>
                <c:pt idx="2043">
                  <c:v>53290</c:v>
                </c:pt>
                <c:pt idx="2044">
                  <c:v>53297</c:v>
                </c:pt>
                <c:pt idx="2045">
                  <c:v>53304</c:v>
                </c:pt>
                <c:pt idx="2046">
                  <c:v>53311</c:v>
                </c:pt>
                <c:pt idx="2047">
                  <c:v>53318</c:v>
                </c:pt>
                <c:pt idx="2048">
                  <c:v>53325</c:v>
                </c:pt>
                <c:pt idx="2049">
                  <c:v>53332</c:v>
                </c:pt>
                <c:pt idx="2050">
                  <c:v>53339</c:v>
                </c:pt>
                <c:pt idx="2051">
                  <c:v>53346</c:v>
                </c:pt>
                <c:pt idx="2052">
                  <c:v>53353</c:v>
                </c:pt>
                <c:pt idx="2053">
                  <c:v>53360</c:v>
                </c:pt>
                <c:pt idx="2054">
                  <c:v>53367</c:v>
                </c:pt>
                <c:pt idx="2055">
                  <c:v>53374</c:v>
                </c:pt>
                <c:pt idx="2056">
                  <c:v>53381</c:v>
                </c:pt>
                <c:pt idx="2057">
                  <c:v>53388</c:v>
                </c:pt>
                <c:pt idx="2058">
                  <c:v>53395</c:v>
                </c:pt>
                <c:pt idx="2059">
                  <c:v>53402</c:v>
                </c:pt>
                <c:pt idx="2060">
                  <c:v>53413</c:v>
                </c:pt>
                <c:pt idx="2061">
                  <c:v>53416</c:v>
                </c:pt>
                <c:pt idx="2062">
                  <c:v>53423</c:v>
                </c:pt>
                <c:pt idx="2063">
                  <c:v>53430</c:v>
                </c:pt>
                <c:pt idx="2064">
                  <c:v>53437</c:v>
                </c:pt>
                <c:pt idx="2065">
                  <c:v>53444</c:v>
                </c:pt>
                <c:pt idx="2066">
                  <c:v>53451</c:v>
                </c:pt>
                <c:pt idx="2067">
                  <c:v>53458</c:v>
                </c:pt>
                <c:pt idx="2068">
                  <c:v>53465</c:v>
                </c:pt>
                <c:pt idx="2069">
                  <c:v>53472</c:v>
                </c:pt>
                <c:pt idx="2070">
                  <c:v>53479</c:v>
                </c:pt>
                <c:pt idx="2071">
                  <c:v>53486</c:v>
                </c:pt>
                <c:pt idx="2072">
                  <c:v>53493</c:v>
                </c:pt>
                <c:pt idx="2073">
                  <c:v>53500</c:v>
                </c:pt>
                <c:pt idx="2074">
                  <c:v>53507</c:v>
                </c:pt>
                <c:pt idx="2075">
                  <c:v>53514</c:v>
                </c:pt>
                <c:pt idx="2076">
                  <c:v>53521</c:v>
                </c:pt>
                <c:pt idx="2077">
                  <c:v>53528</c:v>
                </c:pt>
                <c:pt idx="2078">
                  <c:v>53535</c:v>
                </c:pt>
                <c:pt idx="2079">
                  <c:v>53542</c:v>
                </c:pt>
                <c:pt idx="2080">
                  <c:v>53549</c:v>
                </c:pt>
                <c:pt idx="2081">
                  <c:v>53556</c:v>
                </c:pt>
                <c:pt idx="2082">
                  <c:v>53563</c:v>
                </c:pt>
                <c:pt idx="2083">
                  <c:v>53570</c:v>
                </c:pt>
                <c:pt idx="2084">
                  <c:v>53577</c:v>
                </c:pt>
                <c:pt idx="2085">
                  <c:v>53584</c:v>
                </c:pt>
                <c:pt idx="2086">
                  <c:v>53591</c:v>
                </c:pt>
                <c:pt idx="2087">
                  <c:v>53598</c:v>
                </c:pt>
                <c:pt idx="2088">
                  <c:v>53605</c:v>
                </c:pt>
                <c:pt idx="2089">
                  <c:v>53612</c:v>
                </c:pt>
                <c:pt idx="2090">
                  <c:v>53619</c:v>
                </c:pt>
                <c:pt idx="2091">
                  <c:v>53626</c:v>
                </c:pt>
                <c:pt idx="2092">
                  <c:v>53633</c:v>
                </c:pt>
                <c:pt idx="2093">
                  <c:v>53640</c:v>
                </c:pt>
                <c:pt idx="2094">
                  <c:v>53647</c:v>
                </c:pt>
                <c:pt idx="2095">
                  <c:v>53654</c:v>
                </c:pt>
                <c:pt idx="2096">
                  <c:v>53661</c:v>
                </c:pt>
                <c:pt idx="2097">
                  <c:v>53668</c:v>
                </c:pt>
                <c:pt idx="2098">
                  <c:v>53675</c:v>
                </c:pt>
                <c:pt idx="2099">
                  <c:v>53682</c:v>
                </c:pt>
                <c:pt idx="2100">
                  <c:v>53692</c:v>
                </c:pt>
                <c:pt idx="2101">
                  <c:v>53699</c:v>
                </c:pt>
                <c:pt idx="2102">
                  <c:v>53706</c:v>
                </c:pt>
                <c:pt idx="2103">
                  <c:v>53714</c:v>
                </c:pt>
                <c:pt idx="2104">
                  <c:v>53720</c:v>
                </c:pt>
                <c:pt idx="2105">
                  <c:v>53727</c:v>
                </c:pt>
                <c:pt idx="2106">
                  <c:v>53734</c:v>
                </c:pt>
                <c:pt idx="2107">
                  <c:v>53742</c:v>
                </c:pt>
                <c:pt idx="2108">
                  <c:v>53748</c:v>
                </c:pt>
                <c:pt idx="2109">
                  <c:v>53755</c:v>
                </c:pt>
                <c:pt idx="2110">
                  <c:v>53762</c:v>
                </c:pt>
                <c:pt idx="2111">
                  <c:v>53769</c:v>
                </c:pt>
                <c:pt idx="2112">
                  <c:v>53776</c:v>
                </c:pt>
                <c:pt idx="2113">
                  <c:v>53783</c:v>
                </c:pt>
                <c:pt idx="2114">
                  <c:v>53790</c:v>
                </c:pt>
                <c:pt idx="2115">
                  <c:v>53799</c:v>
                </c:pt>
                <c:pt idx="2116">
                  <c:v>53804</c:v>
                </c:pt>
                <c:pt idx="2117">
                  <c:v>53811</c:v>
                </c:pt>
                <c:pt idx="2118">
                  <c:v>53819</c:v>
                </c:pt>
                <c:pt idx="2119">
                  <c:v>53825</c:v>
                </c:pt>
                <c:pt idx="2120">
                  <c:v>53832</c:v>
                </c:pt>
                <c:pt idx="2121">
                  <c:v>53840</c:v>
                </c:pt>
                <c:pt idx="2122">
                  <c:v>53846</c:v>
                </c:pt>
                <c:pt idx="2123">
                  <c:v>53853</c:v>
                </c:pt>
                <c:pt idx="2124">
                  <c:v>53860</c:v>
                </c:pt>
                <c:pt idx="2125">
                  <c:v>53867</c:v>
                </c:pt>
                <c:pt idx="2126">
                  <c:v>53874</c:v>
                </c:pt>
                <c:pt idx="2127">
                  <c:v>53881</c:v>
                </c:pt>
                <c:pt idx="2128">
                  <c:v>53888</c:v>
                </c:pt>
                <c:pt idx="2129">
                  <c:v>53895</c:v>
                </c:pt>
                <c:pt idx="2130">
                  <c:v>53902</c:v>
                </c:pt>
                <c:pt idx="2131">
                  <c:v>53909</c:v>
                </c:pt>
                <c:pt idx="2132">
                  <c:v>53916</c:v>
                </c:pt>
                <c:pt idx="2133">
                  <c:v>53923</c:v>
                </c:pt>
                <c:pt idx="2134">
                  <c:v>53931</c:v>
                </c:pt>
                <c:pt idx="2135">
                  <c:v>53938</c:v>
                </c:pt>
                <c:pt idx="2136">
                  <c:v>53944</c:v>
                </c:pt>
                <c:pt idx="2137">
                  <c:v>53951</c:v>
                </c:pt>
                <c:pt idx="2138">
                  <c:v>53958</c:v>
                </c:pt>
                <c:pt idx="2139">
                  <c:v>53965</c:v>
                </c:pt>
                <c:pt idx="2140">
                  <c:v>53972</c:v>
                </c:pt>
                <c:pt idx="2141">
                  <c:v>53980</c:v>
                </c:pt>
                <c:pt idx="2142">
                  <c:v>53986</c:v>
                </c:pt>
                <c:pt idx="2143">
                  <c:v>53993</c:v>
                </c:pt>
                <c:pt idx="2144">
                  <c:v>54000</c:v>
                </c:pt>
                <c:pt idx="2145">
                  <c:v>54008</c:v>
                </c:pt>
                <c:pt idx="2146">
                  <c:v>54014</c:v>
                </c:pt>
                <c:pt idx="2147">
                  <c:v>54021</c:v>
                </c:pt>
                <c:pt idx="2148">
                  <c:v>54028</c:v>
                </c:pt>
                <c:pt idx="2149">
                  <c:v>54035</c:v>
                </c:pt>
                <c:pt idx="2150">
                  <c:v>54042</c:v>
                </c:pt>
                <c:pt idx="2151">
                  <c:v>54049</c:v>
                </c:pt>
                <c:pt idx="2152">
                  <c:v>54057</c:v>
                </c:pt>
                <c:pt idx="2153">
                  <c:v>54064</c:v>
                </c:pt>
                <c:pt idx="2154">
                  <c:v>54071</c:v>
                </c:pt>
                <c:pt idx="2155">
                  <c:v>54078</c:v>
                </c:pt>
                <c:pt idx="2156">
                  <c:v>54085</c:v>
                </c:pt>
                <c:pt idx="2157">
                  <c:v>54092</c:v>
                </c:pt>
                <c:pt idx="2158">
                  <c:v>54099</c:v>
                </c:pt>
                <c:pt idx="2159">
                  <c:v>54106</c:v>
                </c:pt>
                <c:pt idx="2160">
                  <c:v>54113</c:v>
                </c:pt>
                <c:pt idx="2161">
                  <c:v>54120</c:v>
                </c:pt>
                <c:pt idx="2162">
                  <c:v>54127</c:v>
                </c:pt>
                <c:pt idx="2163">
                  <c:v>54134</c:v>
                </c:pt>
                <c:pt idx="2164">
                  <c:v>54141</c:v>
                </c:pt>
                <c:pt idx="2165">
                  <c:v>54148</c:v>
                </c:pt>
                <c:pt idx="2166">
                  <c:v>54157</c:v>
                </c:pt>
                <c:pt idx="2167">
                  <c:v>54164</c:v>
                </c:pt>
                <c:pt idx="2168">
                  <c:v>54171</c:v>
                </c:pt>
                <c:pt idx="2169">
                  <c:v>54178</c:v>
                </c:pt>
                <c:pt idx="2170">
                  <c:v>54185</c:v>
                </c:pt>
                <c:pt idx="2171">
                  <c:v>54192</c:v>
                </c:pt>
                <c:pt idx="2172">
                  <c:v>54199</c:v>
                </c:pt>
                <c:pt idx="2173">
                  <c:v>54206</c:v>
                </c:pt>
                <c:pt idx="2174">
                  <c:v>54213</c:v>
                </c:pt>
                <c:pt idx="2175">
                  <c:v>54220</c:v>
                </c:pt>
                <c:pt idx="2176">
                  <c:v>54227</c:v>
                </c:pt>
                <c:pt idx="2177">
                  <c:v>54234</c:v>
                </c:pt>
                <c:pt idx="2178">
                  <c:v>54241</c:v>
                </c:pt>
                <c:pt idx="2179">
                  <c:v>54248</c:v>
                </c:pt>
                <c:pt idx="2180">
                  <c:v>54255</c:v>
                </c:pt>
                <c:pt idx="2181">
                  <c:v>54262</c:v>
                </c:pt>
                <c:pt idx="2182">
                  <c:v>54269</c:v>
                </c:pt>
                <c:pt idx="2183">
                  <c:v>54276</c:v>
                </c:pt>
                <c:pt idx="2184">
                  <c:v>54283</c:v>
                </c:pt>
                <c:pt idx="2185">
                  <c:v>54290</c:v>
                </c:pt>
                <c:pt idx="2186">
                  <c:v>54297</c:v>
                </c:pt>
                <c:pt idx="2187">
                  <c:v>54304</c:v>
                </c:pt>
                <c:pt idx="2188">
                  <c:v>54311</c:v>
                </c:pt>
                <c:pt idx="2189">
                  <c:v>54318</c:v>
                </c:pt>
                <c:pt idx="2190">
                  <c:v>54325</c:v>
                </c:pt>
                <c:pt idx="2191">
                  <c:v>54332</c:v>
                </c:pt>
                <c:pt idx="2192">
                  <c:v>54339</c:v>
                </c:pt>
                <c:pt idx="2193">
                  <c:v>54346</c:v>
                </c:pt>
                <c:pt idx="2194">
                  <c:v>54353</c:v>
                </c:pt>
                <c:pt idx="2195">
                  <c:v>54360</c:v>
                </c:pt>
                <c:pt idx="2196">
                  <c:v>54367</c:v>
                </c:pt>
                <c:pt idx="2197">
                  <c:v>54374</c:v>
                </c:pt>
                <c:pt idx="2198">
                  <c:v>54381</c:v>
                </c:pt>
                <c:pt idx="2199">
                  <c:v>54389</c:v>
                </c:pt>
                <c:pt idx="2200">
                  <c:v>54395</c:v>
                </c:pt>
                <c:pt idx="2201">
                  <c:v>54402</c:v>
                </c:pt>
                <c:pt idx="2202">
                  <c:v>54409</c:v>
                </c:pt>
                <c:pt idx="2203">
                  <c:v>54416</c:v>
                </c:pt>
                <c:pt idx="2204">
                  <c:v>54423</c:v>
                </c:pt>
                <c:pt idx="2205">
                  <c:v>54430</c:v>
                </c:pt>
                <c:pt idx="2206">
                  <c:v>54437</c:v>
                </c:pt>
                <c:pt idx="2207">
                  <c:v>54444</c:v>
                </c:pt>
                <c:pt idx="2208">
                  <c:v>54451</c:v>
                </c:pt>
                <c:pt idx="2209">
                  <c:v>54458</c:v>
                </c:pt>
                <c:pt idx="2210">
                  <c:v>54465</c:v>
                </c:pt>
                <c:pt idx="2211">
                  <c:v>54472</c:v>
                </c:pt>
                <c:pt idx="2212">
                  <c:v>54479</c:v>
                </c:pt>
                <c:pt idx="2213">
                  <c:v>54486</c:v>
                </c:pt>
                <c:pt idx="2214">
                  <c:v>54493</c:v>
                </c:pt>
                <c:pt idx="2215">
                  <c:v>54500</c:v>
                </c:pt>
                <c:pt idx="2216">
                  <c:v>54507</c:v>
                </c:pt>
                <c:pt idx="2217">
                  <c:v>54514</c:v>
                </c:pt>
                <c:pt idx="2218">
                  <c:v>54521</c:v>
                </c:pt>
                <c:pt idx="2219">
                  <c:v>54528</c:v>
                </c:pt>
                <c:pt idx="2220">
                  <c:v>54535</c:v>
                </c:pt>
                <c:pt idx="2221">
                  <c:v>54542</c:v>
                </c:pt>
                <c:pt idx="2222">
                  <c:v>54549</c:v>
                </c:pt>
                <c:pt idx="2223">
                  <c:v>54556</c:v>
                </c:pt>
                <c:pt idx="2224">
                  <c:v>54563</c:v>
                </c:pt>
                <c:pt idx="2225">
                  <c:v>54570</c:v>
                </c:pt>
                <c:pt idx="2226">
                  <c:v>54577</c:v>
                </c:pt>
                <c:pt idx="2227">
                  <c:v>54584</c:v>
                </c:pt>
                <c:pt idx="2228">
                  <c:v>54591</c:v>
                </c:pt>
                <c:pt idx="2229">
                  <c:v>54598</c:v>
                </c:pt>
                <c:pt idx="2230">
                  <c:v>54605</c:v>
                </c:pt>
                <c:pt idx="2231">
                  <c:v>54612</c:v>
                </c:pt>
                <c:pt idx="2232">
                  <c:v>54619</c:v>
                </c:pt>
                <c:pt idx="2233">
                  <c:v>54626</c:v>
                </c:pt>
                <c:pt idx="2234">
                  <c:v>54633</c:v>
                </c:pt>
                <c:pt idx="2235">
                  <c:v>54640</c:v>
                </c:pt>
                <c:pt idx="2236">
                  <c:v>54647</c:v>
                </c:pt>
                <c:pt idx="2237">
                  <c:v>54654</c:v>
                </c:pt>
                <c:pt idx="2238">
                  <c:v>54661</c:v>
                </c:pt>
                <c:pt idx="2239">
                  <c:v>54668</c:v>
                </c:pt>
                <c:pt idx="2240">
                  <c:v>54675</c:v>
                </c:pt>
                <c:pt idx="2241">
                  <c:v>54682</c:v>
                </c:pt>
                <c:pt idx="2242">
                  <c:v>54689</c:v>
                </c:pt>
                <c:pt idx="2243">
                  <c:v>54696</c:v>
                </c:pt>
                <c:pt idx="2244">
                  <c:v>54703</c:v>
                </c:pt>
                <c:pt idx="2245">
                  <c:v>54710</c:v>
                </c:pt>
                <c:pt idx="2246">
                  <c:v>54717</c:v>
                </c:pt>
                <c:pt idx="2247">
                  <c:v>54724</c:v>
                </c:pt>
                <c:pt idx="2248">
                  <c:v>54731</c:v>
                </c:pt>
                <c:pt idx="2249">
                  <c:v>54739</c:v>
                </c:pt>
                <c:pt idx="2250">
                  <c:v>54745</c:v>
                </c:pt>
                <c:pt idx="2251">
                  <c:v>54753</c:v>
                </c:pt>
                <c:pt idx="2252">
                  <c:v>54759</c:v>
                </c:pt>
                <c:pt idx="2253">
                  <c:v>54766</c:v>
                </c:pt>
                <c:pt idx="2254">
                  <c:v>54773</c:v>
                </c:pt>
                <c:pt idx="2255">
                  <c:v>54780</c:v>
                </c:pt>
                <c:pt idx="2256">
                  <c:v>54792</c:v>
                </c:pt>
                <c:pt idx="2257">
                  <c:v>54795</c:v>
                </c:pt>
                <c:pt idx="2258">
                  <c:v>54802</c:v>
                </c:pt>
                <c:pt idx="2259">
                  <c:v>54809</c:v>
                </c:pt>
                <c:pt idx="2260">
                  <c:v>54816</c:v>
                </c:pt>
                <c:pt idx="2261">
                  <c:v>54823</c:v>
                </c:pt>
                <c:pt idx="2262">
                  <c:v>54830</c:v>
                </c:pt>
                <c:pt idx="2263">
                  <c:v>54837</c:v>
                </c:pt>
                <c:pt idx="2264">
                  <c:v>54844</c:v>
                </c:pt>
                <c:pt idx="2265">
                  <c:v>54851</c:v>
                </c:pt>
                <c:pt idx="2266">
                  <c:v>54858</c:v>
                </c:pt>
                <c:pt idx="2267">
                  <c:v>54865</c:v>
                </c:pt>
                <c:pt idx="2268">
                  <c:v>54872</c:v>
                </c:pt>
                <c:pt idx="2269">
                  <c:v>54879</c:v>
                </c:pt>
                <c:pt idx="2270">
                  <c:v>54890</c:v>
                </c:pt>
                <c:pt idx="2271">
                  <c:v>54893</c:v>
                </c:pt>
                <c:pt idx="2272">
                  <c:v>54900</c:v>
                </c:pt>
                <c:pt idx="2273">
                  <c:v>54907</c:v>
                </c:pt>
                <c:pt idx="2274">
                  <c:v>54914</c:v>
                </c:pt>
                <c:pt idx="2275">
                  <c:v>54921</c:v>
                </c:pt>
                <c:pt idx="2276">
                  <c:v>54928</c:v>
                </c:pt>
                <c:pt idx="2277">
                  <c:v>54935</c:v>
                </c:pt>
                <c:pt idx="2278">
                  <c:v>54942</c:v>
                </c:pt>
                <c:pt idx="2279">
                  <c:v>54949</c:v>
                </c:pt>
                <c:pt idx="2280">
                  <c:v>54956</c:v>
                </c:pt>
                <c:pt idx="2281">
                  <c:v>54963</c:v>
                </c:pt>
                <c:pt idx="2282">
                  <c:v>54970</c:v>
                </c:pt>
                <c:pt idx="2283">
                  <c:v>54977</c:v>
                </c:pt>
                <c:pt idx="2284">
                  <c:v>54984</c:v>
                </c:pt>
                <c:pt idx="2285">
                  <c:v>54991</c:v>
                </c:pt>
                <c:pt idx="2286">
                  <c:v>54998</c:v>
                </c:pt>
                <c:pt idx="2287">
                  <c:v>55005</c:v>
                </c:pt>
                <c:pt idx="2288">
                  <c:v>55012</c:v>
                </c:pt>
                <c:pt idx="2289">
                  <c:v>55019</c:v>
                </c:pt>
                <c:pt idx="2290">
                  <c:v>55026</c:v>
                </c:pt>
                <c:pt idx="2291">
                  <c:v>55033</c:v>
                </c:pt>
                <c:pt idx="2292">
                  <c:v>55040</c:v>
                </c:pt>
                <c:pt idx="2293">
                  <c:v>55047</c:v>
                </c:pt>
                <c:pt idx="2294">
                  <c:v>55054</c:v>
                </c:pt>
                <c:pt idx="2295">
                  <c:v>55061</c:v>
                </c:pt>
                <c:pt idx="2296">
                  <c:v>55068</c:v>
                </c:pt>
                <c:pt idx="2297">
                  <c:v>55075</c:v>
                </c:pt>
                <c:pt idx="2298">
                  <c:v>55082</c:v>
                </c:pt>
                <c:pt idx="2299">
                  <c:v>55089</c:v>
                </c:pt>
                <c:pt idx="2300">
                  <c:v>55096</c:v>
                </c:pt>
                <c:pt idx="2301">
                  <c:v>55106</c:v>
                </c:pt>
                <c:pt idx="2302">
                  <c:v>55110</c:v>
                </c:pt>
                <c:pt idx="2303">
                  <c:v>55117</c:v>
                </c:pt>
                <c:pt idx="2304">
                  <c:v>55124</c:v>
                </c:pt>
                <c:pt idx="2305">
                  <c:v>55131</c:v>
                </c:pt>
                <c:pt idx="2306">
                  <c:v>55138</c:v>
                </c:pt>
                <c:pt idx="2307">
                  <c:v>55145</c:v>
                </c:pt>
                <c:pt idx="2308">
                  <c:v>55152</c:v>
                </c:pt>
                <c:pt idx="2309">
                  <c:v>55159</c:v>
                </c:pt>
                <c:pt idx="2310">
                  <c:v>55166</c:v>
                </c:pt>
                <c:pt idx="2311">
                  <c:v>55173</c:v>
                </c:pt>
                <c:pt idx="2312">
                  <c:v>55180</c:v>
                </c:pt>
                <c:pt idx="2313">
                  <c:v>55187</c:v>
                </c:pt>
                <c:pt idx="2314">
                  <c:v>55194</c:v>
                </c:pt>
                <c:pt idx="2315">
                  <c:v>55201</c:v>
                </c:pt>
                <c:pt idx="2316">
                  <c:v>55208</c:v>
                </c:pt>
                <c:pt idx="2317">
                  <c:v>55215</c:v>
                </c:pt>
                <c:pt idx="2318">
                  <c:v>55222</c:v>
                </c:pt>
                <c:pt idx="2319">
                  <c:v>55229</c:v>
                </c:pt>
                <c:pt idx="2320">
                  <c:v>55236</c:v>
                </c:pt>
                <c:pt idx="2321">
                  <c:v>55247</c:v>
                </c:pt>
                <c:pt idx="2322">
                  <c:v>55250</c:v>
                </c:pt>
                <c:pt idx="2323">
                  <c:v>55257</c:v>
                </c:pt>
                <c:pt idx="2324">
                  <c:v>55264</c:v>
                </c:pt>
                <c:pt idx="2325">
                  <c:v>55271</c:v>
                </c:pt>
                <c:pt idx="2326">
                  <c:v>55278</c:v>
                </c:pt>
                <c:pt idx="2327">
                  <c:v>55285</c:v>
                </c:pt>
                <c:pt idx="2328">
                  <c:v>55292</c:v>
                </c:pt>
                <c:pt idx="2329">
                  <c:v>55299</c:v>
                </c:pt>
                <c:pt idx="2330">
                  <c:v>55306</c:v>
                </c:pt>
                <c:pt idx="2331">
                  <c:v>55313</c:v>
                </c:pt>
                <c:pt idx="2332">
                  <c:v>55320</c:v>
                </c:pt>
                <c:pt idx="2333">
                  <c:v>55327</c:v>
                </c:pt>
                <c:pt idx="2334">
                  <c:v>55334</c:v>
                </c:pt>
                <c:pt idx="2335">
                  <c:v>55341</c:v>
                </c:pt>
                <c:pt idx="2336">
                  <c:v>55348</c:v>
                </c:pt>
                <c:pt idx="2337">
                  <c:v>55355</c:v>
                </c:pt>
                <c:pt idx="2338">
                  <c:v>55362</c:v>
                </c:pt>
                <c:pt idx="2339">
                  <c:v>55369</c:v>
                </c:pt>
                <c:pt idx="2340">
                  <c:v>55376</c:v>
                </c:pt>
                <c:pt idx="2341">
                  <c:v>55383</c:v>
                </c:pt>
                <c:pt idx="2342">
                  <c:v>55390</c:v>
                </c:pt>
                <c:pt idx="2343">
                  <c:v>55397</c:v>
                </c:pt>
                <c:pt idx="2344">
                  <c:v>55404</c:v>
                </c:pt>
                <c:pt idx="2345">
                  <c:v>55411</c:v>
                </c:pt>
                <c:pt idx="2346">
                  <c:v>55418</c:v>
                </c:pt>
                <c:pt idx="2347">
                  <c:v>55425</c:v>
                </c:pt>
                <c:pt idx="2348">
                  <c:v>55432</c:v>
                </c:pt>
                <c:pt idx="2349">
                  <c:v>55439</c:v>
                </c:pt>
                <c:pt idx="2350">
                  <c:v>55446</c:v>
                </c:pt>
                <c:pt idx="2351">
                  <c:v>55453</c:v>
                </c:pt>
                <c:pt idx="2352">
                  <c:v>55460</c:v>
                </c:pt>
                <c:pt idx="2353">
                  <c:v>55470</c:v>
                </c:pt>
                <c:pt idx="2354">
                  <c:v>55474</c:v>
                </c:pt>
                <c:pt idx="2355">
                  <c:v>55481</c:v>
                </c:pt>
                <c:pt idx="2356">
                  <c:v>55488</c:v>
                </c:pt>
                <c:pt idx="2357">
                  <c:v>55495</c:v>
                </c:pt>
                <c:pt idx="2358">
                  <c:v>55502</c:v>
                </c:pt>
                <c:pt idx="2359">
                  <c:v>55509</c:v>
                </c:pt>
                <c:pt idx="2360">
                  <c:v>55516</c:v>
                </c:pt>
                <c:pt idx="2361">
                  <c:v>55523</c:v>
                </c:pt>
                <c:pt idx="2362">
                  <c:v>55530</c:v>
                </c:pt>
                <c:pt idx="2363">
                  <c:v>55537</c:v>
                </c:pt>
                <c:pt idx="2364">
                  <c:v>55544</c:v>
                </c:pt>
                <c:pt idx="2365">
                  <c:v>55551</c:v>
                </c:pt>
                <c:pt idx="2366">
                  <c:v>55558</c:v>
                </c:pt>
                <c:pt idx="2367">
                  <c:v>55565</c:v>
                </c:pt>
                <c:pt idx="2368">
                  <c:v>55572</c:v>
                </c:pt>
                <c:pt idx="2369">
                  <c:v>55579</c:v>
                </c:pt>
                <c:pt idx="2370">
                  <c:v>55586</c:v>
                </c:pt>
                <c:pt idx="2371">
                  <c:v>55593</c:v>
                </c:pt>
                <c:pt idx="2372">
                  <c:v>55600</c:v>
                </c:pt>
                <c:pt idx="2373">
                  <c:v>55607</c:v>
                </c:pt>
                <c:pt idx="2374">
                  <c:v>55614</c:v>
                </c:pt>
                <c:pt idx="2375">
                  <c:v>55621</c:v>
                </c:pt>
                <c:pt idx="2376">
                  <c:v>55632</c:v>
                </c:pt>
                <c:pt idx="2377">
                  <c:v>55635</c:v>
                </c:pt>
                <c:pt idx="2378">
                  <c:v>55642</c:v>
                </c:pt>
                <c:pt idx="2379">
                  <c:v>55649</c:v>
                </c:pt>
                <c:pt idx="2380">
                  <c:v>55656</c:v>
                </c:pt>
                <c:pt idx="2381">
                  <c:v>55663</c:v>
                </c:pt>
                <c:pt idx="2382">
                  <c:v>55670</c:v>
                </c:pt>
                <c:pt idx="2383">
                  <c:v>55677</c:v>
                </c:pt>
                <c:pt idx="2384">
                  <c:v>55684</c:v>
                </c:pt>
                <c:pt idx="2385">
                  <c:v>55691</c:v>
                </c:pt>
                <c:pt idx="2386">
                  <c:v>55698</c:v>
                </c:pt>
                <c:pt idx="2387">
                  <c:v>55705</c:v>
                </c:pt>
                <c:pt idx="2388">
                  <c:v>55712</c:v>
                </c:pt>
                <c:pt idx="2389">
                  <c:v>55719</c:v>
                </c:pt>
                <c:pt idx="2390">
                  <c:v>55726</c:v>
                </c:pt>
                <c:pt idx="2391">
                  <c:v>55733</c:v>
                </c:pt>
                <c:pt idx="2392">
                  <c:v>55740</c:v>
                </c:pt>
                <c:pt idx="2393">
                  <c:v>55747</c:v>
                </c:pt>
                <c:pt idx="2394">
                  <c:v>55754</c:v>
                </c:pt>
                <c:pt idx="2395">
                  <c:v>55761</c:v>
                </c:pt>
                <c:pt idx="2396">
                  <c:v>55768</c:v>
                </c:pt>
                <c:pt idx="2397">
                  <c:v>55775</c:v>
                </c:pt>
                <c:pt idx="2398">
                  <c:v>55782</c:v>
                </c:pt>
                <c:pt idx="2399">
                  <c:v>55789</c:v>
                </c:pt>
                <c:pt idx="2400">
                  <c:v>55796</c:v>
                </c:pt>
                <c:pt idx="2401">
                  <c:v>55803</c:v>
                </c:pt>
                <c:pt idx="2402">
                  <c:v>55810</c:v>
                </c:pt>
                <c:pt idx="2403">
                  <c:v>55817</c:v>
                </c:pt>
                <c:pt idx="2404">
                  <c:v>55824</c:v>
                </c:pt>
                <c:pt idx="2405">
                  <c:v>55831</c:v>
                </c:pt>
                <c:pt idx="2406">
                  <c:v>55838</c:v>
                </c:pt>
                <c:pt idx="2407">
                  <c:v>55845</c:v>
                </c:pt>
                <c:pt idx="2408">
                  <c:v>55852</c:v>
                </c:pt>
                <c:pt idx="2409">
                  <c:v>55859</c:v>
                </c:pt>
                <c:pt idx="2410">
                  <c:v>55866</c:v>
                </c:pt>
                <c:pt idx="2411">
                  <c:v>55873</c:v>
                </c:pt>
                <c:pt idx="2412">
                  <c:v>55884</c:v>
                </c:pt>
                <c:pt idx="2413">
                  <c:v>55891</c:v>
                </c:pt>
                <c:pt idx="2414">
                  <c:v>55898</c:v>
                </c:pt>
                <c:pt idx="2415">
                  <c:v>55905</c:v>
                </c:pt>
                <c:pt idx="2416">
                  <c:v>55912</c:v>
                </c:pt>
                <c:pt idx="2417">
                  <c:v>55919</c:v>
                </c:pt>
                <c:pt idx="2418">
                  <c:v>55926</c:v>
                </c:pt>
                <c:pt idx="2419">
                  <c:v>55933</c:v>
                </c:pt>
                <c:pt idx="2420">
                  <c:v>55940</c:v>
                </c:pt>
                <c:pt idx="2421">
                  <c:v>55947</c:v>
                </c:pt>
                <c:pt idx="2422">
                  <c:v>55954</c:v>
                </c:pt>
                <c:pt idx="2423">
                  <c:v>55961</c:v>
                </c:pt>
                <c:pt idx="2424">
                  <c:v>55968</c:v>
                </c:pt>
                <c:pt idx="2425">
                  <c:v>55975</c:v>
                </c:pt>
                <c:pt idx="2426">
                  <c:v>55984</c:v>
                </c:pt>
                <c:pt idx="2427">
                  <c:v>55991</c:v>
                </c:pt>
                <c:pt idx="2428">
                  <c:v>55998</c:v>
                </c:pt>
                <c:pt idx="2429">
                  <c:v>56005</c:v>
                </c:pt>
                <c:pt idx="2430">
                  <c:v>56012</c:v>
                </c:pt>
                <c:pt idx="2431">
                  <c:v>56019</c:v>
                </c:pt>
                <c:pt idx="2432">
                  <c:v>56026</c:v>
                </c:pt>
                <c:pt idx="2433">
                  <c:v>56033</c:v>
                </c:pt>
                <c:pt idx="2434">
                  <c:v>56040</c:v>
                </c:pt>
                <c:pt idx="2435">
                  <c:v>56047</c:v>
                </c:pt>
                <c:pt idx="2436">
                  <c:v>56054</c:v>
                </c:pt>
                <c:pt idx="2437">
                  <c:v>56061</c:v>
                </c:pt>
                <c:pt idx="2438">
                  <c:v>56068</c:v>
                </c:pt>
                <c:pt idx="2439">
                  <c:v>56075</c:v>
                </c:pt>
                <c:pt idx="2440">
                  <c:v>56082</c:v>
                </c:pt>
                <c:pt idx="2441">
                  <c:v>56089</c:v>
                </c:pt>
                <c:pt idx="2442">
                  <c:v>56096</c:v>
                </c:pt>
                <c:pt idx="2443">
                  <c:v>56103</c:v>
                </c:pt>
                <c:pt idx="2444">
                  <c:v>56110</c:v>
                </c:pt>
                <c:pt idx="2445">
                  <c:v>56117</c:v>
                </c:pt>
                <c:pt idx="2446">
                  <c:v>56124</c:v>
                </c:pt>
                <c:pt idx="2447">
                  <c:v>56131</c:v>
                </c:pt>
                <c:pt idx="2448">
                  <c:v>56138</c:v>
                </c:pt>
                <c:pt idx="2449">
                  <c:v>56145</c:v>
                </c:pt>
                <c:pt idx="2450">
                  <c:v>56152</c:v>
                </c:pt>
                <c:pt idx="2451">
                  <c:v>56159</c:v>
                </c:pt>
                <c:pt idx="2452">
                  <c:v>56166</c:v>
                </c:pt>
                <c:pt idx="2453">
                  <c:v>56173</c:v>
                </c:pt>
                <c:pt idx="2454">
                  <c:v>56180</c:v>
                </c:pt>
                <c:pt idx="2455">
                  <c:v>56187</c:v>
                </c:pt>
                <c:pt idx="2456">
                  <c:v>56194</c:v>
                </c:pt>
                <c:pt idx="2457">
                  <c:v>56201</c:v>
                </c:pt>
                <c:pt idx="2458">
                  <c:v>56208</c:v>
                </c:pt>
                <c:pt idx="2459">
                  <c:v>56216</c:v>
                </c:pt>
                <c:pt idx="2460">
                  <c:v>56222</c:v>
                </c:pt>
                <c:pt idx="2461">
                  <c:v>56229</c:v>
                </c:pt>
                <c:pt idx="2462">
                  <c:v>56236</c:v>
                </c:pt>
                <c:pt idx="2463">
                  <c:v>56247</c:v>
                </c:pt>
                <c:pt idx="2464">
                  <c:v>56251</c:v>
                </c:pt>
                <c:pt idx="2465">
                  <c:v>56257</c:v>
                </c:pt>
                <c:pt idx="2466">
                  <c:v>56264</c:v>
                </c:pt>
                <c:pt idx="2467">
                  <c:v>56271</c:v>
                </c:pt>
                <c:pt idx="2468">
                  <c:v>56278</c:v>
                </c:pt>
                <c:pt idx="2469">
                  <c:v>56285</c:v>
                </c:pt>
                <c:pt idx="2470">
                  <c:v>56292</c:v>
                </c:pt>
                <c:pt idx="2471">
                  <c:v>56299</c:v>
                </c:pt>
                <c:pt idx="2472">
                  <c:v>56306</c:v>
                </c:pt>
                <c:pt idx="2473">
                  <c:v>56313</c:v>
                </c:pt>
                <c:pt idx="2474">
                  <c:v>56320</c:v>
                </c:pt>
                <c:pt idx="2475">
                  <c:v>56327</c:v>
                </c:pt>
                <c:pt idx="2476">
                  <c:v>56334</c:v>
                </c:pt>
                <c:pt idx="2477">
                  <c:v>56341</c:v>
                </c:pt>
                <c:pt idx="2478">
                  <c:v>56348</c:v>
                </c:pt>
                <c:pt idx="2479">
                  <c:v>56355</c:v>
                </c:pt>
                <c:pt idx="2480">
                  <c:v>56362</c:v>
                </c:pt>
                <c:pt idx="2481">
                  <c:v>56369</c:v>
                </c:pt>
                <c:pt idx="2482">
                  <c:v>56376</c:v>
                </c:pt>
                <c:pt idx="2483">
                  <c:v>56383</c:v>
                </c:pt>
                <c:pt idx="2484">
                  <c:v>56390</c:v>
                </c:pt>
                <c:pt idx="2485">
                  <c:v>56397</c:v>
                </c:pt>
                <c:pt idx="2486">
                  <c:v>56404</c:v>
                </c:pt>
                <c:pt idx="2487">
                  <c:v>56411</c:v>
                </c:pt>
                <c:pt idx="2488">
                  <c:v>56418</c:v>
                </c:pt>
                <c:pt idx="2489">
                  <c:v>56425</c:v>
                </c:pt>
                <c:pt idx="2490">
                  <c:v>56432</c:v>
                </c:pt>
                <c:pt idx="2491">
                  <c:v>56439</c:v>
                </c:pt>
                <c:pt idx="2492">
                  <c:v>56446</c:v>
                </c:pt>
                <c:pt idx="2493">
                  <c:v>56453</c:v>
                </c:pt>
                <c:pt idx="2494">
                  <c:v>56460</c:v>
                </c:pt>
                <c:pt idx="2495">
                  <c:v>56467</c:v>
                </c:pt>
                <c:pt idx="2496">
                  <c:v>56474</c:v>
                </c:pt>
                <c:pt idx="2497">
                  <c:v>56481</c:v>
                </c:pt>
                <c:pt idx="2498">
                  <c:v>56488</c:v>
                </c:pt>
                <c:pt idx="2499">
                  <c:v>56495</c:v>
                </c:pt>
                <c:pt idx="2500">
                  <c:v>56502</c:v>
                </c:pt>
                <c:pt idx="2501">
                  <c:v>56509</c:v>
                </c:pt>
                <c:pt idx="2502">
                  <c:v>56516</c:v>
                </c:pt>
                <c:pt idx="2503">
                  <c:v>56523</c:v>
                </c:pt>
                <c:pt idx="2504">
                  <c:v>56530</c:v>
                </c:pt>
                <c:pt idx="2505">
                  <c:v>56537</c:v>
                </c:pt>
                <c:pt idx="2506">
                  <c:v>56544</c:v>
                </c:pt>
                <c:pt idx="2507">
                  <c:v>56551</c:v>
                </c:pt>
                <c:pt idx="2508">
                  <c:v>56558</c:v>
                </c:pt>
                <c:pt idx="2509">
                  <c:v>56565</c:v>
                </c:pt>
                <c:pt idx="2510">
                  <c:v>56572</c:v>
                </c:pt>
                <c:pt idx="2511">
                  <c:v>56580</c:v>
                </c:pt>
                <c:pt idx="2512">
                  <c:v>56586</c:v>
                </c:pt>
                <c:pt idx="2513">
                  <c:v>56593</c:v>
                </c:pt>
                <c:pt idx="2514">
                  <c:v>56600</c:v>
                </c:pt>
                <c:pt idx="2515">
                  <c:v>56607</c:v>
                </c:pt>
                <c:pt idx="2516">
                  <c:v>56614</c:v>
                </c:pt>
                <c:pt idx="2517">
                  <c:v>56621</c:v>
                </c:pt>
                <c:pt idx="2518">
                  <c:v>56628</c:v>
                </c:pt>
                <c:pt idx="2519">
                  <c:v>56635</c:v>
                </c:pt>
                <c:pt idx="2520">
                  <c:v>56642</c:v>
                </c:pt>
                <c:pt idx="2521">
                  <c:v>56649</c:v>
                </c:pt>
                <c:pt idx="2522">
                  <c:v>56656</c:v>
                </c:pt>
                <c:pt idx="2523">
                  <c:v>56663</c:v>
                </c:pt>
                <c:pt idx="2524">
                  <c:v>56670</c:v>
                </c:pt>
                <c:pt idx="2525">
                  <c:v>56677</c:v>
                </c:pt>
                <c:pt idx="2526">
                  <c:v>56684</c:v>
                </c:pt>
                <c:pt idx="2527">
                  <c:v>56691</c:v>
                </c:pt>
                <c:pt idx="2528">
                  <c:v>56698</c:v>
                </c:pt>
                <c:pt idx="2529">
                  <c:v>56705</c:v>
                </c:pt>
                <c:pt idx="2530">
                  <c:v>56712</c:v>
                </c:pt>
                <c:pt idx="2531">
                  <c:v>56719</c:v>
                </c:pt>
                <c:pt idx="2532">
                  <c:v>56726</c:v>
                </c:pt>
                <c:pt idx="2533">
                  <c:v>56733</c:v>
                </c:pt>
                <c:pt idx="2534">
                  <c:v>56740</c:v>
                </c:pt>
                <c:pt idx="2535">
                  <c:v>56747</c:v>
                </c:pt>
                <c:pt idx="2536">
                  <c:v>56754</c:v>
                </c:pt>
                <c:pt idx="2537">
                  <c:v>56761</c:v>
                </c:pt>
                <c:pt idx="2538">
                  <c:v>56768</c:v>
                </c:pt>
                <c:pt idx="2539">
                  <c:v>56775</c:v>
                </c:pt>
                <c:pt idx="2540">
                  <c:v>56782</c:v>
                </c:pt>
                <c:pt idx="2541">
                  <c:v>56789</c:v>
                </c:pt>
                <c:pt idx="2542">
                  <c:v>56796</c:v>
                </c:pt>
                <c:pt idx="2543">
                  <c:v>56803</c:v>
                </c:pt>
                <c:pt idx="2544">
                  <c:v>56810</c:v>
                </c:pt>
                <c:pt idx="2545">
                  <c:v>56817</c:v>
                </c:pt>
                <c:pt idx="2546">
                  <c:v>56824</c:v>
                </c:pt>
                <c:pt idx="2547">
                  <c:v>56831</c:v>
                </c:pt>
                <c:pt idx="2548">
                  <c:v>56838</c:v>
                </c:pt>
                <c:pt idx="2549">
                  <c:v>56845</c:v>
                </c:pt>
                <c:pt idx="2550">
                  <c:v>56852</c:v>
                </c:pt>
                <c:pt idx="2551">
                  <c:v>56859</c:v>
                </c:pt>
                <c:pt idx="2552">
                  <c:v>56866</c:v>
                </c:pt>
                <c:pt idx="2553">
                  <c:v>56873</c:v>
                </c:pt>
                <c:pt idx="2554">
                  <c:v>56880</c:v>
                </c:pt>
                <c:pt idx="2555">
                  <c:v>56887</c:v>
                </c:pt>
                <c:pt idx="2556">
                  <c:v>56894</c:v>
                </c:pt>
                <c:pt idx="2557">
                  <c:v>56901</c:v>
                </c:pt>
                <c:pt idx="2558">
                  <c:v>56908</c:v>
                </c:pt>
                <c:pt idx="2559">
                  <c:v>56915</c:v>
                </c:pt>
                <c:pt idx="2560">
                  <c:v>56922</c:v>
                </c:pt>
                <c:pt idx="2561">
                  <c:v>56930</c:v>
                </c:pt>
                <c:pt idx="2562">
                  <c:v>56936</c:v>
                </c:pt>
                <c:pt idx="2563">
                  <c:v>56944</c:v>
                </c:pt>
                <c:pt idx="2564">
                  <c:v>56950</c:v>
                </c:pt>
                <c:pt idx="2565">
                  <c:v>56957</c:v>
                </c:pt>
                <c:pt idx="2566">
                  <c:v>56964</c:v>
                </c:pt>
                <c:pt idx="2567">
                  <c:v>56971</c:v>
                </c:pt>
                <c:pt idx="2568">
                  <c:v>56983</c:v>
                </c:pt>
                <c:pt idx="2569">
                  <c:v>56986</c:v>
                </c:pt>
                <c:pt idx="2570">
                  <c:v>56993</c:v>
                </c:pt>
                <c:pt idx="2571">
                  <c:v>57000</c:v>
                </c:pt>
                <c:pt idx="2572">
                  <c:v>57007</c:v>
                </c:pt>
                <c:pt idx="2573">
                  <c:v>57014</c:v>
                </c:pt>
                <c:pt idx="2574">
                  <c:v>57021</c:v>
                </c:pt>
                <c:pt idx="2575">
                  <c:v>57028</c:v>
                </c:pt>
                <c:pt idx="2576">
                  <c:v>57035</c:v>
                </c:pt>
                <c:pt idx="2577">
                  <c:v>57042</c:v>
                </c:pt>
                <c:pt idx="2578">
                  <c:v>57049</c:v>
                </c:pt>
                <c:pt idx="2579">
                  <c:v>57056</c:v>
                </c:pt>
                <c:pt idx="2580">
                  <c:v>57063</c:v>
                </c:pt>
                <c:pt idx="2581">
                  <c:v>57074</c:v>
                </c:pt>
                <c:pt idx="2582">
                  <c:v>57077</c:v>
                </c:pt>
                <c:pt idx="2583">
                  <c:v>57084</c:v>
                </c:pt>
                <c:pt idx="2584">
                  <c:v>57091</c:v>
                </c:pt>
                <c:pt idx="2585">
                  <c:v>57098</c:v>
                </c:pt>
                <c:pt idx="2586">
                  <c:v>57105</c:v>
                </c:pt>
                <c:pt idx="2587">
                  <c:v>57112</c:v>
                </c:pt>
                <c:pt idx="2588">
                  <c:v>57119</c:v>
                </c:pt>
                <c:pt idx="2589">
                  <c:v>57126</c:v>
                </c:pt>
                <c:pt idx="2590">
                  <c:v>57133</c:v>
                </c:pt>
                <c:pt idx="2591">
                  <c:v>57140</c:v>
                </c:pt>
                <c:pt idx="2592">
                  <c:v>57147</c:v>
                </c:pt>
                <c:pt idx="2593">
                  <c:v>57154</c:v>
                </c:pt>
                <c:pt idx="2594">
                  <c:v>57161</c:v>
                </c:pt>
                <c:pt idx="2595">
                  <c:v>57168</c:v>
                </c:pt>
                <c:pt idx="2596">
                  <c:v>57175</c:v>
                </c:pt>
                <c:pt idx="2597">
                  <c:v>57182</c:v>
                </c:pt>
                <c:pt idx="2598">
                  <c:v>57189</c:v>
                </c:pt>
                <c:pt idx="2599">
                  <c:v>57196</c:v>
                </c:pt>
                <c:pt idx="2600">
                  <c:v>57203</c:v>
                </c:pt>
                <c:pt idx="2601">
                  <c:v>57210</c:v>
                </c:pt>
                <c:pt idx="2602">
                  <c:v>57217</c:v>
                </c:pt>
                <c:pt idx="2603">
                  <c:v>57224</c:v>
                </c:pt>
                <c:pt idx="2604">
                  <c:v>57231</c:v>
                </c:pt>
                <c:pt idx="2605">
                  <c:v>57238</c:v>
                </c:pt>
                <c:pt idx="2606">
                  <c:v>57245</c:v>
                </c:pt>
                <c:pt idx="2607">
                  <c:v>57252</c:v>
                </c:pt>
                <c:pt idx="2608">
                  <c:v>57259</c:v>
                </c:pt>
                <c:pt idx="2609">
                  <c:v>57266</c:v>
                </c:pt>
                <c:pt idx="2610">
                  <c:v>57273</c:v>
                </c:pt>
                <c:pt idx="2611">
                  <c:v>57280</c:v>
                </c:pt>
                <c:pt idx="2612">
                  <c:v>57287</c:v>
                </c:pt>
                <c:pt idx="2613">
                  <c:v>57297</c:v>
                </c:pt>
                <c:pt idx="2614">
                  <c:v>57301</c:v>
                </c:pt>
                <c:pt idx="2615">
                  <c:v>57308</c:v>
                </c:pt>
                <c:pt idx="2616">
                  <c:v>57315</c:v>
                </c:pt>
                <c:pt idx="2617">
                  <c:v>57322</c:v>
                </c:pt>
                <c:pt idx="2618">
                  <c:v>57329</c:v>
                </c:pt>
                <c:pt idx="2619">
                  <c:v>57336</c:v>
                </c:pt>
                <c:pt idx="2620">
                  <c:v>57343</c:v>
                </c:pt>
                <c:pt idx="2621">
                  <c:v>57350</c:v>
                </c:pt>
                <c:pt idx="2622">
                  <c:v>57357</c:v>
                </c:pt>
                <c:pt idx="2623">
                  <c:v>57364</c:v>
                </c:pt>
                <c:pt idx="2624">
                  <c:v>57371</c:v>
                </c:pt>
                <c:pt idx="2625">
                  <c:v>57378</c:v>
                </c:pt>
                <c:pt idx="2626">
                  <c:v>57385</c:v>
                </c:pt>
                <c:pt idx="2627">
                  <c:v>57392</c:v>
                </c:pt>
                <c:pt idx="2628">
                  <c:v>57399</c:v>
                </c:pt>
                <c:pt idx="2629">
                  <c:v>57406</c:v>
                </c:pt>
                <c:pt idx="2630">
                  <c:v>57413</c:v>
                </c:pt>
                <c:pt idx="2631">
                  <c:v>57420</c:v>
                </c:pt>
                <c:pt idx="2632">
                  <c:v>57427</c:v>
                </c:pt>
                <c:pt idx="2633">
                  <c:v>57434</c:v>
                </c:pt>
                <c:pt idx="2634">
                  <c:v>57441</c:v>
                </c:pt>
                <c:pt idx="2635">
                  <c:v>57448</c:v>
                </c:pt>
                <c:pt idx="2636">
                  <c:v>57459</c:v>
                </c:pt>
                <c:pt idx="2637">
                  <c:v>57462</c:v>
                </c:pt>
                <c:pt idx="2638">
                  <c:v>57469</c:v>
                </c:pt>
                <c:pt idx="2639">
                  <c:v>57476</c:v>
                </c:pt>
                <c:pt idx="2640">
                  <c:v>57483</c:v>
                </c:pt>
                <c:pt idx="2641">
                  <c:v>57490</c:v>
                </c:pt>
                <c:pt idx="2642">
                  <c:v>57497</c:v>
                </c:pt>
                <c:pt idx="2643">
                  <c:v>57504</c:v>
                </c:pt>
                <c:pt idx="2644">
                  <c:v>57511</c:v>
                </c:pt>
                <c:pt idx="2645">
                  <c:v>57518</c:v>
                </c:pt>
                <c:pt idx="2646">
                  <c:v>57525</c:v>
                </c:pt>
                <c:pt idx="2647">
                  <c:v>57532</c:v>
                </c:pt>
                <c:pt idx="2648">
                  <c:v>57539</c:v>
                </c:pt>
                <c:pt idx="2649">
                  <c:v>57546</c:v>
                </c:pt>
                <c:pt idx="2650">
                  <c:v>57553</c:v>
                </c:pt>
                <c:pt idx="2651">
                  <c:v>57560</c:v>
                </c:pt>
                <c:pt idx="2652">
                  <c:v>57567</c:v>
                </c:pt>
                <c:pt idx="2653">
                  <c:v>57574</c:v>
                </c:pt>
                <c:pt idx="2654">
                  <c:v>57581</c:v>
                </c:pt>
                <c:pt idx="2655">
                  <c:v>57588</c:v>
                </c:pt>
                <c:pt idx="2656">
                  <c:v>57595</c:v>
                </c:pt>
                <c:pt idx="2657">
                  <c:v>57602</c:v>
                </c:pt>
                <c:pt idx="2658">
                  <c:v>57609</c:v>
                </c:pt>
                <c:pt idx="2659">
                  <c:v>57616</c:v>
                </c:pt>
                <c:pt idx="2660">
                  <c:v>57623</c:v>
                </c:pt>
                <c:pt idx="2661">
                  <c:v>57630</c:v>
                </c:pt>
                <c:pt idx="2662">
                  <c:v>57637</c:v>
                </c:pt>
                <c:pt idx="2663">
                  <c:v>57644</c:v>
                </c:pt>
                <c:pt idx="2664">
                  <c:v>57651</c:v>
                </c:pt>
                <c:pt idx="2665">
                  <c:v>57658</c:v>
                </c:pt>
                <c:pt idx="2666">
                  <c:v>57665</c:v>
                </c:pt>
                <c:pt idx="2667">
                  <c:v>57672</c:v>
                </c:pt>
                <c:pt idx="2668">
                  <c:v>57679</c:v>
                </c:pt>
                <c:pt idx="2669">
                  <c:v>57686</c:v>
                </c:pt>
                <c:pt idx="2670">
                  <c:v>57693</c:v>
                </c:pt>
                <c:pt idx="2671">
                  <c:v>57700</c:v>
                </c:pt>
                <c:pt idx="2672">
                  <c:v>57710</c:v>
                </c:pt>
                <c:pt idx="2673">
                  <c:v>57717</c:v>
                </c:pt>
                <c:pt idx="2674">
                  <c:v>57724</c:v>
                </c:pt>
                <c:pt idx="2675">
                  <c:v>57732</c:v>
                </c:pt>
                <c:pt idx="2676">
                  <c:v>57738</c:v>
                </c:pt>
                <c:pt idx="2677">
                  <c:v>57745</c:v>
                </c:pt>
                <c:pt idx="2678">
                  <c:v>57752</c:v>
                </c:pt>
                <c:pt idx="2679">
                  <c:v>57760</c:v>
                </c:pt>
                <c:pt idx="2680">
                  <c:v>57766</c:v>
                </c:pt>
                <c:pt idx="2681">
                  <c:v>57773</c:v>
                </c:pt>
                <c:pt idx="2682">
                  <c:v>57780</c:v>
                </c:pt>
                <c:pt idx="2683">
                  <c:v>57787</c:v>
                </c:pt>
                <c:pt idx="2684">
                  <c:v>57794</c:v>
                </c:pt>
                <c:pt idx="2685">
                  <c:v>57801</c:v>
                </c:pt>
                <c:pt idx="2686">
                  <c:v>57808</c:v>
                </c:pt>
                <c:pt idx="2687">
                  <c:v>57817</c:v>
                </c:pt>
                <c:pt idx="2688">
                  <c:v>57822</c:v>
                </c:pt>
                <c:pt idx="2689">
                  <c:v>57829</c:v>
                </c:pt>
                <c:pt idx="2690">
                  <c:v>57837</c:v>
                </c:pt>
                <c:pt idx="2691">
                  <c:v>57843</c:v>
                </c:pt>
                <c:pt idx="2692">
                  <c:v>57850</c:v>
                </c:pt>
                <c:pt idx="2693">
                  <c:v>57858</c:v>
                </c:pt>
                <c:pt idx="2694">
                  <c:v>57864</c:v>
                </c:pt>
                <c:pt idx="2695">
                  <c:v>57871</c:v>
                </c:pt>
                <c:pt idx="2696">
                  <c:v>57878</c:v>
                </c:pt>
                <c:pt idx="2697">
                  <c:v>57885</c:v>
                </c:pt>
                <c:pt idx="2698">
                  <c:v>57892</c:v>
                </c:pt>
                <c:pt idx="2699">
                  <c:v>57899</c:v>
                </c:pt>
                <c:pt idx="2700">
                  <c:v>57906</c:v>
                </c:pt>
                <c:pt idx="2701">
                  <c:v>57913</c:v>
                </c:pt>
                <c:pt idx="2702">
                  <c:v>57920</c:v>
                </c:pt>
                <c:pt idx="2703">
                  <c:v>57927</c:v>
                </c:pt>
                <c:pt idx="2704">
                  <c:v>57934</c:v>
                </c:pt>
                <c:pt idx="2705">
                  <c:v>57941</c:v>
                </c:pt>
                <c:pt idx="2706">
                  <c:v>57949</c:v>
                </c:pt>
                <c:pt idx="2707">
                  <c:v>57956</c:v>
                </c:pt>
                <c:pt idx="2708">
                  <c:v>57962</c:v>
                </c:pt>
                <c:pt idx="2709">
                  <c:v>57969</c:v>
                </c:pt>
                <c:pt idx="2710">
                  <c:v>57976</c:v>
                </c:pt>
                <c:pt idx="2711">
                  <c:v>57983</c:v>
                </c:pt>
                <c:pt idx="2712">
                  <c:v>57990</c:v>
                </c:pt>
                <c:pt idx="2713">
                  <c:v>57998</c:v>
                </c:pt>
                <c:pt idx="2714">
                  <c:v>58004</c:v>
                </c:pt>
                <c:pt idx="2715">
                  <c:v>58011</c:v>
                </c:pt>
                <c:pt idx="2716">
                  <c:v>58018</c:v>
                </c:pt>
                <c:pt idx="2717">
                  <c:v>58026</c:v>
                </c:pt>
                <c:pt idx="2718">
                  <c:v>58032</c:v>
                </c:pt>
                <c:pt idx="2719">
                  <c:v>58039</c:v>
                </c:pt>
                <c:pt idx="2720">
                  <c:v>58046</c:v>
                </c:pt>
                <c:pt idx="2721">
                  <c:v>58053</c:v>
                </c:pt>
                <c:pt idx="2722">
                  <c:v>58060</c:v>
                </c:pt>
                <c:pt idx="2723">
                  <c:v>58067</c:v>
                </c:pt>
                <c:pt idx="2724">
                  <c:v>58075</c:v>
                </c:pt>
                <c:pt idx="2725">
                  <c:v>58082</c:v>
                </c:pt>
                <c:pt idx="2726">
                  <c:v>58089</c:v>
                </c:pt>
                <c:pt idx="2727">
                  <c:v>58096</c:v>
                </c:pt>
                <c:pt idx="2728">
                  <c:v>58103</c:v>
                </c:pt>
                <c:pt idx="2729">
                  <c:v>58110</c:v>
                </c:pt>
                <c:pt idx="2730">
                  <c:v>58117</c:v>
                </c:pt>
                <c:pt idx="2731">
                  <c:v>58124</c:v>
                </c:pt>
                <c:pt idx="2732">
                  <c:v>58131</c:v>
                </c:pt>
                <c:pt idx="2733">
                  <c:v>58138</c:v>
                </c:pt>
                <c:pt idx="2734">
                  <c:v>58145</c:v>
                </c:pt>
                <c:pt idx="2735">
                  <c:v>58152</c:v>
                </c:pt>
                <c:pt idx="2736">
                  <c:v>58159</c:v>
                </c:pt>
                <c:pt idx="2737">
                  <c:v>58168</c:v>
                </c:pt>
                <c:pt idx="2738">
                  <c:v>58175</c:v>
                </c:pt>
                <c:pt idx="2739">
                  <c:v>58182</c:v>
                </c:pt>
                <c:pt idx="2740">
                  <c:v>58189</c:v>
                </c:pt>
                <c:pt idx="2741">
                  <c:v>58196</c:v>
                </c:pt>
                <c:pt idx="2742">
                  <c:v>58203</c:v>
                </c:pt>
                <c:pt idx="2743">
                  <c:v>58210</c:v>
                </c:pt>
                <c:pt idx="2744">
                  <c:v>58217</c:v>
                </c:pt>
                <c:pt idx="2745">
                  <c:v>58224</c:v>
                </c:pt>
                <c:pt idx="2746">
                  <c:v>58231</c:v>
                </c:pt>
                <c:pt idx="2747">
                  <c:v>58238</c:v>
                </c:pt>
                <c:pt idx="2748">
                  <c:v>58245</c:v>
                </c:pt>
                <c:pt idx="2749">
                  <c:v>58252</c:v>
                </c:pt>
                <c:pt idx="2750">
                  <c:v>58259</c:v>
                </c:pt>
                <c:pt idx="2751">
                  <c:v>58266</c:v>
                </c:pt>
                <c:pt idx="2752">
                  <c:v>58273</c:v>
                </c:pt>
                <c:pt idx="2753">
                  <c:v>58280</c:v>
                </c:pt>
                <c:pt idx="2754">
                  <c:v>58287</c:v>
                </c:pt>
                <c:pt idx="2755">
                  <c:v>58294</c:v>
                </c:pt>
                <c:pt idx="2756">
                  <c:v>58301</c:v>
                </c:pt>
                <c:pt idx="2757">
                  <c:v>58308</c:v>
                </c:pt>
                <c:pt idx="2758">
                  <c:v>58315</c:v>
                </c:pt>
                <c:pt idx="2759">
                  <c:v>58322</c:v>
                </c:pt>
                <c:pt idx="2760">
                  <c:v>58329</c:v>
                </c:pt>
                <c:pt idx="2761">
                  <c:v>58336</c:v>
                </c:pt>
                <c:pt idx="2762">
                  <c:v>58343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58407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58442</c:v>
                </c:pt>
                <c:pt idx="2777">
                  <c:v>58448</c:v>
                </c:pt>
                <c:pt idx="2778">
                  <c:v>58455</c:v>
                </c:pt>
                <c:pt idx="2779">
                  <c:v>58462</c:v>
                </c:pt>
                <c:pt idx="2780">
                  <c:v>58469</c:v>
                </c:pt>
                <c:pt idx="2781">
                  <c:v>58476</c:v>
                </c:pt>
                <c:pt idx="2782">
                  <c:v>58483</c:v>
                </c:pt>
                <c:pt idx="2783">
                  <c:v>58490</c:v>
                </c:pt>
                <c:pt idx="2784">
                  <c:v>58497</c:v>
                </c:pt>
                <c:pt idx="2785">
                  <c:v>58504</c:v>
                </c:pt>
                <c:pt idx="2786">
                  <c:v>58511</c:v>
                </c:pt>
                <c:pt idx="2787">
                  <c:v>58518</c:v>
                </c:pt>
                <c:pt idx="2788">
                  <c:v>58525</c:v>
                </c:pt>
                <c:pt idx="2789">
                  <c:v>58532</c:v>
                </c:pt>
                <c:pt idx="2790">
                  <c:v>58539</c:v>
                </c:pt>
                <c:pt idx="2791">
                  <c:v>58546</c:v>
                </c:pt>
                <c:pt idx="2792">
                  <c:v>58553</c:v>
                </c:pt>
                <c:pt idx="2793">
                  <c:v>58560</c:v>
                </c:pt>
                <c:pt idx="2794">
                  <c:v>58567</c:v>
                </c:pt>
                <c:pt idx="2795">
                  <c:v>58574</c:v>
                </c:pt>
                <c:pt idx="2796">
                  <c:v>58581</c:v>
                </c:pt>
                <c:pt idx="2797">
                  <c:v>58588</c:v>
                </c:pt>
                <c:pt idx="2798">
                  <c:v>58595</c:v>
                </c:pt>
                <c:pt idx="2799">
                  <c:v>58602</c:v>
                </c:pt>
                <c:pt idx="2800">
                  <c:v>58609</c:v>
                </c:pt>
                <c:pt idx="2801">
                  <c:v>58616</c:v>
                </c:pt>
                <c:pt idx="2802">
                  <c:v>58623</c:v>
                </c:pt>
                <c:pt idx="2803">
                  <c:v>58630</c:v>
                </c:pt>
                <c:pt idx="2804">
                  <c:v>58637</c:v>
                </c:pt>
                <c:pt idx="2805">
                  <c:v>58644</c:v>
                </c:pt>
                <c:pt idx="2806">
                  <c:v>58651</c:v>
                </c:pt>
                <c:pt idx="2807">
                  <c:v>58658</c:v>
                </c:pt>
                <c:pt idx="2808">
                  <c:v>58665</c:v>
                </c:pt>
                <c:pt idx="2809">
                  <c:v>58672</c:v>
                </c:pt>
                <c:pt idx="2810">
                  <c:v>58679</c:v>
                </c:pt>
                <c:pt idx="2811">
                  <c:v>58686</c:v>
                </c:pt>
                <c:pt idx="2812">
                  <c:v>58693</c:v>
                </c:pt>
                <c:pt idx="2813">
                  <c:v>58700</c:v>
                </c:pt>
                <c:pt idx="2814">
                  <c:v>58707</c:v>
                </c:pt>
                <c:pt idx="2815">
                  <c:v>58714</c:v>
                </c:pt>
                <c:pt idx="2816">
                  <c:v>58721</c:v>
                </c:pt>
                <c:pt idx="2817">
                  <c:v>58728</c:v>
                </c:pt>
                <c:pt idx="2818">
                  <c:v>58735</c:v>
                </c:pt>
                <c:pt idx="2819">
                  <c:v>58742</c:v>
                </c:pt>
                <c:pt idx="2820">
                  <c:v>58749</c:v>
                </c:pt>
                <c:pt idx="2821">
                  <c:v>58757</c:v>
                </c:pt>
                <c:pt idx="2822">
                  <c:v>58763</c:v>
                </c:pt>
                <c:pt idx="2823">
                  <c:v>58771</c:v>
                </c:pt>
                <c:pt idx="2824">
                  <c:v>58777</c:v>
                </c:pt>
                <c:pt idx="2825">
                  <c:v>58784</c:v>
                </c:pt>
                <c:pt idx="2826">
                  <c:v>58791</c:v>
                </c:pt>
                <c:pt idx="2827">
                  <c:v>58798</c:v>
                </c:pt>
                <c:pt idx="2828">
                  <c:v>58810</c:v>
                </c:pt>
                <c:pt idx="2829">
                  <c:v>58813</c:v>
                </c:pt>
                <c:pt idx="2830">
                  <c:v>58820</c:v>
                </c:pt>
                <c:pt idx="2831">
                  <c:v>58827</c:v>
                </c:pt>
                <c:pt idx="2832">
                  <c:v>58834</c:v>
                </c:pt>
                <c:pt idx="2833">
                  <c:v>58841</c:v>
                </c:pt>
                <c:pt idx="2834">
                  <c:v>58848</c:v>
                </c:pt>
                <c:pt idx="2835">
                  <c:v>58855</c:v>
                </c:pt>
                <c:pt idx="2836">
                  <c:v>58862</c:v>
                </c:pt>
                <c:pt idx="2837">
                  <c:v>58869</c:v>
                </c:pt>
                <c:pt idx="2838">
                  <c:v>58876</c:v>
                </c:pt>
                <c:pt idx="2839">
                  <c:v>58883</c:v>
                </c:pt>
                <c:pt idx="2840">
                  <c:v>58890</c:v>
                </c:pt>
                <c:pt idx="2841">
                  <c:v>58897</c:v>
                </c:pt>
                <c:pt idx="2842">
                  <c:v>58908</c:v>
                </c:pt>
                <c:pt idx="2843">
                  <c:v>58911</c:v>
                </c:pt>
                <c:pt idx="2844">
                  <c:v>58918</c:v>
                </c:pt>
                <c:pt idx="2845">
                  <c:v>58925</c:v>
                </c:pt>
                <c:pt idx="2846">
                  <c:v>58932</c:v>
                </c:pt>
                <c:pt idx="2847">
                  <c:v>58939</c:v>
                </c:pt>
                <c:pt idx="2848">
                  <c:v>58946</c:v>
                </c:pt>
                <c:pt idx="2849">
                  <c:v>58953</c:v>
                </c:pt>
                <c:pt idx="2850">
                  <c:v>58960</c:v>
                </c:pt>
                <c:pt idx="2851">
                  <c:v>58967</c:v>
                </c:pt>
                <c:pt idx="2852">
                  <c:v>58974</c:v>
                </c:pt>
                <c:pt idx="2853">
                  <c:v>58981</c:v>
                </c:pt>
                <c:pt idx="2854">
                  <c:v>58988</c:v>
                </c:pt>
                <c:pt idx="2855">
                  <c:v>58995</c:v>
                </c:pt>
                <c:pt idx="2856">
                  <c:v>59002</c:v>
                </c:pt>
                <c:pt idx="2857">
                  <c:v>59009</c:v>
                </c:pt>
                <c:pt idx="2858">
                  <c:v>59016</c:v>
                </c:pt>
                <c:pt idx="2859">
                  <c:v>59023</c:v>
                </c:pt>
                <c:pt idx="2860">
                  <c:v>59030</c:v>
                </c:pt>
                <c:pt idx="2861">
                  <c:v>59037</c:v>
                </c:pt>
                <c:pt idx="2862">
                  <c:v>59044</c:v>
                </c:pt>
                <c:pt idx="2863">
                  <c:v>59051</c:v>
                </c:pt>
                <c:pt idx="2864">
                  <c:v>59058</c:v>
                </c:pt>
                <c:pt idx="2865">
                  <c:v>59065</c:v>
                </c:pt>
                <c:pt idx="2866">
                  <c:v>59072</c:v>
                </c:pt>
                <c:pt idx="2867">
                  <c:v>59079</c:v>
                </c:pt>
                <c:pt idx="2868">
                  <c:v>59086</c:v>
                </c:pt>
                <c:pt idx="2869">
                  <c:v>59093</c:v>
                </c:pt>
                <c:pt idx="2870">
                  <c:v>59100</c:v>
                </c:pt>
                <c:pt idx="2871">
                  <c:v>59107</c:v>
                </c:pt>
                <c:pt idx="2872">
                  <c:v>59114</c:v>
                </c:pt>
                <c:pt idx="2873">
                  <c:v>59124</c:v>
                </c:pt>
                <c:pt idx="2874">
                  <c:v>59128</c:v>
                </c:pt>
                <c:pt idx="2875">
                  <c:v>59135</c:v>
                </c:pt>
                <c:pt idx="2876">
                  <c:v>59142</c:v>
                </c:pt>
                <c:pt idx="2877">
                  <c:v>59149</c:v>
                </c:pt>
                <c:pt idx="2878">
                  <c:v>59156</c:v>
                </c:pt>
                <c:pt idx="2879">
                  <c:v>59163</c:v>
                </c:pt>
                <c:pt idx="2880">
                  <c:v>59170</c:v>
                </c:pt>
                <c:pt idx="2881">
                  <c:v>59177</c:v>
                </c:pt>
                <c:pt idx="2882">
                  <c:v>59184</c:v>
                </c:pt>
                <c:pt idx="2883">
                  <c:v>59191</c:v>
                </c:pt>
                <c:pt idx="2884">
                  <c:v>59198</c:v>
                </c:pt>
                <c:pt idx="2885">
                  <c:v>59205</c:v>
                </c:pt>
                <c:pt idx="2886">
                  <c:v>59212</c:v>
                </c:pt>
                <c:pt idx="2887">
                  <c:v>59219</c:v>
                </c:pt>
                <c:pt idx="2888">
                  <c:v>59226</c:v>
                </c:pt>
                <c:pt idx="2889">
                  <c:v>59233</c:v>
                </c:pt>
                <c:pt idx="2890">
                  <c:v>59240</c:v>
                </c:pt>
                <c:pt idx="2891">
                  <c:v>59247</c:v>
                </c:pt>
                <c:pt idx="2892">
                  <c:v>59258</c:v>
                </c:pt>
                <c:pt idx="2893">
                  <c:v>59261</c:v>
                </c:pt>
                <c:pt idx="2894">
                  <c:v>59268</c:v>
                </c:pt>
                <c:pt idx="2895">
                  <c:v>59275</c:v>
                </c:pt>
                <c:pt idx="2896">
                  <c:v>59282</c:v>
                </c:pt>
                <c:pt idx="2897">
                  <c:v>59289</c:v>
                </c:pt>
                <c:pt idx="2898">
                  <c:v>59296</c:v>
                </c:pt>
                <c:pt idx="2899">
                  <c:v>59303</c:v>
                </c:pt>
                <c:pt idx="2900">
                  <c:v>59310</c:v>
                </c:pt>
                <c:pt idx="2901">
                  <c:v>59317</c:v>
                </c:pt>
                <c:pt idx="2902">
                  <c:v>59324</c:v>
                </c:pt>
                <c:pt idx="2903">
                  <c:v>59331</c:v>
                </c:pt>
                <c:pt idx="2904">
                  <c:v>59338</c:v>
                </c:pt>
                <c:pt idx="2905">
                  <c:v>59345</c:v>
                </c:pt>
                <c:pt idx="2906">
                  <c:v>59352</c:v>
                </c:pt>
                <c:pt idx="2907">
                  <c:v>59359</c:v>
                </c:pt>
                <c:pt idx="2908">
                  <c:v>59366</c:v>
                </c:pt>
                <c:pt idx="2909">
                  <c:v>59373</c:v>
                </c:pt>
                <c:pt idx="2910">
                  <c:v>59380</c:v>
                </c:pt>
                <c:pt idx="2911">
                  <c:v>59387</c:v>
                </c:pt>
                <c:pt idx="2912">
                  <c:v>59394</c:v>
                </c:pt>
                <c:pt idx="2913">
                  <c:v>59401</c:v>
                </c:pt>
                <c:pt idx="2914">
                  <c:v>59408</c:v>
                </c:pt>
                <c:pt idx="2915">
                  <c:v>59415</c:v>
                </c:pt>
                <c:pt idx="2916">
                  <c:v>59422</c:v>
                </c:pt>
                <c:pt idx="2917">
                  <c:v>59429</c:v>
                </c:pt>
                <c:pt idx="2918">
                  <c:v>59436</c:v>
                </c:pt>
                <c:pt idx="2919">
                  <c:v>59443</c:v>
                </c:pt>
                <c:pt idx="2920">
                  <c:v>59450</c:v>
                </c:pt>
                <c:pt idx="2921">
                  <c:v>59457</c:v>
                </c:pt>
                <c:pt idx="2922">
                  <c:v>59464</c:v>
                </c:pt>
                <c:pt idx="2923">
                  <c:v>59471</c:v>
                </c:pt>
                <c:pt idx="2924">
                  <c:v>59478</c:v>
                </c:pt>
                <c:pt idx="2925">
                  <c:v>59488</c:v>
                </c:pt>
                <c:pt idx="2926">
                  <c:v>59492</c:v>
                </c:pt>
                <c:pt idx="2927">
                  <c:v>59499</c:v>
                </c:pt>
                <c:pt idx="2928">
                  <c:v>59506</c:v>
                </c:pt>
                <c:pt idx="2929">
                  <c:v>59513</c:v>
                </c:pt>
                <c:pt idx="2930">
                  <c:v>59520</c:v>
                </c:pt>
                <c:pt idx="2931">
                  <c:v>59527</c:v>
                </c:pt>
                <c:pt idx="2932">
                  <c:v>59534</c:v>
                </c:pt>
                <c:pt idx="2933">
                  <c:v>59541</c:v>
                </c:pt>
                <c:pt idx="2934">
                  <c:v>59548</c:v>
                </c:pt>
                <c:pt idx="2935">
                  <c:v>59555</c:v>
                </c:pt>
                <c:pt idx="2936">
                  <c:v>59562</c:v>
                </c:pt>
                <c:pt idx="2937">
                  <c:v>59569</c:v>
                </c:pt>
                <c:pt idx="2938">
                  <c:v>59576</c:v>
                </c:pt>
                <c:pt idx="2939">
                  <c:v>59583</c:v>
                </c:pt>
                <c:pt idx="2940">
                  <c:v>59590</c:v>
                </c:pt>
                <c:pt idx="2941">
                  <c:v>59597</c:v>
                </c:pt>
                <c:pt idx="2942">
                  <c:v>59604</c:v>
                </c:pt>
                <c:pt idx="2943">
                  <c:v>59611</c:v>
                </c:pt>
                <c:pt idx="2944">
                  <c:v>59618</c:v>
                </c:pt>
                <c:pt idx="2945">
                  <c:v>59625</c:v>
                </c:pt>
                <c:pt idx="2946">
                  <c:v>59632</c:v>
                </c:pt>
                <c:pt idx="2947">
                  <c:v>59643</c:v>
                </c:pt>
                <c:pt idx="2948">
                  <c:v>59646</c:v>
                </c:pt>
                <c:pt idx="2949">
                  <c:v>59653</c:v>
                </c:pt>
                <c:pt idx="2950">
                  <c:v>59660</c:v>
                </c:pt>
                <c:pt idx="2951">
                  <c:v>59667</c:v>
                </c:pt>
                <c:pt idx="2952">
                  <c:v>59674</c:v>
                </c:pt>
                <c:pt idx="2953">
                  <c:v>59681</c:v>
                </c:pt>
                <c:pt idx="2954">
                  <c:v>59688</c:v>
                </c:pt>
                <c:pt idx="2955">
                  <c:v>59695</c:v>
                </c:pt>
                <c:pt idx="2956">
                  <c:v>59702</c:v>
                </c:pt>
                <c:pt idx="2957">
                  <c:v>59709</c:v>
                </c:pt>
                <c:pt idx="2958">
                  <c:v>59716</c:v>
                </c:pt>
                <c:pt idx="2959">
                  <c:v>59723</c:v>
                </c:pt>
                <c:pt idx="2960">
                  <c:v>59730</c:v>
                </c:pt>
                <c:pt idx="2961">
                  <c:v>59737</c:v>
                </c:pt>
                <c:pt idx="2962">
                  <c:v>59744</c:v>
                </c:pt>
                <c:pt idx="2963">
                  <c:v>59751</c:v>
                </c:pt>
                <c:pt idx="2964">
                  <c:v>59758</c:v>
                </c:pt>
                <c:pt idx="2965">
                  <c:v>59765</c:v>
                </c:pt>
                <c:pt idx="2966">
                  <c:v>59772</c:v>
                </c:pt>
                <c:pt idx="2967">
                  <c:v>59779</c:v>
                </c:pt>
                <c:pt idx="2968">
                  <c:v>59786</c:v>
                </c:pt>
                <c:pt idx="2969">
                  <c:v>59793</c:v>
                </c:pt>
                <c:pt idx="2970">
                  <c:v>59800</c:v>
                </c:pt>
                <c:pt idx="2971">
                  <c:v>59807</c:v>
                </c:pt>
                <c:pt idx="2972">
                  <c:v>59814</c:v>
                </c:pt>
                <c:pt idx="2973">
                  <c:v>59821</c:v>
                </c:pt>
                <c:pt idx="2974">
                  <c:v>59828</c:v>
                </c:pt>
                <c:pt idx="2975">
                  <c:v>59835</c:v>
                </c:pt>
                <c:pt idx="2976">
                  <c:v>59842</c:v>
                </c:pt>
                <c:pt idx="2977">
                  <c:v>59849</c:v>
                </c:pt>
                <c:pt idx="2978">
                  <c:v>59856</c:v>
                </c:pt>
                <c:pt idx="2979">
                  <c:v>59863</c:v>
                </c:pt>
                <c:pt idx="2980">
                  <c:v>59870</c:v>
                </c:pt>
                <c:pt idx="2981">
                  <c:v>59877</c:v>
                </c:pt>
                <c:pt idx="2982">
                  <c:v>59884</c:v>
                </c:pt>
                <c:pt idx="2983">
                  <c:v>59891</c:v>
                </c:pt>
                <c:pt idx="2984">
                  <c:v>59901</c:v>
                </c:pt>
                <c:pt idx="2985">
                  <c:v>59908</c:v>
                </c:pt>
                <c:pt idx="2986">
                  <c:v>59915</c:v>
                </c:pt>
                <c:pt idx="2987">
                  <c:v>59923</c:v>
                </c:pt>
                <c:pt idx="2988">
                  <c:v>59929</c:v>
                </c:pt>
                <c:pt idx="2989">
                  <c:v>59936</c:v>
                </c:pt>
                <c:pt idx="2990">
                  <c:v>59943</c:v>
                </c:pt>
                <c:pt idx="2991">
                  <c:v>59951</c:v>
                </c:pt>
                <c:pt idx="2992">
                  <c:v>59957</c:v>
                </c:pt>
                <c:pt idx="2993">
                  <c:v>59964</c:v>
                </c:pt>
                <c:pt idx="2994">
                  <c:v>59971</c:v>
                </c:pt>
                <c:pt idx="2995">
                  <c:v>59978</c:v>
                </c:pt>
                <c:pt idx="2996">
                  <c:v>59985</c:v>
                </c:pt>
                <c:pt idx="2997">
                  <c:v>59992</c:v>
                </c:pt>
                <c:pt idx="2998">
                  <c:v>60001</c:v>
                </c:pt>
                <c:pt idx="2999">
                  <c:v>60006</c:v>
                </c:pt>
                <c:pt idx="3000">
                  <c:v>60013</c:v>
                </c:pt>
                <c:pt idx="3001">
                  <c:v>60020</c:v>
                </c:pt>
                <c:pt idx="3002">
                  <c:v>60028</c:v>
                </c:pt>
                <c:pt idx="3003">
                  <c:v>60034</c:v>
                </c:pt>
                <c:pt idx="3004">
                  <c:v>60041</c:v>
                </c:pt>
                <c:pt idx="3005">
                  <c:v>60049</c:v>
                </c:pt>
                <c:pt idx="3006">
                  <c:v>60055</c:v>
                </c:pt>
                <c:pt idx="3007">
                  <c:v>60062</c:v>
                </c:pt>
                <c:pt idx="3008">
                  <c:v>60069</c:v>
                </c:pt>
                <c:pt idx="3009">
                  <c:v>60076</c:v>
                </c:pt>
                <c:pt idx="3010">
                  <c:v>60083</c:v>
                </c:pt>
                <c:pt idx="3011">
                  <c:v>60090</c:v>
                </c:pt>
                <c:pt idx="3012">
                  <c:v>60097</c:v>
                </c:pt>
                <c:pt idx="3013">
                  <c:v>60104</c:v>
                </c:pt>
                <c:pt idx="3014">
                  <c:v>60111</c:v>
                </c:pt>
                <c:pt idx="3015">
                  <c:v>60118</c:v>
                </c:pt>
                <c:pt idx="3016">
                  <c:v>60125</c:v>
                </c:pt>
                <c:pt idx="3017">
                  <c:v>60132</c:v>
                </c:pt>
                <c:pt idx="3018">
                  <c:v>60140</c:v>
                </c:pt>
                <c:pt idx="3019">
                  <c:v>60147</c:v>
                </c:pt>
                <c:pt idx="3020">
                  <c:v>60153</c:v>
                </c:pt>
                <c:pt idx="3021">
                  <c:v>60160</c:v>
                </c:pt>
                <c:pt idx="3022">
                  <c:v>60167</c:v>
                </c:pt>
                <c:pt idx="3023">
                  <c:v>60174</c:v>
                </c:pt>
                <c:pt idx="3024">
                  <c:v>60181</c:v>
                </c:pt>
                <c:pt idx="3025">
                  <c:v>60189</c:v>
                </c:pt>
                <c:pt idx="3026">
                  <c:v>60195</c:v>
                </c:pt>
                <c:pt idx="3027">
                  <c:v>60202</c:v>
                </c:pt>
                <c:pt idx="3028">
                  <c:v>60209</c:v>
                </c:pt>
                <c:pt idx="3029">
                  <c:v>60216</c:v>
                </c:pt>
                <c:pt idx="3030">
                  <c:v>60223</c:v>
                </c:pt>
                <c:pt idx="3031">
                  <c:v>60230</c:v>
                </c:pt>
                <c:pt idx="3032">
                  <c:v>60237</c:v>
                </c:pt>
                <c:pt idx="3033">
                  <c:v>60244</c:v>
                </c:pt>
                <c:pt idx="3034">
                  <c:v>60251</c:v>
                </c:pt>
                <c:pt idx="3035">
                  <c:v>60258</c:v>
                </c:pt>
                <c:pt idx="3036">
                  <c:v>60267</c:v>
                </c:pt>
                <c:pt idx="3037">
                  <c:v>60274</c:v>
                </c:pt>
                <c:pt idx="3038">
                  <c:v>60281</c:v>
                </c:pt>
                <c:pt idx="3039">
                  <c:v>60288</c:v>
                </c:pt>
                <c:pt idx="3040">
                  <c:v>60295</c:v>
                </c:pt>
                <c:pt idx="3041">
                  <c:v>60302</c:v>
                </c:pt>
                <c:pt idx="3042">
                  <c:v>60309</c:v>
                </c:pt>
                <c:pt idx="3043">
                  <c:v>60316</c:v>
                </c:pt>
                <c:pt idx="3044">
                  <c:v>60323</c:v>
                </c:pt>
                <c:pt idx="3045">
                  <c:v>60330</c:v>
                </c:pt>
                <c:pt idx="3046">
                  <c:v>60337</c:v>
                </c:pt>
                <c:pt idx="3047">
                  <c:v>60344</c:v>
                </c:pt>
                <c:pt idx="3048">
                  <c:v>60351</c:v>
                </c:pt>
                <c:pt idx="3049">
                  <c:v>60359</c:v>
                </c:pt>
                <c:pt idx="3050">
                  <c:v>60366</c:v>
                </c:pt>
                <c:pt idx="3051">
                  <c:v>60373</c:v>
                </c:pt>
                <c:pt idx="3052">
                  <c:v>60380</c:v>
                </c:pt>
                <c:pt idx="3053">
                  <c:v>60387</c:v>
                </c:pt>
                <c:pt idx="3054">
                  <c:v>60394</c:v>
                </c:pt>
                <c:pt idx="3055">
                  <c:v>60401</c:v>
                </c:pt>
                <c:pt idx="3056">
                  <c:v>60408</c:v>
                </c:pt>
                <c:pt idx="3057">
                  <c:v>60415</c:v>
                </c:pt>
                <c:pt idx="3058">
                  <c:v>60422</c:v>
                </c:pt>
                <c:pt idx="3059">
                  <c:v>60429</c:v>
                </c:pt>
                <c:pt idx="3060">
                  <c:v>60436</c:v>
                </c:pt>
                <c:pt idx="3061">
                  <c:v>60443</c:v>
                </c:pt>
                <c:pt idx="3062">
                  <c:v>60450</c:v>
                </c:pt>
                <c:pt idx="3063">
                  <c:v>60457</c:v>
                </c:pt>
                <c:pt idx="3064">
                  <c:v>60464</c:v>
                </c:pt>
                <c:pt idx="3065">
                  <c:v>60471</c:v>
                </c:pt>
                <c:pt idx="3066">
                  <c:v>60478</c:v>
                </c:pt>
                <c:pt idx="3067">
                  <c:v>60485</c:v>
                </c:pt>
                <c:pt idx="3068">
                  <c:v>60492</c:v>
                </c:pt>
                <c:pt idx="3069">
                  <c:v>60499</c:v>
                </c:pt>
                <c:pt idx="3070">
                  <c:v>60506</c:v>
                </c:pt>
                <c:pt idx="3071">
                  <c:v>60513</c:v>
                </c:pt>
                <c:pt idx="3072">
                  <c:v>60520</c:v>
                </c:pt>
                <c:pt idx="3073">
                  <c:v>60527</c:v>
                </c:pt>
                <c:pt idx="3074">
                  <c:v>60534</c:v>
                </c:pt>
                <c:pt idx="3075">
                  <c:v>60541</c:v>
                </c:pt>
                <c:pt idx="3076">
                  <c:v>60548</c:v>
                </c:pt>
                <c:pt idx="3077">
                  <c:v>60555</c:v>
                </c:pt>
                <c:pt idx="3078">
                  <c:v>60562</c:v>
                </c:pt>
                <c:pt idx="3079">
                  <c:v>60569</c:v>
                </c:pt>
                <c:pt idx="3080">
                  <c:v>60576</c:v>
                </c:pt>
                <c:pt idx="3081">
                  <c:v>60583</c:v>
                </c:pt>
                <c:pt idx="3082">
                  <c:v>60590</c:v>
                </c:pt>
                <c:pt idx="3083">
                  <c:v>60598</c:v>
                </c:pt>
                <c:pt idx="3084">
                  <c:v>60604</c:v>
                </c:pt>
                <c:pt idx="3085">
                  <c:v>60611</c:v>
                </c:pt>
                <c:pt idx="3086">
                  <c:v>60618</c:v>
                </c:pt>
                <c:pt idx="3087">
                  <c:v>60625</c:v>
                </c:pt>
                <c:pt idx="3088">
                  <c:v>60632</c:v>
                </c:pt>
                <c:pt idx="3089">
                  <c:v>60639</c:v>
                </c:pt>
                <c:pt idx="3090">
                  <c:v>60646</c:v>
                </c:pt>
                <c:pt idx="3091">
                  <c:v>60653</c:v>
                </c:pt>
                <c:pt idx="3092">
                  <c:v>60660</c:v>
                </c:pt>
                <c:pt idx="3093">
                  <c:v>60667</c:v>
                </c:pt>
                <c:pt idx="3094">
                  <c:v>60674</c:v>
                </c:pt>
                <c:pt idx="3095">
                  <c:v>60681</c:v>
                </c:pt>
                <c:pt idx="3096">
                  <c:v>60688</c:v>
                </c:pt>
                <c:pt idx="3097">
                  <c:v>60695</c:v>
                </c:pt>
                <c:pt idx="3098">
                  <c:v>60702</c:v>
                </c:pt>
                <c:pt idx="3099">
                  <c:v>60709</c:v>
                </c:pt>
                <c:pt idx="3100">
                  <c:v>60716</c:v>
                </c:pt>
                <c:pt idx="3101">
                  <c:v>60723</c:v>
                </c:pt>
                <c:pt idx="3102">
                  <c:v>60730</c:v>
                </c:pt>
                <c:pt idx="3103">
                  <c:v>60737</c:v>
                </c:pt>
                <c:pt idx="3104">
                  <c:v>60744</c:v>
                </c:pt>
                <c:pt idx="3105">
                  <c:v>60751</c:v>
                </c:pt>
                <c:pt idx="3106">
                  <c:v>60758</c:v>
                </c:pt>
                <c:pt idx="3107">
                  <c:v>60765</c:v>
                </c:pt>
                <c:pt idx="3108">
                  <c:v>60772</c:v>
                </c:pt>
                <c:pt idx="3109">
                  <c:v>60779</c:v>
                </c:pt>
                <c:pt idx="3110">
                  <c:v>60786</c:v>
                </c:pt>
                <c:pt idx="3111">
                  <c:v>60793</c:v>
                </c:pt>
                <c:pt idx="3112">
                  <c:v>60800</c:v>
                </c:pt>
                <c:pt idx="3113">
                  <c:v>60807</c:v>
                </c:pt>
                <c:pt idx="3114">
                  <c:v>60814</c:v>
                </c:pt>
                <c:pt idx="3115">
                  <c:v>60821</c:v>
                </c:pt>
                <c:pt idx="3116">
                  <c:v>60828</c:v>
                </c:pt>
                <c:pt idx="3117">
                  <c:v>60835</c:v>
                </c:pt>
                <c:pt idx="3118">
                  <c:v>60842</c:v>
                </c:pt>
                <c:pt idx="3119">
                  <c:v>60849</c:v>
                </c:pt>
                <c:pt idx="3120">
                  <c:v>60856</c:v>
                </c:pt>
                <c:pt idx="3121">
                  <c:v>60863</c:v>
                </c:pt>
                <c:pt idx="3122">
                  <c:v>60870</c:v>
                </c:pt>
                <c:pt idx="3123">
                  <c:v>60877</c:v>
                </c:pt>
                <c:pt idx="3124">
                  <c:v>60884</c:v>
                </c:pt>
                <c:pt idx="3125">
                  <c:v>60891</c:v>
                </c:pt>
                <c:pt idx="3126">
                  <c:v>60898</c:v>
                </c:pt>
                <c:pt idx="3127">
                  <c:v>60905</c:v>
                </c:pt>
                <c:pt idx="3128">
                  <c:v>60912</c:v>
                </c:pt>
                <c:pt idx="3129">
                  <c:v>60919</c:v>
                </c:pt>
                <c:pt idx="3130">
                  <c:v>60926</c:v>
                </c:pt>
                <c:pt idx="3131">
                  <c:v>60933</c:v>
                </c:pt>
                <c:pt idx="3132">
                  <c:v>60940</c:v>
                </c:pt>
                <c:pt idx="3133">
                  <c:v>60948</c:v>
                </c:pt>
                <c:pt idx="3134">
                  <c:v>60954</c:v>
                </c:pt>
                <c:pt idx="3135">
                  <c:v>60962</c:v>
                </c:pt>
                <c:pt idx="3136">
                  <c:v>60968</c:v>
                </c:pt>
                <c:pt idx="3137">
                  <c:v>60975</c:v>
                </c:pt>
                <c:pt idx="3138">
                  <c:v>60982</c:v>
                </c:pt>
                <c:pt idx="3139">
                  <c:v>60989</c:v>
                </c:pt>
                <c:pt idx="3140">
                  <c:v>61001</c:v>
                </c:pt>
                <c:pt idx="3141">
                  <c:v>61004</c:v>
                </c:pt>
                <c:pt idx="3142">
                  <c:v>61011</c:v>
                </c:pt>
                <c:pt idx="3143">
                  <c:v>61018</c:v>
                </c:pt>
                <c:pt idx="3144">
                  <c:v>61025</c:v>
                </c:pt>
                <c:pt idx="3145">
                  <c:v>61032</c:v>
                </c:pt>
                <c:pt idx="3146">
                  <c:v>61039</c:v>
                </c:pt>
                <c:pt idx="3147">
                  <c:v>61046</c:v>
                </c:pt>
                <c:pt idx="3148">
                  <c:v>61053</c:v>
                </c:pt>
                <c:pt idx="3149">
                  <c:v>61060</c:v>
                </c:pt>
                <c:pt idx="3150">
                  <c:v>61067</c:v>
                </c:pt>
                <c:pt idx="3151">
                  <c:v>61074</c:v>
                </c:pt>
                <c:pt idx="3152">
                  <c:v>61081</c:v>
                </c:pt>
                <c:pt idx="3153">
                  <c:v>61092</c:v>
                </c:pt>
                <c:pt idx="3154">
                  <c:v>61095</c:v>
                </c:pt>
                <c:pt idx="3155">
                  <c:v>61102</c:v>
                </c:pt>
                <c:pt idx="3156">
                  <c:v>61109</c:v>
                </c:pt>
                <c:pt idx="3157">
                  <c:v>61116</c:v>
                </c:pt>
                <c:pt idx="3158">
                  <c:v>61123</c:v>
                </c:pt>
                <c:pt idx="3159">
                  <c:v>61130</c:v>
                </c:pt>
                <c:pt idx="3160">
                  <c:v>61137</c:v>
                </c:pt>
                <c:pt idx="3161">
                  <c:v>61144</c:v>
                </c:pt>
                <c:pt idx="3162">
                  <c:v>61151</c:v>
                </c:pt>
                <c:pt idx="3163">
                  <c:v>61158</c:v>
                </c:pt>
                <c:pt idx="3164">
                  <c:v>61165</c:v>
                </c:pt>
                <c:pt idx="3165">
                  <c:v>61172</c:v>
                </c:pt>
                <c:pt idx="3166">
                  <c:v>61179</c:v>
                </c:pt>
                <c:pt idx="3167">
                  <c:v>61186</c:v>
                </c:pt>
                <c:pt idx="3168">
                  <c:v>61193</c:v>
                </c:pt>
                <c:pt idx="3169">
                  <c:v>61200</c:v>
                </c:pt>
                <c:pt idx="3170">
                  <c:v>61207</c:v>
                </c:pt>
                <c:pt idx="3171">
                  <c:v>61214</c:v>
                </c:pt>
                <c:pt idx="3172">
                  <c:v>61221</c:v>
                </c:pt>
                <c:pt idx="3173">
                  <c:v>61228</c:v>
                </c:pt>
                <c:pt idx="3174">
                  <c:v>61235</c:v>
                </c:pt>
                <c:pt idx="3175">
                  <c:v>61242</c:v>
                </c:pt>
                <c:pt idx="3176">
                  <c:v>61249</c:v>
                </c:pt>
                <c:pt idx="3177">
                  <c:v>61256</c:v>
                </c:pt>
                <c:pt idx="3178">
                  <c:v>61263</c:v>
                </c:pt>
                <c:pt idx="3179">
                  <c:v>61270</c:v>
                </c:pt>
                <c:pt idx="3180">
                  <c:v>61277</c:v>
                </c:pt>
                <c:pt idx="3181">
                  <c:v>61284</c:v>
                </c:pt>
                <c:pt idx="3182">
                  <c:v>61291</c:v>
                </c:pt>
                <c:pt idx="3183">
                  <c:v>61298</c:v>
                </c:pt>
                <c:pt idx="3184">
                  <c:v>61305</c:v>
                </c:pt>
                <c:pt idx="3185">
                  <c:v>61315</c:v>
                </c:pt>
                <c:pt idx="3186">
                  <c:v>61319</c:v>
                </c:pt>
                <c:pt idx="3187">
                  <c:v>61326</c:v>
                </c:pt>
                <c:pt idx="3188">
                  <c:v>61333</c:v>
                </c:pt>
                <c:pt idx="3189">
                  <c:v>61340</c:v>
                </c:pt>
                <c:pt idx="3190">
                  <c:v>61347</c:v>
                </c:pt>
                <c:pt idx="3191">
                  <c:v>61354</c:v>
                </c:pt>
                <c:pt idx="3192">
                  <c:v>61361</c:v>
                </c:pt>
                <c:pt idx="3193">
                  <c:v>61368</c:v>
                </c:pt>
                <c:pt idx="3194">
                  <c:v>61375</c:v>
                </c:pt>
                <c:pt idx="3195">
                  <c:v>61382</c:v>
                </c:pt>
                <c:pt idx="3196">
                  <c:v>61389</c:v>
                </c:pt>
                <c:pt idx="3197">
                  <c:v>61396</c:v>
                </c:pt>
                <c:pt idx="3198">
                  <c:v>61403</c:v>
                </c:pt>
                <c:pt idx="3199">
                  <c:v>61410</c:v>
                </c:pt>
                <c:pt idx="3200">
                  <c:v>61417</c:v>
                </c:pt>
                <c:pt idx="3201">
                  <c:v>61424</c:v>
                </c:pt>
                <c:pt idx="3202">
                  <c:v>61431</c:v>
                </c:pt>
                <c:pt idx="3203">
                  <c:v>61438</c:v>
                </c:pt>
                <c:pt idx="3204">
                  <c:v>61445</c:v>
                </c:pt>
                <c:pt idx="3205">
                  <c:v>61452</c:v>
                </c:pt>
                <c:pt idx="3206">
                  <c:v>61459</c:v>
                </c:pt>
                <c:pt idx="3207">
                  <c:v>61466</c:v>
                </c:pt>
                <c:pt idx="3208">
                  <c:v>61477</c:v>
                </c:pt>
                <c:pt idx="3209">
                  <c:v>61480</c:v>
                </c:pt>
                <c:pt idx="3210">
                  <c:v>61487</c:v>
                </c:pt>
                <c:pt idx="3211">
                  <c:v>61494</c:v>
                </c:pt>
                <c:pt idx="3212">
                  <c:v>61501</c:v>
                </c:pt>
                <c:pt idx="3213">
                  <c:v>61508</c:v>
                </c:pt>
                <c:pt idx="3214">
                  <c:v>61515</c:v>
                </c:pt>
                <c:pt idx="3215">
                  <c:v>61522</c:v>
                </c:pt>
                <c:pt idx="3216">
                  <c:v>61529</c:v>
                </c:pt>
                <c:pt idx="3217">
                  <c:v>61536</c:v>
                </c:pt>
                <c:pt idx="3218">
                  <c:v>61543</c:v>
                </c:pt>
                <c:pt idx="3219">
                  <c:v>61550</c:v>
                </c:pt>
                <c:pt idx="3220">
                  <c:v>61557</c:v>
                </c:pt>
                <c:pt idx="3221">
                  <c:v>61564</c:v>
                </c:pt>
                <c:pt idx="3222">
                  <c:v>61571</c:v>
                </c:pt>
                <c:pt idx="3223">
                  <c:v>61578</c:v>
                </c:pt>
                <c:pt idx="3224">
                  <c:v>61585</c:v>
                </c:pt>
                <c:pt idx="3225">
                  <c:v>61592</c:v>
                </c:pt>
                <c:pt idx="3226">
                  <c:v>61599</c:v>
                </c:pt>
                <c:pt idx="3227">
                  <c:v>61606</c:v>
                </c:pt>
                <c:pt idx="3228">
                  <c:v>61613</c:v>
                </c:pt>
                <c:pt idx="3229">
                  <c:v>61620</c:v>
                </c:pt>
                <c:pt idx="3230">
                  <c:v>61627</c:v>
                </c:pt>
                <c:pt idx="3231">
                  <c:v>61634</c:v>
                </c:pt>
                <c:pt idx="3232">
                  <c:v>61641</c:v>
                </c:pt>
                <c:pt idx="3233">
                  <c:v>61648</c:v>
                </c:pt>
                <c:pt idx="3234">
                  <c:v>61655</c:v>
                </c:pt>
                <c:pt idx="3235">
                  <c:v>61662</c:v>
                </c:pt>
                <c:pt idx="3236">
                  <c:v>61669</c:v>
                </c:pt>
                <c:pt idx="3237">
                  <c:v>61676</c:v>
                </c:pt>
                <c:pt idx="3238">
                  <c:v>61683</c:v>
                </c:pt>
                <c:pt idx="3239">
                  <c:v>61690</c:v>
                </c:pt>
                <c:pt idx="3240">
                  <c:v>61697</c:v>
                </c:pt>
                <c:pt idx="3241">
                  <c:v>61704</c:v>
                </c:pt>
                <c:pt idx="3242">
                  <c:v>61711</c:v>
                </c:pt>
                <c:pt idx="3243">
                  <c:v>61718</c:v>
                </c:pt>
                <c:pt idx="3244">
                  <c:v>61728</c:v>
                </c:pt>
                <c:pt idx="3245">
                  <c:v>61735</c:v>
                </c:pt>
                <c:pt idx="3246">
                  <c:v>61742</c:v>
                </c:pt>
                <c:pt idx="3247">
                  <c:v>61750</c:v>
                </c:pt>
                <c:pt idx="3248">
                  <c:v>61756</c:v>
                </c:pt>
                <c:pt idx="3249">
                  <c:v>61763</c:v>
                </c:pt>
                <c:pt idx="3250">
                  <c:v>61770</c:v>
                </c:pt>
                <c:pt idx="3251">
                  <c:v>61778</c:v>
                </c:pt>
                <c:pt idx="3252">
                  <c:v>61784</c:v>
                </c:pt>
                <c:pt idx="3253">
                  <c:v>61791</c:v>
                </c:pt>
                <c:pt idx="3254">
                  <c:v>61798</c:v>
                </c:pt>
                <c:pt idx="3255">
                  <c:v>61805</c:v>
                </c:pt>
                <c:pt idx="3256">
                  <c:v>61812</c:v>
                </c:pt>
                <c:pt idx="3257">
                  <c:v>61819</c:v>
                </c:pt>
                <c:pt idx="3258">
                  <c:v>61826</c:v>
                </c:pt>
                <c:pt idx="3259">
                  <c:v>61835</c:v>
                </c:pt>
                <c:pt idx="3260">
                  <c:v>61840</c:v>
                </c:pt>
                <c:pt idx="3261">
                  <c:v>61847</c:v>
                </c:pt>
                <c:pt idx="3262">
                  <c:v>61855</c:v>
                </c:pt>
                <c:pt idx="3263">
                  <c:v>61861</c:v>
                </c:pt>
                <c:pt idx="3264">
                  <c:v>61868</c:v>
                </c:pt>
                <c:pt idx="3265">
                  <c:v>61876</c:v>
                </c:pt>
                <c:pt idx="3266">
                  <c:v>61882</c:v>
                </c:pt>
                <c:pt idx="3267">
                  <c:v>61889</c:v>
                </c:pt>
                <c:pt idx="3268">
                  <c:v>61896</c:v>
                </c:pt>
                <c:pt idx="3269">
                  <c:v>61903</c:v>
                </c:pt>
                <c:pt idx="3270">
                  <c:v>61910</c:v>
                </c:pt>
                <c:pt idx="3271">
                  <c:v>61917</c:v>
                </c:pt>
                <c:pt idx="3272">
                  <c:v>61924</c:v>
                </c:pt>
                <c:pt idx="3273">
                  <c:v>61931</c:v>
                </c:pt>
                <c:pt idx="3274">
                  <c:v>61938</c:v>
                </c:pt>
                <c:pt idx="3275">
                  <c:v>61945</c:v>
                </c:pt>
                <c:pt idx="3276">
                  <c:v>61952</c:v>
                </c:pt>
                <c:pt idx="3277">
                  <c:v>61959</c:v>
                </c:pt>
                <c:pt idx="3278">
                  <c:v>61967</c:v>
                </c:pt>
                <c:pt idx="3279">
                  <c:v>61974</c:v>
                </c:pt>
                <c:pt idx="3280">
                  <c:v>61980</c:v>
                </c:pt>
                <c:pt idx="3281">
                  <c:v>61987</c:v>
                </c:pt>
                <c:pt idx="3282">
                  <c:v>61994</c:v>
                </c:pt>
                <c:pt idx="3283">
                  <c:v>62001</c:v>
                </c:pt>
                <c:pt idx="3284">
                  <c:v>62008</c:v>
                </c:pt>
                <c:pt idx="3285">
                  <c:v>62016</c:v>
                </c:pt>
                <c:pt idx="3286">
                  <c:v>62022</c:v>
                </c:pt>
                <c:pt idx="3287">
                  <c:v>62029</c:v>
                </c:pt>
                <c:pt idx="3288">
                  <c:v>62036</c:v>
                </c:pt>
                <c:pt idx="3289">
                  <c:v>62044</c:v>
                </c:pt>
                <c:pt idx="3290">
                  <c:v>62050</c:v>
                </c:pt>
                <c:pt idx="3291">
                  <c:v>62057</c:v>
                </c:pt>
                <c:pt idx="3292">
                  <c:v>62064</c:v>
                </c:pt>
                <c:pt idx="3293">
                  <c:v>62071</c:v>
                </c:pt>
                <c:pt idx="3294">
                  <c:v>62078</c:v>
                </c:pt>
                <c:pt idx="3295">
                  <c:v>62085</c:v>
                </c:pt>
                <c:pt idx="3296">
                  <c:v>62093</c:v>
                </c:pt>
                <c:pt idx="3297">
                  <c:v>62100</c:v>
                </c:pt>
                <c:pt idx="3298">
                  <c:v>62107</c:v>
                </c:pt>
                <c:pt idx="3299">
                  <c:v>62114</c:v>
                </c:pt>
                <c:pt idx="3300">
                  <c:v>62121</c:v>
                </c:pt>
                <c:pt idx="3301">
                  <c:v>62128</c:v>
                </c:pt>
                <c:pt idx="3302">
                  <c:v>62135</c:v>
                </c:pt>
                <c:pt idx="3303">
                  <c:v>62142</c:v>
                </c:pt>
                <c:pt idx="3304">
                  <c:v>62149</c:v>
                </c:pt>
                <c:pt idx="3305">
                  <c:v>62156</c:v>
                </c:pt>
                <c:pt idx="3306">
                  <c:v>62163</c:v>
                </c:pt>
                <c:pt idx="3307">
                  <c:v>62170</c:v>
                </c:pt>
                <c:pt idx="3308">
                  <c:v>62177</c:v>
                </c:pt>
                <c:pt idx="3309">
                  <c:v>62186</c:v>
                </c:pt>
                <c:pt idx="3310">
                  <c:v>62193</c:v>
                </c:pt>
                <c:pt idx="3311">
                  <c:v>62200</c:v>
                </c:pt>
                <c:pt idx="3312">
                  <c:v>62207</c:v>
                </c:pt>
                <c:pt idx="3313">
                  <c:v>62214</c:v>
                </c:pt>
                <c:pt idx="3314">
                  <c:v>62221</c:v>
                </c:pt>
                <c:pt idx="3315">
                  <c:v>62228</c:v>
                </c:pt>
                <c:pt idx="3316">
                  <c:v>62235</c:v>
                </c:pt>
                <c:pt idx="3317">
                  <c:v>62242</c:v>
                </c:pt>
                <c:pt idx="3318">
                  <c:v>62249</c:v>
                </c:pt>
                <c:pt idx="3319">
                  <c:v>62256</c:v>
                </c:pt>
                <c:pt idx="3320">
                  <c:v>62263</c:v>
                </c:pt>
                <c:pt idx="3321">
                  <c:v>62270</c:v>
                </c:pt>
                <c:pt idx="3322">
                  <c:v>62277</c:v>
                </c:pt>
                <c:pt idx="3323">
                  <c:v>62284</c:v>
                </c:pt>
                <c:pt idx="3324">
                  <c:v>62291</c:v>
                </c:pt>
                <c:pt idx="3325">
                  <c:v>62298</c:v>
                </c:pt>
                <c:pt idx="3326">
                  <c:v>62305</c:v>
                </c:pt>
                <c:pt idx="3327">
                  <c:v>62312</c:v>
                </c:pt>
                <c:pt idx="3328">
                  <c:v>62319</c:v>
                </c:pt>
                <c:pt idx="3329">
                  <c:v>62326</c:v>
                </c:pt>
                <c:pt idx="3330">
                  <c:v>62333</c:v>
                </c:pt>
                <c:pt idx="3331">
                  <c:v>62340</c:v>
                </c:pt>
                <c:pt idx="3332">
                  <c:v>62347</c:v>
                </c:pt>
                <c:pt idx="3333">
                  <c:v>62354</c:v>
                </c:pt>
                <c:pt idx="3334">
                  <c:v>62361</c:v>
                </c:pt>
                <c:pt idx="3335">
                  <c:v>62368</c:v>
                </c:pt>
                <c:pt idx="3336">
                  <c:v>62375</c:v>
                </c:pt>
                <c:pt idx="3337">
                  <c:v>62382</c:v>
                </c:pt>
                <c:pt idx="3338">
                  <c:v>62389</c:v>
                </c:pt>
                <c:pt idx="3339">
                  <c:v>62396</c:v>
                </c:pt>
                <c:pt idx="3340">
                  <c:v>62403</c:v>
                </c:pt>
                <c:pt idx="3341">
                  <c:v>62410</c:v>
                </c:pt>
                <c:pt idx="3342">
                  <c:v>62417</c:v>
                </c:pt>
                <c:pt idx="3343">
                  <c:v>62425</c:v>
                </c:pt>
                <c:pt idx="3344">
                  <c:v>62431</c:v>
                </c:pt>
                <c:pt idx="3345">
                  <c:v>62438</c:v>
                </c:pt>
                <c:pt idx="3346">
                  <c:v>62445</c:v>
                </c:pt>
                <c:pt idx="3347">
                  <c:v>62456</c:v>
                </c:pt>
                <c:pt idx="3348">
                  <c:v>62460</c:v>
                </c:pt>
                <c:pt idx="3349">
                  <c:v>62466</c:v>
                </c:pt>
                <c:pt idx="3350">
                  <c:v>62473</c:v>
                </c:pt>
                <c:pt idx="3351">
                  <c:v>62480</c:v>
                </c:pt>
                <c:pt idx="3352">
                  <c:v>62487</c:v>
                </c:pt>
                <c:pt idx="3353">
                  <c:v>62494</c:v>
                </c:pt>
                <c:pt idx="3354">
                  <c:v>62501</c:v>
                </c:pt>
                <c:pt idx="3355">
                  <c:v>62508</c:v>
                </c:pt>
                <c:pt idx="3356">
                  <c:v>62515</c:v>
                </c:pt>
                <c:pt idx="3357">
                  <c:v>62522</c:v>
                </c:pt>
                <c:pt idx="3358">
                  <c:v>62529</c:v>
                </c:pt>
                <c:pt idx="3359">
                  <c:v>62536</c:v>
                </c:pt>
                <c:pt idx="3360">
                  <c:v>62543</c:v>
                </c:pt>
                <c:pt idx="3361">
                  <c:v>62550</c:v>
                </c:pt>
                <c:pt idx="3362">
                  <c:v>62557</c:v>
                </c:pt>
                <c:pt idx="3363">
                  <c:v>62564</c:v>
                </c:pt>
                <c:pt idx="3364">
                  <c:v>62571</c:v>
                </c:pt>
                <c:pt idx="3365">
                  <c:v>62578</c:v>
                </c:pt>
                <c:pt idx="3366">
                  <c:v>62585</c:v>
                </c:pt>
                <c:pt idx="3367">
                  <c:v>62592</c:v>
                </c:pt>
                <c:pt idx="3368">
                  <c:v>62599</c:v>
                </c:pt>
                <c:pt idx="3369">
                  <c:v>62606</c:v>
                </c:pt>
                <c:pt idx="3370">
                  <c:v>62613</c:v>
                </c:pt>
                <c:pt idx="3371">
                  <c:v>62620</c:v>
                </c:pt>
                <c:pt idx="3372">
                  <c:v>62627</c:v>
                </c:pt>
                <c:pt idx="3373">
                  <c:v>62634</c:v>
                </c:pt>
                <c:pt idx="3374">
                  <c:v>62641</c:v>
                </c:pt>
                <c:pt idx="3375">
                  <c:v>62648</c:v>
                </c:pt>
                <c:pt idx="3376">
                  <c:v>62655</c:v>
                </c:pt>
                <c:pt idx="3377">
                  <c:v>62662</c:v>
                </c:pt>
                <c:pt idx="3378">
                  <c:v>62669</c:v>
                </c:pt>
                <c:pt idx="3379">
                  <c:v>62676</c:v>
                </c:pt>
                <c:pt idx="3380">
                  <c:v>62683</c:v>
                </c:pt>
                <c:pt idx="3381">
                  <c:v>62690</c:v>
                </c:pt>
                <c:pt idx="3382">
                  <c:v>62697</c:v>
                </c:pt>
                <c:pt idx="3383">
                  <c:v>62704</c:v>
                </c:pt>
                <c:pt idx="3384">
                  <c:v>62711</c:v>
                </c:pt>
                <c:pt idx="3385">
                  <c:v>62718</c:v>
                </c:pt>
                <c:pt idx="3386">
                  <c:v>62725</c:v>
                </c:pt>
                <c:pt idx="3387">
                  <c:v>62732</c:v>
                </c:pt>
                <c:pt idx="3388">
                  <c:v>62739</c:v>
                </c:pt>
                <c:pt idx="3389">
                  <c:v>62746</c:v>
                </c:pt>
                <c:pt idx="3390">
                  <c:v>62753</c:v>
                </c:pt>
                <c:pt idx="3391">
                  <c:v>62760</c:v>
                </c:pt>
                <c:pt idx="3392">
                  <c:v>62767</c:v>
                </c:pt>
                <c:pt idx="3393">
                  <c:v>62774</c:v>
                </c:pt>
                <c:pt idx="3394">
                  <c:v>62781</c:v>
                </c:pt>
                <c:pt idx="3395">
                  <c:v>62789</c:v>
                </c:pt>
                <c:pt idx="3396">
                  <c:v>62795</c:v>
                </c:pt>
                <c:pt idx="3397">
                  <c:v>62802</c:v>
                </c:pt>
                <c:pt idx="3398">
                  <c:v>62809</c:v>
                </c:pt>
                <c:pt idx="3399">
                  <c:v>62816</c:v>
                </c:pt>
                <c:pt idx="3400">
                  <c:v>62823</c:v>
                </c:pt>
                <c:pt idx="3401">
                  <c:v>62830</c:v>
                </c:pt>
                <c:pt idx="3402">
                  <c:v>62837</c:v>
                </c:pt>
                <c:pt idx="3403">
                  <c:v>62844</c:v>
                </c:pt>
                <c:pt idx="3404">
                  <c:v>62851</c:v>
                </c:pt>
                <c:pt idx="3405">
                  <c:v>62858</c:v>
                </c:pt>
                <c:pt idx="3406">
                  <c:v>62865</c:v>
                </c:pt>
                <c:pt idx="3407">
                  <c:v>62872</c:v>
                </c:pt>
                <c:pt idx="3408">
                  <c:v>62879</c:v>
                </c:pt>
                <c:pt idx="3409">
                  <c:v>62886</c:v>
                </c:pt>
                <c:pt idx="3410">
                  <c:v>62893</c:v>
                </c:pt>
                <c:pt idx="3411">
                  <c:v>62900</c:v>
                </c:pt>
                <c:pt idx="3412">
                  <c:v>62907</c:v>
                </c:pt>
                <c:pt idx="3413">
                  <c:v>62914</c:v>
                </c:pt>
                <c:pt idx="3414">
                  <c:v>62921</c:v>
                </c:pt>
                <c:pt idx="3415">
                  <c:v>62928</c:v>
                </c:pt>
                <c:pt idx="3416">
                  <c:v>62935</c:v>
                </c:pt>
                <c:pt idx="3417">
                  <c:v>62942</c:v>
                </c:pt>
                <c:pt idx="3418">
                  <c:v>62949</c:v>
                </c:pt>
                <c:pt idx="3419">
                  <c:v>62956</c:v>
                </c:pt>
                <c:pt idx="3420">
                  <c:v>62963</c:v>
                </c:pt>
                <c:pt idx="3421">
                  <c:v>62970</c:v>
                </c:pt>
                <c:pt idx="3422">
                  <c:v>62977</c:v>
                </c:pt>
                <c:pt idx="3423">
                  <c:v>62984</c:v>
                </c:pt>
                <c:pt idx="3424">
                  <c:v>62991</c:v>
                </c:pt>
                <c:pt idx="3425">
                  <c:v>62998</c:v>
                </c:pt>
                <c:pt idx="3426">
                  <c:v>63005</c:v>
                </c:pt>
                <c:pt idx="3427">
                  <c:v>63012</c:v>
                </c:pt>
                <c:pt idx="3428">
                  <c:v>63019</c:v>
                </c:pt>
                <c:pt idx="3429">
                  <c:v>63026</c:v>
                </c:pt>
                <c:pt idx="3430">
                  <c:v>63033</c:v>
                </c:pt>
                <c:pt idx="3431">
                  <c:v>63040</c:v>
                </c:pt>
                <c:pt idx="3432">
                  <c:v>63047</c:v>
                </c:pt>
                <c:pt idx="3433">
                  <c:v>63054</c:v>
                </c:pt>
                <c:pt idx="3434">
                  <c:v>63061</c:v>
                </c:pt>
                <c:pt idx="3435">
                  <c:v>63068</c:v>
                </c:pt>
                <c:pt idx="3436">
                  <c:v>63075</c:v>
                </c:pt>
                <c:pt idx="3437">
                  <c:v>63082</c:v>
                </c:pt>
                <c:pt idx="3438">
                  <c:v>63089</c:v>
                </c:pt>
                <c:pt idx="3439">
                  <c:v>63096</c:v>
                </c:pt>
                <c:pt idx="3440">
                  <c:v>63103</c:v>
                </c:pt>
                <c:pt idx="3441">
                  <c:v>63110</c:v>
                </c:pt>
                <c:pt idx="3442">
                  <c:v>63117</c:v>
                </c:pt>
                <c:pt idx="3443">
                  <c:v>63124</c:v>
                </c:pt>
                <c:pt idx="3444">
                  <c:v>63131</c:v>
                </c:pt>
                <c:pt idx="3445">
                  <c:v>63138</c:v>
                </c:pt>
                <c:pt idx="3446">
                  <c:v>63145</c:v>
                </c:pt>
                <c:pt idx="3447">
                  <c:v>63153</c:v>
                </c:pt>
                <c:pt idx="3448">
                  <c:v>63159</c:v>
                </c:pt>
                <c:pt idx="3449">
                  <c:v>63166</c:v>
                </c:pt>
                <c:pt idx="3450">
                  <c:v>63173</c:v>
                </c:pt>
                <c:pt idx="3451">
                  <c:v>63180</c:v>
                </c:pt>
                <c:pt idx="3452">
                  <c:v>63188</c:v>
                </c:pt>
                <c:pt idx="3453">
                  <c:v>63195</c:v>
                </c:pt>
                <c:pt idx="3454">
                  <c:v>63202</c:v>
                </c:pt>
                <c:pt idx="3455">
                  <c:v>63209</c:v>
                </c:pt>
                <c:pt idx="3456">
                  <c:v>63216</c:v>
                </c:pt>
                <c:pt idx="3457">
                  <c:v>63223</c:v>
                </c:pt>
                <c:pt idx="3458">
                  <c:v>63230</c:v>
                </c:pt>
                <c:pt idx="3459">
                  <c:v>63237</c:v>
                </c:pt>
                <c:pt idx="3460">
                  <c:v>63244</c:v>
                </c:pt>
                <c:pt idx="3461">
                  <c:v>63251</c:v>
                </c:pt>
                <c:pt idx="3462">
                  <c:v>63258</c:v>
                </c:pt>
                <c:pt idx="3463">
                  <c:v>63265</c:v>
                </c:pt>
                <c:pt idx="3464">
                  <c:v>63276</c:v>
                </c:pt>
                <c:pt idx="3465">
                  <c:v>63279</c:v>
                </c:pt>
                <c:pt idx="3466">
                  <c:v>63286</c:v>
                </c:pt>
                <c:pt idx="3467">
                  <c:v>63293</c:v>
                </c:pt>
                <c:pt idx="3468">
                  <c:v>63300</c:v>
                </c:pt>
                <c:pt idx="3469">
                  <c:v>63307</c:v>
                </c:pt>
                <c:pt idx="3470">
                  <c:v>63314</c:v>
                </c:pt>
                <c:pt idx="3471">
                  <c:v>63321</c:v>
                </c:pt>
                <c:pt idx="3472">
                  <c:v>63328</c:v>
                </c:pt>
                <c:pt idx="3473">
                  <c:v>63335</c:v>
                </c:pt>
                <c:pt idx="3474">
                  <c:v>63342</c:v>
                </c:pt>
                <c:pt idx="3475">
                  <c:v>63349</c:v>
                </c:pt>
                <c:pt idx="3476">
                  <c:v>63356</c:v>
                </c:pt>
                <c:pt idx="3477">
                  <c:v>63363</c:v>
                </c:pt>
                <c:pt idx="3478">
                  <c:v>63370</c:v>
                </c:pt>
                <c:pt idx="3479">
                  <c:v>63377</c:v>
                </c:pt>
                <c:pt idx="3480">
                  <c:v>63384</c:v>
                </c:pt>
                <c:pt idx="3481">
                  <c:v>63391</c:v>
                </c:pt>
                <c:pt idx="3482">
                  <c:v>63398</c:v>
                </c:pt>
                <c:pt idx="3483">
                  <c:v>63405</c:v>
                </c:pt>
                <c:pt idx="3484">
                  <c:v>63412</c:v>
                </c:pt>
                <c:pt idx="3485">
                  <c:v>63419</c:v>
                </c:pt>
                <c:pt idx="3486">
                  <c:v>63426</c:v>
                </c:pt>
                <c:pt idx="3487">
                  <c:v>63433</c:v>
                </c:pt>
                <c:pt idx="3488">
                  <c:v>63440</c:v>
                </c:pt>
                <c:pt idx="3489">
                  <c:v>63447</c:v>
                </c:pt>
                <c:pt idx="3490">
                  <c:v>63454</c:v>
                </c:pt>
                <c:pt idx="3491">
                  <c:v>63461</c:v>
                </c:pt>
                <c:pt idx="3492">
                  <c:v>63468</c:v>
                </c:pt>
                <c:pt idx="3493">
                  <c:v>63475</c:v>
                </c:pt>
                <c:pt idx="3494">
                  <c:v>63482</c:v>
                </c:pt>
                <c:pt idx="3495">
                  <c:v>63489</c:v>
                </c:pt>
                <c:pt idx="3496">
                  <c:v>63496</c:v>
                </c:pt>
                <c:pt idx="3497">
                  <c:v>63506</c:v>
                </c:pt>
                <c:pt idx="3498">
                  <c:v>63510</c:v>
                </c:pt>
                <c:pt idx="3499">
                  <c:v>63517</c:v>
                </c:pt>
                <c:pt idx="3500">
                  <c:v>63524</c:v>
                </c:pt>
                <c:pt idx="3501">
                  <c:v>63531</c:v>
                </c:pt>
                <c:pt idx="3502">
                  <c:v>63538</c:v>
                </c:pt>
                <c:pt idx="3503">
                  <c:v>63545</c:v>
                </c:pt>
                <c:pt idx="3504">
                  <c:v>63552</c:v>
                </c:pt>
                <c:pt idx="3505">
                  <c:v>63559</c:v>
                </c:pt>
                <c:pt idx="3506">
                  <c:v>63566</c:v>
                </c:pt>
                <c:pt idx="3507">
                  <c:v>63573</c:v>
                </c:pt>
                <c:pt idx="3508">
                  <c:v>63580</c:v>
                </c:pt>
                <c:pt idx="3509">
                  <c:v>63587</c:v>
                </c:pt>
                <c:pt idx="3510">
                  <c:v>63594</c:v>
                </c:pt>
                <c:pt idx="3511">
                  <c:v>63601</c:v>
                </c:pt>
                <c:pt idx="3512">
                  <c:v>63608</c:v>
                </c:pt>
                <c:pt idx="3513">
                  <c:v>63615</c:v>
                </c:pt>
                <c:pt idx="3514">
                  <c:v>63622</c:v>
                </c:pt>
                <c:pt idx="3515">
                  <c:v>63629</c:v>
                </c:pt>
                <c:pt idx="3516">
                  <c:v>63636</c:v>
                </c:pt>
                <c:pt idx="3517">
                  <c:v>63643</c:v>
                </c:pt>
                <c:pt idx="3518">
                  <c:v>63650</c:v>
                </c:pt>
                <c:pt idx="3519">
                  <c:v>63661</c:v>
                </c:pt>
                <c:pt idx="3520">
                  <c:v>63664</c:v>
                </c:pt>
                <c:pt idx="3521">
                  <c:v>63671</c:v>
                </c:pt>
                <c:pt idx="3522">
                  <c:v>63678</c:v>
                </c:pt>
                <c:pt idx="3523">
                  <c:v>63685</c:v>
                </c:pt>
                <c:pt idx="3524">
                  <c:v>63692</c:v>
                </c:pt>
                <c:pt idx="3525">
                  <c:v>63699</c:v>
                </c:pt>
                <c:pt idx="3526">
                  <c:v>63706</c:v>
                </c:pt>
                <c:pt idx="3527">
                  <c:v>63713</c:v>
                </c:pt>
                <c:pt idx="3528">
                  <c:v>63720</c:v>
                </c:pt>
                <c:pt idx="3529">
                  <c:v>63727</c:v>
                </c:pt>
                <c:pt idx="3530">
                  <c:v>63734</c:v>
                </c:pt>
                <c:pt idx="3531">
                  <c:v>63741</c:v>
                </c:pt>
                <c:pt idx="3532">
                  <c:v>63748</c:v>
                </c:pt>
                <c:pt idx="3533">
                  <c:v>63755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2.261670415588668E-3</c:v>
                </c:pt>
                <c:pt idx="1">
                  <c:v>2.261670415588668E-3</c:v>
                </c:pt>
                <c:pt idx="2">
                  <c:v>2.2624425610562326E-3</c:v>
                </c:pt>
                <c:pt idx="3">
                  <c:v>2.2648590402862823E-3</c:v>
                </c:pt>
                <c:pt idx="4">
                  <c:v>2.2680527213925217E-3</c:v>
                </c:pt>
                <c:pt idx="5">
                  <c:v>2.2697983351260831E-3</c:v>
                </c:pt>
                <c:pt idx="6">
                  <c:v>2.2714878896223922E-3</c:v>
                </c:pt>
                <c:pt idx="7">
                  <c:v>2.2731213849613852E-3</c:v>
                </c:pt>
                <c:pt idx="8">
                  <c:v>2.2762159036027185E-3</c:v>
                </c:pt>
                <c:pt idx="9">
                  <c:v>2.2790947743445145E-3</c:v>
                </c:pt>
                <c:pt idx="10">
                  <c:v>2.2804479736571182E-3</c:v>
                </c:pt>
                <c:pt idx="11">
                  <c:v>2.2817451138923417E-3</c:v>
                </c:pt>
                <c:pt idx="12">
                  <c:v>2.2829861948103769E-3</c:v>
                </c:pt>
                <c:pt idx="13">
                  <c:v>2.2852959997443634E-3</c:v>
                </c:pt>
                <c:pt idx="14">
                  <c:v>2.2873899265896114E-3</c:v>
                </c:pt>
                <c:pt idx="15">
                  <c:v>2.2883507116411295E-3</c:v>
                </c:pt>
                <c:pt idx="16">
                  <c:v>2.2892554373754592E-3</c:v>
                </c:pt>
                <c:pt idx="17">
                  <c:v>2.2901041039524728E-3</c:v>
                </c:pt>
                <c:pt idx="18">
                  <c:v>2.2916291605934447E-3</c:v>
                </c:pt>
                <c:pt idx="19">
                  <c:v>2.2929381782077485E-3</c:v>
                </c:pt>
                <c:pt idx="20">
                  <c:v>2.2935065486784367E-3</c:v>
                </c:pt>
                <c:pt idx="21">
                  <c:v>2.2940188600717448E-3</c:v>
                </c:pt>
                <c:pt idx="22">
                  <c:v>2.2944675383662627E-3</c:v>
                </c:pt>
                <c:pt idx="23">
                  <c:v>2.295056332046741E-3</c:v>
                </c:pt>
                <c:pt idx="24">
                  <c:v>2.2952775216467103E-3</c:v>
                </c:pt>
                <c:pt idx="25">
                  <c:v>2.2952262611308782E-3</c:v>
                </c:pt>
                <c:pt idx="26">
                  <c:v>2.2950734980486942E-3</c:v>
                </c:pt>
                <c:pt idx="27">
                  <c:v>2.2948192325600303E-3</c:v>
                </c:pt>
                <c:pt idx="28">
                  <c:v>2.2939869771487764E-3</c:v>
                </c:pt>
                <c:pt idx="29">
                  <c:v>2.2927871449418546E-3</c:v>
                </c:pt>
                <c:pt idx="30">
                  <c:v>2.2920253667013668E-3</c:v>
                </c:pt>
                <c:pt idx="31">
                  <c:v>2.291162085974463E-3</c:v>
                </c:pt>
                <c:pt idx="32">
                  <c:v>2.2901973026812072E-3</c:v>
                </c:pt>
                <c:pt idx="33">
                  <c:v>2.2879439350287356E-3</c:v>
                </c:pt>
                <c:pt idx="34">
                  <c:v>2.2853231443242805E-3</c:v>
                </c:pt>
                <c:pt idx="35">
                  <c:v>2.2838508484390729E-3</c:v>
                </c:pt>
                <c:pt idx="36">
                  <c:v>2.2806017490495378E-3</c:v>
                </c:pt>
                <c:pt idx="37">
                  <c:v>2.2759275664885337E-3</c:v>
                </c:pt>
                <c:pt idx="38">
                  <c:v>2.2707027065838048E-3</c:v>
                </c:pt>
                <c:pt idx="39">
                  <c:v>2.2684183906473976E-3</c:v>
                </c:pt>
                <c:pt idx="40">
                  <c:v>2.2660325720647023E-3</c:v>
                </c:pt>
                <c:pt idx="41">
                  <c:v>2.2660325720647023E-3</c:v>
                </c:pt>
                <c:pt idx="42">
                  <c:v>2.2609367926662571E-3</c:v>
                </c:pt>
                <c:pt idx="43">
                  <c:v>2.2555980220406724E-3</c:v>
                </c:pt>
                <c:pt idx="44">
                  <c:v>2.2534471859714245E-3</c:v>
                </c:pt>
                <c:pt idx="45">
                  <c:v>2.2519373423612876E-3</c:v>
                </c:pt>
                <c:pt idx="46">
                  <c:v>2.2510684912901979E-3</c:v>
                </c:pt>
                <c:pt idx="47">
                  <c:v>2.251481511521547E-3</c:v>
                </c:pt>
                <c:pt idx="48">
                  <c:v>2.254003011517014E-3</c:v>
                </c:pt>
                <c:pt idx="49">
                  <c:v>2.2563391228214158E-3</c:v>
                </c:pt>
                <c:pt idx="50">
                  <c:v>2.2593162265849287E-3</c:v>
                </c:pt>
                <c:pt idx="51">
                  <c:v>2.2629343228075527E-3</c:v>
                </c:pt>
                <c:pt idx="52">
                  <c:v>2.2723214998965346E-3</c:v>
                </c:pt>
                <c:pt idx="53">
                  <c:v>2.2838166334882004E-3</c:v>
                </c:pt>
                <c:pt idx="54">
                  <c:v>2.2906396926458683E-3</c:v>
                </c:pt>
                <c:pt idx="55">
                  <c:v>2.2981037445024555E-3</c:v>
                </c:pt>
                <c:pt idx="56">
                  <c:v>2.3062087890579619E-3</c:v>
                </c:pt>
                <c:pt idx="57">
                  <c:v>2.3245705307317621E-3</c:v>
                </c:pt>
                <c:pt idx="58">
                  <c:v>2.3450388955481571E-3</c:v>
                </c:pt>
                <c:pt idx="59">
                  <c:v>2.3563489043976205E-3</c:v>
                </c:pt>
                <c:pt idx="60">
                  <c:v>2.3682999064256194E-3</c:v>
                </c:pt>
                <c:pt idx="61">
                  <c:v>2.3808919013923457E-3</c:v>
                </c:pt>
                <c:pt idx="62">
                  <c:v>2.4082286449811363E-3</c:v>
                </c:pt>
                <c:pt idx="63">
                  <c:v>2.4376698138439679E-3</c:v>
                </c:pt>
                <c:pt idx="64">
                  <c:v>2.4529628323755048E-3</c:v>
                </c:pt>
                <c:pt idx="65">
                  <c:v>2.4663771287691816E-3</c:v>
                </c:pt>
                <c:pt idx="66">
                  <c:v>2.4774087598977701E-3</c:v>
                </c:pt>
                <c:pt idx="67">
                  <c:v>2.4931004067196838E-3</c:v>
                </c:pt>
                <c:pt idx="68">
                  <c:v>2.4968269287306555E-3</c:v>
                </c:pt>
                <c:pt idx="69">
                  <c:v>2.4935625645916559E-3</c:v>
                </c:pt>
                <c:pt idx="70">
                  <c:v>2.4883437977329947E-3</c:v>
                </c:pt>
                <c:pt idx="71">
                  <c:v>2.4883437977329947E-3</c:v>
                </c:pt>
                <c:pt idx="72">
                  <c:v>2.4776898334621933E-3</c:v>
                </c:pt>
                <c:pt idx="73">
                  <c:v>2.4676248076893614E-3</c:v>
                </c:pt>
                <c:pt idx="74">
                  <c:v>2.462912342631185E-3</c:v>
                </c:pt>
                <c:pt idx="75">
                  <c:v>2.458386790458178E-3</c:v>
                </c:pt>
                <c:pt idx="76">
                  <c:v>2.4540481513302126E-3</c:v>
                </c:pt>
                <c:pt idx="77">
                  <c:v>2.4460105353973915E-3</c:v>
                </c:pt>
                <c:pt idx="78">
                  <c:v>2.4385627242295982E-3</c:v>
                </c:pt>
                <c:pt idx="79">
                  <c:v>2.4351586497672884E-3</c:v>
                </c:pt>
                <c:pt idx="80">
                  <c:v>2.4319414882700841E-3</c:v>
                </c:pt>
                <c:pt idx="81">
                  <c:v>2.4289112396580492E-3</c:v>
                </c:pt>
                <c:pt idx="82">
                  <c:v>2.4234901000141917E-3</c:v>
                </c:pt>
                <c:pt idx="83">
                  <c:v>2.4186593743014129E-3</c:v>
                </c:pt>
                <c:pt idx="84">
                  <c:v>2.4165636901951615E-3</c:v>
                </c:pt>
                <c:pt idx="85">
                  <c:v>2.4146549190540156E-3</c:v>
                </c:pt>
                <c:pt idx="86">
                  <c:v>2.4129330607181032E-3</c:v>
                </c:pt>
                <c:pt idx="87">
                  <c:v>2.4101285222233315E-3</c:v>
                </c:pt>
                <c:pt idx="88">
                  <c:v>2.4075291596314941E-3</c:v>
                </c:pt>
                <c:pt idx="89">
                  <c:v>2.4065270814510598E-3</c:v>
                </c:pt>
                <c:pt idx="90">
                  <c:v>2.4061136133113337E-3</c:v>
                </c:pt>
                <c:pt idx="91">
                  <c:v>2.4059257989073046E-3</c:v>
                </c:pt>
                <c:pt idx="92">
                  <c:v>2.4059257989073046E-3</c:v>
                </c:pt>
                <c:pt idx="93">
                  <c:v>2.4063288696041241E-3</c:v>
                </c:pt>
                <c:pt idx="94">
                  <c:v>2.4068499658103093E-3</c:v>
                </c:pt>
                <c:pt idx="95">
                  <c:v>2.4075579749816001E-3</c:v>
                </c:pt>
                <c:pt idx="96">
                  <c:v>2.4084528969581243E-3</c:v>
                </c:pt>
                <c:pt idx="97">
                  <c:v>2.4108819291601691E-3</c:v>
                </c:pt>
                <c:pt idx="98">
                  <c:v>2.4139017137958518E-3</c:v>
                </c:pt>
                <c:pt idx="99">
                  <c:v>2.4157312002781595E-3</c:v>
                </c:pt>
                <c:pt idx="100">
                  <c:v>2.4188573818317849E-3</c:v>
                </c:pt>
                <c:pt idx="101">
                  <c:v>2.4249969140743843E-3</c:v>
                </c:pt>
                <c:pt idx="102">
                  <c:v>2.4306332896806282E-3</c:v>
                </c:pt>
                <c:pt idx="103">
                  <c:v>2.4337711664390582E-3</c:v>
                </c:pt>
                <c:pt idx="104">
                  <c:v>2.4337711664390582E-3</c:v>
                </c:pt>
                <c:pt idx="105">
                  <c:v>2.4370959560826577E-3</c:v>
                </c:pt>
                <c:pt idx="106">
                  <c:v>2.4406076586913628E-3</c:v>
                </c:pt>
                <c:pt idx="107">
                  <c:v>2.4482707569006834E-3</c:v>
                </c:pt>
                <c:pt idx="108">
                  <c:v>2.456523598457494E-3</c:v>
                </c:pt>
                <c:pt idx="109">
                  <c:v>2.4609698657318546E-3</c:v>
                </c:pt>
                <c:pt idx="110">
                  <c:v>2.4656030460512568E-3</c:v>
                </c:pt>
                <c:pt idx="111">
                  <c:v>2.4704231392558285E-3</c:v>
                </c:pt>
                <c:pt idx="112">
                  <c:v>2.4807034629414915E-3</c:v>
                </c:pt>
                <c:pt idx="113">
                  <c:v>2.4915726421248507E-3</c:v>
                </c:pt>
                <c:pt idx="114">
                  <c:v>2.4973273003148222E-3</c:v>
                </c:pt>
                <c:pt idx="115">
                  <c:v>2.5032422187099002E-3</c:v>
                </c:pt>
                <c:pt idx="116">
                  <c:v>2.5092107861102164E-3</c:v>
                </c:pt>
                <c:pt idx="117">
                  <c:v>2.5212555656040081E-3</c:v>
                </c:pt>
                <c:pt idx="118">
                  <c:v>2.5333550176842579E-3</c:v>
                </c:pt>
                <c:pt idx="119">
                  <c:v>2.5394585660709623E-3</c:v>
                </c:pt>
                <c:pt idx="120">
                  <c:v>2.5486769028049139E-3</c:v>
                </c:pt>
                <c:pt idx="121">
                  <c:v>2.56416998378306E-3</c:v>
                </c:pt>
                <c:pt idx="122">
                  <c:v>2.576646776422109E-3</c:v>
                </c:pt>
                <c:pt idx="123">
                  <c:v>2.5924414075850777E-3</c:v>
                </c:pt>
                <c:pt idx="124">
                  <c:v>2.6084072452370322E-3</c:v>
                </c:pt>
                <c:pt idx="125">
                  <c:v>2.6212613492582193E-3</c:v>
                </c:pt>
                <c:pt idx="126">
                  <c:v>2.6277428444387851E-3</c:v>
                </c:pt>
                <c:pt idx="127">
                  <c:v>2.6342513358645903E-3</c:v>
                </c:pt>
                <c:pt idx="128">
                  <c:v>2.6407868236155707E-3</c:v>
                </c:pt>
                <c:pt idx="129">
                  <c:v>2.6539673514314188E-3</c:v>
                </c:pt>
                <c:pt idx="130">
                  <c:v>2.6671987365123329E-3</c:v>
                </c:pt>
                <c:pt idx="131">
                  <c:v>2.6738692052497015E-3</c:v>
                </c:pt>
                <c:pt idx="132">
                  <c:v>2.6805666702323094E-3</c:v>
                </c:pt>
                <c:pt idx="133">
                  <c:v>2.6872911314601566E-3</c:v>
                </c:pt>
                <c:pt idx="134">
                  <c:v>2.7042677362021372E-3</c:v>
                </c:pt>
                <c:pt idx="135">
                  <c:v>2.7213183811181096E-3</c:v>
                </c:pt>
                <c:pt idx="136">
                  <c:v>2.7282048197374564E-3</c:v>
                </c:pt>
                <c:pt idx="137">
                  <c:v>2.7351182546020425E-3</c:v>
                </c:pt>
                <c:pt idx="138">
                  <c:v>2.7351182546020425E-3</c:v>
                </c:pt>
                <c:pt idx="139">
                  <c:v>2.7490561040366401E-3</c:v>
                </c:pt>
                <c:pt idx="140">
                  <c:v>2.7630419565127795E-3</c:v>
                </c:pt>
                <c:pt idx="141">
                  <c:v>2.7700903726035619E-3</c:v>
                </c:pt>
                <c:pt idx="142">
                  <c:v>2.7771657849395837E-3</c:v>
                </c:pt>
                <c:pt idx="143">
                  <c:v>2.7842681935208446E-3</c:v>
                </c:pt>
                <c:pt idx="144">
                  <c:v>2.7985847535916264E-3</c:v>
                </c:pt>
                <c:pt idx="145">
                  <c:v>2.8129477902982813E-3</c:v>
                </c:pt>
                <c:pt idx="146">
                  <c:v>2.8201851801856748E-3</c:v>
                </c:pt>
                <c:pt idx="147">
                  <c:v>2.8274495663183075E-3</c:v>
                </c:pt>
                <c:pt idx="148">
                  <c:v>2.8347409486961794E-3</c:v>
                </c:pt>
                <c:pt idx="149">
                  <c:v>2.8494362541486851E-3</c:v>
                </c:pt>
                <c:pt idx="150">
                  <c:v>2.8641764408199322E-3</c:v>
                </c:pt>
                <c:pt idx="151">
                  <c:v>2.8716028044240005E-3</c:v>
                </c:pt>
                <c:pt idx="152">
                  <c:v>2.8790561644331802E-3</c:v>
                </c:pt>
                <c:pt idx="153">
                  <c:v>2.8865365206875992E-3</c:v>
                </c:pt>
                <c:pt idx="154">
                  <c:v>2.9054075643553112E-3</c:v>
                </c:pt>
                <c:pt idx="155">
                  <c:v>2.9243432460379637E-3</c:v>
                </c:pt>
                <c:pt idx="156">
                  <c:v>2.9319855799236905E-3</c:v>
                </c:pt>
                <c:pt idx="157">
                  <c:v>2.9396549101345926E-3</c:v>
                </c:pt>
                <c:pt idx="158">
                  <c:v>2.9396549101345926E-3</c:v>
                </c:pt>
                <c:pt idx="159">
                  <c:v>2.9551078151168753E-3</c:v>
                </c:pt>
                <c:pt idx="160">
                  <c:v>2.970602193750338E-3</c:v>
                </c:pt>
                <c:pt idx="161">
                  <c:v>2.9784065054272446E-3</c:v>
                </c:pt>
                <c:pt idx="162">
                  <c:v>2.9862378133493905E-3</c:v>
                </c:pt>
                <c:pt idx="163">
                  <c:v>2.9940961175167757E-3</c:v>
                </c:pt>
                <c:pt idx="164">
                  <c:v>3.009927879018548E-3</c:v>
                </c:pt>
                <c:pt idx="165">
                  <c:v>3.0257992975180059E-3</c:v>
                </c:pt>
                <c:pt idx="166">
                  <c:v>3.0337925832313317E-3</c:v>
                </c:pt>
                <c:pt idx="167">
                  <c:v>3.0418128651898968E-3</c:v>
                </c:pt>
                <c:pt idx="168">
                  <c:v>3.0498601436335093E-3</c:v>
                </c:pt>
                <c:pt idx="169">
                  <c:v>3.0660708008767301E-3</c:v>
                </c:pt>
                <c:pt idx="170">
                  <c:v>3.0823192201800964E-3</c:v>
                </c:pt>
                <c:pt idx="171">
                  <c:v>3.0905014800897135E-3</c:v>
                </c:pt>
                <c:pt idx="172">
                  <c:v>3.0987107363245059E-3</c:v>
                </c:pt>
                <c:pt idx="173">
                  <c:v>3.1069469888844736E-3</c:v>
                </c:pt>
                <c:pt idx="174">
                  <c:v>3.1235365826365324E-3</c:v>
                </c:pt>
                <c:pt idx="175">
                  <c:v>3.1401619623760979E-3</c:v>
                </c:pt>
                <c:pt idx="176">
                  <c:v>3.1485511810558364E-3</c:v>
                </c:pt>
                <c:pt idx="177">
                  <c:v>3.157057318690093E-3</c:v>
                </c:pt>
                <c:pt idx="178">
                  <c:v>3.1656983596928256E-3</c:v>
                </c:pt>
                <c:pt idx="179">
                  <c:v>3.1834582703282877E-3</c:v>
                </c:pt>
                <c:pt idx="180">
                  <c:v>3.2016115578681337E-3</c:v>
                </c:pt>
                <c:pt idx="181">
                  <c:v>3.210927115953055E-3</c:v>
                </c:pt>
                <c:pt idx="182">
                  <c:v>3.2203775775663246E-3</c:v>
                </c:pt>
                <c:pt idx="183">
                  <c:v>3.2299629426280063E-3</c:v>
                </c:pt>
                <c:pt idx="184">
                  <c:v>3.249612683795533E-3</c:v>
                </c:pt>
                <c:pt idx="185">
                  <c:v>3.2696534378384712E-3</c:v>
                </c:pt>
                <c:pt idx="186">
                  <c:v>3.2799133203820219E-3</c:v>
                </c:pt>
                <c:pt idx="187">
                  <c:v>3.2903081065338569E-3</c:v>
                </c:pt>
                <c:pt idx="188">
                  <c:v>3.3008377962140401E-3</c:v>
                </c:pt>
                <c:pt idx="189">
                  <c:v>3.3223775151824952E-3</c:v>
                </c:pt>
                <c:pt idx="190">
                  <c:v>3.3443055906179353E-3</c:v>
                </c:pt>
                <c:pt idx="191">
                  <c:v>3.3783229242878576E-3</c:v>
                </c:pt>
                <c:pt idx="192">
                  <c:v>3.4017527764529376E-3</c:v>
                </c:pt>
                <c:pt idx="193">
                  <c:v>3.4255680203632011E-3</c:v>
                </c:pt>
                <c:pt idx="194">
                  <c:v>3.4377165535826038E-3</c:v>
                </c:pt>
                <c:pt idx="195">
                  <c:v>3.4499999905701628E-3</c:v>
                </c:pt>
                <c:pt idx="196">
                  <c:v>3.4624183312459422E-3</c:v>
                </c:pt>
                <c:pt idx="197">
                  <c:v>3.487738480822955E-3</c:v>
                </c:pt>
                <c:pt idx="198">
                  <c:v>3.5134407314707516E-3</c:v>
                </c:pt>
                <c:pt idx="199">
                  <c:v>3.526533590987313E-3</c:v>
                </c:pt>
                <c:pt idx="200">
                  <c:v>3.5397613543519668E-3</c:v>
                </c:pt>
                <c:pt idx="201">
                  <c:v>3.5531240215647131E-3</c:v>
                </c:pt>
                <c:pt idx="202">
                  <c:v>3.5803346424145843E-3</c:v>
                </c:pt>
                <c:pt idx="203">
                  <c:v>3.6079237288966226E-3</c:v>
                </c:pt>
                <c:pt idx="204">
                  <c:v>3.6219609154297672E-3</c:v>
                </c:pt>
                <c:pt idx="205">
                  <c:v>3.6361330058909402E-3</c:v>
                </c:pt>
                <c:pt idx="206">
                  <c:v>3.6504400002801418E-3</c:v>
                </c:pt>
                <c:pt idx="207">
                  <c:v>3.6795412765755486E-3</c:v>
                </c:pt>
                <c:pt idx="208">
                  <c:v>3.7090170175968495E-3</c:v>
                </c:pt>
                <c:pt idx="209">
                  <c:v>3.7239985320258739E-3</c:v>
                </c:pt>
                <c:pt idx="210">
                  <c:v>3.7543662728278804E-3</c:v>
                </c:pt>
                <c:pt idx="211">
                  <c:v>3.7853583996660944E-3</c:v>
                </c:pt>
                <c:pt idx="212">
                  <c:v>3.8167206034867007E-3</c:v>
                </c:pt>
                <c:pt idx="213">
                  <c:v>3.8326464464510934E-3</c:v>
                </c:pt>
                <c:pt idx="214">
                  <c:v>3.8487071935833228E-3</c:v>
                </c:pt>
                <c:pt idx="215">
                  <c:v>3.8649028448833889E-3</c:v>
                </c:pt>
                <c:pt idx="216">
                  <c:v>3.8977860292188637E-3</c:v>
                </c:pt>
                <c:pt idx="217">
                  <c:v>3.9310344922416363E-3</c:v>
                </c:pt>
                <c:pt idx="218">
                  <c:v>3.947904664780566E-3</c:v>
                </c:pt>
                <c:pt idx="219">
                  <c:v>3.9649097414873324E-3</c:v>
                </c:pt>
                <c:pt idx="220">
                  <c:v>3.9820497226017437E-3</c:v>
                </c:pt>
                <c:pt idx="221">
                  <c:v>4.0256417187345406E-3</c:v>
                </c:pt>
                <c:pt idx="222">
                  <c:v>4.0697731931693681E-3</c:v>
                </c:pt>
                <c:pt idx="223">
                  <c:v>4.0877226004898404E-3</c:v>
                </c:pt>
                <c:pt idx="224">
                  <c:v>4.1058069122179575E-3</c:v>
                </c:pt>
                <c:pt idx="225">
                  <c:v>4.1424728830374846E-3</c:v>
                </c:pt>
                <c:pt idx="226">
                  <c:v>4.179493204166107E-3</c:v>
                </c:pt>
                <c:pt idx="227">
                  <c:v>4.1982520384920008E-3</c:v>
                </c:pt>
                <c:pt idx="228">
                  <c:v>4.2171457773854115E-3</c:v>
                </c:pt>
                <c:pt idx="229">
                  <c:v>4.2361744208463392E-3</c:v>
                </c:pt>
                <c:pt idx="230">
                  <c:v>4.2747321477509814E-3</c:v>
                </c:pt>
                <c:pt idx="231">
                  <c:v>4.3136380410047082E-3</c:v>
                </c:pt>
                <c:pt idx="232">
                  <c:v>4.333341207782837E-3</c:v>
                </c:pt>
                <c:pt idx="233">
                  <c:v>4.353179279208419E-3</c:v>
                </c:pt>
                <c:pt idx="234">
                  <c:v>4.373152255441326E-3</c:v>
                </c:pt>
                <c:pt idx="235">
                  <c:v>4.4136019997420561E-3</c:v>
                </c:pt>
                <c:pt idx="236">
                  <c:v>4.4543932082063975E-3</c:v>
                </c:pt>
                <c:pt idx="237">
                  <c:v>4.4750407084759303E-3</c:v>
                </c:pt>
                <c:pt idx="238">
                  <c:v>4.4958231136327242E-3</c:v>
                </c:pt>
                <c:pt idx="239">
                  <c:v>4.5167253550104647E-3</c:v>
                </c:pt>
                <c:pt idx="240">
                  <c:v>4.5587660118062701E-3</c:v>
                </c:pt>
                <c:pt idx="241">
                  <c:v>4.6008395240804134E-3</c:v>
                </c:pt>
                <c:pt idx="242">
                  <c:v>4.6219792986512687E-3</c:v>
                </c:pt>
                <c:pt idx="243">
                  <c:v>4.6431635661114967E-3</c:v>
                </c:pt>
                <c:pt idx="244">
                  <c:v>4.6643923264610976E-3</c:v>
                </c:pt>
                <c:pt idx="245">
                  <c:v>4.7070597008413984E-3</c:v>
                </c:pt>
                <c:pt idx="246">
                  <c:v>4.7497522973927175E-3</c:v>
                </c:pt>
                <c:pt idx="247">
                  <c:v>4.7712035225888627E-3</c:v>
                </c:pt>
                <c:pt idx="248">
                  <c:v>4.7926992405944446E-3</c:v>
                </c:pt>
                <c:pt idx="249">
                  <c:v>4.8467588764422587E-3</c:v>
                </c:pt>
                <c:pt idx="250">
                  <c:v>4.9008452260412838E-3</c:v>
                </c:pt>
                <c:pt idx="251">
                  <c:v>4.9226079022623992E-3</c:v>
                </c:pt>
                <c:pt idx="252">
                  <c:v>4.9444150713728874E-3</c:v>
                </c:pt>
                <c:pt idx="253">
                  <c:v>4.9444150713728874E-3</c:v>
                </c:pt>
                <c:pt idx="254">
                  <c:v>4.9662667335326205E-3</c:v>
                </c:pt>
                <c:pt idx="255">
                  <c:v>5.0101880937614141E-3</c:v>
                </c:pt>
                <c:pt idx="256">
                  <c:v>5.0541183128238742E-3</c:v>
                </c:pt>
                <c:pt idx="257">
                  <c:v>5.0761924403897041E-3</c:v>
                </c:pt>
                <c:pt idx="258">
                  <c:v>5.0983110609248428E-3</c:v>
                </c:pt>
                <c:pt idx="259">
                  <c:v>5.1204741746690985E-3</c:v>
                </c:pt>
                <c:pt idx="260">
                  <c:v>5.1650228141930654E-3</c:v>
                </c:pt>
                <c:pt idx="261">
                  <c:v>5.2095715604583148E-3</c:v>
                </c:pt>
                <c:pt idx="262">
                  <c:v>5.2319571398484754E-3</c:v>
                </c:pt>
                <c:pt idx="263">
                  <c:v>5.2543872122079449E-3</c:v>
                </c:pt>
                <c:pt idx="264">
                  <c:v>5.2768617777765314E-3</c:v>
                </c:pt>
                <c:pt idx="265">
                  <c:v>5.3220378951568392E-3</c:v>
                </c:pt>
                <c:pt idx="266">
                  <c:v>5.3672049719022397E-3</c:v>
                </c:pt>
                <c:pt idx="267">
                  <c:v>5.3899020033565392E-3</c:v>
                </c:pt>
                <c:pt idx="268">
                  <c:v>5.4126435280199559E-3</c:v>
                </c:pt>
                <c:pt idx="269">
                  <c:v>5.4354295458924895E-3</c:v>
                </c:pt>
                <c:pt idx="270">
                  <c:v>5.4812333452058937E-3</c:v>
                </c:pt>
                <c:pt idx="271">
                  <c:v>5.5270185497935387E-3</c:v>
                </c:pt>
                <c:pt idx="272">
                  <c:v>5.5500270338715296E-3</c:v>
                </c:pt>
                <c:pt idx="273">
                  <c:v>5.5730800112385737E-3</c:v>
                </c:pt>
                <c:pt idx="274">
                  <c:v>5.5961774818147347E-3</c:v>
                </c:pt>
                <c:pt idx="275">
                  <c:v>5.6426091729999683E-3</c:v>
                </c:pt>
                <c:pt idx="276">
                  <c:v>5.6890122971697821E-3</c:v>
                </c:pt>
                <c:pt idx="277">
                  <c:v>5.7123322343510807E-3</c:v>
                </c:pt>
                <c:pt idx="278">
                  <c:v>5.7356966647414964E-3</c:v>
                </c:pt>
                <c:pt idx="279">
                  <c:v>5.7591055885009013E-3</c:v>
                </c:pt>
                <c:pt idx="280">
                  <c:v>5.8061653873586749E-3</c:v>
                </c:pt>
                <c:pt idx="281">
                  <c:v>5.85318621706854E-3</c:v>
                </c:pt>
                <c:pt idx="282">
                  <c:v>5.8768176075929546E-3</c:v>
                </c:pt>
                <c:pt idx="283">
                  <c:v>5.9004934914863583E-3</c:v>
                </c:pt>
                <c:pt idx="284">
                  <c:v>5.9242138688286872E-3</c:v>
                </c:pt>
                <c:pt idx="285">
                  <c:v>5.9719019971815612E-3</c:v>
                </c:pt>
                <c:pt idx="286">
                  <c:v>6.0195403122875746E-3</c:v>
                </c:pt>
                <c:pt idx="287">
                  <c:v>6.0434831567146574E-3</c:v>
                </c:pt>
                <c:pt idx="288">
                  <c:v>6.0674704945906655E-3</c:v>
                </c:pt>
                <c:pt idx="289">
                  <c:v>6.0915023259155987E-3</c:v>
                </c:pt>
                <c:pt idx="290">
                  <c:v>6.1398190115280471E-3</c:v>
                </c:pt>
                <c:pt idx="291">
                  <c:v>6.188074585944392E-3</c:v>
                </c:pt>
                <c:pt idx="292">
                  <c:v>6.2123288846738234E-3</c:v>
                </c:pt>
                <c:pt idx="293">
                  <c:v>6.2609709626393339E-3</c:v>
                </c:pt>
                <c:pt idx="294">
                  <c:v>6.3222181803768152E-3</c:v>
                </c:pt>
                <c:pt idx="295">
                  <c:v>6.3833547945080227E-3</c:v>
                </c:pt>
                <c:pt idx="296">
                  <c:v>6.4079650416282163E-3</c:v>
                </c:pt>
                <c:pt idx="297">
                  <c:v>6.4326197822772713E-3</c:v>
                </c:pt>
                <c:pt idx="298">
                  <c:v>6.4326197822772713E-3</c:v>
                </c:pt>
                <c:pt idx="299">
                  <c:v>6.4821942904558227E-3</c:v>
                </c:pt>
                <c:pt idx="300">
                  <c:v>6.5316836808015921E-3</c:v>
                </c:pt>
                <c:pt idx="301">
                  <c:v>6.5565608894946337E-3</c:v>
                </c:pt>
                <c:pt idx="302">
                  <c:v>6.5814825917964725E-3</c:v>
                </c:pt>
                <c:pt idx="303">
                  <c:v>6.6064439635660221E-3</c:v>
                </c:pt>
                <c:pt idx="304">
                  <c:v>6.6565512617966505E-3</c:v>
                </c:pt>
                <c:pt idx="305">
                  <c:v>6.7064642321934542E-3</c:v>
                </c:pt>
                <c:pt idx="306">
                  <c:v>6.731508170556566E-3</c:v>
                </c:pt>
                <c:pt idx="307">
                  <c:v>6.7565676573622113E-3</c:v>
                </c:pt>
                <c:pt idx="308">
                  <c:v>6.7816426926903262E-3</c:v>
                </c:pt>
                <c:pt idx="309">
                  <c:v>6.8319742422318086E-3</c:v>
                </c:pt>
                <c:pt idx="310">
                  <c:v>6.8820983190676088E-3</c:v>
                </c:pt>
                <c:pt idx="311">
                  <c:v>6.9072510968481993E-3</c:v>
                </c:pt>
                <c:pt idx="312">
                  <c:v>6.9324194233111314E-3</c:v>
                </c:pt>
                <c:pt idx="313">
                  <c:v>6.9576032980567248E-3</c:v>
                </c:pt>
                <c:pt idx="314">
                  <c:v>7.0081592998416653E-3</c:v>
                </c:pt>
                <c:pt idx="315">
                  <c:v>7.0584942828233466E-3</c:v>
                </c:pt>
                <c:pt idx="316">
                  <c:v>7.0837559003411599E-3</c:v>
                </c:pt>
                <c:pt idx="317">
                  <c:v>7.1090330663814427E-3</c:v>
                </c:pt>
                <c:pt idx="318">
                  <c:v>7.1343257808642591E-3</c:v>
                </c:pt>
                <c:pt idx="319">
                  <c:v>7.1978511699333225E-3</c:v>
                </c:pt>
                <c:pt idx="320">
                  <c:v>7.2610225819147445E-3</c:v>
                </c:pt>
                <c:pt idx="321">
                  <c:v>7.2864085877721863E-3</c:v>
                </c:pt>
                <c:pt idx="322">
                  <c:v>7.3118101422320336E-3</c:v>
                </c:pt>
                <c:pt idx="323">
                  <c:v>7.3118101422320336E-3</c:v>
                </c:pt>
                <c:pt idx="324">
                  <c:v>7.3628156600946681E-3</c:v>
                </c:pt>
                <c:pt idx="325">
                  <c:v>7.4135718455359267E-3</c:v>
                </c:pt>
                <c:pt idx="326">
                  <c:v>7.439051142767994E-3</c:v>
                </c:pt>
                <c:pt idx="327">
                  <c:v>7.4645459886824028E-3</c:v>
                </c:pt>
                <c:pt idx="328">
                  <c:v>7.4900563831192812E-3</c:v>
                </c:pt>
                <c:pt idx="329">
                  <c:v>7.5412869695057339E-3</c:v>
                </c:pt>
                <c:pt idx="330">
                  <c:v>7.5922534467309788E-3</c:v>
                </c:pt>
                <c:pt idx="331">
                  <c:v>7.6178415840999492E-3</c:v>
                </c:pt>
                <c:pt idx="332">
                  <c:v>7.6434452701512612E-3</c:v>
                </c:pt>
                <c:pt idx="333">
                  <c:v>7.6690645047250428E-3</c:v>
                </c:pt>
                <c:pt idx="334">
                  <c:v>7.7205203695740465E-3</c:v>
                </c:pt>
                <c:pt idx="335">
                  <c:v>7.7716969293639693E-3</c:v>
                </c:pt>
                <c:pt idx="336">
                  <c:v>7.7973939070297149E-3</c:v>
                </c:pt>
                <c:pt idx="337">
                  <c:v>7.8231064333778022E-3</c:v>
                </c:pt>
                <c:pt idx="338">
                  <c:v>7.848834508248359E-3</c:v>
                </c:pt>
                <c:pt idx="339">
                  <c:v>7.900515863763502E-3</c:v>
                </c:pt>
                <c:pt idx="340">
                  <c:v>7.9519022944740669E-3</c:v>
                </c:pt>
                <c:pt idx="341">
                  <c:v>7.9907074763019281E-3</c:v>
                </c:pt>
                <c:pt idx="342">
                  <c:v>8.029366394888271E-3</c:v>
                </c:pt>
                <c:pt idx="343">
                  <c:v>8.0812734555379961E-3</c:v>
                </c:pt>
                <c:pt idx="344">
                  <c:v>8.1328695432603126E-3</c:v>
                </c:pt>
                <c:pt idx="345">
                  <c:v>8.1328695432603126E-3</c:v>
                </c:pt>
                <c:pt idx="346">
                  <c:v>8.1587842020791612E-3</c:v>
                </c:pt>
                <c:pt idx="347">
                  <c:v>8.1847144095004154E-3</c:v>
                </c:pt>
                <c:pt idx="348">
                  <c:v>8.2106601656040112E-3</c:v>
                </c:pt>
                <c:pt idx="349">
                  <c:v>8.2627931482548433E-3</c:v>
                </c:pt>
                <c:pt idx="350">
                  <c:v>8.3145986769217473E-3</c:v>
                </c:pt>
                <c:pt idx="351">
                  <c:v>8.3406221765169875E-3</c:v>
                </c:pt>
                <c:pt idx="352">
                  <c:v>8.3797860496614973E-3</c:v>
                </c:pt>
                <c:pt idx="353">
                  <c:v>8.4450749454312302E-3</c:v>
                </c:pt>
                <c:pt idx="354">
                  <c:v>8.4970896965774756E-3</c:v>
                </c:pt>
                <c:pt idx="355">
                  <c:v>8.5232220371089795E-3</c:v>
                </c:pt>
                <c:pt idx="356">
                  <c:v>8.5232220371089795E-3</c:v>
                </c:pt>
                <c:pt idx="357">
                  <c:v>8.5493699263228251E-3</c:v>
                </c:pt>
                <c:pt idx="358">
                  <c:v>8.5755333642989484E-3</c:v>
                </c:pt>
                <c:pt idx="359">
                  <c:v>8.6281188504777617E-3</c:v>
                </c:pt>
                <c:pt idx="360">
                  <c:v>8.6803426034265385E-3</c:v>
                </c:pt>
                <c:pt idx="361">
                  <c:v>8.7065837849742422E-3</c:v>
                </c:pt>
                <c:pt idx="362">
                  <c:v>8.7328405154440958E-3</c:v>
                </c:pt>
                <c:pt idx="363">
                  <c:v>8.7591127945163549E-3</c:v>
                </c:pt>
                <c:pt idx="364">
                  <c:v>8.8119248669649153E-3</c:v>
                </c:pt>
                <c:pt idx="365">
                  <c:v>8.8643573985081048E-3</c:v>
                </c:pt>
                <c:pt idx="366">
                  <c:v>8.8907074214716886E-3</c:v>
                </c:pt>
                <c:pt idx="367">
                  <c:v>8.9170743305277966E-3</c:v>
                </c:pt>
                <c:pt idx="368">
                  <c:v>8.9434634751572872E-3</c:v>
                </c:pt>
                <c:pt idx="369">
                  <c:v>8.9965451584461675E-3</c:v>
                </c:pt>
                <c:pt idx="370">
                  <c:v>9.0492557839105814E-3</c:v>
                </c:pt>
                <c:pt idx="371">
                  <c:v>9.0757627936177698E-3</c:v>
                </c:pt>
                <c:pt idx="372">
                  <c:v>9.1022933763884595E-3</c:v>
                </c:pt>
                <c:pt idx="373">
                  <c:v>9.169087977158874E-3</c:v>
                </c:pt>
                <c:pt idx="374">
                  <c:v>9.2352998857947455E-3</c:v>
                </c:pt>
                <c:pt idx="375">
                  <c:v>9.2619719068665063E-3</c:v>
                </c:pt>
                <c:pt idx="376">
                  <c:v>9.3558890476308498E-3</c:v>
                </c:pt>
                <c:pt idx="377">
                  <c:v>9.4224990676305964E-3</c:v>
                </c:pt>
                <c:pt idx="378">
                  <c:v>9.4493361002268017E-3</c:v>
                </c:pt>
                <c:pt idx="379">
                  <c:v>9.4761967058865082E-3</c:v>
                </c:pt>
                <c:pt idx="380">
                  <c:v>9.503080884769588E-3</c:v>
                </c:pt>
                <c:pt idx="381">
                  <c:v>9.5571815289474671E-3</c:v>
                </c:pt>
                <c:pt idx="382">
                  <c:v>9.6108533311767275E-3</c:v>
                </c:pt>
                <c:pt idx="383">
                  <c:v>9.6378553755371854E-3</c:v>
                </c:pt>
                <c:pt idx="384">
                  <c:v>9.6648809931210167E-3</c:v>
                </c:pt>
                <c:pt idx="385">
                  <c:v>9.6919301838482852E-3</c:v>
                </c:pt>
                <c:pt idx="386">
                  <c:v>9.7600679121678802E-3</c:v>
                </c:pt>
                <c:pt idx="387">
                  <c:v>9.8275297347161228E-3</c:v>
                </c:pt>
                <c:pt idx="388">
                  <c:v>9.8547203643839509E-3</c:v>
                </c:pt>
                <c:pt idx="389">
                  <c:v>9.8819345671952163E-3</c:v>
                </c:pt>
                <c:pt idx="390">
                  <c:v>9.8819345671952163E-3</c:v>
                </c:pt>
                <c:pt idx="391">
                  <c:v>9.9367158100704955E-3</c:v>
                </c:pt>
                <c:pt idx="392">
                  <c:v>9.9910271105940751E-3</c:v>
                </c:pt>
                <c:pt idx="393">
                  <c:v>1.0018359179442271E-2</c:v>
                </c:pt>
                <c:pt idx="394">
                  <c:v>1.004571482151384E-2</c:v>
                </c:pt>
                <c:pt idx="395">
                  <c:v>1.0073094036728847E-2</c:v>
                </c:pt>
                <c:pt idx="396">
                  <c:v>1.0128215977260879E-2</c:v>
                </c:pt>
                <c:pt idx="397">
                  <c:v>1.018284663014235E-2</c:v>
                </c:pt>
                <c:pt idx="398">
                  <c:v>1.0210343711634096E-2</c:v>
                </c:pt>
                <c:pt idx="399">
                  <c:v>1.0237864366349214E-2</c:v>
                </c:pt>
                <c:pt idx="400">
                  <c:v>1.0265408594287706E-2</c:v>
                </c:pt>
                <c:pt idx="401">
                  <c:v>1.0320871502900175E-2</c:v>
                </c:pt>
                <c:pt idx="402">
                  <c:v>1.0375821238834959E-2</c:v>
                </c:pt>
                <c:pt idx="403">
                  <c:v>1.0403483333130126E-2</c:v>
                </c:pt>
                <c:pt idx="404">
                  <c:v>1.0431169000728602E-2</c:v>
                </c:pt>
                <c:pt idx="405">
                  <c:v>1.0458878241630387E-2</c:v>
                </c:pt>
                <c:pt idx="406">
                  <c:v>1.0528731069971986E-2</c:v>
                </c:pt>
                <c:pt idx="407">
                  <c:v>1.0597778045768891E-2</c:v>
                </c:pt>
                <c:pt idx="408">
                  <c:v>1.0625628726570469E-2</c:v>
                </c:pt>
                <c:pt idx="409">
                  <c:v>1.0653502980675356E-2</c:v>
                </c:pt>
                <c:pt idx="410">
                  <c:v>1.0653502980675356E-2</c:v>
                </c:pt>
                <c:pt idx="411">
                  <c:v>1.0709648651801018E-2</c:v>
                </c:pt>
                <c:pt idx="412">
                  <c:v>1.0765235730527678E-2</c:v>
                </c:pt>
                <c:pt idx="413">
                  <c:v>1.0793227851468856E-2</c:v>
                </c:pt>
                <c:pt idx="414">
                  <c:v>1.0821243545633408E-2</c:v>
                </c:pt>
                <c:pt idx="415">
                  <c:v>1.0849282813261141E-2</c:v>
                </c:pt>
                <c:pt idx="416">
                  <c:v>1.0905770286253613E-2</c:v>
                </c:pt>
                <c:pt idx="417">
                  <c:v>1.0961675617444655E-2</c:v>
                </c:pt>
                <c:pt idx="418">
                  <c:v>1.0989832751988615E-2</c:v>
                </c:pt>
                <c:pt idx="419">
                  <c:v>1.1018013459995757E-2</c:v>
                </c:pt>
                <c:pt idx="420">
                  <c:v>1.1046217741306208E-2</c:v>
                </c:pt>
                <c:pt idx="421">
                  <c:v>1.1103047301643798E-2</c:v>
                </c:pt>
                <c:pt idx="422">
                  <c:v>1.1159270600860083E-2</c:v>
                </c:pt>
                <c:pt idx="423">
                  <c:v>1.1187592749406505E-2</c:v>
                </c:pt>
                <c:pt idx="424">
                  <c:v>1.1215938471336173E-2</c:v>
                </c:pt>
                <c:pt idx="425">
                  <c:v>1.1244307766649086E-2</c:v>
                </c:pt>
                <c:pt idx="426">
                  <c:v>1.1301479703647033E-2</c:v>
                </c:pt>
                <c:pt idx="427">
                  <c:v>1.1358020682772363E-2</c:v>
                </c:pt>
                <c:pt idx="428">
                  <c:v>1.138650784548112E-2</c:v>
                </c:pt>
                <c:pt idx="429">
                  <c:v>1.1415023665586332E-2</c:v>
                </c:pt>
                <c:pt idx="430">
                  <c:v>1.1443588478901034E-2</c:v>
                </c:pt>
                <c:pt idx="431">
                  <c:v>1.1501265784632508E-2</c:v>
                </c:pt>
                <c:pt idx="432">
                  <c:v>1.1558388504386841E-2</c:v>
                </c:pt>
                <c:pt idx="433">
                  <c:v>1.1587223703815042E-2</c:v>
                </c:pt>
                <c:pt idx="434">
                  <c:v>1.1616112980545878E-2</c:v>
                </c:pt>
                <c:pt idx="435">
                  <c:v>1.1645056334419479E-2</c:v>
                </c:pt>
                <c:pt idx="436">
                  <c:v>1.1703503756415046E-2</c:v>
                </c:pt>
                <c:pt idx="437">
                  <c:v>1.1761370523259984E-2</c:v>
                </c:pt>
                <c:pt idx="438">
                  <c:v>1.1849173976727911E-2</c:v>
                </c:pt>
                <c:pt idx="439">
                  <c:v>1.1908391918691308E-2</c:v>
                </c:pt>
                <c:pt idx="440">
                  <c:v>1.1967002331401133E-2</c:v>
                </c:pt>
                <c:pt idx="441">
                  <c:v>1.1996594613625788E-2</c:v>
                </c:pt>
                <c:pt idx="442">
                  <c:v>1.2026240973233016E-2</c:v>
                </c:pt>
                <c:pt idx="443">
                  <c:v>1.2055941410382687E-2</c:v>
                </c:pt>
                <c:pt idx="444">
                  <c:v>1.2115930285103715E-2</c:v>
                </c:pt>
                <c:pt idx="445">
                  <c:v>1.2175283933446579E-2</c:v>
                </c:pt>
                <c:pt idx="446">
                  <c:v>1.2205254758068662E-2</c:v>
                </c:pt>
                <c:pt idx="447">
                  <c:v>1.2235279660073317E-2</c:v>
                </c:pt>
                <c:pt idx="448">
                  <c:v>1.2265358639780288E-2</c:v>
                </c:pt>
                <c:pt idx="449">
                  <c:v>1.232611886934798E-2</c:v>
                </c:pt>
                <c:pt idx="450">
                  <c:v>1.2386215334032613E-2</c:v>
                </c:pt>
                <c:pt idx="451">
                  <c:v>1.2416564701611676E-2</c:v>
                </c:pt>
                <c:pt idx="452">
                  <c:v>1.244696814681312E-2</c:v>
                </c:pt>
                <c:pt idx="453">
                  <c:v>1.2477425669636943E-2</c:v>
                </c:pt>
                <c:pt idx="454">
                  <c:v>1.253895768535962E-2</c:v>
                </c:pt>
                <c:pt idx="455">
                  <c:v>1.2599796537715591E-2</c:v>
                </c:pt>
                <c:pt idx="456">
                  <c:v>1.2630524448971059E-2</c:v>
                </c:pt>
                <c:pt idx="457">
                  <c:v>1.2661306437928843E-2</c:v>
                </c:pt>
                <c:pt idx="458">
                  <c:v>1.2692142504588944E-2</c:v>
                </c:pt>
                <c:pt idx="459">
                  <c:v>1.2754446747260673E-2</c:v>
                </c:pt>
                <c:pt idx="460">
                  <c:v>1.2816027549211739E-2</c:v>
                </c:pt>
                <c:pt idx="461">
                  <c:v>1.2847134004863037E-2</c:v>
                </c:pt>
                <c:pt idx="462">
                  <c:v>1.2909509149592324E-2</c:v>
                </c:pt>
                <c:pt idx="463">
                  <c:v>1.2972586069279757E-2</c:v>
                </c:pt>
                <c:pt idx="464">
                  <c:v>1.3034908373317222E-2</c:v>
                </c:pt>
                <c:pt idx="465">
                  <c:v>1.3066393374003837E-2</c:v>
                </c:pt>
                <c:pt idx="466">
                  <c:v>1.3097932452552641E-2</c:v>
                </c:pt>
                <c:pt idx="467">
                  <c:v>1.3129525609123505E-2</c:v>
                </c:pt>
                <c:pt idx="468">
                  <c:v>1.3193375665938589E-2</c:v>
                </c:pt>
                <c:pt idx="469">
                  <c:v>1.3256439014908139E-2</c:v>
                </c:pt>
                <c:pt idx="470">
                  <c:v>1.328830256126956E-2</c:v>
                </c:pt>
                <c:pt idx="471">
                  <c:v>1.3320220185812914E-2</c:v>
                </c:pt>
                <c:pt idx="472">
                  <c:v>1.3352191888298393E-2</c:v>
                </c:pt>
                <c:pt idx="473">
                  <c:v>1.3416815551758887E-2</c:v>
                </c:pt>
                <c:pt idx="474">
                  <c:v>1.3480619478860589E-2</c:v>
                </c:pt>
                <c:pt idx="475">
                  <c:v>1.3512861571696178E-2</c:v>
                </c:pt>
                <c:pt idx="476">
                  <c:v>1.3545157742713698E-2</c:v>
                </c:pt>
                <c:pt idx="477">
                  <c:v>1.3577507991833215E-2</c:v>
                </c:pt>
                <c:pt idx="478">
                  <c:v>1.3659431351749074E-2</c:v>
                </c:pt>
                <c:pt idx="479">
                  <c:v>1.3740070410079852E-2</c:v>
                </c:pt>
                <c:pt idx="480">
                  <c:v>1.37727451283709E-2</c:v>
                </c:pt>
                <c:pt idx="481">
                  <c:v>1.3805473924843881E-2</c:v>
                </c:pt>
                <c:pt idx="482">
                  <c:v>1.3871646250542824E-2</c:v>
                </c:pt>
                <c:pt idx="483">
                  <c:v>1.393692989351436E-2</c:v>
                </c:pt>
                <c:pt idx="484">
                  <c:v>1.3969929081536492E-2</c:v>
                </c:pt>
                <c:pt idx="485">
                  <c:v>1.400298234766062E-2</c:v>
                </c:pt>
                <c:pt idx="486">
                  <c:v>1.4036089692286424E-2</c:v>
                </c:pt>
                <c:pt idx="487">
                  <c:v>1.4103037093562421E-2</c:v>
                </c:pt>
                <c:pt idx="488">
                  <c:v>1.4169059854447497E-2</c:v>
                </c:pt>
                <c:pt idx="489">
                  <c:v>1.4202437590942196E-2</c:v>
                </c:pt>
                <c:pt idx="490">
                  <c:v>1.4235869405938573E-2</c:v>
                </c:pt>
                <c:pt idx="491">
                  <c:v>1.4269318817099474E-2</c:v>
                </c:pt>
                <c:pt idx="492">
                  <c:v>1.433631209767583E-2</c:v>
                </c:pt>
                <c:pt idx="493">
                  <c:v>1.4401614239796245E-2</c:v>
                </c:pt>
                <c:pt idx="494">
                  <c:v>1.4434276057446738E-2</c:v>
                </c:pt>
                <c:pt idx="495">
                  <c:v>1.4466773059815807E-2</c:v>
                </c:pt>
                <c:pt idx="496">
                  <c:v>1.449910524698339E-2</c:v>
                </c:pt>
                <c:pt idx="497">
                  <c:v>1.4563809375145453E-2</c:v>
                </c:pt>
                <c:pt idx="498">
                  <c:v>1.4626785841240775E-2</c:v>
                </c:pt>
                <c:pt idx="499">
                  <c:v>1.4658293951042012E-2</c:v>
                </c:pt>
                <c:pt idx="500">
                  <c:v>1.4689637245242082E-2</c:v>
                </c:pt>
                <c:pt idx="501">
                  <c:v>1.4720815723840985E-2</c:v>
                </c:pt>
                <c:pt idx="502">
                  <c:v>1.4798850277519815E-2</c:v>
                </c:pt>
                <c:pt idx="503">
                  <c:v>1.4874235880899533E-2</c:v>
                </c:pt>
                <c:pt idx="504">
                  <c:v>1.4904425464852267E-2</c:v>
                </c:pt>
                <c:pt idx="505">
                  <c:v>1.4934450232804153E-2</c:v>
                </c:pt>
                <c:pt idx="506">
                  <c:v>1.4934450232804153E-2</c:v>
                </c:pt>
                <c:pt idx="507">
                  <c:v>1.4994574885980327E-2</c:v>
                </c:pt>
                <c:pt idx="508">
                  <c:v>1.5052901144683162E-2</c:v>
                </c:pt>
                <c:pt idx="509">
                  <c:v>1.508210183247094E-2</c:v>
                </c:pt>
                <c:pt idx="510">
                  <c:v>1.5111137704018063E-2</c:v>
                </c:pt>
                <c:pt idx="511">
                  <c:v>1.5140008759484402E-2</c:v>
                </c:pt>
                <c:pt idx="512">
                  <c:v>1.5197843032375147E-2</c:v>
                </c:pt>
                <c:pt idx="513">
                  <c:v>1.5253844818063911E-2</c:v>
                </c:pt>
                <c:pt idx="514">
                  <c:v>1.5281891791847357E-2</c:v>
                </c:pt>
                <c:pt idx="515">
                  <c:v>1.5309773949070404E-2</c:v>
                </c:pt>
                <c:pt idx="516">
                  <c:v>1.533749128997286E-2</c:v>
                </c:pt>
                <c:pt idx="517">
                  <c:v>1.539303471751019E-2</c:v>
                </c:pt>
                <c:pt idx="518">
                  <c:v>1.5580149901976981E-2</c:v>
                </c:pt>
                <c:pt idx="519">
                  <c:v>1.5759188547965763E-2</c:v>
                </c:pt>
                <c:pt idx="520">
                  <c:v>1.593015061934544E-2</c:v>
                </c:pt>
                <c:pt idx="521">
                  <c:v>1.6093036081636924E-2</c:v>
                </c:pt>
                <c:pt idx="522">
                  <c:v>1.6247844901906561E-2</c:v>
                </c:pt>
                <c:pt idx="523">
                  <c:v>1.6454292663672376E-2</c:v>
                </c:pt>
                <c:pt idx="524">
                  <c:v>1.6570657046601767E-2</c:v>
                </c:pt>
                <c:pt idx="525">
                  <c:v>1.6700811716123809E-2</c:v>
                </c:pt>
                <c:pt idx="526">
                  <c:v>1.6831435359225821E-2</c:v>
                </c:pt>
                <c:pt idx="527">
                  <c:v>1.6963118363646501E-2</c:v>
                </c:pt>
                <c:pt idx="528">
                  <c:v>1.7114910404263384E-2</c:v>
                </c:pt>
                <c:pt idx="529">
                  <c:v>1.7229662460600537E-2</c:v>
                </c:pt>
                <c:pt idx="530">
                  <c:v>1.7364523555691846E-2</c:v>
                </c:pt>
                <c:pt idx="531">
                  <c:v>1.7500444016578243E-2</c:v>
                </c:pt>
                <c:pt idx="532">
                  <c:v>1.7637423844618638E-2</c:v>
                </c:pt>
                <c:pt idx="533">
                  <c:v>1.779526940540066E-2</c:v>
                </c:pt>
                <c:pt idx="534">
                  <c:v>1.7914561606877655E-2</c:v>
                </c:pt>
                <c:pt idx="535">
                  <c:v>1.8074828585366021E-2</c:v>
                </c:pt>
                <c:pt idx="536">
                  <c:v>1.8195936852380967E-2</c:v>
                </c:pt>
                <c:pt idx="537">
                  <c:v>1.8338213534336845E-2</c:v>
                </c:pt>
                <c:pt idx="538">
                  <c:v>1.8481549590800839E-2</c:v>
                </c:pt>
                <c:pt idx="539">
                  <c:v>1.8646659421648337E-2</c:v>
                </c:pt>
                <c:pt idx="540">
                  <c:v>1.8813152928949251E-2</c:v>
                </c:pt>
                <c:pt idx="541">
                  <c:v>1.8938931098189116E-2</c:v>
                </c:pt>
                <c:pt idx="542">
                  <c:v>1.9107846043819876E-2</c:v>
                </c:pt>
                <c:pt idx="543">
                  <c:v>1.9235440294025352E-2</c:v>
                </c:pt>
                <c:pt idx="544">
                  <c:v>1.9385283964856725E-2</c:v>
                </c:pt>
                <c:pt idx="545">
                  <c:v>1.9536187019468798E-2</c:v>
                </c:pt>
                <c:pt idx="546">
                  <c:v>1.9688149459220483E-2</c:v>
                </c:pt>
                <c:pt idx="547">
                  <c:v>1.9863118026934856E-2</c:v>
                </c:pt>
                <c:pt idx="548">
                  <c:v>1.9995252499338534E-2</c:v>
                </c:pt>
                <c:pt idx="549">
                  <c:v>2.0150393102422726E-2</c:v>
                </c:pt>
                <c:pt idx="550">
                  <c:v>2.0306593096002246E-2</c:v>
                </c:pt>
                <c:pt idx="551">
                  <c:v>2.0463852481595879E-2</c:v>
                </c:pt>
                <c:pt idx="552">
                  <c:v>2.0622171260242794E-2</c:v>
                </c:pt>
                <c:pt idx="553">
                  <c:v>2.0781549433781521E-2</c:v>
                </c:pt>
                <c:pt idx="554">
                  <c:v>2.0941987003251228E-2</c:v>
                </c:pt>
                <c:pt idx="555">
                  <c:v>2.1149820544268394E-2</c:v>
                </c:pt>
                <c:pt idx="556">
                  <c:v>2.1266040336218595E-2</c:v>
                </c:pt>
                <c:pt idx="557">
                  <c:v>2.1429656102514016E-2</c:v>
                </c:pt>
                <c:pt idx="558">
                  <c:v>2.1594331270655687E-2</c:v>
                </c:pt>
                <c:pt idx="559">
                  <c:v>2.1760065841922582E-2</c:v>
                </c:pt>
                <c:pt idx="560">
                  <c:v>2.1926859818073297E-2</c:v>
                </c:pt>
                <c:pt idx="561">
                  <c:v>2.211877873715018E-2</c:v>
                </c:pt>
                <c:pt idx="562">
                  <c:v>2.2263625990301961E-2</c:v>
                </c:pt>
                <c:pt idx="563">
                  <c:v>2.2433598189417481E-2</c:v>
                </c:pt>
                <c:pt idx="564">
                  <c:v>2.2604629799172216E-2</c:v>
                </c:pt>
                <c:pt idx="565">
                  <c:v>2.277672082108495E-2</c:v>
                </c:pt>
                <c:pt idx="566">
                  <c:v>2.2974693516122358E-2</c:v>
                </c:pt>
                <c:pt idx="567">
                  <c:v>2.3123427863360746E-2</c:v>
                </c:pt>
                <c:pt idx="568">
                  <c:v>2.3295098931042091E-2</c:v>
                </c:pt>
                <c:pt idx="569">
                  <c:v>2.3464680987439479E-2</c:v>
                </c:pt>
                <c:pt idx="570">
                  <c:v>2.3632174029355468E-2</c:v>
                </c:pt>
                <c:pt idx="571">
                  <c:v>2.3797578054152169E-2</c:v>
                </c:pt>
                <c:pt idx="572">
                  <c:v>2.3960893058871946E-2</c:v>
                </c:pt>
                <c:pt idx="573">
                  <c:v>2.4122119040717038E-2</c:v>
                </c:pt>
                <c:pt idx="574">
                  <c:v>2.4281255996729811E-2</c:v>
                </c:pt>
                <c:pt idx="575">
                  <c:v>2.4460568809407945E-2</c:v>
                </c:pt>
                <c:pt idx="576">
                  <c:v>2.4593262820546968E-2</c:v>
                </c:pt>
                <c:pt idx="577">
                  <c:v>2.4746132682835764E-2</c:v>
                </c:pt>
                <c:pt idx="578">
                  <c:v>2.4896913508580809E-2</c:v>
                </c:pt>
                <c:pt idx="579">
                  <c:v>2.5045605295064277E-2</c:v>
                </c:pt>
                <c:pt idx="580">
                  <c:v>2.5212980754876213E-2</c:v>
                </c:pt>
                <c:pt idx="581">
                  <c:v>2.5336721740094603E-2</c:v>
                </c:pt>
                <c:pt idx="582">
                  <c:v>2.5479146393525554E-2</c:v>
                </c:pt>
                <c:pt idx="583">
                  <c:v>2.5619481997622984E-2</c:v>
                </c:pt>
                <c:pt idx="584">
                  <c:v>2.575772854982894E-2</c:v>
                </c:pt>
                <c:pt idx="585">
                  <c:v>2.5913166583872993E-2</c:v>
                </c:pt>
                <c:pt idx="586">
                  <c:v>2.6027954489293847E-2</c:v>
                </c:pt>
                <c:pt idx="587">
                  <c:v>2.6159933871836571E-2</c:v>
                </c:pt>
                <c:pt idx="588">
                  <c:v>2.6289824193135303E-2</c:v>
                </c:pt>
                <c:pt idx="589">
                  <c:v>2.6417625451031768E-2</c:v>
                </c:pt>
                <c:pt idx="590">
                  <c:v>2.6543337643047948E-2</c:v>
                </c:pt>
                <c:pt idx="591">
                  <c:v>2.6684450677345595E-2</c:v>
                </c:pt>
                <c:pt idx="592">
                  <c:v>2.6805686292812325E-2</c:v>
                </c:pt>
                <c:pt idx="593">
                  <c:v>2.6907939803511027E-2</c:v>
                </c:pt>
                <c:pt idx="594">
                  <c:v>2.7041890304202454E-2</c:v>
                </c:pt>
                <c:pt idx="595">
                  <c:v>2.7140562542822266E-2</c:v>
                </c:pt>
                <c:pt idx="596">
                  <c:v>2.7253740296071527E-2</c:v>
                </c:pt>
                <c:pt idx="597">
                  <c:v>2.7364828969052013E-2</c:v>
                </c:pt>
                <c:pt idx="598">
                  <c:v>2.7473828559845259E-2</c:v>
                </c:pt>
                <c:pt idx="599">
                  <c:v>2.7595841458509796E-2</c:v>
                </c:pt>
                <c:pt idx="600">
                  <c:v>2.7685560487276106E-2</c:v>
                </c:pt>
                <c:pt idx="601">
                  <c:v>2.7788292820236649E-2</c:v>
                </c:pt>
                <c:pt idx="602">
                  <c:v>2.7888936063655834E-2</c:v>
                </c:pt>
                <c:pt idx="603">
                  <c:v>2.7987490215775068E-2</c:v>
                </c:pt>
                <c:pt idx="604">
                  <c:v>2.8083955274755823E-2</c:v>
                </c:pt>
                <c:pt idx="605">
                  <c:v>2.8204912088840572E-2</c:v>
                </c:pt>
                <c:pt idx="606">
                  <c:v>2.8270618107146817E-2</c:v>
                </c:pt>
                <c:pt idx="607">
                  <c:v>2.8360815877119805E-2</c:v>
                </c:pt>
                <c:pt idx="608">
                  <c:v>2.8448924547639365E-2</c:v>
                </c:pt>
                <c:pt idx="609">
                  <c:v>2.8534944117106775E-2</c:v>
                </c:pt>
                <c:pt idx="610">
                  <c:v>2.8618874583923315E-2</c:v>
                </c:pt>
                <c:pt idx="611">
                  <c:v>2.8700715946810007E-2</c:v>
                </c:pt>
                <c:pt idx="612">
                  <c:v>2.8780468204248066E-2</c:v>
                </c:pt>
                <c:pt idx="613">
                  <c:v>2.8869055551226097E-2</c:v>
                </c:pt>
                <c:pt idx="614">
                  <c:v>2.8933705397182763E-2</c:v>
                </c:pt>
                <c:pt idx="615">
                  <c:v>2.9007190330121446E-2</c:v>
                </c:pt>
                <c:pt idx="616">
                  <c:v>2.9078586152175845E-2</c:v>
                </c:pt>
                <c:pt idx="617">
                  <c:v>2.9147892862226854E-2</c:v>
                </c:pt>
                <c:pt idx="618">
                  <c:v>2.9221012276949843E-2</c:v>
                </c:pt>
                <c:pt idx="619">
                  <c:v>2.9280285413628704E-2</c:v>
                </c:pt>
                <c:pt idx="620">
                  <c:v>2.9344718944379622E-2</c:v>
                </c:pt>
                <c:pt idx="621">
                  <c:v>2.9409015188468501E-2</c:v>
                </c:pt>
                <c:pt idx="622">
                  <c:v>2.9473174146055214E-2</c:v>
                </c:pt>
                <c:pt idx="623">
                  <c:v>2.9537195816899953E-2</c:v>
                </c:pt>
                <c:pt idx="624">
                  <c:v>2.9601080201082652E-2</c:v>
                </c:pt>
                <c:pt idx="625">
                  <c:v>2.9664827298363505E-2</c:v>
                </c:pt>
                <c:pt idx="626">
                  <c:v>2.9728437108822447E-2</c:v>
                </c:pt>
                <c:pt idx="627">
                  <c:v>2.9800965928492573E-2</c:v>
                </c:pt>
                <c:pt idx="628">
                  <c:v>2.9855244868635111E-2</c:v>
                </c:pt>
                <c:pt idx="629">
                  <c:v>2.9918442817908897E-2</c:v>
                </c:pt>
                <c:pt idx="630">
                  <c:v>2.9981503480041027E-2</c:v>
                </c:pt>
                <c:pt idx="631">
                  <c:v>3.0044426854871631E-2</c:v>
                </c:pt>
                <c:pt idx="632">
                  <c:v>3.0116171176395312E-2</c:v>
                </c:pt>
                <c:pt idx="633">
                  <c:v>3.0169861742548321E-2</c:v>
                </c:pt>
                <c:pt idx="634">
                  <c:v>3.0232373255154599E-2</c:v>
                </c:pt>
                <c:pt idx="635">
                  <c:v>3.0294747480219542E-2</c:v>
                </c:pt>
                <c:pt idx="636">
                  <c:v>3.0356984417743149E-2</c:v>
                </c:pt>
                <c:pt idx="637">
                  <c:v>3.0427944238882176E-2</c:v>
                </c:pt>
                <c:pt idx="638">
                  <c:v>3.048104642952687E-2</c:v>
                </c:pt>
                <c:pt idx="639">
                  <c:v>3.0542871503707048E-2</c:v>
                </c:pt>
                <c:pt idx="640">
                  <c:v>3.0604559290106081E-2</c:v>
                </c:pt>
                <c:pt idx="641">
                  <c:v>3.0666109788404228E-2</c:v>
                </c:pt>
                <c:pt idx="642">
                  <c:v>3.0727522998681422E-2</c:v>
                </c:pt>
                <c:pt idx="643">
                  <c:v>3.079754141686486E-2</c:v>
                </c:pt>
                <c:pt idx="644">
                  <c:v>3.0867380519845611E-2</c:v>
                </c:pt>
                <c:pt idx="645">
                  <c:v>3.0919642171411965E-2</c:v>
                </c:pt>
                <c:pt idx="646">
                  <c:v>3.0980486616174474E-2</c:v>
                </c:pt>
                <c:pt idx="647">
                  <c:v>3.1049855016318517E-2</c:v>
                </c:pt>
                <c:pt idx="648">
                  <c:v>3.1101763640517532E-2</c:v>
                </c:pt>
                <c:pt idx="649">
                  <c:v>3.116219621993821E-2</c:v>
                </c:pt>
                <c:pt idx="650">
                  <c:v>3.1222491510698447E-2</c:v>
                </c:pt>
                <c:pt idx="651">
                  <c:v>3.1291232305914463E-2</c:v>
                </c:pt>
                <c:pt idx="652">
                  <c:v>3.1342670226157665E-2</c:v>
                </c:pt>
                <c:pt idx="653">
                  <c:v>3.1402553650696774E-2</c:v>
                </c:pt>
                <c:pt idx="654">
                  <c:v>3.1462299786415571E-2</c:v>
                </c:pt>
                <c:pt idx="655">
                  <c:v>3.1521908633074247E-2</c:v>
                </c:pt>
                <c:pt idx="656">
                  <c:v>3.1581380190832675E-2</c:v>
                </c:pt>
                <c:pt idx="657">
                  <c:v>3.1640714459371111E-2</c:v>
                </c:pt>
                <c:pt idx="658">
                  <c:v>3.1699911438849426E-2</c:v>
                </c:pt>
                <c:pt idx="659">
                  <c:v>3.1758971129107749E-2</c:v>
                </c:pt>
                <c:pt idx="660">
                  <c:v>3.1845919729267536E-2</c:v>
                </c:pt>
                <c:pt idx="661">
                  <c:v>3.1876678641564737E-2</c:v>
                </c:pt>
                <c:pt idx="662">
                  <c:v>3.1943693516653937E-2</c:v>
                </c:pt>
                <c:pt idx="663">
                  <c:v>3.1993836996342395E-2</c:v>
                </c:pt>
                <c:pt idx="664">
                  <c:v>3.2052210239461587E-2</c:v>
                </c:pt>
                <c:pt idx="665">
                  <c:v>3.2118754407557404E-2</c:v>
                </c:pt>
                <c:pt idx="666">
                  <c:v>3.2168544856761017E-2</c:v>
                </c:pt>
                <c:pt idx="667">
                  <c:v>3.2226506230701446E-2</c:v>
                </c:pt>
                <c:pt idx="668">
                  <c:v>3.2284330314862331E-2</c:v>
                </c:pt>
                <c:pt idx="669">
                  <c:v>3.234201710924367E-2</c:v>
                </c:pt>
                <c:pt idx="670">
                  <c:v>3.2405130019181883E-2</c:v>
                </c:pt>
                <c:pt idx="671">
                  <c:v>3.2456964961680157E-2</c:v>
                </c:pt>
                <c:pt idx="672">
                  <c:v>3.2514055976475831E-2</c:v>
                </c:pt>
                <c:pt idx="673">
                  <c:v>3.2570795140163256E-2</c:v>
                </c:pt>
                <c:pt idx="674">
                  <c:v>3.2627182452502623E-2</c:v>
                </c:pt>
                <c:pt idx="675">
                  <c:v>3.2683217913334062E-2</c:v>
                </c:pt>
                <c:pt idx="676">
                  <c:v>3.2738901522497699E-2</c:v>
                </c:pt>
                <c:pt idx="677">
                  <c:v>3.2794233279753726E-2</c:v>
                </c:pt>
                <c:pt idx="678">
                  <c:v>3.2857038734670496E-2</c:v>
                </c:pt>
                <c:pt idx="679">
                  <c:v>3.2911616523199072E-2</c:v>
                </c:pt>
                <c:pt idx="680">
                  <c:v>3.2958117439036982E-2</c:v>
                </c:pt>
                <c:pt idx="681">
                  <c:v>3.3012041787303659E-2</c:v>
                </c:pt>
                <c:pt idx="682">
                  <c:v>3.3065614283023237E-2</c:v>
                </c:pt>
                <c:pt idx="683">
                  <c:v>3.3118834925875973E-2</c:v>
                </c:pt>
                <c:pt idx="684">
                  <c:v>3.3171703715861867E-2</c:v>
                </c:pt>
                <c:pt idx="685">
                  <c:v>3.3231694349522556E-2</c:v>
                </c:pt>
                <c:pt idx="686">
                  <c:v>3.3276385736273895E-2</c:v>
                </c:pt>
                <c:pt idx="687">
                  <c:v>3.3328198966460221E-2</c:v>
                </c:pt>
                <c:pt idx="688">
                  <c:v>3.3379660342980344E-2</c:v>
                </c:pt>
                <c:pt idx="689">
                  <c:v>3.3438042503526333E-2</c:v>
                </c:pt>
                <c:pt idx="690">
                  <c:v>3.348152753486211E-2</c:v>
                </c:pt>
                <c:pt idx="691">
                  <c:v>3.3537081391377122E-2</c:v>
                </c:pt>
                <c:pt idx="692">
                  <c:v>3.3581987310720152E-2</c:v>
                </c:pt>
                <c:pt idx="693">
                  <c:v>3.3631689417230604E-2</c:v>
                </c:pt>
                <c:pt idx="694">
                  <c:v>3.3681039669275492E-2</c:v>
                </c:pt>
                <c:pt idx="695">
                  <c:v>3.3737009114913619E-2</c:v>
                </c:pt>
                <c:pt idx="696">
                  <c:v>3.3802596458842871E-2</c:v>
                </c:pt>
                <c:pt idx="697">
                  <c:v>3.3833849815492201E-2</c:v>
                </c:pt>
                <c:pt idx="698">
                  <c:v>3.3881742383243818E-2</c:v>
                </c:pt>
                <c:pt idx="699">
                  <c:v>3.3929283095890383E-2</c:v>
                </c:pt>
                <c:pt idx="700">
                  <c:v>3.3976471953192089E-2</c:v>
                </c:pt>
                <c:pt idx="701">
                  <c:v>3.4023308954909126E-2</c:v>
                </c:pt>
                <c:pt idx="702">
                  <c:v>3.4069794101121431E-2</c:v>
                </c:pt>
                <c:pt idx="703">
                  <c:v>3.4115927391589196E-2</c:v>
                </c:pt>
                <c:pt idx="704">
                  <c:v>3.4161708826152548E-2</c:v>
                </c:pt>
                <c:pt idx="705">
                  <c:v>3.4207138404651616E-2</c:v>
                </c:pt>
                <c:pt idx="706">
                  <c:v>3.4252216127086399E-2</c:v>
                </c:pt>
                <c:pt idx="707">
                  <c:v>3.4296941993297025E-2</c:v>
                </c:pt>
                <c:pt idx="708">
                  <c:v>3.4341316002963751E-2</c:v>
                </c:pt>
                <c:pt idx="709">
                  <c:v>3.4385338156166512E-2</c:v>
                </c:pt>
                <c:pt idx="710">
                  <c:v>3.4429008452665499E-2</c:v>
                </c:pt>
                <c:pt idx="711">
                  <c:v>3.4496922310003342E-2</c:v>
                </c:pt>
                <c:pt idx="712">
                  <c:v>3.4539687831607324E-2</c:v>
                </c:pt>
                <c:pt idx="713">
                  <c:v>3.4582101496187789E-2</c:v>
                </c:pt>
                <c:pt idx="714">
                  <c:v>3.4624163303504929E-2</c:v>
                </c:pt>
                <c:pt idx="715">
                  <c:v>3.4665873253398871E-2</c:v>
                </c:pt>
                <c:pt idx="716">
                  <c:v>3.4713110921655854E-2</c:v>
                </c:pt>
                <c:pt idx="717">
                  <c:v>3.4748237580677355E-2</c:v>
                </c:pt>
                <c:pt idx="718">
                  <c:v>3.4788891957822088E-2</c:v>
                </c:pt>
                <c:pt idx="719">
                  <c:v>3.4829194477064007E-2</c:v>
                </c:pt>
                <c:pt idx="720">
                  <c:v>3.4869145138323177E-2</c:v>
                </c:pt>
                <c:pt idx="721">
                  <c:v>3.490874394151966E-2</c:v>
                </c:pt>
                <c:pt idx="722">
                  <c:v>3.4953568725244466E-2</c:v>
                </c:pt>
                <c:pt idx="723">
                  <c:v>3.4986867606336958E-2</c:v>
                </c:pt>
                <c:pt idx="724">
                  <c:v>3.5025350093693675E-2</c:v>
                </c:pt>
                <c:pt idx="725">
                  <c:v>3.5063438203719599E-2</c:v>
                </c:pt>
                <c:pt idx="726">
                  <c:v>3.5101131936574603E-2</c:v>
                </c:pt>
                <c:pt idx="727">
                  <c:v>3.5138431291938943E-2</c:v>
                </c:pt>
                <c:pt idx="728">
                  <c:v>3.5175336269652746E-2</c:v>
                </c:pt>
                <c:pt idx="729">
                  <c:v>3.5211846869716013E-2</c:v>
                </c:pt>
                <c:pt idx="730">
                  <c:v>3.5247963091888934E-2</c:v>
                </c:pt>
                <c:pt idx="731">
                  <c:v>3.528875586273017E-2</c:v>
                </c:pt>
                <c:pt idx="732">
                  <c:v>3.5319012402483807E-2</c:v>
                </c:pt>
                <c:pt idx="733">
                  <c:v>3.5353945490506078E-2</c:v>
                </c:pt>
                <c:pt idx="734">
                  <c:v>3.538848420031826E-2</c:v>
                </c:pt>
                <c:pt idx="735">
                  <c:v>3.5422628531680544E-2</c:v>
                </c:pt>
                <c:pt idx="736">
                  <c:v>3.5461167712247388E-2</c:v>
                </c:pt>
                <c:pt idx="737">
                  <c:v>3.5489734058815614E-2</c:v>
                </c:pt>
                <c:pt idx="738">
                  <c:v>3.5522695254348591E-2</c:v>
                </c:pt>
                <c:pt idx="739">
                  <c:v>3.5555262070952054E-2</c:v>
                </c:pt>
                <c:pt idx="740">
                  <c:v>3.558743450870594E-2</c:v>
                </c:pt>
                <c:pt idx="741">
                  <c:v>3.5619212567450376E-2</c:v>
                </c:pt>
                <c:pt idx="742">
                  <c:v>3.5650596246945554E-2</c:v>
                </c:pt>
                <c:pt idx="743">
                  <c:v>3.5685980395836481E-2</c:v>
                </c:pt>
                <c:pt idx="744">
                  <c:v>3.5712180468028265E-2</c:v>
                </c:pt>
                <c:pt idx="745">
                  <c:v>3.5742381009455926E-2</c:v>
                </c:pt>
                <c:pt idx="746">
                  <c:v>3.5772187171314584E-2</c:v>
                </c:pt>
                <c:pt idx="747">
                  <c:v>3.5805768442358499E-2</c:v>
                </c:pt>
                <c:pt idx="748">
                  <c:v>3.5834729504866658E-2</c:v>
                </c:pt>
                <c:pt idx="749">
                  <c:v>3.5859239378517316E-2</c:v>
                </c:pt>
                <c:pt idx="750">
                  <c:v>3.5891468490056866E-2</c:v>
                </c:pt>
                <c:pt idx="751">
                  <c:v>3.5915302283715533E-2</c:v>
                </c:pt>
                <c:pt idx="752">
                  <c:v>3.5942742166241715E-2</c:v>
                </c:pt>
                <c:pt idx="753">
                  <c:v>3.5969787668399533E-2</c:v>
                </c:pt>
                <c:pt idx="754">
                  <c:v>3.6000213899214373E-2</c:v>
                </c:pt>
                <c:pt idx="755">
                  <c:v>3.6022695531929827E-2</c:v>
                </c:pt>
                <c:pt idx="756">
                  <c:v>3.6048557892982558E-2</c:v>
                </c:pt>
                <c:pt idx="757">
                  <c:v>3.6074025873427118E-2</c:v>
                </c:pt>
                <c:pt idx="758">
                  <c:v>3.6099099473183571E-2</c:v>
                </c:pt>
                <c:pt idx="759">
                  <c:v>3.6123778692331854E-2</c:v>
                </c:pt>
                <c:pt idx="760">
                  <c:v>3.6148063530632157E-2</c:v>
                </c:pt>
                <c:pt idx="761">
                  <c:v>3.6171953988004546E-2</c:v>
                </c:pt>
                <c:pt idx="762">
                  <c:v>3.6195450064369084E-2</c:v>
                </c:pt>
                <c:pt idx="763">
                  <c:v>3.621855175972577E-2</c:v>
                </c:pt>
                <c:pt idx="764">
                  <c:v>3.6241259073994669E-2</c:v>
                </c:pt>
                <c:pt idx="765">
                  <c:v>3.626357200701591E-2</c:v>
                </c:pt>
                <c:pt idx="766">
                  <c:v>3.6285490558709554E-2</c:v>
                </c:pt>
                <c:pt idx="767">
                  <c:v>3.6307014729075604E-2</c:v>
                </c:pt>
                <c:pt idx="768">
                  <c:v>3.6328144518114058E-2</c:v>
                </c:pt>
                <c:pt idx="769">
                  <c:v>3.6351809932222423E-2</c:v>
                </c:pt>
                <c:pt idx="770">
                  <c:v>3.6369220951488757E-2</c:v>
                </c:pt>
                <c:pt idx="771">
                  <c:v>3.6389167595825E-2</c:v>
                </c:pt>
                <c:pt idx="772">
                  <c:v>3.6408719858354033E-2</c:v>
                </c:pt>
                <c:pt idx="773">
                  <c:v>3.6427877739315662E-2</c:v>
                </c:pt>
                <c:pt idx="774">
                  <c:v>3.6449289543805108E-2</c:v>
                </c:pt>
                <c:pt idx="775">
                  <c:v>3.646516489148155E-2</c:v>
                </c:pt>
                <c:pt idx="776">
                  <c:v>3.6483781545140204E-2</c:v>
                </c:pt>
                <c:pt idx="777">
                  <c:v>3.6502503086897065E-2</c:v>
                </c:pt>
                <c:pt idx="778">
                  <c:v>3.6521329516672196E-2</c:v>
                </c:pt>
                <c:pt idx="779">
                  <c:v>3.6540260834465599E-2</c:v>
                </c:pt>
                <c:pt idx="780">
                  <c:v>3.6559297040277272E-2</c:v>
                </c:pt>
                <c:pt idx="781">
                  <c:v>3.6578438134267088E-2</c:v>
                </c:pt>
                <c:pt idx="782">
                  <c:v>3.6597684116275175E-2</c:v>
                </c:pt>
                <c:pt idx="783">
                  <c:v>3.661980795879316E-2</c:v>
                </c:pt>
                <c:pt idx="784">
                  <c:v>3.6636490744825778E-2</c:v>
                </c:pt>
                <c:pt idx="785">
                  <c:v>3.6656051391208422E-2</c:v>
                </c:pt>
                <c:pt idx="786">
                  <c:v>3.6675716925769208E-2</c:v>
                </c:pt>
                <c:pt idx="787">
                  <c:v>3.6695487348588074E-2</c:v>
                </c:pt>
                <c:pt idx="788">
                  <c:v>3.6718210552066921E-2</c:v>
                </c:pt>
                <c:pt idx="789">
                  <c:v>3.673534285884017E-2</c:v>
                </c:pt>
                <c:pt idx="790">
                  <c:v>3.67554279462734E-2</c:v>
                </c:pt>
                <c:pt idx="791">
                  <c:v>3.6775617921964709E-2</c:v>
                </c:pt>
                <c:pt idx="792">
                  <c:v>3.6795912785914098E-2</c:v>
                </c:pt>
                <c:pt idx="793">
                  <c:v>3.6819235350833424E-2</c:v>
                </c:pt>
                <c:pt idx="794">
                  <c:v>3.6836817178746983E-2</c:v>
                </c:pt>
                <c:pt idx="795">
                  <c:v>3.6860379488370398E-2</c:v>
                </c:pt>
                <c:pt idx="796">
                  <c:v>3.6878141124851993E-2</c:v>
                </c:pt>
                <c:pt idx="797">
                  <c:v>3.689896043041152E-2</c:v>
                </c:pt>
                <c:pt idx="798">
                  <c:v>3.6919884624388999E-2</c:v>
                </c:pt>
                <c:pt idx="799">
                  <c:v>3.69439264236604E-2</c:v>
                </c:pt>
                <c:pt idx="800">
                  <c:v>3.6971137202250759E-2</c:v>
                </c:pt>
                <c:pt idx="801">
                  <c:v>3.6986329221733172E-2</c:v>
                </c:pt>
                <c:pt idx="802">
                  <c:v>3.701074776324198E-2</c:v>
                </c:pt>
                <c:pt idx="803">
                  <c:v>3.7029151573717556E-2</c:v>
                </c:pt>
                <c:pt idx="804">
                  <c:v>3.7050720082456579E-2</c:v>
                </c:pt>
                <c:pt idx="805">
                  <c:v>3.7072393479613552E-2</c:v>
                </c:pt>
                <c:pt idx="806">
                  <c:v>3.7094171765348349E-2</c:v>
                </c:pt>
                <c:pt idx="807">
                  <c:v>3.7119189669656549E-2</c:v>
                </c:pt>
                <c:pt idx="808">
                  <c:v>3.7138043002471477E-2</c:v>
                </c:pt>
                <c:pt idx="809">
                  <c:v>3.7160135953859808E-2</c:v>
                </c:pt>
                <c:pt idx="810">
                  <c:v>3.7182333793905897E-2</c:v>
                </c:pt>
                <c:pt idx="811">
                  <c:v>3.720463652252981E-2</c:v>
                </c:pt>
                <c:pt idx="812">
                  <c:v>3.7227044139891419E-2</c:v>
                </c:pt>
                <c:pt idx="813">
                  <c:v>3.724955664583085E-2</c:v>
                </c:pt>
                <c:pt idx="814">
                  <c:v>3.7272174040507977E-2</c:v>
                </c:pt>
                <c:pt idx="815">
                  <c:v>3.7301407670105036E-2</c:v>
                </c:pt>
                <c:pt idx="816">
                  <c:v>3.7317723495915445E-2</c:v>
                </c:pt>
                <c:pt idx="817">
                  <c:v>3.7340655556805658E-2</c:v>
                </c:pt>
                <c:pt idx="818">
                  <c:v>3.736369250635363E-2</c:v>
                </c:pt>
                <c:pt idx="819">
                  <c:v>3.7386834344719233E-2</c:v>
                </c:pt>
                <c:pt idx="820">
                  <c:v>3.7410081071902468E-2</c:v>
                </c:pt>
                <c:pt idx="821">
                  <c:v>3.7436777195454241E-2</c:v>
                </c:pt>
                <c:pt idx="822">
                  <c:v>3.7456889192721832E-2</c:v>
                </c:pt>
                <c:pt idx="823">
                  <c:v>3.7480450586517833E-2</c:v>
                </c:pt>
                <c:pt idx="824">
                  <c:v>3.7504116869051529E-2</c:v>
                </c:pt>
                <c:pt idx="825">
                  <c:v>3.7527888040562729E-2</c:v>
                </c:pt>
                <c:pt idx="826">
                  <c:v>3.7555183529152103E-2</c:v>
                </c:pt>
                <c:pt idx="827">
                  <c:v>3.7575624119652318E-2</c:v>
                </c:pt>
                <c:pt idx="828">
                  <c:v>3.7599207630316656E-2</c:v>
                </c:pt>
                <c:pt idx="829">
                  <c:v>3.7622505330405787E-2</c:v>
                </c:pt>
                <c:pt idx="830">
                  <c:v>3.7645517220079583E-2</c:v>
                </c:pt>
                <c:pt idx="831">
                  <c:v>3.76682432990183E-2</c:v>
                </c:pt>
                <c:pt idx="832">
                  <c:v>3.7690683567461747E-2</c:v>
                </c:pt>
                <c:pt idx="833">
                  <c:v>3.7712838025170115E-2</c:v>
                </c:pt>
                <c:pt idx="834">
                  <c:v>3.7734706672223339E-2</c:v>
                </c:pt>
                <c:pt idx="835">
                  <c:v>3.7759349439330236E-2</c:v>
                </c:pt>
                <c:pt idx="836">
                  <c:v>3.7777586533804808E-2</c:v>
                </c:pt>
                <c:pt idx="837">
                  <c:v>3.7798597748412988E-2</c:v>
                </c:pt>
                <c:pt idx="838">
                  <c:v>3.7819323151886408E-2</c:v>
                </c:pt>
                <c:pt idx="839">
                  <c:v>3.7839762744544814E-2</c:v>
                </c:pt>
                <c:pt idx="840">
                  <c:v>3.7862772306160863E-2</c:v>
                </c:pt>
                <c:pt idx="841">
                  <c:v>3.7879784496457347E-2</c:v>
                </c:pt>
                <c:pt idx="842">
                  <c:v>3.7899366655791411E-2</c:v>
                </c:pt>
                <c:pt idx="843">
                  <c:v>3.7918663003990716E-2</c:v>
                </c:pt>
                <c:pt idx="844">
                  <c:v>3.7937673540895389E-2</c:v>
                </c:pt>
                <c:pt idx="845">
                  <c:v>3.7959049895901487E-2</c:v>
                </c:pt>
                <c:pt idx="846">
                  <c:v>3.7974837180980714E-2</c:v>
                </c:pt>
                <c:pt idx="847">
                  <c:v>3.7992990284001493E-2</c:v>
                </c:pt>
                <c:pt idx="848">
                  <c:v>3.8010857575567769E-2</c:v>
                </c:pt>
                <c:pt idx="849">
                  <c:v>3.8028439055759478E-2</c:v>
                </c:pt>
                <c:pt idx="850">
                  <c:v>3.8045734724416747E-2</c:v>
                </c:pt>
                <c:pt idx="851">
                  <c:v>3.8065151229620398E-2</c:v>
                </c:pt>
                <c:pt idx="852">
                  <c:v>3.8081834444989582E-2</c:v>
                </c:pt>
                <c:pt idx="853">
                  <c:v>3.809590686110198E-2</c:v>
                </c:pt>
                <c:pt idx="854">
                  <c:v>3.8114343440804888E-2</c:v>
                </c:pt>
                <c:pt idx="855">
                  <c:v>3.8127925894206882E-2</c:v>
                </c:pt>
                <c:pt idx="856">
                  <c:v>3.8143506693097962E-2</c:v>
                </c:pt>
                <c:pt idx="857">
                  <c:v>3.8158801680294729E-2</c:v>
                </c:pt>
                <c:pt idx="858">
                  <c:v>3.817381085571725E-2</c:v>
                </c:pt>
                <c:pt idx="859">
                  <c:v>3.8190614225213082E-2</c:v>
                </c:pt>
                <c:pt idx="860">
                  <c:v>3.8202971770839866E-2</c:v>
                </c:pt>
                <c:pt idx="861">
                  <c:v>3.8217123510619899E-2</c:v>
                </c:pt>
                <c:pt idx="862">
                  <c:v>3.8230989438465812E-2</c:v>
                </c:pt>
                <c:pt idx="863">
                  <c:v>3.8244569554377605E-2</c:v>
                </c:pt>
                <c:pt idx="864">
                  <c:v>3.8257863858355279E-2</c:v>
                </c:pt>
                <c:pt idx="865">
                  <c:v>3.827087235023896E-2</c:v>
                </c:pt>
                <c:pt idx="866">
                  <c:v>3.8287177585241139E-2</c:v>
                </c:pt>
                <c:pt idx="867">
                  <c:v>3.8296031897724347E-2</c:v>
                </c:pt>
                <c:pt idx="868">
                  <c:v>3.8308182953326053E-2</c:v>
                </c:pt>
                <c:pt idx="869">
                  <c:v>3.8320048196673895E-2</c:v>
                </c:pt>
                <c:pt idx="870">
                  <c:v>3.8331627627927745E-2</c:v>
                </c:pt>
                <c:pt idx="871">
                  <c:v>3.8342921247007666E-2</c:v>
                </c:pt>
                <c:pt idx="872">
                  <c:v>3.8353929053833724E-2</c:v>
                </c:pt>
                <c:pt idx="873">
                  <c:v>3.8366159430305302E-2</c:v>
                </c:pt>
                <c:pt idx="874">
                  <c:v>3.8375087230644311E-2</c:v>
                </c:pt>
                <c:pt idx="875">
                  <c:v>3.8385237600708777E-2</c:v>
                </c:pt>
                <c:pt idx="876">
                  <c:v>3.8395102158359506E-2</c:v>
                </c:pt>
                <c:pt idx="877">
                  <c:v>3.84046809035965E-2</c:v>
                </c:pt>
                <c:pt idx="878">
                  <c:v>3.8415278066663561E-2</c:v>
                </c:pt>
                <c:pt idx="879">
                  <c:v>3.8423109147247558E-2</c:v>
                </c:pt>
                <c:pt idx="880">
                  <c:v>3.8432536552743812E-2</c:v>
                </c:pt>
                <c:pt idx="881">
                  <c:v>3.8442295981129249E-2</c:v>
                </c:pt>
                <c:pt idx="882">
                  <c:v>3.8452387432403867E-2</c:v>
                </c:pt>
                <c:pt idx="883">
                  <c:v>3.8462810906567668E-2</c:v>
                </c:pt>
                <c:pt idx="884">
                  <c:v>3.8473566403700588E-2</c:v>
                </c:pt>
                <c:pt idx="885">
                  <c:v>3.8484653923802625E-2</c:v>
                </c:pt>
                <c:pt idx="886">
                  <c:v>3.8496073466873781E-2</c:v>
                </c:pt>
                <c:pt idx="887">
                  <c:v>3.8509530932016034E-2</c:v>
                </c:pt>
                <c:pt idx="888">
                  <c:v>3.8519908622163257E-2</c:v>
                </c:pt>
                <c:pt idx="889">
                  <c:v>3.8532324234461512E-2</c:v>
                </c:pt>
                <c:pt idx="890">
                  <c:v>3.8545071869888758E-2</c:v>
                </c:pt>
                <c:pt idx="891">
                  <c:v>3.8558151528444995E-2</c:v>
                </c:pt>
                <c:pt idx="892">
                  <c:v>3.8573506268724245E-2</c:v>
                </c:pt>
                <c:pt idx="893">
                  <c:v>3.8585306915264184E-2</c:v>
                </c:pt>
                <c:pt idx="894">
                  <c:v>3.8599382643607072E-2</c:v>
                </c:pt>
                <c:pt idx="895">
                  <c:v>3.8613790395158887E-2</c:v>
                </c:pt>
                <c:pt idx="896">
                  <c:v>3.8628530170239372E-2</c:v>
                </c:pt>
                <c:pt idx="897">
                  <c:v>3.8645782186534916E-2</c:v>
                </c:pt>
                <c:pt idx="898">
                  <c:v>3.8659005790426804E-2</c:v>
                </c:pt>
                <c:pt idx="899">
                  <c:v>3.8674741635773557E-2</c:v>
                </c:pt>
                <c:pt idx="900">
                  <c:v>3.8690809504569046E-2</c:v>
                </c:pt>
                <c:pt idx="901">
                  <c:v>3.8707209396973141E-2</c:v>
                </c:pt>
                <c:pt idx="902">
                  <c:v>3.8723941313065779E-2</c:v>
                </c:pt>
                <c:pt idx="903">
                  <c:v>3.8743470062403418E-2</c:v>
                </c:pt>
                <c:pt idx="904">
                  <c:v>3.8760913457771551E-2</c:v>
                </c:pt>
                <c:pt idx="905">
                  <c:v>3.877612920331508E-2</c:v>
                </c:pt>
                <c:pt idx="906">
                  <c:v>3.879679631989319E-2</c:v>
                </c:pt>
                <c:pt idx="907">
                  <c:v>3.8812581249176858E-2</c:v>
                </c:pt>
                <c:pt idx="908">
                  <c:v>3.883130530788037E-2</c:v>
                </c:pt>
                <c:pt idx="909">
                  <c:v>3.8850361390672106E-2</c:v>
                </c:pt>
                <c:pt idx="910">
                  <c:v>3.8869749497312256E-2</c:v>
                </c:pt>
                <c:pt idx="911">
                  <c:v>3.8892313893663655E-2</c:v>
                </c:pt>
                <c:pt idx="912">
                  <c:v>3.8909521783097034E-2</c:v>
                </c:pt>
                <c:pt idx="913">
                  <c:v>3.8929905962161726E-2</c:v>
                </c:pt>
                <c:pt idx="914">
                  <c:v>3.8950622165474513E-2</c:v>
                </c:pt>
                <c:pt idx="915">
                  <c:v>3.8971670393035396E-2</c:v>
                </c:pt>
                <c:pt idx="916">
                  <c:v>3.8993050645004246E-2</c:v>
                </c:pt>
                <c:pt idx="917">
                  <c:v>3.9021027413106424E-2</c:v>
                </c:pt>
                <c:pt idx="918">
                  <c:v>3.9036807222245784E-2</c:v>
                </c:pt>
                <c:pt idx="919">
                  <c:v>3.9059183547678344E-2</c:v>
                </c:pt>
                <c:pt idx="920">
                  <c:v>3.9081891897598808E-2</c:v>
                </c:pt>
                <c:pt idx="921">
                  <c:v>3.9104932272246984E-2</c:v>
                </c:pt>
                <c:pt idx="922">
                  <c:v>3.9128304671622871E-2</c:v>
                </c:pt>
                <c:pt idx="923">
                  <c:v>3.915200909572647E-2</c:v>
                </c:pt>
                <c:pt idx="924">
                  <c:v>3.9176045544717653E-2</c:v>
                </c:pt>
                <c:pt idx="925">
                  <c:v>3.9203922333275187E-2</c:v>
                </c:pt>
                <c:pt idx="926">
                  <c:v>3.9225114517442705E-2</c:v>
                </c:pt>
                <c:pt idx="927">
                  <c:v>3.9250147041336447E-2</c:v>
                </c:pt>
                <c:pt idx="928">
                  <c:v>3.9275511590437517E-2</c:v>
                </c:pt>
                <c:pt idx="929">
                  <c:v>3.9301208164586043E-2</c:v>
                </c:pt>
                <c:pt idx="930">
                  <c:v>3.9327236764181706E-2</c:v>
                </c:pt>
                <c:pt idx="931">
                  <c:v>3.9353583059167363E-2</c:v>
                </c:pt>
                <c:pt idx="932">
                  <c:v>3.9379845814337955E-2</c:v>
                </c:pt>
                <c:pt idx="933">
                  <c:v>3.9405838741908283E-2</c:v>
                </c:pt>
                <c:pt idx="934">
                  <c:v>3.9431561841718477E-2</c:v>
                </c:pt>
                <c:pt idx="935">
                  <c:v>3.945701511384847E-2</c:v>
                </c:pt>
                <c:pt idx="936">
                  <c:v>3.9482198558138393E-2</c:v>
                </c:pt>
                <c:pt idx="937">
                  <c:v>3.9507112174508308E-2</c:v>
                </c:pt>
                <c:pt idx="938">
                  <c:v>3.9531755962958215E-2</c:v>
                </c:pt>
                <c:pt idx="939">
                  <c:v>3.9559589891000613E-2</c:v>
                </c:pt>
                <c:pt idx="940">
                  <c:v>3.9580234055778263E-2</c:v>
                </c:pt>
                <c:pt idx="941">
                  <c:v>3.9604068360148403E-2</c:v>
                </c:pt>
                <c:pt idx="942">
                  <c:v>3.9627632836278792E-2</c:v>
                </c:pt>
                <c:pt idx="943">
                  <c:v>3.9650927484249365E-2</c:v>
                </c:pt>
                <c:pt idx="944">
                  <c:v>3.9673952303900251E-2</c:v>
                </c:pt>
                <c:pt idx="945">
                  <c:v>3.9699935981589718E-2</c:v>
                </c:pt>
                <c:pt idx="946">
                  <c:v>3.971919245840283E-2</c:v>
                </c:pt>
                <c:pt idx="947">
                  <c:v>3.974140779293478E-2</c:v>
                </c:pt>
                <c:pt idx="948">
                  <c:v>3.9763353299147042E-2</c:v>
                </c:pt>
                <c:pt idx="949">
                  <c:v>3.97881034752956E-2</c:v>
                </c:pt>
                <c:pt idx="950">
                  <c:v>3.9806434825813142E-2</c:v>
                </c:pt>
                <c:pt idx="951">
                  <c:v>3.982757084626698E-2</c:v>
                </c:pt>
                <c:pt idx="952">
                  <c:v>3.9848437038161322E-2</c:v>
                </c:pt>
                <c:pt idx="953">
                  <c:v>3.9869033401176424E-2</c:v>
                </c:pt>
                <c:pt idx="954">
                  <c:v>3.9889359935472157E-2</c:v>
                </c:pt>
                <c:pt idx="955">
                  <c:v>3.991305057588157E-2</c:v>
                </c:pt>
                <c:pt idx="956">
                  <c:v>3.9944818692205786E-2</c:v>
                </c:pt>
                <c:pt idx="957">
                  <c:v>3.9954247304549995E-2</c:v>
                </c:pt>
                <c:pt idx="958">
                  <c:v>3.9973417429477465E-2</c:v>
                </c:pt>
                <c:pt idx="959">
                  <c:v>3.9992317725445758E-2</c:v>
                </c:pt>
                <c:pt idx="960">
                  <c:v>4.001094819237494E-2</c:v>
                </c:pt>
                <c:pt idx="961">
                  <c:v>4.0029308830265009E-2</c:v>
                </c:pt>
                <c:pt idx="962">
                  <c:v>4.0047399638956094E-2</c:v>
                </c:pt>
                <c:pt idx="963">
                  <c:v>4.006522061852813E-2</c:v>
                </c:pt>
                <c:pt idx="964">
                  <c:v>4.0082771768901182E-2</c:v>
                </c:pt>
                <c:pt idx="965">
                  <c:v>4.0100053090075249E-2</c:v>
                </c:pt>
                <c:pt idx="966">
                  <c:v>4.0117064581970396E-2</c:v>
                </c:pt>
                <c:pt idx="967">
                  <c:v>4.0133806244506687E-2</c:v>
                </c:pt>
                <c:pt idx="968">
                  <c:v>4.0150278077764057E-2</c:v>
                </c:pt>
                <c:pt idx="969">
                  <c:v>4.0166480081582634E-2</c:v>
                </c:pt>
                <c:pt idx="970">
                  <c:v>4.0182412256122291E-2</c:v>
                </c:pt>
                <c:pt idx="971">
                  <c:v>4.0198074601063283E-2</c:v>
                </c:pt>
                <c:pt idx="972">
                  <c:v>4.0222141691783619E-2</c:v>
                </c:pt>
                <c:pt idx="973">
                  <c:v>4.0237110189424996E-2</c:v>
                </c:pt>
                <c:pt idx="974">
                  <c:v>4.0251808857467708E-2</c:v>
                </c:pt>
                <c:pt idx="975">
                  <c:v>4.0266237695911755E-2</c:v>
                </c:pt>
                <c:pt idx="976">
                  <c:v>4.0282397393411884E-2</c:v>
                </c:pt>
                <c:pt idx="977">
                  <c:v>4.0294285883923919E-2</c:v>
                </c:pt>
                <c:pt idx="978">
                  <c:v>4.0307905233332164E-2</c:v>
                </c:pt>
                <c:pt idx="979">
                  <c:v>4.0321254753061808E-2</c:v>
                </c:pt>
                <c:pt idx="980">
                  <c:v>4.0334334443032915E-2</c:v>
                </c:pt>
                <c:pt idx="981">
                  <c:v>4.034714430316555E-2</c:v>
                </c:pt>
                <c:pt idx="982">
                  <c:v>4.0361453739441444E-2</c:v>
                </c:pt>
                <c:pt idx="983">
                  <c:v>4.03719545339154E-2</c:v>
                </c:pt>
                <c:pt idx="984">
                  <c:v>4.0383954904532615E-2</c:v>
                </c:pt>
                <c:pt idx="985">
                  <c:v>4.0395685445231422E-2</c:v>
                </c:pt>
                <c:pt idx="986">
                  <c:v>4.0407146155931883E-2</c:v>
                </c:pt>
                <c:pt idx="987">
                  <c:v>4.0418337036713936E-2</c:v>
                </c:pt>
                <c:pt idx="988">
                  <c:v>4.042925808757758E-2</c:v>
                </c:pt>
                <c:pt idx="989">
                  <c:v>4.0439909308362942E-2</c:v>
                </c:pt>
                <c:pt idx="990">
                  <c:v>4.0451751727967888E-2</c:v>
                </c:pt>
                <c:pt idx="991">
                  <c:v>4.0460402259858697E-2</c:v>
                </c:pt>
                <c:pt idx="992">
                  <c:v>4.0470243990409216E-2</c:v>
                </c:pt>
                <c:pt idx="993">
                  <c:v>4.047981589096139E-2</c:v>
                </c:pt>
                <c:pt idx="994">
                  <c:v>4.0489117961355348E-2</c:v>
                </c:pt>
                <c:pt idx="995">
                  <c:v>4.0498150201591088E-2</c:v>
                </c:pt>
                <c:pt idx="996">
                  <c:v>4.0508142357653654E-2</c:v>
                </c:pt>
                <c:pt idx="997">
                  <c:v>4.0515405191667853E-2</c:v>
                </c:pt>
                <c:pt idx="998">
                  <c:v>4.0523627941269069E-2</c:v>
                </c:pt>
                <c:pt idx="999">
                  <c:v>4.0531580860871941E-2</c:v>
                </c:pt>
                <c:pt idx="1000">
                  <c:v>4.0542084333563544E-2</c:v>
                </c:pt>
                <c:pt idx="1001">
                  <c:v>4.0546677209123416E-2</c:v>
                </c:pt>
                <c:pt idx="1002">
                  <c:v>4.055382063777202E-2</c:v>
                </c:pt>
                <c:pt idx="1003">
                  <c:v>4.0561654151849424E-2</c:v>
                </c:pt>
                <c:pt idx="1004">
                  <c:v>4.0567298004274832E-2</c:v>
                </c:pt>
                <c:pt idx="1005">
                  <c:v>4.0573631942049104E-2</c:v>
                </c:pt>
                <c:pt idx="1006">
                  <c:v>4.0579696049585223E-2</c:v>
                </c:pt>
                <c:pt idx="1007">
                  <c:v>4.0589781609172704E-2</c:v>
                </c:pt>
                <c:pt idx="1008">
                  <c:v>4.0591781953223105E-2</c:v>
                </c:pt>
                <c:pt idx="1009">
                  <c:v>4.0596269389885364E-2</c:v>
                </c:pt>
                <c:pt idx="1010">
                  <c:v>4.0601944261178247E-2</c:v>
                </c:pt>
                <c:pt idx="1011">
                  <c:v>4.0605969131455311E-2</c:v>
                </c:pt>
                <c:pt idx="1012">
                  <c:v>4.0610414256683214E-2</c:v>
                </c:pt>
                <c:pt idx="1013">
                  <c:v>4.0614589551433156E-2</c:v>
                </c:pt>
                <c:pt idx="1014">
                  <c:v>4.0619030912312226E-2</c:v>
                </c:pt>
                <c:pt idx="1015">
                  <c:v>4.0622130649738963E-2</c:v>
                </c:pt>
                <c:pt idx="1016">
                  <c:v>4.0625496453214893E-2</c:v>
                </c:pt>
                <c:pt idx="1017">
                  <c:v>4.0628592426292798E-2</c:v>
                </c:pt>
                <c:pt idx="1018">
                  <c:v>4.0631418568892741E-2</c:v>
                </c:pt>
                <c:pt idx="1019">
                  <c:v>4.0633974880934787E-2</c:v>
                </c:pt>
                <c:pt idx="1020">
                  <c:v>4.0636261362658743E-2</c:v>
                </c:pt>
                <c:pt idx="1021">
                  <c:v>4.0638278013824802E-2</c:v>
                </c:pt>
                <c:pt idx="1022">
                  <c:v>4.06400248345129E-2</c:v>
                </c:pt>
                <c:pt idx="1023">
                  <c:v>4.06415018246431E-2</c:v>
                </c:pt>
                <c:pt idx="1024">
                  <c:v>4.0642708984375275E-2</c:v>
                </c:pt>
                <c:pt idx="1025">
                  <c:v>4.0643646313629489E-2</c:v>
                </c:pt>
                <c:pt idx="1026">
                  <c:v>4.0644313812325805E-2</c:v>
                </c:pt>
                <c:pt idx="1027">
                  <c:v>4.0644711480704032E-2</c:v>
                </c:pt>
                <c:pt idx="1028">
                  <c:v>4.0644835553935721E-2</c:v>
                </c:pt>
                <c:pt idx="1029">
                  <c:v>4.0644697325706858E-2</c:v>
                </c:pt>
                <c:pt idx="1030">
                  <c:v>4.0644285502411392E-2</c:v>
                </c:pt>
                <c:pt idx="1031">
                  <c:v>4.0643603848717902E-2</c:v>
                </c:pt>
                <c:pt idx="1032">
                  <c:v>4.0642652364466514E-2</c:v>
                </c:pt>
                <c:pt idx="1033">
                  <c:v>4.0641431049737164E-2</c:v>
                </c:pt>
                <c:pt idx="1034">
                  <c:v>4.0639705704190732E-2</c:v>
                </c:pt>
                <c:pt idx="1035">
                  <c:v>4.0638286533649648E-2</c:v>
                </c:pt>
                <c:pt idx="1036">
                  <c:v>4.0636611585709304E-2</c:v>
                </c:pt>
                <c:pt idx="1037">
                  <c:v>4.0634915907871161E-2</c:v>
                </c:pt>
                <c:pt idx="1038">
                  <c:v>4.0633199500295092E-2</c:v>
                </c:pt>
                <c:pt idx="1039">
                  <c:v>4.0631462362981097E-2</c:v>
                </c:pt>
                <c:pt idx="1040">
                  <c:v>4.0629704495849239E-2</c:v>
                </c:pt>
                <c:pt idx="1041">
                  <c:v>4.0627925898979456E-2</c:v>
                </c:pt>
                <c:pt idx="1042">
                  <c:v>4.062612657229181E-2</c:v>
                </c:pt>
                <c:pt idx="1043">
                  <c:v>4.0624044815604776E-2</c:v>
                </c:pt>
                <c:pt idx="1044">
                  <c:v>4.0622465729702739E-2</c:v>
                </c:pt>
                <c:pt idx="1045">
                  <c:v>4.0620604213801315E-2</c:v>
                </c:pt>
                <c:pt idx="1046">
                  <c:v>4.0618721968082028E-2</c:v>
                </c:pt>
                <c:pt idx="1047">
                  <c:v>4.0616818992544879E-2</c:v>
                </c:pt>
                <c:pt idx="1048">
                  <c:v>4.0614618779972744E-2</c:v>
                </c:pt>
                <c:pt idx="1049">
                  <c:v>4.0612950852336738E-2</c:v>
                </c:pt>
                <c:pt idx="1050">
                  <c:v>4.0610985687425938E-2</c:v>
                </c:pt>
                <c:pt idx="1051">
                  <c:v>4.0608999792857148E-2</c:v>
                </c:pt>
                <c:pt idx="1052">
                  <c:v>4.0606993168470495E-2</c:v>
                </c:pt>
                <c:pt idx="1053">
                  <c:v>4.0604965814345917E-2</c:v>
                </c:pt>
                <c:pt idx="1054">
                  <c:v>4.0602917730483412E-2</c:v>
                </c:pt>
                <c:pt idx="1055">
                  <c:v>4.0600551679847996E-2</c:v>
                </c:pt>
                <c:pt idx="1056">
                  <c:v>4.0598759373464688E-2</c:v>
                </c:pt>
                <c:pt idx="1057">
                  <c:v>4.0596649100228532E-2</c:v>
                </c:pt>
                <c:pt idx="1058">
                  <c:v>4.0594518097254451E-2</c:v>
                </c:pt>
                <c:pt idx="1059">
                  <c:v>4.0592057281942928E-2</c:v>
                </c:pt>
                <c:pt idx="1060">
                  <c:v>4.0589881858021926E-2</c:v>
                </c:pt>
                <c:pt idx="1061">
                  <c:v>4.0588000709824712E-2</c:v>
                </c:pt>
                <c:pt idx="1062">
                  <c:v>4.0585468820966142E-2</c:v>
                </c:pt>
                <c:pt idx="1063">
                  <c:v>4.0583552135995404E-2</c:v>
                </c:pt>
                <c:pt idx="1064">
                  <c:v>4.0581296754433893E-2</c:v>
                </c:pt>
                <c:pt idx="1065">
                  <c:v>4.0579020643134456E-2</c:v>
                </c:pt>
                <c:pt idx="1066">
                  <c:v>4.0576393989599779E-2</c:v>
                </c:pt>
                <c:pt idx="1067">
                  <c:v>4.057440623116193E-2</c:v>
                </c:pt>
                <c:pt idx="1068">
                  <c:v>4.0572067930568778E-2</c:v>
                </c:pt>
                <c:pt idx="1069">
                  <c:v>4.05697089002377E-2</c:v>
                </c:pt>
                <c:pt idx="1070">
                  <c:v>4.0567329140088759E-2</c:v>
                </c:pt>
                <c:pt idx="1071">
                  <c:v>4.0564928650201892E-2</c:v>
                </c:pt>
                <c:pt idx="1072">
                  <c:v>4.0562507430497163E-2</c:v>
                </c:pt>
                <c:pt idx="1073">
                  <c:v>4.0560065481054508E-2</c:v>
                </c:pt>
                <c:pt idx="1074">
                  <c:v>4.0557602801953863E-2</c:v>
                </c:pt>
                <c:pt idx="1075">
                  <c:v>4.0555119393035355E-2</c:v>
                </c:pt>
                <c:pt idx="1076">
                  <c:v>4.0552615254219049E-2</c:v>
                </c:pt>
                <c:pt idx="1077">
                  <c:v>4.0550090385824689E-2</c:v>
                </c:pt>
                <c:pt idx="1078">
                  <c:v>4.054754478753253E-2</c:v>
                </c:pt>
                <c:pt idx="1079">
                  <c:v>4.0544978459582381E-2</c:v>
                </c:pt>
                <c:pt idx="1080">
                  <c:v>4.0542391401814371E-2</c:v>
                </c:pt>
                <c:pt idx="1081">
                  <c:v>4.0539409381104008E-2</c:v>
                </c:pt>
                <c:pt idx="1082">
                  <c:v>4.053715509706457E-2</c:v>
                </c:pt>
                <c:pt idx="1083">
                  <c:v>4.0534505850162716E-2</c:v>
                </c:pt>
                <c:pt idx="1084">
                  <c:v>4.0531835873363065E-2</c:v>
                </c:pt>
                <c:pt idx="1085">
                  <c:v>4.0529145166825487E-2</c:v>
                </c:pt>
                <c:pt idx="1086">
                  <c:v>4.0526044690309959E-2</c:v>
                </c:pt>
                <c:pt idx="1087">
                  <c:v>4.0523701564536552E-2</c:v>
                </c:pt>
                <c:pt idx="1088">
                  <c:v>4.0520948668705259E-2</c:v>
                </c:pt>
                <c:pt idx="1089">
                  <c:v>4.0518175043215976E-2</c:v>
                </c:pt>
                <c:pt idx="1090">
                  <c:v>4.0515380687988767E-2</c:v>
                </c:pt>
                <c:pt idx="1091">
                  <c:v>4.0512565602943695E-2</c:v>
                </c:pt>
                <c:pt idx="1092">
                  <c:v>4.0509729788080762E-2</c:v>
                </c:pt>
                <c:pt idx="1093">
                  <c:v>4.0506873243479902E-2</c:v>
                </c:pt>
                <c:pt idx="1094">
                  <c:v>4.0503995969300988E-2</c:v>
                </c:pt>
                <c:pt idx="1095">
                  <c:v>4.0500682272384125E-2</c:v>
                </c:pt>
                <c:pt idx="1096">
                  <c:v>4.0498179231329701E-2</c:v>
                </c:pt>
                <c:pt idx="1097">
                  <c:v>4.0495239767777136E-2</c:v>
                </c:pt>
                <c:pt idx="1098">
                  <c:v>4.0492279574486645E-2</c:v>
                </c:pt>
                <c:pt idx="1099">
                  <c:v>4.0489298651378292E-2</c:v>
                </c:pt>
                <c:pt idx="1100">
                  <c:v>4.0485866498896073E-2</c:v>
                </c:pt>
                <c:pt idx="1101">
                  <c:v>4.0483274616187614E-2</c:v>
                </c:pt>
                <c:pt idx="1102">
                  <c:v>4.0480231503865483E-2</c:v>
                </c:pt>
                <c:pt idx="1103">
                  <c:v>4.0477167661805424E-2</c:v>
                </c:pt>
                <c:pt idx="1104">
                  <c:v>4.0474083089927504E-2</c:v>
                </c:pt>
                <c:pt idx="1105">
                  <c:v>4.0470532481720056E-2</c:v>
                </c:pt>
                <c:pt idx="1106">
                  <c:v>4.0467851757197693E-2</c:v>
                </c:pt>
                <c:pt idx="1107">
                  <c:v>4.0464253766652192E-2</c:v>
                </c:pt>
                <c:pt idx="1108">
                  <c:v>4.0461537505356304E-2</c:v>
                </c:pt>
                <c:pt idx="1109">
                  <c:v>4.0458349284868689E-2</c:v>
                </c:pt>
                <c:pt idx="1110">
                  <c:v>4.0455140334563211E-2</c:v>
                </c:pt>
                <c:pt idx="1111">
                  <c:v>4.0451447579501476E-2</c:v>
                </c:pt>
                <c:pt idx="1112">
                  <c:v>4.0447260866285362E-2</c:v>
                </c:pt>
                <c:pt idx="1113">
                  <c:v>4.0444920107578497E-2</c:v>
                </c:pt>
                <c:pt idx="1114">
                  <c:v>4.04411528946369E-2</c:v>
                </c:pt>
                <c:pt idx="1115">
                  <c:v>4.0438309716543941E-2</c:v>
                </c:pt>
                <c:pt idx="1116">
                  <c:v>4.043497342649971E-2</c:v>
                </c:pt>
                <c:pt idx="1117">
                  <c:v>4.0431616406637616E-2</c:v>
                </c:pt>
                <c:pt idx="1118">
                  <c:v>4.042823865695766E-2</c:v>
                </c:pt>
                <c:pt idx="1119">
                  <c:v>4.0424352988450707E-2</c:v>
                </c:pt>
                <c:pt idx="1120">
                  <c:v>4.0421420968703714E-2</c:v>
                </c:pt>
                <c:pt idx="1121">
                  <c:v>4.041798102980998E-2</c:v>
                </c:pt>
                <c:pt idx="1122">
                  <c:v>4.0414520361338191E-2</c:v>
                </c:pt>
                <c:pt idx="1123">
                  <c:v>4.041103896304854E-2</c:v>
                </c:pt>
                <c:pt idx="1124">
                  <c:v>4.0407536835100899E-2</c:v>
                </c:pt>
                <c:pt idx="1125">
                  <c:v>4.0404013977335396E-2</c:v>
                </c:pt>
                <c:pt idx="1126">
                  <c:v>4.0400470389991838E-2</c:v>
                </c:pt>
                <c:pt idx="1127">
                  <c:v>4.0395883888892925E-2</c:v>
                </c:pt>
                <c:pt idx="1128">
                  <c:v>4.0393321025851137E-2</c:v>
                </c:pt>
                <c:pt idx="1129">
                  <c:v>4.0389715249133928E-2</c:v>
                </c:pt>
                <c:pt idx="1130">
                  <c:v>4.038608874275873E-2</c:v>
                </c:pt>
                <c:pt idx="1131">
                  <c:v>4.0382441506645606E-2</c:v>
                </c:pt>
                <c:pt idx="1132">
                  <c:v>4.0378773540794555E-2</c:v>
                </c:pt>
                <c:pt idx="1133">
                  <c:v>4.0374556196400846E-2</c:v>
                </c:pt>
                <c:pt idx="1134">
                  <c:v>4.0371375419878675E-2</c:v>
                </c:pt>
                <c:pt idx="1135">
                  <c:v>4.0367645264893781E-2</c:v>
                </c:pt>
                <c:pt idx="1136">
                  <c:v>4.0363894380170962E-2</c:v>
                </c:pt>
                <c:pt idx="1137">
                  <c:v>4.036012276563028E-2</c:v>
                </c:pt>
                <c:pt idx="1138">
                  <c:v>4.0355786965671214E-2</c:v>
                </c:pt>
                <c:pt idx="1139">
                  <c:v>4.0352517347415073E-2</c:v>
                </c:pt>
                <c:pt idx="1140">
                  <c:v>4.0348683543740549E-2</c:v>
                </c:pt>
                <c:pt idx="1141">
                  <c:v>4.0344829010328098E-2</c:v>
                </c:pt>
                <c:pt idx="1142">
                  <c:v>4.0340953747257657E-2</c:v>
                </c:pt>
                <c:pt idx="1143">
                  <c:v>4.0337057754369354E-2</c:v>
                </c:pt>
                <c:pt idx="1144">
                  <c:v>4.0333141031823061E-2</c:v>
                </c:pt>
                <c:pt idx="1145">
                  <c:v>4.0329203579538841E-2</c:v>
                </c:pt>
                <c:pt idx="1146">
                  <c:v>4.0325245397596632E-2</c:v>
                </c:pt>
                <c:pt idx="1147">
                  <c:v>4.0320696377635912E-2</c:v>
                </c:pt>
                <c:pt idx="1148">
                  <c:v>4.0317266844418498E-2</c:v>
                </c:pt>
                <c:pt idx="1149">
                  <c:v>4.0313246473182573E-2</c:v>
                </c:pt>
                <c:pt idx="1150">
                  <c:v>4.0309205372288659E-2</c:v>
                </c:pt>
                <c:pt idx="1151">
                  <c:v>4.0305143541736754E-2</c:v>
                </c:pt>
                <c:pt idx="1152">
                  <c:v>4.030047606637055E-2</c:v>
                </c:pt>
                <c:pt idx="1153">
                  <c:v>4.0296957691419166E-2</c:v>
                </c:pt>
                <c:pt idx="1154">
                  <c:v>4.0292833671733419E-2</c:v>
                </c:pt>
                <c:pt idx="1155">
                  <c:v>4.0288688922229809E-2</c:v>
                </c:pt>
                <c:pt idx="1156">
                  <c:v>4.028452344306821E-2</c:v>
                </c:pt>
                <c:pt idx="1157">
                  <c:v>4.0279737511976776E-2</c:v>
                </c:pt>
                <c:pt idx="1158">
                  <c:v>4.0276130295531232E-2</c:v>
                </c:pt>
                <c:pt idx="1159">
                  <c:v>4.0271902627155853E-2</c:v>
                </c:pt>
                <c:pt idx="1160">
                  <c:v>4.0267654229202421E-2</c:v>
                </c:pt>
                <c:pt idx="1161">
                  <c:v>4.0263385101431126E-2</c:v>
                </c:pt>
                <c:pt idx="1162">
                  <c:v>4.0259095244001841E-2</c:v>
                </c:pt>
                <c:pt idx="1163">
                  <c:v>4.0254167166455801E-2</c:v>
                </c:pt>
                <c:pt idx="1164">
                  <c:v>4.0249832888159531E-2</c:v>
                </c:pt>
                <c:pt idx="1165">
                  <c:v>4.0246101293446301E-2</c:v>
                </c:pt>
                <c:pt idx="1166">
                  <c:v>4.0241102142513085E-2</c:v>
                </c:pt>
                <c:pt idx="1167">
                  <c:v>4.0237335011186204E-2</c:v>
                </c:pt>
                <c:pt idx="1168">
                  <c:v>4.0232920775489234E-2</c:v>
                </c:pt>
                <c:pt idx="1169">
                  <c:v>4.0228485810134273E-2</c:v>
                </c:pt>
                <c:pt idx="1170">
                  <c:v>4.0224030115041387E-2</c:v>
                </c:pt>
                <c:pt idx="1171">
                  <c:v>4.0218912508782623E-2</c:v>
                </c:pt>
                <c:pt idx="1172">
                  <c:v>4.0215056535721772E-2</c:v>
                </c:pt>
                <c:pt idx="1173">
                  <c:v>4.0210538651574979E-2</c:v>
                </c:pt>
                <c:pt idx="1174">
                  <c:v>4.0206000037610323E-2</c:v>
                </c:pt>
                <c:pt idx="1175">
                  <c:v>4.0201440694067614E-2</c:v>
                </c:pt>
                <c:pt idx="1176">
                  <c:v>4.0196860620707042E-2</c:v>
                </c:pt>
                <c:pt idx="1177">
                  <c:v>4.0190941495117372E-2</c:v>
                </c:pt>
                <c:pt idx="1178">
                  <c:v>4.0187638285011928E-2</c:v>
                </c:pt>
                <c:pt idx="1179">
                  <c:v>4.018299602259745E-2</c:v>
                </c:pt>
                <c:pt idx="1180">
                  <c:v>4.0178333030524982E-2</c:v>
                </c:pt>
                <c:pt idx="1181">
                  <c:v>4.0173649308794523E-2</c:v>
                </c:pt>
                <c:pt idx="1182">
                  <c:v>4.0168944857326139E-2</c:v>
                </c:pt>
                <c:pt idx="1183">
                  <c:v>4.0164219676119828E-2</c:v>
                </c:pt>
                <c:pt idx="1184">
                  <c:v>4.0159473765255527E-2</c:v>
                </c:pt>
                <c:pt idx="1185">
                  <c:v>4.0154024483829431E-2</c:v>
                </c:pt>
                <c:pt idx="1186">
                  <c:v>4.0149919754473018E-2</c:v>
                </c:pt>
                <c:pt idx="1187">
                  <c:v>4.014511165455481E-2</c:v>
                </c:pt>
                <c:pt idx="1188">
                  <c:v>4.0140282824898676E-2</c:v>
                </c:pt>
                <c:pt idx="1189">
                  <c:v>4.0135433265584552E-2</c:v>
                </c:pt>
                <c:pt idx="1190">
                  <c:v>4.0132450966736677E-2</c:v>
                </c:pt>
                <c:pt idx="1191">
                  <c:v>4.0125672199948781E-2</c:v>
                </c:pt>
                <c:pt idx="1192">
                  <c:v>4.0120767711213645E-2</c:v>
                </c:pt>
                <c:pt idx="1193">
                  <c:v>4.0115852656290585E-2</c:v>
                </c:pt>
                <c:pt idx="1194">
                  <c:v>4.01109270351796E-2</c:v>
                </c:pt>
                <c:pt idx="1195">
                  <c:v>4.010599084788069E-2</c:v>
                </c:pt>
                <c:pt idx="1196">
                  <c:v>4.0101044094393856E-2</c:v>
                </c:pt>
                <c:pt idx="1197">
                  <c:v>4.0096086774639161E-2</c:v>
                </c:pt>
                <c:pt idx="1198">
                  <c:v>4.0091118888856414E-2</c:v>
                </c:pt>
                <c:pt idx="1199">
                  <c:v>4.008542836688278E-2</c:v>
                </c:pt>
                <c:pt idx="1200">
                  <c:v>4.0081151418567273E-2</c:v>
                </c:pt>
                <c:pt idx="1201">
                  <c:v>4.0076151834220752E-2</c:v>
                </c:pt>
                <c:pt idx="1202">
                  <c:v>4.0071141683606371E-2</c:v>
                </c:pt>
                <c:pt idx="1203">
                  <c:v>4.0066120966724128E-2</c:v>
                </c:pt>
                <c:pt idx="1204">
                  <c:v>4.0060370066488105E-2</c:v>
                </c:pt>
                <c:pt idx="1205">
                  <c:v>4.0056047834555741E-2</c:v>
                </c:pt>
                <c:pt idx="1206">
                  <c:v>4.0050995419269597E-2</c:v>
                </c:pt>
                <c:pt idx="1207">
                  <c:v>4.0045932437715592E-2</c:v>
                </c:pt>
                <c:pt idx="1208">
                  <c:v>4.0040858890053599E-2</c:v>
                </c:pt>
                <c:pt idx="1209">
                  <c:v>4.0035047611635122E-2</c:v>
                </c:pt>
                <c:pt idx="1210">
                  <c:v>4.0030680096085902E-2</c:v>
                </c:pt>
                <c:pt idx="1211">
                  <c:v>4.0025574849780199E-2</c:v>
                </c:pt>
                <c:pt idx="1212">
                  <c:v>4.0020459037366507E-2</c:v>
                </c:pt>
                <c:pt idx="1213">
                  <c:v>4.0015332658764891E-2</c:v>
                </c:pt>
                <c:pt idx="1214">
                  <c:v>4.0010195713895413E-2</c:v>
                </c:pt>
                <c:pt idx="1215">
                  <c:v>4.0004311981673979E-2</c:v>
                </c:pt>
                <c:pt idx="1216">
                  <c:v>3.9998414448731978E-2</c:v>
                </c:pt>
                <c:pt idx="1217">
                  <c:v>3.9993982242290116E-2</c:v>
                </c:pt>
                <c:pt idx="1218">
                  <c:v>3.9988801523316297E-2</c:v>
                </c:pt>
                <c:pt idx="1219">
                  <c:v>3.998286776343285E-2</c:v>
                </c:pt>
                <c:pt idx="1220">
                  <c:v>3.9978408386884823E-2</c:v>
                </c:pt>
                <c:pt idx="1221">
                  <c:v>3.9973195969347231E-2</c:v>
                </c:pt>
                <c:pt idx="1222">
                  <c:v>3.9967972985621714E-2</c:v>
                </c:pt>
                <c:pt idx="1223">
                  <c:v>3.9961990923256252E-2</c:v>
                </c:pt>
                <c:pt idx="1224">
                  <c:v>3.9957495319766778E-2</c:v>
                </c:pt>
                <c:pt idx="1225">
                  <c:v>3.9952240637557423E-2</c:v>
                </c:pt>
                <c:pt idx="1226">
                  <c:v>3.9946975389160144E-2</c:v>
                </c:pt>
                <c:pt idx="1227">
                  <c:v>3.9941699574495004E-2</c:v>
                </c:pt>
                <c:pt idx="1228">
                  <c:v>3.9936413193801812E-2</c:v>
                </c:pt>
                <c:pt idx="1229">
                  <c:v>3.9931116246920695E-2</c:v>
                </c:pt>
                <c:pt idx="1230">
                  <c:v>3.9925808733771717E-2</c:v>
                </c:pt>
                <c:pt idx="1231">
                  <c:v>3.9920490654674623E-2</c:v>
                </c:pt>
                <c:pt idx="1232">
                  <c:v>3.9917300265548405E-2</c:v>
                </c:pt>
                <c:pt idx="1233">
                  <c:v>3.9909822797516981E-2</c:v>
                </c:pt>
                <c:pt idx="1234">
                  <c:v>3.990370790332598E-2</c:v>
                </c:pt>
                <c:pt idx="1235">
                  <c:v>3.9899112675927384E-2</c:v>
                </c:pt>
                <c:pt idx="1236">
                  <c:v>3.9893741765810731E-2</c:v>
                </c:pt>
                <c:pt idx="1237">
                  <c:v>3.9887590644678284E-2</c:v>
                </c:pt>
                <c:pt idx="1238">
                  <c:v>3.9882968247093586E-2</c:v>
                </c:pt>
                <c:pt idx="1239">
                  <c:v>3.9877565638413159E-2</c:v>
                </c:pt>
                <c:pt idx="1240">
                  <c:v>3.9872152463624744E-2</c:v>
                </c:pt>
                <c:pt idx="1241">
                  <c:v>3.9866728722648404E-2</c:v>
                </c:pt>
                <c:pt idx="1242">
                  <c:v>3.9863112613716112E-2</c:v>
                </c:pt>
                <c:pt idx="1243">
                  <c:v>3.9855849542291821E-2</c:v>
                </c:pt>
                <c:pt idx="1244">
                  <c:v>3.9850394102831643E-2</c:v>
                </c:pt>
                <c:pt idx="1245">
                  <c:v>3.9844928097263477E-2</c:v>
                </c:pt>
                <c:pt idx="1246">
                  <c:v>3.9839451525427449E-2</c:v>
                </c:pt>
                <c:pt idx="1247">
                  <c:v>3.9833964387483434E-2</c:v>
                </c:pt>
                <c:pt idx="1248">
                  <c:v>3.9828466683431429E-2</c:v>
                </c:pt>
                <c:pt idx="1249">
                  <c:v>3.9822958413111564E-2</c:v>
                </c:pt>
                <c:pt idx="1250">
                  <c:v>3.9816650308912571E-2</c:v>
                </c:pt>
                <c:pt idx="1251">
                  <c:v>3.981111939694415E-2</c:v>
                </c:pt>
                <c:pt idx="1252">
                  <c:v>3.9806370205344166E-2</c:v>
                </c:pt>
                <c:pt idx="1253">
                  <c:v>3.9800819670352539E-2</c:v>
                </c:pt>
                <c:pt idx="1254">
                  <c:v>3.9795258569252923E-2</c:v>
                </c:pt>
                <c:pt idx="1255">
                  <c:v>3.9789686901965382E-2</c:v>
                </c:pt>
                <c:pt idx="1256">
                  <c:v>3.9784104668649789E-2</c:v>
                </c:pt>
                <c:pt idx="1257">
                  <c:v>3.9777712035107271E-2</c:v>
                </c:pt>
                <c:pt idx="1258">
                  <c:v>3.9772908503294957E-2</c:v>
                </c:pt>
                <c:pt idx="1259">
                  <c:v>3.9767294571495526E-2</c:v>
                </c:pt>
                <c:pt idx="1260">
                  <c:v>3.9761670073348299E-2</c:v>
                </c:pt>
                <c:pt idx="1261">
                  <c:v>3.9755229137403703E-2</c:v>
                </c:pt>
                <c:pt idx="1262">
                  <c:v>3.9750389378809814E-2</c:v>
                </c:pt>
                <c:pt idx="1263">
                  <c:v>3.9746522642118975E-2</c:v>
                </c:pt>
                <c:pt idx="1264">
                  <c:v>3.9739066419599567E-2</c:v>
                </c:pt>
                <c:pt idx="1265">
                  <c:v>3.9733389090752524E-2</c:v>
                </c:pt>
                <c:pt idx="1266">
                  <c:v>3.9727701195797493E-2</c:v>
                </c:pt>
                <c:pt idx="1267">
                  <c:v>3.9721187806289748E-2</c:v>
                </c:pt>
                <c:pt idx="1268">
                  <c:v>3.9718224917661971E-2</c:v>
                </c:pt>
                <c:pt idx="1269">
                  <c:v>3.9709756166574905E-2</c:v>
                </c:pt>
                <c:pt idx="1270">
                  <c:v>3.9704024497595469E-2</c:v>
                </c:pt>
                <c:pt idx="1271">
                  <c:v>3.9698282262348172E-2</c:v>
                </c:pt>
                <c:pt idx="1272">
                  <c:v>3.9692529460992887E-2</c:v>
                </c:pt>
                <c:pt idx="1273">
                  <c:v>3.9686766093449677E-2</c:v>
                </c:pt>
                <c:pt idx="1274">
                  <c:v>3.9680992159798478E-2</c:v>
                </c:pt>
                <c:pt idx="1275">
                  <c:v>3.9675207659959355E-2</c:v>
                </c:pt>
                <c:pt idx="1276">
                  <c:v>3.9669412594012243E-2</c:v>
                </c:pt>
                <c:pt idx="1277">
                  <c:v>3.9663606961877207E-2</c:v>
                </c:pt>
                <c:pt idx="1278">
                  <c:v>3.9657790763554246E-2</c:v>
                </c:pt>
                <c:pt idx="1279">
                  <c:v>3.9651963999203232E-2</c:v>
                </c:pt>
                <c:pt idx="1280">
                  <c:v>3.9646126668664294E-2</c:v>
                </c:pt>
                <c:pt idx="1281">
                  <c:v>3.9640278771937432E-2</c:v>
                </c:pt>
                <c:pt idx="1282">
                  <c:v>3.9634420309022644E-2</c:v>
                </c:pt>
                <c:pt idx="1283">
                  <c:v>3.9625192805221587E-2</c:v>
                </c:pt>
                <c:pt idx="1284">
                  <c:v>3.9619307172360507E-2</c:v>
                </c:pt>
                <c:pt idx="1285">
                  <c:v>3.961341097315163E-2</c:v>
                </c:pt>
                <c:pt idx="1286">
                  <c:v>3.9607504207914701E-2</c:v>
                </c:pt>
                <c:pt idx="1287">
                  <c:v>3.9601586876489847E-2</c:v>
                </c:pt>
                <c:pt idx="1288">
                  <c:v>3.9594811274010766E-2</c:v>
                </c:pt>
                <c:pt idx="1289">
                  <c:v>3.9589720515316174E-2</c:v>
                </c:pt>
                <c:pt idx="1290">
                  <c:v>3.9583771485567354E-2</c:v>
                </c:pt>
                <c:pt idx="1291">
                  <c:v>3.9577811889550674E-2</c:v>
                </c:pt>
                <c:pt idx="1292">
                  <c:v>3.9571841727426005E-2</c:v>
                </c:pt>
                <c:pt idx="1293">
                  <c:v>3.9565860999273283E-2</c:v>
                </c:pt>
                <c:pt idx="1294">
                  <c:v>3.9559012943071181E-2</c:v>
                </c:pt>
                <c:pt idx="1295">
                  <c:v>3.9553867844324131E-2</c:v>
                </c:pt>
                <c:pt idx="1296">
                  <c:v>3.9547855417607636E-2</c:v>
                </c:pt>
                <c:pt idx="1297">
                  <c:v>3.9541832424783152E-2</c:v>
                </c:pt>
                <c:pt idx="1298">
                  <c:v>3.9535798865930616E-2</c:v>
                </c:pt>
                <c:pt idx="1299">
                  <c:v>3.9529754740810219E-2</c:v>
                </c:pt>
                <c:pt idx="1300">
                  <c:v>3.9523700049581834E-2</c:v>
                </c:pt>
                <c:pt idx="1301">
                  <c:v>3.9517634792325396E-2</c:v>
                </c:pt>
                <c:pt idx="1302">
                  <c:v>3.9510690131479009E-2</c:v>
                </c:pt>
                <c:pt idx="1303">
                  <c:v>3.9505472579088874E-2</c:v>
                </c:pt>
                <c:pt idx="1304">
                  <c:v>3.949937562350847E-2</c:v>
                </c:pt>
                <c:pt idx="1305">
                  <c:v>3.9493268101500334E-2</c:v>
                </c:pt>
                <c:pt idx="1306">
                  <c:v>3.9487150013464145E-2</c:v>
                </c:pt>
                <c:pt idx="1307">
                  <c:v>3.9481021359240032E-2</c:v>
                </c:pt>
                <c:pt idx="1308">
                  <c:v>3.9474004244990368E-2</c:v>
                </c:pt>
                <c:pt idx="1309">
                  <c:v>3.9468732352547775E-2</c:v>
                </c:pt>
                <c:pt idx="1310">
                  <c:v>3.9462571999999696E-2</c:v>
                </c:pt>
                <c:pt idx="1311">
                  <c:v>3.9456401081343628E-2</c:v>
                </c:pt>
                <c:pt idx="1312">
                  <c:v>3.9451939137449266E-2</c:v>
                </c:pt>
                <c:pt idx="1313">
                  <c:v>3.9444027545467719E-2</c:v>
                </c:pt>
                <c:pt idx="1314">
                  <c:v>3.9437824928487686E-2</c:v>
                </c:pt>
                <c:pt idx="1315">
                  <c:v>3.9430723285134306E-2</c:v>
                </c:pt>
                <c:pt idx="1316">
                  <c:v>3.9425387995883909E-2</c:v>
                </c:pt>
                <c:pt idx="1317">
                  <c:v>3.9419153680420038E-2</c:v>
                </c:pt>
                <c:pt idx="1318">
                  <c:v>3.9412908798768242E-2</c:v>
                </c:pt>
                <c:pt idx="1319">
                  <c:v>3.9406573213991436E-2</c:v>
                </c:pt>
                <c:pt idx="1320">
                  <c:v>3.9399491329952241E-2</c:v>
                </c:pt>
                <c:pt idx="1321">
                  <c:v>3.939411075724486E-2</c:v>
                </c:pt>
                <c:pt idx="1322">
                  <c:v>3.9386924584787764E-2</c:v>
                </c:pt>
                <c:pt idx="1323">
                  <c:v>3.9381525898889436E-2</c:v>
                </c:pt>
                <c:pt idx="1324">
                  <c:v>3.9375217620589709E-2</c:v>
                </c:pt>
                <c:pt idx="1325">
                  <c:v>3.9368898776102057E-2</c:v>
                </c:pt>
                <c:pt idx="1326">
                  <c:v>3.9361664301402755E-2</c:v>
                </c:pt>
                <c:pt idx="1327">
                  <c:v>3.9356229388722852E-2</c:v>
                </c:pt>
                <c:pt idx="1328">
                  <c:v>3.9349878845911235E-2</c:v>
                </c:pt>
                <c:pt idx="1329">
                  <c:v>3.9343517736911693E-2</c:v>
                </c:pt>
                <c:pt idx="1330">
                  <c:v>3.9337146061804162E-2</c:v>
                </c:pt>
                <c:pt idx="1331">
                  <c:v>3.9330763820668579E-2</c:v>
                </c:pt>
                <c:pt idx="1332">
                  <c:v>3.9324371013265136E-2</c:v>
                </c:pt>
                <c:pt idx="1333">
                  <c:v>3.931796763983364E-2</c:v>
                </c:pt>
                <c:pt idx="1334">
                  <c:v>3.9311553700134283E-2</c:v>
                </c:pt>
                <c:pt idx="1335">
                  <c:v>3.9305129194566746E-2</c:v>
                </c:pt>
                <c:pt idx="1336">
                  <c:v>3.9298694122651412E-2</c:v>
                </c:pt>
                <c:pt idx="1337">
                  <c:v>3.9292248484787962E-2</c:v>
                </c:pt>
                <c:pt idx="1338">
                  <c:v>3.9285792280816523E-2</c:v>
                </c:pt>
                <c:pt idx="1339">
                  <c:v>3.9279325510577223E-2</c:v>
                </c:pt>
                <c:pt idx="1340">
                  <c:v>3.9272848174389807E-2</c:v>
                </c:pt>
                <c:pt idx="1341">
                  <c:v>3.9265432566102376E-2</c:v>
                </c:pt>
                <c:pt idx="1342">
                  <c:v>3.9259861803451201E-2</c:v>
                </c:pt>
                <c:pt idx="1343">
                  <c:v>3.9253352768779948E-2</c:v>
                </c:pt>
                <c:pt idx="1344">
                  <c:v>3.9246833168080641E-2</c:v>
                </c:pt>
                <c:pt idx="1345">
                  <c:v>3.9240303001193411E-2</c:v>
                </c:pt>
                <c:pt idx="1346">
                  <c:v>3.9232827015283078E-2</c:v>
                </c:pt>
                <c:pt idx="1347">
                  <c:v>3.9227210969174919E-2</c:v>
                </c:pt>
                <c:pt idx="1348">
                  <c:v>3.9220649103963723E-2</c:v>
                </c:pt>
                <c:pt idx="1349">
                  <c:v>3.921407667280441E-2</c:v>
                </c:pt>
                <c:pt idx="1350">
                  <c:v>3.92074936752973E-2</c:v>
                </c:pt>
                <c:pt idx="1351">
                  <c:v>3.9200900111842074E-2</c:v>
                </c:pt>
                <c:pt idx="1352">
                  <c:v>3.9194295982278859E-2</c:v>
                </c:pt>
                <c:pt idx="1353">
                  <c:v>3.918768128652772E-2</c:v>
                </c:pt>
                <c:pt idx="1354">
                  <c:v>3.9181056024588656E-2</c:v>
                </c:pt>
                <c:pt idx="1355">
                  <c:v>3.9173471358733281E-2</c:v>
                </c:pt>
                <c:pt idx="1356">
                  <c:v>3.9167773802626371E-2</c:v>
                </c:pt>
                <c:pt idx="1357">
                  <c:v>3.9161116842523214E-2</c:v>
                </c:pt>
                <c:pt idx="1358">
                  <c:v>3.9154449316312068E-2</c:v>
                </c:pt>
                <c:pt idx="1359">
                  <c:v>3.9147771223833061E-2</c:v>
                </c:pt>
                <c:pt idx="1360">
                  <c:v>3.9140126180194912E-2</c:v>
                </c:pt>
                <c:pt idx="1361">
                  <c:v>3.913438334079089E-2</c:v>
                </c:pt>
                <c:pt idx="1362">
                  <c:v>3.912767355014779E-2</c:v>
                </c:pt>
                <c:pt idx="1363">
                  <c:v>3.9120953193396701E-2</c:v>
                </c:pt>
                <c:pt idx="1364">
                  <c:v>3.9114222270457688E-2</c:v>
                </c:pt>
                <c:pt idx="1365">
                  <c:v>3.9106516849196638E-2</c:v>
                </c:pt>
                <c:pt idx="1366">
                  <c:v>3.9100728726415568E-2</c:v>
                </c:pt>
                <c:pt idx="1367">
                  <c:v>3.9092999153993446E-2</c:v>
                </c:pt>
                <c:pt idx="1368">
                  <c:v>3.9087192917941493E-2</c:v>
                </c:pt>
                <c:pt idx="1369">
                  <c:v>3.9080409164702345E-2</c:v>
                </c:pt>
                <c:pt idx="1370">
                  <c:v>3.9073614845115401E-2</c:v>
                </c:pt>
                <c:pt idx="1371">
                  <c:v>3.9065836970531009E-2</c:v>
                </c:pt>
                <c:pt idx="1372">
                  <c:v>3.905707036548911E-2</c:v>
                </c:pt>
                <c:pt idx="1373">
                  <c:v>3.9052192482191828E-2</c:v>
                </c:pt>
                <c:pt idx="1374">
                  <c:v>3.9044376655805735E-2</c:v>
                </c:pt>
                <c:pt idx="1375">
                  <c:v>3.9038505729500628E-2</c:v>
                </c:pt>
                <c:pt idx="1376">
                  <c:v>3.9031646504072981E-2</c:v>
                </c:pt>
                <c:pt idx="1377">
                  <c:v>3.9024776712377474E-2</c:v>
                </c:pt>
                <c:pt idx="1378">
                  <c:v>3.9017896354813786E-2</c:v>
                </c:pt>
                <c:pt idx="1379">
                  <c:v>3.9010020150804792E-2</c:v>
                </c:pt>
                <c:pt idx="1380">
                  <c:v>3.9004103941122636E-2</c:v>
                </c:pt>
                <c:pt idx="1381">
                  <c:v>3.8997191885155047E-2</c:v>
                </c:pt>
                <c:pt idx="1382">
                  <c:v>3.8990269263079469E-2</c:v>
                </c:pt>
                <c:pt idx="1383">
                  <c:v>3.8983336075055774E-2</c:v>
                </c:pt>
                <c:pt idx="1384">
                  <c:v>3.8976392320844155E-2</c:v>
                </c:pt>
                <c:pt idx="1385">
                  <c:v>3.8969438000524548E-2</c:v>
                </c:pt>
                <c:pt idx="1386">
                  <c:v>3.8962473114096952E-2</c:v>
                </c:pt>
                <c:pt idx="1387">
                  <c:v>3.8953502734457857E-2</c:v>
                </c:pt>
                <c:pt idx="1388">
                  <c:v>3.894851164299773E-2</c:v>
                </c:pt>
                <c:pt idx="1389">
                  <c:v>3.894151505840604E-2</c:v>
                </c:pt>
                <c:pt idx="1390">
                  <c:v>3.8934507907546489E-2</c:v>
                </c:pt>
                <c:pt idx="1391">
                  <c:v>3.8927490190738823E-2</c:v>
                </c:pt>
                <c:pt idx="1392">
                  <c:v>3.8920461907823167E-2</c:v>
                </c:pt>
                <c:pt idx="1393">
                  <c:v>3.8912416646406101E-2</c:v>
                </c:pt>
                <c:pt idx="1394">
                  <c:v>3.8906373643747827E-2</c:v>
                </c:pt>
                <c:pt idx="1395">
                  <c:v>3.8899313662588142E-2</c:v>
                </c:pt>
                <c:pt idx="1396">
                  <c:v>3.8892243115240532E-2</c:v>
                </c:pt>
                <c:pt idx="1397">
                  <c:v>3.8885162002024742E-2</c:v>
                </c:pt>
                <c:pt idx="1398">
                  <c:v>3.8877056362984774E-2</c:v>
                </c:pt>
                <c:pt idx="1399">
                  <c:v>3.8870968077109325E-2</c:v>
                </c:pt>
                <c:pt idx="1400">
                  <c:v>3.8863855265489633E-2</c:v>
                </c:pt>
                <c:pt idx="1401">
                  <c:v>3.8856731887921825E-2</c:v>
                </c:pt>
                <c:pt idx="1402">
                  <c:v>3.8849597944086156E-2</c:v>
                </c:pt>
                <c:pt idx="1403">
                  <c:v>3.8842453434222435E-2</c:v>
                </c:pt>
                <c:pt idx="1404">
                  <c:v>3.8835298358410597E-2</c:v>
                </c:pt>
                <c:pt idx="1405">
                  <c:v>3.8828132716410835E-2</c:v>
                </c:pt>
                <c:pt idx="1406">
                  <c:v>3.882095650838302E-2</c:v>
                </c:pt>
                <c:pt idx="1407">
                  <c:v>3.8812742189637817E-2</c:v>
                </c:pt>
                <c:pt idx="1408">
                  <c:v>3.8806572394083361E-2</c:v>
                </c:pt>
                <c:pt idx="1409">
                  <c:v>3.8799364487811516E-2</c:v>
                </c:pt>
                <c:pt idx="1410">
                  <c:v>3.8792146015511619E-2</c:v>
                </c:pt>
                <c:pt idx="1411">
                  <c:v>3.8784916977023798E-2</c:v>
                </c:pt>
                <c:pt idx="1412">
                  <c:v>3.8776642280815565E-2</c:v>
                </c:pt>
                <c:pt idx="1413">
                  <c:v>3.8770427202043933E-2</c:v>
                </c:pt>
                <c:pt idx="1414">
                  <c:v>3.8763166465392018E-2</c:v>
                </c:pt>
                <c:pt idx="1415">
                  <c:v>3.8755895162712051E-2</c:v>
                </c:pt>
                <c:pt idx="1416">
                  <c:v>3.8748613293924095E-2</c:v>
                </c:pt>
                <c:pt idx="1417">
                  <c:v>3.8740278220332769E-2</c:v>
                </c:pt>
                <c:pt idx="1418">
                  <c:v>3.8734017858264025E-2</c:v>
                </c:pt>
                <c:pt idx="1419">
                  <c:v>3.8726704291311975E-2</c:v>
                </c:pt>
                <c:pt idx="1420">
                  <c:v>3.8719380158251937E-2</c:v>
                </c:pt>
                <c:pt idx="1421">
                  <c:v>3.8712045459163846E-2</c:v>
                </c:pt>
                <c:pt idx="1422">
                  <c:v>3.8704700193887831E-2</c:v>
                </c:pt>
                <c:pt idx="1423">
                  <c:v>3.8696292667212973E-2</c:v>
                </c:pt>
                <c:pt idx="1424">
                  <c:v>3.8688924760448273E-2</c:v>
                </c:pt>
                <c:pt idx="1425">
                  <c:v>3.8682601002051342E-2</c:v>
                </c:pt>
                <c:pt idx="1426">
                  <c:v>3.8674157248834717E-2</c:v>
                </c:pt>
                <c:pt idx="1427">
                  <c:v>3.8667815377166903E-2</c:v>
                </c:pt>
                <c:pt idx="1428">
                  <c:v>3.8660406715642637E-2</c:v>
                </c:pt>
                <c:pt idx="1429">
                  <c:v>3.8652987488010382E-2</c:v>
                </c:pt>
                <c:pt idx="1430">
                  <c:v>3.8645557694430011E-2</c:v>
                </c:pt>
                <c:pt idx="1431">
                  <c:v>3.8637053563590484E-2</c:v>
                </c:pt>
                <c:pt idx="1432">
                  <c:v>3.8630666408865366E-2</c:v>
                </c:pt>
                <c:pt idx="1433">
                  <c:v>3.8623204917040965E-2</c:v>
                </c:pt>
                <c:pt idx="1434">
                  <c:v>3.861573285902864E-2</c:v>
                </c:pt>
                <c:pt idx="1435">
                  <c:v>3.8608250234988262E-2</c:v>
                </c:pt>
                <c:pt idx="1436">
                  <c:v>3.8600757045079703E-2</c:v>
                </c:pt>
                <c:pt idx="1437">
                  <c:v>3.859325328898322E-2</c:v>
                </c:pt>
                <c:pt idx="1438">
                  <c:v>3.8583590076992635E-2</c:v>
                </c:pt>
                <c:pt idx="1439">
                  <c:v>3.8578214078786033E-2</c:v>
                </c:pt>
                <c:pt idx="1440">
                  <c:v>3.857067862444552E-2</c:v>
                </c:pt>
                <c:pt idx="1441">
                  <c:v>3.8563132604236827E-2</c:v>
                </c:pt>
                <c:pt idx="1442">
                  <c:v>3.855557601784021E-2</c:v>
                </c:pt>
                <c:pt idx="1443">
                  <c:v>3.854800886541554E-2</c:v>
                </c:pt>
                <c:pt idx="1444">
                  <c:v>3.8540431146962817E-2</c:v>
                </c:pt>
                <c:pt idx="1445">
                  <c:v>3.8531757959274771E-2</c:v>
                </c:pt>
                <c:pt idx="1446">
                  <c:v>3.8525244011973214E-2</c:v>
                </c:pt>
                <c:pt idx="1447">
                  <c:v>3.8517634595276462E-2</c:v>
                </c:pt>
                <c:pt idx="1448">
                  <c:v>3.8510014612711529E-2</c:v>
                </c:pt>
                <c:pt idx="1449">
                  <c:v>3.8502384063958672E-2</c:v>
                </c:pt>
                <c:pt idx="1450">
                  <c:v>3.8493650498887533E-2</c:v>
                </c:pt>
                <c:pt idx="1451">
                  <c:v>3.8487095335435484E-2</c:v>
                </c:pt>
                <c:pt idx="1452">
                  <c:v>3.8479455489959236E-2</c:v>
                </c:pt>
                <c:pt idx="1453">
                  <c:v>3.8471824679815469E-2</c:v>
                </c:pt>
                <c:pt idx="1454">
                  <c:v>3.8464202904844313E-2</c:v>
                </c:pt>
                <c:pt idx="1455">
                  <c:v>3.8456590165125704E-2</c:v>
                </c:pt>
                <c:pt idx="1456">
                  <c:v>3.8448986460579704E-2</c:v>
                </c:pt>
                <c:pt idx="1457">
                  <c:v>3.8441391791126378E-2</c:v>
                </c:pt>
                <c:pt idx="1458">
                  <c:v>3.8433806156925598E-2</c:v>
                </c:pt>
                <c:pt idx="1459">
                  <c:v>3.8425147924394665E-2</c:v>
                </c:pt>
                <c:pt idx="1460">
                  <c:v>3.8418661994281678E-2</c:v>
                </c:pt>
                <c:pt idx="1461">
                  <c:v>3.8411103465838536E-2</c:v>
                </c:pt>
                <c:pt idx="1462">
                  <c:v>3.8403553972488069E-2</c:v>
                </c:pt>
                <c:pt idx="1463">
                  <c:v>3.8396013514390148E-2</c:v>
                </c:pt>
                <c:pt idx="1464">
                  <c:v>3.8387406911519761E-2</c:v>
                </c:pt>
                <c:pt idx="1465">
                  <c:v>3.8380959703792072E-2</c:v>
                </c:pt>
                <c:pt idx="1466">
                  <c:v>3.8373446351291918E-2</c:v>
                </c:pt>
                <c:pt idx="1467">
                  <c:v>3.8365942033964373E-2</c:v>
                </c:pt>
                <c:pt idx="1468">
                  <c:v>3.8358446751889375E-2</c:v>
                </c:pt>
                <c:pt idx="1469">
                  <c:v>3.8349891778679535E-2</c:v>
                </c:pt>
                <c:pt idx="1470">
                  <c:v>3.8343483293177272E-2</c:v>
                </c:pt>
                <c:pt idx="1471">
                  <c:v>3.833601511670004E-2</c:v>
                </c:pt>
                <c:pt idx="1472">
                  <c:v>3.8328555975395417E-2</c:v>
                </c:pt>
                <c:pt idx="1473">
                  <c:v>3.8321105869263405E-2</c:v>
                </c:pt>
                <c:pt idx="1474">
                  <c:v>3.831366479838394E-2</c:v>
                </c:pt>
                <c:pt idx="1475">
                  <c:v>3.8305171780814717E-2</c:v>
                </c:pt>
                <c:pt idx="1476">
                  <c:v>3.8297750071087933E-2</c:v>
                </c:pt>
                <c:pt idx="1477">
                  <c:v>3.8291395796861138E-2</c:v>
                </c:pt>
                <c:pt idx="1478">
                  <c:v>3.8282933757152193E-2</c:v>
                </c:pt>
                <c:pt idx="1479">
                  <c:v>3.827659497181557E-2</c:v>
                </c:pt>
                <c:pt idx="1480">
                  <c:v>3.82692081120517E-2</c:v>
                </c:pt>
                <c:pt idx="1481">
                  <c:v>3.8261830287460441E-2</c:v>
                </c:pt>
                <c:pt idx="1482">
                  <c:v>3.8254461498201664E-2</c:v>
                </c:pt>
                <c:pt idx="1483">
                  <c:v>3.824605108807333E-2</c:v>
                </c:pt>
                <c:pt idx="1484">
                  <c:v>3.8239751025042068E-2</c:v>
                </c:pt>
                <c:pt idx="1485">
                  <c:v>3.8232409341221185E-2</c:v>
                </c:pt>
                <c:pt idx="1486">
                  <c:v>3.8225076692732785E-2</c:v>
                </c:pt>
                <c:pt idx="1487">
                  <c:v>3.8217753079257122E-2</c:v>
                </c:pt>
                <c:pt idx="1488">
                  <c:v>3.8208350281196957E-2</c:v>
                </c:pt>
                <c:pt idx="1489">
                  <c:v>3.8203132958063435E-2</c:v>
                </c:pt>
                <c:pt idx="1490">
                  <c:v>3.8195836450265475E-2</c:v>
                </c:pt>
                <c:pt idx="1491">
                  <c:v>3.8188548977640124E-2</c:v>
                </c:pt>
                <c:pt idx="1492">
                  <c:v>3.818127054026732E-2</c:v>
                </c:pt>
                <c:pt idx="1493">
                  <c:v>3.817400113798719E-2</c:v>
                </c:pt>
                <c:pt idx="1494">
                  <c:v>3.8166740770959606E-2</c:v>
                </c:pt>
                <c:pt idx="1495">
                  <c:v>3.8159489439104632E-2</c:v>
                </c:pt>
                <c:pt idx="1496">
                  <c:v>3.8152247142342333E-2</c:v>
                </c:pt>
                <c:pt idx="1497">
                  <c:v>3.8143981295295504E-2</c:v>
                </c:pt>
                <c:pt idx="1498">
                  <c:v>3.8137789654495435E-2</c:v>
                </c:pt>
                <c:pt idx="1499">
                  <c:v>3.8130574463410838E-2</c:v>
                </c:pt>
                <c:pt idx="1500">
                  <c:v>3.8123368307418914E-2</c:v>
                </c:pt>
                <c:pt idx="1501">
                  <c:v>3.8116171186679537E-2</c:v>
                </c:pt>
                <c:pt idx="1502">
                  <c:v>3.8110487056672859E-2</c:v>
                </c:pt>
                <c:pt idx="1503">
                  <c:v>3.8101804050638677E-2</c:v>
                </c:pt>
                <c:pt idx="1504">
                  <c:v>3.8094634035497066E-2</c:v>
                </c:pt>
                <c:pt idx="1505">
                  <c:v>3.8087473055368193E-2</c:v>
                </c:pt>
                <c:pt idx="1506">
                  <c:v>3.8080321110571802E-2</c:v>
                </c:pt>
                <c:pt idx="1507">
                  <c:v>3.8073178200788149E-2</c:v>
                </c:pt>
                <c:pt idx="1508">
                  <c:v>3.8066044326336979E-2</c:v>
                </c:pt>
                <c:pt idx="1509">
                  <c:v>3.8058919486978482E-2</c:v>
                </c:pt>
                <c:pt idx="1510">
                  <c:v>3.8051803682872531E-2</c:v>
                </c:pt>
                <c:pt idx="1511">
                  <c:v>3.8043682398827272E-2</c:v>
                </c:pt>
                <c:pt idx="1512">
                  <c:v>3.8037599180098525E-2</c:v>
                </c:pt>
                <c:pt idx="1513">
                  <c:v>3.8030510481510404E-2</c:v>
                </c:pt>
                <c:pt idx="1514">
                  <c:v>3.8023430818014958E-2</c:v>
                </c:pt>
                <c:pt idx="1515">
                  <c:v>3.8016360189772058E-2</c:v>
                </c:pt>
                <c:pt idx="1516">
                  <c:v>3.8008290535227474E-2</c:v>
                </c:pt>
                <c:pt idx="1517">
                  <c:v>3.8002246038724152E-2</c:v>
                </c:pt>
                <c:pt idx="1518">
                  <c:v>3.7995202515999082E-2</c:v>
                </c:pt>
                <c:pt idx="1519">
                  <c:v>3.7988168028366687E-2</c:v>
                </c:pt>
                <c:pt idx="1520">
                  <c:v>3.7981142575986837E-2</c:v>
                </c:pt>
                <c:pt idx="1521">
                  <c:v>3.7973124551022863E-2</c:v>
                </c:pt>
                <c:pt idx="1522">
                  <c:v>3.7967118776744968E-2</c:v>
                </c:pt>
                <c:pt idx="1523">
                  <c:v>3.7960120429882949E-2</c:v>
                </c:pt>
                <c:pt idx="1524">
                  <c:v>3.7953131118193539E-2</c:v>
                </c:pt>
                <c:pt idx="1525">
                  <c:v>3.7946150841596804E-2</c:v>
                </c:pt>
                <c:pt idx="1526">
                  <c:v>3.7939179600252615E-2</c:v>
                </c:pt>
                <c:pt idx="1527">
                  <c:v>3.7931223530769387E-2</c:v>
                </c:pt>
                <c:pt idx="1528">
                  <c:v>3.7923279262246368E-2</c:v>
                </c:pt>
                <c:pt idx="1529">
                  <c:v>3.7917328805399109E-2</c:v>
                </c:pt>
                <c:pt idx="1530">
                  <c:v>3.7910394995313013E-2</c:v>
                </c:pt>
                <c:pt idx="1531">
                  <c:v>3.7902481704570334E-2</c:v>
                </c:pt>
                <c:pt idx="1532">
                  <c:v>3.7896554480898459E-2</c:v>
                </c:pt>
                <c:pt idx="1533">
                  <c:v>3.7889647776490065E-2</c:v>
                </c:pt>
                <c:pt idx="1534">
                  <c:v>3.7882750107174346E-2</c:v>
                </c:pt>
                <c:pt idx="1535">
                  <c:v>3.7874878120032207E-2</c:v>
                </c:pt>
                <c:pt idx="1536">
                  <c:v>3.7868981874060736E-2</c:v>
                </c:pt>
                <c:pt idx="1537">
                  <c:v>3.7862111310262847E-2</c:v>
                </c:pt>
                <c:pt idx="1538">
                  <c:v>3.7855249781717504E-2</c:v>
                </c:pt>
                <c:pt idx="1539">
                  <c:v>3.7848397288184898E-2</c:v>
                </c:pt>
                <c:pt idx="1540">
                  <c:v>3.7841553829904839E-2</c:v>
                </c:pt>
                <c:pt idx="1541">
                  <c:v>3.7834719406717454E-2</c:v>
                </c:pt>
                <c:pt idx="1542">
                  <c:v>3.7827894018702679E-2</c:v>
                </c:pt>
                <c:pt idx="1543">
                  <c:v>3.7822132152651733E-2</c:v>
                </c:pt>
                <c:pt idx="1544">
                  <c:v>3.7814270348270895E-2</c:v>
                </c:pt>
                <c:pt idx="1545">
                  <c:v>3.780747206577395E-2</c:v>
                </c:pt>
                <c:pt idx="1546">
                  <c:v>3.779971366345336E-2</c:v>
                </c:pt>
                <c:pt idx="1547">
                  <c:v>3.7793902606217955E-2</c:v>
                </c:pt>
                <c:pt idx="1548">
                  <c:v>3.7787131429158904E-2</c:v>
                </c:pt>
                <c:pt idx="1549">
                  <c:v>3.7779404004618655E-2</c:v>
                </c:pt>
                <c:pt idx="1550">
                  <c:v>3.7773616180558633E-2</c:v>
                </c:pt>
                <c:pt idx="1551">
                  <c:v>3.7766872109017413E-2</c:v>
                </c:pt>
                <c:pt idx="1552">
                  <c:v>3.7760137072648803E-2</c:v>
                </c:pt>
                <c:pt idx="1553">
                  <c:v>3.7753411071372867E-2</c:v>
                </c:pt>
                <c:pt idx="1554">
                  <c:v>3.7746694105349476E-2</c:v>
                </c:pt>
                <c:pt idx="1555">
                  <c:v>3.773998617441876E-2</c:v>
                </c:pt>
                <c:pt idx="1556">
                  <c:v>3.7733287278660654E-2</c:v>
                </c:pt>
                <c:pt idx="1557">
                  <c:v>3.7726597417915286E-2</c:v>
                </c:pt>
                <c:pt idx="1558">
                  <c:v>3.77199165925024E-2</c:v>
                </c:pt>
                <c:pt idx="1559">
                  <c:v>3.7713244802182189E-2</c:v>
                </c:pt>
                <c:pt idx="1560">
                  <c:v>3.7706582047034587E-2</c:v>
                </c:pt>
                <c:pt idx="1561">
                  <c:v>3.7699928326979659E-2</c:v>
                </c:pt>
                <c:pt idx="1562">
                  <c:v>3.7692335138981292E-2</c:v>
                </c:pt>
                <c:pt idx="1563">
                  <c:v>3.7685700779999109E-2</c:v>
                </c:pt>
                <c:pt idx="1564">
                  <c:v>3.7680021377850537E-2</c:v>
                </c:pt>
                <c:pt idx="1565">
                  <c:v>3.7673403798486049E-2</c:v>
                </c:pt>
                <c:pt idx="1566">
                  <c:v>3.7666795254054364E-2</c:v>
                </c:pt>
                <c:pt idx="1567">
                  <c:v>3.7660195745115033E-2</c:v>
                </c:pt>
                <c:pt idx="1568">
                  <c:v>3.7653605271028567E-2</c:v>
                </c:pt>
                <c:pt idx="1569">
                  <c:v>3.7646084364171273E-2</c:v>
                </c:pt>
                <c:pt idx="1570">
                  <c:v>3.7640451428533339E-2</c:v>
                </c:pt>
                <c:pt idx="1571">
                  <c:v>3.763388806004464E-2</c:v>
                </c:pt>
                <c:pt idx="1572">
                  <c:v>3.7627333726568679E-2</c:v>
                </c:pt>
                <c:pt idx="1573">
                  <c:v>3.761985412339186E-2</c:v>
                </c:pt>
                <c:pt idx="1574">
                  <c:v>3.7614252165374396E-2</c:v>
                </c:pt>
                <c:pt idx="1575">
                  <c:v>3.7609223389378776E-2</c:v>
                </c:pt>
                <c:pt idx="1576">
                  <c:v>3.7601206744630744E-2</c:v>
                </c:pt>
                <c:pt idx="1577">
                  <c:v>3.7594697586937897E-2</c:v>
                </c:pt>
                <c:pt idx="1578">
                  <c:v>3.7588197464417661E-2</c:v>
                </c:pt>
                <c:pt idx="1579">
                  <c:v>3.7583204693740768E-2</c:v>
                </c:pt>
                <c:pt idx="1580">
                  <c:v>3.7570599819236605E-2</c:v>
                </c:pt>
                <c:pt idx="1581">
                  <c:v>3.7569900129144074E-2</c:v>
                </c:pt>
                <c:pt idx="1582">
                  <c:v>3.7564937092509076E-2</c:v>
                </c:pt>
                <c:pt idx="1583">
                  <c:v>3.755698625056425E-2</c:v>
                </c:pt>
                <c:pt idx="1584">
                  <c:v>3.7550542867164083E-2</c:v>
                </c:pt>
                <c:pt idx="1585">
                  <c:v>3.7544108520988217E-2</c:v>
                </c:pt>
                <c:pt idx="1586">
                  <c:v>3.7539181529566701E-2</c:v>
                </c:pt>
                <c:pt idx="1587">
                  <c:v>3.7531266940469266E-2</c:v>
                </c:pt>
                <c:pt idx="1588">
                  <c:v>3.7524859706072888E-2</c:v>
                </c:pt>
                <c:pt idx="1589">
                  <c:v>3.7518461508927459E-2</c:v>
                </c:pt>
                <c:pt idx="1590">
                  <c:v>3.7512072348979686E-2</c:v>
                </c:pt>
                <c:pt idx="1591">
                  <c:v>3.7505692226362797E-2</c:v>
                </c:pt>
                <c:pt idx="1592">
                  <c:v>3.7499321140943565E-2</c:v>
                </c:pt>
                <c:pt idx="1593">
                  <c:v>3.7492959092801925E-2</c:v>
                </c:pt>
                <c:pt idx="1594">
                  <c:v>3.7480890129160116E-2</c:v>
                </c:pt>
                <c:pt idx="1595">
                  <c:v>3.7474550057572387E-2</c:v>
                </c:pt>
                <c:pt idx="1596">
                  <c:v>3.7468219021237203E-2</c:v>
                </c:pt>
                <c:pt idx="1597">
                  <c:v>3.7461897019994694E-2</c:v>
                </c:pt>
                <c:pt idx="1598">
                  <c:v>3.7455584053924795E-2</c:v>
                </c:pt>
                <c:pt idx="1599">
                  <c:v>3.744928012294757E-2</c:v>
                </c:pt>
                <c:pt idx="1600">
                  <c:v>3.7442086693895149E-2</c:v>
                </c:pt>
                <c:pt idx="1601">
                  <c:v>3.7436699366590886E-2</c:v>
                </c:pt>
                <c:pt idx="1602">
                  <c:v>3.7430422540891684E-2</c:v>
                </c:pt>
                <c:pt idx="1603">
                  <c:v>3.7424154750524963E-2</c:v>
                </c:pt>
                <c:pt idx="1604">
                  <c:v>3.7417895995250916E-2</c:v>
                </c:pt>
                <c:pt idx="1605">
                  <c:v>3.7411646275069543E-2</c:v>
                </c:pt>
                <c:pt idx="1606">
                  <c:v>3.740451480125806E-2</c:v>
                </c:pt>
                <c:pt idx="1607">
                  <c:v>3.7399173940144692E-2</c:v>
                </c:pt>
                <c:pt idx="1608">
                  <c:v>3.7392951325321278E-2</c:v>
                </c:pt>
                <c:pt idx="1609">
                  <c:v>3.7386737745670473E-2</c:v>
                </c:pt>
                <c:pt idx="1610">
                  <c:v>3.7380533201272215E-2</c:v>
                </c:pt>
                <c:pt idx="1611">
                  <c:v>3.7374337691806758E-2</c:v>
                </c:pt>
                <c:pt idx="1612">
                  <c:v>3.7368151217593848E-2</c:v>
                </c:pt>
                <c:pt idx="1613">
                  <c:v>3.7361973778393676E-2</c:v>
                </c:pt>
                <c:pt idx="1614">
                  <c:v>3.7355805374366113E-2</c:v>
                </c:pt>
                <c:pt idx="1615">
                  <c:v>3.7348766833176228E-2</c:v>
                </c:pt>
                <c:pt idx="1616">
                  <c:v>3.7343495671748883E-2</c:v>
                </c:pt>
                <c:pt idx="1617">
                  <c:v>3.7337354373079279E-2</c:v>
                </c:pt>
                <c:pt idx="1618">
                  <c:v>3.7331222109582285E-2</c:v>
                </c:pt>
                <c:pt idx="1619">
                  <c:v>3.7325098881257901E-2</c:v>
                </c:pt>
                <c:pt idx="1620">
                  <c:v>3.7318111969248946E-2</c:v>
                </c:pt>
                <c:pt idx="1621">
                  <c:v>3.7312879529807219E-2</c:v>
                </c:pt>
                <c:pt idx="1622">
                  <c:v>3.7306783406680921E-2</c:v>
                </c:pt>
                <c:pt idx="1623">
                  <c:v>3.7300696318887105E-2</c:v>
                </c:pt>
                <c:pt idx="1624">
                  <c:v>3.7294618266026092E-2</c:v>
                </c:pt>
                <c:pt idx="1625">
                  <c:v>3.7288549248417624E-2</c:v>
                </c:pt>
                <c:pt idx="1626">
                  <c:v>3.7282489265821894E-2</c:v>
                </c:pt>
                <c:pt idx="1627">
                  <c:v>3.7275574634874076E-2</c:v>
                </c:pt>
                <c:pt idx="1628">
                  <c:v>3.7270396406148265E-2</c:v>
                </c:pt>
                <c:pt idx="1629">
                  <c:v>3.7264363528910494E-2</c:v>
                </c:pt>
                <c:pt idx="1630">
                  <c:v>3.7258339686925268E-2</c:v>
                </c:pt>
                <c:pt idx="1631">
                  <c:v>3.7251466359338181E-2</c:v>
                </c:pt>
                <c:pt idx="1632">
                  <c:v>3.7245461878185893E-2</c:v>
                </c:pt>
                <c:pt idx="1633">
                  <c:v>3.7240322371365764E-2</c:v>
                </c:pt>
                <c:pt idx="1634">
                  <c:v>3.7233480021479082E-2</c:v>
                </c:pt>
                <c:pt idx="1635">
                  <c:v>3.7228356003309315E-2</c:v>
                </c:pt>
                <c:pt idx="1636">
                  <c:v>3.7222386372040006E-2</c:v>
                </c:pt>
                <c:pt idx="1637">
                  <c:v>3.7216425775703499E-2</c:v>
                </c:pt>
                <c:pt idx="1638">
                  <c:v>3.7209624729097612E-2</c:v>
                </c:pt>
                <c:pt idx="1639">
                  <c:v>3.7204531688548315E-2</c:v>
                </c:pt>
                <c:pt idx="1640">
                  <c:v>3.7198598197649702E-2</c:v>
                </c:pt>
                <c:pt idx="1641">
                  <c:v>3.7192673741923699E-2</c:v>
                </c:pt>
                <c:pt idx="1642">
                  <c:v>3.7186758321130498E-2</c:v>
                </c:pt>
                <c:pt idx="1643">
                  <c:v>3.7180851935669779E-2</c:v>
                </c:pt>
                <c:pt idx="1644">
                  <c:v>3.7174954585141862E-2</c:v>
                </c:pt>
                <c:pt idx="1645">
                  <c:v>3.7169066269786555E-2</c:v>
                </c:pt>
                <c:pt idx="1646">
                  <c:v>3.7163186989603858E-2</c:v>
                </c:pt>
                <c:pt idx="1647">
                  <c:v>3.7157316744513835E-2</c:v>
                </c:pt>
                <c:pt idx="1648">
                  <c:v>3.715145553443655E-2</c:v>
                </c:pt>
                <c:pt idx="1649">
                  <c:v>3.7145603359611812E-2</c:v>
                </c:pt>
                <c:pt idx="1650">
                  <c:v>3.7139760219799811E-2</c:v>
                </c:pt>
                <c:pt idx="1651">
                  <c:v>3.7133926115080484E-2</c:v>
                </c:pt>
                <c:pt idx="1652">
                  <c:v>3.7128101045533768E-2</c:v>
                </c:pt>
                <c:pt idx="1653">
                  <c:v>3.7121454886630545E-2</c:v>
                </c:pt>
                <c:pt idx="1654">
                  <c:v>3.7116478011718357E-2</c:v>
                </c:pt>
                <c:pt idx="1655">
                  <c:v>3.7110680047529598E-2</c:v>
                </c:pt>
                <c:pt idx="1656">
                  <c:v>3.7104891118353578E-2</c:v>
                </c:pt>
                <c:pt idx="1657">
                  <c:v>3.7099111224350168E-2</c:v>
                </c:pt>
                <c:pt idx="1658">
                  <c:v>3.7092516694468003E-2</c:v>
                </c:pt>
                <c:pt idx="1659">
                  <c:v>3.7087578541541433E-2</c:v>
                </c:pt>
                <c:pt idx="1660">
                  <c:v>3.7081825752736108E-2</c:v>
                </c:pt>
                <c:pt idx="1661">
                  <c:v>3.707608199918333E-2</c:v>
                </c:pt>
                <c:pt idx="1662">
                  <c:v>3.7070347280723226E-2</c:v>
                </c:pt>
                <c:pt idx="1663">
                  <c:v>3.706462159727586E-2</c:v>
                </c:pt>
                <c:pt idx="1664">
                  <c:v>3.7058904948921167E-2</c:v>
                </c:pt>
                <c:pt idx="1665">
                  <c:v>3.7053197335819021E-2</c:v>
                </c:pt>
                <c:pt idx="1666">
                  <c:v>3.7047498757729613E-2</c:v>
                </c:pt>
                <c:pt idx="1667">
                  <c:v>3.7040997160469047E-2</c:v>
                </c:pt>
                <c:pt idx="1668">
                  <c:v>3.7036128706828819E-2</c:v>
                </c:pt>
                <c:pt idx="1669">
                  <c:v>3.7030457234017433E-2</c:v>
                </c:pt>
                <c:pt idx="1670">
                  <c:v>3.7024794796298721E-2</c:v>
                </c:pt>
                <c:pt idx="1671">
                  <c:v>3.7019141393752619E-2</c:v>
                </c:pt>
                <c:pt idx="1672">
                  <c:v>3.7012691425593047E-2</c:v>
                </c:pt>
                <c:pt idx="1673">
                  <c:v>3.7007861693858501E-2</c:v>
                </c:pt>
                <c:pt idx="1674">
                  <c:v>3.7002235396590422E-2</c:v>
                </c:pt>
                <c:pt idx="1675">
                  <c:v>3.6996618134415016E-2</c:v>
                </c:pt>
                <c:pt idx="1676">
                  <c:v>3.6991009907252348E-2</c:v>
                </c:pt>
                <c:pt idx="1677">
                  <c:v>3.698461156819377E-2</c:v>
                </c:pt>
                <c:pt idx="1678">
                  <c:v>3.6979820558364906E-2</c:v>
                </c:pt>
                <c:pt idx="1679">
                  <c:v>3.6973442871026663E-2</c:v>
                </c:pt>
                <c:pt idx="1680">
                  <c:v>3.6968667349848161E-2</c:v>
                </c:pt>
                <c:pt idx="1681">
                  <c:v>3.6963104298308735E-2</c:v>
                </c:pt>
                <c:pt idx="1682">
                  <c:v>3.6957550281782048E-2</c:v>
                </c:pt>
                <c:pt idx="1683">
                  <c:v>3.6951213897644664E-2</c:v>
                </c:pt>
                <c:pt idx="1684">
                  <c:v>3.6944099571396549E-2</c:v>
                </c:pt>
                <c:pt idx="1685">
                  <c:v>3.6940153621589644E-2</c:v>
                </c:pt>
                <c:pt idx="1686">
                  <c:v>3.6933849690132803E-2</c:v>
                </c:pt>
                <c:pt idx="1687">
                  <c:v>3.6929129485905321E-2</c:v>
                </c:pt>
                <c:pt idx="1688">
                  <c:v>3.6923630970582266E-2</c:v>
                </c:pt>
                <c:pt idx="1689">
                  <c:v>3.6918141490511758E-2</c:v>
                </c:pt>
                <c:pt idx="1690">
                  <c:v>3.6912661045533923E-2</c:v>
                </c:pt>
                <c:pt idx="1691">
                  <c:v>3.690640874309814E-2</c:v>
                </c:pt>
                <c:pt idx="1692">
                  <c:v>3.6901727260696404E-2</c:v>
                </c:pt>
                <c:pt idx="1693">
                  <c:v>3.6896273920996592E-2</c:v>
                </c:pt>
                <c:pt idx="1694">
                  <c:v>3.6890829616229581E-2</c:v>
                </c:pt>
                <c:pt idx="1695">
                  <c:v>3.6885394346715117E-2</c:v>
                </c:pt>
                <c:pt idx="1696">
                  <c:v>3.687996811221339E-2</c:v>
                </c:pt>
                <c:pt idx="1697">
                  <c:v>3.6874550912804338E-2</c:v>
                </c:pt>
                <c:pt idx="1698">
                  <c:v>3.686759921814442E-2</c:v>
                </c:pt>
                <c:pt idx="1699">
                  <c:v>3.6863743619264255E-2</c:v>
                </c:pt>
                <c:pt idx="1700">
                  <c:v>3.6858353525213161E-2</c:v>
                </c:pt>
                <c:pt idx="1701">
                  <c:v>3.6852972466094869E-2</c:v>
                </c:pt>
                <c:pt idx="1702">
                  <c:v>3.6847600442149187E-2</c:v>
                </c:pt>
                <c:pt idx="1703">
                  <c:v>3.6842237453216242E-2</c:v>
                </c:pt>
                <c:pt idx="1704">
                  <c:v>3.6836883499455908E-2</c:v>
                </c:pt>
                <c:pt idx="1705">
                  <c:v>3.6830775758582845E-2</c:v>
                </c:pt>
                <c:pt idx="1706">
                  <c:v>3.6826202697133326E-2</c:v>
                </c:pt>
                <c:pt idx="1707">
                  <c:v>3.6820875848571077E-2</c:v>
                </c:pt>
                <c:pt idx="1708">
                  <c:v>3.6815558035181439E-2</c:v>
                </c:pt>
                <c:pt idx="1709">
                  <c:v>3.6810249256804539E-2</c:v>
                </c:pt>
                <c:pt idx="1710">
                  <c:v>3.6804193144952535E-2</c:v>
                </c:pt>
                <c:pt idx="1711">
                  <c:v>3.6799657908206385E-2</c:v>
                </c:pt>
                <c:pt idx="1712">
                  <c:v>3.6794372508008877E-2</c:v>
                </c:pt>
                <c:pt idx="1713">
                  <c:v>3.6789093244262716E-2</c:v>
                </c:pt>
                <c:pt idx="1714">
                  <c:v>3.678382011680803E-2</c:v>
                </c:pt>
                <c:pt idx="1715">
                  <c:v>3.6778553125724756E-2</c:v>
                </c:pt>
                <c:pt idx="1716">
                  <c:v>3.6773292270932956E-2</c:v>
                </c:pt>
                <c:pt idx="1717">
                  <c:v>3.6768037552352695E-2</c:v>
                </c:pt>
                <c:pt idx="1718">
                  <c:v>3.6762788970303717E-2</c:v>
                </c:pt>
                <c:pt idx="1719">
                  <c:v>3.6756798104500277E-2</c:v>
                </c:pt>
                <c:pt idx="1720">
                  <c:v>3.6752310214920314E-2</c:v>
                </c:pt>
                <c:pt idx="1721">
                  <c:v>3.6747080041665825E-2</c:v>
                </c:pt>
                <c:pt idx="1722">
                  <c:v>3.6741856004782747E-2</c:v>
                </c:pt>
                <c:pt idx="1723">
                  <c:v>3.6736638104191144E-2</c:v>
                </c:pt>
                <c:pt idx="1724">
                  <c:v>3.6730682303138806E-2</c:v>
                </c:pt>
                <c:pt idx="1725">
                  <c:v>3.6726220712042235E-2</c:v>
                </c:pt>
                <c:pt idx="1726">
                  <c:v>3.6721021220404992E-2</c:v>
                </c:pt>
                <c:pt idx="1727">
                  <c:v>3.6715827865139161E-2</c:v>
                </c:pt>
                <c:pt idx="1728">
                  <c:v>3.6710640646164805E-2</c:v>
                </c:pt>
                <c:pt idx="1729">
                  <c:v>3.6704719909783634E-2</c:v>
                </c:pt>
                <c:pt idx="1730">
                  <c:v>3.6700284617090517E-2</c:v>
                </c:pt>
                <c:pt idx="1731">
                  <c:v>3.6695115807070522E-2</c:v>
                </c:pt>
                <c:pt idx="1732">
                  <c:v>3.6689953133421938E-2</c:v>
                </c:pt>
                <c:pt idx="1733">
                  <c:v>3.6684796596064828E-2</c:v>
                </c:pt>
                <c:pt idx="1734">
                  <c:v>3.6679646194919258E-2</c:v>
                </c:pt>
                <c:pt idx="1735">
                  <c:v>3.6673767536159474E-2</c:v>
                </c:pt>
                <c:pt idx="1736">
                  <c:v>3.6668630284415471E-2</c:v>
                </c:pt>
                <c:pt idx="1737">
                  <c:v>3.6664231809631076E-2</c:v>
                </c:pt>
                <c:pt idx="1738">
                  <c:v>3.6658374189562082E-2</c:v>
                </c:pt>
                <c:pt idx="1739">
                  <c:v>3.6653986234282954E-2</c:v>
                </c:pt>
                <c:pt idx="1740">
                  <c:v>3.6648872651126041E-2</c:v>
                </c:pt>
                <c:pt idx="1741">
                  <c:v>3.6643765204180667E-2</c:v>
                </c:pt>
                <c:pt idx="1742">
                  <c:v>3.6638663893606704E-2</c:v>
                </c:pt>
                <c:pt idx="1743">
                  <c:v>3.6632841338288813E-2</c:v>
                </c:pt>
                <c:pt idx="1744">
                  <c:v>3.662847968141314E-2</c:v>
                </c:pt>
                <c:pt idx="1745">
                  <c:v>3.6623396779873474E-2</c:v>
                </c:pt>
                <c:pt idx="1746">
                  <c:v>3.6618320014545347E-2</c:v>
                </c:pt>
                <c:pt idx="1747">
                  <c:v>3.6613249385508695E-2</c:v>
                </c:pt>
                <c:pt idx="1748">
                  <c:v>3.6608184892763518E-2</c:v>
                </c:pt>
                <c:pt idx="1749">
                  <c:v>3.6601682418844206E-2</c:v>
                </c:pt>
                <c:pt idx="1750">
                  <c:v>3.6598074316387397E-2</c:v>
                </c:pt>
                <c:pt idx="1751">
                  <c:v>3.6593028232596581E-2</c:v>
                </c:pt>
                <c:pt idx="1752">
                  <c:v>3.6587988285177175E-2</c:v>
                </c:pt>
                <c:pt idx="1753">
                  <c:v>3.6582954474049245E-2</c:v>
                </c:pt>
                <c:pt idx="1754">
                  <c:v>3.6577926799132854E-2</c:v>
                </c:pt>
                <c:pt idx="1755">
                  <c:v>3.657290526066781E-2</c:v>
                </c:pt>
                <c:pt idx="1756">
                  <c:v>3.656788985849424E-2</c:v>
                </c:pt>
                <c:pt idx="1757">
                  <c:v>3.6562165484079756E-2</c:v>
                </c:pt>
                <c:pt idx="1758">
                  <c:v>3.6557877463021526E-2</c:v>
                </c:pt>
                <c:pt idx="1759">
                  <c:v>3.6552880469802318E-2</c:v>
                </c:pt>
                <c:pt idx="1760">
                  <c:v>3.6547889612794648E-2</c:v>
                </c:pt>
                <c:pt idx="1761">
                  <c:v>3.654290489215839E-2</c:v>
                </c:pt>
                <c:pt idx="1762">
                  <c:v>3.6539425103541134E-2</c:v>
                </c:pt>
                <c:pt idx="1763">
                  <c:v>3.6532953859760298E-2</c:v>
                </c:pt>
                <c:pt idx="1764">
                  <c:v>3.6527987547998464E-2</c:v>
                </c:pt>
                <c:pt idx="1765">
                  <c:v>3.6523027372687977E-2</c:v>
                </c:pt>
                <c:pt idx="1766">
                  <c:v>3.6518073333509093E-2</c:v>
                </c:pt>
                <c:pt idx="1767">
                  <c:v>3.6513125430621685E-2</c:v>
                </c:pt>
                <c:pt idx="1768">
                  <c:v>3.6508183664105687E-2</c:v>
                </c:pt>
                <c:pt idx="1769">
                  <c:v>3.65032480339611E-2</c:v>
                </c:pt>
                <c:pt idx="1770">
                  <c:v>3.6498318540028052E-2</c:v>
                </c:pt>
                <c:pt idx="1771">
                  <c:v>3.6492692346596911E-2</c:v>
                </c:pt>
                <c:pt idx="1772">
                  <c:v>3.6488477961196253E-2</c:v>
                </c:pt>
                <c:pt idx="1773">
                  <c:v>3.6483566876217566E-2</c:v>
                </c:pt>
                <c:pt idx="1774">
                  <c:v>3.647866192761029E-2</c:v>
                </c:pt>
                <c:pt idx="1775">
                  <c:v>3.6473763115214552E-2</c:v>
                </c:pt>
                <c:pt idx="1776">
                  <c:v>3.6468171986374642E-2</c:v>
                </c:pt>
                <c:pt idx="1777">
                  <c:v>3.6463983899377439E-2</c:v>
                </c:pt>
                <c:pt idx="1778">
                  <c:v>3.6459103495936063E-2</c:v>
                </c:pt>
                <c:pt idx="1779">
                  <c:v>3.6454229228786161E-2</c:v>
                </c:pt>
                <c:pt idx="1780">
                  <c:v>3.6449361098007671E-2</c:v>
                </c:pt>
                <c:pt idx="1781">
                  <c:v>3.6443805033758991E-2</c:v>
                </c:pt>
                <c:pt idx="1782">
                  <c:v>3.6439643245165243E-2</c:v>
                </c:pt>
                <c:pt idx="1783">
                  <c:v>3.6434793523261177E-2</c:v>
                </c:pt>
                <c:pt idx="1784">
                  <c:v>3.6429949937648587E-2</c:v>
                </c:pt>
                <c:pt idx="1785">
                  <c:v>3.6425112488407407E-2</c:v>
                </c:pt>
                <c:pt idx="1786">
                  <c:v>3.6420281175217895E-2</c:v>
                </c:pt>
                <c:pt idx="1787">
                  <c:v>3.6414767188510666E-2</c:v>
                </c:pt>
                <c:pt idx="1788">
                  <c:v>3.640926121659227E-2</c:v>
                </c:pt>
                <c:pt idx="1789">
                  <c:v>3.6405136997226251E-2</c:v>
                </c:pt>
                <c:pt idx="1790">
                  <c:v>3.6400331106021255E-2</c:v>
                </c:pt>
                <c:pt idx="1791">
                  <c:v>3.6394846172713713E-2</c:v>
                </c:pt>
                <c:pt idx="1792">
                  <c:v>3.6390737732565626E-2</c:v>
                </c:pt>
                <c:pt idx="1793">
                  <c:v>3.6385950250235055E-2</c:v>
                </c:pt>
                <c:pt idx="1794">
                  <c:v>3.638116890419596E-2</c:v>
                </c:pt>
                <c:pt idx="1795">
                  <c:v>3.6375712022609363E-2</c:v>
                </c:pt>
                <c:pt idx="1796">
                  <c:v>3.6371624621072129E-2</c:v>
                </c:pt>
                <c:pt idx="1797">
                  <c:v>3.6366861683987395E-2</c:v>
                </c:pt>
                <c:pt idx="1798">
                  <c:v>3.6362104883274071E-2</c:v>
                </c:pt>
                <c:pt idx="1799">
                  <c:v>3.6357354218772286E-2</c:v>
                </c:pt>
                <c:pt idx="1800">
                  <c:v>3.6352609690482041E-2</c:v>
                </c:pt>
                <c:pt idx="1801">
                  <c:v>3.6347871298643142E-2</c:v>
                </c:pt>
                <c:pt idx="1802">
                  <c:v>3.6343139043015782E-2</c:v>
                </c:pt>
                <c:pt idx="1803">
                  <c:v>3.6338412923599961E-2</c:v>
                </c:pt>
                <c:pt idx="1804">
                  <c:v>3.633533877431816E-2</c:v>
                </c:pt>
                <c:pt idx="1805">
                  <c:v>3.6328979093962488E-2</c:v>
                </c:pt>
                <c:pt idx="1806">
                  <c:v>3.6323599354508573E-2</c:v>
                </c:pt>
                <c:pt idx="1807">
                  <c:v>3.6319569809410979E-2</c:v>
                </c:pt>
                <c:pt idx="1808">
                  <c:v>3.6314874371612405E-2</c:v>
                </c:pt>
                <c:pt idx="1809">
                  <c:v>3.6309515670769343E-2</c:v>
                </c:pt>
                <c:pt idx="1810">
                  <c:v>3.6305501904889681E-2</c:v>
                </c:pt>
                <c:pt idx="1811">
                  <c:v>3.6300824875965532E-2</c:v>
                </c:pt>
                <c:pt idx="1812">
                  <c:v>3.6296153983332857E-2</c:v>
                </c:pt>
                <c:pt idx="1813">
                  <c:v>3.6291489226911722E-2</c:v>
                </c:pt>
                <c:pt idx="1814">
                  <c:v>3.628832686262129E-2</c:v>
                </c:pt>
                <c:pt idx="1815">
                  <c:v>3.6282178123183684E-2</c:v>
                </c:pt>
                <c:pt idx="1816">
                  <c:v>3.6277531775716909E-2</c:v>
                </c:pt>
                <c:pt idx="1817">
                  <c:v>3.6272891564541609E-2</c:v>
                </c:pt>
                <c:pt idx="1818">
                  <c:v>3.6268257489737721E-2</c:v>
                </c:pt>
                <c:pt idx="1819">
                  <c:v>3.6263629551145371E-2</c:v>
                </c:pt>
                <c:pt idx="1820">
                  <c:v>3.6259007748844496E-2</c:v>
                </c:pt>
                <c:pt idx="1821">
                  <c:v>3.6254392082915032E-2</c:v>
                </c:pt>
                <c:pt idx="1822">
                  <c:v>3.6249124549865286E-2</c:v>
                </c:pt>
                <c:pt idx="1823">
                  <c:v>3.6244522033097581E-2</c:v>
                </c:pt>
                <c:pt idx="1824">
                  <c:v>3.6240581902715618E-2</c:v>
                </c:pt>
                <c:pt idx="1825">
                  <c:v>3.6235990781872118E-2</c:v>
                </c:pt>
                <c:pt idx="1826">
                  <c:v>3.6231405797320093E-2</c:v>
                </c:pt>
                <c:pt idx="1827">
                  <c:v>3.6226826949139479E-2</c:v>
                </c:pt>
                <c:pt idx="1828">
                  <c:v>3.6222254237170404E-2</c:v>
                </c:pt>
                <c:pt idx="1829">
                  <c:v>3.6217035794532393E-2</c:v>
                </c:pt>
                <c:pt idx="1830">
                  <c:v>3.621312722226655E-2</c:v>
                </c:pt>
                <c:pt idx="1831">
                  <c:v>3.62085729191719E-2</c:v>
                </c:pt>
                <c:pt idx="1832">
                  <c:v>3.6204024752368724E-2</c:v>
                </c:pt>
                <c:pt idx="1833">
                  <c:v>3.6198834361371723E-2</c:v>
                </c:pt>
                <c:pt idx="1834">
                  <c:v>3.6194946827716734E-2</c:v>
                </c:pt>
                <c:pt idx="1835">
                  <c:v>3.6191912825747075E-2</c:v>
                </c:pt>
                <c:pt idx="1836">
                  <c:v>3.6185893448230644E-2</c:v>
                </c:pt>
                <c:pt idx="1837">
                  <c:v>3.6181375962964779E-2</c:v>
                </c:pt>
                <c:pt idx="1838">
                  <c:v>3.6176864613990389E-2</c:v>
                </c:pt>
                <c:pt idx="1839">
                  <c:v>3.6171716300295031E-2</c:v>
                </c:pt>
                <c:pt idx="1840">
                  <c:v>3.6169567454313878E-2</c:v>
                </c:pt>
                <c:pt idx="1841">
                  <c:v>3.6162726036961246E-2</c:v>
                </c:pt>
                <c:pt idx="1842">
                  <c:v>3.6158240109651629E-2</c:v>
                </c:pt>
                <c:pt idx="1843">
                  <c:v>3.6153760318713424E-2</c:v>
                </c:pt>
                <c:pt idx="1844">
                  <c:v>3.6149286664066693E-2</c:v>
                </c:pt>
                <c:pt idx="1845">
                  <c:v>3.6144819145711438E-2</c:v>
                </c:pt>
                <c:pt idx="1846">
                  <c:v>3.6140357763567721E-2</c:v>
                </c:pt>
                <c:pt idx="1847">
                  <c:v>3.6135902517795415E-2</c:v>
                </c:pt>
                <c:pt idx="1848">
                  <c:v>3.6131453408234648E-2</c:v>
                </c:pt>
                <c:pt idx="1849">
                  <c:v>3.6127010434965356E-2</c:v>
                </c:pt>
                <c:pt idx="1850">
                  <c:v>3.612257359798754E-2</c:v>
                </c:pt>
                <c:pt idx="1851">
                  <c:v>3.6118142897381134E-2</c:v>
                </c:pt>
                <c:pt idx="1852">
                  <c:v>3.6113718332986267E-2</c:v>
                </c:pt>
                <c:pt idx="1853">
                  <c:v>3.6109299904962811E-2</c:v>
                </c:pt>
                <c:pt idx="1854">
                  <c:v>3.6102369058585992E-2</c:v>
                </c:pt>
                <c:pt idx="1855">
                  <c:v>3.609796640954066E-2</c:v>
                </c:pt>
                <c:pt idx="1856">
                  <c:v>3.6093569896706867E-2</c:v>
                </c:pt>
                <c:pt idx="1857">
                  <c:v>3.6089179520244485E-2</c:v>
                </c:pt>
                <c:pt idx="1858">
                  <c:v>3.6084795279993642E-2</c:v>
                </c:pt>
                <c:pt idx="1859">
                  <c:v>3.608041717611421E-2</c:v>
                </c:pt>
                <c:pt idx="1860">
                  <c:v>3.6075421142607311E-2</c:v>
                </c:pt>
                <c:pt idx="1861">
                  <c:v>3.6071679377069898E-2</c:v>
                </c:pt>
                <c:pt idx="1862">
                  <c:v>3.6067319682064891E-2</c:v>
                </c:pt>
                <c:pt idx="1863">
                  <c:v>3.6062966123191487E-2</c:v>
                </c:pt>
                <c:pt idx="1864">
                  <c:v>3.6058618700769429E-2</c:v>
                </c:pt>
                <c:pt idx="1865">
                  <c:v>3.6054277414558911E-2</c:v>
                </c:pt>
                <c:pt idx="1866">
                  <c:v>3.6049323458353655E-2</c:v>
                </c:pt>
                <c:pt idx="1867">
                  <c:v>3.6045613250852426E-2</c:v>
                </c:pt>
                <c:pt idx="1868">
                  <c:v>3.6041290373516333E-2</c:v>
                </c:pt>
                <c:pt idx="1869">
                  <c:v>3.6036973632391778E-2</c:v>
                </c:pt>
                <c:pt idx="1870">
                  <c:v>3.6032663027558698E-2</c:v>
                </c:pt>
                <c:pt idx="1871">
                  <c:v>3.6028358559097029E-2</c:v>
                </c:pt>
                <c:pt idx="1872">
                  <c:v>3.6024060226846899E-2</c:v>
                </c:pt>
                <c:pt idx="1873">
                  <c:v>3.6019768030888244E-2</c:v>
                </c:pt>
                <c:pt idx="1874">
                  <c:v>3.6014870177885072E-2</c:v>
                </c:pt>
                <c:pt idx="1875">
                  <c:v>3.6011202047845359E-2</c:v>
                </c:pt>
                <c:pt idx="1876">
                  <c:v>3.6006928260681192E-2</c:v>
                </c:pt>
                <c:pt idx="1877">
                  <c:v>3.6002660609808501E-2</c:v>
                </c:pt>
                <c:pt idx="1878">
                  <c:v>3.5998399095387157E-2</c:v>
                </c:pt>
                <c:pt idx="1879">
                  <c:v>3.5994143717097415E-2</c:v>
                </c:pt>
                <c:pt idx="1880">
                  <c:v>3.5989287941395887E-2</c:v>
                </c:pt>
                <c:pt idx="1881">
                  <c:v>3.5985651369312421E-2</c:v>
                </c:pt>
                <c:pt idx="1882">
                  <c:v>3.5981414399897105E-2</c:v>
                </c:pt>
                <c:pt idx="1883">
                  <c:v>3.5977183566773263E-2</c:v>
                </c:pt>
                <c:pt idx="1884">
                  <c:v>3.5974454623062257E-2</c:v>
                </c:pt>
                <c:pt idx="1885">
                  <c:v>3.5968740309320069E-2</c:v>
                </c:pt>
                <c:pt idx="1886">
                  <c:v>3.5964527884990716E-2</c:v>
                </c:pt>
                <c:pt idx="1887">
                  <c:v>3.5959721199620986E-2</c:v>
                </c:pt>
                <c:pt idx="1888">
                  <c:v>3.5956121445206435E-2</c:v>
                </c:pt>
                <c:pt idx="1889">
                  <c:v>3.5951927429751507E-2</c:v>
                </c:pt>
                <c:pt idx="1890">
                  <c:v>3.5947739550428182E-2</c:v>
                </c:pt>
                <c:pt idx="1891">
                  <c:v>3.5943860041953712E-2</c:v>
                </c:pt>
                <c:pt idx="1892">
                  <c:v>3.5938786186617833E-2</c:v>
                </c:pt>
                <c:pt idx="1893">
                  <c:v>3.5935212730606736E-2</c:v>
                </c:pt>
                <c:pt idx="1894">
                  <c:v>3.5930455135408934E-2</c:v>
                </c:pt>
                <c:pt idx="1895">
                  <c:v>3.5926892198663296E-2</c:v>
                </c:pt>
                <c:pt idx="1896">
                  <c:v>3.5922741137088821E-2</c:v>
                </c:pt>
                <c:pt idx="1897">
                  <c:v>3.591859621180582E-2</c:v>
                </c:pt>
                <c:pt idx="1898">
                  <c:v>3.5913866668249028E-2</c:v>
                </c:pt>
                <c:pt idx="1899">
                  <c:v>3.5910324770114244E-2</c:v>
                </c:pt>
                <c:pt idx="1900">
                  <c:v>3.5906198253785604E-2</c:v>
                </c:pt>
                <c:pt idx="1901">
                  <c:v>3.5902077873588567E-2</c:v>
                </c:pt>
                <c:pt idx="1902">
                  <c:v>3.5897963629683005E-2</c:v>
                </c:pt>
                <c:pt idx="1903">
                  <c:v>3.5893855522068918E-2</c:v>
                </c:pt>
                <c:pt idx="1904">
                  <c:v>3.588975355066637E-2</c:v>
                </c:pt>
                <c:pt idx="1905">
                  <c:v>3.5885657715795105E-2</c:v>
                </c:pt>
                <c:pt idx="1906">
                  <c:v>3.5881568016895571E-2</c:v>
                </c:pt>
                <c:pt idx="1907">
                  <c:v>3.5877484454367448E-2</c:v>
                </c:pt>
                <c:pt idx="1908">
                  <c:v>3.5873407028210735E-2</c:v>
                </c:pt>
                <c:pt idx="1909">
                  <c:v>3.5869335738265562E-2</c:v>
                </c:pt>
                <c:pt idx="1910">
                  <c:v>3.5865270584531928E-2</c:v>
                </c:pt>
                <c:pt idx="1911">
                  <c:v>3.586121156724964E-2</c:v>
                </c:pt>
                <c:pt idx="1912">
                  <c:v>3.5856580203956767E-2</c:v>
                </c:pt>
                <c:pt idx="1913">
                  <c:v>3.5853111941079874E-2</c:v>
                </c:pt>
                <c:pt idx="1914">
                  <c:v>3.5849071332512139E-2</c:v>
                </c:pt>
                <c:pt idx="1915">
                  <c:v>3.5845036860235879E-2</c:v>
                </c:pt>
                <c:pt idx="1916">
                  <c:v>3.5841008524171158E-2</c:v>
                </c:pt>
                <c:pt idx="1917">
                  <c:v>3.5836986324397913E-2</c:v>
                </c:pt>
                <c:pt idx="1918">
                  <c:v>3.5832397038486619E-2</c:v>
                </c:pt>
                <c:pt idx="1919">
                  <c:v>3.5828960333645909E-2</c:v>
                </c:pt>
                <c:pt idx="1920">
                  <c:v>3.5824956542827024E-2</c:v>
                </c:pt>
                <c:pt idx="1921">
                  <c:v>3.5820958888059806E-2</c:v>
                </c:pt>
                <c:pt idx="1922">
                  <c:v>3.5816967369663999E-2</c:v>
                </c:pt>
                <c:pt idx="1923">
                  <c:v>3.5812981987559667E-2</c:v>
                </c:pt>
                <c:pt idx="1924">
                  <c:v>3.5809002741586937E-2</c:v>
                </c:pt>
                <c:pt idx="1925">
                  <c:v>3.5805029631985619E-2</c:v>
                </c:pt>
                <c:pt idx="1926">
                  <c:v>3.5801062658675775E-2</c:v>
                </c:pt>
                <c:pt idx="1927">
                  <c:v>3.5796536488676978E-2</c:v>
                </c:pt>
                <c:pt idx="1928">
                  <c:v>3.5793147120770641E-2</c:v>
                </c:pt>
                <c:pt idx="1929">
                  <c:v>3.5789198556335222E-2</c:v>
                </c:pt>
                <c:pt idx="1930">
                  <c:v>3.5785256128031406E-2</c:v>
                </c:pt>
                <c:pt idx="1931">
                  <c:v>3.5781319836099001E-2</c:v>
                </c:pt>
                <c:pt idx="1932">
                  <c:v>3.5776828730531562E-2</c:v>
                </c:pt>
                <c:pt idx="1933">
                  <c:v>3.5773465660868808E-2</c:v>
                </c:pt>
                <c:pt idx="1934">
                  <c:v>3.5769547777730892E-2</c:v>
                </c:pt>
                <c:pt idx="1935">
                  <c:v>3.5765636030884451E-2</c:v>
                </c:pt>
                <c:pt idx="1936">
                  <c:v>3.5761730420329485E-2</c:v>
                </c:pt>
                <c:pt idx="1937">
                  <c:v>3.5757830945826186E-2</c:v>
                </c:pt>
                <c:pt idx="1938">
                  <c:v>3.5753937607854169E-2</c:v>
                </c:pt>
                <c:pt idx="1939">
                  <c:v>3.5749495592378722E-2</c:v>
                </c:pt>
                <c:pt idx="1940">
                  <c:v>3.5746169340384881E-2</c:v>
                </c:pt>
                <c:pt idx="1941">
                  <c:v>3.5742294411127418E-2</c:v>
                </c:pt>
                <c:pt idx="1942">
                  <c:v>3.5738425618161429E-2</c:v>
                </c:pt>
                <c:pt idx="1943">
                  <c:v>3.5734011654247055E-2</c:v>
                </c:pt>
                <c:pt idx="1944">
                  <c:v>3.5730156010282954E-2</c:v>
                </c:pt>
                <c:pt idx="1945">
                  <c:v>3.5726856056532696E-2</c:v>
                </c:pt>
                <c:pt idx="1946">
                  <c:v>3.5722463131229176E-2</c:v>
                </c:pt>
                <c:pt idx="1947">
                  <c:v>3.5719173697064122E-2</c:v>
                </c:pt>
                <c:pt idx="1948">
                  <c:v>3.5715341721527238E-2</c:v>
                </c:pt>
                <c:pt idx="1949">
                  <c:v>3.5711515882361766E-2</c:v>
                </c:pt>
                <c:pt idx="1950">
                  <c:v>3.5707151008539384E-2</c:v>
                </c:pt>
                <c:pt idx="1951">
                  <c:v>3.5703882612825311E-2</c:v>
                </c:pt>
                <c:pt idx="1952">
                  <c:v>3.5700075182454327E-2</c:v>
                </c:pt>
                <c:pt idx="1953">
                  <c:v>3.5696273888374819E-2</c:v>
                </c:pt>
                <c:pt idx="1954">
                  <c:v>3.5692478730586785E-2</c:v>
                </c:pt>
                <c:pt idx="1955">
                  <c:v>3.5688689709010291E-2</c:v>
                </c:pt>
                <c:pt idx="1956">
                  <c:v>3.5684906823725271E-2</c:v>
                </c:pt>
                <c:pt idx="1957">
                  <c:v>3.568113007465179E-2</c:v>
                </c:pt>
                <c:pt idx="1958">
                  <c:v>3.567735946194972E-2</c:v>
                </c:pt>
                <c:pt idx="1959">
                  <c:v>3.5673594985379253E-2</c:v>
                </c:pt>
                <c:pt idx="1960">
                  <c:v>3.5669836645180197E-2</c:v>
                </c:pt>
                <c:pt idx="1961">
                  <c:v>3.566608444119268E-2</c:v>
                </c:pt>
                <c:pt idx="1962">
                  <c:v>3.5662338373496638E-2</c:v>
                </c:pt>
                <c:pt idx="1963">
                  <c:v>3.5658598441932199E-2</c:v>
                </c:pt>
                <c:pt idx="1964">
                  <c:v>3.5654864646739171E-2</c:v>
                </c:pt>
                <c:pt idx="1965">
                  <c:v>3.5650604966050992E-2</c:v>
                </c:pt>
                <c:pt idx="1966">
                  <c:v>3.5647415465227539E-2</c:v>
                </c:pt>
                <c:pt idx="1967">
                  <c:v>3.5643700078908935E-2</c:v>
                </c:pt>
                <c:pt idx="1968">
                  <c:v>3.5639990828562063E-2</c:v>
                </c:pt>
                <c:pt idx="1969">
                  <c:v>3.5636287714746473E-2</c:v>
                </c:pt>
                <c:pt idx="1970">
                  <c:v>3.5632063098489652E-2</c:v>
                </c:pt>
                <c:pt idx="1971">
                  <c:v>3.5628896911017449E-2</c:v>
                </c:pt>
                <c:pt idx="1972">
                  <c:v>3.5625195764987794E-2</c:v>
                </c:pt>
                <c:pt idx="1973">
                  <c:v>3.5621486369636912E-2</c:v>
                </c:pt>
                <c:pt idx="1974">
                  <c:v>3.5617768724724996E-2</c:v>
                </c:pt>
                <c:pt idx="1975">
                  <c:v>3.5614042830411918E-2</c:v>
                </c:pt>
                <c:pt idx="1976">
                  <c:v>3.5610308686617742E-2</c:v>
                </c:pt>
                <c:pt idx="1977">
                  <c:v>3.5606566293182595E-2</c:v>
                </c:pt>
                <c:pt idx="1978">
                  <c:v>3.5602815650346287E-2</c:v>
                </c:pt>
                <c:pt idx="1979">
                  <c:v>3.5598519100190629E-2</c:v>
                </c:pt>
                <c:pt idx="1980">
                  <c:v>3.5595289616390247E-2</c:v>
                </c:pt>
                <c:pt idx="1981">
                  <c:v>3.5591514225190579E-2</c:v>
                </c:pt>
                <c:pt idx="1982">
                  <c:v>3.5587730584509814E-2</c:v>
                </c:pt>
                <c:pt idx="1983">
                  <c:v>3.558393869434795E-2</c:v>
                </c:pt>
                <c:pt idx="1984">
                  <c:v>3.557959500414043E-2</c:v>
                </c:pt>
                <c:pt idx="1985">
                  <c:v>3.5576330165740799E-2</c:v>
                </c:pt>
                <c:pt idx="1986">
                  <c:v>3.5572513527055705E-2</c:v>
                </c:pt>
                <c:pt idx="1987">
                  <c:v>3.5568688638969448E-2</c:v>
                </c:pt>
                <c:pt idx="1988">
                  <c:v>3.5564855501402093E-2</c:v>
                </c:pt>
                <c:pt idx="1989">
                  <c:v>3.5560464671382519E-2</c:v>
                </c:pt>
                <c:pt idx="1990">
                  <c:v>3.555716447798396E-2</c:v>
                </c:pt>
                <c:pt idx="1991">
                  <c:v>3.555275479200759E-2</c:v>
                </c:pt>
                <c:pt idx="1992">
                  <c:v>3.5549440456641435E-2</c:v>
                </c:pt>
                <c:pt idx="1993">
                  <c:v>3.5545566071828461E-2</c:v>
                </c:pt>
                <c:pt idx="1994">
                  <c:v>3.5541683437454452E-2</c:v>
                </c:pt>
                <c:pt idx="1995">
                  <c:v>3.553723603956449E-2</c:v>
                </c:pt>
                <c:pt idx="1996">
                  <c:v>3.5532777866933429E-2</c:v>
                </c:pt>
                <c:pt idx="1997">
                  <c:v>3.5529427166496319E-2</c:v>
                </c:pt>
                <c:pt idx="1998">
                  <c:v>3.5524950137988398E-2</c:v>
                </c:pt>
                <c:pt idx="1999">
                  <c:v>3.5521585295583691E-2</c:v>
                </c:pt>
                <c:pt idx="2000">
                  <c:v>3.5517651985905729E-2</c:v>
                </c:pt>
                <c:pt idx="2001">
                  <c:v>3.5513710426826606E-2</c:v>
                </c:pt>
                <c:pt idx="2002">
                  <c:v>3.5509760618186448E-2</c:v>
                </c:pt>
                <c:pt idx="2003">
                  <c:v>3.5505236449786537E-2</c:v>
                </c:pt>
                <c:pt idx="2004">
                  <c:v>3.5501836252542773E-2</c:v>
                </c:pt>
                <c:pt idx="2005">
                  <c:v>3.5497861695459321E-2</c:v>
                </c:pt>
                <c:pt idx="2006">
                  <c:v>3.5493878889054642E-2</c:v>
                </c:pt>
                <c:pt idx="2007">
                  <c:v>3.5489887833008993E-2</c:v>
                </c:pt>
                <c:pt idx="2008">
                  <c:v>3.5485888527642118E-2</c:v>
                </c:pt>
                <c:pt idx="2009">
                  <c:v>3.5481880972794144E-2</c:v>
                </c:pt>
                <c:pt idx="2010">
                  <c:v>3.5476716280600229E-2</c:v>
                </c:pt>
                <c:pt idx="2011">
                  <c:v>3.5473841114654903E-2</c:v>
                </c:pt>
                <c:pt idx="2012">
                  <c:v>3.5469808811283698E-2</c:v>
                </c:pt>
                <c:pt idx="2013">
                  <c:v>3.5465768258511332E-2</c:v>
                </c:pt>
                <c:pt idx="2014">
                  <c:v>3.546171945641774E-2</c:v>
                </c:pt>
                <c:pt idx="2015">
                  <c:v>3.5457662404763113E-2</c:v>
                </c:pt>
                <c:pt idx="2016">
                  <c:v>3.5453597103547452E-2</c:v>
                </c:pt>
                <c:pt idx="2017">
                  <c:v>3.5448940943689777E-2</c:v>
                </c:pt>
                <c:pt idx="2018">
                  <c:v>3.5445441752912643E-2</c:v>
                </c:pt>
                <c:pt idx="2019">
                  <c:v>3.5441351703413559E-2</c:v>
                </c:pt>
                <c:pt idx="2020">
                  <c:v>3.5437253404353442E-2</c:v>
                </c:pt>
                <c:pt idx="2021">
                  <c:v>3.5433146855892161E-2</c:v>
                </c:pt>
                <c:pt idx="2022">
                  <c:v>3.5428443556222433E-2</c:v>
                </c:pt>
                <c:pt idx="2023">
                  <c:v>3.5424909010606243E-2</c:v>
                </c:pt>
                <c:pt idx="2024">
                  <c:v>3.5420777713701668E-2</c:v>
                </c:pt>
                <c:pt idx="2025">
                  <c:v>3.5416638167315995E-2</c:v>
                </c:pt>
                <c:pt idx="2026">
                  <c:v>3.5412490371609096E-2</c:v>
                </c:pt>
                <c:pt idx="2027">
                  <c:v>3.5408334326421098E-2</c:v>
                </c:pt>
                <c:pt idx="2028">
                  <c:v>3.5404170031672066E-2</c:v>
                </c:pt>
                <c:pt idx="2029">
                  <c:v>3.5399997487441937E-2</c:v>
                </c:pt>
                <c:pt idx="2030">
                  <c:v>3.539581669389058E-2</c:v>
                </c:pt>
                <c:pt idx="2031">
                  <c:v>3.5391028542655079E-2</c:v>
                </c:pt>
                <c:pt idx="2032">
                  <c:v>3.5387430358264638E-2</c:v>
                </c:pt>
                <c:pt idx="2033">
                  <c:v>3.5383224816190051E-2</c:v>
                </c:pt>
                <c:pt idx="2034">
                  <c:v>3.5379011024714302E-2</c:v>
                </c:pt>
                <c:pt idx="2035">
                  <c:v>3.5374788983917327E-2</c:v>
                </c:pt>
                <c:pt idx="2036">
                  <c:v>3.5369953692709899E-2</c:v>
                </c:pt>
                <c:pt idx="2037">
                  <c:v>3.5366320153640274E-2</c:v>
                </c:pt>
                <c:pt idx="2038">
                  <c:v>3.5362073364320068E-2</c:v>
                </c:pt>
                <c:pt idx="2039">
                  <c:v>3.53578183255987E-2</c:v>
                </c:pt>
                <c:pt idx="2040">
                  <c:v>3.5353555037316298E-2</c:v>
                </c:pt>
                <c:pt idx="2041">
                  <c:v>3.534867260661656E-2</c:v>
                </c:pt>
                <c:pt idx="2042">
                  <c:v>3.534500371246807E-2</c:v>
                </c:pt>
                <c:pt idx="2043">
                  <c:v>3.5340715675982182E-2</c:v>
                </c:pt>
                <c:pt idx="2044">
                  <c:v>3.5336419389935259E-2</c:v>
                </c:pt>
                <c:pt idx="2045">
                  <c:v>3.5332114854327301E-2</c:v>
                </c:pt>
                <c:pt idx="2046">
                  <c:v>3.5327802069398118E-2</c:v>
                </c:pt>
                <c:pt idx="2047">
                  <c:v>3.53228630710678E-2</c:v>
                </c:pt>
                <c:pt idx="2048">
                  <c:v>3.5318532608599185E-2</c:v>
                </c:pt>
                <c:pt idx="2049">
                  <c:v>3.5314814217803914E-2</c:v>
                </c:pt>
                <c:pt idx="2050">
                  <c:v>3.5309846935538403E-2</c:v>
                </c:pt>
                <c:pt idx="2051">
                  <c:v>3.5306114402855471E-2</c:v>
                </c:pt>
                <c:pt idx="2052">
                  <c:v>3.5301752121119634E-2</c:v>
                </c:pt>
                <c:pt idx="2053">
                  <c:v>3.5297381589982635E-2</c:v>
                </c:pt>
                <c:pt idx="2054">
                  <c:v>3.5293002809444474E-2</c:v>
                </c:pt>
                <c:pt idx="2055">
                  <c:v>3.5287988387286973E-2</c:v>
                </c:pt>
                <c:pt idx="2056">
                  <c:v>3.528422049984492E-2</c:v>
                </c:pt>
                <c:pt idx="2057">
                  <c:v>3.5279816970943401E-2</c:v>
                </c:pt>
                <c:pt idx="2058">
                  <c:v>3.5275405192480846E-2</c:v>
                </c:pt>
                <c:pt idx="2059">
                  <c:v>3.5270985164697066E-2</c:v>
                </c:pt>
                <c:pt idx="2060">
                  <c:v>3.5265290149997242E-2</c:v>
                </c:pt>
                <c:pt idx="2061">
                  <c:v>3.5262120360606275E-2</c:v>
                </c:pt>
                <c:pt idx="2062">
                  <c:v>3.5257675584299264E-2</c:v>
                </c:pt>
                <c:pt idx="2063">
                  <c:v>3.5253222558671027E-2</c:v>
                </c:pt>
                <c:pt idx="2064">
                  <c:v>3.5248761283561691E-2</c:v>
                </c:pt>
                <c:pt idx="2065">
                  <c:v>3.5244291758891322E-2</c:v>
                </c:pt>
                <c:pt idx="2066">
                  <c:v>3.5239813984979662E-2</c:v>
                </c:pt>
                <c:pt idx="2067">
                  <c:v>3.5235327961506968E-2</c:v>
                </c:pt>
                <c:pt idx="2068">
                  <c:v>3.5230833688553176E-2</c:v>
                </c:pt>
                <c:pt idx="2069">
                  <c:v>3.5225687275337592E-2</c:v>
                </c:pt>
                <c:pt idx="2070">
                  <c:v>3.5221820394362169E-2</c:v>
                </c:pt>
                <c:pt idx="2071">
                  <c:v>3.521730137320489E-2</c:v>
                </c:pt>
                <c:pt idx="2072">
                  <c:v>3.5212774102326705E-2</c:v>
                </c:pt>
                <c:pt idx="2073">
                  <c:v>3.5208238582287166E-2</c:v>
                </c:pt>
                <c:pt idx="2074">
                  <c:v>3.5205091139380862E-2</c:v>
                </c:pt>
                <c:pt idx="2075">
                  <c:v>3.5199142793445048E-2</c:v>
                </c:pt>
                <c:pt idx="2076">
                  <c:v>3.5194582525122087E-2</c:v>
                </c:pt>
                <c:pt idx="2077">
                  <c:v>3.5190014007158155E-2</c:v>
                </c:pt>
                <c:pt idx="2078">
                  <c:v>3.5185437239713124E-2</c:v>
                </c:pt>
                <c:pt idx="2079">
                  <c:v>3.5180852222866932E-2</c:v>
                </c:pt>
                <c:pt idx="2080">
                  <c:v>3.5176258956539641E-2</c:v>
                </c:pt>
                <c:pt idx="2081">
                  <c:v>3.517165744097106E-2</c:v>
                </c:pt>
                <c:pt idx="2082">
                  <c:v>3.5167047675681573E-2</c:v>
                </c:pt>
                <c:pt idx="2083">
                  <c:v>3.5161769271168097E-2</c:v>
                </c:pt>
                <c:pt idx="2084">
                  <c:v>3.5157803397058984E-2</c:v>
                </c:pt>
                <c:pt idx="2085">
                  <c:v>3.5153168883486074E-2</c:v>
                </c:pt>
                <c:pt idx="2086">
                  <c:v>3.5148526120432066E-2</c:v>
                </c:pt>
                <c:pt idx="2087">
                  <c:v>3.5143875108056832E-2</c:v>
                </c:pt>
                <c:pt idx="2088">
                  <c:v>3.5138549564051047E-2</c:v>
                </c:pt>
                <c:pt idx="2089">
                  <c:v>3.5134548334943005E-2</c:v>
                </c:pt>
                <c:pt idx="2090">
                  <c:v>3.5129872574124477E-2</c:v>
                </c:pt>
                <c:pt idx="2091">
                  <c:v>3.5125188564144594E-2</c:v>
                </c:pt>
                <c:pt idx="2092">
                  <c:v>3.5120496304523741E-2</c:v>
                </c:pt>
                <c:pt idx="2093">
                  <c:v>3.5115123620705901E-2</c:v>
                </c:pt>
                <c:pt idx="2094">
                  <c:v>3.5111087036918676E-2</c:v>
                </c:pt>
                <c:pt idx="2095">
                  <c:v>3.51063700290144E-2</c:v>
                </c:pt>
                <c:pt idx="2096">
                  <c:v>3.510164477154909E-2</c:v>
                </c:pt>
                <c:pt idx="2097">
                  <c:v>3.5096911264762554E-2</c:v>
                </c:pt>
                <c:pt idx="2098">
                  <c:v>3.5092169508574855E-2</c:v>
                </c:pt>
                <c:pt idx="2099">
                  <c:v>3.5086740257206372E-2</c:v>
                </c:pt>
                <c:pt idx="2100">
                  <c:v>3.5081300231016854E-2</c:v>
                </c:pt>
                <c:pt idx="2101">
                  <c:v>3.5077213140350949E-2</c:v>
                </c:pt>
                <c:pt idx="2102">
                  <c:v>3.5072437207981366E-2</c:v>
                </c:pt>
                <c:pt idx="2103">
                  <c:v>3.5066968897856654E-2</c:v>
                </c:pt>
                <c:pt idx="2104">
                  <c:v>3.5062860594639034E-2</c:v>
                </c:pt>
                <c:pt idx="2105">
                  <c:v>3.5058059913666284E-2</c:v>
                </c:pt>
                <c:pt idx="2106">
                  <c:v>3.505325098353218E-2</c:v>
                </c:pt>
                <c:pt idx="2107">
                  <c:v>3.5047744961813621E-2</c:v>
                </c:pt>
                <c:pt idx="2108">
                  <c:v>3.5043608374820678E-2</c:v>
                </c:pt>
                <c:pt idx="2109">
                  <c:v>3.5038774696003472E-2</c:v>
                </c:pt>
                <c:pt idx="2110">
                  <c:v>3.5033932768184783E-2</c:v>
                </c:pt>
                <c:pt idx="2111">
                  <c:v>3.5029082590565253E-2</c:v>
                </c:pt>
                <c:pt idx="2112">
                  <c:v>3.5024224163784368E-2</c:v>
                </c:pt>
                <c:pt idx="2113">
                  <c:v>3.5019357487442448E-2</c:v>
                </c:pt>
                <c:pt idx="2114">
                  <c:v>3.5014482561779303E-2</c:v>
                </c:pt>
                <c:pt idx="2115">
                  <c:v>3.5010908363082294E-2</c:v>
                </c:pt>
                <c:pt idx="2116">
                  <c:v>3.5004707961929782E-2</c:v>
                </c:pt>
                <c:pt idx="2117">
                  <c:v>3.4999808287983214E-2</c:v>
                </c:pt>
                <c:pt idx="2118">
                  <c:v>3.4994198558901957E-2</c:v>
                </c:pt>
                <c:pt idx="2119">
                  <c:v>3.4989984191406975E-2</c:v>
                </c:pt>
                <c:pt idx="2120">
                  <c:v>3.4985059769017113E-2</c:v>
                </c:pt>
                <c:pt idx="2121">
                  <c:v>3.4979421756560214E-2</c:v>
                </c:pt>
                <c:pt idx="2122">
                  <c:v>3.4975186176193773E-2</c:v>
                </c:pt>
                <c:pt idx="2123">
                  <c:v>3.4970237005360616E-2</c:v>
                </c:pt>
                <c:pt idx="2124">
                  <c:v>3.4965279585446041E-2</c:v>
                </c:pt>
                <c:pt idx="2125">
                  <c:v>3.4960313915970431E-2</c:v>
                </c:pt>
                <c:pt idx="2126">
                  <c:v>3.4956681395565958E-2</c:v>
                </c:pt>
                <c:pt idx="2127">
                  <c:v>3.4950357828575918E-2</c:v>
                </c:pt>
                <c:pt idx="2128">
                  <c:v>3.4945367410816885E-2</c:v>
                </c:pt>
                <c:pt idx="2129">
                  <c:v>3.4940368743656691E-2</c:v>
                </c:pt>
                <c:pt idx="2130">
                  <c:v>3.4935361826855527E-2</c:v>
                </c:pt>
                <c:pt idx="2131">
                  <c:v>3.4930346660733136E-2</c:v>
                </c:pt>
                <c:pt idx="2132">
                  <c:v>3.4925323245369455E-2</c:v>
                </c:pt>
                <c:pt idx="2133">
                  <c:v>3.492029158044474E-2</c:v>
                </c:pt>
                <c:pt idx="2134">
                  <c:v>3.491453100482822E-2</c:v>
                </c:pt>
                <c:pt idx="2135">
                  <c:v>3.4909481662364072E-2</c:v>
                </c:pt>
                <c:pt idx="2136">
                  <c:v>3.4905147088943878E-2</c:v>
                </c:pt>
                <c:pt idx="2137">
                  <c:v>3.4900082426334578E-2</c:v>
                </c:pt>
                <c:pt idx="2138">
                  <c:v>3.4895009514164244E-2</c:v>
                </c:pt>
                <c:pt idx="2139">
                  <c:v>3.4889928352832555E-2</c:v>
                </c:pt>
                <c:pt idx="2140">
                  <c:v>3.4884838941859897E-2</c:v>
                </c:pt>
                <c:pt idx="2141">
                  <c:v>3.4879012370874207E-2</c:v>
                </c:pt>
                <c:pt idx="2142">
                  <c:v>3.4874635371631157E-2</c:v>
                </c:pt>
                <c:pt idx="2143">
                  <c:v>3.4869521212455012E-2</c:v>
                </c:pt>
                <c:pt idx="2144">
                  <c:v>3.4864398803877705E-2</c:v>
                </c:pt>
                <c:pt idx="2145">
                  <c:v>3.4858534521218232E-2</c:v>
                </c:pt>
                <c:pt idx="2146">
                  <c:v>3.4854129238359732E-2</c:v>
                </c:pt>
                <c:pt idx="2147">
                  <c:v>3.4850300793198841E-2</c:v>
                </c:pt>
                <c:pt idx="2148">
                  <c:v>3.4843826675077239E-2</c:v>
                </c:pt>
                <c:pt idx="2149">
                  <c:v>3.4838663019334248E-2</c:v>
                </c:pt>
                <c:pt idx="2150">
                  <c:v>3.483349111411016E-2</c:v>
                </c:pt>
                <c:pt idx="2151">
                  <c:v>3.4827570264059915E-2</c:v>
                </c:pt>
                <c:pt idx="2152">
                  <c:v>3.4824264522166359E-2</c:v>
                </c:pt>
                <c:pt idx="2153">
                  <c:v>3.4817182849611328E-2</c:v>
                </c:pt>
                <c:pt idx="2154">
                  <c:v>3.4811976768205355E-2</c:v>
                </c:pt>
                <c:pt idx="2155">
                  <c:v>3.4806762437558092E-2</c:v>
                </c:pt>
                <c:pt idx="2156">
                  <c:v>3.4801539857349795E-2</c:v>
                </c:pt>
                <c:pt idx="2157">
                  <c:v>3.4796309027660399E-2</c:v>
                </c:pt>
                <c:pt idx="2158">
                  <c:v>3.4791069948729714E-2</c:v>
                </c:pt>
                <c:pt idx="2159">
                  <c:v>3.4785822620237994E-2</c:v>
                </c:pt>
                <c:pt idx="2160">
                  <c:v>3.4780567042425048E-2</c:v>
                </c:pt>
                <c:pt idx="2161">
                  <c:v>3.4775303215051068E-2</c:v>
                </c:pt>
                <c:pt idx="2162">
                  <c:v>3.4770031138355861E-2</c:v>
                </c:pt>
                <c:pt idx="2163">
                  <c:v>3.4764750812339429E-2</c:v>
                </c:pt>
                <c:pt idx="2164">
                  <c:v>3.4759462236682026E-2</c:v>
                </c:pt>
                <c:pt idx="2165">
                  <c:v>3.4754165411783333E-2</c:v>
                </c:pt>
                <c:pt idx="2166">
                  <c:v>3.4745825162492139E-2</c:v>
                </c:pt>
                <c:pt idx="2167">
                  <c:v>3.4740507124801923E-2</c:v>
                </c:pt>
                <c:pt idx="2168">
                  <c:v>3.4735180837710544E-2</c:v>
                </c:pt>
                <c:pt idx="2169">
                  <c:v>3.4729846301218004E-2</c:v>
                </c:pt>
                <c:pt idx="2170">
                  <c:v>3.4724503515084493E-2</c:v>
                </c:pt>
                <c:pt idx="2171">
                  <c:v>3.4719152479709692E-2</c:v>
                </c:pt>
                <c:pt idx="2172">
                  <c:v>3.4713026909418687E-2</c:v>
                </c:pt>
                <c:pt idx="2173">
                  <c:v>3.4708425660676667E-2</c:v>
                </c:pt>
                <c:pt idx="2174">
                  <c:v>3.4703049876938508E-2</c:v>
                </c:pt>
                <c:pt idx="2175">
                  <c:v>3.4697665844038994E-2</c:v>
                </c:pt>
                <c:pt idx="2176">
                  <c:v>3.469227356149851E-2</c:v>
                </c:pt>
                <c:pt idx="2177">
                  <c:v>3.46868730296368E-2</c:v>
                </c:pt>
                <c:pt idx="2178">
                  <c:v>3.4680690891955024E-2</c:v>
                </c:pt>
                <c:pt idx="2179">
                  <c:v>3.4676047217709893E-2</c:v>
                </c:pt>
                <c:pt idx="2180">
                  <c:v>3.4670621937724633E-2</c:v>
                </c:pt>
                <c:pt idx="2181">
                  <c:v>3.4665188408098402E-2</c:v>
                </c:pt>
                <c:pt idx="2182">
                  <c:v>3.4659746629150945E-2</c:v>
                </c:pt>
                <c:pt idx="2183">
                  <c:v>3.4654296600802326E-2</c:v>
                </c:pt>
                <c:pt idx="2184">
                  <c:v>3.4648838322972608E-2</c:v>
                </c:pt>
                <c:pt idx="2185">
                  <c:v>3.4643371795821665E-2</c:v>
                </c:pt>
                <c:pt idx="2186">
                  <c:v>3.4637897019429431E-2</c:v>
                </c:pt>
                <c:pt idx="2187">
                  <c:v>3.4631630030581562E-2</c:v>
                </c:pt>
                <c:pt idx="2188">
                  <c:v>3.4626922717881925E-2</c:v>
                </c:pt>
                <c:pt idx="2189">
                  <c:v>3.4621423193206269E-2</c:v>
                </c:pt>
                <c:pt idx="2190">
                  <c:v>3.4615915419049514E-2</c:v>
                </c:pt>
                <c:pt idx="2191">
                  <c:v>3.4610399395491598E-2</c:v>
                </c:pt>
                <c:pt idx="2192">
                  <c:v>3.4604085267151419E-2</c:v>
                </c:pt>
                <c:pt idx="2193">
                  <c:v>3.459934259993247E-2</c:v>
                </c:pt>
                <c:pt idx="2194">
                  <c:v>3.4593801828091131E-2</c:v>
                </c:pt>
                <c:pt idx="2195">
                  <c:v>3.4588252806848629E-2</c:v>
                </c:pt>
                <c:pt idx="2196">
                  <c:v>3.4582695536204966E-2</c:v>
                </c:pt>
                <c:pt idx="2197">
                  <c:v>3.4577130016240076E-2</c:v>
                </c:pt>
                <c:pt idx="2198">
                  <c:v>3.4571556246714152E-2</c:v>
                </c:pt>
                <c:pt idx="2199">
                  <c:v>3.4565176123244612E-2</c:v>
                </c:pt>
                <c:pt idx="2200">
                  <c:v>3.4560383959698626E-2</c:v>
                </c:pt>
                <c:pt idx="2201">
                  <c:v>3.4554785442049152E-2</c:v>
                </c:pt>
                <c:pt idx="2202">
                  <c:v>3.4549178674838643E-2</c:v>
                </c:pt>
                <c:pt idx="2203">
                  <c:v>3.4542760839855191E-2</c:v>
                </c:pt>
                <c:pt idx="2204">
                  <c:v>3.453713639550493E-2</c:v>
                </c:pt>
                <c:pt idx="2205">
                  <c:v>3.4532308877359696E-2</c:v>
                </c:pt>
                <c:pt idx="2206">
                  <c:v>3.4525862758680859E-2</c:v>
                </c:pt>
                <c:pt idx="2207">
                  <c:v>3.45210210987279E-2</c:v>
                </c:pt>
                <c:pt idx="2208">
                  <c:v>3.451536483527029E-2</c:v>
                </c:pt>
                <c:pt idx="2209">
                  <c:v>3.4509700322251646E-2</c:v>
                </c:pt>
                <c:pt idx="2210">
                  <c:v>3.4503216492058897E-2</c:v>
                </c:pt>
                <c:pt idx="2211">
                  <c:v>3.4498346548410552E-2</c:v>
                </c:pt>
                <c:pt idx="2212">
                  <c:v>3.4492657287348294E-2</c:v>
                </c:pt>
                <c:pt idx="2213">
                  <c:v>3.4486959776804937E-2</c:v>
                </c:pt>
                <c:pt idx="2214">
                  <c:v>3.4481254016860419E-2</c:v>
                </c:pt>
                <c:pt idx="2215">
                  <c:v>3.4475540007754546E-2</c:v>
                </c:pt>
                <c:pt idx="2216">
                  <c:v>3.4469817749087639E-2</c:v>
                </c:pt>
                <c:pt idx="2217">
                  <c:v>3.4464087240939634E-2</c:v>
                </c:pt>
                <c:pt idx="2218">
                  <c:v>3.4458348483630274E-2</c:v>
                </c:pt>
                <c:pt idx="2219">
                  <c:v>3.4452601476679945E-2</c:v>
                </c:pt>
                <c:pt idx="2220">
                  <c:v>3.4446846220408389E-2</c:v>
                </c:pt>
                <c:pt idx="2221">
                  <c:v>3.4441082714735671E-2</c:v>
                </c:pt>
                <c:pt idx="2222">
                  <c:v>3.4435310959821663E-2</c:v>
                </c:pt>
                <c:pt idx="2223">
                  <c:v>3.4429530955346621E-2</c:v>
                </c:pt>
                <c:pt idx="2224">
                  <c:v>3.4423742701550353E-2</c:v>
                </c:pt>
                <c:pt idx="2225">
                  <c:v>3.4417117452960611E-2</c:v>
                </c:pt>
                <c:pt idx="2226">
                  <c:v>3.441214144575433E-2</c:v>
                </c:pt>
                <c:pt idx="2227">
                  <c:v>3.4406328443754575E-2</c:v>
                </c:pt>
                <c:pt idx="2228">
                  <c:v>3.4400507192273722E-2</c:v>
                </c:pt>
                <c:pt idx="2229">
                  <c:v>3.4394677691631514E-2</c:v>
                </c:pt>
                <c:pt idx="2230">
                  <c:v>3.4388005303549463E-2</c:v>
                </c:pt>
                <c:pt idx="2231">
                  <c:v>3.4382993941743933E-2</c:v>
                </c:pt>
                <c:pt idx="2232">
                  <c:v>3.4377139692818304E-2</c:v>
                </c:pt>
                <c:pt idx="2233">
                  <c:v>3.4371277194411576E-2</c:v>
                </c:pt>
                <c:pt idx="2234">
                  <c:v>3.4365406446763558E-2</c:v>
                </c:pt>
                <c:pt idx="2235">
                  <c:v>3.4359527449554506E-2</c:v>
                </c:pt>
                <c:pt idx="2236">
                  <c:v>3.4353640203104163E-2</c:v>
                </c:pt>
                <c:pt idx="2237">
                  <c:v>3.4347744707172723E-2</c:v>
                </c:pt>
                <c:pt idx="2238">
                  <c:v>3.434184096184012E-2</c:v>
                </c:pt>
                <c:pt idx="2239">
                  <c:v>3.4335083723151527E-2</c:v>
                </c:pt>
                <c:pt idx="2240">
                  <c:v>3.4330008723211236E-2</c:v>
                </c:pt>
                <c:pt idx="2241">
                  <c:v>3.4324080229595211E-2</c:v>
                </c:pt>
                <c:pt idx="2242">
                  <c:v>3.4318143486737895E-2</c:v>
                </c:pt>
                <c:pt idx="2243">
                  <c:v>3.4312198494559354E-2</c:v>
                </c:pt>
                <c:pt idx="2244">
                  <c:v>3.4305394116298515E-2</c:v>
                </c:pt>
                <c:pt idx="2245">
                  <c:v>3.4300283761998784E-2</c:v>
                </c:pt>
                <c:pt idx="2246">
                  <c:v>3.429431402153682E-2</c:v>
                </c:pt>
                <c:pt idx="2247">
                  <c:v>3.4288336031833566E-2</c:v>
                </c:pt>
                <c:pt idx="2248">
                  <c:v>3.4282349792649214E-2</c:v>
                </c:pt>
                <c:pt idx="2249">
                  <c:v>3.4275498275135874E-2</c:v>
                </c:pt>
                <c:pt idx="2250">
                  <c:v>3.4270352565997086E-2</c:v>
                </c:pt>
                <c:pt idx="2251">
                  <c:v>3.4263482192926631E-2</c:v>
                </c:pt>
                <c:pt idx="2252">
                  <c:v>3.4258322342139991E-2</c:v>
                </c:pt>
                <c:pt idx="2253">
                  <c:v>3.4252294856029764E-2</c:v>
                </c:pt>
                <c:pt idx="2254">
                  <c:v>3.4246259120678246E-2</c:v>
                </c:pt>
                <c:pt idx="2255">
                  <c:v>3.4239351035934007E-2</c:v>
                </c:pt>
                <c:pt idx="2256">
                  <c:v>3.4231566561588878E-2</c:v>
                </c:pt>
                <c:pt idx="2257">
                  <c:v>3.4227235961230562E-2</c:v>
                </c:pt>
                <c:pt idx="2258">
                  <c:v>3.4220298246108172E-2</c:v>
                </c:pt>
                <c:pt idx="2259">
                  <c:v>3.4215087888922469E-2</c:v>
                </c:pt>
                <c:pt idx="2260">
                  <c:v>3.4209001478586742E-2</c:v>
                </c:pt>
                <c:pt idx="2261">
                  <c:v>3.4202906819089662E-2</c:v>
                </c:pt>
                <c:pt idx="2262">
                  <c:v>3.4196803909951612E-2</c:v>
                </c:pt>
                <c:pt idx="2263">
                  <c:v>3.418981905557672E-2</c:v>
                </c:pt>
                <c:pt idx="2264">
                  <c:v>3.4184573343871705E-2</c:v>
                </c:pt>
                <c:pt idx="2265">
                  <c:v>3.4178445686769976E-2</c:v>
                </c:pt>
                <c:pt idx="2266">
                  <c:v>3.4172309780347021E-2</c:v>
                </c:pt>
                <c:pt idx="2267">
                  <c:v>3.4166165624442968E-2</c:v>
                </c:pt>
                <c:pt idx="2268">
                  <c:v>3.4160013219297625E-2</c:v>
                </c:pt>
                <c:pt idx="2269">
                  <c:v>3.4153852564511311E-2</c:v>
                </c:pt>
                <c:pt idx="2270">
                  <c:v>3.4145919601424879E-2</c:v>
                </c:pt>
                <c:pt idx="2271">
                  <c:v>3.4141506507134878E-2</c:v>
                </c:pt>
                <c:pt idx="2272">
                  <c:v>3.4135321104384886E-2</c:v>
                </c:pt>
                <c:pt idx="2273">
                  <c:v>3.4129127452313668E-2</c:v>
                </c:pt>
                <c:pt idx="2274">
                  <c:v>3.4122925550921224E-2</c:v>
                </c:pt>
                <c:pt idx="2275">
                  <c:v>3.4116715399967745E-2</c:v>
                </c:pt>
                <c:pt idx="2276">
                  <c:v>3.4110496999693041E-2</c:v>
                </c:pt>
                <c:pt idx="2277">
                  <c:v>3.4103380155219298E-2</c:v>
                </c:pt>
                <c:pt idx="2278">
                  <c:v>3.4098035451179953E-2</c:v>
                </c:pt>
                <c:pt idx="2279">
                  <c:v>3.4091792302781698E-2</c:v>
                </c:pt>
                <c:pt idx="2280">
                  <c:v>3.4085540905062217E-2</c:v>
                </c:pt>
                <c:pt idx="2281">
                  <c:v>3.407928125802151E-2</c:v>
                </c:pt>
                <c:pt idx="2282">
                  <c:v>3.407211727421533E-2</c:v>
                </c:pt>
                <c:pt idx="2283">
                  <c:v>3.4066737215576737E-2</c:v>
                </c:pt>
                <c:pt idx="2284">
                  <c:v>3.4060452820332543E-2</c:v>
                </c:pt>
                <c:pt idx="2285">
                  <c:v>3.4054160175847059E-2</c:v>
                </c:pt>
                <c:pt idx="2286">
                  <c:v>3.4047859281960413E-2</c:v>
                </c:pt>
                <c:pt idx="2287">
                  <c:v>3.4041550138592669E-2</c:v>
                </c:pt>
                <c:pt idx="2288">
                  <c:v>3.4035232745983635E-2</c:v>
                </c:pt>
                <c:pt idx="2289">
                  <c:v>3.4028907103973438E-2</c:v>
                </c:pt>
                <c:pt idx="2290">
                  <c:v>3.4022573212562079E-2</c:v>
                </c:pt>
                <c:pt idx="2291">
                  <c:v>3.4015324378149359E-2</c:v>
                </c:pt>
                <c:pt idx="2292">
                  <c:v>3.4009880681535876E-2</c:v>
                </c:pt>
                <c:pt idx="2293">
                  <c:v>3.4003522042080903E-2</c:v>
                </c:pt>
                <c:pt idx="2294">
                  <c:v>3.3997155153144831E-2</c:v>
                </c:pt>
                <c:pt idx="2295">
                  <c:v>3.3990780014887534E-2</c:v>
                </c:pt>
                <c:pt idx="2296">
                  <c:v>3.3983484041382184E-2</c:v>
                </c:pt>
                <c:pt idx="2297">
                  <c:v>3.3978004990489197E-2</c:v>
                </c:pt>
                <c:pt idx="2298">
                  <c:v>3.3971605104028413E-2</c:v>
                </c:pt>
                <c:pt idx="2299">
                  <c:v>3.3965196968326339E-2</c:v>
                </c:pt>
                <c:pt idx="2300">
                  <c:v>3.3958780583303039E-2</c:v>
                </c:pt>
                <c:pt idx="2301">
                  <c:v>3.3951437470625123E-2</c:v>
                </c:pt>
                <c:pt idx="2302">
                  <c:v>3.3945923065132888E-2</c:v>
                </c:pt>
                <c:pt idx="2303">
                  <c:v>3.3939481931986037E-2</c:v>
                </c:pt>
                <c:pt idx="2304">
                  <c:v>3.3933032549597897E-2</c:v>
                </c:pt>
                <c:pt idx="2305">
                  <c:v>3.392657491748885E-2</c:v>
                </c:pt>
                <c:pt idx="2306">
                  <c:v>3.3920109036378321E-2</c:v>
                </c:pt>
                <c:pt idx="2307">
                  <c:v>3.3912709356549442E-2</c:v>
                </c:pt>
                <c:pt idx="2308">
                  <c:v>3.3906225798219225E-2</c:v>
                </c:pt>
                <c:pt idx="2309">
                  <c:v>3.3900661896479889E-2</c:v>
                </c:pt>
                <c:pt idx="2310">
                  <c:v>3.3893233933275368E-2</c:v>
                </c:pt>
                <c:pt idx="2311">
                  <c:v>3.3887655889968116E-2</c:v>
                </c:pt>
                <c:pt idx="2312">
                  <c:v>3.3881140512450614E-2</c:v>
                </c:pt>
                <c:pt idx="2313">
                  <c:v>3.3874616885771758E-2</c:v>
                </c:pt>
                <c:pt idx="2314">
                  <c:v>3.3868085009771676E-2</c:v>
                </c:pt>
                <c:pt idx="2315">
                  <c:v>3.3860609907314654E-2</c:v>
                </c:pt>
                <c:pt idx="2316">
                  <c:v>3.3854996509328217E-2</c:v>
                </c:pt>
                <c:pt idx="2317">
                  <c:v>3.3848439885444392E-2</c:v>
                </c:pt>
                <c:pt idx="2318">
                  <c:v>3.3841875011839662E-2</c:v>
                </c:pt>
                <c:pt idx="2319">
                  <c:v>3.3835301888913705E-2</c:v>
                </c:pt>
                <c:pt idx="2320">
                  <c:v>3.3828720516826394E-2</c:v>
                </c:pt>
                <c:pt idx="2321">
                  <c:v>3.3820246630993367E-2</c:v>
                </c:pt>
                <c:pt idx="2322">
                  <c:v>3.3815533024368349E-2</c:v>
                </c:pt>
                <c:pt idx="2323">
                  <c:v>3.380892690391768E-2</c:v>
                </c:pt>
                <c:pt idx="2324">
                  <c:v>3.3802312534465528E-2</c:v>
                </c:pt>
                <c:pt idx="2325">
                  <c:v>3.3795689915452343E-2</c:v>
                </c:pt>
                <c:pt idx="2326">
                  <c:v>3.3789059047277803E-2</c:v>
                </c:pt>
                <c:pt idx="2327">
                  <c:v>3.3782419929462293E-2</c:v>
                </c:pt>
                <c:pt idx="2328">
                  <c:v>3.3775772562485429E-2</c:v>
                </c:pt>
                <c:pt idx="2329">
                  <c:v>3.3768165470329237E-2</c:v>
                </c:pt>
                <c:pt idx="2330">
                  <c:v>3.3762453080328214E-2</c:v>
                </c:pt>
                <c:pt idx="2331">
                  <c:v>3.37557809652278E-2</c:v>
                </c:pt>
                <c:pt idx="2332">
                  <c:v>3.3749100601045967E-2</c:v>
                </c:pt>
                <c:pt idx="2333">
                  <c:v>3.3742411987223164E-2</c:v>
                </c:pt>
                <c:pt idx="2334">
                  <c:v>3.3734757755894407E-2</c:v>
                </c:pt>
                <c:pt idx="2335">
                  <c:v>3.372901001161388E-2</c:v>
                </c:pt>
                <c:pt idx="2336">
                  <c:v>3.3722296649827399E-2</c:v>
                </c:pt>
                <c:pt idx="2337">
                  <c:v>3.3715575038719692E-2</c:v>
                </c:pt>
                <c:pt idx="2338">
                  <c:v>3.3708845178130886E-2</c:v>
                </c:pt>
                <c:pt idx="2339">
                  <c:v>3.3702107068300791E-2</c:v>
                </c:pt>
                <c:pt idx="2340">
                  <c:v>3.3695360709149469E-2</c:v>
                </c:pt>
                <c:pt idx="2341">
                  <c:v>3.3688606100517049E-2</c:v>
                </c:pt>
                <c:pt idx="2342">
                  <c:v>3.3681843242643339E-2</c:v>
                </c:pt>
                <c:pt idx="2343">
                  <c:v>3.3674104161107721E-2</c:v>
                </c:pt>
                <c:pt idx="2344">
                  <c:v>3.3668292779012177E-2</c:v>
                </c:pt>
                <c:pt idx="2345">
                  <c:v>3.3661505173094852E-2</c:v>
                </c:pt>
                <c:pt idx="2346">
                  <c:v>3.3654709317936238E-2</c:v>
                </c:pt>
                <c:pt idx="2347">
                  <c:v>3.3647905213376461E-2</c:v>
                </c:pt>
                <c:pt idx="2348">
                  <c:v>3.3640118992668278E-2</c:v>
                </c:pt>
                <c:pt idx="2349">
                  <c:v>3.3634272256053421E-2</c:v>
                </c:pt>
                <c:pt idx="2350">
                  <c:v>3.3627443403529966E-2</c:v>
                </c:pt>
                <c:pt idx="2351">
                  <c:v>3.3620606301605349E-2</c:v>
                </c:pt>
                <c:pt idx="2352">
                  <c:v>3.3613760950359506E-2</c:v>
                </c:pt>
                <c:pt idx="2353">
                  <c:v>3.3605927590558693E-2</c:v>
                </c:pt>
                <c:pt idx="2354">
                  <c:v>3.3600045499824205E-2</c:v>
                </c:pt>
                <c:pt idx="2355">
                  <c:v>3.3593175400454811E-2</c:v>
                </c:pt>
                <c:pt idx="2356">
                  <c:v>3.3586297051844127E-2</c:v>
                </c:pt>
                <c:pt idx="2357">
                  <c:v>3.3579410453912217E-2</c:v>
                </c:pt>
                <c:pt idx="2358">
                  <c:v>3.3572515606659081E-2</c:v>
                </c:pt>
                <c:pt idx="2359">
                  <c:v>3.3564625679947113E-2</c:v>
                </c:pt>
                <c:pt idx="2360">
                  <c:v>3.3557713155474289E-2</c:v>
                </c:pt>
                <c:pt idx="2361">
                  <c:v>3.3551781568732508E-2</c:v>
                </c:pt>
                <c:pt idx="2362">
                  <c:v>3.3543863358644899E-2</c:v>
                </c:pt>
                <c:pt idx="2363">
                  <c:v>3.3537917630015457E-2</c:v>
                </c:pt>
                <c:pt idx="2364">
                  <c:v>3.35309732869149E-2</c:v>
                </c:pt>
                <c:pt idx="2365">
                  <c:v>3.3524020694173373E-2</c:v>
                </c:pt>
                <c:pt idx="2366">
                  <c:v>3.3517059852190556E-2</c:v>
                </c:pt>
                <c:pt idx="2367">
                  <c:v>3.3509094503090253E-2</c:v>
                </c:pt>
                <c:pt idx="2368">
                  <c:v>3.350311342034118E-2</c:v>
                </c:pt>
                <c:pt idx="2369">
                  <c:v>3.349612783047462E-2</c:v>
                </c:pt>
                <c:pt idx="2370">
                  <c:v>3.3489133991047026E-2</c:v>
                </c:pt>
                <c:pt idx="2371">
                  <c:v>3.3482131902617951E-2</c:v>
                </c:pt>
                <c:pt idx="2372">
                  <c:v>3.3475121564467969E-2</c:v>
                </c:pt>
                <c:pt idx="2373">
                  <c:v>3.3468102977236569E-2</c:v>
                </c:pt>
                <c:pt idx="2374">
                  <c:v>3.3461076140683943E-2</c:v>
                </c:pt>
                <c:pt idx="2375">
                  <c:v>3.3454041054730155E-2</c:v>
                </c:pt>
                <c:pt idx="2376">
                  <c:v>3.3444983822885632E-2</c:v>
                </c:pt>
                <c:pt idx="2377">
                  <c:v>3.34399461348589E-2</c:v>
                </c:pt>
                <c:pt idx="2378">
                  <c:v>3.3432886301021369E-2</c:v>
                </c:pt>
                <c:pt idx="2379">
                  <c:v>3.3425818217862613E-2</c:v>
                </c:pt>
                <c:pt idx="2380">
                  <c:v>3.3418741885222758E-2</c:v>
                </c:pt>
                <c:pt idx="2381">
                  <c:v>3.3410644546743029E-2</c:v>
                </c:pt>
                <c:pt idx="2382">
                  <c:v>3.3404564472059306E-2</c:v>
                </c:pt>
                <c:pt idx="2383">
                  <c:v>3.3397463391615645E-2</c:v>
                </c:pt>
                <c:pt idx="2384">
                  <c:v>3.3390354061690886E-2</c:v>
                </c:pt>
                <c:pt idx="2385">
                  <c:v>3.3383236482524836E-2</c:v>
                </c:pt>
                <c:pt idx="2386">
                  <c:v>3.3376110654037561E-2</c:v>
                </c:pt>
                <c:pt idx="2387">
                  <c:v>3.3368976576308995E-2</c:v>
                </c:pt>
                <c:pt idx="2388">
                  <c:v>3.3361834249019395E-2</c:v>
                </c:pt>
                <c:pt idx="2389">
                  <c:v>3.3354683672488505E-2</c:v>
                </c:pt>
                <c:pt idx="2390">
                  <c:v>3.3347524846876198E-2</c:v>
                </c:pt>
                <c:pt idx="2391">
                  <c:v>3.3340357771862728E-2</c:v>
                </c:pt>
                <c:pt idx="2392">
                  <c:v>3.3333182447288223E-2</c:v>
                </c:pt>
                <c:pt idx="2393">
                  <c:v>3.3325998873632301E-2</c:v>
                </c:pt>
                <c:pt idx="2394">
                  <c:v>3.3318807050415344E-2</c:v>
                </c:pt>
                <c:pt idx="2395">
                  <c:v>3.331057772295587E-2</c:v>
                </c:pt>
                <c:pt idx="2396">
                  <c:v>3.3304398656337497E-2</c:v>
                </c:pt>
                <c:pt idx="2397">
                  <c:v>3.3297182085476607E-2</c:v>
                </c:pt>
                <c:pt idx="2398">
                  <c:v>3.3289957265134618E-2</c:v>
                </c:pt>
                <c:pt idx="2399">
                  <c:v>3.328272419531153E-2</c:v>
                </c:pt>
                <c:pt idx="2400">
                  <c:v>3.3275482876486961E-2</c:v>
                </c:pt>
                <c:pt idx="2401">
                  <c:v>3.3267196982196268E-2</c:v>
                </c:pt>
                <c:pt idx="2402">
                  <c:v>3.3260975490554401E-2</c:v>
                </c:pt>
                <c:pt idx="2403">
                  <c:v>3.3253709423686217E-2</c:v>
                </c:pt>
                <c:pt idx="2404">
                  <c:v>3.3246435107416872E-2</c:v>
                </c:pt>
                <c:pt idx="2405">
                  <c:v>3.3238111502091883E-2</c:v>
                </c:pt>
                <c:pt idx="2406">
                  <c:v>3.3231861727074374E-2</c:v>
                </c:pt>
                <c:pt idx="2407">
                  <c:v>3.3224562662921286E-2</c:v>
                </c:pt>
                <c:pt idx="2408">
                  <c:v>3.3217255349526909E-2</c:v>
                </c:pt>
                <c:pt idx="2409">
                  <c:v>3.3209939786651432E-2</c:v>
                </c:pt>
                <c:pt idx="2410">
                  <c:v>3.3202615974614602E-2</c:v>
                </c:pt>
                <c:pt idx="2411">
                  <c:v>3.3196290263459716E-2</c:v>
                </c:pt>
                <c:pt idx="2412">
                  <c:v>3.3186804253801938E-2</c:v>
                </c:pt>
                <c:pt idx="2413">
                  <c:v>3.317849393872585E-2</c:v>
                </c:pt>
                <c:pt idx="2414">
                  <c:v>3.3171134772569388E-2</c:v>
                </c:pt>
                <c:pt idx="2415">
                  <c:v>3.3163767356931828E-2</c:v>
                </c:pt>
                <c:pt idx="2416">
                  <c:v>3.3156391692132914E-2</c:v>
                </c:pt>
                <c:pt idx="2417">
                  <c:v>3.3149007777693029E-2</c:v>
                </c:pt>
                <c:pt idx="2418">
                  <c:v>3.3141615614331599E-2</c:v>
                </c:pt>
                <c:pt idx="2419">
                  <c:v>3.3134215201569006E-2</c:v>
                </c:pt>
                <c:pt idx="2420">
                  <c:v>3.3126806539325315E-2</c:v>
                </c:pt>
                <c:pt idx="2421">
                  <c:v>3.3119389628000206E-2</c:v>
                </c:pt>
                <c:pt idx="2422">
                  <c:v>3.3111964467353872E-2</c:v>
                </c:pt>
                <c:pt idx="2423">
                  <c:v>3.3104531057226438E-2</c:v>
                </c:pt>
                <c:pt idx="2424">
                  <c:v>3.3097089398017587E-2</c:v>
                </c:pt>
                <c:pt idx="2425">
                  <c:v>3.308963948948751E-2</c:v>
                </c:pt>
                <c:pt idx="2426">
                  <c:v>3.30779158231298E-2</c:v>
                </c:pt>
                <c:pt idx="2427">
                  <c:v>3.3070444701968071E-2</c:v>
                </c:pt>
                <c:pt idx="2428">
                  <c:v>3.3062965331644989E-2</c:v>
                </c:pt>
                <c:pt idx="2429">
                  <c:v>3.3055477711840808E-2</c:v>
                </c:pt>
                <c:pt idx="2430">
                  <c:v>3.3047981842875274E-2</c:v>
                </c:pt>
                <c:pt idx="2431">
                  <c:v>3.3040477724588513E-2</c:v>
                </c:pt>
                <c:pt idx="2432">
                  <c:v>3.3031891488066734E-2</c:v>
                </c:pt>
                <c:pt idx="2433">
                  <c:v>3.3025444739891441E-2</c:v>
                </c:pt>
                <c:pt idx="2434">
                  <c:v>3.3017915873800874E-2</c:v>
                </c:pt>
                <c:pt idx="2435">
                  <c:v>3.3010378758229209E-2</c:v>
                </c:pt>
                <c:pt idx="2436">
                  <c:v>3.3002833393416253E-2</c:v>
                </c:pt>
                <c:pt idx="2437">
                  <c:v>3.2995279779362008E-2</c:v>
                </c:pt>
                <c:pt idx="2438">
                  <c:v>3.2986636976328754E-2</c:v>
                </c:pt>
                <c:pt idx="2439">
                  <c:v>3.2980147803369775E-2</c:v>
                </c:pt>
                <c:pt idx="2440">
                  <c:v>3.2972569441271915E-2</c:v>
                </c:pt>
                <c:pt idx="2441">
                  <c:v>3.2964982830012701E-2</c:v>
                </c:pt>
                <c:pt idx="2442">
                  <c:v>3.2957387969512197E-2</c:v>
                </c:pt>
                <c:pt idx="2443">
                  <c:v>3.2949784859610531E-2</c:v>
                </c:pt>
                <c:pt idx="2444">
                  <c:v>3.2942173500387639E-2</c:v>
                </c:pt>
                <c:pt idx="2445">
                  <c:v>3.2934553892083329E-2</c:v>
                </c:pt>
                <c:pt idx="2446">
                  <c:v>3.2925835666821612E-2</c:v>
                </c:pt>
                <c:pt idx="2447">
                  <c:v>3.2919289927191286E-2</c:v>
                </c:pt>
                <c:pt idx="2448">
                  <c:v>3.2911645570843362E-2</c:v>
                </c:pt>
                <c:pt idx="2449">
                  <c:v>3.2903992965334083E-2</c:v>
                </c:pt>
                <c:pt idx="2450">
                  <c:v>3.2896332110263771E-2</c:v>
                </c:pt>
                <c:pt idx="2451">
                  <c:v>3.288866300611204E-2</c:v>
                </c:pt>
                <c:pt idx="2452">
                  <c:v>3.2879888214578656E-2</c:v>
                </c:pt>
                <c:pt idx="2453">
                  <c:v>3.2873300050084708E-2</c:v>
                </c:pt>
                <c:pt idx="2454">
                  <c:v>3.2865606197889363E-2</c:v>
                </c:pt>
                <c:pt idx="2455">
                  <c:v>3.2857904096452728E-2</c:v>
                </c:pt>
                <c:pt idx="2456">
                  <c:v>3.2851141418515084E-2</c:v>
                </c:pt>
                <c:pt idx="2457">
                  <c:v>3.2842475145935524E-2</c:v>
                </c:pt>
                <c:pt idx="2458">
                  <c:v>3.2834748296775018E-2</c:v>
                </c:pt>
                <c:pt idx="2459">
                  <c:v>3.2825907510911634E-2</c:v>
                </c:pt>
                <c:pt idx="2460">
                  <c:v>3.2819269850570265E-2</c:v>
                </c:pt>
                <c:pt idx="2461">
                  <c:v>3.2811518253605954E-2</c:v>
                </c:pt>
                <c:pt idx="2462">
                  <c:v>3.2803758407160544E-2</c:v>
                </c:pt>
                <c:pt idx="2463">
                  <c:v>3.2794707575436455E-2</c:v>
                </c:pt>
                <c:pt idx="2464">
                  <c:v>3.278710238691751E-2</c:v>
                </c:pt>
                <c:pt idx="2465">
                  <c:v>3.2780429372376574E-2</c:v>
                </c:pt>
                <c:pt idx="2466">
                  <c:v>3.2771522592422997E-2</c:v>
                </c:pt>
                <c:pt idx="2467">
                  <c:v>3.2764835436234208E-2</c:v>
                </c:pt>
                <c:pt idx="2468">
                  <c:v>3.2757026094341057E-2</c:v>
                </c:pt>
                <c:pt idx="2469">
                  <c:v>3.2749208502886873E-2</c:v>
                </c:pt>
                <c:pt idx="2470">
                  <c:v>3.2740264011659193E-2</c:v>
                </c:pt>
                <c:pt idx="2471">
                  <c:v>3.2733548572654314E-2</c:v>
                </c:pt>
                <c:pt idx="2472">
                  <c:v>3.2725706233316387E-2</c:v>
                </c:pt>
                <c:pt idx="2473">
                  <c:v>3.2717855644976979E-2</c:v>
                </c:pt>
                <c:pt idx="2474">
                  <c:v>3.2709996807316344E-2</c:v>
                </c:pt>
                <c:pt idx="2475">
                  <c:v>3.2702129720414419E-2</c:v>
                </c:pt>
                <c:pt idx="2476">
                  <c:v>3.2694254384031396E-2</c:v>
                </c:pt>
                <c:pt idx="2477">
                  <c:v>3.2686370798646891E-2</c:v>
                </c:pt>
                <c:pt idx="2478">
                  <c:v>3.2678478963861224E-2</c:v>
                </c:pt>
                <c:pt idx="2479">
                  <c:v>3.2670578879754331E-2</c:v>
                </c:pt>
                <c:pt idx="2480">
                  <c:v>3.2662670546406147E-2</c:v>
                </c:pt>
                <c:pt idx="2481">
                  <c:v>3.2654753963816674E-2</c:v>
                </c:pt>
                <c:pt idx="2482">
                  <c:v>3.2646829131985911E-2</c:v>
                </c:pt>
                <c:pt idx="2483">
                  <c:v>3.2638896050674049E-2</c:v>
                </c:pt>
                <c:pt idx="2484">
                  <c:v>3.2629819571186047E-2</c:v>
                </c:pt>
                <c:pt idx="2485">
                  <c:v>3.2623005140726136E-2</c:v>
                </c:pt>
                <c:pt idx="2486">
                  <c:v>3.2615047311690404E-2</c:v>
                </c:pt>
                <c:pt idx="2487">
                  <c:v>3.2607081233413382E-2</c:v>
                </c:pt>
                <c:pt idx="2488">
                  <c:v>3.2599106905975006E-2</c:v>
                </c:pt>
                <c:pt idx="2489">
                  <c:v>3.2591124329215404E-2</c:v>
                </c:pt>
                <c:pt idx="2490">
                  <c:v>3.258199136347173E-2</c:v>
                </c:pt>
                <c:pt idx="2491">
                  <c:v>3.2575144609827689E-2</c:v>
                </c:pt>
                <c:pt idx="2492">
                  <c:v>3.2567170957849001E-2</c:v>
                </c:pt>
                <c:pt idx="2493">
                  <c:v>3.2559212627214507E-2</c:v>
                </c:pt>
                <c:pt idx="2494">
                  <c:v>3.2551269618004142E-2</c:v>
                </c:pt>
                <c:pt idx="2495">
                  <c:v>3.2543341930457714E-2</c:v>
                </c:pt>
                <c:pt idx="2496">
                  <c:v>3.2535429564495288E-2</c:v>
                </c:pt>
                <c:pt idx="2497">
                  <c:v>3.2527532519877056E-2</c:v>
                </c:pt>
                <c:pt idx="2498">
                  <c:v>3.2519650796682953E-2</c:v>
                </c:pt>
                <c:pt idx="2499">
                  <c:v>3.25106618741966E-2</c:v>
                </c:pt>
                <c:pt idx="2500">
                  <c:v>3.2503933315126687E-2</c:v>
                </c:pt>
                <c:pt idx="2501">
                  <c:v>3.2496097556364845E-2</c:v>
                </c:pt>
                <c:pt idx="2502">
                  <c:v>3.2488277119187003E-2</c:v>
                </c:pt>
                <c:pt idx="2503">
                  <c:v>3.2480472003593164E-2</c:v>
                </c:pt>
                <c:pt idx="2504">
                  <c:v>3.2471570632433E-2</c:v>
                </c:pt>
                <c:pt idx="2505">
                  <c:v>3.2464907736597937E-2</c:v>
                </c:pt>
                <c:pt idx="2506">
                  <c:v>3.2457148585596229E-2</c:v>
                </c:pt>
                <c:pt idx="2507">
                  <c:v>3.2449404755858779E-2</c:v>
                </c:pt>
                <c:pt idx="2508">
                  <c:v>3.2441676247465523E-2</c:v>
                </c:pt>
                <c:pt idx="2509">
                  <c:v>3.2433963060736204E-2</c:v>
                </c:pt>
                <c:pt idx="2510">
                  <c:v>3.2426265195431014E-2</c:v>
                </c:pt>
                <c:pt idx="2511">
                  <c:v>3.2417486396223438E-2</c:v>
                </c:pt>
                <c:pt idx="2512">
                  <c:v>3.241091542917296E-2</c:v>
                </c:pt>
                <c:pt idx="2513">
                  <c:v>3.240326352830003E-2</c:v>
                </c:pt>
                <c:pt idx="2514">
                  <c:v>3.2395626949011103E-2</c:v>
                </c:pt>
                <c:pt idx="2515">
                  <c:v>3.238691819073658E-2</c:v>
                </c:pt>
                <c:pt idx="2516">
                  <c:v>3.2379314443025109E-2</c:v>
                </c:pt>
                <c:pt idx="2517">
                  <c:v>3.237280913960916E-2</c:v>
                </c:pt>
                <c:pt idx="2518">
                  <c:v>3.2364152912034427E-2</c:v>
                </c:pt>
                <c:pt idx="2519">
                  <c:v>3.2357673874008341E-2</c:v>
                </c:pt>
                <c:pt idx="2520">
                  <c:v>3.2350129223424062E-2</c:v>
                </c:pt>
                <c:pt idx="2521">
                  <c:v>3.2342599894423785E-2</c:v>
                </c:pt>
                <c:pt idx="2522">
                  <c:v>3.2334013707862042E-2</c:v>
                </c:pt>
                <c:pt idx="2523">
                  <c:v>3.2327587200615682E-2</c:v>
                </c:pt>
                <c:pt idx="2524">
                  <c:v>3.2320103835887792E-2</c:v>
                </c:pt>
                <c:pt idx="2525">
                  <c:v>3.2312635792663968E-2</c:v>
                </c:pt>
                <c:pt idx="2526">
                  <c:v>3.2305183070784338E-2</c:v>
                </c:pt>
                <c:pt idx="2527">
                  <c:v>3.2297745670488709E-2</c:v>
                </c:pt>
                <c:pt idx="2528">
                  <c:v>3.2290323591617209E-2</c:v>
                </c:pt>
                <c:pt idx="2529">
                  <c:v>3.2282916834329711E-2</c:v>
                </c:pt>
                <c:pt idx="2530">
                  <c:v>3.227552539830647E-2</c:v>
                </c:pt>
                <c:pt idx="2531">
                  <c:v>3.2268149283787295E-2</c:v>
                </c:pt>
                <c:pt idx="2532">
                  <c:v>3.2260788490852121E-2</c:v>
                </c:pt>
                <c:pt idx="2533">
                  <c:v>3.2253443019181205E-2</c:v>
                </c:pt>
                <c:pt idx="2534">
                  <c:v>3.224611286909429E-2</c:v>
                </c:pt>
                <c:pt idx="2535">
                  <c:v>3.223879804051144E-2</c:v>
                </c:pt>
                <c:pt idx="2536">
                  <c:v>3.2231498533272784E-2</c:v>
                </c:pt>
                <c:pt idx="2537">
                  <c:v>3.2223175000289928E-2</c:v>
                </c:pt>
                <c:pt idx="2538">
                  <c:v>3.221694548306786E-2</c:v>
                </c:pt>
                <c:pt idx="2539">
                  <c:v>3.2209691940341401E-2</c:v>
                </c:pt>
                <c:pt idx="2540">
                  <c:v>3.2202453718959134E-2</c:v>
                </c:pt>
                <c:pt idx="2541">
                  <c:v>3.2195230818841125E-2</c:v>
                </c:pt>
                <c:pt idx="2542">
                  <c:v>3.2186994837184457E-2</c:v>
                </c:pt>
                <c:pt idx="2543">
                  <c:v>3.2180830983437048E-2</c:v>
                </c:pt>
                <c:pt idx="2544">
                  <c:v>3.2173654047751299E-2</c:v>
                </c:pt>
                <c:pt idx="2545">
                  <c:v>3.216649243348968E-2</c:v>
                </c:pt>
                <c:pt idx="2546">
                  <c:v>3.2159346140812062E-2</c:v>
                </c:pt>
                <c:pt idx="2547">
                  <c:v>3.2152215169478637E-2</c:v>
                </c:pt>
                <c:pt idx="2548">
                  <c:v>3.2145099519649278E-2</c:v>
                </c:pt>
                <c:pt idx="2549">
                  <c:v>3.2137999191244049E-2</c:v>
                </c:pt>
                <c:pt idx="2550">
                  <c:v>3.2130914184262949E-2</c:v>
                </c:pt>
                <c:pt idx="2551">
                  <c:v>3.2122835794385907E-2</c:v>
                </c:pt>
                <c:pt idx="2552">
                  <c:v>3.2116790134653073E-2</c:v>
                </c:pt>
                <c:pt idx="2553">
                  <c:v>3.2109751092024297E-2</c:v>
                </c:pt>
                <c:pt idx="2554">
                  <c:v>3.2102727370739714E-2</c:v>
                </c:pt>
                <c:pt idx="2555">
                  <c:v>3.2095718971039133E-2</c:v>
                </c:pt>
                <c:pt idx="2556">
                  <c:v>3.2087728132248472E-2</c:v>
                </c:pt>
                <c:pt idx="2557">
                  <c:v>3.2081748135750487E-2</c:v>
                </c:pt>
                <c:pt idx="2558">
                  <c:v>3.2074785700242359E-2</c:v>
                </c:pt>
                <c:pt idx="2559">
                  <c:v>3.2067838586158359E-2</c:v>
                </c:pt>
                <c:pt idx="2560">
                  <c:v>3.2060906793498489E-2</c:v>
                </c:pt>
                <c:pt idx="2561">
                  <c:v>3.2053003505794209E-2</c:v>
                </c:pt>
                <c:pt idx="2562">
                  <c:v>3.2047089172690946E-2</c:v>
                </c:pt>
                <c:pt idx="2563">
                  <c:v>3.203922090529332E-2</c:v>
                </c:pt>
                <c:pt idx="2564">
                  <c:v>3.2033332837420048E-2</c:v>
                </c:pt>
                <c:pt idx="2565">
                  <c:v>3.2026477652040697E-2</c:v>
                </c:pt>
                <c:pt idx="2566">
                  <c:v>3.2019637787845667E-2</c:v>
                </c:pt>
                <c:pt idx="2567">
                  <c:v>3.2011839561301159E-2</c:v>
                </c:pt>
                <c:pt idx="2568">
                  <c:v>3.2003090476724338E-2</c:v>
                </c:pt>
                <c:pt idx="2569">
                  <c:v>3.1998240817969759E-2</c:v>
                </c:pt>
                <c:pt idx="2570">
                  <c:v>3.1990497623324288E-2</c:v>
                </c:pt>
                <c:pt idx="2571">
                  <c:v>3.1984703360095068E-2</c:v>
                </c:pt>
                <c:pt idx="2572">
                  <c:v>3.1977957613413821E-2</c:v>
                </c:pt>
                <c:pt idx="2573">
                  <c:v>3.1971227188156703E-2</c:v>
                </c:pt>
                <c:pt idx="2574">
                  <c:v>3.1964512084243779E-2</c:v>
                </c:pt>
                <c:pt idx="2575">
                  <c:v>3.1956856440684689E-2</c:v>
                </c:pt>
                <c:pt idx="2576">
                  <c:v>3.1951127840770255E-2</c:v>
                </c:pt>
                <c:pt idx="2577">
                  <c:v>3.1944458700969847E-2</c:v>
                </c:pt>
                <c:pt idx="2578">
                  <c:v>3.1937804882833376E-2</c:v>
                </c:pt>
                <c:pt idx="2579">
                  <c:v>3.1931166385881227E-2</c:v>
                </c:pt>
                <c:pt idx="2580">
                  <c:v>3.1924543210672951E-2</c:v>
                </c:pt>
                <c:pt idx="2581">
                  <c:v>3.1916050212448255E-2</c:v>
                </c:pt>
                <c:pt idx="2582">
                  <c:v>3.1911342823889299E-2</c:v>
                </c:pt>
                <c:pt idx="2583">
                  <c:v>3.190476561279354E-2</c:v>
                </c:pt>
                <c:pt idx="2584">
                  <c:v>3.189820372312191E-2</c:v>
                </c:pt>
                <c:pt idx="2585">
                  <c:v>3.1891657154714537E-2</c:v>
                </c:pt>
                <c:pt idx="2586">
                  <c:v>3.1885125907731293E-2</c:v>
                </c:pt>
                <c:pt idx="2587">
                  <c:v>3.1878609982332051E-2</c:v>
                </c:pt>
                <c:pt idx="2588">
                  <c:v>3.1872109378117131E-2</c:v>
                </c:pt>
                <c:pt idx="2589">
                  <c:v>3.1864698877184239E-2</c:v>
                </c:pt>
                <c:pt idx="2590">
                  <c:v>3.1859154134039613E-2</c:v>
                </c:pt>
                <c:pt idx="2591">
                  <c:v>3.1852699494256953E-2</c:v>
                </c:pt>
                <c:pt idx="2592">
                  <c:v>3.184626017573855E-2</c:v>
                </c:pt>
                <c:pt idx="2593">
                  <c:v>3.1839836178484404E-2</c:v>
                </c:pt>
                <c:pt idx="2594">
                  <c:v>3.1832513228557957E-2</c:v>
                </c:pt>
                <c:pt idx="2595">
                  <c:v>3.1827034148568245E-2</c:v>
                </c:pt>
                <c:pt idx="2596">
                  <c:v>3.182065611574636E-2</c:v>
                </c:pt>
                <c:pt idx="2597">
                  <c:v>3.1814293404108795E-2</c:v>
                </c:pt>
                <c:pt idx="2598">
                  <c:v>3.1807946014055233E-2</c:v>
                </c:pt>
                <c:pt idx="2599">
                  <c:v>3.1801613945345863E-2</c:v>
                </c:pt>
                <c:pt idx="2600">
                  <c:v>3.1795297197980688E-2</c:v>
                </c:pt>
                <c:pt idx="2601">
                  <c:v>3.1788995772119577E-2</c:v>
                </c:pt>
                <c:pt idx="2602">
                  <c:v>3.178270966760266E-2</c:v>
                </c:pt>
                <c:pt idx="2603">
                  <c:v>3.1775544309136095E-2</c:v>
                </c:pt>
                <c:pt idx="2604">
                  <c:v>3.1770183422681342E-2</c:v>
                </c:pt>
                <c:pt idx="2605">
                  <c:v>3.1763943282436813E-2</c:v>
                </c:pt>
                <c:pt idx="2606">
                  <c:v>3.1757718463536477E-2</c:v>
                </c:pt>
                <c:pt idx="2607">
                  <c:v>3.1751508965980335E-2</c:v>
                </c:pt>
                <c:pt idx="2608">
                  <c:v>3.1744431158280406E-2</c:v>
                </c:pt>
                <c:pt idx="2609">
                  <c:v>3.1739135935060503E-2</c:v>
                </c:pt>
                <c:pt idx="2610">
                  <c:v>3.1732972401696813E-2</c:v>
                </c:pt>
                <c:pt idx="2611">
                  <c:v>3.172682418959738E-2</c:v>
                </c:pt>
                <c:pt idx="2612">
                  <c:v>3.1720691299081949E-2</c:v>
                </c:pt>
                <c:pt idx="2613">
                  <c:v>3.171370104206872E-2</c:v>
                </c:pt>
                <c:pt idx="2614">
                  <c:v>3.1708471482083667E-2</c:v>
                </c:pt>
                <c:pt idx="2615">
                  <c:v>3.1702384555520879E-2</c:v>
                </c:pt>
                <c:pt idx="2616">
                  <c:v>3.1696312950462158E-2</c:v>
                </c:pt>
                <c:pt idx="2617">
                  <c:v>3.1690256666907501E-2</c:v>
                </c:pt>
                <c:pt idx="2618">
                  <c:v>3.1684215704537166E-2</c:v>
                </c:pt>
                <c:pt idx="2619">
                  <c:v>3.1677330508523838E-2</c:v>
                </c:pt>
                <c:pt idx="2620">
                  <c:v>3.1671322377651023E-2</c:v>
                </c:pt>
                <c:pt idx="2621">
                  <c:v>3.1666184745970938E-2</c:v>
                </c:pt>
                <c:pt idx="2622">
                  <c:v>3.1659352080417591E-2</c:v>
                </c:pt>
                <c:pt idx="2623">
                  <c:v>3.1654240713807624E-2</c:v>
                </c:pt>
                <c:pt idx="2624">
                  <c:v>3.1648291679822194E-2</c:v>
                </c:pt>
                <c:pt idx="2625">
                  <c:v>3.1642357967260892E-2</c:v>
                </c:pt>
                <c:pt idx="2626">
                  <c:v>3.1636439575803976E-2</c:v>
                </c:pt>
                <c:pt idx="2627">
                  <c:v>3.162969446093733E-2</c:v>
                </c:pt>
                <c:pt idx="2628">
                  <c:v>3.1624648757482277E-2</c:v>
                </c:pt>
                <c:pt idx="2629">
                  <c:v>3.1618776330377685E-2</c:v>
                </c:pt>
                <c:pt idx="2630">
                  <c:v>3.1612919224617286E-2</c:v>
                </c:pt>
                <c:pt idx="2631">
                  <c:v>3.1607077440201081E-2</c:v>
                </c:pt>
                <c:pt idx="2632">
                  <c:v>3.1601250977288942E-2</c:v>
                </c:pt>
                <c:pt idx="2633">
                  <c:v>3.1595439835561123E-2</c:v>
                </c:pt>
                <c:pt idx="2634">
                  <c:v>3.158964401533737E-2</c:v>
                </c:pt>
                <c:pt idx="2635">
                  <c:v>3.1583863516457811E-2</c:v>
                </c:pt>
                <c:pt idx="2636">
                  <c:v>3.1576453959409889E-2</c:v>
                </c:pt>
                <c:pt idx="2637">
                  <c:v>3.1572348482731272E-2</c:v>
                </c:pt>
                <c:pt idx="2638">
                  <c:v>3.1566613947964228E-2</c:v>
                </c:pt>
                <c:pt idx="2639">
                  <c:v>3.1560894734541378E-2</c:v>
                </c:pt>
                <c:pt idx="2640">
                  <c:v>3.1555190842382785E-2</c:v>
                </c:pt>
                <c:pt idx="2641">
                  <c:v>3.1548690869502849E-2</c:v>
                </c:pt>
                <c:pt idx="2642">
                  <c:v>3.1543829022417924E-2</c:v>
                </c:pt>
                <c:pt idx="2643">
                  <c:v>3.1538171094451783E-2</c:v>
                </c:pt>
                <c:pt idx="2644">
                  <c:v>3.15325284877499E-2</c:v>
                </c:pt>
                <c:pt idx="2645">
                  <c:v>3.1526901202711954E-2</c:v>
                </c:pt>
                <c:pt idx="2646">
                  <c:v>3.1522268962920208E-2</c:v>
                </c:pt>
                <c:pt idx="2647">
                  <c:v>3.1515692596109091E-2</c:v>
                </c:pt>
                <c:pt idx="2648">
                  <c:v>3.1510111275023789E-2</c:v>
                </c:pt>
                <c:pt idx="2649">
                  <c:v>3.150454527528268E-2</c:v>
                </c:pt>
                <c:pt idx="2650">
                  <c:v>3.1498994596885765E-2</c:v>
                </c:pt>
                <c:pt idx="2651">
                  <c:v>3.1493459239673172E-2</c:v>
                </c:pt>
                <c:pt idx="2652">
                  <c:v>3.1487939204044579E-2</c:v>
                </c:pt>
                <c:pt idx="2653">
                  <c:v>3.1482434489680244E-2</c:v>
                </c:pt>
                <c:pt idx="2654">
                  <c:v>3.1476945096580167E-2</c:v>
                </c:pt>
                <c:pt idx="2655">
                  <c:v>3.1470690265527068E-2</c:v>
                </c:pt>
                <c:pt idx="2656">
                  <c:v>3.1466012274732336E-2</c:v>
                </c:pt>
                <c:pt idx="2657">
                  <c:v>3.1460568845744774E-2</c:v>
                </c:pt>
                <c:pt idx="2658">
                  <c:v>3.1455140738101406E-2</c:v>
                </c:pt>
                <c:pt idx="2659">
                  <c:v>3.1449727951802231E-2</c:v>
                </c:pt>
                <c:pt idx="2660">
                  <c:v>3.1443560671355897E-2</c:v>
                </c:pt>
                <c:pt idx="2661">
                  <c:v>3.1438948343636142E-2</c:v>
                </c:pt>
                <c:pt idx="2662">
                  <c:v>3.1433581521289611E-2</c:v>
                </c:pt>
                <c:pt idx="2663">
                  <c:v>3.1428230020607018E-2</c:v>
                </c:pt>
                <c:pt idx="2664">
                  <c:v>3.1422893841108746E-2</c:v>
                </c:pt>
                <c:pt idx="2665">
                  <c:v>3.1416814111029367E-2</c:v>
                </c:pt>
                <c:pt idx="2666">
                  <c:v>3.1412267446064845E-2</c:v>
                </c:pt>
                <c:pt idx="2667">
                  <c:v>3.140697723067909E-2</c:v>
                </c:pt>
                <c:pt idx="2668">
                  <c:v>3.1401702336717463E-2</c:v>
                </c:pt>
                <c:pt idx="2669">
                  <c:v>3.1396442763860222E-2</c:v>
                </c:pt>
                <c:pt idx="2670">
                  <c:v>3.1391198512507046E-2</c:v>
                </c:pt>
                <c:pt idx="2671">
                  <c:v>3.1385223843107823E-2</c:v>
                </c:pt>
                <c:pt idx="2672">
                  <c:v>3.1379269185300984E-2</c:v>
                </c:pt>
                <c:pt idx="2673">
                  <c:v>3.1374816324580834E-2</c:v>
                </c:pt>
                <c:pt idx="2674">
                  <c:v>3.1369635547253694E-2</c:v>
                </c:pt>
                <c:pt idx="2675">
                  <c:v>3.1363733419746964E-2</c:v>
                </c:pt>
                <c:pt idx="2676">
                  <c:v>3.1359319956791865E-2</c:v>
                </c:pt>
                <c:pt idx="2677">
                  <c:v>3.135418514357724E-2</c:v>
                </c:pt>
                <c:pt idx="2678">
                  <c:v>3.1349065651706809E-2</c:v>
                </c:pt>
                <c:pt idx="2679">
                  <c:v>3.134323356457358E-2</c:v>
                </c:pt>
                <c:pt idx="2680">
                  <c:v>3.1338872631918591E-2</c:v>
                </c:pt>
                <c:pt idx="2681">
                  <c:v>3.1333799104000803E-2</c:v>
                </c:pt>
                <c:pt idx="2682">
                  <c:v>3.1328740897507146E-2</c:v>
                </c:pt>
                <c:pt idx="2683">
                  <c:v>3.1323698012277745E-2</c:v>
                </c:pt>
                <c:pt idx="2684">
                  <c:v>3.131867044855241E-2</c:v>
                </c:pt>
                <c:pt idx="2685">
                  <c:v>3.1313658205851524E-2</c:v>
                </c:pt>
                <c:pt idx="2686">
                  <c:v>3.130866128473464E-2</c:v>
                </c:pt>
                <c:pt idx="2687">
                  <c:v>3.1304271217305057E-2</c:v>
                </c:pt>
                <c:pt idx="2688">
                  <c:v>3.1298713406293643E-2</c:v>
                </c:pt>
                <c:pt idx="2689">
                  <c:v>3.1293762449049467E-2</c:v>
                </c:pt>
                <c:pt idx="2690">
                  <c:v>3.1288122973043286E-2</c:v>
                </c:pt>
                <c:pt idx="2691">
                  <c:v>3.128390649867363E-2</c:v>
                </c:pt>
                <c:pt idx="2692">
                  <c:v>3.1279001505382098E-2</c:v>
                </c:pt>
                <c:pt idx="2693">
                  <c:v>3.1273414559676027E-2</c:v>
                </c:pt>
                <c:pt idx="2694">
                  <c:v>3.1269237483151358E-2</c:v>
                </c:pt>
                <c:pt idx="2695">
                  <c:v>3.1264378453892405E-2</c:v>
                </c:pt>
                <c:pt idx="2696">
                  <c:v>3.1259534745817774E-2</c:v>
                </c:pt>
                <c:pt idx="2697">
                  <c:v>3.1254706359407081E-2</c:v>
                </c:pt>
                <c:pt idx="2698">
                  <c:v>3.1250906426918412E-2</c:v>
                </c:pt>
                <c:pt idx="2699">
                  <c:v>3.1245095550218593E-2</c:v>
                </c:pt>
                <c:pt idx="2700">
                  <c:v>3.1240313127600672E-2</c:v>
                </c:pt>
                <c:pt idx="2701">
                  <c:v>3.1235546026486816E-2</c:v>
                </c:pt>
                <c:pt idx="2702">
                  <c:v>3.1230794246557281E-2</c:v>
                </c:pt>
                <c:pt idx="2703">
                  <c:v>3.1226057787892003E-2</c:v>
                </c:pt>
                <c:pt idx="2704">
                  <c:v>3.1221336650730791E-2</c:v>
                </c:pt>
                <c:pt idx="2705">
                  <c:v>3.1216630834673964E-2</c:v>
                </c:pt>
                <c:pt idx="2706">
                  <c:v>3.1211271520081851E-2</c:v>
                </c:pt>
                <c:pt idx="2707">
                  <c:v>3.1206598535602481E-2</c:v>
                </c:pt>
                <c:pt idx="2708">
                  <c:v>3.1202605314728515E-2</c:v>
                </c:pt>
                <c:pt idx="2709">
                  <c:v>3.1197960784128398E-2</c:v>
                </c:pt>
                <c:pt idx="2710">
                  <c:v>3.1193331574712602E-2</c:v>
                </c:pt>
                <c:pt idx="2711">
                  <c:v>3.1188717686640999E-2</c:v>
                </c:pt>
                <c:pt idx="2712">
                  <c:v>3.1184119120073461E-2</c:v>
                </c:pt>
                <c:pt idx="2713">
                  <c:v>3.1178882375915151E-2</c:v>
                </c:pt>
                <c:pt idx="2714">
                  <c:v>3.117496795049135E-2</c:v>
                </c:pt>
                <c:pt idx="2715">
                  <c:v>3.1170415347876457E-2</c:v>
                </c:pt>
                <c:pt idx="2716">
                  <c:v>3.1165878066365948E-2</c:v>
                </c:pt>
                <c:pt idx="2717">
                  <c:v>3.1160711362581139E-2</c:v>
                </c:pt>
                <c:pt idx="2718">
                  <c:v>3.1156849467297576E-2</c:v>
                </c:pt>
                <c:pt idx="2719">
                  <c:v>3.1153385813293966E-2</c:v>
                </c:pt>
                <c:pt idx="2720">
                  <c:v>3.1147882153685913E-2</c:v>
                </c:pt>
                <c:pt idx="2721">
                  <c:v>3.1143421478736499E-2</c:v>
                </c:pt>
                <c:pt idx="2722">
                  <c:v>3.1138976125291151E-2</c:v>
                </c:pt>
                <c:pt idx="2723">
                  <c:v>3.113391448194669E-2</c:v>
                </c:pt>
                <c:pt idx="2724">
                  <c:v>3.1130935811756189E-2</c:v>
                </c:pt>
                <c:pt idx="2725">
                  <c:v>3.1125104759075484E-2</c:v>
                </c:pt>
                <c:pt idx="2726">
                  <c:v>3.1120722879336427E-2</c:v>
                </c:pt>
                <c:pt idx="2727">
                  <c:v>3.1116356321181371E-2</c:v>
                </c:pt>
                <c:pt idx="2728">
                  <c:v>3.1112005084290573E-2</c:v>
                </c:pt>
                <c:pt idx="2729">
                  <c:v>3.1107669168664032E-2</c:v>
                </c:pt>
                <c:pt idx="2730">
                  <c:v>3.1103348574221812E-2</c:v>
                </c:pt>
                <c:pt idx="2731">
                  <c:v>3.1099043301363594E-2</c:v>
                </c:pt>
                <c:pt idx="2732">
                  <c:v>3.1094753349609761E-2</c:v>
                </c:pt>
                <c:pt idx="2733">
                  <c:v>3.1090478719200121E-2</c:v>
                </c:pt>
                <c:pt idx="2734">
                  <c:v>3.1086219410134674E-2</c:v>
                </c:pt>
                <c:pt idx="2735">
                  <c:v>3.1081975422413421E-2</c:v>
                </c:pt>
                <c:pt idx="2736">
                  <c:v>3.1077746755956426E-2</c:v>
                </c:pt>
                <c:pt idx="2737">
                  <c:v>3.1071132663962331E-2</c:v>
                </c:pt>
                <c:pt idx="2738">
                  <c:v>3.1066943395030577E-2</c:v>
                </c:pt>
                <c:pt idx="2739">
                  <c:v>3.1062769447443017E-2</c:v>
                </c:pt>
                <c:pt idx="2740">
                  <c:v>3.1058610821359522E-2</c:v>
                </c:pt>
                <c:pt idx="2741">
                  <c:v>3.1054467516380413E-2</c:v>
                </c:pt>
                <c:pt idx="2742">
                  <c:v>3.1050339532665561E-2</c:v>
                </c:pt>
                <c:pt idx="2743">
                  <c:v>3.1046226870374838E-2</c:v>
                </c:pt>
                <c:pt idx="2744">
                  <c:v>3.1041545445686936E-2</c:v>
                </c:pt>
                <c:pt idx="2745">
                  <c:v>3.1038047509746036E-2</c:v>
                </c:pt>
                <c:pt idx="2746">
                  <c:v>3.1033980811168149E-2</c:v>
                </c:pt>
                <c:pt idx="2747">
                  <c:v>3.1029929434174264E-2</c:v>
                </c:pt>
                <c:pt idx="2748">
                  <c:v>3.10258933783647E-2</c:v>
                </c:pt>
                <c:pt idx="2749">
                  <c:v>3.1021872643899329E-2</c:v>
                </c:pt>
                <c:pt idx="2750">
                  <c:v>3.1017296279491902E-2</c:v>
                </c:pt>
                <c:pt idx="2751">
                  <c:v>3.1013877138681423E-2</c:v>
                </c:pt>
                <c:pt idx="2752">
                  <c:v>3.100990236808876E-2</c:v>
                </c:pt>
                <c:pt idx="2753">
                  <c:v>3.1005942918600482E-2</c:v>
                </c:pt>
                <c:pt idx="2754">
                  <c:v>3.100199879061627E-2</c:v>
                </c:pt>
                <c:pt idx="2755">
                  <c:v>3.0998069983896315E-2</c:v>
                </c:pt>
                <c:pt idx="2756">
                  <c:v>3.0994156498440617E-2</c:v>
                </c:pt>
                <c:pt idx="2757">
                  <c:v>3.0990258334169241E-2</c:v>
                </c:pt>
                <c:pt idx="2758">
                  <c:v>3.0985822050269007E-2</c:v>
                </c:pt>
                <c:pt idx="2759">
                  <c:v>3.0982507969898876E-2</c:v>
                </c:pt>
                <c:pt idx="2760">
                  <c:v>3.0978655769660079E-2</c:v>
                </c:pt>
                <c:pt idx="2761">
                  <c:v>3.0974818890525668E-2</c:v>
                </c:pt>
                <c:pt idx="2762">
                  <c:v>3.0970997332895323E-2</c:v>
                </c:pt>
                <c:pt idx="2763">
                  <c:v>3.0967191096529234E-2</c:v>
                </c:pt>
                <c:pt idx="2764">
                  <c:v>3.096285987282954E-2</c:v>
                </c:pt>
                <c:pt idx="2765">
                  <c:v>3.0959624587429957E-2</c:v>
                </c:pt>
                <c:pt idx="2766">
                  <c:v>3.0955864315016512E-2</c:v>
                </c:pt>
                <c:pt idx="2767">
                  <c:v>3.0952119363787389E-2</c:v>
                </c:pt>
                <c:pt idx="2768">
                  <c:v>3.0949454215885019E-2</c:v>
                </c:pt>
                <c:pt idx="2769">
                  <c:v>3.0944675425201851E-2</c:v>
                </c:pt>
                <c:pt idx="2770">
                  <c:v>3.0940976437845435E-2</c:v>
                </c:pt>
                <c:pt idx="2771">
                  <c:v>3.0936767784419672E-2</c:v>
                </c:pt>
                <c:pt idx="2772">
                  <c:v>3.0933624426845441E-2</c:v>
                </c:pt>
                <c:pt idx="2773">
                  <c:v>3.092997140344167E-2</c:v>
                </c:pt>
                <c:pt idx="2774">
                  <c:v>3.0926333701142283E-2</c:v>
                </c:pt>
                <c:pt idx="2775">
                  <c:v>3.0922749329143073E-2</c:v>
                </c:pt>
                <c:pt idx="2776">
                  <c:v>3.0918590216888475E-2</c:v>
                </c:pt>
                <c:pt idx="2777">
                  <c:v>3.0915512522229349E-2</c:v>
                </c:pt>
                <c:pt idx="2778">
                  <c:v>3.0911426439077516E-2</c:v>
                </c:pt>
                <c:pt idx="2779">
                  <c:v>3.0908375009168765E-2</c:v>
                </c:pt>
                <c:pt idx="2780">
                  <c:v>3.0904829234694731E-2</c:v>
                </c:pt>
                <c:pt idx="2781">
                  <c:v>3.0901298781405018E-2</c:v>
                </c:pt>
                <c:pt idx="2782">
                  <c:v>3.0897282738386878E-2</c:v>
                </c:pt>
                <c:pt idx="2783">
                  <c:v>3.08942838386983E-2</c:v>
                </c:pt>
                <c:pt idx="2784">
                  <c:v>3.0890799349441167E-2</c:v>
                </c:pt>
                <c:pt idx="2785">
                  <c:v>3.0887330181208483E-2</c:v>
                </c:pt>
                <c:pt idx="2786">
                  <c:v>3.0883876334479865E-2</c:v>
                </c:pt>
                <c:pt idx="2787">
                  <c:v>3.0880437808935568E-2</c:v>
                </c:pt>
                <c:pt idx="2788">
                  <c:v>3.0877014604655528E-2</c:v>
                </c:pt>
                <c:pt idx="2789">
                  <c:v>3.0873606721479874E-2</c:v>
                </c:pt>
                <c:pt idx="2790">
                  <c:v>3.0870214159808285E-2</c:v>
                </c:pt>
                <c:pt idx="2791">
                  <c:v>3.0866836919400953E-2</c:v>
                </c:pt>
                <c:pt idx="2792">
                  <c:v>3.0863475000337814E-2</c:v>
                </c:pt>
                <c:pt idx="2793">
                  <c:v>3.0860128402379061E-2</c:v>
                </c:pt>
                <c:pt idx="2794">
                  <c:v>3.0856797125844437E-2</c:v>
                </c:pt>
                <c:pt idx="2795">
                  <c:v>3.0853481170494135E-2</c:v>
                </c:pt>
                <c:pt idx="2796">
                  <c:v>3.0850180536408089E-2</c:v>
                </c:pt>
                <c:pt idx="2797">
                  <c:v>3.0846427144011201E-2</c:v>
                </c:pt>
                <c:pt idx="2798">
                  <c:v>3.0843625232188643E-2</c:v>
                </c:pt>
                <c:pt idx="2799">
                  <c:v>3.0840370561895369E-2</c:v>
                </c:pt>
                <c:pt idx="2800">
                  <c:v>3.0837131212866353E-2</c:v>
                </c:pt>
                <c:pt idx="2801">
                  <c:v>3.0833907185181531E-2</c:v>
                </c:pt>
                <c:pt idx="2802">
                  <c:v>3.0830241342911791E-2</c:v>
                </c:pt>
                <c:pt idx="2803">
                  <c:v>3.0827505093764529E-2</c:v>
                </c:pt>
                <c:pt idx="2804">
                  <c:v>3.0824327029792542E-2</c:v>
                </c:pt>
                <c:pt idx="2805">
                  <c:v>3.0821164287324621E-2</c:v>
                </c:pt>
                <c:pt idx="2806">
                  <c:v>3.0818016865961084E-2</c:v>
                </c:pt>
                <c:pt idx="2807">
                  <c:v>3.0814884765861805E-2</c:v>
                </c:pt>
                <c:pt idx="2808">
                  <c:v>3.0811767987026784E-2</c:v>
                </c:pt>
                <c:pt idx="2809">
                  <c:v>3.0808666529615891E-2</c:v>
                </c:pt>
                <c:pt idx="2810">
                  <c:v>3.080558039338932E-2</c:v>
                </c:pt>
                <c:pt idx="2811">
                  <c:v>3.0802072141220549E-2</c:v>
                </c:pt>
                <c:pt idx="2812">
                  <c:v>3.0799454084649014E-2</c:v>
                </c:pt>
                <c:pt idx="2813">
                  <c:v>3.0796413912295151E-2</c:v>
                </c:pt>
                <c:pt idx="2814">
                  <c:v>3.0793389061125609E-2</c:v>
                </c:pt>
                <c:pt idx="2815">
                  <c:v>3.0790379531140388E-2</c:v>
                </c:pt>
                <c:pt idx="2816">
                  <c:v>3.0786958829178701E-2</c:v>
                </c:pt>
                <c:pt idx="2817">
                  <c:v>3.0784406435202527E-2</c:v>
                </c:pt>
                <c:pt idx="2818">
                  <c:v>3.0781442869090014E-2</c:v>
                </c:pt>
                <c:pt idx="2819">
                  <c:v>3.0778494624161823E-2</c:v>
                </c:pt>
                <c:pt idx="2820">
                  <c:v>3.0775561700817633E-2</c:v>
                </c:pt>
                <c:pt idx="2821">
                  <c:v>3.0772228548903158E-2</c:v>
                </c:pt>
                <c:pt idx="2822">
                  <c:v>3.0769741817362473E-2</c:v>
                </c:pt>
                <c:pt idx="2823">
                  <c:v>3.0766443685514844E-2</c:v>
                </c:pt>
                <c:pt idx="2824">
                  <c:v>3.0763983219284086E-2</c:v>
                </c:pt>
                <c:pt idx="2825">
                  <c:v>3.076112690210131E-2</c:v>
                </c:pt>
                <c:pt idx="2826">
                  <c:v>3.0758285905942984E-2</c:v>
                </c:pt>
                <c:pt idx="2827">
                  <c:v>3.0755057814229048E-2</c:v>
                </c:pt>
                <c:pt idx="2828">
                  <c:v>3.0751450130876989E-2</c:v>
                </c:pt>
                <c:pt idx="2829">
                  <c:v>3.0749456806171693E-2</c:v>
                </c:pt>
                <c:pt idx="2830">
                  <c:v>3.0746283745877179E-2</c:v>
                </c:pt>
                <c:pt idx="2831">
                  <c:v>3.0743917083011496E-2</c:v>
                </c:pt>
                <c:pt idx="2832">
                  <c:v>3.0741170203487655E-2</c:v>
                </c:pt>
                <c:pt idx="2833">
                  <c:v>3.0738438645148136E-2</c:v>
                </c:pt>
                <c:pt idx="2834">
                  <c:v>3.0735722407913002E-2</c:v>
                </c:pt>
                <c:pt idx="2835">
                  <c:v>3.0732636897745635E-2</c:v>
                </c:pt>
                <c:pt idx="2836">
                  <c:v>3.0730335897475314E-2</c:v>
                </c:pt>
                <c:pt idx="2837">
                  <c:v>3.072766562427276E-2</c:v>
                </c:pt>
                <c:pt idx="2838">
                  <c:v>3.0725010672014719E-2</c:v>
                </c:pt>
                <c:pt idx="2839">
                  <c:v>3.0722371041260743E-2</c:v>
                </c:pt>
                <c:pt idx="2840">
                  <c:v>3.0719746731691089E-2</c:v>
                </c:pt>
                <c:pt idx="2841">
                  <c:v>3.0717137743465628E-2</c:v>
                </c:pt>
                <c:pt idx="2842">
                  <c:v>3.0713805842870201E-2</c:v>
                </c:pt>
                <c:pt idx="2843">
                  <c:v>3.0711965730727542E-2</c:v>
                </c:pt>
                <c:pt idx="2844">
                  <c:v>3.0709402706134981E-2</c:v>
                </c:pt>
                <c:pt idx="2845">
                  <c:v>3.0706855002806677E-2</c:v>
                </c:pt>
                <c:pt idx="2846">
                  <c:v>3.0704322620902502E-2</c:v>
                </c:pt>
                <c:pt idx="2847">
                  <c:v>3.0701805560262585E-2</c:v>
                </c:pt>
                <c:pt idx="2848">
                  <c:v>3.0699303820727053E-2</c:v>
                </c:pt>
                <c:pt idx="2849">
                  <c:v>3.0696463450547995E-2</c:v>
                </c:pt>
                <c:pt idx="2850">
                  <c:v>3.0694346305448761E-2</c:v>
                </c:pt>
                <c:pt idx="2851">
                  <c:v>3.0691890529785937E-2</c:v>
                </c:pt>
                <c:pt idx="2852">
                  <c:v>3.0689450075227498E-2</c:v>
                </c:pt>
                <c:pt idx="2853">
                  <c:v>3.0687024942013252E-2</c:v>
                </c:pt>
                <c:pt idx="2854">
                  <c:v>3.0684272121961342E-2</c:v>
                </c:pt>
                <c:pt idx="2855">
                  <c:v>3.0682220639457469E-2</c:v>
                </c:pt>
                <c:pt idx="2856">
                  <c:v>3.067984146995606E-2</c:v>
                </c:pt>
                <c:pt idx="2857">
                  <c:v>3.0677477621878779E-2</c:v>
                </c:pt>
                <c:pt idx="2858">
                  <c:v>3.067512909498582E-2</c:v>
                </c:pt>
                <c:pt idx="2859">
                  <c:v>3.0672795889277182E-2</c:v>
                </c:pt>
                <c:pt idx="2860">
                  <c:v>3.0670478004752866E-2</c:v>
                </c:pt>
                <c:pt idx="2861">
                  <c:v>3.0668175441652679E-2</c:v>
                </c:pt>
                <c:pt idx="2862">
                  <c:v>3.0665888199816749E-2</c:v>
                </c:pt>
                <c:pt idx="2863">
                  <c:v>3.0663292969625999E-2</c:v>
                </c:pt>
                <c:pt idx="2864">
                  <c:v>3.0661359679458045E-2</c:v>
                </c:pt>
                <c:pt idx="2865">
                  <c:v>3.0659118401414887E-2</c:v>
                </c:pt>
                <c:pt idx="2866">
                  <c:v>3.0656892444476114E-2</c:v>
                </c:pt>
                <c:pt idx="2867">
                  <c:v>3.0654681808801598E-2</c:v>
                </c:pt>
                <c:pt idx="2868">
                  <c:v>3.0652174128737997E-2</c:v>
                </c:pt>
                <c:pt idx="2869">
                  <c:v>3.0650306501245339E-2</c:v>
                </c:pt>
                <c:pt idx="2870">
                  <c:v>3.0648141829283659E-2</c:v>
                </c:pt>
                <c:pt idx="2871">
                  <c:v>3.0645992478586237E-2</c:v>
                </c:pt>
                <c:pt idx="2872">
                  <c:v>3.0643858449312944E-2</c:v>
                </c:pt>
                <c:pt idx="2873">
                  <c:v>3.0641438319216618E-2</c:v>
                </c:pt>
                <c:pt idx="2874">
                  <c:v>3.063963635415945E-2</c:v>
                </c:pt>
                <c:pt idx="2875">
                  <c:v>3.0637548288519056E-2</c:v>
                </c:pt>
                <c:pt idx="2876">
                  <c:v>3.0635475544142921E-2</c:v>
                </c:pt>
                <c:pt idx="2877">
                  <c:v>3.063341812087117E-2</c:v>
                </c:pt>
                <c:pt idx="2878">
                  <c:v>3.0631376018863676E-2</c:v>
                </c:pt>
                <c:pt idx="2879">
                  <c:v>3.0629060948887954E-2</c:v>
                </c:pt>
                <c:pt idx="2880">
                  <c:v>3.0627051678377981E-2</c:v>
                </c:pt>
                <c:pt idx="2881">
                  <c:v>3.0625341640586612E-2</c:v>
                </c:pt>
                <c:pt idx="2882">
                  <c:v>3.0623079100671191E-2</c:v>
                </c:pt>
                <c:pt idx="2883">
                  <c:v>3.0621395328109813E-2</c:v>
                </c:pt>
                <c:pt idx="2884">
                  <c:v>3.0619445153687863E-2</c:v>
                </c:pt>
                <c:pt idx="2885">
                  <c:v>3.0617510300370299E-2</c:v>
                </c:pt>
                <c:pt idx="2886">
                  <c:v>3.0615590768636736E-2</c:v>
                </c:pt>
                <c:pt idx="2887">
                  <c:v>3.0613415778448783E-2</c:v>
                </c:pt>
                <c:pt idx="2888">
                  <c:v>3.0611797668322893E-2</c:v>
                </c:pt>
                <c:pt idx="2889">
                  <c:v>3.0609924100142294E-2</c:v>
                </c:pt>
                <c:pt idx="2890">
                  <c:v>3.0608065853225952E-2</c:v>
                </c:pt>
                <c:pt idx="2891">
                  <c:v>3.0606222927493931E-2</c:v>
                </c:pt>
                <c:pt idx="2892">
                  <c:v>3.060387596439007E-2</c:v>
                </c:pt>
                <c:pt idx="2893">
                  <c:v>3.0602583039742726E-2</c:v>
                </c:pt>
                <c:pt idx="2894">
                  <c:v>3.0600786077803477E-2</c:v>
                </c:pt>
                <c:pt idx="2895">
                  <c:v>3.0599004437128485E-2</c:v>
                </c:pt>
                <c:pt idx="2896">
                  <c:v>3.0597238117477943E-2</c:v>
                </c:pt>
                <c:pt idx="2897">
                  <c:v>3.059548711925153E-2</c:v>
                </c:pt>
                <c:pt idx="2898">
                  <c:v>3.0593751442289374E-2</c:v>
                </c:pt>
                <c:pt idx="2899">
                  <c:v>3.0592031086431604E-2</c:v>
                </c:pt>
                <c:pt idx="2900">
                  <c:v>3.059032605183809E-2</c:v>
                </c:pt>
                <c:pt idx="2901">
                  <c:v>3.0588396201638446E-2</c:v>
                </c:pt>
                <c:pt idx="2902">
                  <c:v>3.0586961946683644E-2</c:v>
                </c:pt>
                <c:pt idx="2903">
                  <c:v>3.0585302875802967E-2</c:v>
                </c:pt>
                <c:pt idx="2904">
                  <c:v>3.0583659126266483E-2</c:v>
                </c:pt>
                <c:pt idx="2905">
                  <c:v>3.058203069791432E-2</c:v>
                </c:pt>
                <c:pt idx="2906">
                  <c:v>3.0580188397761887E-2</c:v>
                </c:pt>
                <c:pt idx="2907">
                  <c:v>3.057881980492283E-2</c:v>
                </c:pt>
                <c:pt idx="2908">
                  <c:v>3.0577237340443375E-2</c:v>
                </c:pt>
                <c:pt idx="2909">
                  <c:v>3.0575670197068305E-2</c:v>
                </c:pt>
                <c:pt idx="2910">
                  <c:v>3.0574118374877557E-2</c:v>
                </c:pt>
                <c:pt idx="2911">
                  <c:v>3.0572581873951066E-2</c:v>
                </c:pt>
                <c:pt idx="2912">
                  <c:v>3.0571060694448704E-2</c:v>
                </c:pt>
                <c:pt idx="2913">
                  <c:v>3.0569554836050727E-2</c:v>
                </c:pt>
                <c:pt idx="2914">
                  <c:v>3.0568064298917008E-2</c:v>
                </c:pt>
                <c:pt idx="2915">
                  <c:v>3.0566379588465864E-2</c:v>
                </c:pt>
                <c:pt idx="2916">
                  <c:v>3.0565129188282469E-2</c:v>
                </c:pt>
                <c:pt idx="2917">
                  <c:v>3.0563684614861586E-2</c:v>
                </c:pt>
                <c:pt idx="2918">
                  <c:v>3.0562255362625024E-2</c:v>
                </c:pt>
                <c:pt idx="2919">
                  <c:v>3.0560841431732655E-2</c:v>
                </c:pt>
                <c:pt idx="2920">
                  <c:v>3.0559244271408659E-2</c:v>
                </c:pt>
                <c:pt idx="2921">
                  <c:v>3.0558059533500881E-2</c:v>
                </c:pt>
                <c:pt idx="2922">
                  <c:v>3.0556691566241412E-2</c:v>
                </c:pt>
                <c:pt idx="2923">
                  <c:v>3.0555338920326136E-2</c:v>
                </c:pt>
                <c:pt idx="2924">
                  <c:v>3.0554001595675118E-2</c:v>
                </c:pt>
                <c:pt idx="2925">
                  <c:v>3.0552491984998653E-2</c:v>
                </c:pt>
                <c:pt idx="2926">
                  <c:v>3.0551372909686236E-2</c:v>
                </c:pt>
                <c:pt idx="2927">
                  <c:v>3.0550081548668118E-2</c:v>
                </c:pt>
                <c:pt idx="2928">
                  <c:v>3.0548805508754384E-2</c:v>
                </c:pt>
                <c:pt idx="2929">
                  <c:v>3.054754479026478E-2</c:v>
                </c:pt>
                <c:pt idx="2930">
                  <c:v>3.0546299392959497E-2</c:v>
                </c:pt>
                <c:pt idx="2931">
                  <c:v>3.0544894842403636E-2</c:v>
                </c:pt>
                <c:pt idx="2932">
                  <c:v>3.0543682276356066E-2</c:v>
                </c:pt>
                <c:pt idx="2933">
                  <c:v>3.0542655128389384E-2</c:v>
                </c:pt>
                <c:pt idx="2934">
                  <c:v>3.054130310757408E-2</c:v>
                </c:pt>
                <c:pt idx="2935">
                  <c:v>3.0540302224757454E-2</c:v>
                </c:pt>
                <c:pt idx="2936">
                  <c:v>3.0539148754877843E-2</c:v>
                </c:pt>
                <c:pt idx="2937">
                  <c:v>3.0538010606262489E-2</c:v>
                </c:pt>
                <c:pt idx="2938">
                  <c:v>3.0536887778671584E-2</c:v>
                </c:pt>
                <c:pt idx="2939">
                  <c:v>3.0535623308063364E-2</c:v>
                </c:pt>
                <c:pt idx="2940">
                  <c:v>3.0534688087522355E-2</c:v>
                </c:pt>
                <c:pt idx="2941">
                  <c:v>3.0533611223884094E-2</c:v>
                </c:pt>
                <c:pt idx="2942">
                  <c:v>3.0532549681350218E-2</c:v>
                </c:pt>
                <c:pt idx="2943">
                  <c:v>3.0531503459920728E-2</c:v>
                </c:pt>
                <c:pt idx="2944">
                  <c:v>3.0530472559995303E-2</c:v>
                </c:pt>
                <c:pt idx="2945">
                  <c:v>3.0529456981174263E-2</c:v>
                </c:pt>
                <c:pt idx="2946">
                  <c:v>3.0528456723537545E-2</c:v>
                </c:pt>
                <c:pt idx="2947">
                  <c:v>3.0527193191058899E-2</c:v>
                </c:pt>
                <c:pt idx="2948">
                  <c:v>3.0526502172216752E-2</c:v>
                </c:pt>
                <c:pt idx="2949">
                  <c:v>3.0525547878372805E-2</c:v>
                </c:pt>
                <c:pt idx="2950">
                  <c:v>3.0524608905633244E-2</c:v>
                </c:pt>
                <c:pt idx="2951">
                  <c:v>3.0523685254397748E-2</c:v>
                </c:pt>
                <c:pt idx="2952">
                  <c:v>3.0522776924186701E-2</c:v>
                </c:pt>
                <c:pt idx="2953">
                  <c:v>3.0521757593167109E-2</c:v>
                </c:pt>
                <c:pt idx="2954">
                  <c:v>3.0521006227397507E-2</c:v>
                </c:pt>
                <c:pt idx="2955">
                  <c:v>3.0520143861139104E-2</c:v>
                </c:pt>
                <c:pt idx="2956">
                  <c:v>3.051929681590515E-2</c:v>
                </c:pt>
                <c:pt idx="2957">
                  <c:v>3.0518465091775582E-2</c:v>
                </c:pt>
                <c:pt idx="2958">
                  <c:v>3.0518884504600052E-2</c:v>
                </c:pt>
                <c:pt idx="2959">
                  <c:v>3.0516847607469089E-2</c:v>
                </c:pt>
                <c:pt idx="2960">
                  <c:v>3.0516061847212228E-2</c:v>
                </c:pt>
                <c:pt idx="2961">
                  <c:v>3.0515291408059753E-2</c:v>
                </c:pt>
                <c:pt idx="2962">
                  <c:v>3.0514536290411343E-2</c:v>
                </c:pt>
                <c:pt idx="2963">
                  <c:v>3.0513796493707446E-2</c:v>
                </c:pt>
                <c:pt idx="2964">
                  <c:v>3.0513072018267806E-2</c:v>
                </c:pt>
                <c:pt idx="2965">
                  <c:v>3.051236286417236E-2</c:v>
                </c:pt>
                <c:pt idx="2966">
                  <c:v>3.0511669031421107E-2</c:v>
                </c:pt>
                <c:pt idx="2967">
                  <c:v>3.0510894840150016E-2</c:v>
                </c:pt>
                <c:pt idx="2968">
                  <c:v>3.0510327329231757E-2</c:v>
                </c:pt>
                <c:pt idx="2969">
                  <c:v>3.0509679460113404E-2</c:v>
                </c:pt>
                <c:pt idx="2970">
                  <c:v>3.0509046912099436E-2</c:v>
                </c:pt>
                <c:pt idx="2971">
                  <c:v>3.0508429685509597E-2</c:v>
                </c:pt>
                <c:pt idx="2972">
                  <c:v>3.0507743044125846E-2</c:v>
                </c:pt>
                <c:pt idx="2973">
                  <c:v>3.0507241195643076E-2</c:v>
                </c:pt>
                <c:pt idx="2974">
                  <c:v>3.0506669932606201E-2</c:v>
                </c:pt>
                <c:pt idx="2975">
                  <c:v>3.0506113990753647E-2</c:v>
                </c:pt>
                <c:pt idx="2976">
                  <c:v>3.0505573370005479E-2</c:v>
                </c:pt>
                <c:pt idx="2977">
                  <c:v>3.0504974278748875E-2</c:v>
                </c:pt>
                <c:pt idx="2978">
                  <c:v>3.0504538092701594E-2</c:v>
                </c:pt>
                <c:pt idx="2979">
                  <c:v>3.0504043435746198E-2</c:v>
                </c:pt>
                <c:pt idx="2980">
                  <c:v>3.0503564100134994E-2</c:v>
                </c:pt>
                <c:pt idx="2981">
                  <c:v>3.0503100085788049E-2</c:v>
                </c:pt>
                <c:pt idx="2982">
                  <c:v>3.0502651392545488E-2</c:v>
                </c:pt>
                <c:pt idx="2983">
                  <c:v>3.0502157361009807E-2</c:v>
                </c:pt>
                <c:pt idx="2984">
                  <c:v>3.0501683340906638E-2</c:v>
                </c:pt>
                <c:pt idx="2985">
                  <c:v>3.0501340958384304E-2</c:v>
                </c:pt>
                <c:pt idx="2986">
                  <c:v>3.0500955738848035E-2</c:v>
                </c:pt>
                <c:pt idx="2987">
                  <c:v>3.0500534248645295E-2</c:v>
                </c:pt>
                <c:pt idx="2988">
                  <c:v>3.0500231263328459E-2</c:v>
                </c:pt>
                <c:pt idx="2989">
                  <c:v>3.0499892007664897E-2</c:v>
                </c:pt>
                <c:pt idx="2990">
                  <c:v>3.0499568073105721E-2</c:v>
                </c:pt>
                <c:pt idx="2991">
                  <c:v>3.0499216622956737E-2</c:v>
                </c:pt>
                <c:pt idx="2992">
                  <c:v>3.0498966167620267E-2</c:v>
                </c:pt>
                <c:pt idx="2993">
                  <c:v>3.0498688196614054E-2</c:v>
                </c:pt>
                <c:pt idx="2994">
                  <c:v>3.0498425547031971E-2</c:v>
                </c:pt>
                <c:pt idx="2995">
                  <c:v>3.0498178218554273E-2</c:v>
                </c:pt>
                <c:pt idx="2996">
                  <c:v>3.0497946211420768E-2</c:v>
                </c:pt>
                <c:pt idx="2997">
                  <c:v>3.0497729525391648E-2</c:v>
                </c:pt>
                <c:pt idx="2998">
                  <c:v>3.0500030323956651E-2</c:v>
                </c:pt>
                <c:pt idx="2999">
                  <c:v>3.049734211712618E-2</c:v>
                </c:pt>
                <c:pt idx="3000">
                  <c:v>3.0497171394889833E-2</c:v>
                </c:pt>
                <c:pt idx="3001">
                  <c:v>3.0497015993837806E-2</c:v>
                </c:pt>
                <c:pt idx="3002">
                  <c:v>3.0496857153377022E-2</c:v>
                </c:pt>
                <c:pt idx="3003">
                  <c:v>3.0496751155446589E-2</c:v>
                </c:pt>
                <c:pt idx="3004">
                  <c:v>3.0496641718107398E-2</c:v>
                </c:pt>
                <c:pt idx="3005">
                  <c:v>3.0496535407467107E-2</c:v>
                </c:pt>
                <c:pt idx="3006">
                  <c:v>3.0496468807061916E-2</c:v>
                </c:pt>
                <c:pt idx="3007">
                  <c:v>3.0496405333435561E-2</c:v>
                </c:pt>
                <c:pt idx="3008">
                  <c:v>3.0496357180913591E-2</c:v>
                </c:pt>
                <c:pt idx="3009">
                  <c:v>3.0496324349575943E-2</c:v>
                </c:pt>
                <c:pt idx="3010">
                  <c:v>3.0496306839582488E-2</c:v>
                </c:pt>
                <c:pt idx="3011">
                  <c:v>3.0496303660845214E-2</c:v>
                </c:pt>
                <c:pt idx="3012">
                  <c:v>3.0496303660845214E-2</c:v>
                </c:pt>
                <c:pt idx="3013">
                  <c:v>3.0496303660765278E-2</c:v>
                </c:pt>
                <c:pt idx="3014">
                  <c:v>3.0496303660845214E-2</c:v>
                </c:pt>
                <c:pt idx="3015">
                  <c:v>3.0496303660765278E-2</c:v>
                </c:pt>
                <c:pt idx="3016">
                  <c:v>3.0496303660765278E-2</c:v>
                </c:pt>
                <c:pt idx="3017">
                  <c:v>3.0496303660765278E-2</c:v>
                </c:pt>
                <c:pt idx="3018">
                  <c:v>3.0496303660765278E-2</c:v>
                </c:pt>
                <c:pt idx="3019">
                  <c:v>3.0496303660845214E-2</c:v>
                </c:pt>
                <c:pt idx="3020">
                  <c:v>3.0496303660765278E-2</c:v>
                </c:pt>
                <c:pt idx="3021">
                  <c:v>3.0496303660765278E-2</c:v>
                </c:pt>
                <c:pt idx="3022">
                  <c:v>3.0496303660845214E-2</c:v>
                </c:pt>
                <c:pt idx="3023">
                  <c:v>3.0496303660845214E-2</c:v>
                </c:pt>
                <c:pt idx="3024">
                  <c:v>3.0496303660765278E-2</c:v>
                </c:pt>
                <c:pt idx="3025">
                  <c:v>3.0496303660765278E-2</c:v>
                </c:pt>
                <c:pt idx="3026">
                  <c:v>3.0496303660845214E-2</c:v>
                </c:pt>
                <c:pt idx="3027">
                  <c:v>3.0496303660765278E-2</c:v>
                </c:pt>
                <c:pt idx="3028">
                  <c:v>3.0496303660765278E-2</c:v>
                </c:pt>
                <c:pt idx="3029">
                  <c:v>3.0496303660765278E-2</c:v>
                </c:pt>
                <c:pt idx="3030">
                  <c:v>3.0496303660845214E-2</c:v>
                </c:pt>
                <c:pt idx="3031">
                  <c:v>3.0497595361511642E-2</c:v>
                </c:pt>
                <c:pt idx="3032">
                  <c:v>3.0496303660845214E-2</c:v>
                </c:pt>
                <c:pt idx="3033">
                  <c:v>3.0496303660845214E-2</c:v>
                </c:pt>
                <c:pt idx="3034">
                  <c:v>3.0496303660765278E-2</c:v>
                </c:pt>
                <c:pt idx="3035">
                  <c:v>3.0497595361511642E-2</c:v>
                </c:pt>
                <c:pt idx="3036">
                  <c:v>3.0496303660845214E-2</c:v>
                </c:pt>
                <c:pt idx="3037">
                  <c:v>3.0498887135212982E-2</c:v>
                </c:pt>
                <c:pt idx="3038">
                  <c:v>3.0500178981869297E-2</c:v>
                </c:pt>
                <c:pt idx="3039">
                  <c:v>3.0498887135239627E-2</c:v>
                </c:pt>
                <c:pt idx="3040">
                  <c:v>3.0498887135239627E-2</c:v>
                </c:pt>
                <c:pt idx="3041">
                  <c:v>3.0498887135239627E-2</c:v>
                </c:pt>
                <c:pt idx="3042">
                  <c:v>3.0500178981869297E-2</c:v>
                </c:pt>
                <c:pt idx="3043">
                  <c:v>3.0498887135239627E-2</c:v>
                </c:pt>
                <c:pt idx="3044">
                  <c:v>3.0498887135212982E-2</c:v>
                </c:pt>
                <c:pt idx="3045">
                  <c:v>3.0498887135239627E-2</c:v>
                </c:pt>
                <c:pt idx="3046">
                  <c:v>3.0498887135239627E-2</c:v>
                </c:pt>
                <c:pt idx="3047">
                  <c:v>3.0498887135266273E-2</c:v>
                </c:pt>
                <c:pt idx="3048">
                  <c:v>3.0498887135239627E-2</c:v>
                </c:pt>
                <c:pt idx="3049">
                  <c:v>3.0496303660765278E-2</c:v>
                </c:pt>
                <c:pt idx="3050">
                  <c:v>3.0496303660845214E-2</c:v>
                </c:pt>
                <c:pt idx="3051">
                  <c:v>3.0496303660845214E-2</c:v>
                </c:pt>
                <c:pt idx="3052">
                  <c:v>3.0496303660765278E-2</c:v>
                </c:pt>
                <c:pt idx="3053">
                  <c:v>3.0496303660765278E-2</c:v>
                </c:pt>
                <c:pt idx="3054">
                  <c:v>3.0496303660845214E-2</c:v>
                </c:pt>
                <c:pt idx="3055">
                  <c:v>3.0496303660765278E-2</c:v>
                </c:pt>
                <c:pt idx="3056">
                  <c:v>3.0496303660845214E-2</c:v>
                </c:pt>
                <c:pt idx="3057">
                  <c:v>3.0496303660845214E-2</c:v>
                </c:pt>
                <c:pt idx="3058">
                  <c:v>3.0496303660845214E-2</c:v>
                </c:pt>
                <c:pt idx="3059">
                  <c:v>3.0496303660765278E-2</c:v>
                </c:pt>
                <c:pt idx="3060">
                  <c:v>3.0496303660765278E-2</c:v>
                </c:pt>
                <c:pt idx="3061">
                  <c:v>3.0496303660765278E-2</c:v>
                </c:pt>
                <c:pt idx="3062">
                  <c:v>3.0496303660845214E-2</c:v>
                </c:pt>
                <c:pt idx="3063">
                  <c:v>3.0496303660765278E-2</c:v>
                </c:pt>
                <c:pt idx="3064">
                  <c:v>3.0496303660765278E-2</c:v>
                </c:pt>
                <c:pt idx="3065">
                  <c:v>3.0496303660845214E-2</c:v>
                </c:pt>
                <c:pt idx="3066">
                  <c:v>3.0496303660845214E-2</c:v>
                </c:pt>
                <c:pt idx="3067">
                  <c:v>3.0496303660765278E-2</c:v>
                </c:pt>
                <c:pt idx="3068">
                  <c:v>3.0496303660845214E-2</c:v>
                </c:pt>
                <c:pt idx="3069">
                  <c:v>3.0496303660765278E-2</c:v>
                </c:pt>
                <c:pt idx="3070">
                  <c:v>3.0496303660765278E-2</c:v>
                </c:pt>
                <c:pt idx="3071">
                  <c:v>3.0496303660845214E-2</c:v>
                </c:pt>
                <c:pt idx="3072">
                  <c:v>3.0496303660845214E-2</c:v>
                </c:pt>
                <c:pt idx="3073">
                  <c:v>3.0496303660845214E-2</c:v>
                </c:pt>
                <c:pt idx="3074">
                  <c:v>3.0496303660765278E-2</c:v>
                </c:pt>
                <c:pt idx="3075">
                  <c:v>3.0496303660845214E-2</c:v>
                </c:pt>
                <c:pt idx="3076">
                  <c:v>3.0496303660765278E-2</c:v>
                </c:pt>
                <c:pt idx="3077">
                  <c:v>3.0496303660845214E-2</c:v>
                </c:pt>
                <c:pt idx="3078">
                  <c:v>3.0496303660765278E-2</c:v>
                </c:pt>
                <c:pt idx="3079">
                  <c:v>3.0496303660765278E-2</c:v>
                </c:pt>
                <c:pt idx="3080">
                  <c:v>3.0496303660845214E-2</c:v>
                </c:pt>
                <c:pt idx="3081">
                  <c:v>3.0496303660765278E-2</c:v>
                </c:pt>
                <c:pt idx="3082">
                  <c:v>3.0496303660765278E-2</c:v>
                </c:pt>
                <c:pt idx="3083">
                  <c:v>3.0496303660685342E-2</c:v>
                </c:pt>
                <c:pt idx="3084">
                  <c:v>3.0496303660845214E-2</c:v>
                </c:pt>
                <c:pt idx="3085">
                  <c:v>3.0496303660685342E-2</c:v>
                </c:pt>
                <c:pt idx="3086">
                  <c:v>3.0496303660845214E-2</c:v>
                </c:pt>
                <c:pt idx="3087">
                  <c:v>3.0496303660765278E-2</c:v>
                </c:pt>
                <c:pt idx="3088">
                  <c:v>3.0496303660845214E-2</c:v>
                </c:pt>
                <c:pt idx="3089">
                  <c:v>3.0496303660765278E-2</c:v>
                </c:pt>
                <c:pt idx="3090">
                  <c:v>3.0496303660765278E-2</c:v>
                </c:pt>
                <c:pt idx="3091">
                  <c:v>3.0496303660845214E-2</c:v>
                </c:pt>
                <c:pt idx="3092">
                  <c:v>3.0496303660845214E-2</c:v>
                </c:pt>
                <c:pt idx="3093">
                  <c:v>3.0496303660845214E-2</c:v>
                </c:pt>
                <c:pt idx="3094">
                  <c:v>3.0496303660765278E-2</c:v>
                </c:pt>
                <c:pt idx="3095">
                  <c:v>3.0496303660845214E-2</c:v>
                </c:pt>
                <c:pt idx="3096">
                  <c:v>3.0496303660765278E-2</c:v>
                </c:pt>
                <c:pt idx="3097">
                  <c:v>3.0496303660845214E-2</c:v>
                </c:pt>
                <c:pt idx="3098">
                  <c:v>3.0496303660845214E-2</c:v>
                </c:pt>
                <c:pt idx="3099">
                  <c:v>3.0496303660765278E-2</c:v>
                </c:pt>
                <c:pt idx="3100">
                  <c:v>3.0496303660845214E-2</c:v>
                </c:pt>
                <c:pt idx="3101">
                  <c:v>3.0496303660845214E-2</c:v>
                </c:pt>
                <c:pt idx="3102">
                  <c:v>3.0496303660765278E-2</c:v>
                </c:pt>
                <c:pt idx="3103">
                  <c:v>3.0496303660845214E-2</c:v>
                </c:pt>
                <c:pt idx="3104">
                  <c:v>3.049630366092515E-2</c:v>
                </c:pt>
                <c:pt idx="3105">
                  <c:v>3.0496303660845214E-2</c:v>
                </c:pt>
                <c:pt idx="3106">
                  <c:v>3.0496303660685342E-2</c:v>
                </c:pt>
                <c:pt idx="3107">
                  <c:v>3.0496303660765278E-2</c:v>
                </c:pt>
                <c:pt idx="3108">
                  <c:v>3.0496303660845214E-2</c:v>
                </c:pt>
                <c:pt idx="3109">
                  <c:v>3.0496303660845214E-2</c:v>
                </c:pt>
                <c:pt idx="3110">
                  <c:v>3.0496303660685342E-2</c:v>
                </c:pt>
                <c:pt idx="3111">
                  <c:v>3.0496303660845214E-2</c:v>
                </c:pt>
                <c:pt idx="3112">
                  <c:v>3.049630366092515E-2</c:v>
                </c:pt>
                <c:pt idx="3113">
                  <c:v>3.0496303660845214E-2</c:v>
                </c:pt>
                <c:pt idx="3114">
                  <c:v>3.0496303660845214E-2</c:v>
                </c:pt>
                <c:pt idx="3115">
                  <c:v>3.0496303660845214E-2</c:v>
                </c:pt>
                <c:pt idx="3116">
                  <c:v>3.0496303660845214E-2</c:v>
                </c:pt>
                <c:pt idx="3117">
                  <c:v>3.0496303660685342E-2</c:v>
                </c:pt>
                <c:pt idx="3118">
                  <c:v>3.0496303660765278E-2</c:v>
                </c:pt>
                <c:pt idx="3119">
                  <c:v>3.0496303660845214E-2</c:v>
                </c:pt>
                <c:pt idx="3120">
                  <c:v>3.0496303660845214E-2</c:v>
                </c:pt>
                <c:pt idx="3121">
                  <c:v>3.0496303660765278E-2</c:v>
                </c:pt>
                <c:pt idx="3122">
                  <c:v>3.0496303660845214E-2</c:v>
                </c:pt>
                <c:pt idx="3123">
                  <c:v>3.0496303660765278E-2</c:v>
                </c:pt>
                <c:pt idx="3124">
                  <c:v>3.0496303660845214E-2</c:v>
                </c:pt>
                <c:pt idx="3125">
                  <c:v>3.0496303660765278E-2</c:v>
                </c:pt>
                <c:pt idx="3126">
                  <c:v>3.0496303660845214E-2</c:v>
                </c:pt>
                <c:pt idx="3127">
                  <c:v>3.0496303660765278E-2</c:v>
                </c:pt>
                <c:pt idx="3128">
                  <c:v>3.0496303660765278E-2</c:v>
                </c:pt>
                <c:pt idx="3129">
                  <c:v>3.0496303660765278E-2</c:v>
                </c:pt>
                <c:pt idx="3130">
                  <c:v>3.0496303660845214E-2</c:v>
                </c:pt>
                <c:pt idx="3131">
                  <c:v>3.0496303660845214E-2</c:v>
                </c:pt>
                <c:pt idx="3132">
                  <c:v>3.0496303660765278E-2</c:v>
                </c:pt>
                <c:pt idx="3133">
                  <c:v>3.0496303660765278E-2</c:v>
                </c:pt>
                <c:pt idx="3134">
                  <c:v>3.0496303660845214E-2</c:v>
                </c:pt>
                <c:pt idx="3135">
                  <c:v>3.0496303660845214E-2</c:v>
                </c:pt>
                <c:pt idx="3136">
                  <c:v>3.0496303660765278E-2</c:v>
                </c:pt>
                <c:pt idx="3137">
                  <c:v>3.0496303660845214E-2</c:v>
                </c:pt>
                <c:pt idx="3138">
                  <c:v>3.0496303660845214E-2</c:v>
                </c:pt>
                <c:pt idx="3139">
                  <c:v>3.0496303660845214E-2</c:v>
                </c:pt>
                <c:pt idx="3140">
                  <c:v>3.0496303660765278E-2</c:v>
                </c:pt>
                <c:pt idx="3141">
                  <c:v>3.0496303660765278E-2</c:v>
                </c:pt>
                <c:pt idx="3142">
                  <c:v>3.0496303660765278E-2</c:v>
                </c:pt>
                <c:pt idx="3143">
                  <c:v>3.0496303660845214E-2</c:v>
                </c:pt>
                <c:pt idx="3144">
                  <c:v>3.0496303660765278E-2</c:v>
                </c:pt>
                <c:pt idx="3145">
                  <c:v>3.0496303660845214E-2</c:v>
                </c:pt>
                <c:pt idx="3146">
                  <c:v>3.0496303660845214E-2</c:v>
                </c:pt>
                <c:pt idx="3147">
                  <c:v>3.0496303660845214E-2</c:v>
                </c:pt>
                <c:pt idx="3148">
                  <c:v>3.0496303660765278E-2</c:v>
                </c:pt>
                <c:pt idx="3149">
                  <c:v>3.0496303660845214E-2</c:v>
                </c:pt>
                <c:pt idx="3150">
                  <c:v>3.0496303660845214E-2</c:v>
                </c:pt>
                <c:pt idx="3151">
                  <c:v>3.0496303660765278E-2</c:v>
                </c:pt>
                <c:pt idx="3152">
                  <c:v>3.0496303660765278E-2</c:v>
                </c:pt>
                <c:pt idx="3153">
                  <c:v>3.0496303660765278E-2</c:v>
                </c:pt>
                <c:pt idx="3154">
                  <c:v>3.0496303660845214E-2</c:v>
                </c:pt>
                <c:pt idx="3155">
                  <c:v>3.0496303660685342E-2</c:v>
                </c:pt>
                <c:pt idx="3156">
                  <c:v>3.0496303660845214E-2</c:v>
                </c:pt>
                <c:pt idx="3157">
                  <c:v>3.0496303660845214E-2</c:v>
                </c:pt>
                <c:pt idx="3158">
                  <c:v>3.0496303660765278E-2</c:v>
                </c:pt>
                <c:pt idx="3159">
                  <c:v>3.0496303660685342E-2</c:v>
                </c:pt>
                <c:pt idx="3160">
                  <c:v>3.0496303660845214E-2</c:v>
                </c:pt>
                <c:pt idx="3161">
                  <c:v>3.0496303660845214E-2</c:v>
                </c:pt>
                <c:pt idx="3162">
                  <c:v>3.0496303660765278E-2</c:v>
                </c:pt>
                <c:pt idx="3163">
                  <c:v>3.0496303660845214E-2</c:v>
                </c:pt>
                <c:pt idx="3164">
                  <c:v>3.0496303660845214E-2</c:v>
                </c:pt>
                <c:pt idx="3165">
                  <c:v>3.0496303660845214E-2</c:v>
                </c:pt>
                <c:pt idx="3166">
                  <c:v>3.0496303660765278E-2</c:v>
                </c:pt>
                <c:pt idx="3167">
                  <c:v>3.0496303660845214E-2</c:v>
                </c:pt>
                <c:pt idx="3168">
                  <c:v>3.049630366092515E-2</c:v>
                </c:pt>
                <c:pt idx="3169">
                  <c:v>3.0496303660765278E-2</c:v>
                </c:pt>
                <c:pt idx="3170">
                  <c:v>3.0496303660765278E-2</c:v>
                </c:pt>
                <c:pt idx="3171">
                  <c:v>3.0496303660845214E-2</c:v>
                </c:pt>
                <c:pt idx="3172">
                  <c:v>3.0496303660845214E-2</c:v>
                </c:pt>
                <c:pt idx="3173">
                  <c:v>3.0496303660765278E-2</c:v>
                </c:pt>
                <c:pt idx="3174">
                  <c:v>3.0496303660845214E-2</c:v>
                </c:pt>
                <c:pt idx="3175">
                  <c:v>3.0496303660685342E-2</c:v>
                </c:pt>
                <c:pt idx="3176">
                  <c:v>3.0496303660845214E-2</c:v>
                </c:pt>
                <c:pt idx="3177">
                  <c:v>3.0496303660765278E-2</c:v>
                </c:pt>
                <c:pt idx="3178">
                  <c:v>3.0496303660845214E-2</c:v>
                </c:pt>
                <c:pt idx="3179">
                  <c:v>3.049630366092515E-2</c:v>
                </c:pt>
                <c:pt idx="3180">
                  <c:v>3.0496303660845214E-2</c:v>
                </c:pt>
                <c:pt idx="3181">
                  <c:v>3.0496303660765278E-2</c:v>
                </c:pt>
                <c:pt idx="3182">
                  <c:v>3.0496303660845214E-2</c:v>
                </c:pt>
                <c:pt idx="3183">
                  <c:v>3.0496303660845214E-2</c:v>
                </c:pt>
                <c:pt idx="3184">
                  <c:v>3.0496303660765278E-2</c:v>
                </c:pt>
                <c:pt idx="3185">
                  <c:v>3.0496303660765278E-2</c:v>
                </c:pt>
                <c:pt idx="3186">
                  <c:v>3.0496303660845214E-2</c:v>
                </c:pt>
                <c:pt idx="3187">
                  <c:v>3.0496303660765278E-2</c:v>
                </c:pt>
                <c:pt idx="3188">
                  <c:v>3.0496303660685342E-2</c:v>
                </c:pt>
                <c:pt idx="3189">
                  <c:v>3.0496303660765278E-2</c:v>
                </c:pt>
                <c:pt idx="3190">
                  <c:v>3.0496303660765278E-2</c:v>
                </c:pt>
                <c:pt idx="3191">
                  <c:v>3.0496303660845214E-2</c:v>
                </c:pt>
                <c:pt idx="3192">
                  <c:v>3.0496303660765278E-2</c:v>
                </c:pt>
                <c:pt idx="3193">
                  <c:v>3.0496303660845214E-2</c:v>
                </c:pt>
                <c:pt idx="3194">
                  <c:v>3.0496303660845214E-2</c:v>
                </c:pt>
                <c:pt idx="3195">
                  <c:v>3.0496303660685342E-2</c:v>
                </c:pt>
                <c:pt idx="3196">
                  <c:v>3.0496303660845214E-2</c:v>
                </c:pt>
                <c:pt idx="3197">
                  <c:v>3.0496303660765278E-2</c:v>
                </c:pt>
                <c:pt idx="3198">
                  <c:v>3.0496303660685342E-2</c:v>
                </c:pt>
                <c:pt idx="3199">
                  <c:v>3.0496303660845214E-2</c:v>
                </c:pt>
                <c:pt idx="3200">
                  <c:v>3.0496303660845214E-2</c:v>
                </c:pt>
                <c:pt idx="3201">
                  <c:v>3.0496303660845214E-2</c:v>
                </c:pt>
                <c:pt idx="3202">
                  <c:v>3.0496303660765278E-2</c:v>
                </c:pt>
                <c:pt idx="3203">
                  <c:v>3.0496303660845214E-2</c:v>
                </c:pt>
                <c:pt idx="3204">
                  <c:v>3.0496303660845214E-2</c:v>
                </c:pt>
                <c:pt idx="3205">
                  <c:v>3.0496303660685342E-2</c:v>
                </c:pt>
                <c:pt idx="3206">
                  <c:v>3.0496303660765278E-2</c:v>
                </c:pt>
                <c:pt idx="3207">
                  <c:v>3.0496303660845214E-2</c:v>
                </c:pt>
                <c:pt idx="3208">
                  <c:v>3.0496303660765278E-2</c:v>
                </c:pt>
                <c:pt idx="3209">
                  <c:v>3.0496303660765278E-2</c:v>
                </c:pt>
                <c:pt idx="3210">
                  <c:v>3.0496303660845214E-2</c:v>
                </c:pt>
                <c:pt idx="3211">
                  <c:v>3.0496303660845214E-2</c:v>
                </c:pt>
                <c:pt idx="3212">
                  <c:v>3.0496303660845214E-2</c:v>
                </c:pt>
                <c:pt idx="3213">
                  <c:v>3.0496303660845214E-2</c:v>
                </c:pt>
                <c:pt idx="3214">
                  <c:v>3.0496303660845214E-2</c:v>
                </c:pt>
                <c:pt idx="3215">
                  <c:v>3.0496303660845214E-2</c:v>
                </c:pt>
                <c:pt idx="3216">
                  <c:v>3.0496303660765278E-2</c:v>
                </c:pt>
                <c:pt idx="3217">
                  <c:v>3.0496303660765278E-2</c:v>
                </c:pt>
                <c:pt idx="3218">
                  <c:v>3.049759536155161E-2</c:v>
                </c:pt>
                <c:pt idx="3219">
                  <c:v>3.0496303660845214E-2</c:v>
                </c:pt>
                <c:pt idx="3220">
                  <c:v>3.0496303660765278E-2</c:v>
                </c:pt>
                <c:pt idx="3221">
                  <c:v>3.0496303660845214E-2</c:v>
                </c:pt>
                <c:pt idx="3222">
                  <c:v>3.0496303660765278E-2</c:v>
                </c:pt>
                <c:pt idx="3223">
                  <c:v>3.0496303660845214E-2</c:v>
                </c:pt>
                <c:pt idx="3224">
                  <c:v>3.0496303660685342E-2</c:v>
                </c:pt>
                <c:pt idx="3225">
                  <c:v>3.0496303660765278E-2</c:v>
                </c:pt>
                <c:pt idx="3226">
                  <c:v>3.0496303660845214E-2</c:v>
                </c:pt>
                <c:pt idx="3227">
                  <c:v>3.0496303660845214E-2</c:v>
                </c:pt>
                <c:pt idx="3228">
                  <c:v>3.0496303660765278E-2</c:v>
                </c:pt>
                <c:pt idx="3229">
                  <c:v>3.0496303660845214E-2</c:v>
                </c:pt>
                <c:pt idx="3230">
                  <c:v>3.0496303660845214E-2</c:v>
                </c:pt>
                <c:pt idx="3231">
                  <c:v>3.0496303660765278E-2</c:v>
                </c:pt>
                <c:pt idx="3232">
                  <c:v>3.0496303660765278E-2</c:v>
                </c:pt>
                <c:pt idx="3233">
                  <c:v>3.0496303660765278E-2</c:v>
                </c:pt>
                <c:pt idx="3234">
                  <c:v>3.0496303660685342E-2</c:v>
                </c:pt>
                <c:pt idx="3235">
                  <c:v>3.0496303660685342E-2</c:v>
                </c:pt>
                <c:pt idx="3236">
                  <c:v>3.0496303660765278E-2</c:v>
                </c:pt>
                <c:pt idx="3237">
                  <c:v>3.0496303660845214E-2</c:v>
                </c:pt>
                <c:pt idx="3238">
                  <c:v>3.0496303660765278E-2</c:v>
                </c:pt>
                <c:pt idx="3239">
                  <c:v>3.0496303660765278E-2</c:v>
                </c:pt>
                <c:pt idx="3240">
                  <c:v>3.0496303660845214E-2</c:v>
                </c:pt>
                <c:pt idx="3241">
                  <c:v>3.0496303660845214E-2</c:v>
                </c:pt>
                <c:pt idx="3242">
                  <c:v>3.0496303660685342E-2</c:v>
                </c:pt>
                <c:pt idx="3243">
                  <c:v>3.0496303660765278E-2</c:v>
                </c:pt>
                <c:pt idx="3244">
                  <c:v>3.0496303660765278E-2</c:v>
                </c:pt>
                <c:pt idx="3245">
                  <c:v>3.0496303660845214E-2</c:v>
                </c:pt>
                <c:pt idx="3246">
                  <c:v>3.0496303660845214E-2</c:v>
                </c:pt>
                <c:pt idx="3247">
                  <c:v>3.0496303660845214E-2</c:v>
                </c:pt>
                <c:pt idx="3248">
                  <c:v>3.0496303660845214E-2</c:v>
                </c:pt>
                <c:pt idx="3249">
                  <c:v>3.0496303660765278E-2</c:v>
                </c:pt>
                <c:pt idx="3250">
                  <c:v>3.0496303660685342E-2</c:v>
                </c:pt>
                <c:pt idx="3251">
                  <c:v>3.0496303660845214E-2</c:v>
                </c:pt>
                <c:pt idx="3252">
                  <c:v>3.0496303660845214E-2</c:v>
                </c:pt>
                <c:pt idx="3253">
                  <c:v>3.0496303660765278E-2</c:v>
                </c:pt>
                <c:pt idx="3254">
                  <c:v>3.0496303660765278E-2</c:v>
                </c:pt>
                <c:pt idx="3255">
                  <c:v>3.0496303660765278E-2</c:v>
                </c:pt>
                <c:pt idx="3256">
                  <c:v>3.0496303660845214E-2</c:v>
                </c:pt>
                <c:pt idx="3257">
                  <c:v>3.0496303660765278E-2</c:v>
                </c:pt>
                <c:pt idx="3258">
                  <c:v>3.0496303660685342E-2</c:v>
                </c:pt>
                <c:pt idx="3259">
                  <c:v>3.0498887135239627E-2</c:v>
                </c:pt>
                <c:pt idx="3260">
                  <c:v>3.0496303660845214E-2</c:v>
                </c:pt>
                <c:pt idx="3261">
                  <c:v>3.0496303660765278E-2</c:v>
                </c:pt>
                <c:pt idx="3262">
                  <c:v>3.0496303660765278E-2</c:v>
                </c:pt>
                <c:pt idx="3263">
                  <c:v>3.0496303660845214E-2</c:v>
                </c:pt>
                <c:pt idx="3264">
                  <c:v>3.0496303660845214E-2</c:v>
                </c:pt>
                <c:pt idx="3265">
                  <c:v>3.0496303660845214E-2</c:v>
                </c:pt>
                <c:pt idx="3266">
                  <c:v>3.0496303660765278E-2</c:v>
                </c:pt>
                <c:pt idx="3267">
                  <c:v>3.0496303660845214E-2</c:v>
                </c:pt>
                <c:pt idx="3268">
                  <c:v>3.0496303660765278E-2</c:v>
                </c:pt>
                <c:pt idx="3269">
                  <c:v>3.0496303660765278E-2</c:v>
                </c:pt>
                <c:pt idx="3270">
                  <c:v>3.0497595361511642E-2</c:v>
                </c:pt>
                <c:pt idx="3271">
                  <c:v>3.0496303660845214E-2</c:v>
                </c:pt>
                <c:pt idx="3272">
                  <c:v>3.0496303660765278E-2</c:v>
                </c:pt>
                <c:pt idx="3273">
                  <c:v>3.0496303660845214E-2</c:v>
                </c:pt>
                <c:pt idx="3274">
                  <c:v>3.0496303660845214E-2</c:v>
                </c:pt>
                <c:pt idx="3275">
                  <c:v>3.0496303660845214E-2</c:v>
                </c:pt>
                <c:pt idx="3276">
                  <c:v>3.0496303660845214E-2</c:v>
                </c:pt>
                <c:pt idx="3277">
                  <c:v>3.0496303660845214E-2</c:v>
                </c:pt>
                <c:pt idx="3278">
                  <c:v>3.0496303660845214E-2</c:v>
                </c:pt>
                <c:pt idx="3279">
                  <c:v>3.0496303660845214E-2</c:v>
                </c:pt>
                <c:pt idx="3280">
                  <c:v>3.0496303660765278E-2</c:v>
                </c:pt>
                <c:pt idx="3281">
                  <c:v>3.0496303660845214E-2</c:v>
                </c:pt>
                <c:pt idx="3282">
                  <c:v>3.0496303660765278E-2</c:v>
                </c:pt>
                <c:pt idx="3283">
                  <c:v>3.0496303660765278E-2</c:v>
                </c:pt>
                <c:pt idx="3284">
                  <c:v>3.0496303660845214E-2</c:v>
                </c:pt>
                <c:pt idx="3285">
                  <c:v>3.0496303660765278E-2</c:v>
                </c:pt>
                <c:pt idx="3286">
                  <c:v>3.0496303660765278E-2</c:v>
                </c:pt>
                <c:pt idx="3287">
                  <c:v>3.0496303660765278E-2</c:v>
                </c:pt>
                <c:pt idx="3288">
                  <c:v>3.0496303660765278E-2</c:v>
                </c:pt>
                <c:pt idx="3289">
                  <c:v>3.0496303660845214E-2</c:v>
                </c:pt>
                <c:pt idx="3290">
                  <c:v>3.0496303660765278E-2</c:v>
                </c:pt>
                <c:pt idx="3291">
                  <c:v>3.049759536155161E-2</c:v>
                </c:pt>
                <c:pt idx="3292">
                  <c:v>3.0496303660765278E-2</c:v>
                </c:pt>
                <c:pt idx="3293">
                  <c:v>3.0496303660845214E-2</c:v>
                </c:pt>
                <c:pt idx="3294">
                  <c:v>3.0496303660765278E-2</c:v>
                </c:pt>
                <c:pt idx="3295">
                  <c:v>3.0496303660765278E-2</c:v>
                </c:pt>
                <c:pt idx="3296">
                  <c:v>3.0498887135212982E-2</c:v>
                </c:pt>
                <c:pt idx="3297">
                  <c:v>3.0496303660765278E-2</c:v>
                </c:pt>
                <c:pt idx="3298">
                  <c:v>3.0496303660845214E-2</c:v>
                </c:pt>
                <c:pt idx="3299">
                  <c:v>3.0496303660765278E-2</c:v>
                </c:pt>
                <c:pt idx="3300">
                  <c:v>3.0496303660845214E-2</c:v>
                </c:pt>
                <c:pt idx="3301">
                  <c:v>3.0496303660845214E-2</c:v>
                </c:pt>
                <c:pt idx="3302">
                  <c:v>3.0496303660765278E-2</c:v>
                </c:pt>
                <c:pt idx="3303">
                  <c:v>3.0496303660765278E-2</c:v>
                </c:pt>
                <c:pt idx="3304">
                  <c:v>3.0496303660765278E-2</c:v>
                </c:pt>
                <c:pt idx="3305">
                  <c:v>3.0496303660845214E-2</c:v>
                </c:pt>
                <c:pt idx="3306">
                  <c:v>3.0496303660685342E-2</c:v>
                </c:pt>
                <c:pt idx="3307">
                  <c:v>3.0496303660765278E-2</c:v>
                </c:pt>
                <c:pt idx="3308">
                  <c:v>3.0496303660765278E-2</c:v>
                </c:pt>
                <c:pt idx="3309">
                  <c:v>3.049630366092515E-2</c:v>
                </c:pt>
                <c:pt idx="3310">
                  <c:v>3.0496303660845214E-2</c:v>
                </c:pt>
                <c:pt idx="3311">
                  <c:v>3.0496303660765278E-2</c:v>
                </c:pt>
                <c:pt idx="3312">
                  <c:v>3.0496303660765278E-2</c:v>
                </c:pt>
                <c:pt idx="3313">
                  <c:v>3.0496303660845214E-2</c:v>
                </c:pt>
                <c:pt idx="3314">
                  <c:v>3.0496303660845214E-2</c:v>
                </c:pt>
                <c:pt idx="3315">
                  <c:v>3.0496303660765278E-2</c:v>
                </c:pt>
                <c:pt idx="3316">
                  <c:v>3.0496303660765278E-2</c:v>
                </c:pt>
                <c:pt idx="3317">
                  <c:v>3.0496303660845214E-2</c:v>
                </c:pt>
                <c:pt idx="3318">
                  <c:v>3.0496303660845214E-2</c:v>
                </c:pt>
                <c:pt idx="3319">
                  <c:v>3.0496303660765278E-2</c:v>
                </c:pt>
                <c:pt idx="3320">
                  <c:v>3.0496303660765278E-2</c:v>
                </c:pt>
                <c:pt idx="3321">
                  <c:v>3.0496303660845214E-2</c:v>
                </c:pt>
                <c:pt idx="3322">
                  <c:v>3.0496303660765278E-2</c:v>
                </c:pt>
                <c:pt idx="3323">
                  <c:v>3.0496303660685342E-2</c:v>
                </c:pt>
                <c:pt idx="3324">
                  <c:v>3.0496303660845214E-2</c:v>
                </c:pt>
                <c:pt idx="3325">
                  <c:v>3.0496303660845214E-2</c:v>
                </c:pt>
                <c:pt idx="3326">
                  <c:v>3.0496303660765278E-2</c:v>
                </c:pt>
                <c:pt idx="3327">
                  <c:v>3.0496303660765278E-2</c:v>
                </c:pt>
                <c:pt idx="3328">
                  <c:v>3.0496303660845214E-2</c:v>
                </c:pt>
                <c:pt idx="3329">
                  <c:v>3.0496303660765278E-2</c:v>
                </c:pt>
                <c:pt idx="3330">
                  <c:v>3.0496303660765278E-2</c:v>
                </c:pt>
                <c:pt idx="3331">
                  <c:v>3.0496303660845214E-2</c:v>
                </c:pt>
                <c:pt idx="3332">
                  <c:v>3.0496303660845214E-2</c:v>
                </c:pt>
                <c:pt idx="3333">
                  <c:v>3.0496303660765278E-2</c:v>
                </c:pt>
                <c:pt idx="3334">
                  <c:v>3.0496303660765278E-2</c:v>
                </c:pt>
                <c:pt idx="3335">
                  <c:v>3.0496303660845214E-2</c:v>
                </c:pt>
                <c:pt idx="3336">
                  <c:v>3.0496303660845214E-2</c:v>
                </c:pt>
                <c:pt idx="3337">
                  <c:v>3.0496303660765278E-2</c:v>
                </c:pt>
                <c:pt idx="3338">
                  <c:v>3.0496303660845214E-2</c:v>
                </c:pt>
                <c:pt idx="3339">
                  <c:v>3.0496303660845214E-2</c:v>
                </c:pt>
                <c:pt idx="3340">
                  <c:v>3.049759536155161E-2</c:v>
                </c:pt>
                <c:pt idx="3341">
                  <c:v>3.0496303660685342E-2</c:v>
                </c:pt>
                <c:pt idx="3342">
                  <c:v>3.0496303660765278E-2</c:v>
                </c:pt>
                <c:pt idx="3343">
                  <c:v>3.0496303660845214E-2</c:v>
                </c:pt>
                <c:pt idx="3344">
                  <c:v>3.0496303660685342E-2</c:v>
                </c:pt>
                <c:pt idx="3345">
                  <c:v>3.0496303660845214E-2</c:v>
                </c:pt>
                <c:pt idx="3346">
                  <c:v>3.0496303660765278E-2</c:v>
                </c:pt>
                <c:pt idx="3347">
                  <c:v>3.0497595361511642E-2</c:v>
                </c:pt>
                <c:pt idx="3348">
                  <c:v>3.0496303660845214E-2</c:v>
                </c:pt>
                <c:pt idx="3349">
                  <c:v>3.0496303660845214E-2</c:v>
                </c:pt>
                <c:pt idx="3350">
                  <c:v>3.0496303660765278E-2</c:v>
                </c:pt>
                <c:pt idx="3351">
                  <c:v>3.0496303660765278E-2</c:v>
                </c:pt>
                <c:pt idx="3352">
                  <c:v>3.0496303660765278E-2</c:v>
                </c:pt>
                <c:pt idx="3353">
                  <c:v>3.0496303660845214E-2</c:v>
                </c:pt>
                <c:pt idx="3354">
                  <c:v>3.0496303660845214E-2</c:v>
                </c:pt>
                <c:pt idx="3355">
                  <c:v>3.0496303660765278E-2</c:v>
                </c:pt>
                <c:pt idx="3356">
                  <c:v>3.0496303660845214E-2</c:v>
                </c:pt>
                <c:pt idx="3357">
                  <c:v>3.0496303660845214E-2</c:v>
                </c:pt>
                <c:pt idx="3358">
                  <c:v>3.0496303660765278E-2</c:v>
                </c:pt>
                <c:pt idx="3359">
                  <c:v>3.0496303660765278E-2</c:v>
                </c:pt>
                <c:pt idx="3360">
                  <c:v>3.0496303660845214E-2</c:v>
                </c:pt>
                <c:pt idx="3361">
                  <c:v>3.0496303660845214E-2</c:v>
                </c:pt>
                <c:pt idx="3362">
                  <c:v>3.0496303660765278E-2</c:v>
                </c:pt>
                <c:pt idx="3363">
                  <c:v>3.0496303660765278E-2</c:v>
                </c:pt>
                <c:pt idx="3364">
                  <c:v>3.0496303660845214E-2</c:v>
                </c:pt>
                <c:pt idx="3365">
                  <c:v>3.0496303660845214E-2</c:v>
                </c:pt>
                <c:pt idx="3366">
                  <c:v>3.0496303660765278E-2</c:v>
                </c:pt>
                <c:pt idx="3367">
                  <c:v>3.0496303660765278E-2</c:v>
                </c:pt>
                <c:pt idx="3368">
                  <c:v>3.0496303660765278E-2</c:v>
                </c:pt>
                <c:pt idx="3369">
                  <c:v>3.0496303660685342E-2</c:v>
                </c:pt>
                <c:pt idx="3370">
                  <c:v>3.0496303660765278E-2</c:v>
                </c:pt>
                <c:pt idx="3371">
                  <c:v>3.0496303660845214E-2</c:v>
                </c:pt>
                <c:pt idx="3372">
                  <c:v>3.0496303660845214E-2</c:v>
                </c:pt>
                <c:pt idx="3373">
                  <c:v>3.0496303660765278E-2</c:v>
                </c:pt>
                <c:pt idx="3374">
                  <c:v>3.0496303660765278E-2</c:v>
                </c:pt>
                <c:pt idx="3375">
                  <c:v>3.0496303660765278E-2</c:v>
                </c:pt>
                <c:pt idx="3376">
                  <c:v>3.0496303660845214E-2</c:v>
                </c:pt>
                <c:pt idx="3377">
                  <c:v>3.0496303660765278E-2</c:v>
                </c:pt>
                <c:pt idx="3378">
                  <c:v>3.0496303660845214E-2</c:v>
                </c:pt>
                <c:pt idx="3379">
                  <c:v>3.0496303660765278E-2</c:v>
                </c:pt>
                <c:pt idx="3380">
                  <c:v>3.0496303660765278E-2</c:v>
                </c:pt>
                <c:pt idx="3381">
                  <c:v>3.0496303660765278E-2</c:v>
                </c:pt>
                <c:pt idx="3382">
                  <c:v>3.0496303660845214E-2</c:v>
                </c:pt>
                <c:pt idx="3383">
                  <c:v>3.0496303660845214E-2</c:v>
                </c:pt>
                <c:pt idx="3384">
                  <c:v>3.0496303660765278E-2</c:v>
                </c:pt>
                <c:pt idx="3385">
                  <c:v>3.0496303660845214E-2</c:v>
                </c:pt>
                <c:pt idx="3386">
                  <c:v>3.0496303660845214E-2</c:v>
                </c:pt>
                <c:pt idx="3387">
                  <c:v>3.0496303660765278E-2</c:v>
                </c:pt>
                <c:pt idx="3388">
                  <c:v>3.0496303660845214E-2</c:v>
                </c:pt>
                <c:pt idx="3389">
                  <c:v>3.0496303660845214E-2</c:v>
                </c:pt>
                <c:pt idx="3390">
                  <c:v>3.0496303660845214E-2</c:v>
                </c:pt>
                <c:pt idx="3391">
                  <c:v>3.0496303660685342E-2</c:v>
                </c:pt>
                <c:pt idx="3392">
                  <c:v>3.0496303660765278E-2</c:v>
                </c:pt>
                <c:pt idx="3393">
                  <c:v>3.0496303660845214E-2</c:v>
                </c:pt>
                <c:pt idx="3394">
                  <c:v>3.0496303660845214E-2</c:v>
                </c:pt>
                <c:pt idx="3395">
                  <c:v>3.0496303660845214E-2</c:v>
                </c:pt>
                <c:pt idx="3396">
                  <c:v>3.049630366092515E-2</c:v>
                </c:pt>
                <c:pt idx="3397">
                  <c:v>3.0496303660845214E-2</c:v>
                </c:pt>
                <c:pt idx="3398">
                  <c:v>3.0496303660765278E-2</c:v>
                </c:pt>
                <c:pt idx="3399">
                  <c:v>3.0496303660765278E-2</c:v>
                </c:pt>
                <c:pt idx="3400">
                  <c:v>3.0496303660765278E-2</c:v>
                </c:pt>
                <c:pt idx="3401">
                  <c:v>3.0496303660845214E-2</c:v>
                </c:pt>
                <c:pt idx="3402">
                  <c:v>3.0496303660845214E-2</c:v>
                </c:pt>
                <c:pt idx="3403">
                  <c:v>3.049630366092515E-2</c:v>
                </c:pt>
                <c:pt idx="3404">
                  <c:v>3.0496303660845214E-2</c:v>
                </c:pt>
                <c:pt idx="3405">
                  <c:v>3.0496303660765278E-2</c:v>
                </c:pt>
                <c:pt idx="3406">
                  <c:v>3.0496303660845214E-2</c:v>
                </c:pt>
                <c:pt idx="3407">
                  <c:v>3.0496303660845214E-2</c:v>
                </c:pt>
                <c:pt idx="3408">
                  <c:v>3.0496303660765278E-2</c:v>
                </c:pt>
                <c:pt idx="3409">
                  <c:v>3.0496303660685342E-2</c:v>
                </c:pt>
                <c:pt idx="3410">
                  <c:v>3.0496303660845214E-2</c:v>
                </c:pt>
                <c:pt idx="3411">
                  <c:v>3.0496303660845214E-2</c:v>
                </c:pt>
                <c:pt idx="3412">
                  <c:v>3.0496303660845214E-2</c:v>
                </c:pt>
                <c:pt idx="3413">
                  <c:v>3.0496303660845214E-2</c:v>
                </c:pt>
                <c:pt idx="3414">
                  <c:v>3.0496303660845214E-2</c:v>
                </c:pt>
                <c:pt idx="3415">
                  <c:v>3.0496303660845214E-2</c:v>
                </c:pt>
                <c:pt idx="3416">
                  <c:v>3.0496303660845214E-2</c:v>
                </c:pt>
                <c:pt idx="3417">
                  <c:v>3.0496303660765278E-2</c:v>
                </c:pt>
                <c:pt idx="3418">
                  <c:v>3.0496303660765278E-2</c:v>
                </c:pt>
                <c:pt idx="3419">
                  <c:v>3.0496303660845214E-2</c:v>
                </c:pt>
                <c:pt idx="3420">
                  <c:v>3.0496303660765278E-2</c:v>
                </c:pt>
                <c:pt idx="3421">
                  <c:v>3.0496303660765278E-2</c:v>
                </c:pt>
                <c:pt idx="3422">
                  <c:v>3.0496303660845214E-2</c:v>
                </c:pt>
                <c:pt idx="3423">
                  <c:v>3.0496303660765278E-2</c:v>
                </c:pt>
                <c:pt idx="3424">
                  <c:v>3.0496303660765278E-2</c:v>
                </c:pt>
                <c:pt idx="3425">
                  <c:v>3.0496303660765278E-2</c:v>
                </c:pt>
                <c:pt idx="3426">
                  <c:v>3.0496303660845214E-2</c:v>
                </c:pt>
                <c:pt idx="3427">
                  <c:v>3.0496303660765278E-2</c:v>
                </c:pt>
                <c:pt idx="3428">
                  <c:v>3.0496303660685342E-2</c:v>
                </c:pt>
                <c:pt idx="3429">
                  <c:v>3.0496303660765278E-2</c:v>
                </c:pt>
                <c:pt idx="3430">
                  <c:v>3.0496303660765278E-2</c:v>
                </c:pt>
                <c:pt idx="3431">
                  <c:v>3.0496303660685342E-2</c:v>
                </c:pt>
                <c:pt idx="3432">
                  <c:v>3.0496303660765278E-2</c:v>
                </c:pt>
                <c:pt idx="3433">
                  <c:v>3.049630366092515E-2</c:v>
                </c:pt>
                <c:pt idx="3434">
                  <c:v>3.0496303660765278E-2</c:v>
                </c:pt>
                <c:pt idx="3435">
                  <c:v>3.0496303660845214E-2</c:v>
                </c:pt>
                <c:pt idx="3436">
                  <c:v>3.0496303660845214E-2</c:v>
                </c:pt>
                <c:pt idx="3437">
                  <c:v>3.049630366092515E-2</c:v>
                </c:pt>
                <c:pt idx="3438">
                  <c:v>3.0496303660845214E-2</c:v>
                </c:pt>
                <c:pt idx="3439">
                  <c:v>3.0496303660845214E-2</c:v>
                </c:pt>
                <c:pt idx="3440">
                  <c:v>3.0496303660765278E-2</c:v>
                </c:pt>
                <c:pt idx="3441">
                  <c:v>3.0496303660845214E-2</c:v>
                </c:pt>
                <c:pt idx="3442">
                  <c:v>3.0496303660685342E-2</c:v>
                </c:pt>
                <c:pt idx="3443">
                  <c:v>3.049630366092515E-2</c:v>
                </c:pt>
                <c:pt idx="3444">
                  <c:v>3.0496303660845214E-2</c:v>
                </c:pt>
                <c:pt idx="3445">
                  <c:v>3.0496303660845214E-2</c:v>
                </c:pt>
                <c:pt idx="3446">
                  <c:v>3.0496303660765278E-2</c:v>
                </c:pt>
                <c:pt idx="3447">
                  <c:v>3.0496303660685342E-2</c:v>
                </c:pt>
                <c:pt idx="3448">
                  <c:v>3.049630366092515E-2</c:v>
                </c:pt>
                <c:pt idx="3449">
                  <c:v>3.0496303660765278E-2</c:v>
                </c:pt>
                <c:pt idx="3450">
                  <c:v>3.0496303660845214E-2</c:v>
                </c:pt>
                <c:pt idx="3451">
                  <c:v>3.0496303660685342E-2</c:v>
                </c:pt>
                <c:pt idx="3452">
                  <c:v>3.0496303660765278E-2</c:v>
                </c:pt>
                <c:pt idx="3453">
                  <c:v>3.0496303660845214E-2</c:v>
                </c:pt>
                <c:pt idx="3454">
                  <c:v>3.0496303660845214E-2</c:v>
                </c:pt>
                <c:pt idx="3455">
                  <c:v>3.0496303660845214E-2</c:v>
                </c:pt>
                <c:pt idx="3456">
                  <c:v>3.0496303660845214E-2</c:v>
                </c:pt>
                <c:pt idx="3457">
                  <c:v>3.0496303660765278E-2</c:v>
                </c:pt>
                <c:pt idx="3458">
                  <c:v>3.0496303660765278E-2</c:v>
                </c:pt>
                <c:pt idx="3459">
                  <c:v>3.0496303660765278E-2</c:v>
                </c:pt>
                <c:pt idx="3460">
                  <c:v>3.0496303660845214E-2</c:v>
                </c:pt>
                <c:pt idx="3461">
                  <c:v>3.0496303660845214E-2</c:v>
                </c:pt>
                <c:pt idx="3462">
                  <c:v>3.0496303660845214E-2</c:v>
                </c:pt>
                <c:pt idx="3463">
                  <c:v>3.0496303660765278E-2</c:v>
                </c:pt>
                <c:pt idx="3464">
                  <c:v>3.0496303660765278E-2</c:v>
                </c:pt>
                <c:pt idx="3465">
                  <c:v>3.0496303660765278E-2</c:v>
                </c:pt>
                <c:pt idx="3466">
                  <c:v>3.0496303660845214E-2</c:v>
                </c:pt>
                <c:pt idx="3467">
                  <c:v>3.0496303660765278E-2</c:v>
                </c:pt>
                <c:pt idx="3468">
                  <c:v>3.0496303660765278E-2</c:v>
                </c:pt>
                <c:pt idx="3469">
                  <c:v>3.0496303660685342E-2</c:v>
                </c:pt>
                <c:pt idx="3470">
                  <c:v>3.0496303660765278E-2</c:v>
                </c:pt>
                <c:pt idx="3471">
                  <c:v>3.0496303660845214E-2</c:v>
                </c:pt>
                <c:pt idx="3472">
                  <c:v>3.0496303660765278E-2</c:v>
                </c:pt>
                <c:pt idx="3473">
                  <c:v>3.0496303660765278E-2</c:v>
                </c:pt>
                <c:pt idx="3474">
                  <c:v>3.0496303660845214E-2</c:v>
                </c:pt>
                <c:pt idx="3475">
                  <c:v>3.0496303660765278E-2</c:v>
                </c:pt>
                <c:pt idx="3476">
                  <c:v>3.0496303660765278E-2</c:v>
                </c:pt>
                <c:pt idx="3477">
                  <c:v>3.0496303660845214E-2</c:v>
                </c:pt>
                <c:pt idx="3478">
                  <c:v>3.0496303660765278E-2</c:v>
                </c:pt>
                <c:pt idx="3479">
                  <c:v>3.0496303660765278E-2</c:v>
                </c:pt>
                <c:pt idx="3480">
                  <c:v>3.0496303660765278E-2</c:v>
                </c:pt>
                <c:pt idx="3481">
                  <c:v>3.0496303660845214E-2</c:v>
                </c:pt>
                <c:pt idx="3482">
                  <c:v>3.0496303660765278E-2</c:v>
                </c:pt>
                <c:pt idx="3483">
                  <c:v>3.0496303660765278E-2</c:v>
                </c:pt>
                <c:pt idx="3484">
                  <c:v>3.0496303660845214E-2</c:v>
                </c:pt>
                <c:pt idx="3485">
                  <c:v>3.0496303660765278E-2</c:v>
                </c:pt>
                <c:pt idx="3486">
                  <c:v>3.0496303660685342E-2</c:v>
                </c:pt>
                <c:pt idx="3487">
                  <c:v>3.0496303660845214E-2</c:v>
                </c:pt>
                <c:pt idx="3488">
                  <c:v>3.0496303660765278E-2</c:v>
                </c:pt>
                <c:pt idx="3489">
                  <c:v>3.0496303660845214E-2</c:v>
                </c:pt>
                <c:pt idx="3490">
                  <c:v>3.0496303660685342E-2</c:v>
                </c:pt>
                <c:pt idx="3491">
                  <c:v>3.0496303660765278E-2</c:v>
                </c:pt>
                <c:pt idx="3492">
                  <c:v>3.0496303660765278E-2</c:v>
                </c:pt>
                <c:pt idx="3493">
                  <c:v>3.0496303660765278E-2</c:v>
                </c:pt>
                <c:pt idx="3494">
                  <c:v>3.0496303660765278E-2</c:v>
                </c:pt>
                <c:pt idx="3495">
                  <c:v>3.0496303660845214E-2</c:v>
                </c:pt>
                <c:pt idx="3496">
                  <c:v>3.0496303660845214E-2</c:v>
                </c:pt>
                <c:pt idx="3497">
                  <c:v>3.0496303660845214E-2</c:v>
                </c:pt>
                <c:pt idx="3498">
                  <c:v>3.0496303660765278E-2</c:v>
                </c:pt>
                <c:pt idx="3499">
                  <c:v>3.0496303660765278E-2</c:v>
                </c:pt>
                <c:pt idx="3500">
                  <c:v>3.0496303660845214E-2</c:v>
                </c:pt>
                <c:pt idx="3501">
                  <c:v>3.0496303660765278E-2</c:v>
                </c:pt>
                <c:pt idx="3502">
                  <c:v>3.0496303660845214E-2</c:v>
                </c:pt>
                <c:pt idx="3503">
                  <c:v>3.0496303660765278E-2</c:v>
                </c:pt>
                <c:pt idx="3504">
                  <c:v>3.0496303660845214E-2</c:v>
                </c:pt>
                <c:pt idx="3505">
                  <c:v>3.0496303660685342E-2</c:v>
                </c:pt>
                <c:pt idx="3506">
                  <c:v>3.0496303660685342E-2</c:v>
                </c:pt>
                <c:pt idx="3507">
                  <c:v>3.0496303660845214E-2</c:v>
                </c:pt>
                <c:pt idx="3508">
                  <c:v>3.0496303660685342E-2</c:v>
                </c:pt>
                <c:pt idx="3509">
                  <c:v>3.0496303660845214E-2</c:v>
                </c:pt>
                <c:pt idx="3510">
                  <c:v>3.0496303660845214E-2</c:v>
                </c:pt>
                <c:pt idx="3511">
                  <c:v>3.0496303660765278E-2</c:v>
                </c:pt>
                <c:pt idx="3512">
                  <c:v>3.0496303660765278E-2</c:v>
                </c:pt>
                <c:pt idx="3513">
                  <c:v>3.0496303660845214E-2</c:v>
                </c:pt>
                <c:pt idx="3514">
                  <c:v>3.0496303660765278E-2</c:v>
                </c:pt>
                <c:pt idx="3515">
                  <c:v>3.0496303660685342E-2</c:v>
                </c:pt>
                <c:pt idx="3516">
                  <c:v>3.0496303660845214E-2</c:v>
                </c:pt>
                <c:pt idx="3517">
                  <c:v>3.0496303660845214E-2</c:v>
                </c:pt>
                <c:pt idx="3518">
                  <c:v>3.0496303660845214E-2</c:v>
                </c:pt>
                <c:pt idx="3519">
                  <c:v>3.0496303660765278E-2</c:v>
                </c:pt>
                <c:pt idx="3520">
                  <c:v>3.0496303660845214E-2</c:v>
                </c:pt>
                <c:pt idx="3521">
                  <c:v>3.0496303660765278E-2</c:v>
                </c:pt>
                <c:pt idx="3522">
                  <c:v>3.0496303660765278E-2</c:v>
                </c:pt>
                <c:pt idx="3523">
                  <c:v>3.0496303660765278E-2</c:v>
                </c:pt>
                <c:pt idx="3524">
                  <c:v>3.0496303660845214E-2</c:v>
                </c:pt>
                <c:pt idx="3525">
                  <c:v>3.0496303660765278E-2</c:v>
                </c:pt>
                <c:pt idx="3526">
                  <c:v>3.0496303660765278E-2</c:v>
                </c:pt>
                <c:pt idx="3527">
                  <c:v>3.0496303660845214E-2</c:v>
                </c:pt>
                <c:pt idx="3528">
                  <c:v>3.0496303660765278E-2</c:v>
                </c:pt>
                <c:pt idx="3529">
                  <c:v>3.0496303660845214E-2</c:v>
                </c:pt>
                <c:pt idx="3530">
                  <c:v>3.049759536155161E-2</c:v>
                </c:pt>
                <c:pt idx="3531">
                  <c:v>3.0496303660765278E-2</c:v>
                </c:pt>
                <c:pt idx="3532">
                  <c:v>3.0496303660845214E-2</c:v>
                </c:pt>
                <c:pt idx="3533">
                  <c:v>3.0496303660765278E-2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585984"/>
        <c:axId val="542587904"/>
      </c:lineChart>
      <c:dateAx>
        <c:axId val="542585984"/>
        <c:scaling>
          <c:orientation val="minMax"/>
          <c:max val="4255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87904"/>
        <c:crosses val="autoZero"/>
        <c:auto val="1"/>
        <c:lblOffset val="100"/>
        <c:baseTimeUnit val="days"/>
        <c:majorUnit val="3"/>
        <c:majorTimeUnit val="months"/>
      </c:dateAx>
      <c:valAx>
        <c:axId val="54258790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25859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_USDYC3M#0003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IF(HolidayCheck,LocalCalendar,LiborCalendar)</f>
        <v>UnitedStates::Settlement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  <c r="K21" s="46"/>
      <c r="L21" s="45" t="s">
        <v>169</v>
      </c>
      <c r="M21" s="39" t="s">
        <v>170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168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171</v>
      </c>
      <c r="M23" s="36" t="b">
        <f>_xll.qlCalendarIsHoliday(LocalCalendar,_xll.qlCalendarAdvance(LiborCalendar,_xll.qlSettingsEvaluationDate(Trigger),NDays&amp;"D","f",FALSE,Trigger))</f>
        <v>1</v>
      </c>
      <c r="N23" s="44"/>
    </row>
    <row r="24" spans="1:14" ht="12" thickBot="1" x14ac:dyDescent="0.25">
      <c r="B24" s="2"/>
      <c r="C24" s="11" t="s">
        <v>63</v>
      </c>
      <c r="D24" s="10" t="s">
        <v>62</v>
      </c>
      <c r="E24" s="1"/>
      <c r="F24" s="1"/>
      <c r="G24" s="93"/>
      <c r="K24" s="43"/>
      <c r="L24" s="42"/>
      <c r="M24" s="42"/>
      <c r="N24" s="41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41827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60090</v>
      </c>
      <c r="D28" s="3">
        <f>MIN(_xll.ohPack(Selected!J1:J126))</f>
        <v>0.17918249180695189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str">
        <f>Deposits!E3</f>
        <v>obj_00506#0003</v>
      </c>
      <c r="C2" s="170" t="str">
        <f>_xll.qlRateHelperQuoteName(B2)</f>
        <v>USDSWD_SYNTH3M_Quote</v>
      </c>
      <c r="D2" s="169">
        <f>_xll.qlRateHelperQuoteValue($B2,Trigger)</f>
        <v>2.2629999999999998E-3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41827</v>
      </c>
      <c r="J2" s="166">
        <f>_xll.qlRateHelperLatestDate($B2,Trigger)</f>
        <v>41834</v>
      </c>
      <c r="K2" s="59">
        <v>40</v>
      </c>
      <c r="L2" s="59" t="s">
        <v>42</v>
      </c>
    </row>
    <row r="3" spans="1:14" x14ac:dyDescent="0.2">
      <c r="B3" s="263" t="str">
        <f>Deposits!E4</f>
        <v>obj_004fe#0003</v>
      </c>
      <c r="C3" s="170" t="str">
        <f>_xll.qlRateHelperQuoteName(B3)</f>
        <v>USD1MD_SYNTH3M_Quote</v>
      </c>
      <c r="D3" s="169">
        <f>_xll.qlRateHelperQuoteValue($B3,Trigger)</f>
        <v>2.2790000000000002E-3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41827</v>
      </c>
      <c r="J3" s="166">
        <f>_xll.qlRateHelperLatestDate($B3,Trigger)</f>
        <v>41858</v>
      </c>
      <c r="K3" s="59">
        <v>70</v>
      </c>
      <c r="L3" s="59" t="s">
        <v>41</v>
      </c>
    </row>
    <row r="4" spans="1:14" x14ac:dyDescent="0.2">
      <c r="B4" s="263" t="str">
        <f>Deposits!E5</f>
        <v>obj_0050b#0003</v>
      </c>
      <c r="C4" s="170" t="str">
        <f>_xll.qlRateHelperQuoteName(B4)</f>
        <v>USD2MD_SYNTH3M_Quote</v>
      </c>
      <c r="D4" s="169">
        <f>_xll.qlRateHelperQuoteValue($B4,Trigger)</f>
        <v>2.2820000000000002E-3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41827</v>
      </c>
      <c r="J4" s="166">
        <f>_xll.qlRateHelperLatestDate($B4,Trigger)</f>
        <v>41890</v>
      </c>
    </row>
    <row r="5" spans="1:14" x14ac:dyDescent="0.2">
      <c r="B5" s="263" t="str">
        <f>Deposits!E6</f>
        <v>obj_00503#0003</v>
      </c>
      <c r="C5" s="170" t="str">
        <f>_xll.qlRateHelperQuoteName(B5)</f>
        <v>USD3MD_SYNTH3M_Quote</v>
      </c>
      <c r="D5" s="169">
        <f>_xll.qlRateHelperQuoteValue($B5,Trigger)</f>
        <v>2.2899999999999999E-3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41827</v>
      </c>
      <c r="J5" s="166">
        <f>_xll.qlRateHelperLatestDate($B5,Trigger)</f>
        <v>41919</v>
      </c>
    </row>
    <row r="6" spans="1:14" x14ac:dyDescent="0.2">
      <c r="B6" s="264" t="str">
        <f>FRAs!G3</f>
        <v>obj_004fc#0001</v>
      </c>
      <c r="C6" s="175" t="str">
        <f>_xll.qlRateHelperQuoteName(B6)</f>
        <v>USD1x4F_Quote</v>
      </c>
      <c r="D6" s="174">
        <f>_xll.qlRateHelperQuoteValue($B6,Trigger)</f>
        <v>2.33E-3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41855</v>
      </c>
      <c r="J6" s="171">
        <f>_xll.qlRateHelperLatestDate($B6,Trigger)</f>
        <v>41947</v>
      </c>
    </row>
    <row r="7" spans="1:14" x14ac:dyDescent="0.2">
      <c r="B7" s="263" t="str">
        <f>FRAs!G4</f>
        <v>obj_00502#0001</v>
      </c>
      <c r="C7" s="170" t="str">
        <f>_xll.qlRateHelperQuoteName(B7)</f>
        <v>USD2x5F_Quote</v>
      </c>
      <c r="D7" s="169">
        <f>_xll.qlRateHelperQuoteValue($B7,Trigger)</f>
        <v>2.3899999999999998E-3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41886</v>
      </c>
      <c r="J7" s="166">
        <f>_xll.qlRateHelperLatestDate($B7,Trigger)</f>
        <v>41977</v>
      </c>
    </row>
    <row r="8" spans="1:14" x14ac:dyDescent="0.2">
      <c r="B8" s="263" t="str">
        <f>FRAs!G5</f>
        <v>obj_00500#0001</v>
      </c>
      <c r="C8" s="170" t="str">
        <f>_xll.qlRateHelperQuoteName(B8)</f>
        <v>USD3x6F_Quote</v>
      </c>
      <c r="D8" s="169">
        <f>_xll.qlRateHelperQuoteValue($B8,Trigger)</f>
        <v>2.4399999999999999E-3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41918</v>
      </c>
      <c r="J8" s="166">
        <f>_xll.qlRateHelperLatestDate($B8,Trigger)</f>
        <v>42010</v>
      </c>
    </row>
    <row r="9" spans="1:14" x14ac:dyDescent="0.2">
      <c r="B9" s="263" t="str">
        <f>FRAs!G6</f>
        <v>obj_00504#0001</v>
      </c>
      <c r="C9" s="170" t="str">
        <f>_xll.qlRateHelperQuoteName(B9)</f>
        <v>USD4x7F_Quote</v>
      </c>
      <c r="D9" s="169">
        <f>_xll.qlRateHelperQuoteValue($B9,Trigger)</f>
        <v>2.5700000000000002E-3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41947</v>
      </c>
      <c r="J9" s="166">
        <f>_xll.qlRateHelperLatestDate($B9,Trigger)</f>
        <v>42039</v>
      </c>
    </row>
    <row r="10" spans="1:14" x14ac:dyDescent="0.2">
      <c r="B10" s="263" t="str">
        <f>FRAs!G7</f>
        <v>obj_004fa#0001</v>
      </c>
      <c r="C10" s="170" t="str">
        <f>_xll.qlRateHelperQuoteName(B10)</f>
        <v>USD5x8F_Quote</v>
      </c>
      <c r="D10" s="169">
        <f>_xll.qlRateHelperQuoteValue($B10,Trigger)</f>
        <v>2.7000000000000001E-3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41977</v>
      </c>
      <c r="J10" s="166">
        <f>_xll.qlRateHelperLatestDate($B10,Trigger)</f>
        <v>42067</v>
      </c>
    </row>
    <row r="11" spans="1:14" x14ac:dyDescent="0.2">
      <c r="B11" s="263" t="str">
        <f>FRAs!G8</f>
        <v>obj_004ff#0001</v>
      </c>
      <c r="C11" s="170" t="str">
        <f>_xll.qlRateHelperQuoteName(B11)</f>
        <v>USD6x9F_Quote</v>
      </c>
      <c r="D11" s="169">
        <f>_xll.qlRateHelperQuoteValue($B11,Trigger)</f>
        <v>2.9100000000000003E-3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42009</v>
      </c>
      <c r="J11" s="166">
        <f>_xll.qlRateHelperLatestDate($B11,Trigger)</f>
        <v>42101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str">
        <f>Futures!H3</f>
        <v>obj_00543#0001</v>
      </c>
      <c r="C12" s="175" t="str">
        <f>_xll.qlRateHelperQuoteName(B12)</f>
        <v>USDFUT3MN4_Quote</v>
      </c>
      <c r="D12" s="257">
        <f>_xll.qlRateHelperQuoteValue($B12,Trigger)</f>
        <v>99.768749999999997</v>
      </c>
      <c r="E12" s="174">
        <f>_xll.qlFuturesRateHelperConvexityAdjustment($B12,Trigger)</f>
        <v>9.561350609903638E-7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41836</v>
      </c>
      <c r="J12" s="171">
        <f>_xll.qlRateHelperLatestDate($B12,Trigger)</f>
        <v>41928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3" t="str">
        <f>Futures!H4</f>
        <v>obj_00555#0001</v>
      </c>
      <c r="C13" s="170" t="str">
        <f>_xll.qlRateHelperQuoteName(B13)</f>
        <v>USDFUT3MQ4_Quote</v>
      </c>
      <c r="D13" s="176">
        <f>_xll.qlRateHelperQuoteValue($B13,Trigger)</f>
        <v>99.762500000000003</v>
      </c>
      <c r="E13" s="169">
        <f>_xll.qlFuturesRateHelperConvexityAdjustment($B13,Trigger)</f>
        <v>3.9287251295012963E-6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41871</v>
      </c>
      <c r="J13" s="166">
        <f>_xll.qlRateHelperLatestDate($B13,Trigger)</f>
        <v>41963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3" t="str">
        <f>Futures!H5</f>
        <v>obj_00539#0001</v>
      </c>
      <c r="C14" s="170" t="str">
        <f>_xll.qlRateHelperQuoteName(B14)</f>
        <v>USDFUT3MU4_Quote</v>
      </c>
      <c r="D14" s="176">
        <f>_xll.qlRateHelperQuoteValue($B14,Trigger)</f>
        <v>99.757499999999993</v>
      </c>
      <c r="E14" s="169">
        <f>_xll.qlFuturesRateHelperConvexityAdjustment($B14,Trigger)</f>
        <v>6.8494600012472196E-6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41899</v>
      </c>
      <c r="J14" s="166">
        <f>_xll.qlRateHelperLatestDate($B14,Trigger)</f>
        <v>41990</v>
      </c>
      <c r="M14" s="159" t="b">
        <f>AND(_xll.qlIMMIsIMMdate(I14),IF(ISERROR(D14),FALSE,TRUE))</f>
        <v>1</v>
      </c>
      <c r="N14" s="159" t="b">
        <f>AND(NOT(_xll.qlIMMIsIMMdate(I14)),IF(ISERROR(D14),FALSE,TRUE))</f>
        <v>0</v>
      </c>
    </row>
    <row r="15" spans="1:14" x14ac:dyDescent="0.2">
      <c r="A15" s="81" t="b">
        <v>0</v>
      </c>
      <c r="B15" s="263" t="str">
        <f>Futures!H6</f>
        <v>obj_00542#0001</v>
      </c>
      <c r="C15" s="170" t="str">
        <f>_xll.qlRateHelperQuoteName(B15)</f>
        <v>USDFUT3MV4_Quote</v>
      </c>
      <c r="D15" s="176">
        <f>_xll.qlRateHelperQuoteValue($B15,Trigger)</f>
        <v>99.745000000000005</v>
      </c>
      <c r="E15" s="169">
        <f>_xll.qlFuturesRateHelperConvexityAdjustment($B15,Trigger)</f>
        <v>1.0400096686459854E-5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41927</v>
      </c>
      <c r="J15" s="166">
        <f>_xll.qlRateHelperLatestDate($B15,Trigger)</f>
        <v>42019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3" t="str">
        <f>Futures!H7</f>
        <v>obj_00536#0001</v>
      </c>
      <c r="C16" s="170" t="str">
        <f>_xll.qlRateHelperQuoteName(B16)</f>
        <v>USDFUT3MX4_Quote</v>
      </c>
      <c r="D16" s="176">
        <f>_xll.qlRateHelperQuoteValue($B16,Trigger)</f>
        <v>99.737499999999997</v>
      </c>
      <c r="E16" s="169">
        <f>_xll.qlFuturesRateHelperConvexityAdjustment($B16,Trigger)</f>
        <v>1.5505375258947263E-5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41962</v>
      </c>
      <c r="J16" s="166">
        <f>_xll.qlRateHelperLatestDate($B16,Trigger)</f>
        <v>42054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3" t="str">
        <f>Futures!H8</f>
        <v>obj_0054c#0001</v>
      </c>
      <c r="C17" s="170" t="str">
        <f>_xll.qlRateHelperQuoteName(B17)</f>
        <v>USDFUT3MZ4_Quote</v>
      </c>
      <c r="D17" s="176">
        <f>_xll.qlRateHelperQuoteValue($B17,Trigger)</f>
        <v>99.717500000000001</v>
      </c>
      <c r="E17" s="169">
        <f>_xll.qlFuturesRateHelperConvexityAdjustment($B17,Trigger)</f>
        <v>1.9945351676500122E-5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41990</v>
      </c>
      <c r="J17" s="166">
        <f>_xll.qlRateHelperLatestDate($B17,Trigger)</f>
        <v>42080</v>
      </c>
      <c r="M17" s="159" t="b">
        <f>AND(_xll.qlIMMIsIMMdate(I17),IF(ISERROR(D17),FALSE,TRUE))</f>
        <v>1</v>
      </c>
      <c r="N17" s="159" t="b">
        <f>AND(NOT(_xll.qlIMMIsIMMdate(I17)),IF(ISERROR(D17),FALSE,TRUE))</f>
        <v>0</v>
      </c>
    </row>
    <row r="18" spans="1:14" x14ac:dyDescent="0.2">
      <c r="A18" s="81" t="b">
        <v>0</v>
      </c>
      <c r="B18" s="263" t="str">
        <f>Futures!H9</f>
        <v>obj_00547#0001</v>
      </c>
      <c r="C18" s="170" t="str">
        <f>_xll.qlRateHelperQuoteName(B18)</f>
        <v>USDFUT3MF5_Quote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42025</v>
      </c>
      <c r="J18" s="166">
        <f>_xll.qlRateHelperLatestDate($B18,Trigger)</f>
        <v>42115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obj_00537#0001</v>
      </c>
      <c r="C19" s="170" t="str">
        <f>_xll.qlRateHelperQuoteName(B19)</f>
        <v>USDFUT3MG5_Quote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42053</v>
      </c>
      <c r="J19" s="166">
        <f>_xll.qlRateHelperLatestDate($B19,Trigger)</f>
        <v>42142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obj_0053f#0001</v>
      </c>
      <c r="C20" s="170" t="str">
        <f>_xll.qlRateHelperQuoteName(B20)</f>
        <v>USDFUT3MH5_Quote</v>
      </c>
      <c r="D20" s="176">
        <f>_xll.qlRateHelperQuoteValue($B20,Trigger)</f>
        <v>99.622500000000002</v>
      </c>
      <c r="E20" s="169">
        <f>_xll.qlFuturesRateHelperConvexityAdjustment($B20,Trigger)</f>
        <v>3.8868889287175882E-5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42081</v>
      </c>
      <c r="J20" s="166">
        <f>_xll.qlRateHelperLatestDate($B20,Trigger)</f>
        <v>42173</v>
      </c>
      <c r="M20" s="159" t="b">
        <f>AND(_xll.qlIMMIsIMMdate(I20),IF(ISERROR(D20),FALSE,TRUE))</f>
        <v>1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obj_00540#0001</v>
      </c>
      <c r="C21" s="170" t="str">
        <f>_xll.qlRateHelperQuoteName(B21)</f>
        <v>USDFUT3MJ5_Quote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42109</v>
      </c>
      <c r="J21" s="166">
        <f>_xll.qlRateHelperLatestDate($B21,Trigger)</f>
        <v>42200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obj_0053a#0001</v>
      </c>
      <c r="C22" s="170" t="str">
        <f>_xll.qlRateHelperQuoteName(B22)</f>
        <v>USDFUT3MK5_Quote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42144</v>
      </c>
      <c r="J22" s="166">
        <f>_xll.qlRateHelperLatestDate($B22,Trigger)</f>
        <v>42236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obj_00548#0001</v>
      </c>
      <c r="C23" s="170" t="str">
        <f>_xll.qlRateHelperQuoteName(B23)</f>
        <v>USDFUT3MM5_Quote</v>
      </c>
      <c r="D23" s="176">
        <f>_xll.qlRateHelperQuoteValue($B23,Trigger)</f>
        <v>99.442499999999995</v>
      </c>
      <c r="E23" s="169">
        <f>_xll.qlFuturesRateHelperConvexityAdjustment($B23,Trigger)</f>
        <v>6.2885132110342229E-5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42172</v>
      </c>
      <c r="J23" s="166">
        <f>_xll.qlRateHelperLatestDate($B23,Trigger)</f>
        <v>42264</v>
      </c>
      <c r="M23" s="159" t="b">
        <f>AND(_xll.qlIMMIsIMMdate(I23),IF(ISERROR(D23),FALSE,TRUE))</f>
        <v>1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obj_00559#0001</v>
      </c>
      <c r="C24" s="170" t="str">
        <f>_xll.qlRateHelperQuoteName(B24)</f>
        <v>USDFUT3MU5_Quote</v>
      </c>
      <c r="D24" s="176">
        <f>_xll.qlRateHelperQuoteValue($B24,Trigger)</f>
        <v>99.217500000000001</v>
      </c>
      <c r="E24" s="169">
        <f>_xll.qlFuturesRateHelperConvexityAdjustment($B24,Trigger)</f>
        <v>9.1821102240864511E-5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42263</v>
      </c>
      <c r="J24" s="166">
        <f>_xll.qlRateHelperLatestDate($B24,Trigger)</f>
        <v>42354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obj_00544#0001</v>
      </c>
      <c r="C25" s="170" t="str">
        <f>_xll.qlRateHelperQuoteName(B25)</f>
        <v>USDFUT3MZ5_Quote</v>
      </c>
      <c r="D25" s="176">
        <f>_xll.qlRateHelperQuoteValue($B25,Trigger)</f>
        <v>98.972499999999997</v>
      </c>
      <c r="E25" s="169">
        <f>_xll.qlFuturesRateHelperConvexityAdjustment($B25,Trigger)</f>
        <v>1.2609158265025093E-4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42354</v>
      </c>
      <c r="J25" s="166">
        <f>_xll.qlRateHelperLatestDate($B25,Trigger)</f>
        <v>42445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obj_00550#0001</v>
      </c>
      <c r="C26" s="170" t="str">
        <f>_xll.qlRateHelperQuoteName(B26)</f>
        <v>USDFUT3MH6_Quote</v>
      </c>
      <c r="D26" s="176">
        <f>_xll.qlRateHelperQuoteValue($B26,Trigger)</f>
        <v>98.702500000000001</v>
      </c>
      <c r="E26" s="169">
        <f>_xll.qlFuturesRateHelperConvexityAdjustment($B26,Trigger)</f>
        <v>1.6576996841034212E-4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42445</v>
      </c>
      <c r="J26" s="166">
        <f>_xll.qlRateHelperLatestDate($B26,Trigger)</f>
        <v>42537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obj_00541#0001</v>
      </c>
      <c r="C27" s="170" t="str">
        <f>_xll.qlRateHelperQuoteName(B27)</f>
        <v>USDFUT3MM6_Quote</v>
      </c>
      <c r="D27" s="176">
        <f>_xll.qlRateHelperQuoteValue($B27,Trigger)</f>
        <v>98.422499999999999</v>
      </c>
      <c r="E27" s="169">
        <f>_xll.qlFuturesRateHelperConvexityAdjustment($B27,Trigger)</f>
        <v>2.0999336893847898E-4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42536</v>
      </c>
      <c r="J27" s="166">
        <f>_xll.qlRateHelperLatestDate($B27,Trigger)</f>
        <v>42628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obj_0053e#0001</v>
      </c>
      <c r="C28" s="170" t="str">
        <f>_xll.qlRateHelperQuoteName(B28)</f>
        <v>USDFUT3MU6_Quote</v>
      </c>
      <c r="D28" s="176">
        <f>_xll.qlRateHelperQuoteValue($B28,Trigger)</f>
        <v>98.137500000000003</v>
      </c>
      <c r="E28" s="169">
        <f>_xll.qlFuturesRateHelperConvexityAdjustment($B28,Trigger)</f>
        <v>2.6243140027877392E-4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42634</v>
      </c>
      <c r="J28" s="166">
        <f>_xll.qlRateHelperLatestDate($B28,Trigger)</f>
        <v>42725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obj_00545#0001</v>
      </c>
      <c r="C29" s="170" t="str">
        <f>_xll.qlRateHelperQuoteName(B29)</f>
        <v>USDFUT3MZ6_Quote</v>
      </c>
      <c r="D29" s="176">
        <f>_xll.qlRateHelperQuoteValue($B29,Trigger)</f>
        <v>97.877499999999998</v>
      </c>
      <c r="E29" s="169">
        <f>_xll.qlFuturesRateHelperConvexityAdjustment($B29,Trigger)</f>
        <v>3.1582300564920329E-4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42725</v>
      </c>
      <c r="J29" s="166">
        <f>_xll.qlRateHelperLatestDate($B29,Trigger)</f>
        <v>42815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obj_0054f#0001</v>
      </c>
      <c r="C30" s="170" t="str">
        <f>_xll.qlRateHelperQuoteName(B30)</f>
        <v>USDFUT3MH7_Quote</v>
      </c>
      <c r="D30" s="176">
        <f>_xll.qlRateHelperQuoteValue($B30,Trigger)</f>
        <v>97.662499999999994</v>
      </c>
      <c r="E30" s="169">
        <f>_xll.qlFuturesRateHelperConvexityAdjustment($B30,Trigger)</f>
        <v>3.7090575539766091E-4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42809</v>
      </c>
      <c r="J30" s="166">
        <f>_xll.qlRateHelperLatestDate($B30,Trigger)</f>
        <v>42901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obj_0053b#0001</v>
      </c>
      <c r="C31" s="170" t="str">
        <f>_xll.qlRateHelperQuoteName(B31)</f>
        <v>USDFUT3MM7_Quote</v>
      </c>
      <c r="D31" s="176">
        <f>_xll.qlRateHelperQuoteValue($B31,Trigger)</f>
        <v>97.462500000000006</v>
      </c>
      <c r="E31" s="169">
        <f>_xll.qlFuturesRateHelperConvexityAdjustment($B31,Trigger)</f>
        <v>4.3855758312436396E-4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42907</v>
      </c>
      <c r="J31" s="166">
        <f>_xll.qlRateHelperLatestDate($B31,Trigger)</f>
        <v>42999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obj_00558#0001</v>
      </c>
      <c r="C32" s="170" t="str">
        <f>_xll.qlRateHelperQuoteName(B32)</f>
        <v>USDFUT3MU7_Quote</v>
      </c>
      <c r="D32" s="176">
        <f>_xll.qlRateHelperQuoteValue($B32,Trigger)</f>
        <v>97.292500000000004</v>
      </c>
      <c r="E32" s="169">
        <f>_xll.qlFuturesRateHelperConvexityAdjustment($B32,Trigger)</f>
        <v>5.0512012707158206E-4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42998</v>
      </c>
      <c r="J32" s="166">
        <f>_xll.qlRateHelperLatestDate($B32,Trigger)</f>
        <v>43089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obj_0054a#0001</v>
      </c>
      <c r="C33" s="170" t="str">
        <f>_xll.qlRateHelperQuoteName(B33)</f>
        <v>USDFUT3MZ7_Quote</v>
      </c>
      <c r="D33" s="176">
        <f>_xll.qlRateHelperQuoteValue($B33,Trigger)</f>
        <v>97.13</v>
      </c>
      <c r="E33" s="169">
        <f>_xll.qlFuturesRateHelperConvexityAdjustment($B33,Trigger)</f>
        <v>5.75803346194222E-4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43089</v>
      </c>
      <c r="J33" s="166">
        <f>_xll.qlRateHelperLatestDate($B33,Trigger)</f>
        <v>43179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obj_00538#0001</v>
      </c>
      <c r="C34" s="170" t="str">
        <f>_xll.qlRateHelperQuoteName(B34)</f>
        <v>USDFUT3MH8_Quote</v>
      </c>
      <c r="D34" s="176">
        <f>_xll.qlRateHelperQuoteValue($B34,Trigger)</f>
        <v>97.002499999999998</v>
      </c>
      <c r="E34" s="169">
        <f>_xll.qlFuturesRateHelperConvexityAdjustment($B34,Trigger)</f>
        <v>6.5306583891183907E-4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43180</v>
      </c>
      <c r="J34" s="166">
        <f>_xll.qlRateHelperLatestDate($B34,Trigger)</f>
        <v>43272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obj_00531#0001</v>
      </c>
      <c r="C35" s="170" t="str">
        <f>_xll.qlRateHelperQuoteName(B35)</f>
        <v>USDFUT3MM8_Quote</v>
      </c>
      <c r="D35" s="176">
        <f>_xll.qlRateHelperQuoteValue($B35,Trigger)</f>
        <v>96.877499999999998</v>
      </c>
      <c r="E35" s="169">
        <f>_xll.qlFuturesRateHelperConvexityAdjustment($B35,Trigger)</f>
        <v>7.3273449664362875E-4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43271</v>
      </c>
      <c r="J35" s="166">
        <f>_xll.qlRateHelperLatestDate($B35,Trigger)</f>
        <v>43363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obj_00554#0001</v>
      </c>
      <c r="C36" s="170" t="str">
        <f>_xll.qlRateHelperQuoteName(B36)</f>
        <v>USDFUT3MU8_Quote</v>
      </c>
      <c r="D36" s="176">
        <f>_xll.qlRateHelperQuoteValue($B36,Trigger)</f>
        <v>96.767499999999998</v>
      </c>
      <c r="E36" s="169">
        <f>_xll.qlFuturesRateHelperConvexityAdjustment($B36,Trigger)</f>
        <v>8.1533175220646571E-4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43362</v>
      </c>
      <c r="J36" s="166">
        <f>_xll.qlRateHelperLatestDate($B36,Trigger)</f>
        <v>43453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obj_0054d#0001</v>
      </c>
      <c r="C37" s="170" t="str">
        <f>_xll.qlRateHelperQuoteName(B37)</f>
        <v>USDFUT3MZ8_Quote</v>
      </c>
      <c r="D37" s="176">
        <f>_xll.qlRateHelperQuoteValue($B37,Trigger)</f>
        <v>96.667500000000004</v>
      </c>
      <c r="E37" s="169">
        <f>_xll.qlFuturesRateHelperConvexityAdjustment($B37,Trigger)</f>
        <v>9.0163447638770956E-4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43453</v>
      </c>
      <c r="J37" s="166">
        <f>_xll.qlRateHelperLatestDate($B37,Trigger)</f>
        <v>43543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obj_0054e#0001</v>
      </c>
      <c r="C38" s="170" t="str">
        <f>_xll.qlRateHelperQuoteName(B38)</f>
        <v>USDFUT3MH9_Quote</v>
      </c>
      <c r="D38" s="176">
        <f>_xll.qlRateHelperQuoteValue($B38,Trigger)</f>
        <v>96.577500000000001</v>
      </c>
      <c r="E38" s="169">
        <f>_xll.qlFuturesRateHelperConvexityAdjustment($B38,Trigger)</f>
        <v>9.9481074024005203E-4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43544</v>
      </c>
      <c r="J38" s="166">
        <f>_xll.qlRateHelperLatestDate($B38,Trigger)</f>
        <v>43636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obj_0053c#0001</v>
      </c>
      <c r="C39" s="170" t="str">
        <f>_xll.qlRateHelperQuoteName(B39)</f>
        <v>USDFUT3MM9_Quote</v>
      </c>
      <c r="D39" s="176">
        <f>_xll.qlRateHelperQuoteValue($B39,Trigger)</f>
        <v>96.487499999999997</v>
      </c>
      <c r="E39" s="169">
        <f>_xll.qlFuturesRateHelperConvexityAdjustment($B39,Trigger)</f>
        <v>1.0895645839785286E-3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43635</v>
      </c>
      <c r="J39" s="166">
        <f>_xll.qlRateHelperLatestDate($B39,Trigger)</f>
        <v>43727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obj_00530#0001</v>
      </c>
      <c r="C40" s="170" t="str">
        <f>_xll.qlRateHelperQuoteName(B40)</f>
        <v>USDFUT3MU9_Quote</v>
      </c>
      <c r="D40" s="176">
        <f>_xll.qlRateHelperQuoteValue($B40,Trigger)</f>
        <v>96.405000000000001</v>
      </c>
      <c r="E40" s="169">
        <f>_xll.qlFuturesRateHelperConvexityAdjustment($B40,Trigger)</f>
        <v>1.1866542584641172E-3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43726</v>
      </c>
      <c r="J40" s="166">
        <f>_xll.qlRateHelperLatestDate($B40,Trigger)</f>
        <v>43817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obj_00533#0001</v>
      </c>
      <c r="C41" s="170" t="str">
        <f>_xll.qlRateHelperQuoteName(B41)</f>
        <v>USDFUT3MZ9_Quote</v>
      </c>
      <c r="D41" s="176">
        <f>_xll.qlRateHelperQuoteValue($B41,Trigger)</f>
        <v>96.32</v>
      </c>
      <c r="E41" s="169">
        <f>_xll.qlFuturesRateHelperConvexityAdjustment($B41,Trigger)</f>
        <v>1.2883595009426047E-3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43817</v>
      </c>
      <c r="J41" s="166">
        <f>_xll.qlRateHelperLatestDate($B41,Trigger)</f>
        <v>43908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obj_00556#0001</v>
      </c>
      <c r="C42" s="170" t="str">
        <f>_xll.qlRateHelperQuoteName(B42)</f>
        <v>USDFUT3MH0_Quote</v>
      </c>
      <c r="D42" s="176">
        <f>_xll.qlRateHelperQuoteValue($B42,Trigger)</f>
        <v>96.245000000000005</v>
      </c>
      <c r="E42" s="169">
        <f>_xll.qlFuturesRateHelperConvexityAdjustment($B42,Trigger)</f>
        <v>1.3947143519861759E-3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43908</v>
      </c>
      <c r="J42" s="166">
        <f>_xll.qlRateHelperLatestDate($B42,Trigger)</f>
        <v>44000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obj_00553#0001</v>
      </c>
      <c r="C43" s="170" t="str">
        <f>_xll.qlRateHelperQuoteName(B43)</f>
        <v>USDFUT3MM0_Quote</v>
      </c>
      <c r="D43" s="176">
        <f>_xll.qlRateHelperQuoteValue($B43,Trigger)</f>
        <v>96.175000000000011</v>
      </c>
      <c r="E43" s="169">
        <f>_xll.qlFuturesRateHelperConvexityAdjustment($B43,Trigger)</f>
        <v>1.5030863176733924E-3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43999</v>
      </c>
      <c r="J43" s="166">
        <f>_xll.qlRateHelperLatestDate($B43,Trigger)</f>
        <v>44091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obj_00535#0001</v>
      </c>
      <c r="C44" s="170" t="str">
        <f>_xll.qlRateHelperQuoteName(B44)</f>
        <v>USDFUT3MU0_Quote</v>
      </c>
      <c r="D44" s="176">
        <f>_xll.qlRateHelperQuoteValue($B44,Trigger)</f>
        <v>96.107499999999987</v>
      </c>
      <c r="E44" s="169">
        <f>_xll.qlFuturesRateHelperConvexityAdjustment($B44,Trigger)</f>
        <v>1.6132367383725724E-3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44090</v>
      </c>
      <c r="J44" s="166">
        <f>_xll.qlRateHelperLatestDate($B44,Trigger)</f>
        <v>44181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obj_00552#0001</v>
      </c>
      <c r="C45" s="170" t="str">
        <f>_xll.qlRateHelperQuoteName(B45)</f>
        <v>USDFUT3MZ0_Quote</v>
      </c>
      <c r="D45" s="176">
        <f>_xll.qlRateHelperQuoteValue($B45,Trigger)</f>
        <v>96.039999999999992</v>
      </c>
      <c r="E45" s="169">
        <f>_xll.qlFuturesRateHelperConvexityAdjustment($B45,Trigger)</f>
        <v>1.7263980972286258E-3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44181</v>
      </c>
      <c r="J45" s="166">
        <f>_xll.qlRateHelperLatestDate($B45,Trigger)</f>
        <v>44271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obj_00549#0001</v>
      </c>
      <c r="C46" s="170" t="str">
        <f>_xll.qlRateHelperQuoteName(B46)</f>
        <v>USDFUT3MH1_Quote</v>
      </c>
      <c r="D46" s="176">
        <f>_xll.qlRateHelperQuoteValue($B46,Trigger)</f>
        <v>95.990000000000009</v>
      </c>
      <c r="E46" s="169">
        <f>_xll.qlFuturesRateHelperConvexityAdjustment($B46,Trigger)</f>
        <v>1.8469654268895397E-3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44272</v>
      </c>
      <c r="J46" s="166">
        <f>_xll.qlRateHelperLatestDate($B46,Trigger)</f>
        <v>44364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obj_00532#0001</v>
      </c>
      <c r="C47" s="170" t="str">
        <f>_xll.qlRateHelperQuoteName(B47)</f>
        <v>USDFUT3MM1_Quote</v>
      </c>
      <c r="D47" s="176">
        <f>_xll.qlRateHelperQuoteValue($B47,Trigger)</f>
        <v>95.94</v>
      </c>
      <c r="E47" s="169">
        <f>_xll.qlFuturesRateHelperConvexityAdjustment($B47,Trigger)</f>
        <v>1.9675469338112511E-3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44363</v>
      </c>
      <c r="J47" s="166">
        <f>_xll.qlRateHelperLatestDate($B47,Trigger)</f>
        <v>44455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obj_0054b#0001</v>
      </c>
      <c r="C48" s="170" t="str">
        <f>_xll.qlRateHelperQuoteName(B48)</f>
        <v>USDFUT3MU1_Quote</v>
      </c>
      <c r="D48" s="176">
        <f>_xll.qlRateHelperQuoteValue($B48,Trigger)</f>
        <v>95.9</v>
      </c>
      <c r="E48" s="169">
        <f>_xll.qlFuturesRateHelperConvexityAdjustment($B48,Trigger)</f>
        <v>2.0893213807323743E-3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44454</v>
      </c>
      <c r="J48" s="166">
        <f>_xll.qlRateHelperLatestDate($B48,Trigger)</f>
        <v>44545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obj_00546#0001</v>
      </c>
      <c r="C49" s="170" t="str">
        <f>_xll.qlRateHelperQuoteName(B49)</f>
        <v>USDFUT3MZ1_Quote</v>
      </c>
      <c r="D49" s="176">
        <f>_xll.qlRateHelperQuoteValue($B49,Trigger)</f>
        <v>95.86</v>
      </c>
      <c r="E49" s="169">
        <f>_xll.qlFuturesRateHelperConvexityAdjustment($B49,Trigger)</f>
        <v>2.2137777107481514E-3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44545</v>
      </c>
      <c r="J49" s="166">
        <f>_xll.qlRateHelperLatestDate($B49,Trigger)</f>
        <v>44635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obj_00534#0001</v>
      </c>
      <c r="C50" s="170" t="str">
        <f>_xll.qlRateHelperQuoteName(B50)</f>
        <v>USDFUT3MH2_Quote</v>
      </c>
      <c r="D50" s="176">
        <f>_xll.qlRateHelperQuoteValue($B50,Trigger)</f>
        <v>95.835000000000008</v>
      </c>
      <c r="E50" s="169">
        <f>_xll.qlFuturesRateHelperConvexityAdjustment($B50,Trigger)</f>
        <v>2.3459234517529317E-3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44636</v>
      </c>
      <c r="J50" s="166">
        <f>_xll.qlRateHelperLatestDate($B50,Trigger)</f>
        <v>44728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obj_00551#0001</v>
      </c>
      <c r="C51" s="170" t="str">
        <f>_xll.qlRateHelperQuoteName(B51)</f>
        <v>USDFUT3MM2_Quote</v>
      </c>
      <c r="D51" s="176">
        <f>_xll.qlRateHelperQuoteValue($B51,Trigger)</f>
        <v>95.807500000000005</v>
      </c>
      <c r="E51" s="169">
        <f>_xll.qlFuturesRateHelperConvexityAdjustment($B51,Trigger)</f>
        <v>2.4773626739915339E-3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44727</v>
      </c>
      <c r="J51" s="166">
        <f>_xll.qlRateHelperLatestDate($B51,Trigger)</f>
        <v>44819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obj_0053d#0001</v>
      </c>
      <c r="C52" s="170" t="str">
        <f>_xll.qlRateHelperQuoteName(B52)</f>
        <v>USDFUT3MU2_Quote</v>
      </c>
      <c r="D52" s="176">
        <f>_xll.qlRateHelperQuoteValue($B52,Trigger)</f>
        <v>95.772500000000008</v>
      </c>
      <c r="E52" s="169">
        <f>_xll.qlFuturesRateHelperConvexityAdjustment($B52,Trigger)</f>
        <v>2.6199736643388338E-3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44825</v>
      </c>
      <c r="J52" s="166">
        <f>_xll.qlRateHelperLatestDate($B52,Trigger)</f>
        <v>44916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obj_00557#0001</v>
      </c>
      <c r="C53" s="170" t="str">
        <f>_xll.qlRateHelperQuoteName(B53)</f>
        <v>USDFUT3MZ2_Quote</v>
      </c>
      <c r="D53" s="176">
        <f>_xll.qlRateHelperQuoteValue($B53,Trigger)</f>
        <v>95.75</v>
      </c>
      <c r="E53" s="169">
        <f>_xll.qlFuturesRateHelperConvexityAdjustment($B53,Trigger)</f>
        <v>2.7546753528684474E-3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44916</v>
      </c>
      <c r="J53" s="166">
        <f>_xll.qlRateHelperLatestDate($B53,Trigger)</f>
        <v>45006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obj_0050a#0003</v>
      </c>
      <c r="C54" s="175" t="str">
        <f>_xll.qlRateHelperQuoteName(B54)</f>
        <v>USD1S12_Quote</v>
      </c>
      <c r="D54" s="174">
        <f>_xll.qlRateHelperQuoteValue($B54,Trigger)</f>
        <v>3.7199999999999998E-3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41827</v>
      </c>
      <c r="J54" s="171">
        <f>_xll.qlRateHelperLatestDate($B54,Trigger)</f>
        <v>42192</v>
      </c>
    </row>
    <row r="55" spans="1:14" x14ac:dyDescent="0.2">
      <c r="B55" s="263" t="str">
        <f>Swaps!K44</f>
        <v>obj_00505#0003</v>
      </c>
      <c r="C55" s="170" t="str">
        <f>_xll.qlRateHelperQuoteName(B55)</f>
        <v>USD2S12_Quote</v>
      </c>
      <c r="D55" s="169">
        <f>_xll.qlRateHelperQuoteValue($B55,Trigger)</f>
        <v>5.1800000000000006E-3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41827</v>
      </c>
      <c r="J55" s="166">
        <f>_xll.qlRateHelperLatestDate($B55,Trigger)</f>
        <v>42192</v>
      </c>
    </row>
    <row r="56" spans="1:14" x14ac:dyDescent="0.2">
      <c r="B56" s="263" t="str">
        <f>Swaps!K45</f>
        <v>obj_00509#0003</v>
      </c>
      <c r="C56" s="170" t="str">
        <f>_xll.qlRateHelperQuoteName(B56)</f>
        <v>USD3S12_Quote</v>
      </c>
      <c r="D56" s="169">
        <f>_xll.qlRateHelperQuoteValue($B56,Trigger)</f>
        <v>7.1199999999999996E-3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41827</v>
      </c>
      <c r="J56" s="166">
        <f>_xll.qlRateHelperLatestDate($B56,Trigger)</f>
        <v>42192</v>
      </c>
    </row>
    <row r="57" spans="1:14" x14ac:dyDescent="0.2">
      <c r="B57" s="263" t="str">
        <f>Swaps!K46</f>
        <v>obj_00508#0003</v>
      </c>
      <c r="C57" s="170" t="str">
        <f>_xll.qlRateHelperQuoteName(B57)</f>
        <v>USD4S12_Quote</v>
      </c>
      <c r="D57" s="169">
        <f>_xll.qlRateHelperQuoteValue($B57,Trigger)</f>
        <v>9.4199999999999996E-3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41827</v>
      </c>
      <c r="J57" s="166">
        <f>_xll.qlRateHelperLatestDate($B57,Trigger)</f>
        <v>42192</v>
      </c>
    </row>
    <row r="58" spans="1:14" x14ac:dyDescent="0.2">
      <c r="B58" s="263" t="str">
        <f>Swaps!K47</f>
        <v>obj_00501#0003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41827</v>
      </c>
      <c r="J58" s="166">
        <f>_xll.qlRateHelperLatestDate($B58,Trigger)</f>
        <v>42558</v>
      </c>
    </row>
    <row r="59" spans="1:14" x14ac:dyDescent="0.2">
      <c r="B59" s="263" t="str">
        <f>Swaps!K48</f>
        <v>obj_004fb#0003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41827</v>
      </c>
      <c r="J59" s="166">
        <f>_xll.qlRateHelperLatestDate($B59,Trigger)</f>
        <v>42558</v>
      </c>
    </row>
    <row r="60" spans="1:14" x14ac:dyDescent="0.2">
      <c r="B60" s="106" t="str">
        <f>Swaps!K49</f>
        <v>obj_00507#0003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41827</v>
      </c>
      <c r="J60" s="161">
        <f>_xll.qlRateHelperLatestDate($B60,Trigger)</f>
        <v>42923</v>
      </c>
    </row>
    <row r="61" spans="1:14" x14ac:dyDescent="0.2">
      <c r="B61" s="263" t="str">
        <f>Swaps!K5</f>
        <v>obj_00510#0003</v>
      </c>
      <c r="C61" s="170" t="str">
        <f>_xll.qlRateHelperQuoteName(B61)</f>
        <v>USDAM3L1Y_Quote</v>
      </c>
      <c r="D61" s="169">
        <f>_xll.qlRateHelperQuoteValue($B61,Trigger)</f>
        <v>2.8900000000000002E-3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41827</v>
      </c>
      <c r="J61" s="166">
        <f>_xll.qlRateHelperLatestDate($B61,Trigger)</f>
        <v>42192</v>
      </c>
      <c r="L61" s="85"/>
    </row>
    <row r="62" spans="1:14" x14ac:dyDescent="0.2">
      <c r="B62" s="263" t="str">
        <f>Swaps!K6</f>
        <v>obj_0052b#0003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41827</v>
      </c>
      <c r="J62" s="166">
        <f>_xll.qlRateHelperLatestDate($B62,Trigger)</f>
        <v>42284</v>
      </c>
      <c r="L62" s="85"/>
    </row>
    <row r="63" spans="1:14" x14ac:dyDescent="0.2">
      <c r="B63" s="263" t="str">
        <f>Swaps!K7</f>
        <v>obj_00513#0003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41827</v>
      </c>
      <c r="J63" s="166">
        <f>_xll.qlRateHelperLatestDate($B63,Trigger)</f>
        <v>42376</v>
      </c>
      <c r="L63" s="85"/>
    </row>
    <row r="64" spans="1:14" x14ac:dyDescent="0.2">
      <c r="B64" s="263" t="str">
        <f>Swaps!K8</f>
        <v>obj_0052e#0003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41827</v>
      </c>
      <c r="J64" s="166">
        <f>_xll.qlRateHelperLatestDate($B64,Trigger)</f>
        <v>42467</v>
      </c>
      <c r="L64" s="85"/>
    </row>
    <row r="65" spans="2:12" x14ac:dyDescent="0.2">
      <c r="B65" s="263" t="str">
        <f>Swaps!K9</f>
        <v>obj_00511#0003</v>
      </c>
      <c r="C65" s="170" t="str">
        <f>_xll.qlRateHelperQuoteName(B65)</f>
        <v>USDAM3L2Y_Quote</v>
      </c>
      <c r="D65" s="169">
        <f>_xll.qlRateHelperQuoteValue($B65,Trigger)</f>
        <v>6.0899999999999999E-3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41827</v>
      </c>
      <c r="J65" s="166">
        <f>_xll.qlRateHelperLatestDate($B65,Trigger)</f>
        <v>42558</v>
      </c>
      <c r="L65" s="85"/>
    </row>
    <row r="66" spans="2:12" x14ac:dyDescent="0.2">
      <c r="B66" s="263" t="str">
        <f>Swaps!K10</f>
        <v>obj_00517#0003</v>
      </c>
      <c r="C66" s="170" t="str">
        <f>_xll.qlRateHelperQuoteName(B66)</f>
        <v>USDAM3L3Y_Quote</v>
      </c>
      <c r="D66" s="169">
        <f>_xll.qlRateHelperQuoteValue($B66,Trigger)</f>
        <v>1.0489999999999999E-2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41827</v>
      </c>
      <c r="J66" s="166">
        <f>_xll.qlRateHelperLatestDate($B66,Trigger)</f>
        <v>42923</v>
      </c>
      <c r="L66" s="85"/>
    </row>
    <row r="67" spans="2:12" x14ac:dyDescent="0.2">
      <c r="B67" s="263" t="str">
        <f>Swaps!K11</f>
        <v>obj_00523#0003</v>
      </c>
      <c r="C67" s="170" t="str">
        <f>_xll.qlRateHelperQuoteName(B67)</f>
        <v>USDAM3L4Y_Quote</v>
      </c>
      <c r="D67" s="169">
        <f>_xll.qlRateHelperQuoteValue($B67,Trigger)</f>
        <v>1.4500000000000002E-2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41827</v>
      </c>
      <c r="J67" s="166">
        <f>_xll.qlRateHelperLatestDate($B67,Trigger)</f>
        <v>43290</v>
      </c>
      <c r="L67" s="85"/>
    </row>
    <row r="68" spans="2:12" x14ac:dyDescent="0.2">
      <c r="B68" s="263" t="str">
        <f>Swaps!K12</f>
        <v>obj_0052c#0003</v>
      </c>
      <c r="C68" s="170" t="str">
        <f>_xll.qlRateHelperQuoteName(B68)</f>
        <v>USDAM3L5Y_Quote</v>
      </c>
      <c r="D68" s="169">
        <f>_xll.qlRateHelperQuoteValue($B68,Trigger)</f>
        <v>1.77E-2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41827</v>
      </c>
      <c r="J68" s="166">
        <f>_xll.qlRateHelperLatestDate($B68,Trigger)</f>
        <v>43654</v>
      </c>
      <c r="L68" s="85"/>
    </row>
    <row r="69" spans="2:12" x14ac:dyDescent="0.2">
      <c r="B69" s="263" t="str">
        <f>Swaps!K13</f>
        <v>obj_0051d#0003</v>
      </c>
      <c r="C69" s="170" t="str">
        <f>_xll.qlRateHelperQuoteName(B69)</f>
        <v>USDAM3L6Y_Quote</v>
      </c>
      <c r="D69" s="169">
        <f>_xll.qlRateHelperQuoteValue($B69,Trigger)</f>
        <v>2.0289999999999999E-2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41827</v>
      </c>
      <c r="J69" s="166">
        <f>_xll.qlRateHelperLatestDate($B69,Trigger)</f>
        <v>44019</v>
      </c>
      <c r="L69" s="85"/>
    </row>
    <row r="70" spans="2:12" x14ac:dyDescent="0.2">
      <c r="B70" s="263" t="str">
        <f>Swaps!K14</f>
        <v>obj_00525#0003</v>
      </c>
      <c r="C70" s="170" t="str">
        <f>_xll.qlRateHelperQuoteName(B70)</f>
        <v>USDAM3L7Y_Quote</v>
      </c>
      <c r="D70" s="169">
        <f>_xll.qlRateHelperQuoteValue($B70,Trigger)</f>
        <v>2.2400000000000003E-2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41827</v>
      </c>
      <c r="J70" s="166">
        <f>_xll.qlRateHelperLatestDate($B70,Trigger)</f>
        <v>44384</v>
      </c>
      <c r="L70" s="85"/>
    </row>
    <row r="71" spans="2:12" x14ac:dyDescent="0.2">
      <c r="B71" s="263" t="str">
        <f>Swaps!K15</f>
        <v>obj_004fd#0003</v>
      </c>
      <c r="C71" s="170" t="str">
        <f>_xll.qlRateHelperQuoteName(B71)</f>
        <v>USDAM3L8Y_Quote</v>
      </c>
      <c r="D71" s="169">
        <f>_xll.qlRateHelperQuoteValue($B71,Trigger)</f>
        <v>2.4109999999999999E-2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41827</v>
      </c>
      <c r="J71" s="166">
        <f>_xll.qlRateHelperLatestDate($B71,Trigger)</f>
        <v>44749</v>
      </c>
      <c r="L71" s="85"/>
    </row>
    <row r="72" spans="2:12" x14ac:dyDescent="0.2">
      <c r="B72" s="263" t="str">
        <f>Swaps!K16</f>
        <v>obj_0050f#0003</v>
      </c>
      <c r="C72" s="170" t="str">
        <f>_xll.qlRateHelperQuoteName(B72)</f>
        <v>USDAM3L9Y_Quote</v>
      </c>
      <c r="D72" s="169">
        <f>_xll.qlRateHelperQuoteValue($B72,Trigger)</f>
        <v>2.5540000000000004E-2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41827</v>
      </c>
      <c r="J72" s="166">
        <f>_xll.qlRateHelperLatestDate($B72,Trigger)</f>
        <v>45114</v>
      </c>
      <c r="L72" s="85"/>
    </row>
    <row r="73" spans="2:12" x14ac:dyDescent="0.2">
      <c r="B73" s="263" t="str">
        <f>Swaps!K17</f>
        <v>obj_00516#0003</v>
      </c>
      <c r="C73" s="170" t="str">
        <f>_xll.qlRateHelperQuoteName(B73)</f>
        <v>USDAM3L10Y_Quote</v>
      </c>
      <c r="D73" s="169">
        <f>_xll.qlRateHelperQuoteValue($B73,Trigger)</f>
        <v>2.6749999999999999E-2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41827</v>
      </c>
      <c r="J73" s="166">
        <f>_xll.qlRateHelperLatestDate($B73,Trigger)</f>
        <v>45481</v>
      </c>
      <c r="L73" s="85"/>
    </row>
    <row r="74" spans="2:12" x14ac:dyDescent="0.2">
      <c r="B74" s="263" t="str">
        <f>Swaps!K18</f>
        <v>obj_0052f#0003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41827</v>
      </c>
      <c r="J74" s="166">
        <f>_xll.qlRateHelperLatestDate($B74,Trigger)</f>
        <v>45845</v>
      </c>
      <c r="L74" s="85"/>
    </row>
    <row r="75" spans="2:12" x14ac:dyDescent="0.2">
      <c r="B75" s="263" t="str">
        <f>Swaps!K19</f>
        <v>obj_0050c#0003</v>
      </c>
      <c r="C75" s="170" t="str">
        <f>_xll.qlRateHelperQuoteName(B75)</f>
        <v>USDAM3L12Y_Quote</v>
      </c>
      <c r="D75" s="169">
        <f>_xll.qlRateHelperQuoteValue($B75,Trigger)</f>
        <v>2.8739999999999998E-2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41827</v>
      </c>
      <c r="J75" s="166">
        <f>_xll.qlRateHelperLatestDate($B75,Trigger)</f>
        <v>46210</v>
      </c>
      <c r="L75" s="85"/>
    </row>
    <row r="76" spans="2:12" x14ac:dyDescent="0.2">
      <c r="B76" s="263" t="str">
        <f>Swaps!K20</f>
        <v>obj_00512#0003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41827</v>
      </c>
      <c r="J76" s="166">
        <f>_xll.qlRateHelperLatestDate($B76,Trigger)</f>
        <v>46575</v>
      </c>
      <c r="L76" s="85"/>
    </row>
    <row r="77" spans="2:12" x14ac:dyDescent="0.2">
      <c r="B77" s="263" t="str">
        <f>Swaps!K21</f>
        <v>obj_00515#0003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41827</v>
      </c>
      <c r="J77" s="166">
        <f>_xll.qlRateHelperLatestDate($B77,Trigger)</f>
        <v>46941</v>
      </c>
      <c r="L77" s="85"/>
    </row>
    <row r="78" spans="2:12" x14ac:dyDescent="0.2">
      <c r="B78" s="263" t="str">
        <f>Swaps!K22</f>
        <v>obj_00528#0003</v>
      </c>
      <c r="C78" s="170" t="str">
        <f>_xll.qlRateHelperQuoteName(B78)</f>
        <v>USDAM3L15Y_Quote</v>
      </c>
      <c r="D78" s="169">
        <f>_xll.qlRateHelperQuoteValue($B78,Trigger)</f>
        <v>3.074E-2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41827</v>
      </c>
      <c r="J78" s="166">
        <f>_xll.qlRateHelperLatestDate($B78,Trigger)</f>
        <v>47308</v>
      </c>
      <c r="L78" s="85"/>
    </row>
    <row r="79" spans="2:12" x14ac:dyDescent="0.2">
      <c r="B79" s="263" t="str">
        <f>Swaps!K23</f>
        <v>obj_00524#0003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41827</v>
      </c>
      <c r="J79" s="166">
        <f>_xll.qlRateHelperLatestDate($B79,Trigger)</f>
        <v>47672</v>
      </c>
      <c r="L79" s="85"/>
    </row>
    <row r="80" spans="2:12" x14ac:dyDescent="0.2">
      <c r="B80" s="263" t="str">
        <f>Swaps!K24</f>
        <v>obj_0050d#0003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41827</v>
      </c>
      <c r="J80" s="166">
        <f>_xll.qlRateHelperLatestDate($B80,Trigger)</f>
        <v>48036</v>
      </c>
      <c r="L80" s="85"/>
    </row>
    <row r="81" spans="2:12" x14ac:dyDescent="0.2">
      <c r="B81" s="263" t="str">
        <f>Swaps!K25</f>
        <v>obj_00527#0003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41827</v>
      </c>
      <c r="J81" s="166">
        <f>_xll.qlRateHelperLatestDate($B81,Trigger)</f>
        <v>48402</v>
      </c>
      <c r="L81" s="85"/>
    </row>
    <row r="82" spans="2:12" x14ac:dyDescent="0.2">
      <c r="B82" s="263" t="str">
        <f>Swaps!K26</f>
        <v>obj_00522#0003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41827</v>
      </c>
      <c r="J82" s="166">
        <f>_xll.qlRateHelperLatestDate($B82,Trigger)</f>
        <v>48767</v>
      </c>
      <c r="L82" s="85"/>
    </row>
    <row r="83" spans="2:12" x14ac:dyDescent="0.2">
      <c r="B83" s="263" t="str">
        <f>Swaps!K27</f>
        <v>obj_0052a#0003</v>
      </c>
      <c r="C83" s="170" t="str">
        <f>_xll.qlRateHelperQuoteName(B83)</f>
        <v>USDAM3L20Y_Quote</v>
      </c>
      <c r="D83" s="169">
        <f>_xll.qlRateHelperQuoteValue($B83,Trigger)</f>
        <v>3.2489999999999998E-2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41827</v>
      </c>
      <c r="J83" s="166">
        <f>_xll.qlRateHelperLatestDate($B83,Trigger)</f>
        <v>49132</v>
      </c>
      <c r="L83" s="85"/>
    </row>
    <row r="84" spans="2:12" x14ac:dyDescent="0.2">
      <c r="B84" s="263" t="str">
        <f>Swaps!K28</f>
        <v>obj_0051c#0003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41827</v>
      </c>
      <c r="J84" s="166">
        <f>_xll.qlRateHelperLatestDate($B84,Trigger)</f>
        <v>49499</v>
      </c>
      <c r="L84" s="85"/>
    </row>
    <row r="85" spans="2:12" x14ac:dyDescent="0.2">
      <c r="B85" s="263" t="str">
        <f>Swaps!K29</f>
        <v>obj_00521#0003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41827</v>
      </c>
      <c r="J85" s="166">
        <f>_xll.qlRateHelperLatestDate($B85,Trigger)</f>
        <v>49863</v>
      </c>
      <c r="L85" s="85"/>
    </row>
    <row r="86" spans="2:12" x14ac:dyDescent="0.2">
      <c r="B86" s="263" t="str">
        <f>Swaps!K30</f>
        <v>obj_0051b#0003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41827</v>
      </c>
      <c r="J86" s="166">
        <f>_xll.qlRateHelperLatestDate($B86,Trigger)</f>
        <v>50228</v>
      </c>
      <c r="L86" s="85"/>
    </row>
    <row r="87" spans="2:12" x14ac:dyDescent="0.2">
      <c r="B87" s="263" t="str">
        <f>Swaps!K31</f>
        <v>obj_00526#0003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41827</v>
      </c>
      <c r="J87" s="166">
        <f>_xll.qlRateHelperLatestDate($B87,Trigger)</f>
        <v>50593</v>
      </c>
      <c r="L87" s="85"/>
    </row>
    <row r="88" spans="2:12" x14ac:dyDescent="0.2">
      <c r="B88" s="263" t="str">
        <f>Swaps!K32</f>
        <v>obj_0052d#0003</v>
      </c>
      <c r="C88" s="170" t="str">
        <f>_xll.qlRateHelperQuoteName(B88)</f>
        <v>USDAM3L25Y_Quote</v>
      </c>
      <c r="D88" s="169">
        <f>_xll.qlRateHelperQuoteValue($B88,Trigger)</f>
        <v>3.3270000000000001E-2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41827</v>
      </c>
      <c r="J88" s="166">
        <f>_xll.qlRateHelperLatestDate($B88,Trigger)</f>
        <v>50958</v>
      </c>
      <c r="L88" s="85"/>
    </row>
    <row r="89" spans="2:12" x14ac:dyDescent="0.2">
      <c r="B89" s="263" t="str">
        <f>Swaps!K33</f>
        <v>obj_0051e#0003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41827</v>
      </c>
      <c r="J89" s="166">
        <f>_xll.qlRateHelperLatestDate($B89,Trigger)</f>
        <v>51326</v>
      </c>
      <c r="L89" s="85"/>
    </row>
    <row r="90" spans="2:12" x14ac:dyDescent="0.2">
      <c r="B90" s="263" t="str">
        <f>Swaps!K34</f>
        <v>obj_00529#0003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41827</v>
      </c>
      <c r="J90" s="166">
        <f>_xll.qlRateHelperLatestDate($B90,Trigger)</f>
        <v>51690</v>
      </c>
      <c r="L90" s="85"/>
    </row>
    <row r="91" spans="2:12" x14ac:dyDescent="0.2">
      <c r="B91" s="263" t="str">
        <f>Swaps!K35</f>
        <v>obj_0051f#0003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41827</v>
      </c>
      <c r="J91" s="166">
        <f>_xll.qlRateHelperLatestDate($B91,Trigger)</f>
        <v>52054</v>
      </c>
      <c r="L91" s="85"/>
    </row>
    <row r="92" spans="2:12" x14ac:dyDescent="0.2">
      <c r="B92" s="263" t="str">
        <f>Swaps!K36</f>
        <v>obj_00518#0003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41827</v>
      </c>
      <c r="J92" s="166">
        <f>_xll.qlRateHelperLatestDate($B92,Trigger)</f>
        <v>52419</v>
      </c>
      <c r="L92" s="85"/>
    </row>
    <row r="93" spans="2:12" x14ac:dyDescent="0.2">
      <c r="B93" s="263" t="str">
        <f>Swaps!K37</f>
        <v>obj_00520#0003</v>
      </c>
      <c r="C93" s="170" t="str">
        <f>_xll.qlRateHelperQuoteName(B93)</f>
        <v>USDAM3L30Y_Quote</v>
      </c>
      <c r="D93" s="169">
        <f>_xll.qlRateHelperQuoteValue($B93,Trigger)</f>
        <v>3.363E-2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41827</v>
      </c>
      <c r="J93" s="166">
        <f>_xll.qlRateHelperLatestDate($B93,Trigger)</f>
        <v>52785</v>
      </c>
      <c r="L93" s="85"/>
    </row>
    <row r="94" spans="2:12" x14ac:dyDescent="0.2">
      <c r="B94" s="263" t="str">
        <f>Swaps!K38</f>
        <v>obj_00514#0003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41827</v>
      </c>
      <c r="J94" s="166">
        <f>_xll.qlRateHelperLatestDate($B94,Trigger)</f>
        <v>54611</v>
      </c>
      <c r="L94" s="85"/>
    </row>
    <row r="95" spans="2:12" x14ac:dyDescent="0.2">
      <c r="B95" s="263" t="str">
        <f>Swaps!K39</f>
        <v>obj_0050e#0003</v>
      </c>
      <c r="C95" s="170" t="str">
        <f>_xll.qlRateHelperQuoteName(B95)</f>
        <v>USDAM3L40Y_Quote</v>
      </c>
      <c r="D95" s="169">
        <f>_xll.qlRateHelperQuoteValue($B95,Trigger)</f>
        <v>3.381E-2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41827</v>
      </c>
      <c r="J95" s="166">
        <f>_xll.qlRateHelperLatestDate($B95,Trigger)</f>
        <v>56437</v>
      </c>
      <c r="L95" s="85"/>
    </row>
    <row r="96" spans="2:12" x14ac:dyDescent="0.2">
      <c r="B96" s="263" t="str">
        <f>Swaps!K40</f>
        <v>obj_00519#0003</v>
      </c>
      <c r="C96" s="170" t="str">
        <f>_xll.qlRateHelperQuoteName(B96)</f>
        <v>USDAM3L50Y_Quote</v>
      </c>
      <c r="D96" s="169">
        <f>_xll.qlRateHelperQuoteValue($B96,Trigger)</f>
        <v>3.3620000000000004E-2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41827</v>
      </c>
      <c r="J96" s="166">
        <f>_xll.qlRateHelperLatestDate($B96,Trigger)</f>
        <v>60090</v>
      </c>
      <c r="L96" s="85"/>
    </row>
    <row r="97" spans="2:12" x14ac:dyDescent="0.2">
      <c r="B97" s="106" t="str">
        <f>Swaps!K41</f>
        <v>obj_0051a#0003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41827</v>
      </c>
      <c r="J97" s="161">
        <f>_xll.qlRateHelperLatestDate($B97,Trigger)</f>
        <v>63744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5" t="s">
        <v>59</v>
      </c>
      <c r="B1" s="266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obj_00506</v>
      </c>
      <c r="E2" s="66" t="str">
        <f>_xll.qlRateHelperQuoteName(D2)</f>
        <v>USDSWD_SYNTH3M_Quote</v>
      </c>
      <c r="F2" s="67">
        <f>_xll.qlRateHelperRate($D2)</f>
        <v>2.2629999999999998E-3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41827</v>
      </c>
      <c r="I2" s="77">
        <f>_xll.qlRateHelperLatestDate($D2)</f>
        <v>41834</v>
      </c>
      <c r="J2" s="63">
        <v>0.99995599915838129</v>
      </c>
      <c r="M2" s="68"/>
    </row>
    <row r="3" spans="1:13" x14ac:dyDescent="0.2">
      <c r="A3" s="69" t="s">
        <v>55</v>
      </c>
      <c r="B3" s="70">
        <v>1</v>
      </c>
      <c r="D3" s="66" t="str">
        <v>obj_004fe</v>
      </c>
      <c r="E3" s="66" t="str">
        <f>_xll.qlRateHelperQuoteName(D3)</f>
        <v>USD1MD_SYNTH3M_Quote</v>
      </c>
      <c r="F3" s="67">
        <f>_xll.qlRateHelperRate($D3)</f>
        <v>2.2790000000000002E-3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41827</v>
      </c>
      <c r="I3" s="77">
        <f>_xll.qlRateHelperLatestDate($D3)</f>
        <v>41858</v>
      </c>
      <c r="J3" s="63">
        <v>0.99980379128318586</v>
      </c>
      <c r="M3" s="68"/>
    </row>
    <row r="4" spans="1:13" x14ac:dyDescent="0.2">
      <c r="A4" s="69" t="s">
        <v>54</v>
      </c>
      <c r="B4" s="70">
        <v>2</v>
      </c>
      <c r="D4" s="66" t="str">
        <v>obj_0050b</v>
      </c>
      <c r="E4" s="66" t="str">
        <f>_xll.qlRateHelperQuoteName(D4)</f>
        <v>USD2MD_SYNTH3M_Quote</v>
      </c>
      <c r="F4" s="67">
        <f>_xll.qlRateHelperRate($D4)</f>
        <v>2.2820000000000002E-3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41827</v>
      </c>
      <c r="I4" s="77">
        <f>_xll.qlRateHelperLatestDate($D4)</f>
        <v>41890</v>
      </c>
      <c r="J4" s="63">
        <v>0.99960080941675777</v>
      </c>
      <c r="M4" s="68"/>
    </row>
    <row r="5" spans="1:13" x14ac:dyDescent="0.2">
      <c r="A5" s="69" t="s">
        <v>53</v>
      </c>
      <c r="B5" s="71" t="s">
        <v>52</v>
      </c>
      <c r="D5" s="66" t="str">
        <v>obj_00503</v>
      </c>
      <c r="E5" s="66" t="str">
        <f>_xll.qlRateHelperQuoteName(D5)</f>
        <v>USD3MD_SYNTH3M_Quote</v>
      </c>
      <c r="F5" s="67">
        <f>_xll.qlRateHelperRate($D5)</f>
        <v>2.2899999999999999E-3</v>
      </c>
      <c r="G5" s="67" t="str">
        <f>IF(ISERROR(_xll.qlSwapRateHelperSpread($D5)),IF(ISERROR(_xll.qlFuturesRateHelperConvexityAdjustment($D5)),"--",_xll.qlFuturesRateHelperConvexityAdjustment($D5)),_xll.qlSwapRateHelperSpread($D5))</f>
        <v>--</v>
      </c>
      <c r="H5" s="76">
        <f>_xll.qlRateHelperEarliestDate($D5)</f>
        <v>41827</v>
      </c>
      <c r="I5" s="77">
        <f>_xll.qlRateHelperLatestDate($D5)</f>
        <v>41919</v>
      </c>
      <c r="J5" s="63">
        <v>0.99941512006249156</v>
      </c>
      <c r="M5" s="68"/>
    </row>
    <row r="6" spans="1:13" x14ac:dyDescent="0.2">
      <c r="A6" s="159"/>
      <c r="B6" s="159"/>
      <c r="D6" s="66" t="str">
        <v>obj_00543</v>
      </c>
      <c r="E6" s="66" t="str">
        <f>_xll.qlRateHelperQuoteName(D6)</f>
        <v>USDFUT3MN4_Quote</v>
      </c>
      <c r="F6" s="67">
        <f>_xll.qlRateHelperRate($D6)</f>
        <v>2.3115438649390601E-3</v>
      </c>
      <c r="G6" s="67">
        <f>IF(ISERROR(_xll.qlSwapRateHelperSpread($D6)),IF(ISERROR(_xll.qlFuturesRateHelperConvexityAdjustment($D6)),"--",_xll.qlFuturesRateHelperConvexityAdjustment($D6)),_xll.qlSwapRateHelperSpread($D6))</f>
        <v>9.561350609903638E-7</v>
      </c>
      <c r="H6" s="76">
        <f>_xll.qlRateHelperEarliestDate($D6)</f>
        <v>41836</v>
      </c>
      <c r="I6" s="77">
        <f>_xll.qlRateHelperLatestDate($D6)</f>
        <v>41928</v>
      </c>
      <c r="J6" s="63">
        <v>0.99935304898578692</v>
      </c>
      <c r="M6" s="68"/>
    </row>
    <row r="7" spans="1:13" x14ac:dyDescent="0.2">
      <c r="A7" s="159"/>
      <c r="B7" s="159"/>
      <c r="D7" s="66" t="str">
        <v>obj_00539</v>
      </c>
      <c r="E7" s="66" t="str">
        <f>_xll.qlRateHelperQuoteName(D7)</f>
        <v>USDFUT3MU4_Quote</v>
      </c>
      <c r="F7" s="67">
        <f>_xll.qlRateHelperRate($D7)</f>
        <v>2.4181505399988742E-3</v>
      </c>
      <c r="G7" s="67">
        <f>IF(ISERROR(_xll.qlSwapRateHelperSpread($D7)),IF(ISERROR(_xll.qlFuturesRateHelperConvexityAdjustment($D7)),"--",_xll.qlFuturesRateHelperConvexityAdjustment($D7)),_xll.qlSwapRateHelperSpread($D7))</f>
        <v>6.8494600012472196E-6</v>
      </c>
      <c r="H7" s="76">
        <f>_xll.qlRateHelperEarliestDate($D7)</f>
        <v>41899</v>
      </c>
      <c r="I7" s="77">
        <f>_xll.qlRateHelperLatestDate($D7)</f>
        <v>41990</v>
      </c>
      <c r="J7" s="63">
        <v>0.99893390616588595</v>
      </c>
      <c r="M7" s="68"/>
    </row>
    <row r="8" spans="1:13" x14ac:dyDescent="0.2">
      <c r="A8" s="159"/>
      <c r="D8" s="66" t="str">
        <v>obj_0054c</v>
      </c>
      <c r="E8" s="66" t="str">
        <f>_xll.qlRateHelperQuoteName(D8)</f>
        <v>USDFUT3MZ4_Quote</v>
      </c>
      <c r="F8" s="67">
        <f>_xll.qlRateHelperRate($D8)</f>
        <v>2.8050546483234665E-3</v>
      </c>
      <c r="G8" s="67">
        <f>IF(ISERROR(_xll.qlSwapRateHelperSpread($D8)),IF(ISERROR(_xll.qlFuturesRateHelperConvexityAdjustment($D8)),"--",_xll.qlFuturesRateHelperConvexityAdjustment($D8)),_xll.qlSwapRateHelperSpread($D8))</f>
        <v>1.9945351676500122E-5</v>
      </c>
      <c r="H8" s="76">
        <f>_xll.qlRateHelperEarliestDate($D8)</f>
        <v>41990</v>
      </c>
      <c r="I8" s="77">
        <f>_xll.qlRateHelperLatestDate($D8)</f>
        <v>42080</v>
      </c>
      <c r="J8" s="63">
        <v>0.99823388101886945</v>
      </c>
      <c r="M8" s="68"/>
    </row>
    <row r="9" spans="1:13" x14ac:dyDescent="0.2">
      <c r="A9" s="159"/>
      <c r="D9" s="66" t="str">
        <v>obj_0053f</v>
      </c>
      <c r="E9" s="66" t="str">
        <f>_xll.qlRateHelperQuoteName(D9)</f>
        <v>USDFUT3MH5_Quote</v>
      </c>
      <c r="F9" s="67">
        <f>_xll.qlRateHelperRate($D9)</f>
        <v>3.7361311107127967E-3</v>
      </c>
      <c r="G9" s="67">
        <f>IF(ISERROR(_xll.qlSwapRateHelperSpread($D9)),IF(ISERROR(_xll.qlFuturesRateHelperConvexityAdjustment($D9)),"--",_xll.qlFuturesRateHelperConvexityAdjustment($D9)),_xll.qlSwapRateHelperSpread($D9))</f>
        <v>3.8868889287175882E-5</v>
      </c>
      <c r="H9" s="76">
        <f>_xll.qlRateHelperEarliestDate($D9)</f>
        <v>42081</v>
      </c>
      <c r="I9" s="77">
        <f>_xll.qlRateHelperLatestDate($D9)</f>
        <v>42173</v>
      </c>
      <c r="J9" s="63">
        <v>0.99727296524791564</v>
      </c>
      <c r="M9" s="68"/>
    </row>
    <row r="10" spans="1:13" x14ac:dyDescent="0.2">
      <c r="A10" s="159"/>
      <c r="D10" s="66" t="str">
        <v>obj_00548</v>
      </c>
      <c r="E10" s="66" t="str">
        <f>_xll.qlRateHelperQuoteName(D10)</f>
        <v>USDFUT3MM5_Quote</v>
      </c>
      <c r="F10" s="67">
        <f>_xll.qlRateHelperRate($D10)</f>
        <v>5.5121148678896545E-3</v>
      </c>
      <c r="G10" s="67">
        <f>IF(ISERROR(_xll.qlSwapRateHelperSpread($D10)),IF(ISERROR(_xll.qlFuturesRateHelperConvexityAdjustment($D10)),"--",_xll.qlFuturesRateHelperConvexityAdjustment($D10)),_xll.qlSwapRateHelperSpread($D10))</f>
        <v>6.2885132110342229E-5</v>
      </c>
      <c r="H10" s="76">
        <f>_xll.qlRateHelperEarliestDate($D10)</f>
        <v>42172</v>
      </c>
      <c r="I10" s="77">
        <f>_xll.qlRateHelperLatestDate($D10)</f>
        <v>42264</v>
      </c>
      <c r="J10" s="63">
        <v>0.99588256803827957</v>
      </c>
      <c r="M10" s="68"/>
    </row>
    <row r="11" spans="1:13" x14ac:dyDescent="0.2">
      <c r="D11" s="66" t="str">
        <v>obj_00559</v>
      </c>
      <c r="E11" s="66" t="str">
        <f>_xll.qlRateHelperQuoteName(D11)</f>
        <v>USDFUT3MU5_Quote</v>
      </c>
      <c r="F11" s="67">
        <f>_xll.qlRateHelperRate($D11)</f>
        <v>7.733178897759106E-3</v>
      </c>
      <c r="G11" s="67">
        <f>IF(ISERROR(_xll.qlSwapRateHelperSpread($D11)),IF(ISERROR(_xll.qlFuturesRateHelperConvexityAdjustment($D11)),"--",_xll.qlFuturesRateHelperConvexityAdjustment($D11)),_xll.qlSwapRateHelperSpread($D11))</f>
        <v>9.1821102240864511E-5</v>
      </c>
      <c r="H11" s="76">
        <f>_xll.qlRateHelperEarliestDate($D11)</f>
        <v>42263</v>
      </c>
      <c r="I11" s="77">
        <f>_xll.qlRateHelperLatestDate($D11)</f>
        <v>42354</v>
      </c>
      <c r="J11" s="63">
        <v>0.99395781000961547</v>
      </c>
      <c r="M11" s="68"/>
    </row>
    <row r="12" spans="1:13" x14ac:dyDescent="0.2">
      <c r="A12" s="72"/>
      <c r="D12" s="66" t="str">
        <v>obj_00544</v>
      </c>
      <c r="E12" s="66" t="str">
        <f>_xll.qlRateHelperQuoteName(D12)</f>
        <v>USDFUT3MZ5_Quote</v>
      </c>
      <c r="F12" s="67">
        <f>_xll.qlRateHelperRate($D12)</f>
        <v>1.0148908417349783E-2</v>
      </c>
      <c r="G12" s="67">
        <f>IF(ISERROR(_xll.qlSwapRateHelperSpread($D12)),IF(ISERROR(_xll.qlFuturesRateHelperConvexityAdjustment($D12)),"--",_xll.qlFuturesRateHelperConvexityAdjustment($D12)),_xll.qlSwapRateHelperSpread($D12))</f>
        <v>1.2609158265025093E-4</v>
      </c>
      <c r="H12" s="76">
        <f>_xll.qlRateHelperEarliestDate($D12)</f>
        <v>42354</v>
      </c>
      <c r="I12" s="77">
        <f>_xll.qlRateHelperLatestDate($D12)</f>
        <v>42445</v>
      </c>
      <c r="J12" s="63">
        <v>0.99141441710633882</v>
      </c>
      <c r="M12" s="68"/>
    </row>
    <row r="13" spans="1:13" x14ac:dyDescent="0.2">
      <c r="A13" s="72"/>
      <c r="D13" s="66" t="str">
        <v>obj_00550</v>
      </c>
      <c r="E13" s="66" t="str">
        <f>_xll.qlRateHelperQuoteName(D13)</f>
        <v>USDFUT3MH6_Quote</v>
      </c>
      <c r="F13" s="67">
        <f>_xll.qlRateHelperRate($D13)</f>
        <v>1.2809230031589616E-2</v>
      </c>
      <c r="G13" s="67">
        <f>IF(ISERROR(_xll.qlSwapRateHelperSpread($D13)),IF(ISERROR(_xll.qlFuturesRateHelperConvexityAdjustment($D13)),"--",_xll.qlFuturesRateHelperConvexityAdjustment($D13)),_xll.qlSwapRateHelperSpread($D13))</f>
        <v>1.6576996841034212E-4</v>
      </c>
      <c r="H13" s="76">
        <f>_xll.qlRateHelperEarliestDate($D13)</f>
        <v>42445</v>
      </c>
      <c r="I13" s="77">
        <f>_xll.qlRateHelperLatestDate($D13)</f>
        <v>42537</v>
      </c>
      <c r="J13" s="63">
        <v>0.98817964079939147</v>
      </c>
      <c r="M13" s="68"/>
    </row>
    <row r="14" spans="1:13" x14ac:dyDescent="0.2">
      <c r="D14" s="66" t="str">
        <v>obj_00541</v>
      </c>
      <c r="E14" s="66" t="str">
        <f>_xll.qlRateHelperQuoteName(D14)</f>
        <v>USDFUT3MM6_Quote</v>
      </c>
      <c r="F14" s="67">
        <f>_xll.qlRateHelperRate($D14)</f>
        <v>1.5565006631061504E-2</v>
      </c>
      <c r="G14" s="67">
        <f>IF(ISERROR(_xll.qlSwapRateHelperSpread($D14)),IF(ISERROR(_xll.qlFuturesRateHelperConvexityAdjustment($D14)),"--",_xll.qlFuturesRateHelperConvexityAdjustment($D14)),_xll.qlSwapRateHelperSpread($D14))</f>
        <v>2.0999336893847898E-4</v>
      </c>
      <c r="H14" s="76">
        <f>_xll.qlRateHelperEarliestDate($D14)</f>
        <v>42536</v>
      </c>
      <c r="I14" s="77">
        <f>_xll.qlRateHelperLatestDate($D14)</f>
        <v>42628</v>
      </c>
      <c r="J14" s="63">
        <v>0.98430343016026156</v>
      </c>
      <c r="M14" s="68"/>
    </row>
    <row r="15" spans="1:13" x14ac:dyDescent="0.2">
      <c r="D15" s="66" t="str">
        <v>obj_00517</v>
      </c>
      <c r="E15" s="66" t="str">
        <f>_xll.qlRateHelperQuoteName(D15)</f>
        <v>USDAM3L3Y_Quote</v>
      </c>
      <c r="F15" s="67">
        <f>_xll.qlRateHelperRate($D15)</f>
        <v>1.0489999999999999E-2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41827</v>
      </c>
      <c r="I15" s="77">
        <f>_xll.qlRateHelperLatestDate($D15)</f>
        <v>42923</v>
      </c>
      <c r="J15" s="63">
        <v>0.96857518225913697</v>
      </c>
      <c r="M15" s="68"/>
    </row>
    <row r="16" spans="1:13" x14ac:dyDescent="0.2">
      <c r="D16" s="66" t="str">
        <v>obj_00523</v>
      </c>
      <c r="E16" s="66" t="str">
        <f>_xll.qlRateHelperQuoteName(D16)</f>
        <v>USDAM3L4Y_Quote</v>
      </c>
      <c r="F16" s="67">
        <f>_xll.qlRateHelperRate($D16)</f>
        <v>1.4500000000000002E-2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41827</v>
      </c>
      <c r="I16" s="77">
        <f>_xll.qlRateHelperLatestDate($D16)</f>
        <v>43290</v>
      </c>
      <c r="J16" s="63">
        <v>0.94264693441459269</v>
      </c>
      <c r="M16" s="68"/>
    </row>
    <row r="17" spans="4:13" x14ac:dyDescent="0.2">
      <c r="D17" s="66" t="str">
        <v>obj_0052c</v>
      </c>
      <c r="E17" s="66" t="str">
        <f>_xll.qlRateHelperQuoteName(D17)</f>
        <v>USDAM3L5Y_Quote</v>
      </c>
      <c r="F17" s="67">
        <f>_xll.qlRateHelperRate($D17)</f>
        <v>1.77E-2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41827</v>
      </c>
      <c r="I17" s="77">
        <f>_xll.qlRateHelperLatestDate($D17)</f>
        <v>43654</v>
      </c>
      <c r="J17" s="63">
        <v>0.91366830177489555</v>
      </c>
      <c r="M17" s="68"/>
    </row>
    <row r="18" spans="4:13" x14ac:dyDescent="0.2">
      <c r="D18" s="66" t="str">
        <v>obj_0051d</v>
      </c>
      <c r="E18" s="66" t="str">
        <f>_xll.qlRateHelperQuoteName(D18)</f>
        <v>USDAM3L6Y_Quote</v>
      </c>
      <c r="F18" s="67">
        <f>_xll.qlRateHelperRate($D18)</f>
        <v>2.0289999999999999E-2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41827</v>
      </c>
      <c r="I18" s="77">
        <f>_xll.qlRateHelperLatestDate($D18)</f>
        <v>44019</v>
      </c>
      <c r="J18" s="63">
        <v>0.88291309282330377</v>
      </c>
      <c r="M18" s="68"/>
    </row>
    <row r="19" spans="4:13" x14ac:dyDescent="0.2">
      <c r="D19" s="66" t="str">
        <v>obj_00525</v>
      </c>
      <c r="E19" s="66" t="str">
        <f>_xll.qlRateHelperQuoteName(D19)</f>
        <v>USDAM3L7Y_Quote</v>
      </c>
      <c r="F19" s="67">
        <f>_xll.qlRateHelperRate($D19)</f>
        <v>2.2400000000000003E-2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41827</v>
      </c>
      <c r="I19" s="77">
        <f>_xll.qlRateHelperLatestDate($D19)</f>
        <v>44384</v>
      </c>
      <c r="J19" s="63">
        <v>0.85145056419394338</v>
      </c>
      <c r="M19" s="68"/>
    </row>
    <row r="20" spans="4:13" x14ac:dyDescent="0.2">
      <c r="D20" s="66" t="str">
        <v>obj_004fd</v>
      </c>
      <c r="E20" s="66" t="str">
        <f>_xll.qlRateHelperQuoteName(D20)</f>
        <v>USDAM3L8Y_Quote</v>
      </c>
      <c r="F20" s="67">
        <f>_xll.qlRateHelperRate($D20)</f>
        <v>2.4109999999999999E-2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41827</v>
      </c>
      <c r="I20" s="77">
        <f>_xll.qlRateHelperLatestDate($D20)</f>
        <v>44749</v>
      </c>
      <c r="J20" s="63">
        <v>0.82011925966828525</v>
      </c>
      <c r="M20" s="68"/>
    </row>
    <row r="21" spans="4:13" x14ac:dyDescent="0.2">
      <c r="D21" s="66" t="str">
        <v>obj_0050f</v>
      </c>
      <c r="E21" s="66" t="str">
        <f>_xll.qlRateHelperQuoteName(D21)</f>
        <v>USDAM3L9Y_Quote</v>
      </c>
      <c r="F21" s="67">
        <f>_xll.qlRateHelperRate($D21)</f>
        <v>2.5540000000000004E-2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41827</v>
      </c>
      <c r="I21" s="77">
        <f>_xll.qlRateHelperLatestDate($D21)</f>
        <v>45114</v>
      </c>
      <c r="J21" s="63">
        <v>0.78908298574763913</v>
      </c>
      <c r="M21" s="68"/>
    </row>
    <row r="22" spans="4:13" x14ac:dyDescent="0.2">
      <c r="D22" s="66" t="str">
        <v>obj_00516</v>
      </c>
      <c r="E22" s="66" t="str">
        <f>_xll.qlRateHelperQuoteName(D22)</f>
        <v>USDAM3L10Y_Quote</v>
      </c>
      <c r="F22" s="67">
        <f>_xll.qlRateHelperRate($D22)</f>
        <v>2.6749999999999999E-2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41827</v>
      </c>
      <c r="I22" s="77">
        <f>_xll.qlRateHelperLatestDate($D22)</f>
        <v>45481</v>
      </c>
      <c r="J22" s="63">
        <v>0.75847704678544348</v>
      </c>
      <c r="M22" s="68"/>
    </row>
    <row r="23" spans="4:13" x14ac:dyDescent="0.2">
      <c r="D23" s="66" t="str">
        <v>obj_0050c</v>
      </c>
      <c r="E23" s="66" t="str">
        <f>_xll.qlRateHelperQuoteName(D23)</f>
        <v>USDAM3L12Y_Quote</v>
      </c>
      <c r="F23" s="67">
        <f>_xll.qlRateHelperRate($D23)</f>
        <v>2.8739999999999998E-2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41827</v>
      </c>
      <c r="I23" s="77">
        <f>_xll.qlRateHelperLatestDate($D23)</f>
        <v>46210</v>
      </c>
      <c r="J23" s="63">
        <v>0.69912926465936653</v>
      </c>
      <c r="M23" s="68"/>
    </row>
    <row r="24" spans="4:13" x14ac:dyDescent="0.2">
      <c r="D24" s="66" t="str">
        <v>obj_00528</v>
      </c>
      <c r="E24" s="66" t="str">
        <f>_xll.qlRateHelperQuoteName(D24)</f>
        <v>USDAM3L15Y_Quote</v>
      </c>
      <c r="F24" s="67">
        <f>_xll.qlRateHelperRate($D24)</f>
        <v>3.074E-2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41827</v>
      </c>
      <c r="I24" s="77">
        <f>_xll.qlRateHelperLatestDate($D24)</f>
        <v>47308</v>
      </c>
      <c r="J24" s="63">
        <v>0.61803430129628023</v>
      </c>
      <c r="M24" s="68"/>
    </row>
    <row r="25" spans="4:13" x14ac:dyDescent="0.2">
      <c r="D25" s="66" t="str">
        <v>obj_0052a</v>
      </c>
      <c r="E25" s="66" t="str">
        <f>_xll.qlRateHelperQuoteName(D25)</f>
        <v>USDAM3L20Y_Quote</v>
      </c>
      <c r="F25" s="67">
        <f>_xll.qlRateHelperRate($D25)</f>
        <v>3.2489999999999998E-2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41827</v>
      </c>
      <c r="I25" s="77">
        <f>_xll.qlRateHelperLatestDate($D25)</f>
        <v>49132</v>
      </c>
      <c r="J25" s="63">
        <v>0.50627727932837219</v>
      </c>
      <c r="M25" s="68"/>
    </row>
    <row r="26" spans="4:13" x14ac:dyDescent="0.2">
      <c r="D26" s="66" t="str">
        <v>obj_0052d</v>
      </c>
      <c r="E26" s="66" t="str">
        <f>_xll.qlRateHelperQuoteName(D26)</f>
        <v>USDAM3L25Y_Quote</v>
      </c>
      <c r="F26" s="67">
        <f>_xll.qlRateHelperRate($D26)</f>
        <v>3.3270000000000001E-2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41827</v>
      </c>
      <c r="I26" s="77">
        <f>_xll.qlRateHelperLatestDate($D26)</f>
        <v>50958</v>
      </c>
      <c r="J26" s="63">
        <v>0.41838235931416207</v>
      </c>
      <c r="M26" s="68"/>
    </row>
    <row r="27" spans="4:13" x14ac:dyDescent="0.2">
      <c r="D27" s="66" t="str">
        <v>obj_00520</v>
      </c>
      <c r="E27" s="66" t="str">
        <f>_xll.qlRateHelperQuoteName(D27)</f>
        <v>USDAM3L30Y_Quote</v>
      </c>
      <c r="F27" s="67">
        <f>_xll.qlRateHelperRate($D27)</f>
        <v>3.363E-2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41827</v>
      </c>
      <c r="I27" s="77">
        <f>_xll.qlRateHelperLatestDate($D27)</f>
        <v>52785</v>
      </c>
      <c r="J27" s="63">
        <v>0.34820024405798594</v>
      </c>
      <c r="M27" s="68"/>
    </row>
    <row r="28" spans="4:13" x14ac:dyDescent="0.2">
      <c r="D28" s="66" t="str">
        <v>obj_0050e</v>
      </c>
      <c r="E28" s="66" t="str">
        <f>_xll.qlRateHelperQuoteName(D28)</f>
        <v>USDAM3L40Y_Quote</v>
      </c>
      <c r="F28" s="67">
        <f>_xll.qlRateHelperRate($D28)</f>
        <v>3.381E-2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41827</v>
      </c>
      <c r="I28" s="77">
        <f>_xll.qlRateHelperLatestDate($D28)</f>
        <v>56437</v>
      </c>
      <c r="J28" s="63">
        <v>0.24589396747306863</v>
      </c>
      <c r="M28" s="68"/>
    </row>
    <row r="29" spans="4:13" x14ac:dyDescent="0.2">
      <c r="D29" s="66" t="str">
        <v>obj_00519</v>
      </c>
      <c r="E29" s="66" t="str">
        <f>_xll.qlRateHelperQuoteName(D29)</f>
        <v>USDAM3L50Y_Quote</v>
      </c>
      <c r="F29" s="67">
        <f>_xll.qlRateHelperRate($D29)</f>
        <v>3.3620000000000004E-2</v>
      </c>
      <c r="G29" s="67">
        <f>IF(ISERROR(_xll.qlSwapRateHelperSpread($D29)),IF(ISERROR(_xll.qlFuturesRateHelperConvexityAdjustment($D29)),"--",_xll.qlFuturesRateHelperConvexityAdjustment($D29)),_xll.qlSwapRateHelperSpread($D29))</f>
        <v>0</v>
      </c>
      <c r="H29" s="76">
        <f>_xll.qlRateHelperEarliestDate($D29)</f>
        <v>41827</v>
      </c>
      <c r="I29" s="77">
        <f>_xll.qlRateHelperLatestDate($D29)</f>
        <v>60090</v>
      </c>
      <c r="J29" s="63">
        <v>0.17918249180695189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obj_004f7#0003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obj_00506#0003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obj_004f6#0003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obj_004fe#0003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obj_004f8#0003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obj_0050b#0003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obj_004f5#0003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obj_00503#0003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obj_004fc#0001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obj_00502#0001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obj_00500#0001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obj_00504#0001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obj_004fa#0001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obj_004ff#0001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N4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USDFUT3MN4_Quote</v>
      </c>
      <c r="G3" s="122" t="str">
        <f t="shared" ref="G3:G44" si="2">Currency&amp;"FUT"&amp;$F$1&amp;$D3&amp;"ConvAdj"&amp;QuoteSuffix</f>
        <v>USDFUT3MN4ConvAdj_Quote</v>
      </c>
      <c r="H3" s="123" t="str">
        <f>_xll.qlFuturesRateHelper(,$F3,$D3,$E3,$G3,Permanent,Trigger,ObjectOverwrite)</f>
        <v>obj_00543#0001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Q4</v>
      </c>
      <c r="E4" s="121" t="str">
        <f t="shared" si="0"/>
        <v>UsdLibor3M</v>
      </c>
      <c r="F4" s="122" t="str">
        <f t="shared" si="1"/>
        <v>USDFUT3MQ4_Quote</v>
      </c>
      <c r="G4" s="122" t="str">
        <f t="shared" si="2"/>
        <v>USDFUT3MQ4ConvAdj_Quote</v>
      </c>
      <c r="H4" s="127" t="str">
        <f>_xll.qlFuturesRateHelper(,$F4,$D4,$E4,$G4,Permanent,Trigger,ObjectOverwrite)</f>
        <v>obj_00555#0001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U4</v>
      </c>
      <c r="E5" s="121" t="str">
        <f t="shared" si="0"/>
        <v>UsdLibor3M</v>
      </c>
      <c r="F5" s="122" t="str">
        <f t="shared" si="1"/>
        <v>USDFUT3MU4_Quote</v>
      </c>
      <c r="G5" s="122" t="str">
        <f t="shared" si="2"/>
        <v>USDFUT3MU4ConvAdj_Quote</v>
      </c>
      <c r="H5" s="127" t="str">
        <f>_xll.qlFuturesRateHelper(,$F5,$D5,$E5,$G5,Permanent,Trigger,ObjectOverwrite)</f>
        <v>obj_00539#0001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V4</v>
      </c>
      <c r="E6" s="121" t="str">
        <f t="shared" si="0"/>
        <v>UsdLibor3M</v>
      </c>
      <c r="F6" s="122" t="str">
        <f t="shared" si="1"/>
        <v>USDFUT3MV4_Quote</v>
      </c>
      <c r="G6" s="122" t="str">
        <f t="shared" si="2"/>
        <v>USDFUT3MV4ConvAdj_Quote</v>
      </c>
      <c r="H6" s="127" t="str">
        <f>_xll.qlFuturesRateHelper(,$F6,$D6,$E6,$G6,Permanent,Trigger,ObjectOverwrite)</f>
        <v>obj_00542#0001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X4</v>
      </c>
      <c r="E7" s="121" t="str">
        <f t="shared" si="0"/>
        <v>UsdLibor3M</v>
      </c>
      <c r="F7" s="122" t="str">
        <f t="shared" si="1"/>
        <v>USDFUT3MX4_Quote</v>
      </c>
      <c r="G7" s="122" t="str">
        <f t="shared" si="2"/>
        <v>USDFUT3MX4ConvAdj_Quote</v>
      </c>
      <c r="H7" s="127" t="str">
        <f>_xll.qlFuturesRateHelper(,$F7,$D7,$E7,$G7,Permanent,Trigger,ObjectOverwrite)</f>
        <v>obj_00536#0001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Z4</v>
      </c>
      <c r="E8" s="121" t="str">
        <f t="shared" si="0"/>
        <v>UsdLibor3M</v>
      </c>
      <c r="F8" s="122" t="str">
        <f t="shared" si="1"/>
        <v>USDFUT3MZ4_Quote</v>
      </c>
      <c r="G8" s="122" t="str">
        <f t="shared" si="2"/>
        <v>USDFUT3MZ4ConvAdj_Quote</v>
      </c>
      <c r="H8" s="127" t="str">
        <f>_xll.qlFuturesRateHelper(,$F8,$D8,$E8,$G8,Permanent,Trigger,ObjectOverwrite)</f>
        <v>obj_0054c#0001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F5</v>
      </c>
      <c r="E9" s="121" t="str">
        <f t="shared" si="0"/>
        <v>UsdLibor3M</v>
      </c>
      <c r="F9" s="122" t="str">
        <f t="shared" si="1"/>
        <v>USDFUT3MF5_Quote</v>
      </c>
      <c r="G9" s="122" t="str">
        <f t="shared" si="2"/>
        <v>USDFUT3MF5ConvAdj_Quote</v>
      </c>
      <c r="H9" s="127" t="str">
        <f>_xll.qlFuturesRateHelper(,$F9,$D9,$E9,$G9,Permanent,Trigger,ObjectOverwrite)</f>
        <v>obj_00547#0001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G5</v>
      </c>
      <c r="E10" s="121" t="str">
        <f t="shared" si="0"/>
        <v>UsdLibor3M</v>
      </c>
      <c r="F10" s="122" t="str">
        <f t="shared" si="1"/>
        <v>USDFUT3MG5_Quote</v>
      </c>
      <c r="G10" s="122" t="str">
        <f t="shared" si="2"/>
        <v>USDFUT3MG5ConvAdj_Quote</v>
      </c>
      <c r="H10" s="127" t="str">
        <f>_xll.qlFuturesRateHelper(,$F10,$D10,$E10,$G10,Permanent,Trigger,ObjectOverwrite)</f>
        <v>obj_00537#0001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H5</v>
      </c>
      <c r="E11" s="121" t="str">
        <f t="shared" si="0"/>
        <v>UsdLibor3M</v>
      </c>
      <c r="F11" s="122" t="str">
        <f t="shared" si="1"/>
        <v>USDFUT3MH5_Quote</v>
      </c>
      <c r="G11" s="122" t="str">
        <f t="shared" si="2"/>
        <v>USDFUT3MH5ConvAdj_Quote</v>
      </c>
      <c r="H11" s="127" t="str">
        <f>_xll.qlFuturesRateHelper(,$F11,$D11,$E11,$G11,Permanent,Trigger,ObjectOverwrite)</f>
        <v>obj_0053f#0001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J5</v>
      </c>
      <c r="E12" s="121" t="str">
        <f t="shared" si="0"/>
        <v>UsdLibor3M</v>
      </c>
      <c r="F12" s="122" t="str">
        <f t="shared" si="1"/>
        <v>USDFUT3MJ5_Quote</v>
      </c>
      <c r="G12" s="122" t="str">
        <f t="shared" si="2"/>
        <v>USDFUT3MJ5ConvAdj_Quote</v>
      </c>
      <c r="H12" s="127" t="str">
        <f>_xll.qlFuturesRateHelper(,$F12,$D12,$E12,$G12,Permanent,Trigger,ObjectOverwrite)</f>
        <v>obj_00540#0001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K5</v>
      </c>
      <c r="E13" s="121" t="str">
        <f t="shared" si="0"/>
        <v>UsdLibor3M</v>
      </c>
      <c r="F13" s="122" t="str">
        <f t="shared" si="1"/>
        <v>USDFUT3MK5_Quote</v>
      </c>
      <c r="G13" s="122" t="str">
        <f t="shared" si="2"/>
        <v>USDFUT3MK5ConvAdj_Quote</v>
      </c>
      <c r="H13" s="127" t="str">
        <f>_xll.qlFuturesRateHelper(,$F13,$D13,$E13,$G13,Permanent,Trigger,ObjectOverwrite)</f>
        <v>obj_0053a#0001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M5</v>
      </c>
      <c r="E14" s="121" t="str">
        <f t="shared" si="0"/>
        <v>UsdLibor3M</v>
      </c>
      <c r="F14" s="122" t="str">
        <f t="shared" si="1"/>
        <v>USDFUT3MM5_Quote</v>
      </c>
      <c r="G14" s="122" t="str">
        <f t="shared" si="2"/>
        <v>USDFUT3MM5ConvAdj_Quote</v>
      </c>
      <c r="H14" s="127" t="str">
        <f>_xll.qlFuturesRateHelper(,$F14,$D14,$E14,$G14,Permanent,Trigger,ObjectOverwrite)</f>
        <v>obj_00548#0001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U5</v>
      </c>
      <c r="E15" s="121" t="str">
        <f t="shared" si="0"/>
        <v>UsdLibor3M</v>
      </c>
      <c r="F15" s="122" t="str">
        <f t="shared" si="1"/>
        <v>USDFUT3MU5_Quote</v>
      </c>
      <c r="G15" s="122" t="str">
        <f t="shared" si="2"/>
        <v>USDFUT3MU5ConvAdj_Quote</v>
      </c>
      <c r="H15" s="127" t="str">
        <f>_xll.qlFuturesRateHelper(,$F15,$D15,$E15,$G15,Permanent,Trigger,ObjectOverwrite)</f>
        <v>obj_00559#0001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Z5</v>
      </c>
      <c r="E16" s="121" t="str">
        <f t="shared" si="0"/>
        <v>UsdLibor3M</v>
      </c>
      <c r="F16" s="122" t="str">
        <f t="shared" si="1"/>
        <v>USDFUT3MZ5_Quote</v>
      </c>
      <c r="G16" s="122" t="str">
        <f t="shared" si="2"/>
        <v>USDFUT3MZ5ConvAdj_Quote</v>
      </c>
      <c r="H16" s="127" t="str">
        <f>_xll.qlFuturesRateHelper(,$F16,$D16,$E16,$G16,Permanent,Trigger,ObjectOverwrite)</f>
        <v>obj_00544#0001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H6</v>
      </c>
      <c r="E17" s="121" t="str">
        <f t="shared" si="0"/>
        <v>UsdLibor3M</v>
      </c>
      <c r="F17" s="122" t="str">
        <f t="shared" si="1"/>
        <v>USDFUT3MH6_Quote</v>
      </c>
      <c r="G17" s="122" t="str">
        <f t="shared" si="2"/>
        <v>USDFUT3MH6ConvAdj_Quote</v>
      </c>
      <c r="H17" s="127" t="str">
        <f>_xll.qlFuturesRateHelper(,$F17,$D17,$E17,$G17,Permanent,Trigger,ObjectOverwrite)</f>
        <v>obj_00550#0001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M6</v>
      </c>
      <c r="E18" s="121" t="str">
        <f t="shared" si="0"/>
        <v>UsdLibor3M</v>
      </c>
      <c r="F18" s="122" t="str">
        <f t="shared" si="1"/>
        <v>USDFUT3MM6_Quote</v>
      </c>
      <c r="G18" s="122" t="str">
        <f t="shared" si="2"/>
        <v>USDFUT3MM6ConvAdj_Quote</v>
      </c>
      <c r="H18" s="127" t="str">
        <f>_xll.qlFuturesRateHelper(,$F18,$D18,$E18,$G18,Permanent,Trigger,ObjectOverwrite)</f>
        <v>obj_00541#0001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U6</v>
      </c>
      <c r="E19" s="121" t="str">
        <f t="shared" si="0"/>
        <v>UsdLibor3M</v>
      </c>
      <c r="F19" s="122" t="str">
        <f t="shared" si="1"/>
        <v>USDFUT3MU6_Quote</v>
      </c>
      <c r="G19" s="122" t="str">
        <f t="shared" si="2"/>
        <v>USDFUT3MU6ConvAdj_Quote</v>
      </c>
      <c r="H19" s="127" t="str">
        <f>_xll.qlFuturesRateHelper(,$F19,$D19,$E19,$G19,Permanent,Trigger,ObjectOverwrite)</f>
        <v>obj_0053e#0001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Z6</v>
      </c>
      <c r="E20" s="121" t="str">
        <f t="shared" si="0"/>
        <v>UsdLibor3M</v>
      </c>
      <c r="F20" s="122" t="str">
        <f t="shared" si="1"/>
        <v>USDFUT3MZ6_Quote</v>
      </c>
      <c r="G20" s="122" t="str">
        <f t="shared" si="2"/>
        <v>USDFUT3MZ6ConvAdj_Quote</v>
      </c>
      <c r="H20" s="127" t="str">
        <f>_xll.qlFuturesRateHelper(,$F20,$D20,$E20,$G20,Permanent,Trigger,ObjectOverwrite)</f>
        <v>obj_00545#0001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H7</v>
      </c>
      <c r="E21" s="121" t="str">
        <f t="shared" si="0"/>
        <v>UsdLibor3M</v>
      </c>
      <c r="F21" s="122" t="str">
        <f t="shared" si="1"/>
        <v>USDFUT3MH7_Quote</v>
      </c>
      <c r="G21" s="122" t="str">
        <f t="shared" si="2"/>
        <v>USDFUT3MH7ConvAdj_Quote</v>
      </c>
      <c r="H21" s="127" t="str">
        <f>_xll.qlFuturesRateHelper(,$F21,$D21,$E21,$G21,Permanent,Trigger,ObjectOverwrite)</f>
        <v>obj_0054f#0001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M7</v>
      </c>
      <c r="E22" s="121" t="str">
        <f t="shared" si="0"/>
        <v>UsdLibor3M</v>
      </c>
      <c r="F22" s="122" t="str">
        <f t="shared" si="1"/>
        <v>USDFUT3MM7_Quote</v>
      </c>
      <c r="G22" s="122" t="str">
        <f t="shared" si="2"/>
        <v>USDFUT3MM7ConvAdj_Quote</v>
      </c>
      <c r="H22" s="127" t="str">
        <f>_xll.qlFuturesRateHelper(,$F22,$D22,$E22,$G22,Permanent,Trigger,ObjectOverwrite)</f>
        <v>obj_0053b#0001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U7</v>
      </c>
      <c r="E23" s="121" t="str">
        <f t="shared" si="0"/>
        <v>UsdLibor3M</v>
      </c>
      <c r="F23" s="122" t="str">
        <f t="shared" si="1"/>
        <v>USDFUT3MU7_Quote</v>
      </c>
      <c r="G23" s="122" t="str">
        <f t="shared" si="2"/>
        <v>USDFUT3MU7ConvAdj_Quote</v>
      </c>
      <c r="H23" s="127" t="str">
        <f>_xll.qlFuturesRateHelper(,$F23,$D23,$E23,$G23,Permanent,Trigger,ObjectOverwrite)</f>
        <v>obj_00558#0001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Z7</v>
      </c>
      <c r="E24" s="121" t="str">
        <f t="shared" si="0"/>
        <v>UsdLibor3M</v>
      </c>
      <c r="F24" s="122" t="str">
        <f t="shared" si="1"/>
        <v>USDFUT3MZ7_Quote</v>
      </c>
      <c r="G24" s="122" t="str">
        <f t="shared" si="2"/>
        <v>USDFUT3MZ7ConvAdj_Quote</v>
      </c>
      <c r="H24" s="127" t="str">
        <f>_xll.qlFuturesRateHelper(,$F24,$D24,$E24,$G24,Permanent,Trigger,ObjectOverwrite)</f>
        <v>obj_0054a#0001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H8</v>
      </c>
      <c r="E25" s="121" t="str">
        <f t="shared" si="0"/>
        <v>UsdLibor3M</v>
      </c>
      <c r="F25" s="122" t="str">
        <f t="shared" si="1"/>
        <v>USDFUT3MH8_Quote</v>
      </c>
      <c r="G25" s="122" t="str">
        <f t="shared" si="2"/>
        <v>USDFUT3MH8ConvAdj_Quote</v>
      </c>
      <c r="H25" s="127" t="str">
        <f>_xll.qlFuturesRateHelper(,$F25,$D25,$E25,$G25,Permanent,Trigger,ObjectOverwrite)</f>
        <v>obj_00538#0001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M8</v>
      </c>
      <c r="E26" s="121" t="str">
        <f t="shared" si="0"/>
        <v>UsdLibor3M</v>
      </c>
      <c r="F26" s="122" t="str">
        <f t="shared" si="1"/>
        <v>USDFUT3MM8_Quote</v>
      </c>
      <c r="G26" s="122" t="str">
        <f t="shared" si="2"/>
        <v>USDFUT3MM8ConvAdj_Quote</v>
      </c>
      <c r="H26" s="127" t="str">
        <f>_xll.qlFuturesRateHelper(,$F26,$D26,$E26,$G26,Permanent,Trigger,ObjectOverwrite)</f>
        <v>obj_00531#0001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U8</v>
      </c>
      <c r="E27" s="121" t="str">
        <f t="shared" si="0"/>
        <v>UsdLibor3M</v>
      </c>
      <c r="F27" s="122" t="str">
        <f t="shared" si="1"/>
        <v>USDFUT3MU8_Quote</v>
      </c>
      <c r="G27" s="122" t="str">
        <f t="shared" si="2"/>
        <v>USDFUT3MU8ConvAdj_Quote</v>
      </c>
      <c r="H27" s="127" t="str">
        <f>_xll.qlFuturesRateHelper(,$F27,$D27,$E27,$G27,Permanent,Trigger,ObjectOverwrite)</f>
        <v>obj_00554#0001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Z8</v>
      </c>
      <c r="E28" s="121" t="str">
        <f t="shared" si="0"/>
        <v>UsdLibor3M</v>
      </c>
      <c r="F28" s="122" t="str">
        <f t="shared" si="1"/>
        <v>USDFUT3MZ8_Quote</v>
      </c>
      <c r="G28" s="122" t="str">
        <f t="shared" si="2"/>
        <v>USDFUT3MZ8ConvAdj_Quote</v>
      </c>
      <c r="H28" s="127" t="str">
        <f>_xll.qlFuturesRateHelper(,$F28,$D28,$E28,$G28,Permanent,Trigger,ObjectOverwrite)</f>
        <v>obj_0054d#0001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H9</v>
      </c>
      <c r="E29" s="121" t="str">
        <f t="shared" si="0"/>
        <v>UsdLibor3M</v>
      </c>
      <c r="F29" s="122" t="str">
        <f t="shared" si="1"/>
        <v>USDFUT3MH9_Quote</v>
      </c>
      <c r="G29" s="122" t="str">
        <f t="shared" si="2"/>
        <v>USDFUT3MH9ConvAdj_Quote</v>
      </c>
      <c r="H29" s="127" t="str">
        <f>_xll.qlFuturesRateHelper(,$F29,$D29,$E29,$G29,Permanent,Trigger,ObjectOverwrite)</f>
        <v>obj_0054e#0001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M9</v>
      </c>
      <c r="E30" s="121" t="str">
        <f t="shared" si="0"/>
        <v>UsdLibor3M</v>
      </c>
      <c r="F30" s="122" t="str">
        <f t="shared" si="1"/>
        <v>USDFUT3MM9_Quote</v>
      </c>
      <c r="G30" s="122" t="str">
        <f t="shared" si="2"/>
        <v>USDFUT3MM9ConvAdj_Quote</v>
      </c>
      <c r="H30" s="127" t="str">
        <f>_xll.qlFuturesRateHelper(,$F30,$D30,$E30,$G30,Permanent,Trigger,ObjectOverwrite)</f>
        <v>obj_0053c#0001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U9</v>
      </c>
      <c r="E31" s="121" t="str">
        <f t="shared" si="0"/>
        <v>UsdLibor3M</v>
      </c>
      <c r="F31" s="122" t="str">
        <f t="shared" si="1"/>
        <v>USDFUT3MU9_Quote</v>
      </c>
      <c r="G31" s="122" t="str">
        <f t="shared" si="2"/>
        <v>USDFUT3MU9ConvAdj_Quote</v>
      </c>
      <c r="H31" s="127" t="str">
        <f>_xll.qlFuturesRateHelper(,$F31,$D31,$E31,$G31,Permanent,Trigger,ObjectOverwrite)</f>
        <v>obj_00530#0001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Z9</v>
      </c>
      <c r="E32" s="121" t="str">
        <f t="shared" si="0"/>
        <v>UsdLibor3M</v>
      </c>
      <c r="F32" s="122" t="str">
        <f t="shared" si="1"/>
        <v>USDFUT3MZ9_Quote</v>
      </c>
      <c r="G32" s="122" t="str">
        <f t="shared" si="2"/>
        <v>USDFUT3MZ9ConvAdj_Quote</v>
      </c>
      <c r="H32" s="127" t="str">
        <f>_xll.qlFuturesRateHelper(,$F32,$D32,$E32,$G32,Permanent,Trigger,ObjectOverwrite)</f>
        <v>obj_00533#0001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H0</v>
      </c>
      <c r="E33" s="121" t="str">
        <f t="shared" si="0"/>
        <v>UsdLibor3M</v>
      </c>
      <c r="F33" s="122" t="str">
        <f t="shared" si="1"/>
        <v>USDFUT3MH0_Quote</v>
      </c>
      <c r="G33" s="122" t="str">
        <f t="shared" si="2"/>
        <v>USDFUT3MH0ConvAdj_Quote</v>
      </c>
      <c r="H33" s="127" t="str">
        <f>_xll.qlFuturesRateHelper(,$F33,$D33,$E33,$G33,Permanent,Trigger,ObjectOverwrite)</f>
        <v>obj_00556#0001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M0</v>
      </c>
      <c r="E34" s="121" t="str">
        <f t="shared" si="0"/>
        <v>UsdLibor3M</v>
      </c>
      <c r="F34" s="122" t="str">
        <f t="shared" si="1"/>
        <v>USDFUT3MM0_Quote</v>
      </c>
      <c r="G34" s="122" t="str">
        <f t="shared" si="2"/>
        <v>USDFUT3MM0ConvAdj_Quote</v>
      </c>
      <c r="H34" s="127" t="str">
        <f>_xll.qlFuturesRateHelper(,$F34,$D34,$E34,$G34,Permanent,Trigger,ObjectOverwrite)</f>
        <v>obj_00553#0001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U0</v>
      </c>
      <c r="E35" s="121" t="str">
        <f t="shared" si="0"/>
        <v>UsdLibor3M</v>
      </c>
      <c r="F35" s="122" t="str">
        <f t="shared" si="1"/>
        <v>USDFUT3MU0_Quote</v>
      </c>
      <c r="G35" s="122" t="str">
        <f t="shared" si="2"/>
        <v>USDFUT3MU0ConvAdj_Quote</v>
      </c>
      <c r="H35" s="127" t="str">
        <f>_xll.qlFuturesRateHelper(,$F35,$D35,$E35,$G35,Permanent,Trigger,ObjectOverwrite)</f>
        <v>obj_00535#0001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Z0</v>
      </c>
      <c r="E36" s="121" t="str">
        <f t="shared" si="0"/>
        <v>UsdLibor3M</v>
      </c>
      <c r="F36" s="122" t="str">
        <f t="shared" si="1"/>
        <v>USDFUT3MZ0_Quote</v>
      </c>
      <c r="G36" s="122" t="str">
        <f t="shared" si="2"/>
        <v>USDFUT3MZ0ConvAdj_Quote</v>
      </c>
      <c r="H36" s="127" t="str">
        <f>_xll.qlFuturesRateHelper(,$F36,$D36,$E36,$G36,Permanent,Trigger,ObjectOverwrite)</f>
        <v>obj_00552#0001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H1</v>
      </c>
      <c r="E37" s="121" t="str">
        <f t="shared" si="0"/>
        <v>UsdLibor3M</v>
      </c>
      <c r="F37" s="122" t="str">
        <f t="shared" si="1"/>
        <v>USDFUT3MH1_Quote</v>
      </c>
      <c r="G37" s="122" t="str">
        <f t="shared" si="2"/>
        <v>USDFUT3MH1ConvAdj_Quote</v>
      </c>
      <c r="H37" s="127" t="str">
        <f>_xll.qlFuturesRateHelper(,$F37,$D37,$E37,$G37,Permanent,Trigger,ObjectOverwrite)</f>
        <v>obj_00549#0001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M1</v>
      </c>
      <c r="E38" s="121" t="str">
        <f t="shared" si="0"/>
        <v>UsdLibor3M</v>
      </c>
      <c r="F38" s="122" t="str">
        <f t="shared" si="1"/>
        <v>USDFUT3MM1_Quote</v>
      </c>
      <c r="G38" s="122" t="str">
        <f t="shared" si="2"/>
        <v>USDFUT3MM1ConvAdj_Quote</v>
      </c>
      <c r="H38" s="127" t="str">
        <f>_xll.qlFuturesRateHelper(,$F38,$D38,$E38,$G38,Permanent,Trigger,ObjectOverwrite)</f>
        <v>obj_00532#0001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U1</v>
      </c>
      <c r="E39" s="121" t="str">
        <f t="shared" si="0"/>
        <v>UsdLibor3M</v>
      </c>
      <c r="F39" s="122" t="str">
        <f t="shared" si="1"/>
        <v>USDFUT3MU1_Quote</v>
      </c>
      <c r="G39" s="122" t="str">
        <f t="shared" si="2"/>
        <v>USDFUT3MU1ConvAdj_Quote</v>
      </c>
      <c r="H39" s="127" t="str">
        <f>_xll.qlFuturesRateHelper(,$F39,$D39,$E39,$G39,Permanent,Trigger,ObjectOverwrite)</f>
        <v>obj_0054b#0001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Z1</v>
      </c>
      <c r="E40" s="121" t="str">
        <f t="shared" si="0"/>
        <v>UsdLibor3M</v>
      </c>
      <c r="F40" s="122" t="str">
        <f t="shared" si="1"/>
        <v>USDFUT3MZ1_Quote</v>
      </c>
      <c r="G40" s="122" t="str">
        <f t="shared" si="2"/>
        <v>USDFUT3MZ1ConvAdj_Quote</v>
      </c>
      <c r="H40" s="127" t="str">
        <f>_xll.qlFuturesRateHelper(,$F40,$D40,$E40,$G40,Permanent,Trigger,ObjectOverwrite)</f>
        <v>obj_00546#0001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H2</v>
      </c>
      <c r="E41" s="121" t="str">
        <f t="shared" si="0"/>
        <v>UsdLibor3M</v>
      </c>
      <c r="F41" s="122" t="str">
        <f t="shared" si="1"/>
        <v>USDFUT3MH2_Quote</v>
      </c>
      <c r="G41" s="122" t="str">
        <f t="shared" si="2"/>
        <v>USDFUT3MH2ConvAdj_Quote</v>
      </c>
      <c r="H41" s="127" t="str">
        <f>_xll.qlFuturesRateHelper(,$F41,$D41,$E41,$G41,Permanent,Trigger,ObjectOverwrite)</f>
        <v>obj_00534#0001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M2</v>
      </c>
      <c r="E42" s="121" t="str">
        <f t="shared" si="0"/>
        <v>UsdLibor3M</v>
      </c>
      <c r="F42" s="122" t="str">
        <f t="shared" si="1"/>
        <v>USDFUT3MM2_Quote</v>
      </c>
      <c r="G42" s="122" t="str">
        <f t="shared" si="2"/>
        <v>USDFUT3MM2ConvAdj_Quote</v>
      </c>
      <c r="H42" s="127" t="str">
        <f>_xll.qlFuturesRateHelper(,$F42,$D42,$E42,$G42,Permanent,Trigger,ObjectOverwrite)</f>
        <v>obj_00551#0001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U2</v>
      </c>
      <c r="E43" s="121" t="str">
        <f t="shared" si="0"/>
        <v>UsdLibor3M</v>
      </c>
      <c r="F43" s="122" t="str">
        <f t="shared" si="1"/>
        <v>USDFUT3MU2_Quote</v>
      </c>
      <c r="G43" s="122" t="str">
        <f t="shared" si="2"/>
        <v>USDFUT3MU2ConvAdj_Quote</v>
      </c>
      <c r="H43" s="127" t="str">
        <f>_xll.qlFuturesRateHelper(,$F43,$D43,$E43,$G43,Permanent,Trigger,ObjectOverwrite)</f>
        <v>obj_0053d#0001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Z2</v>
      </c>
      <c r="E44" s="121" t="str">
        <f t="shared" si="0"/>
        <v>UsdLibor3M</v>
      </c>
      <c r="F44" s="122" t="str">
        <f t="shared" si="1"/>
        <v>USDFUT3MZ2_Quote</v>
      </c>
      <c r="G44" s="122" t="str">
        <f t="shared" si="2"/>
        <v>USDFUT3MZ2ConvAdj_Quote</v>
      </c>
      <c r="H44" s="127" t="str">
        <f>_xll.qlFuturesRateHelper(,$F44,$D44,$E44,$G44,Permanent,Trigger,ObjectOverwrite)</f>
        <v>obj_00557#0001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obj_004f9#0001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obj_00510#0003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obj_0052b#0003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obj_00513#0003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obj_0052e#0003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obj_00511#0003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obj_00517#0003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obj_00523#0003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obj_0052c#0003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obj_0051d#0003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obj_00525#0003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obj_004fd#0003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obj_0050f#0003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obj_00516#0003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obj_0052f#0003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obj_0050c#0003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obj_00512#0003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obj_00515#0003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obj_00528#0003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obj_00524#0003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obj_0050d#0003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obj_00527#0003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obj_00522#0003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obj_0052a#0003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obj_0051c#0003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obj_00521#0003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obj_0051b#0003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obj_00526#0003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obj_0052d#0003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obj_0051e#0003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obj_00529#0003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obj_0051f#0003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obj_00518#0003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obj_00520#0003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obj_00514#0003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obj_0050e#0003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obj_00519#0003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obj_0051a#0003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obj_0050a#0003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obj_00505#0003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obj_00509#0003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obj_00508#0003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obj_00501#0003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obj_004fb#0003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obj_00507#0003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7" width="4" style="178" bestFit="1" customWidth="1"/>
    <col min="8" max="8" width="6" style="178" bestFit="1" customWidth="1"/>
    <col min="9" max="9" width="11" style="178" bestFit="1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41820</v>
      </c>
      <c r="D3" s="188">
        <v>12</v>
      </c>
      <c r="E3" s="226">
        <f t="shared" ref="E3:E16" si="0">EDATE($Y$19,$D3)</f>
        <v>42192</v>
      </c>
      <c r="F3" s="248">
        <f>IF(D3&lt;=12,1,IF(D3&lt;=24,3,IF(D3&lt;=120,6,IF(D3&lt;=240,12,IF(D3&lt;=360,36,60)))))</f>
        <v>1</v>
      </c>
      <c r="G3" s="249">
        <f>ROUNDDOWN(J3*10,2)/10</f>
        <v>2E-3</v>
      </c>
      <c r="H3" s="250">
        <f>IF(K3-J3&gt;1%,(QUOTIENT(K3*10000,50)+1)*0.5%,(QUOTIENT(K3*10000,10)+1)*0.1%)</f>
        <v>7.0000000000000001E-3</v>
      </c>
      <c r="I3" s="251">
        <f>IF(H3-G3&lt;0.5%,0.05%,IF(H3-G3&lt;1%,0.1%,IF(H3-G3&lt;2%,0.25%,0.5%)))</f>
        <v>1E-3</v>
      </c>
      <c r="J3" s="250">
        <f>MIN(_xll.ohPack($Z$19:INDEX($Z$19:$Z$3552,MATCH(E3+1,$Y$19:$Y$3552,1),1)))</f>
        <v>2.2900000000895516E-3</v>
      </c>
      <c r="K3" s="251">
        <f>MAX(_xll.ohPack($Z$19:INDEX($Z$19:$Z$3552,MATCH(E3+1,$Y$19:$Y$3552,1),1)))</f>
        <v>6.0034634157352836E-3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41820</v>
      </c>
      <c r="D4" s="188">
        <v>24</v>
      </c>
      <c r="E4" s="226">
        <f t="shared" si="0"/>
        <v>42558</v>
      </c>
      <c r="F4" s="248">
        <f t="shared" ref="F4:F16" si="1">IF(D4&lt;=12,1,IF(D4&lt;=24,3,IF(D4&lt;=120,6,IF(D4&lt;=240,12,IF(D4&lt;=360,36,60)))))</f>
        <v>3</v>
      </c>
      <c r="G4" s="249">
        <f t="shared" ref="G4:G16" si="2">ROUNDDOWN(J4*10,2)/10</f>
        <v>2E-3</v>
      </c>
      <c r="H4" s="250">
        <f t="shared" ref="H4:H16" si="3">IF(K4-J4&gt;1%,(QUOTIENT(K4*10000,50)+1)*0.5%,(QUOTIENT(K4*10000,10)+1)*0.1%)</f>
        <v>0.02</v>
      </c>
      <c r="I4" s="251">
        <f t="shared" ref="I4:I16" si="4">IF(H4-G4&lt;0.5%,0.05%,IF(H4-G4&lt;1%,0.1%,IF(H4-G4&lt;2%,0.25%,0.5%)))</f>
        <v>2.5000000000000001E-3</v>
      </c>
      <c r="J4" s="250">
        <f>MIN(_xll.ohPack($Z$19:INDEX($Z$19:$Z$3552,MATCH(E4+1,$Y$19:$Y$3552,1),1)))</f>
        <v>2.2900000000895516E-3</v>
      </c>
      <c r="K4" s="251">
        <f>MAX(_xll.ohPack($Z$19:INDEX($Z$19:$Z$3552,MATCH(E4+1,$Y$19:$Y$3552,1),1)))</f>
        <v>1.6159587848962337E-2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6">
        <f t="shared" si="0"/>
        <v>43653</v>
      </c>
      <c r="F5" s="248">
        <f t="shared" si="1"/>
        <v>6</v>
      </c>
      <c r="G5" s="249">
        <f t="shared" si="2"/>
        <v>2E-3</v>
      </c>
      <c r="H5" s="250">
        <f t="shared" si="3"/>
        <v>3.5000000000000003E-2</v>
      </c>
      <c r="I5" s="251">
        <f t="shared" si="4"/>
        <v>5.0000000000000001E-3</v>
      </c>
      <c r="J5" s="250">
        <f>MIN(_xll.ohPack($Z$19:INDEX($Z$19:$Z$3552,MATCH(E5+1,$Y$19:$Y$3552,1),1)))</f>
        <v>2.2900000000895516E-3</v>
      </c>
      <c r="K5" s="251">
        <f>MAX(_xll.ohPack($Z$19:INDEX($Z$19:$Z$3552,MATCH(E5+1,$Y$19:$Y$3552,1),1)))</f>
        <v>3.2939888050384482E-2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41820</v>
      </c>
      <c r="D6" s="188">
        <v>120</v>
      </c>
      <c r="E6" s="226">
        <f t="shared" si="0"/>
        <v>45480</v>
      </c>
      <c r="F6" s="248">
        <f t="shared" si="1"/>
        <v>6</v>
      </c>
      <c r="G6" s="249">
        <f t="shared" si="2"/>
        <v>2E-3</v>
      </c>
      <c r="H6" s="250">
        <f t="shared" si="3"/>
        <v>0.04</v>
      </c>
      <c r="I6" s="251">
        <f t="shared" si="4"/>
        <v>5.0000000000000001E-3</v>
      </c>
      <c r="J6" s="250">
        <f>MIN(_xll.ohPack($Z$19:INDEX($Z$19:$Z$3552,MATCH(E6+1,$Y$19:$Y$3552,1),1)))</f>
        <v>2.2900000000895516E-3</v>
      </c>
      <c r="K6" s="251">
        <f>MAX(_xll.ohPack($Z$19:INDEX($Z$19:$Z$3552,MATCH(E6+1,$Y$19:$Y$3552,1),1)))</f>
        <v>3.9709137232073803E-2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41639</v>
      </c>
      <c r="D7" s="188">
        <v>240</v>
      </c>
      <c r="E7" s="226">
        <f t="shared" si="0"/>
        <v>49132</v>
      </c>
      <c r="F7" s="248">
        <f t="shared" si="1"/>
        <v>12</v>
      </c>
      <c r="G7" s="249">
        <f t="shared" si="2"/>
        <v>2E-3</v>
      </c>
      <c r="H7" s="250">
        <f t="shared" si="3"/>
        <v>4.4999999999999998E-2</v>
      </c>
      <c r="I7" s="251">
        <f t="shared" si="4"/>
        <v>5.0000000000000001E-3</v>
      </c>
      <c r="J7" s="250">
        <f>MIN(_xll.ohPack($Z$19:INDEX($Z$19:$Z$3552,MATCH(E7+1,$Y$19:$Y$3552,1),1)))</f>
        <v>2.2900000000895516E-3</v>
      </c>
      <c r="K7" s="251">
        <f>MAX(_xll.ohPack($Z$19:INDEX($Z$19:$Z$3552,MATCH(E7+1,$Y$19:$Y$3552,1),1)))</f>
        <v>4.0851811190276026E-2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41639</v>
      </c>
      <c r="D8" s="188">
        <v>360</v>
      </c>
      <c r="E8" s="226">
        <f t="shared" si="0"/>
        <v>52785</v>
      </c>
      <c r="F8" s="248">
        <f t="shared" si="1"/>
        <v>36</v>
      </c>
      <c r="G8" s="249">
        <f t="shared" si="2"/>
        <v>2E-3</v>
      </c>
      <c r="H8" s="250">
        <f t="shared" si="3"/>
        <v>4.4999999999999998E-2</v>
      </c>
      <c r="I8" s="251">
        <f t="shared" si="4"/>
        <v>5.0000000000000001E-3</v>
      </c>
      <c r="J8" s="250">
        <f>MIN(_xll.ohPack($Z$19:INDEX($Z$19:$Z$3552,MATCH(E8+1,$Y$19:$Y$3552,1),1)))</f>
        <v>2.2900000000895516E-3</v>
      </c>
      <c r="K8" s="251">
        <f>MAX(_xll.ohPack($Z$19:INDEX($Z$19:$Z$3552,MATCH(E8+1,$Y$19:$Y$3552,1),1)))</f>
        <v>4.0851811190276026E-2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41639</v>
      </c>
      <c r="D9" s="188">
        <f>60*12</f>
        <v>720</v>
      </c>
      <c r="E9" s="226">
        <f t="shared" si="0"/>
        <v>63742</v>
      </c>
      <c r="F9" s="248">
        <f t="shared" si="1"/>
        <v>60</v>
      </c>
      <c r="G9" s="249">
        <f t="shared" si="2"/>
        <v>2E-3</v>
      </c>
      <c r="H9" s="250">
        <f t="shared" si="3"/>
        <v>4.4999999999999998E-2</v>
      </c>
      <c r="I9" s="251">
        <f t="shared" si="4"/>
        <v>5.0000000000000001E-3</v>
      </c>
      <c r="J9" s="250">
        <f>MIN(_xll.ohPack($Z$19:INDEX($Z$19:$Z$3552,MATCH(E9+1,$Y$19:$Y$3552,1),1)))</f>
        <v>2.2900000000895516E-3</v>
      </c>
      <c r="K9" s="251">
        <f>MAX(_xll.ohPack($Z$19:INDEX($Z$19:$Z$3552,MATCH(E9+1,$Y$19:$Y$3552,1),1)))</f>
        <v>4.0851811190276026E-2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41820</v>
      </c>
      <c r="D10" s="237">
        <v>12</v>
      </c>
      <c r="E10" s="236">
        <f t="shared" si="0"/>
        <v>42192</v>
      </c>
      <c r="F10" s="252">
        <f t="shared" si="1"/>
        <v>1</v>
      </c>
      <c r="G10" s="253">
        <f t="shared" si="2"/>
        <v>2E-3</v>
      </c>
      <c r="H10" s="254">
        <f t="shared" si="3"/>
        <v>6.0000000000000001E-3</v>
      </c>
      <c r="I10" s="255">
        <f t="shared" si="4"/>
        <v>5.0000000000000001E-4</v>
      </c>
      <c r="J10" s="254">
        <f>MIN(_xll.ohPack($AA$19:INDEX($AA$19:$AA$3552,MATCH(E10+1,$Y$19:$Y$3552,1),1)))</f>
        <v>2.2510684912901979E-3</v>
      </c>
      <c r="K10" s="255">
        <f>MAX(_xll.ohPack($AA$19:INDEX($AA$19:$AA$3552,MATCH(E10+1,$Y$19:$Y$3552,1),1)))</f>
        <v>5.0101880937614141E-3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41820</v>
      </c>
      <c r="D11" s="188">
        <v>24</v>
      </c>
      <c r="E11" s="226">
        <f t="shared" si="0"/>
        <v>42558</v>
      </c>
      <c r="F11" s="248">
        <f t="shared" si="1"/>
        <v>3</v>
      </c>
      <c r="G11" s="249">
        <f t="shared" si="2"/>
        <v>2E-3</v>
      </c>
      <c r="H11" s="250">
        <f t="shared" si="3"/>
        <v>0.02</v>
      </c>
      <c r="I11" s="251">
        <f t="shared" si="4"/>
        <v>2.5000000000000001E-3</v>
      </c>
      <c r="J11" s="250">
        <f>MIN(_xll.ohPack($AA$19:INDEX($AA$19:$AA$3552,MATCH(E11+1,$Y$19:$Y$3552,1),1)))</f>
        <v>2.2510684912901979E-3</v>
      </c>
      <c r="K11" s="251">
        <f>MAX(_xll.ohPack($AA$19:INDEX($AA$19:$AA$3552,MATCH(E11+1,$Y$19:$Y$3552,1),1)))</f>
        <v>1.508210183247094E-2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41820</v>
      </c>
      <c r="D12" s="188">
        <v>60</v>
      </c>
      <c r="E12" s="226">
        <f t="shared" si="0"/>
        <v>43653</v>
      </c>
      <c r="F12" s="248">
        <f t="shared" si="1"/>
        <v>6</v>
      </c>
      <c r="G12" s="249">
        <f t="shared" si="2"/>
        <v>2E-3</v>
      </c>
      <c r="H12" s="250">
        <f t="shared" si="3"/>
        <v>3.5000000000000003E-2</v>
      </c>
      <c r="I12" s="251">
        <f t="shared" si="4"/>
        <v>5.0000000000000001E-3</v>
      </c>
      <c r="J12" s="250">
        <f>MIN(_xll.ohPack($AA$19:INDEX($AA$19:$AA$3552,MATCH(E12+1,$Y$19:$Y$3552,1),1)))</f>
        <v>2.2510684912901979E-3</v>
      </c>
      <c r="K12" s="251">
        <f>MAX(_xll.ohPack($AA$19:INDEX($AA$19:$AA$3552,MATCH(E12+1,$Y$19:$Y$3552,1),1)))</f>
        <v>3.2456964961680157E-2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41820</v>
      </c>
      <c r="D13" s="188">
        <v>120</v>
      </c>
      <c r="E13" s="226">
        <f t="shared" si="0"/>
        <v>45480</v>
      </c>
      <c r="F13" s="248">
        <f t="shared" si="1"/>
        <v>6</v>
      </c>
      <c r="G13" s="249">
        <f t="shared" si="2"/>
        <v>2E-3</v>
      </c>
      <c r="H13" s="250">
        <f t="shared" si="3"/>
        <v>0.04</v>
      </c>
      <c r="I13" s="251">
        <f t="shared" si="4"/>
        <v>5.0000000000000001E-3</v>
      </c>
      <c r="J13" s="250">
        <f>MIN(_xll.ohPack($AA$19:INDEX($AA$19:$AA$3552,MATCH(E13+1,$Y$19:$Y$3552,1),1)))</f>
        <v>2.2510684912901979E-3</v>
      </c>
      <c r="K13" s="251">
        <f>MAX(_xll.ohPack($AA$19:INDEX($AA$19:$AA$3552,MATCH(E13+1,$Y$19:$Y$3552,1),1)))</f>
        <v>3.9353583059167363E-2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41639</v>
      </c>
      <c r="D14" s="188">
        <v>240</v>
      </c>
      <c r="E14" s="226">
        <f t="shared" si="0"/>
        <v>49132</v>
      </c>
      <c r="F14" s="248">
        <f t="shared" si="1"/>
        <v>12</v>
      </c>
      <c r="G14" s="249">
        <f t="shared" si="2"/>
        <v>2E-3</v>
      </c>
      <c r="H14" s="250">
        <f t="shared" si="3"/>
        <v>4.4999999999999998E-2</v>
      </c>
      <c r="I14" s="251">
        <f t="shared" si="4"/>
        <v>5.0000000000000001E-3</v>
      </c>
      <c r="J14" s="250">
        <f>MIN(_xll.ohPack($AA$19:INDEX($AA$19:$AA$3552,MATCH(E14+1,$Y$19:$Y$3552,1),1)))</f>
        <v>2.2510684912901979E-3</v>
      </c>
      <c r="K14" s="251">
        <f>MAX(_xll.ohPack($AA$19:INDEX($AA$19:$AA$3552,MATCH(E14+1,$Y$19:$Y$3552,1),1)))</f>
        <v>4.0644835553935721E-2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41639</v>
      </c>
      <c r="D15" s="188">
        <v>360</v>
      </c>
      <c r="E15" s="226">
        <f t="shared" si="0"/>
        <v>52785</v>
      </c>
      <c r="F15" s="248">
        <f t="shared" si="1"/>
        <v>36</v>
      </c>
      <c r="G15" s="249">
        <f t="shared" si="2"/>
        <v>2E-3</v>
      </c>
      <c r="H15" s="250">
        <f t="shared" si="3"/>
        <v>4.4999999999999998E-2</v>
      </c>
      <c r="I15" s="251">
        <f t="shared" si="4"/>
        <v>5.0000000000000001E-3</v>
      </c>
      <c r="J15" s="250">
        <f>MIN(_xll.ohPack($AA$19:INDEX($AA$19:$AA$3552,MATCH(E15+1,$Y$19:$Y$3552,1),1)))</f>
        <v>2.2510684912901979E-3</v>
      </c>
      <c r="K15" s="251">
        <f>MAX(_xll.ohPack($AA$19:INDEX($AA$19:$AA$3552,MATCH(E15+1,$Y$19:$Y$3552,1),1)))</f>
        <v>4.0644835553935721E-2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41639</v>
      </c>
      <c r="D16" s="188">
        <v>720</v>
      </c>
      <c r="E16" s="226">
        <f t="shared" si="0"/>
        <v>63742</v>
      </c>
      <c r="F16" s="248">
        <f t="shared" si="1"/>
        <v>60</v>
      </c>
      <c r="G16" s="249">
        <f t="shared" si="2"/>
        <v>2E-3</v>
      </c>
      <c r="H16" s="250">
        <f t="shared" si="3"/>
        <v>4.4999999999999998E-2</v>
      </c>
      <c r="I16" s="251">
        <f t="shared" si="4"/>
        <v>5.0000000000000001E-3</v>
      </c>
      <c r="J16" s="250">
        <f>MIN(_xll.ohPack($AA$19:INDEX($AA$19:$AA$3552,MATCH(E16+1,$Y$19:$Y$3552,1),1)))</f>
        <v>2.2510684912901979E-3</v>
      </c>
      <c r="K16" s="251">
        <f>MAX(_xll.ohPack($AA$19:INDEX($AA$19:$AA$3552,MATCH(E16+1,$Y$19:$Y$3552,1),1)))</f>
        <v>4.0644835553935721E-2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str">
        <f>_xll.qlLibor(,Currency,IndexTenor,YieldCurve,,YieldCurve)</f>
        <v>obj_0055b#0003</v>
      </c>
      <c r="AA17" s="194" t="str">
        <f>_xll.qlOvernightIndex(,FamilyName,NDays,Currency,Calendar,MoneyMarketDayCounter,YieldCurve,,YieldCurve)</f>
        <v>obj_00564#0003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obj_004fc#0001</v>
      </c>
      <c r="N19" s="201" t="str">
        <f>_xll.qlRateHelperQuoteName(M19)</f>
        <v>USD1x4F_Quote</v>
      </c>
      <c r="O19" s="199">
        <f>_xll.qlRateHelperEarliestDate(M19)</f>
        <v>41855</v>
      </c>
      <c r="P19" s="214">
        <f>_xll.qlRateHelperQuoteValue(M19,"ohTrigger(Trigger,RecalcTrigger))")</f>
        <v>2.33E-3</v>
      </c>
      <c r="Q19" s="211" t="e">
        <f>NA()</f>
        <v>#N/A</v>
      </c>
      <c r="R19" s="199">
        <f>_xll.qlInterestRateIndexFixingDate(IborIndex,O19)</f>
        <v>41851</v>
      </c>
      <c r="S19" s="214">
        <f>_xll.qlIndexFixing(IborIndex,R19,TRUE,RecalcTrigger)</f>
        <v>2.3457236919590388E-3</v>
      </c>
      <c r="T19" s="231">
        <f t="shared" ref="T19:T24" si="6">S19-P19</f>
        <v>1.5723691959038718E-5</v>
      </c>
      <c r="U19" s="215">
        <f t="array" ref="U19">MAX(ABS(T19:T24))</f>
        <v>4.5933356362094519E-5</v>
      </c>
      <c r="V19" s="193"/>
      <c r="W19" s="201" t="s">
        <v>158</v>
      </c>
      <c r="X19" s="202">
        <f>_xll.qlSettingsEvaluationDate(Trigger)</f>
        <v>41822</v>
      </c>
      <c r="Y19" s="202">
        <f>_xll.qlInterestRateIndexValueDate(IborIndex,X19,Trigger)</f>
        <v>41827</v>
      </c>
      <c r="Z19" s="203">
        <f t="array" ref="Z19:Z3552">IFERROR(_xll.qlIndexFixing(IborIndex,X19:X3552,TRUE,RecalcTrigger),NA())</f>
        <v>2.2900000000895516E-3</v>
      </c>
      <c r="AA19" s="200">
        <f t="array" ref="AA19:AA3552">IFERROR(_xll.qlIndexFixing(OverNightIndex,Y19:Y3552,TRUE,RecalcTrigger),NA())</f>
        <v>2.261670415588668E-3</v>
      </c>
    </row>
    <row r="20" spans="1:27" ht="12" thickBot="1" x14ac:dyDescent="0.25">
      <c r="J20" s="181"/>
      <c r="M20" s="201" t="str">
        <v>obj_00502#0001</v>
      </c>
      <c r="N20" s="201" t="str">
        <f>_xll.qlRateHelperQuoteName(M20)</f>
        <v>USD2x5F_Quote</v>
      </c>
      <c r="O20" s="199">
        <f>_xll.qlRateHelperEarliestDate(M20)</f>
        <v>41886</v>
      </c>
      <c r="P20" s="214">
        <f>_xll.qlRateHelperQuoteValue(M20,"ohTrigger(Trigger,RecalcTrigger))")</f>
        <v>2.3899999999999998E-3</v>
      </c>
      <c r="Q20" s="211" t="e">
        <f>NA()</f>
        <v>#N/A</v>
      </c>
      <c r="R20" s="199">
        <f>_xll.qlInterestRateIndexFixingDate(IborIndex,O20)</f>
        <v>41884</v>
      </c>
      <c r="S20" s="214">
        <f>_xll.qlIndexFixing(IborIndex,R20,TRUE,RecalcTrigger)</f>
        <v>2.3879757947025322E-3</v>
      </c>
      <c r="T20" s="231">
        <f t="shared" si="6"/>
        <v>-2.0242052974676038E-6</v>
      </c>
      <c r="W20" s="201" t="str">
        <f>W19</f>
        <v>1D</v>
      </c>
      <c r="X20" s="199">
        <f>_xll.qlCalendarAdvance(LiborCalendar,X19,W20,"f",FALSE)</f>
        <v>41823</v>
      </c>
      <c r="Y20" s="202">
        <f>_xll.qlInterestRateIndexValueDate(IborIndex,X20,Trigger)</f>
        <v>41827</v>
      </c>
      <c r="Z20" s="203">
        <v>2.2900000000895516E-3</v>
      </c>
      <c r="AA20" s="200">
        <v>2.261670415588668E-3</v>
      </c>
    </row>
    <row r="21" spans="1:27" x14ac:dyDescent="0.2">
      <c r="M21" s="201" t="str">
        <v>obj_00500#0001</v>
      </c>
      <c r="N21" s="201" t="str">
        <f>_xll.qlRateHelperQuoteName(M21)</f>
        <v>USD3x6F_Quote</v>
      </c>
      <c r="O21" s="199">
        <f>_xll.qlRateHelperEarliestDate(M21)</f>
        <v>41918</v>
      </c>
      <c r="P21" s="214">
        <f>_xll.qlRateHelperQuoteValue(M21,"ohTrigger(Trigger,RecalcTrigger))")</f>
        <v>2.4399999999999999E-3</v>
      </c>
      <c r="Q21" s="211" t="e">
        <f>NA()</f>
        <v>#N/A</v>
      </c>
      <c r="R21" s="199">
        <f>_xll.qlInterestRateIndexFixingDate(IborIndex,O21)</f>
        <v>41914</v>
      </c>
      <c r="S21" s="214">
        <f>_xll.qlIndexFixing(IborIndex,R21,TRUE,RecalcTrigger)</f>
        <v>2.4686833606042502E-3</v>
      </c>
      <c r="T21" s="231">
        <f t="shared" si="6"/>
        <v>2.8683360604250287E-5</v>
      </c>
      <c r="W21" s="201" t="str">
        <f t="shared" ref="W21:W84" si="7">W20</f>
        <v>1D</v>
      </c>
      <c r="X21" s="199">
        <f>_xll.qlCalendarAdvance(LiborCalendar,X20,W21,"f",FALSE)</f>
        <v>41824</v>
      </c>
      <c r="Y21" s="202">
        <f>_xll.qlInterestRateIndexValueDate(IborIndex,X21,Trigger)</f>
        <v>41828</v>
      </c>
      <c r="Z21" s="203">
        <v>2.2920888670011682E-3</v>
      </c>
      <c r="AA21" s="200">
        <v>2.2624425610562326E-3</v>
      </c>
    </row>
    <row r="22" spans="1:27" x14ac:dyDescent="0.2">
      <c r="M22" s="201" t="str">
        <v>obj_00504#0001</v>
      </c>
      <c r="N22" s="201" t="str">
        <f>_xll.qlRateHelperQuoteName(M22)</f>
        <v>USD4x7F_Quote</v>
      </c>
      <c r="O22" s="199">
        <f>_xll.qlRateHelperEarliestDate(M22)</f>
        <v>41947</v>
      </c>
      <c r="P22" s="214">
        <f>_xll.qlRateHelperQuoteValue(M22,"ohTrigger(Trigger,RecalcTrigger))")</f>
        <v>2.5700000000000002E-3</v>
      </c>
      <c r="Q22" s="211" t="e">
        <f>NA()</f>
        <v>#N/A</v>
      </c>
      <c r="R22" s="199">
        <f>_xll.qlInterestRateIndexFixingDate(IborIndex,O22)</f>
        <v>41943</v>
      </c>
      <c r="S22" s="214">
        <f>_xll.qlIndexFixing(IborIndex,R22,TRUE,RecalcTrigger)</f>
        <v>2.5515897961140822E-3</v>
      </c>
      <c r="T22" s="231">
        <f t="shared" si="6"/>
        <v>-1.8410203885918085E-5</v>
      </c>
      <c r="W22" s="201" t="str">
        <f t="shared" si="7"/>
        <v>1D</v>
      </c>
      <c r="X22" s="199">
        <f>_xll.qlCalendarAdvance(LiborCalendar,X21,W22,"f",FALSE)</f>
        <v>41827</v>
      </c>
      <c r="Y22" s="202">
        <f>_xll.qlInterestRateIndexValueDate(IborIndex,X22,Trigger)</f>
        <v>41829</v>
      </c>
      <c r="Z22" s="203">
        <v>2.2943208278364512E-3</v>
      </c>
      <c r="AA22" s="200">
        <v>2.2648590402862823E-3</v>
      </c>
    </row>
    <row r="23" spans="1:27" x14ac:dyDescent="0.2">
      <c r="M23" s="201" t="str">
        <v>obj_004fa#0001</v>
      </c>
      <c r="N23" s="201" t="str">
        <f>_xll.qlRateHelperQuoteName(M23)</f>
        <v>USD5x8F_Quote</v>
      </c>
      <c r="O23" s="199">
        <f>_xll.qlRateHelperEarliestDate(M23)</f>
        <v>41977</v>
      </c>
      <c r="P23" s="214">
        <f>_xll.qlRateHelperQuoteValue(M23,"ohTrigger(Trigger,RecalcTrigger))")</f>
        <v>2.7000000000000001E-3</v>
      </c>
      <c r="Q23" s="211" t="e">
        <f>NA()</f>
        <v>#N/A</v>
      </c>
      <c r="R23" s="199">
        <f>_xll.qlInterestRateIndexFixingDate(IborIndex,O23)</f>
        <v>41975</v>
      </c>
      <c r="S23" s="214">
        <f>_xll.qlIndexFixing(IborIndex,R23,TRUE,RecalcTrigger)</f>
        <v>2.714891761404381E-3</v>
      </c>
      <c r="T23" s="231">
        <f t="shared" si="6"/>
        <v>1.48917614043809E-5</v>
      </c>
      <c r="W23" s="201" t="str">
        <f t="shared" si="7"/>
        <v>1D</v>
      </c>
      <c r="X23" s="199">
        <f>_xll.qlCalendarAdvance(LiborCalendar,X22,W23,"f",FALSE)</f>
        <v>41828</v>
      </c>
      <c r="Y23" s="202">
        <f>_xll.qlInterestRateIndexValueDate(IborIndex,X23,Trigger)</f>
        <v>41830</v>
      </c>
      <c r="Z23" s="203">
        <v>2.2966671700239503E-3</v>
      </c>
      <c r="AA23" s="200">
        <v>2.2680527213925217E-3</v>
      </c>
    </row>
    <row r="24" spans="1:27" ht="12" thickBot="1" x14ac:dyDescent="0.25">
      <c r="M24" s="201" t="str">
        <v>obj_004ff#0001</v>
      </c>
      <c r="N24" s="201" t="str">
        <f>_xll.qlRateHelperQuoteName(M24)</f>
        <v>USD6x9F_Quote</v>
      </c>
      <c r="O24" s="199">
        <f>_xll.qlRateHelperEarliestDate(M24)</f>
        <v>42009</v>
      </c>
      <c r="P24" s="214">
        <f>_xll.qlRateHelperQuoteValue(M24,"ohTrigger(Trigger,RecalcTrigger))")</f>
        <v>2.9100000000000003E-3</v>
      </c>
      <c r="Q24" s="211" t="e">
        <f>NA()</f>
        <v>#N/A</v>
      </c>
      <c r="R24" s="199">
        <f>_xll.qlInterestRateIndexFixingDate(IborIndex,O24)</f>
        <v>42004</v>
      </c>
      <c r="S24" s="214">
        <f>_xll.qlIndexFixing(IborIndex,R24,TRUE,RecalcTrigger)</f>
        <v>2.9559333563620948E-3</v>
      </c>
      <c r="T24" s="231">
        <f t="shared" si="6"/>
        <v>4.5933356362094519E-5</v>
      </c>
      <c r="W24" s="201" t="str">
        <f t="shared" si="7"/>
        <v>1D</v>
      </c>
      <c r="X24" s="199">
        <f>_xll.qlCalendarAdvance(LiborCalendar,X23,W24,"f",FALSE)</f>
        <v>41829</v>
      </c>
      <c r="Y24" s="202">
        <f>_xll.qlInterestRateIndexValueDate(IborIndex,X24,Trigger)</f>
        <v>41831</v>
      </c>
      <c r="Z24" s="203">
        <v>2.3053454252842257E-3</v>
      </c>
      <c r="AA24" s="200">
        <v>2.2697983351260831E-3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41830</v>
      </c>
      <c r="Y25" s="202">
        <f>_xll.qlInterestRateIndexValueDate(IborIndex,X25,Trigger)</f>
        <v>41834</v>
      </c>
      <c r="Z25" s="203">
        <v>2.306622098707945E-3</v>
      </c>
      <c r="AA25" s="200">
        <v>2.2714878896223922E-3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41831</v>
      </c>
      <c r="Y26" s="202">
        <f>_xll.qlInterestRateIndexValueDate(IborIndex,X26,Trigger)</f>
        <v>41835</v>
      </c>
      <c r="Z26" s="203">
        <v>2.3091102250198852E-3</v>
      </c>
      <c r="AA26" s="200">
        <v>2.2731213849613852E-3</v>
      </c>
    </row>
    <row r="27" spans="1:27" x14ac:dyDescent="0.2">
      <c r="M27" s="227" t="str">
        <f t="array" ref="M27:M60">_xll.ohFilter(RateHelpers!B12:B53,RateHelpers!M12:M53)</f>
        <v>obj_00539#0001</v>
      </c>
      <c r="N27" s="201" t="str">
        <f>_xll.qlRateHelperQuoteName(M27)</f>
        <v>USDFUT3MU4_Quote</v>
      </c>
      <c r="O27" s="199">
        <f>_xll.qlRateHelperEarliestDate(M27)</f>
        <v>41899</v>
      </c>
      <c r="P27" s="214">
        <f>1-_xll.qlRateHelperQuoteValue(M27,_xll.ohTrigger(RecalcTrigger,Trigger))/100</f>
        <v>2.4250000000001215E-3</v>
      </c>
      <c r="Q27" s="203" t="e">
        <f>NA()</f>
        <v>#N/A</v>
      </c>
      <c r="R27" s="199">
        <f>_xll.qlInterestRateIndexFixingDate(IborIndex,O27)</f>
        <v>41897</v>
      </c>
      <c r="S27" s="214">
        <f>_xll.qlIndexFixing(IborIndex,R27,TRUE,RecalcTrigger)</f>
        <v>2.4181505399114055E-3</v>
      </c>
      <c r="T27" s="231">
        <f>S27+_xll.qlFuturesRateHelperConvexityAdjustment(M27)-P27</f>
        <v>-8.7468660786571562E-14</v>
      </c>
      <c r="U27" s="215">
        <f t="array" ref="U27">MAX(ABS(T27:T34))</f>
        <v>2.1917927542358662E-12</v>
      </c>
      <c r="W27" s="201" t="str">
        <f t="shared" si="7"/>
        <v>1D</v>
      </c>
      <c r="X27" s="199">
        <f>_xll.qlCalendarAdvance(LiborCalendar,X26,W27,"f",FALSE)</f>
        <v>41834</v>
      </c>
      <c r="Y27" s="202">
        <f>_xll.qlInterestRateIndexValueDate(IborIndex,X27,Trigger)</f>
        <v>41836</v>
      </c>
      <c r="Z27" s="203">
        <v>2.3115438648286901E-3</v>
      </c>
      <c r="AA27" s="200">
        <v>2.2762159036027185E-3</v>
      </c>
    </row>
    <row r="28" spans="1:27" x14ac:dyDescent="0.2">
      <c r="M28" s="227" t="str">
        <v>obj_0054c#0001</v>
      </c>
      <c r="N28" s="201" t="str">
        <f>_xll.qlRateHelperQuoteName(M28)</f>
        <v>USDFUT3MZ4_Quote</v>
      </c>
      <c r="O28" s="199">
        <f>_xll.qlRateHelperEarliestDate(M28)</f>
        <v>41990</v>
      </c>
      <c r="P28" s="214">
        <f>1-_xll.qlRateHelperQuoteValue(M28,_xll.ohTrigger(RecalcTrigger,Trigger))/100</f>
        <v>2.8249999999999664E-3</v>
      </c>
      <c r="Q28" s="203" t="e">
        <f>NA()</f>
        <v>#N/A</v>
      </c>
      <c r="R28" s="199">
        <f>_xll.qlInterestRateIndexFixingDate(IborIndex,O28)</f>
        <v>41988</v>
      </c>
      <c r="S28" s="214">
        <f>_xll.qlIndexFixing(IborIndex,R28,TRUE,RecalcTrigger)</f>
        <v>2.8050546483235905E-3</v>
      </c>
      <c r="T28" s="231">
        <f>S28+_xll.qlFuturesRateHelperConvexityAdjustment(M28)-P28</f>
        <v>1.2403272853234171E-16</v>
      </c>
      <c r="W28" s="201" t="str">
        <f t="shared" si="7"/>
        <v>1D</v>
      </c>
      <c r="X28" s="199">
        <f>_xll.qlCalendarAdvance(LiborCalendar,X27,W28,"f",FALSE)</f>
        <v>41835</v>
      </c>
      <c r="Y28" s="202">
        <f>_xll.qlInterestRateIndexValueDate(IborIndex,X28,Trigger)</f>
        <v>41837</v>
      </c>
      <c r="Z28" s="203">
        <v>2.3139023718044961E-3</v>
      </c>
      <c r="AA28" s="200">
        <v>2.2790947743445145E-3</v>
      </c>
    </row>
    <row r="29" spans="1:27" x14ac:dyDescent="0.2">
      <c r="M29" s="227" t="str">
        <v>obj_0053f#0001</v>
      </c>
      <c r="N29" s="201" t="str">
        <f>_xll.qlRateHelperQuoteName(M29)</f>
        <v>USDFUT3MH5_Quote</v>
      </c>
      <c r="O29" s="199">
        <f>_xll.qlRateHelperEarliestDate(M29)</f>
        <v>42081</v>
      </c>
      <c r="P29" s="214">
        <f>1-_xll.qlRateHelperQuoteValue(M29,_xll.ohTrigger(RecalcTrigger,Trigger))/100</f>
        <v>3.7749999999999728E-3</v>
      </c>
      <c r="Q29" s="203" t="e">
        <f>NA()</f>
        <v>#N/A</v>
      </c>
      <c r="R29" s="199">
        <f>_xll.qlInterestRateIndexFixingDate(IborIndex,O29)</f>
        <v>42079</v>
      </c>
      <c r="S29" s="214">
        <f>_xll.qlIndexFixing(IborIndex,R29,TRUE,RecalcTrigger)</f>
        <v>3.7361311090089448E-3</v>
      </c>
      <c r="T29" s="231">
        <f>S29+_xll.qlFuturesRateHelperConvexityAdjustment(M29)-P29</f>
        <v>-1.7038519033174548E-12</v>
      </c>
      <c r="W29" s="201" t="str">
        <f t="shared" si="7"/>
        <v>1D</v>
      </c>
      <c r="X29" s="199">
        <f>_xll.qlCalendarAdvance(LiborCalendar,X28,W29,"f",FALSE)</f>
        <v>41836</v>
      </c>
      <c r="Y29" s="202">
        <f>_xll.qlInterestRateIndexValueDate(IborIndex,X29,Trigger)</f>
        <v>41838</v>
      </c>
      <c r="Z29" s="203">
        <v>2.31959558464405E-3</v>
      </c>
      <c r="AA29" s="200">
        <v>2.2804479736571182E-3</v>
      </c>
    </row>
    <row r="30" spans="1:27" x14ac:dyDescent="0.2">
      <c r="M30" s="227" t="str">
        <v>obj_00548#0001</v>
      </c>
      <c r="N30" s="201" t="str">
        <f>_xll.qlRateHelperQuoteName(M30)</f>
        <v>USDFUT3MM5_Quote</v>
      </c>
      <c r="O30" s="199">
        <f>_xll.qlRateHelperEarliestDate(M30)</f>
        <v>42172</v>
      </c>
      <c r="P30" s="214">
        <f>1-_xll.qlRateHelperQuoteValue(M30,_xll.ohTrigger(RecalcTrigger,Trigger))/100</f>
        <v>5.5749999999999966E-3</v>
      </c>
      <c r="Q30" s="203" t="e">
        <f>NA()</f>
        <v>#N/A</v>
      </c>
      <c r="R30" s="199">
        <f>_xll.qlInterestRateIndexFixingDate(IborIndex,O30)</f>
        <v>42170</v>
      </c>
      <c r="S30" s="214">
        <f>_xll.qlIndexFixing(IborIndex,R30,TRUE,RecalcTrigger)</f>
        <v>5.5121148700814472E-3</v>
      </c>
      <c r="T30" s="231">
        <f>S30+_xll.qlFuturesRateHelperConvexityAdjustment(M30)-P30</f>
        <v>2.1917927542358662E-12</v>
      </c>
      <c r="W30" s="201" t="str">
        <f t="shared" si="7"/>
        <v>1D</v>
      </c>
      <c r="X30" s="199">
        <f>_xll.qlCalendarAdvance(LiborCalendar,X29,W30,"f",FALSE)</f>
        <v>41837</v>
      </c>
      <c r="Y30" s="202">
        <f>_xll.qlInterestRateIndexValueDate(IborIndex,X30,Trigger)</f>
        <v>41841</v>
      </c>
      <c r="Z30" s="203">
        <v>2.3225913421042817E-3</v>
      </c>
      <c r="AA30" s="200">
        <v>2.2817451138923417E-3</v>
      </c>
    </row>
    <row r="31" spans="1:27" x14ac:dyDescent="0.2">
      <c r="M31" s="227" t="str">
        <v>obj_00559#0001</v>
      </c>
      <c r="N31" s="201" t="str">
        <f>_xll.qlRateHelperQuoteName(M31)</f>
        <v>USDFUT3MU5_Quote</v>
      </c>
      <c r="O31" s="199">
        <f>_xll.qlRateHelperEarliestDate(M31)</f>
        <v>42263</v>
      </c>
      <c r="P31" s="214">
        <f>1-_xll.qlRateHelperQuoteValue(M31,_xll.ohTrigger(RecalcTrigger,Trigger))/100</f>
        <v>7.8249999999999709E-3</v>
      </c>
      <c r="Q31" s="203" t="e">
        <f>NA()</f>
        <v>#N/A</v>
      </c>
      <c r="R31" s="199">
        <f>_xll.qlInterestRateIndexFixingDate(IborIndex,O31)</f>
        <v>42261</v>
      </c>
      <c r="S31" s="214">
        <f>_xll.qlIndexFixing(IborIndex,R31,TRUE,RecalcTrigger)</f>
        <v>7.7331788977135904E-3</v>
      </c>
      <c r="T31" s="231">
        <f>S31+_xll.qlFuturesRateHelperConvexityAdjustment(M31)-P31</f>
        <v>-4.5515674562679465E-14</v>
      </c>
      <c r="W31" s="201" t="str">
        <f t="shared" si="7"/>
        <v>1D</v>
      </c>
      <c r="X31" s="199">
        <f>_xll.qlCalendarAdvance(LiborCalendar,X30,W31,"f",FALSE)</f>
        <v>41838</v>
      </c>
      <c r="Y31" s="202">
        <f>_xll.qlInterestRateIndexValueDate(IborIndex,X31,Trigger)</f>
        <v>41842</v>
      </c>
      <c r="Z31" s="203">
        <v>2.3245905324193149E-3</v>
      </c>
      <c r="AA31" s="200">
        <v>2.2829861948103769E-3</v>
      </c>
    </row>
    <row r="32" spans="1:27" x14ac:dyDescent="0.2">
      <c r="M32" s="227" t="str">
        <v>obj_00544#0001</v>
      </c>
      <c r="N32" s="201" t="str">
        <f>_xll.qlRateHelperQuoteName(M32)</f>
        <v>USDFUT3MZ5_Quote</v>
      </c>
      <c r="O32" s="199">
        <f>_xll.qlRateHelperEarliestDate(M32)</f>
        <v>42354</v>
      </c>
      <c r="P32" s="214">
        <f>1-_xll.qlRateHelperQuoteValue(M32,_xll.ohTrigger(RecalcTrigger,Trigger))/100</f>
        <v>1.0275000000000034E-2</v>
      </c>
      <c r="Q32" s="203" t="e">
        <f>NA()</f>
        <v>#N/A</v>
      </c>
      <c r="R32" s="199">
        <f>_xll.qlInterestRateIndexFixingDate(IborIndex,O32)</f>
        <v>42352</v>
      </c>
      <c r="S32" s="214">
        <f>_xll.qlIndexFixing(IborIndex,R32,TRUE,RecalcTrigger)</f>
        <v>1.0148908417350191E-2</v>
      </c>
      <c r="T32" s="231">
        <f>S32+_xll.qlFuturesRateHelperConvexityAdjustment(M32)-P32</f>
        <v>4.0766001685454967E-16</v>
      </c>
      <c r="W32" s="201" t="str">
        <f t="shared" si="7"/>
        <v>1D</v>
      </c>
      <c r="X32" s="199">
        <f>_xll.qlCalendarAdvance(LiborCalendar,X31,W32,"f",FALSE)</f>
        <v>41841</v>
      </c>
      <c r="Y32" s="202">
        <f>_xll.qlInterestRateIndexValueDate(IborIndex,X32,Trigger)</f>
        <v>41843</v>
      </c>
      <c r="Z32" s="203">
        <v>2.3265257867204733E-3</v>
      </c>
      <c r="AA32" s="200">
        <v>2.2852959997443634E-3</v>
      </c>
    </row>
    <row r="33" spans="10:27" x14ac:dyDescent="0.2">
      <c r="M33" s="227" t="str">
        <v>obj_00550#0001</v>
      </c>
      <c r="N33" s="201" t="str">
        <f>_xll.qlRateHelperQuoteName(M33)</f>
        <v>USDFUT3MH6_Quote</v>
      </c>
      <c r="O33" s="199">
        <f>_xll.qlRateHelperEarliestDate(M33)</f>
        <v>42445</v>
      </c>
      <c r="P33" s="214">
        <f>1-_xll.qlRateHelperQuoteValue(M33,_xll.ohTrigger(RecalcTrigger,Trigger))/100</f>
        <v>1.2974999999999959E-2</v>
      </c>
      <c r="Q33" s="203" t="e">
        <f>NA()</f>
        <v>#N/A</v>
      </c>
      <c r="R33" s="199">
        <f>_xll.qlInterestRateIndexFixingDate(IborIndex,O33)</f>
        <v>42443</v>
      </c>
      <c r="S33" s="214">
        <f>_xll.qlIndexFixing(IborIndex,R33,TRUE,RecalcTrigger)</f>
        <v>1.2809230031589916E-2</v>
      </c>
      <c r="T33" s="231">
        <f>S33+_xll.qlFuturesRateHelperConvexityAdjustment(M33)-P33</f>
        <v>3.0010716134398763E-16</v>
      </c>
      <c r="W33" s="201" t="str">
        <f t="shared" si="7"/>
        <v>1D</v>
      </c>
      <c r="X33" s="199">
        <f>_xll.qlCalendarAdvance(LiborCalendar,X32,W33,"f",FALSE)</f>
        <v>41842</v>
      </c>
      <c r="Y33" s="202">
        <f>_xll.qlInterestRateIndexValueDate(IborIndex,X33,Trigger)</f>
        <v>41844</v>
      </c>
      <c r="Z33" s="203">
        <v>2.3283997474670523E-3</v>
      </c>
      <c r="AA33" s="200">
        <v>2.2873899265896114E-3</v>
      </c>
    </row>
    <row r="34" spans="10:27" x14ac:dyDescent="0.2">
      <c r="M34" s="227" t="str">
        <v>obj_00541#0001</v>
      </c>
      <c r="N34" s="201" t="str">
        <f>_xll.qlRateHelperQuoteName(M34)</f>
        <v>USDFUT3MM6_Quote</v>
      </c>
      <c r="O34" s="199">
        <f>_xll.qlRateHelperEarliestDate(M34)</f>
        <v>42536</v>
      </c>
      <c r="P34" s="214">
        <f>1-_xll.qlRateHelperQuoteValue(M34,_xll.ohTrigger(RecalcTrigger,Trigger))/100</f>
        <v>1.5774999999999983E-2</v>
      </c>
      <c r="Q34" s="203" t="e">
        <f>NA()</f>
        <v>#N/A</v>
      </c>
      <c r="R34" s="199">
        <f>_xll.qlInterestRateIndexFixingDate(IborIndex,O34)</f>
        <v>42534</v>
      </c>
      <c r="S34" s="214">
        <f>_xll.qlIndexFixing(IborIndex,R34,TRUE,RecalcTrigger)</f>
        <v>1.556500663106236E-2</v>
      </c>
      <c r="T34" s="231">
        <f>S34+_xll.qlFuturesRateHelperConvexityAdjustment(M34)-P34</f>
        <v>8.5348395018058909E-16</v>
      </c>
      <c r="W34" s="201" t="str">
        <f t="shared" si="7"/>
        <v>1D</v>
      </c>
      <c r="X34" s="199">
        <f>_xll.qlCalendarAdvance(LiborCalendar,X33,W34,"f",FALSE)</f>
        <v>41843</v>
      </c>
      <c r="Y34" s="202">
        <f>_xll.qlInterestRateIndexValueDate(IborIndex,X34,Trigger)</f>
        <v>41845</v>
      </c>
      <c r="Z34" s="203">
        <v>2.3326680641880082E-3</v>
      </c>
      <c r="AA34" s="200">
        <v>2.2883507116411295E-3</v>
      </c>
    </row>
    <row r="35" spans="10:27" x14ac:dyDescent="0.2">
      <c r="M35" s="227" t="str">
        <v>obj_0053e#0001</v>
      </c>
      <c r="N35" s="201" t="str">
        <f>_xll.qlRateHelperQuoteName(M35)</f>
        <v>USDFUT3MU6_Quote</v>
      </c>
      <c r="O35" s="199">
        <f>_xll.qlRateHelperEarliestDate(M35)</f>
        <v>42634</v>
      </c>
      <c r="P35" s="214">
        <f>1-_xll.qlRateHelperQuoteValue(M35,_xll.ohTrigger(RecalcTrigger,Trigger))/100</f>
        <v>1.8625000000000003E-2</v>
      </c>
      <c r="Q35" s="203" t="e">
        <f>NA()</f>
        <v>#N/A</v>
      </c>
      <c r="R35" s="199">
        <f>_xll.qlInterestRateIndexFixingDate(IborIndex,O35)</f>
        <v>42632</v>
      </c>
      <c r="S35" s="214">
        <f>_xll.qlIndexFixing(IborIndex,R35,TRUE,RecalcTrigger)</f>
        <v>1.7644438179490695E-2</v>
      </c>
      <c r="T35" s="231">
        <f>S35+_xll.qlFuturesRateHelperConvexityAdjustment(M35)-P35</f>
        <v>-7.1813042023053525E-4</v>
      </c>
      <c r="W35" s="201" t="str">
        <f t="shared" si="7"/>
        <v>1D</v>
      </c>
      <c r="X35" s="199">
        <f>_xll.qlCalendarAdvance(LiborCalendar,X34,W35,"f",FALSE)</f>
        <v>41844</v>
      </c>
      <c r="Y35" s="202">
        <f>_xll.qlInterestRateIndexValueDate(IborIndex,X35,Trigger)</f>
        <v>41848</v>
      </c>
      <c r="Z35" s="203">
        <v>2.3353355043854093E-3</v>
      </c>
      <c r="AA35" s="200">
        <v>2.2892554373754592E-3</v>
      </c>
    </row>
    <row r="36" spans="10:27" x14ac:dyDescent="0.2">
      <c r="M36" s="227" t="str">
        <v>obj_00545#0001</v>
      </c>
      <c r="N36" s="201" t="str">
        <f>_xll.qlRateHelperQuoteName(M36)</f>
        <v>USDFUT3MZ6_Quote</v>
      </c>
      <c r="O36" s="199">
        <f>_xll.qlRateHelperEarliestDate(M36)</f>
        <v>42725</v>
      </c>
      <c r="P36" s="214">
        <f>1-_xll.qlRateHelperQuoteValue(M36,_xll.ohTrigger(RecalcTrigger,Trigger))/100</f>
        <v>2.1225000000000049E-2</v>
      </c>
      <c r="Q36" s="203" t="e">
        <f>NA()</f>
        <v>#N/A</v>
      </c>
      <c r="R36" s="199">
        <f>_xll.qlInterestRateIndexFixingDate(IborIndex,O36)</f>
        <v>42723</v>
      </c>
      <c r="S36" s="214">
        <f>_xll.qlIndexFixing(IborIndex,R36,TRUE,RecalcTrigger)</f>
        <v>1.9514821411692473E-2</v>
      </c>
      <c r="T36" s="231">
        <f>S36+_xll.qlFuturesRateHelperConvexityAdjustment(M36)-P36</f>
        <v>-1.3943555826583728E-3</v>
      </c>
      <c r="W36" s="201" t="str">
        <f t="shared" si="7"/>
        <v>1D</v>
      </c>
      <c r="X36" s="199">
        <f>_xll.qlCalendarAdvance(LiborCalendar,X35,W36,"f",FALSE)</f>
        <v>41845</v>
      </c>
      <c r="Y36" s="202">
        <f>_xll.qlInterestRateIndexValueDate(IborIndex,X36,Trigger)</f>
        <v>41849</v>
      </c>
      <c r="Z36" s="203">
        <v>2.3369426345291578E-3</v>
      </c>
      <c r="AA36" s="200">
        <v>2.2901041039524728E-3</v>
      </c>
    </row>
    <row r="37" spans="10:27" x14ac:dyDescent="0.2">
      <c r="M37" s="227" t="str">
        <v>obj_0054f#0001</v>
      </c>
      <c r="N37" s="201" t="str">
        <f>_xll.qlRateHelperQuoteName(M37)</f>
        <v>USDFUT3MH7_Quote</v>
      </c>
      <c r="O37" s="199">
        <f>_xll.qlRateHelperEarliestDate(M37)</f>
        <v>42809</v>
      </c>
      <c r="P37" s="214">
        <f>1-_xll.qlRateHelperQuoteValue(M37,_xll.ohTrigger(RecalcTrigger,Trigger))/100</f>
        <v>2.3375000000000035E-2</v>
      </c>
      <c r="Q37" s="203" t="e">
        <f>NA()</f>
        <v>#N/A</v>
      </c>
      <c r="R37" s="199">
        <f>_xll.qlInterestRateIndexFixingDate(IborIndex,O37)</f>
        <v>42807</v>
      </c>
      <c r="S37" s="214">
        <f>_xll.qlIndexFixing(IborIndex,R37,TRUE,RecalcTrigger)</f>
        <v>2.1436592724337046E-2</v>
      </c>
      <c r="T37" s="231">
        <f>S37+_xll.qlFuturesRateHelperConvexityAdjustment(M37)-P37</f>
        <v>-1.5675015202653263E-3</v>
      </c>
      <c r="W37" s="201" t="str">
        <f t="shared" si="7"/>
        <v>1D</v>
      </c>
      <c r="X37" s="199">
        <f>_xll.qlCalendarAdvance(LiborCalendar,X36,W37,"f",FALSE)</f>
        <v>41848</v>
      </c>
      <c r="Y37" s="202">
        <f>_xll.qlInterestRateIndexValueDate(IborIndex,X37,Trigger)</f>
        <v>41850</v>
      </c>
      <c r="Z37" s="203">
        <v>2.338504326033968E-3</v>
      </c>
      <c r="AA37" s="200">
        <v>2.2916291605934447E-3</v>
      </c>
    </row>
    <row r="38" spans="10:27" x14ac:dyDescent="0.2">
      <c r="M38" s="227" t="str">
        <v>obj_0053b#0001</v>
      </c>
      <c r="N38" s="201" t="str">
        <f>_xll.qlRateHelperQuoteName(M38)</f>
        <v>USDFUT3MM7_Quote</v>
      </c>
      <c r="O38" s="199">
        <f>_xll.qlRateHelperEarliestDate(M38)</f>
        <v>42907</v>
      </c>
      <c r="P38" s="214">
        <f>1-_xll.qlRateHelperQuoteValue(M38,_xll.ohTrigger(RecalcTrigger,Trigger))/100</f>
        <v>2.5374999999999925E-2</v>
      </c>
      <c r="Q38" s="203" t="e">
        <f>NA()</f>
        <v>#N/A</v>
      </c>
      <c r="R38" s="199">
        <f>_xll.qlInterestRateIndexFixingDate(IborIndex,O38)</f>
        <v>42905</v>
      </c>
      <c r="S38" s="214">
        <f>_xll.qlIndexFixing(IborIndex,R38,TRUE,RecalcTrigger)</f>
        <v>2.3795464956467515E-2</v>
      </c>
      <c r="T38" s="231">
        <f>S38+_xll.qlFuturesRateHelperConvexityAdjustment(M38)-P38</f>
        <v>-1.1409774604080464E-3</v>
      </c>
      <c r="W38" s="201" t="str">
        <f t="shared" si="7"/>
        <v>1D</v>
      </c>
      <c r="X38" s="199">
        <f>_xll.qlCalendarAdvance(LiborCalendar,X37,W38,"f",FALSE)</f>
        <v>41849</v>
      </c>
      <c r="Y38" s="202">
        <f>_xll.qlInterestRateIndexValueDate(IborIndex,X38,Trigger)</f>
        <v>41851</v>
      </c>
      <c r="Z38" s="203">
        <v>2.3400232214086602E-3</v>
      </c>
      <c r="AA38" s="200">
        <v>2.2929381782077485E-3</v>
      </c>
    </row>
    <row r="39" spans="10:27" x14ac:dyDescent="0.2">
      <c r="M39" s="227" t="str">
        <v>obj_00558#0001</v>
      </c>
      <c r="N39" s="201" t="str">
        <f>_xll.qlRateHelperQuoteName(M39)</f>
        <v>USDFUT3MU7_Quote</v>
      </c>
      <c r="O39" s="199">
        <f>_xll.qlRateHelperEarliestDate(M39)</f>
        <v>42998</v>
      </c>
      <c r="P39" s="214">
        <f>1-_xll.qlRateHelperQuoteValue(M39,_xll.ohTrigger(RecalcTrigger,Trigger))/100</f>
        <v>2.707499999999996E-2</v>
      </c>
      <c r="Q39" s="203" t="e">
        <f>NA()</f>
        <v>#N/A</v>
      </c>
      <c r="R39" s="199">
        <f>_xll.qlInterestRateIndexFixingDate(IborIndex,O39)</f>
        <v>42996</v>
      </c>
      <c r="S39" s="214">
        <f>_xll.qlIndexFixing(IborIndex,R39,TRUE,RecalcTrigger)</f>
        <v>2.5766660274041921E-2</v>
      </c>
      <c r="T39" s="231">
        <f>S39+_xll.qlFuturesRateHelperConvexityAdjustment(M39)-P39</f>
        <v>-8.0321959888645517E-4</v>
      </c>
      <c r="W39" s="201" t="str">
        <f t="shared" si="7"/>
        <v>1D</v>
      </c>
      <c r="X39" s="199">
        <f>_xll.qlCalendarAdvance(LiborCalendar,X38,W39,"f",FALSE)</f>
        <v>41850</v>
      </c>
      <c r="Y39" s="202">
        <f>_xll.qlInterestRateIndexValueDate(IborIndex,X39,Trigger)</f>
        <v>41852</v>
      </c>
      <c r="Z39" s="203">
        <v>2.3432494590785173E-3</v>
      </c>
      <c r="AA39" s="200">
        <v>2.2935065486784367E-3</v>
      </c>
    </row>
    <row r="40" spans="10:27" x14ac:dyDescent="0.2">
      <c r="M40" s="227" t="str">
        <v>obj_0054a#0001</v>
      </c>
      <c r="N40" s="201" t="str">
        <f>_xll.qlRateHelperQuoteName(M40)</f>
        <v>USDFUT3MZ7_Quote</v>
      </c>
      <c r="O40" s="199">
        <f>_xll.qlRateHelperEarliestDate(M40)</f>
        <v>43089</v>
      </c>
      <c r="P40" s="214">
        <f>1-_xll.qlRateHelperQuoteValue(M40,_xll.ohTrigger(RecalcTrigger,Trigger))/100</f>
        <v>2.8700000000000059E-2</v>
      </c>
      <c r="Q40" s="203" t="e">
        <f>NA()</f>
        <v>#N/A</v>
      </c>
      <c r="R40" s="199">
        <f>_xll.qlInterestRateIndexFixingDate(IborIndex,O40)</f>
        <v>43087</v>
      </c>
      <c r="S40" s="214">
        <f>_xll.qlIndexFixing(IborIndex,R40,TRUE,RecalcTrigger)</f>
        <v>2.738745683708288E-2</v>
      </c>
      <c r="T40" s="231">
        <f>S40+_xll.qlFuturesRateHelperConvexityAdjustment(M40)-P40</f>
        <v>-7.3673981672295677E-4</v>
      </c>
      <c r="W40" s="201" t="str">
        <f t="shared" si="7"/>
        <v>1D</v>
      </c>
      <c r="X40" s="199">
        <f>_xll.qlCalendarAdvance(LiborCalendar,X39,W40,"f",FALSE)</f>
        <v>41851</v>
      </c>
      <c r="Y40" s="202">
        <f>_xll.qlInterestRateIndexValueDate(IborIndex,X40,Trigger)</f>
        <v>41855</v>
      </c>
      <c r="Z40" s="203">
        <v>2.3457236919590388E-3</v>
      </c>
      <c r="AA40" s="200">
        <v>2.2940188600717448E-3</v>
      </c>
    </row>
    <row r="41" spans="10:27" x14ac:dyDescent="0.2">
      <c r="M41" s="227" t="str">
        <v>obj_00538#0001</v>
      </c>
      <c r="N41" s="201" t="str">
        <f>_xll.qlRateHelperQuoteName(M41)</f>
        <v>USDFUT3MH8_Quote</v>
      </c>
      <c r="O41" s="199">
        <f>_xll.qlRateHelperEarliestDate(M41)</f>
        <v>43180</v>
      </c>
      <c r="P41" s="214">
        <f>1-_xll.qlRateHelperQuoteValue(M41,_xll.ohTrigger(RecalcTrigger,Trigger))/100</f>
        <v>2.9974999999999974E-2</v>
      </c>
      <c r="Q41" s="203" t="e">
        <f>NA()</f>
        <v>#N/A</v>
      </c>
      <c r="R41" s="199">
        <f>_xll.qlInterestRateIndexFixingDate(IborIndex,O41)</f>
        <v>43178</v>
      </c>
      <c r="S41" s="214">
        <f>_xll.qlIndexFixing(IborIndex,R41,TRUE,RecalcTrigger)</f>
        <v>2.8677545105457437E-2</v>
      </c>
      <c r="T41" s="231">
        <f>S41+_xll.qlFuturesRateHelperConvexityAdjustment(M41)-P41</f>
        <v>-6.4438905563069665E-4</v>
      </c>
      <c r="U41" s="213"/>
      <c r="W41" s="201" t="str">
        <f t="shared" si="7"/>
        <v>1D</v>
      </c>
      <c r="X41" s="199">
        <f>_xll.qlCalendarAdvance(LiborCalendar,X40,W41,"f",FALSE)</f>
        <v>41852</v>
      </c>
      <c r="Y41" s="202">
        <f>_xll.qlInterestRateIndexValueDate(IborIndex,X41,Trigger)</f>
        <v>41856</v>
      </c>
      <c r="Z41" s="203">
        <v>2.3470682444918286E-3</v>
      </c>
      <c r="AA41" s="200">
        <v>2.2944675383662627E-3</v>
      </c>
    </row>
    <row r="42" spans="10:27" x14ac:dyDescent="0.2">
      <c r="M42" s="227" t="str">
        <v>obj_00531#0001</v>
      </c>
      <c r="N42" s="201" t="str">
        <f>_xll.qlRateHelperQuoteName(M42)</f>
        <v>USDFUT3MM8_Quote</v>
      </c>
      <c r="O42" s="199">
        <f>_xll.qlRateHelperEarliestDate(M42)</f>
        <v>43271</v>
      </c>
      <c r="P42" s="214">
        <f>1-_xll.qlRateHelperQuoteValue(M42,_xll.ohTrigger(RecalcTrigger,Trigger))/100</f>
        <v>3.1225000000000058E-2</v>
      </c>
      <c r="Q42" s="203" t="e">
        <f>NA()</f>
        <v>#N/A</v>
      </c>
      <c r="R42" s="199">
        <f>_xll.qlInterestRateIndexFixingDate(IborIndex,O42)</f>
        <v>43269</v>
      </c>
      <c r="S42" s="214">
        <f>_xll.qlIndexFixing(IborIndex,R42,TRUE,RecalcTrigger)</f>
        <v>2.9623220796809895E-2</v>
      </c>
      <c r="T42" s="231">
        <f>S42+_xll.qlFuturesRateHelperConvexityAdjustment(M42)-P42</f>
        <v>-8.6904470654653593E-4</v>
      </c>
      <c r="U42" s="213"/>
      <c r="W42" s="201" t="str">
        <f t="shared" si="7"/>
        <v>1D</v>
      </c>
      <c r="X42" s="199">
        <f>_xll.qlCalendarAdvance(LiborCalendar,X41,W42,"f",FALSE)</f>
        <v>41855</v>
      </c>
      <c r="Y42" s="202">
        <f>_xll.qlInterestRateIndexValueDate(IborIndex,X42,Trigger)</f>
        <v>41857</v>
      </c>
      <c r="Z42" s="203">
        <v>2.3483858560534253E-3</v>
      </c>
      <c r="AA42" s="200">
        <v>2.295056332046741E-3</v>
      </c>
    </row>
    <row r="43" spans="10:27" x14ac:dyDescent="0.2">
      <c r="M43" s="227" t="str">
        <v>obj_00554#0001</v>
      </c>
      <c r="N43" s="201" t="str">
        <f>_xll.qlRateHelperQuoteName(M43)</f>
        <v>USDFUT3MU8_Quote</v>
      </c>
      <c r="O43" s="199">
        <f>_xll.qlRateHelperEarliestDate(M43)</f>
        <v>43362</v>
      </c>
      <c r="P43" s="214">
        <f>1-_xll.qlRateHelperQuoteValue(M43,_xll.ohTrigger(RecalcTrigger,Trigger))/100</f>
        <v>3.2325000000000048E-2</v>
      </c>
      <c r="Q43" s="203" t="e">
        <f>NA()</f>
        <v>#N/A</v>
      </c>
      <c r="R43" s="199">
        <f>_xll.qlInterestRateIndexFixingDate(IborIndex,O43)</f>
        <v>43360</v>
      </c>
      <c r="S43" s="214">
        <f>_xll.qlIndexFixing(IborIndex,R43,TRUE,RecalcTrigger)</f>
        <v>3.044463325370371E-2</v>
      </c>
      <c r="T43" s="231">
        <f>S43+_xll.qlFuturesRateHelperConvexityAdjustment(M43)-P43</f>
        <v>-1.0650349940898723E-3</v>
      </c>
      <c r="U43" s="213"/>
      <c r="W43" s="201" t="str">
        <f t="shared" si="7"/>
        <v>1D</v>
      </c>
      <c r="X43" s="199">
        <f>_xll.qlCalendarAdvance(LiborCalendar,X42,W43,"f",FALSE)</f>
        <v>41856</v>
      </c>
      <c r="Y43" s="202">
        <f>_xll.qlInterestRateIndexValueDate(IborIndex,X43,Trigger)</f>
        <v>41858</v>
      </c>
      <c r="Z43" s="203">
        <v>2.3496791691830598E-3</v>
      </c>
      <c r="AA43" s="200">
        <v>2.2952775216467103E-3</v>
      </c>
    </row>
    <row r="44" spans="10:27" x14ac:dyDescent="0.2">
      <c r="M44" s="227" t="str">
        <v>obj_0054d#0001</v>
      </c>
      <c r="N44" s="201" t="str">
        <f>_xll.qlRateHelperQuoteName(M44)</f>
        <v>USDFUT3MZ8_Quote</v>
      </c>
      <c r="O44" s="199">
        <f>_xll.qlRateHelperEarliestDate(M44)</f>
        <v>43453</v>
      </c>
      <c r="P44" s="214">
        <f>1-_xll.qlRateHelperQuoteValue(M44,_xll.ohTrigger(RecalcTrigger,Trigger))/100</f>
        <v>3.3324999999999938E-2</v>
      </c>
      <c r="Q44" s="203" t="e">
        <f>NA()</f>
        <v>#N/A</v>
      </c>
      <c r="R44" s="199">
        <f>_xll.qlInterestRateIndexFixingDate(IborIndex,O44)</f>
        <v>43451</v>
      </c>
      <c r="S44" s="214">
        <f>_xll.qlIndexFixing(IborIndex,R44,TRUE,RecalcTrigger)</f>
        <v>3.1242451417281991E-2</v>
      </c>
      <c r="T44" s="231">
        <f>S44+_xll.qlFuturesRateHelperConvexityAdjustment(M44)-P44</f>
        <v>-1.1809141063302345E-3</v>
      </c>
      <c r="W44" s="201" t="str">
        <f t="shared" si="7"/>
        <v>1D</v>
      </c>
      <c r="X44" s="199">
        <f>_xll.qlCalendarAdvance(LiborCalendar,X43,W44,"f",FALSE)</f>
        <v>41857</v>
      </c>
      <c r="Y44" s="202">
        <f>_xll.qlInterestRateIndexValueDate(IborIndex,X44,Trigger)</f>
        <v>41859</v>
      </c>
      <c r="Z44" s="203">
        <v>2.3522269574844648E-3</v>
      </c>
      <c r="AA44" s="200">
        <v>2.2952262611308782E-3</v>
      </c>
    </row>
    <row r="45" spans="10:27" x14ac:dyDescent="0.2">
      <c r="M45" s="227" t="str">
        <v>obj_0054e#0001</v>
      </c>
      <c r="N45" s="201" t="str">
        <f>_xll.qlRateHelperQuoteName(M45)</f>
        <v>USDFUT3MH9_Quote</v>
      </c>
      <c r="O45" s="199">
        <f>_xll.qlRateHelperEarliestDate(M45)</f>
        <v>43544</v>
      </c>
      <c r="P45" s="214">
        <f>1-_xll.qlRateHelperQuoteValue(M45,_xll.ohTrigger(RecalcTrigger,Trigger))/100</f>
        <v>3.422499999999995E-2</v>
      </c>
      <c r="Q45" s="203" t="e">
        <f>NA()</f>
        <v>#N/A</v>
      </c>
      <c r="R45" s="199">
        <f>_xll.qlInterestRateIndexFixingDate(IborIndex,O45)</f>
        <v>43542</v>
      </c>
      <c r="S45" s="214">
        <f>_xll.qlIndexFixing(IborIndex,R45,TRUE,RecalcTrigger)</f>
        <v>3.2034029562839149E-2</v>
      </c>
      <c r="T45" s="231">
        <f>S45+_xll.qlFuturesRateHelperConvexityAdjustment(M45)-P45</f>
        <v>-1.1961596969207455E-3</v>
      </c>
      <c r="W45" s="201" t="str">
        <f t="shared" si="7"/>
        <v>1D</v>
      </c>
      <c r="X45" s="199">
        <f>_xll.qlCalendarAdvance(LiborCalendar,X44,W45,"f",FALSE)</f>
        <v>41858</v>
      </c>
      <c r="Y45" s="202">
        <f>_xll.qlInterestRateIndexValueDate(IborIndex,X45,Trigger)</f>
        <v>41862</v>
      </c>
      <c r="Z45" s="203">
        <v>2.355247220380489E-3</v>
      </c>
      <c r="AA45" s="200">
        <v>2.2950734980486942E-3</v>
      </c>
    </row>
    <row r="46" spans="10:27" x14ac:dyDescent="0.2">
      <c r="M46" s="227" t="str">
        <v>obj_0053c#0001</v>
      </c>
      <c r="N46" s="201" t="str">
        <f>_xll.qlRateHelperQuoteName(M46)</f>
        <v>USDFUT3MM9_Quote</v>
      </c>
      <c r="O46" s="199">
        <f>_xll.qlRateHelperEarliestDate(M46)</f>
        <v>43635</v>
      </c>
      <c r="P46" s="214">
        <f>1-_xll.qlRateHelperQuoteValue(M46,_xll.ohTrigger(RecalcTrigger,Trigger))/100</f>
        <v>3.5125000000000073E-2</v>
      </c>
      <c r="Q46" s="203" t="e">
        <f>NA()</f>
        <v>#N/A</v>
      </c>
      <c r="R46" s="199">
        <f>_xll.qlInterestRateIndexFixingDate(IborIndex,O46)</f>
        <v>43633</v>
      </c>
      <c r="S46" s="214">
        <f>_xll.qlIndexFixing(IborIndex,R46,TRUE,RecalcTrigger)</f>
        <v>3.2787890090182736E-2</v>
      </c>
      <c r="T46" s="231">
        <f>S46+_xll.qlFuturesRateHelperConvexityAdjustment(M46)-P46</f>
        <v>-1.24754532583881E-3</v>
      </c>
      <c r="U46" s="213"/>
      <c r="W46" s="201" t="str">
        <f t="shared" si="7"/>
        <v>1D</v>
      </c>
      <c r="X46" s="199">
        <f>_xll.qlCalendarAdvance(LiborCalendar,X45,W46,"f",FALSE)</f>
        <v>41859</v>
      </c>
      <c r="Y46" s="202">
        <f>_xll.qlInterestRateIndexValueDate(IborIndex,X46,Trigger)</f>
        <v>41863</v>
      </c>
      <c r="Z46" s="203">
        <v>2.3558840443558562E-3</v>
      </c>
      <c r="AA46" s="200">
        <v>2.2948192325600303E-3</v>
      </c>
    </row>
    <row r="47" spans="10:27" x14ac:dyDescent="0.2">
      <c r="M47" s="227" t="str">
        <v>obj_00530#0001</v>
      </c>
      <c r="N47" s="201" t="str">
        <f>_xll.qlRateHelperQuoteName(M47)</f>
        <v>USDFUT3MU9_Quote</v>
      </c>
      <c r="O47" s="199">
        <f>_xll.qlRateHelperEarliestDate(M47)</f>
        <v>43726</v>
      </c>
      <c r="P47" s="214">
        <f>1-_xll.qlRateHelperQuoteValue(M47,_xll.ohTrigger(RecalcTrigger,Trigger))/100</f>
        <v>3.5950000000000037E-2</v>
      </c>
      <c r="Q47" s="203" t="e">
        <f>NA()</f>
        <v>#N/A</v>
      </c>
      <c r="R47" s="199">
        <f>_xll.qlInterestRateIndexFixingDate(IborIndex,O47)</f>
        <v>43724</v>
      </c>
      <c r="S47" s="214">
        <f>_xll.qlIndexFixing(IborIndex,R47,TRUE,RecalcTrigger)</f>
        <v>3.3487211964242938E-2</v>
      </c>
      <c r="T47" s="231">
        <f>S47+_xll.qlFuturesRateHelperConvexityAdjustment(M47)-P47</f>
        <v>-1.2761337772929787E-3</v>
      </c>
      <c r="U47" s="213"/>
      <c r="W47" s="201" t="str">
        <f t="shared" si="7"/>
        <v>1D</v>
      </c>
      <c r="X47" s="199">
        <f>_xll.qlCalendarAdvance(LiborCalendar,X46,W47,"f",FALSE)</f>
        <v>41862</v>
      </c>
      <c r="Y47" s="202">
        <f>_xll.qlInterestRateIndexValueDate(IborIndex,X47,Trigger)</f>
        <v>41864</v>
      </c>
      <c r="Z47" s="203">
        <v>2.3570945565298336E-3</v>
      </c>
      <c r="AA47" s="200">
        <v>2.2939869771487764E-3</v>
      </c>
    </row>
    <row r="48" spans="10:27" x14ac:dyDescent="0.2">
      <c r="J48" s="233" t="b">
        <v>1</v>
      </c>
      <c r="M48" s="227" t="str">
        <v>obj_00533#0001</v>
      </c>
      <c r="N48" s="201" t="str">
        <f>_xll.qlRateHelperQuoteName(M48)</f>
        <v>USDFUT3MZ9_Quote</v>
      </c>
      <c r="O48" s="199">
        <f>_xll.qlRateHelperEarliestDate(M48)</f>
        <v>43817</v>
      </c>
      <c r="P48" s="214">
        <f>1-_xll.qlRateHelperQuoteValue(M48,_xll.ohTrigger(RecalcTrigger,Trigger))/100</f>
        <v>3.6800000000000055E-2</v>
      </c>
      <c r="Q48" s="203" t="e">
        <f>NA()</f>
        <v>#N/A</v>
      </c>
      <c r="R48" s="199">
        <f>_xll.qlInterestRateIndexFixingDate(IborIndex,O48)</f>
        <v>43815</v>
      </c>
      <c r="S48" s="214">
        <f>_xll.qlIndexFixing(IborIndex,R48,TRUE,RecalcTrigger)</f>
        <v>3.4132210749439854E-2</v>
      </c>
      <c r="T48" s="231">
        <f>S48+_xll.qlFuturesRateHelperConvexityAdjustment(M48)-P48</f>
        <v>-1.3794297496175986E-3</v>
      </c>
      <c r="U48" s="213"/>
      <c r="W48" s="201" t="str">
        <f t="shared" si="7"/>
        <v>1D</v>
      </c>
      <c r="X48" s="199">
        <f>_xll.qlCalendarAdvance(LiborCalendar,X47,W48,"f",FALSE)</f>
        <v>41863</v>
      </c>
      <c r="Y48" s="202">
        <f>_xll.qlInterestRateIndexValueDate(IborIndex,X48,Trigger)</f>
        <v>41865</v>
      </c>
      <c r="Z48" s="203">
        <v>2.3583022336385851E-3</v>
      </c>
      <c r="AA48" s="200">
        <v>2.2927871449418546E-3</v>
      </c>
    </row>
    <row r="49" spans="10:27" x14ac:dyDescent="0.2">
      <c r="M49" s="227" t="str">
        <v>obj_00556#0001</v>
      </c>
      <c r="N49" s="201" t="str">
        <f>_xll.qlRateHelperQuoteName(M49)</f>
        <v>USDFUT3MH0_Quote</v>
      </c>
      <c r="O49" s="199">
        <f>_xll.qlRateHelperEarliestDate(M49)</f>
        <v>43908</v>
      </c>
      <c r="P49" s="214">
        <f>1-_xll.qlRateHelperQuoteValue(M49,_xll.ohTrigger(RecalcTrigger,Trigger))/100</f>
        <v>3.7549999999999972E-2</v>
      </c>
      <c r="Q49" s="203" t="e">
        <f>NA()</f>
        <v>#N/A</v>
      </c>
      <c r="R49" s="199">
        <f>_xll.qlInterestRateIndexFixingDate(IborIndex,O49)</f>
        <v>43906</v>
      </c>
      <c r="S49" s="214">
        <f>_xll.qlIndexFixing(IborIndex,R49,TRUE,RecalcTrigger)</f>
        <v>3.472199632286023E-2</v>
      </c>
      <c r="T49" s="231">
        <f>S49+_xll.qlFuturesRateHelperConvexityAdjustment(M49)-P49</f>
        <v>-1.4332893251535681E-3</v>
      </c>
      <c r="U49" s="213"/>
      <c r="W49" s="201" t="str">
        <f t="shared" si="7"/>
        <v>1D</v>
      </c>
      <c r="X49" s="199">
        <f>_xll.qlCalendarAdvance(LiborCalendar,X48,W49,"f",FALSE)</f>
        <v>41864</v>
      </c>
      <c r="Y49" s="202">
        <f>_xll.qlInterestRateIndexValueDate(IborIndex,X49,Trigger)</f>
        <v>41866</v>
      </c>
      <c r="Z49" s="203">
        <v>2.3605287150399029E-3</v>
      </c>
      <c r="AA49" s="200">
        <v>2.2920253667013668E-3</v>
      </c>
    </row>
    <row r="50" spans="10:27" x14ac:dyDescent="0.2">
      <c r="M50" s="227" t="str">
        <v>obj_00553#0001</v>
      </c>
      <c r="N50" s="201" t="str">
        <f>_xll.qlRateHelperQuoteName(M50)</f>
        <v>USDFUT3MM0_Quote</v>
      </c>
      <c r="O50" s="199">
        <f>_xll.qlRateHelperEarliestDate(M50)</f>
        <v>43999</v>
      </c>
      <c r="P50" s="214">
        <f>1-_xll.qlRateHelperQuoteValue(M50,_xll.ohTrigger(RecalcTrigger,Trigger))/100</f>
        <v>3.8249999999999895E-2</v>
      </c>
      <c r="Q50" s="203" t="e">
        <f>NA()</f>
        <v>#N/A</v>
      </c>
      <c r="R50" s="199">
        <f>_xll.qlInterestRateIndexFixingDate(IborIndex,O50)</f>
        <v>43997</v>
      </c>
      <c r="S50" s="214">
        <f>_xll.qlIndexFixing(IborIndex,R50,TRUE,RecalcTrigger)</f>
        <v>3.524634440484193E-2</v>
      </c>
      <c r="T50" s="231">
        <f>S50+_xll.qlFuturesRateHelperConvexityAdjustment(M50)-P50</f>
        <v>-1.5005692774845703E-3</v>
      </c>
      <c r="U50" s="213"/>
      <c r="W50" s="201" t="str">
        <f t="shared" si="7"/>
        <v>1D</v>
      </c>
      <c r="X50" s="199">
        <f>_xll.qlCalendarAdvance(LiborCalendar,X49,W50,"f",FALSE)</f>
        <v>41865</v>
      </c>
      <c r="Y50" s="202">
        <f>_xll.qlInterestRateIndexValueDate(IborIndex,X50,Trigger)</f>
        <v>41869</v>
      </c>
      <c r="Z50" s="203">
        <v>2.363167327824359E-3</v>
      </c>
      <c r="AA50" s="200">
        <v>2.291162085974463E-3</v>
      </c>
    </row>
    <row r="51" spans="10:27" x14ac:dyDescent="0.2">
      <c r="M51" s="227" t="str">
        <v>obj_00535#0001</v>
      </c>
      <c r="N51" s="201" t="str">
        <f>_xll.qlRateHelperQuoteName(M51)</f>
        <v>USDFUT3MU0_Quote</v>
      </c>
      <c r="O51" s="199">
        <f>_xll.qlRateHelperEarliestDate(M51)</f>
        <v>44090</v>
      </c>
      <c r="P51" s="214">
        <f>1-_xll.qlRateHelperQuoteValue(M51,_xll.ohTrigger(RecalcTrigger,Trigger))/100</f>
        <v>3.8925000000000098E-2</v>
      </c>
      <c r="Q51" s="203" t="e">
        <f>NA()</f>
        <v>#N/A</v>
      </c>
      <c r="R51" s="199">
        <f>_xll.qlInterestRateIndexFixingDate(IborIndex,O51)</f>
        <v>44088</v>
      </c>
      <c r="S51" s="214">
        <f>_xll.qlIndexFixing(IborIndex,R51,TRUE,RecalcTrigger)</f>
        <v>3.5701599349921731E-2</v>
      </c>
      <c r="T51" s="231">
        <f>S51+_xll.qlFuturesRateHelperConvexityAdjustment(M51)-P51</f>
        <v>-1.610163911705792E-3</v>
      </c>
      <c r="U51" s="213"/>
      <c r="W51" s="201" t="str">
        <f t="shared" si="7"/>
        <v>1D</v>
      </c>
      <c r="X51" s="199">
        <f>_xll.qlCalendarAdvance(LiborCalendar,X50,W51,"f",FALSE)</f>
        <v>41866</v>
      </c>
      <c r="Y51" s="202">
        <f>_xll.qlInterestRateIndexValueDate(IborIndex,X51,Trigger)</f>
        <v>41870</v>
      </c>
      <c r="Z51" s="203">
        <v>2.3644078819420517E-3</v>
      </c>
      <c r="AA51" s="200">
        <v>2.2901973026812072E-3</v>
      </c>
    </row>
    <row r="52" spans="10:27" x14ac:dyDescent="0.2">
      <c r="J52" s="233" t="b">
        <v>1</v>
      </c>
      <c r="M52" s="227" t="str">
        <v>obj_00552#0001</v>
      </c>
      <c r="N52" s="201" t="str">
        <f>_xll.qlRateHelperQuoteName(M52)</f>
        <v>USDFUT3MZ0_Quote</v>
      </c>
      <c r="O52" s="199">
        <f>_xll.qlRateHelperEarliestDate(M52)</f>
        <v>44181</v>
      </c>
      <c r="P52" s="214">
        <f>1-_xll.qlRateHelperQuoteValue(M52,_xll.ohTrigger(RecalcTrigger,Trigger))/100</f>
        <v>3.960000000000008E-2</v>
      </c>
      <c r="Q52" s="203" t="e">
        <f>NA()</f>
        <v>#N/A</v>
      </c>
      <c r="R52" s="199">
        <f>_xll.qlInterestRateIndexFixingDate(IborIndex,O52)</f>
        <v>44179</v>
      </c>
      <c r="S52" s="214">
        <f>_xll.qlIndexFixing(IborIndex,R52,TRUE,RecalcTrigger)</f>
        <v>3.6090319635449397E-2</v>
      </c>
      <c r="T52" s="231">
        <f>S52+_xll.qlFuturesRateHelperConvexityAdjustment(M52)-P52</f>
        <v>-1.7832822673220575E-3</v>
      </c>
      <c r="U52" s="213"/>
      <c r="W52" s="201" t="str">
        <f t="shared" si="7"/>
        <v>1D</v>
      </c>
      <c r="X52" s="199">
        <f>_xll.qlCalendarAdvance(LiborCalendar,X51,W52,"f",FALSE)</f>
        <v>41869</v>
      </c>
      <c r="Y52" s="202">
        <f>_xll.qlInterestRateIndexValueDate(IborIndex,X52,Trigger)</f>
        <v>41871</v>
      </c>
      <c r="Z52" s="203">
        <v>2.3656644219575674E-3</v>
      </c>
      <c r="AA52" s="200">
        <v>2.2879439350287356E-3</v>
      </c>
    </row>
    <row r="53" spans="10:27" x14ac:dyDescent="0.2">
      <c r="M53" s="201" t="str">
        <v>obj_00549#0001</v>
      </c>
      <c r="N53" s="201" t="str">
        <f>_xll.qlRateHelperQuoteName(M53)</f>
        <v>USDFUT3MH1_Quote</v>
      </c>
      <c r="O53" s="199">
        <f>_xll.qlRateHelperEarliestDate(M53)</f>
        <v>44272</v>
      </c>
      <c r="P53" s="214">
        <f>1-_xll.qlRateHelperQuoteValue(M53,_xll.ohTrigger(RecalcTrigger,Trigger))/100</f>
        <v>4.0099999999999913E-2</v>
      </c>
      <c r="Q53" s="203" t="e">
        <f>NA()</f>
        <v>#N/A</v>
      </c>
      <c r="R53" s="199">
        <f>_xll.qlInterestRateIndexFixingDate(IborIndex,O53)</f>
        <v>44270</v>
      </c>
      <c r="S53" s="214">
        <f>_xll.qlIndexFixing(IborIndex,R53,TRUE,RecalcTrigger)</f>
        <v>3.6422626554498252E-2</v>
      </c>
      <c r="T53" s="231">
        <f>S53+_xll.qlFuturesRateHelperConvexityAdjustment(M53)-P53</f>
        <v>-1.8304080186121244E-3</v>
      </c>
      <c r="U53" s="213"/>
      <c r="W53" s="201" t="str">
        <f t="shared" si="7"/>
        <v>1D</v>
      </c>
      <c r="X53" s="199">
        <f>_xll.qlCalendarAdvance(LiborCalendar,X52,W53,"f",FALSE)</f>
        <v>41870</v>
      </c>
      <c r="Y53" s="202">
        <f>_xll.qlInterestRateIndexValueDate(IborIndex,X53,Trigger)</f>
        <v>41872</v>
      </c>
      <c r="Z53" s="203">
        <v>2.3669400847103894E-3</v>
      </c>
      <c r="AA53" s="200">
        <v>2.2853231443242805E-3</v>
      </c>
    </row>
    <row r="54" spans="10:27" x14ac:dyDescent="0.2">
      <c r="M54" s="201" t="str">
        <v>obj_00532#0001</v>
      </c>
      <c r="N54" s="201" t="str">
        <f>_xll.qlRateHelperQuoteName(M54)</f>
        <v>USDFUT3MM1_Quote</v>
      </c>
      <c r="O54" s="199">
        <f>_xll.qlRateHelperEarliestDate(M54)</f>
        <v>44363</v>
      </c>
      <c r="P54" s="214">
        <f>1-_xll.qlRateHelperQuoteValue(M54,_xll.ohTrigger(RecalcTrigger,Trigger))/100</f>
        <v>4.0599999999999969E-2</v>
      </c>
      <c r="Q54" s="203" t="e">
        <f>NA()</f>
        <v>#N/A</v>
      </c>
      <c r="R54" s="199">
        <f>_xll.qlInterestRateIndexFixingDate(IborIndex,O54)</f>
        <v>44361</v>
      </c>
      <c r="S54" s="214">
        <f>_xll.qlIndexFixing(IborIndex,R54,TRUE,RecalcTrigger)</f>
        <v>3.6686930907462015E-2</v>
      </c>
      <c r="T54" s="231">
        <f>S54+_xll.qlFuturesRateHelperConvexityAdjustment(M54)-P54</f>
        <v>-1.9455221587267035E-3</v>
      </c>
      <c r="U54" s="213"/>
      <c r="W54" s="201" t="str">
        <f t="shared" si="7"/>
        <v>1D</v>
      </c>
      <c r="X54" s="199">
        <f>_xll.qlCalendarAdvance(LiborCalendar,X53,W54,"f",FALSE)</f>
        <v>41871</v>
      </c>
      <c r="Y54" s="202">
        <f>_xll.qlInterestRateIndexValueDate(IborIndex,X54,Trigger)</f>
        <v>41873</v>
      </c>
      <c r="Z54" s="203">
        <v>2.3691903662608487E-3</v>
      </c>
      <c r="AA54" s="200">
        <v>2.2838508484390729E-3</v>
      </c>
    </row>
    <row r="55" spans="10:27" x14ac:dyDescent="0.2">
      <c r="J55" s="233" t="b">
        <v>1</v>
      </c>
      <c r="M55" s="201" t="str">
        <v>obj_0054b#0001</v>
      </c>
      <c r="N55" s="201" t="str">
        <f>_xll.qlRateHelperQuoteName(M55)</f>
        <v>USDFUT3MU1_Quote</v>
      </c>
      <c r="O55" s="199">
        <f>_xll.qlRateHelperEarliestDate(M55)</f>
        <v>44454</v>
      </c>
      <c r="P55" s="214">
        <f>1-_xll.qlRateHelperQuoteValue(M55,_xll.ohTrigger(RecalcTrigger,Trigger))/100</f>
        <v>4.0999999999999925E-2</v>
      </c>
      <c r="Q55" s="203" t="e">
        <f>NA()</f>
        <v>#N/A</v>
      </c>
      <c r="R55" s="199">
        <f>_xll.qlInterestRateIndexFixingDate(IborIndex,O55)</f>
        <v>44452</v>
      </c>
      <c r="S55" s="214">
        <f>_xll.qlIndexFixing(IborIndex,R55,TRUE,RecalcTrigger)</f>
        <v>3.6940099843311994E-2</v>
      </c>
      <c r="T55" s="231">
        <f>S55+_xll.qlFuturesRateHelperConvexityAdjustment(M55)-P55</f>
        <v>-1.9705787759555574E-3</v>
      </c>
      <c r="U55" s="213"/>
      <c r="W55" s="201" t="str">
        <f t="shared" si="7"/>
        <v>1D</v>
      </c>
      <c r="X55" s="199">
        <f>_xll.qlCalendarAdvance(LiborCalendar,X54,W55,"f",FALSE)</f>
        <v>41872</v>
      </c>
      <c r="Y55" s="202">
        <f>_xll.qlInterestRateIndexValueDate(IborIndex,X55,Trigger)</f>
        <v>41877</v>
      </c>
      <c r="Z55" s="203">
        <v>2.3737150292931245E-3</v>
      </c>
      <c r="AA55" s="200">
        <v>2.2806017490495378E-3</v>
      </c>
    </row>
    <row r="56" spans="10:27" x14ac:dyDescent="0.2">
      <c r="M56" s="201" t="str">
        <v>obj_00546#0001</v>
      </c>
      <c r="N56" s="201" t="str">
        <f>_xll.qlRateHelperQuoteName(M56)</f>
        <v>USDFUT3MZ1_Quote</v>
      </c>
      <c r="O56" s="199">
        <f>_xll.qlRateHelperEarliestDate(M56)</f>
        <v>44545</v>
      </c>
      <c r="P56" s="214">
        <f>1-_xll.qlRateHelperQuoteValue(M56,_xll.ohTrigger(RecalcTrigger,Trigger))/100</f>
        <v>4.1399999999999992E-2</v>
      </c>
      <c r="Q56" s="203" t="e">
        <f>NA()</f>
        <v>#N/A</v>
      </c>
      <c r="R56" s="199">
        <f>_xll.qlInterestRateIndexFixingDate(IborIndex,O56)</f>
        <v>44543</v>
      </c>
      <c r="S56" s="214">
        <f>_xll.qlIndexFixing(IborIndex,R56,TRUE,RecalcTrigger)</f>
        <v>3.7210753678485808E-2</v>
      </c>
      <c r="T56" s="231">
        <f>S56+_xll.qlFuturesRateHelperConvexityAdjustment(M56)-P56</f>
        <v>-1.9754686107660291E-3</v>
      </c>
      <c r="U56" s="213"/>
      <c r="W56" s="201" t="str">
        <f t="shared" si="7"/>
        <v>1D</v>
      </c>
      <c r="X56" s="199">
        <f>_xll.qlCalendarAdvance(LiborCalendar,X55,W56,"f",FALSE)</f>
        <v>41873</v>
      </c>
      <c r="Y56" s="202">
        <f>_xll.qlInterestRateIndexValueDate(IborIndex,X56,Trigger)</f>
        <v>41878</v>
      </c>
      <c r="Z56" s="203">
        <v>2.3756685979956574E-3</v>
      </c>
      <c r="AA56" s="200">
        <v>2.2759275664885337E-3</v>
      </c>
    </row>
    <row r="57" spans="10:27" x14ac:dyDescent="0.2">
      <c r="M57" s="201" t="str">
        <v>obj_00534#0001</v>
      </c>
      <c r="N57" s="201" t="str">
        <f>_xll.qlRateHelperQuoteName(M57)</f>
        <v>USDFUT3MH2_Quote</v>
      </c>
      <c r="O57" s="199">
        <f>_xll.qlRateHelperEarliestDate(M57)</f>
        <v>44636</v>
      </c>
      <c r="P57" s="214">
        <f>1-_xll.qlRateHelperQuoteValue(M57,_xll.ohTrigger(RecalcTrigger,Trigger))/100</f>
        <v>4.1649999999999965E-2</v>
      </c>
      <c r="Q57" s="203" t="e">
        <f>NA()</f>
        <v>#N/A</v>
      </c>
      <c r="R57" s="199">
        <f>_xll.qlInterestRateIndexFixingDate(IborIndex,O57)</f>
        <v>44634</v>
      </c>
      <c r="S57" s="214">
        <f>_xll.qlIndexFixing(IborIndex,R57,TRUE,RecalcTrigger)</f>
        <v>3.750991446153415E-2</v>
      </c>
      <c r="T57" s="231">
        <f>S57+_xll.qlFuturesRateHelperConvexityAdjustment(M57)-P57</f>
        <v>-1.7941620867128819E-3</v>
      </c>
      <c r="U57" s="213"/>
      <c r="W57" s="201" t="str">
        <f t="shared" si="7"/>
        <v>1D</v>
      </c>
      <c r="X57" s="199">
        <f>_xll.qlCalendarAdvance(LiborCalendar,X56,W57,"f",FALSE)</f>
        <v>41877</v>
      </c>
      <c r="Y57" s="202">
        <f>_xll.qlInterestRateIndexValueDate(IborIndex,X57,Trigger)</f>
        <v>41879</v>
      </c>
      <c r="Z57" s="203">
        <v>2.3766686562500519E-3</v>
      </c>
      <c r="AA57" s="200">
        <v>2.2707027065838048E-3</v>
      </c>
    </row>
    <row r="58" spans="10:27" x14ac:dyDescent="0.2">
      <c r="M58" s="201" t="str">
        <v>obj_00551#0001</v>
      </c>
      <c r="N58" s="201" t="str">
        <f>_xll.qlRateHelperQuoteName(M58)</f>
        <v>USDFUT3MM2_Quote</v>
      </c>
      <c r="O58" s="199">
        <f>_xll.qlRateHelperEarliestDate(M58)</f>
        <v>44727</v>
      </c>
      <c r="P58" s="214">
        <f>1-_xll.qlRateHelperQuoteValue(M58,_xll.ohTrigger(RecalcTrigger,Trigger))/100</f>
        <v>4.192499999999999E-2</v>
      </c>
      <c r="Q58" s="203" t="e">
        <f>NA()</f>
        <v>#N/A</v>
      </c>
      <c r="R58" s="199">
        <f>_xll.qlInterestRateIndexFixingDate(IborIndex,O58)</f>
        <v>44725</v>
      </c>
      <c r="S58" s="214">
        <f>_xll.qlIndexFixing(IborIndex,R58,TRUE,RecalcTrigger)</f>
        <v>3.7815011688818109E-2</v>
      </c>
      <c r="T58" s="231">
        <f>S58+_xll.qlFuturesRateHelperConvexityAdjustment(M58)-P58</f>
        <v>-1.6326256371903478E-3</v>
      </c>
      <c r="U58" s="213"/>
      <c r="W58" s="201" t="str">
        <f t="shared" si="7"/>
        <v>1D</v>
      </c>
      <c r="X58" s="199">
        <f>_xll.qlCalendarAdvance(LiborCalendar,X57,W58,"f",FALSE)</f>
        <v>41878</v>
      </c>
      <c r="Y58" s="202">
        <f>_xll.qlInterestRateIndexValueDate(IborIndex,X58,Trigger)</f>
        <v>41880</v>
      </c>
      <c r="Z58" s="203">
        <v>2.3777092737487203E-3</v>
      </c>
      <c r="AA58" s="200">
        <v>2.2684183906473976E-3</v>
      </c>
    </row>
    <row r="59" spans="10:27" x14ac:dyDescent="0.2">
      <c r="M59" s="201" t="str">
        <v>obj_0053d#0001</v>
      </c>
      <c r="N59" s="201" t="str">
        <f>_xll.qlRateHelperQuoteName(M59)</f>
        <v>USDFUT3MU2_Quote</v>
      </c>
      <c r="O59" s="199">
        <f>_xll.qlRateHelperEarliestDate(M59)</f>
        <v>44825</v>
      </c>
      <c r="P59" s="214">
        <f>1-_xll.qlRateHelperQuoteValue(M59,_xll.ohTrigger(RecalcTrigger,Trigger))/100</f>
        <v>4.2274999999999952E-2</v>
      </c>
      <c r="Q59" s="203" t="e">
        <f>NA()</f>
        <v>#N/A</v>
      </c>
      <c r="R59" s="199">
        <f>_xll.qlInterestRateIndexFixingDate(IborIndex,O59)</f>
        <v>44823</v>
      </c>
      <c r="S59" s="214">
        <f>_xll.qlIndexFixing(IborIndex,R59,TRUE,RecalcTrigger)</f>
        <v>3.8107924494131355E-2</v>
      </c>
      <c r="T59" s="231">
        <f>S59+_xll.qlFuturesRateHelperConvexityAdjustment(M59)-P59</f>
        <v>-1.5471018415297647E-3</v>
      </c>
      <c r="U59" s="213"/>
      <c r="W59" s="201" t="str">
        <f t="shared" si="7"/>
        <v>1D</v>
      </c>
      <c r="X59" s="199">
        <f>_xll.qlCalendarAdvance(LiborCalendar,X58,W59,"f",FALSE)</f>
        <v>41879</v>
      </c>
      <c r="Y59" s="202">
        <f>_xll.qlInterestRateIndexValueDate(IborIndex,X59,Trigger)</f>
        <v>41884</v>
      </c>
      <c r="Z59" s="203">
        <v>2.3843280589424904E-3</v>
      </c>
      <c r="AA59" s="200">
        <v>2.2660325720647023E-3</v>
      </c>
    </row>
    <row r="60" spans="10:27" ht="12" thickBot="1" x14ac:dyDescent="0.25">
      <c r="M60" s="216" t="str">
        <v>obj_00557#0001</v>
      </c>
      <c r="N60" s="201" t="str">
        <f>_xll.qlRateHelperQuoteName(M60)</f>
        <v>USDFUT3MZ2_Quote</v>
      </c>
      <c r="O60" s="199">
        <f>_xll.qlRateHelperEarliestDate(M60)</f>
        <v>44916</v>
      </c>
      <c r="P60" s="214">
        <f>1-_xll.qlRateHelperQuoteValue(M60,_xll.ohTrigger(RecalcTrigger,Trigger))/100</f>
        <v>4.2499999999999982E-2</v>
      </c>
      <c r="Q60" s="203" t="e">
        <f>NA()</f>
        <v>#N/A</v>
      </c>
      <c r="R60" s="199">
        <f>_xll.qlInterestRateIndexFixingDate(IborIndex,O60)</f>
        <v>44914</v>
      </c>
      <c r="S60" s="214">
        <f>_xll.qlIndexFixing(IborIndex,R60,TRUE,RecalcTrigger)</f>
        <v>3.8329681100005786E-2</v>
      </c>
      <c r="T60" s="231">
        <f>S60+_xll.qlFuturesRateHelperConvexityAdjustment(M60)-P60</f>
        <v>-1.4156435471257486E-3</v>
      </c>
      <c r="U60" s="213"/>
      <c r="W60" s="201" t="str">
        <f t="shared" si="7"/>
        <v>1D</v>
      </c>
      <c r="X60" s="199">
        <f>_xll.qlCalendarAdvance(LiborCalendar,X59,W60,"f",FALSE)</f>
        <v>41880</v>
      </c>
      <c r="Y60" s="202">
        <f>_xll.qlInterestRateIndexValueDate(IborIndex,X60,Trigger)</f>
        <v>41884</v>
      </c>
      <c r="Z60" s="203">
        <v>2.3843280589424904E-3</v>
      </c>
      <c r="AA60" s="200">
        <v>2.2660325720647023E-3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41883</v>
      </c>
      <c r="Y61" s="202">
        <f>_xll.qlInterestRateIndexValueDate(IborIndex,X61,Trigger)</f>
        <v>41885</v>
      </c>
      <c r="Z61" s="203">
        <v>2.3861210887541487E-3</v>
      </c>
      <c r="AA61" s="200">
        <v>2.2609367926662571E-3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41884</v>
      </c>
      <c r="Y62" s="202">
        <f>_xll.qlInterestRateIndexValueDate(IborIndex,X62,Trigger)</f>
        <v>41886</v>
      </c>
      <c r="Z62" s="203">
        <v>2.3879757947025322E-3</v>
      </c>
      <c r="AA62" s="200">
        <v>2.2555980220406724E-3</v>
      </c>
    </row>
    <row r="63" spans="10:27" x14ac:dyDescent="0.2">
      <c r="M63" s="201" t="str">
        <f t="array" ref="M63:M70">_xll.ohFilter(RateHelpers!B12:B53,RateHelpers!N12:N53)</f>
        <v>obj_00543#0001</v>
      </c>
      <c r="N63" s="201" t="str">
        <f>_xll.qlRateHelperQuoteName(M63)</f>
        <v>USDFUT3MN4_Quote</v>
      </c>
      <c r="O63" s="199">
        <f>_xll.qlRateHelperEarliestDate(M63)</f>
        <v>41836</v>
      </c>
      <c r="P63" s="228">
        <f>1-_xll.qlRateHelperQuoteValue(M63,_xll.ohTrigger(RecalcTrigger,Trigger))/100</f>
        <v>2.3125000000000506E-3</v>
      </c>
      <c r="Q63" s="203" t="e">
        <f>NA()</f>
        <v>#N/A</v>
      </c>
      <c r="R63" s="199">
        <f>_xll.qlInterestRateIndexFixingDate(IborIndex,O63)</f>
        <v>41834</v>
      </c>
      <c r="S63" s="214">
        <f>_xll.qlIndexFixing(IborIndex,R63,TRUE,RecalcTrigger)</f>
        <v>2.3115438648286901E-3</v>
      </c>
      <c r="T63" s="231">
        <f t="shared" ref="T63:T70" si="8">S63-P63</f>
        <v>-9.5613517136052331E-7</v>
      </c>
      <c r="U63" s="215">
        <f t="array" ref="U63">MAX(ABS(_xll.ohFilter(T63:T70,IF(ISERROR(T63:T70),FALSE,TRUE))))</f>
        <v>6.4102441767475808E-5</v>
      </c>
      <c r="W63" s="201" t="str">
        <f t="shared" si="7"/>
        <v>1D</v>
      </c>
      <c r="X63" s="199">
        <f>_xll.qlCalendarAdvance(LiborCalendar,X62,W63,"f",FALSE)</f>
        <v>41885</v>
      </c>
      <c r="Y63" s="202">
        <f>_xll.qlInterestRateIndexValueDate(IborIndex,X63,Trigger)</f>
        <v>41887</v>
      </c>
      <c r="Z63" s="203">
        <v>2.3898953481690404E-3</v>
      </c>
      <c r="AA63" s="200">
        <v>2.2534471859714245E-3</v>
      </c>
    </row>
    <row r="64" spans="10:27" x14ac:dyDescent="0.2">
      <c r="M64" s="201" t="str">
        <v>obj_00555#0001</v>
      </c>
      <c r="N64" s="201" t="str">
        <f>_xll.qlRateHelperQuoteName(M64)</f>
        <v>USDFUT3MQ4_Quote</v>
      </c>
      <c r="O64" s="199">
        <f>_xll.qlRateHelperEarliestDate(M64)</f>
        <v>41871</v>
      </c>
      <c r="P64" s="228">
        <f>1-_xll.qlRateHelperQuoteValue(M64,_xll.ohTrigger(RecalcTrigger,Trigger))/100</f>
        <v>2.375000000000016E-3</v>
      </c>
      <c r="Q64" s="203" t="e">
        <f>NA()</f>
        <v>#N/A</v>
      </c>
      <c r="R64" s="199">
        <f>_xll.qlInterestRateIndexFixingDate(IborIndex,O64)</f>
        <v>41869</v>
      </c>
      <c r="S64" s="214">
        <f>_xll.qlIndexFixing(IborIndex,R64,TRUE,RecalcTrigger)</f>
        <v>2.3656644219575674E-3</v>
      </c>
      <c r="T64" s="231">
        <f t="shared" si="8"/>
        <v>-9.3355780424486147E-6</v>
      </c>
      <c r="W64" s="201" t="str">
        <f t="shared" si="7"/>
        <v>1D</v>
      </c>
      <c r="X64" s="199">
        <f>_xll.qlCalendarAdvance(LiborCalendar,X63,W64,"f",FALSE)</f>
        <v>41886</v>
      </c>
      <c r="Y64" s="202">
        <f>_xll.qlInterestRateIndexValueDate(IborIndex,X64,Trigger)</f>
        <v>41890</v>
      </c>
      <c r="Z64" s="203">
        <v>2.3960748076195535E-3</v>
      </c>
      <c r="AA64" s="200">
        <v>2.2519373423612876E-3</v>
      </c>
    </row>
    <row r="65" spans="10:27" x14ac:dyDescent="0.2">
      <c r="M65" s="201" t="str">
        <v>obj_00542#0001</v>
      </c>
      <c r="N65" s="201" t="str">
        <f>_xll.qlRateHelperQuoteName(M65)</f>
        <v>USDFUT3MV4_Quote</v>
      </c>
      <c r="O65" s="199">
        <f>_xll.qlRateHelperEarliestDate(M65)</f>
        <v>41927</v>
      </c>
      <c r="P65" s="228">
        <f>1-_xll.qlRateHelperQuoteValue(M65,_xll.ohTrigger(RecalcTrigger,Trigger))/100</f>
        <v>2.5499999999999412E-3</v>
      </c>
      <c r="Q65" s="203" t="e">
        <f>NA()</f>
        <v>#N/A</v>
      </c>
      <c r="R65" s="199">
        <f>_xll.qlInterestRateIndexFixingDate(IborIndex,O65)</f>
        <v>41925</v>
      </c>
      <c r="S65" s="214">
        <f>_xll.qlIndexFixing(IborIndex,R65,TRUE,RecalcTrigger)</f>
        <v>2.4858975582324654E-3</v>
      </c>
      <c r="T65" s="231">
        <f t="shared" si="8"/>
        <v>-6.4102441767475808E-5</v>
      </c>
      <c r="W65" s="201" t="str">
        <f t="shared" si="7"/>
        <v>1D</v>
      </c>
      <c r="X65" s="199">
        <f>_xll.qlCalendarAdvance(LiborCalendar,X64,W65,"f",FALSE)</f>
        <v>41887</v>
      </c>
      <c r="Y65" s="202">
        <f>_xll.qlInterestRateIndexValueDate(IborIndex,X65,Trigger)</f>
        <v>41891</v>
      </c>
      <c r="Z65" s="203">
        <v>2.3982841044582134E-3</v>
      </c>
      <c r="AA65" s="200">
        <v>2.2510684912901979E-3</v>
      </c>
    </row>
    <row r="66" spans="10:27" x14ac:dyDescent="0.2">
      <c r="M66" s="201" t="str">
        <v>obj_00536#0001</v>
      </c>
      <c r="N66" s="201" t="str">
        <f>_xll.qlRateHelperQuoteName(M66)</f>
        <v>USDFUT3MX4_Quote</v>
      </c>
      <c r="O66" s="199">
        <f>_xll.qlRateHelperEarliestDate(M66)</f>
        <v>41962</v>
      </c>
      <c r="P66" s="228">
        <f>1-_xll.qlRateHelperQuoteValue(M66,_xll.ohTrigger(RecalcTrigger,Trigger))/100</f>
        <v>2.6249999999999885E-3</v>
      </c>
      <c r="Q66" s="203" t="e">
        <f>NA()</f>
        <v>#N/A</v>
      </c>
      <c r="R66" s="199">
        <f>_xll.qlInterestRateIndexFixingDate(IborIndex,O66)</f>
        <v>41960</v>
      </c>
      <c r="S66" s="214">
        <f>_xll.qlIndexFixing(IborIndex,R66,TRUE,RecalcTrigger)</f>
        <v>2.62834154508958E-3</v>
      </c>
      <c r="T66" s="231">
        <f t="shared" si="8"/>
        <v>3.3415450895915404E-6</v>
      </c>
      <c r="W66" s="201" t="str">
        <f t="shared" si="7"/>
        <v>1D</v>
      </c>
      <c r="X66" s="199">
        <f>_xll.qlCalendarAdvance(LiborCalendar,X65,W66,"f",FALSE)</f>
        <v>41890</v>
      </c>
      <c r="Y66" s="202">
        <f>_xll.qlInterestRateIndexValueDate(IborIndex,X66,Trigger)</f>
        <v>41892</v>
      </c>
      <c r="Z66" s="203">
        <v>2.4005659416784873E-3</v>
      </c>
      <c r="AA66" s="200">
        <v>2.251481511521547E-3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1" t="e">
        <f t="shared" si="8"/>
        <v>#NUM!</v>
      </c>
      <c r="U67" s="213"/>
      <c r="W67" s="201" t="str">
        <f t="shared" si="7"/>
        <v>1D</v>
      </c>
      <c r="X67" s="199">
        <f>_xll.qlCalendarAdvance(LiborCalendar,X66,W67,"f",FALSE)</f>
        <v>41891</v>
      </c>
      <c r="Y67" s="202">
        <f>_xll.qlInterestRateIndexValueDate(IborIndex,X67,Trigger)</f>
        <v>41893</v>
      </c>
      <c r="Z67" s="203">
        <v>2.4029153265216407E-3</v>
      </c>
      <c r="AA67" s="200">
        <v>2.254003011517014E-3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1" t="e">
        <f t="shared" si="8"/>
        <v>#NUM!</v>
      </c>
      <c r="W68" s="201" t="str">
        <f t="shared" si="7"/>
        <v>1D</v>
      </c>
      <c r="X68" s="199">
        <f>_xll.qlCalendarAdvance(LiborCalendar,X67,W68,"f",FALSE)</f>
        <v>41892</v>
      </c>
      <c r="Y68" s="202">
        <f>_xll.qlInterestRateIndexValueDate(IborIndex,X68,Trigger)</f>
        <v>41894</v>
      </c>
      <c r="Z68" s="203">
        <v>2.4053272662175203E-3</v>
      </c>
      <c r="AA68" s="200">
        <v>2.2563391228214158E-3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1" t="e">
        <f t="shared" si="8"/>
        <v>#NUM!</v>
      </c>
      <c r="W69" s="201" t="str">
        <f t="shared" si="7"/>
        <v>1D</v>
      </c>
      <c r="X69" s="199">
        <f>_xll.qlCalendarAdvance(LiborCalendar,X68,W69,"f",FALSE)</f>
        <v>41893</v>
      </c>
      <c r="Y69" s="202">
        <f>_xll.qlInterestRateIndexValueDate(IborIndex,X69,Trigger)</f>
        <v>41897</v>
      </c>
      <c r="Z69" s="203">
        <v>2.4128884865961273E-3</v>
      </c>
      <c r="AA69" s="200">
        <v>2.2593162265849287E-3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2" t="e">
        <f>_xll.qlIndexFixing(IborIndex,R70,TRUE,RecalcTrigger)</f>
        <v>#NUM!</v>
      </c>
      <c r="T70" s="231" t="e">
        <f t="shared" si="8"/>
        <v>#NUM!</v>
      </c>
      <c r="U70" s="213"/>
      <c r="W70" s="201" t="str">
        <f t="shared" si="7"/>
        <v>1D</v>
      </c>
      <c r="X70" s="199">
        <f>_xll.qlCalendarAdvance(LiborCalendar,X69,W70,"f",FALSE)</f>
        <v>41894</v>
      </c>
      <c r="Y70" s="202">
        <f>_xll.qlInterestRateIndexValueDate(IborIndex,X70,Trigger)</f>
        <v>41898</v>
      </c>
      <c r="Z70" s="203">
        <v>2.4155007178248171E-3</v>
      </c>
      <c r="AA70" s="200">
        <v>2.2629343228075527E-3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41897</v>
      </c>
      <c r="Y71" s="202">
        <f>_xll.qlInterestRateIndexValueDate(IborIndex,X71,Trigger)</f>
        <v>41899</v>
      </c>
      <c r="Z71" s="203">
        <v>2.4181505399114055E-3</v>
      </c>
      <c r="AA71" s="200">
        <v>2.2723214998965346E-3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41898</v>
      </c>
      <c r="Y72" s="202">
        <f>_xll.qlInterestRateIndexValueDate(IborIndex,X72,Trigger)</f>
        <v>41900</v>
      </c>
      <c r="Z72" s="203">
        <v>2.4208326669584589E-3</v>
      </c>
      <c r="AA72" s="200">
        <v>2.2838166334882004E-3</v>
      </c>
    </row>
    <row r="73" spans="10:27" x14ac:dyDescent="0.2">
      <c r="M73" s="201" t="str">
        <f t="array" ref="M73:M109">_xll.ohFilter(RateHelpers!B61:B97,IF(ISERROR(RateHelpers!D61:D97),FALSE,TRUE))</f>
        <v>obj_00510#0003</v>
      </c>
      <c r="N73" s="201" t="str">
        <f>_xll.qlRateHelperQuoteName(M73)</f>
        <v>USDAM3L1Y_Quote</v>
      </c>
      <c r="O73" s="199">
        <f>_xll.qlRateHelperLatestDate(M73,Trigger)</f>
        <v>42192</v>
      </c>
      <c r="P73" s="209">
        <f>_xll.qlRateHelperQuoteValue(M73,_xll.ohTrigger(RecalcTrigger,YieldCurve))</f>
        <v>2.8900000000000002E-3</v>
      </c>
      <c r="Q73" s="210" t="str">
        <f t="shared" ref="Q73:Q109" si="9"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obj_00563#0003</v>
      </c>
      <c r="S73" s="212">
        <f>_xll.qlIndexFixing(R73,$X$19,TRUE,Trigger)</f>
        <v>2.9414916817224494E-3</v>
      </c>
      <c r="T73" s="231">
        <f t="shared" ref="T73:T109" si="10">S73-P73</f>
        <v>5.1491681722449188E-5</v>
      </c>
      <c r="W73" s="201" t="str">
        <f t="shared" si="7"/>
        <v>1D</v>
      </c>
      <c r="X73" s="199">
        <f>_xll.qlCalendarAdvance(LiborCalendar,X72,W73,"f",FALSE)</f>
        <v>41899</v>
      </c>
      <c r="Y73" s="202">
        <f>_xll.qlInterestRateIndexValueDate(IborIndex,X73,Trigger)</f>
        <v>41901</v>
      </c>
      <c r="Z73" s="203">
        <v>2.4235406407922015E-3</v>
      </c>
      <c r="AA73" s="200">
        <v>2.2906396926458683E-3</v>
      </c>
    </row>
    <row r="74" spans="10:27" x14ac:dyDescent="0.2">
      <c r="M74" s="201" t="str">
        <v>obj_00511#0003</v>
      </c>
      <c r="N74" s="201" t="str">
        <f>_xll.qlRateHelperQuoteName(M74)</f>
        <v>USDAM3L2Y_Quote</v>
      </c>
      <c r="O74" s="199">
        <f>_xll.qlRateHelperLatestDate(M74,Trigger)</f>
        <v>42558</v>
      </c>
      <c r="P74" s="209">
        <f>_xll.qlRateHelperQuoteValue(M74,_xll.ohTrigger(RecalcTrigger,YieldCurve))</f>
        <v>6.0899999999999999E-3</v>
      </c>
      <c r="Q74" s="210" t="str">
        <f t="shared" si="9"/>
        <v>2Y</v>
      </c>
      <c r="R74" s="211" t="str">
        <f>_xll.qlSwapIndex(,FamilyName,Q74,NDays,Currency,Calendar,"1Y","mf","act/360",IborIndex,Discounting,,_xll.ohTrigger(Trigger,RecalcTrigger))</f>
        <v>obj_0055d#0003</v>
      </c>
      <c r="S74" s="212">
        <f>_xll.qlIndexFixing(R74,$X$19,TRUE,Trigger)</f>
        <v>6.2841362270869301E-3</v>
      </c>
      <c r="T74" s="231">
        <f t="shared" si="10"/>
        <v>1.9413622708693012E-4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41900</v>
      </c>
      <c r="Y74" s="202">
        <f>_xll.qlInterestRateIndexValueDate(IborIndex,X74,Trigger)</f>
        <v>41904</v>
      </c>
      <c r="Z74" s="203">
        <v>2.4317521303649039E-3</v>
      </c>
      <c r="AA74" s="200">
        <v>2.2981037445024555E-3</v>
      </c>
    </row>
    <row r="75" spans="10:27" x14ac:dyDescent="0.2">
      <c r="M75" s="201" t="str">
        <v>obj_00517#0003</v>
      </c>
      <c r="N75" s="201" t="str">
        <f>_xll.qlRateHelperQuoteName(M75)</f>
        <v>USDAM3L3Y_Quote</v>
      </c>
      <c r="O75" s="199">
        <f>_xll.qlRateHelperLatestDate(M75,Trigger)</f>
        <v>42923</v>
      </c>
      <c r="P75" s="209">
        <f>_xll.qlRateHelperQuoteValue(M75,_xll.ohTrigger(RecalcTrigger,YieldCurve))</f>
        <v>1.0489999999999999E-2</v>
      </c>
      <c r="Q75" s="210" t="str">
        <f t="shared" si="9"/>
        <v>3Y</v>
      </c>
      <c r="R75" s="211" t="str">
        <f>_xll.qlSwapIndex(,FamilyName,Q75,NDays,Currency,Calendar,"1Y","mf","act/360",IborIndex,Discounting,,_xll.ohTrigger(Trigger,RecalcTrigger))</f>
        <v>obj_00565#0003</v>
      </c>
      <c r="S75" s="212">
        <f>_xll.qlIndexFixing(R75,$X$19,TRUE,Trigger)</f>
        <v>1.0489999999587801E-2</v>
      </c>
      <c r="T75" s="231">
        <f t="shared" si="10"/>
        <v>-4.1219805346770499E-13</v>
      </c>
      <c r="U75" s="215">
        <f t="array" ref="U75">MAX(ABS(_xll.ohFilter(T75:T109,IF(ISERROR(T75:T109),FALSE,TRUE))))</f>
        <v>1.6852793310873082E-7</v>
      </c>
      <c r="W75" s="201" t="str">
        <f t="shared" si="7"/>
        <v>1D</v>
      </c>
      <c r="X75" s="199">
        <f>_xll.qlCalendarAdvance(LiborCalendar,X74,W75,"f",FALSE)</f>
        <v>41901</v>
      </c>
      <c r="Y75" s="202">
        <f>_xll.qlInterestRateIndexValueDate(IborIndex,X75,Trigger)</f>
        <v>41905</v>
      </c>
      <c r="Z75" s="203">
        <v>2.4344959786036318E-3</v>
      </c>
      <c r="AA75" s="200">
        <v>2.3062087890579619E-3</v>
      </c>
    </row>
    <row r="76" spans="10:27" x14ac:dyDescent="0.2">
      <c r="M76" s="201" t="str">
        <v>obj_00523#0003</v>
      </c>
      <c r="N76" s="201" t="str">
        <f>_xll.qlRateHelperQuoteName(M76)</f>
        <v>USDAM3L4Y_Quote</v>
      </c>
      <c r="O76" s="199">
        <f>_xll.qlRateHelperLatestDate(M76,Trigger)</f>
        <v>43290</v>
      </c>
      <c r="P76" s="209">
        <f>_xll.qlRateHelperQuoteValue(M76,_xll.ohTrigger(RecalcTrigger,YieldCurve))</f>
        <v>1.4500000000000002E-2</v>
      </c>
      <c r="Q76" s="210" t="str">
        <f t="shared" si="9"/>
        <v>4Y</v>
      </c>
      <c r="R76" s="211" t="str">
        <f>_xll.qlSwapIndex(,FamilyName,Q76,NDays,Currency,Calendar,"1Y","mf","act/360",IborIndex,Discounting,,_xll.ohTrigger(Trigger,RecalcTrigger))</f>
        <v>obj_0055c#0003</v>
      </c>
      <c r="S76" s="212">
        <f>_xll.qlIndexFixing(R76,$X$19,TRUE,Trigger)</f>
        <v>1.4500000460917322E-2</v>
      </c>
      <c r="T76" s="231">
        <f t="shared" si="10"/>
        <v>4.6091731993602725E-10</v>
      </c>
      <c r="U76" s="213"/>
      <c r="W76" s="201" t="str">
        <f t="shared" si="7"/>
        <v>1D</v>
      </c>
      <c r="X76" s="199">
        <f>_xll.qlCalendarAdvance(LiborCalendar,X75,W76,"f",FALSE)</f>
        <v>41904</v>
      </c>
      <c r="Y76" s="202">
        <f>_xll.qlInterestRateIndexValueDate(IborIndex,X76,Trigger)</f>
        <v>41906</v>
      </c>
      <c r="Z76" s="203">
        <v>2.4372319171641721E-3</v>
      </c>
      <c r="AA76" s="200">
        <v>2.3245705307317621E-3</v>
      </c>
    </row>
    <row r="77" spans="10:27" x14ac:dyDescent="0.2">
      <c r="M77" s="201" t="str">
        <v>obj_0052c#0003</v>
      </c>
      <c r="N77" s="201" t="str">
        <f>_xll.qlRateHelperQuoteName(M77)</f>
        <v>USDAM3L5Y_Quote</v>
      </c>
      <c r="O77" s="199">
        <f>_xll.qlRateHelperLatestDate(M77,Trigger)</f>
        <v>43654</v>
      </c>
      <c r="P77" s="209">
        <f>_xll.qlRateHelperQuoteValue(M77,_xll.ohTrigger(RecalcTrigger,YieldCurve))</f>
        <v>1.77E-2</v>
      </c>
      <c r="Q77" s="210" t="str">
        <f t="shared" si="9"/>
        <v>5Y</v>
      </c>
      <c r="R77" s="211" t="str">
        <f>_xll.qlSwapIndex(,FamilyName,Q77,NDays,Currency,Calendar,"1Y","mf","act/360",IborIndex,Discounting,,_xll.ohTrigger(Trigger,RecalcTrigger))</f>
        <v>obj_0056a#0003</v>
      </c>
      <c r="S77" s="212">
        <f>_xll.qlIndexFixing(R77,$X$19,TRUE,Trigger)</f>
        <v>1.7700000337365511E-2</v>
      </c>
      <c r="T77" s="231">
        <f t="shared" si="10"/>
        <v>3.3736551052765407E-10</v>
      </c>
      <c r="W77" s="201" t="str">
        <f t="shared" si="7"/>
        <v>1D</v>
      </c>
      <c r="X77" s="199">
        <f>_xll.qlCalendarAdvance(LiborCalendar,X76,W77,"f",FALSE)</f>
        <v>41905</v>
      </c>
      <c r="Y77" s="202">
        <f>_xll.qlInterestRateIndexValueDate(IborIndex,X77,Trigger)</f>
        <v>41907</v>
      </c>
      <c r="Z77" s="203">
        <v>2.445119686194144E-3</v>
      </c>
      <c r="AA77" s="200">
        <v>2.3450388955481571E-3</v>
      </c>
    </row>
    <row r="78" spans="10:27" x14ac:dyDescent="0.2">
      <c r="M78" s="201" t="str">
        <v>obj_0051d#0003</v>
      </c>
      <c r="N78" s="201" t="str">
        <f>_xll.qlRateHelperQuoteName(M78)</f>
        <v>USDAM3L6Y_Quote</v>
      </c>
      <c r="O78" s="199">
        <f>_xll.qlRateHelperLatestDate(M78,Trigger)</f>
        <v>44019</v>
      </c>
      <c r="P78" s="209">
        <f>_xll.qlRateHelperQuoteValue(M78,_xll.ohTrigger(RecalcTrigger,YieldCurve))</f>
        <v>2.0289999999999999E-2</v>
      </c>
      <c r="Q78" s="210" t="str">
        <f t="shared" si="9"/>
        <v>6Y</v>
      </c>
      <c r="R78" s="211" t="str">
        <f>_xll.qlSwapIndex(,FamilyName,Q78,NDays,Currency,Calendar,"1Y","mf","act/360",IborIndex,Discounting,,_xll.ohTrigger(Trigger,RecalcTrigger))</f>
        <v>obj_0056c#0003</v>
      </c>
      <c r="S78" s="212">
        <f>_xll.qlIndexFixing(R78,$X$19,TRUE,Trigger)</f>
        <v>2.0290000284691426E-2</v>
      </c>
      <c r="T78" s="231">
        <f t="shared" si="10"/>
        <v>2.8469142668297032E-10</v>
      </c>
      <c r="W78" s="201" t="str">
        <f t="shared" si="7"/>
        <v>1D</v>
      </c>
      <c r="X78" s="199">
        <f>_xll.qlCalendarAdvance(LiborCalendar,X77,W78,"f",FALSE)</f>
        <v>41906</v>
      </c>
      <c r="Y78" s="202">
        <f>_xll.qlInterestRateIndexValueDate(IborIndex,X78,Trigger)</f>
        <v>41908</v>
      </c>
      <c r="Z78" s="203">
        <v>2.4465817885604623E-3</v>
      </c>
      <c r="AA78" s="200">
        <v>2.3563489043976205E-3</v>
      </c>
    </row>
    <row r="79" spans="10:27" x14ac:dyDescent="0.2">
      <c r="M79" s="201" t="str">
        <v>obj_00525#0003</v>
      </c>
      <c r="N79" s="201" t="str">
        <f>_xll.qlRateHelperQuoteName(M79)</f>
        <v>USDAM3L7Y_Quote</v>
      </c>
      <c r="O79" s="199">
        <f>_xll.qlRateHelperLatestDate(M79,Trigger)</f>
        <v>44384</v>
      </c>
      <c r="P79" s="209">
        <f>_xll.qlRateHelperQuoteValue(M79,_xll.ohTrigger(RecalcTrigger,YieldCurve))</f>
        <v>2.2400000000000003E-2</v>
      </c>
      <c r="Q79" s="210" t="str">
        <f t="shared" si="9"/>
        <v>7Y</v>
      </c>
      <c r="R79" s="211" t="str">
        <f>_xll.qlSwapIndex(,FamilyName,Q79,NDays,Currency,Calendar,"1Y","mf","act/360",IborIndex,Discounting,,_xll.ohTrigger(Trigger,RecalcTrigger))</f>
        <v>obj_00560#0003</v>
      </c>
      <c r="S79" s="212">
        <f>_xll.qlIndexFixing(R79,$X$19,TRUE,Trigger)</f>
        <v>2.2400000247399826E-2</v>
      </c>
      <c r="T79" s="231">
        <f t="shared" si="10"/>
        <v>2.473998228502694E-10</v>
      </c>
      <c r="W79" s="201" t="str">
        <f t="shared" si="7"/>
        <v>1D</v>
      </c>
      <c r="X79" s="199">
        <f>_xll.qlCalendarAdvance(LiborCalendar,X78,W79,"f",FALSE)</f>
        <v>41907</v>
      </c>
      <c r="Y79" s="202">
        <f>_xll.qlInterestRateIndexValueDate(IborIndex,X79,Trigger)</f>
        <v>41911</v>
      </c>
      <c r="Z79" s="203">
        <v>2.4505566669547492E-3</v>
      </c>
      <c r="AA79" s="200">
        <v>2.3682999064256194E-3</v>
      </c>
    </row>
    <row r="80" spans="10:27" x14ac:dyDescent="0.2">
      <c r="M80" s="201" t="str">
        <v>obj_004fd#0003</v>
      </c>
      <c r="N80" s="201" t="str">
        <f>_xll.qlRateHelperQuoteName(M80)</f>
        <v>USDAM3L8Y_Quote</v>
      </c>
      <c r="O80" s="199">
        <f>_xll.qlRateHelperLatestDate(M80,Trigger)</f>
        <v>44749</v>
      </c>
      <c r="P80" s="209">
        <f>_xll.qlRateHelperQuoteValue(M80,_xll.ohTrigger(RecalcTrigger,YieldCurve))</f>
        <v>2.4109999999999999E-2</v>
      </c>
      <c r="Q80" s="210" t="str">
        <f t="shared" si="9"/>
        <v>8Y</v>
      </c>
      <c r="R80" s="211" t="str">
        <f>_xll.qlSwapIndex(,FamilyName,Q80,NDays,Currency,Calendar,"1Y","mf","act/360",IborIndex,Discounting,,_xll.ohTrigger(Trigger,RecalcTrigger))</f>
        <v>obj_00567#0003</v>
      </c>
      <c r="S80" s="212">
        <f>_xll.qlIndexFixing(R80,$X$19,TRUE,Trigger)</f>
        <v>2.4110000219556255E-2</v>
      </c>
      <c r="T80" s="231">
        <f t="shared" si="10"/>
        <v>2.1955625512104504E-10</v>
      </c>
      <c r="W80" s="201" t="str">
        <f t="shared" si="7"/>
        <v>1D</v>
      </c>
      <c r="X80" s="199">
        <f>_xll.qlCalendarAdvance(LiborCalendar,X79,W80,"f",FALSE)</f>
        <v>41908</v>
      </c>
      <c r="Y80" s="202">
        <f>_xll.qlInterestRateIndexValueDate(IborIndex,X80,Trigger)</f>
        <v>41912</v>
      </c>
      <c r="Z80" s="203">
        <v>2.4545320378905988E-3</v>
      </c>
      <c r="AA80" s="200">
        <v>2.3808919013923457E-3</v>
      </c>
    </row>
    <row r="81" spans="13:27" x14ac:dyDescent="0.2">
      <c r="M81" s="201" t="str">
        <v>obj_0050f#0003</v>
      </c>
      <c r="N81" s="201" t="str">
        <f>_xll.qlRateHelperQuoteName(M81)</f>
        <v>USDAM3L9Y_Quote</v>
      </c>
      <c r="O81" s="199">
        <f>_xll.qlRateHelperLatestDate(M81,Trigger)</f>
        <v>45114</v>
      </c>
      <c r="P81" s="209">
        <f>_xll.qlRateHelperQuoteValue(M81,_xll.ohTrigger(RecalcTrigger,YieldCurve))</f>
        <v>2.5540000000000004E-2</v>
      </c>
      <c r="Q81" s="210" t="str">
        <f t="shared" si="9"/>
        <v>9Y</v>
      </c>
      <c r="R81" s="211" t="str">
        <f>_xll.qlSwapIndex(,FamilyName,Q81,NDays,Currency,Calendar,"1Y","mf","act/360",IborIndex,Discounting,,_xll.ohTrigger(Trigger,RecalcTrigger))</f>
        <v>obj_00568#0003</v>
      </c>
      <c r="S81" s="212">
        <f>_xll.qlIndexFixing(R81,$X$19,TRUE,Trigger)</f>
        <v>2.5539831472066895E-2</v>
      </c>
      <c r="T81" s="231">
        <f t="shared" si="10"/>
        <v>-1.6852793310873082E-7</v>
      </c>
      <c r="W81" s="201" t="str">
        <f t="shared" si="7"/>
        <v>1D</v>
      </c>
      <c r="X81" s="199">
        <f>_xll.qlCalendarAdvance(LiborCalendar,X80,W81,"f",FALSE)</f>
        <v>41911</v>
      </c>
      <c r="Y81" s="202">
        <f>_xll.qlInterestRateIndexValueDate(IborIndex,X81,Trigger)</f>
        <v>41913</v>
      </c>
      <c r="Z81" s="203">
        <v>2.4585724421904449E-3</v>
      </c>
      <c r="AA81" s="200">
        <v>2.4082286449811363E-3</v>
      </c>
    </row>
    <row r="82" spans="13:27" x14ac:dyDescent="0.2">
      <c r="M82" s="201" t="str">
        <v>obj_00516#0003</v>
      </c>
      <c r="N82" s="201" t="str">
        <f>_xll.qlRateHelperQuoteName(M82)</f>
        <v>USDAM3L10Y_Quote</v>
      </c>
      <c r="O82" s="199">
        <f>_xll.qlRateHelperLatestDate(M82,Trigger)</f>
        <v>45481</v>
      </c>
      <c r="P82" s="209">
        <f>_xll.qlRateHelperQuoteValue(M82,_xll.ohTrigger(RecalcTrigger,YieldCurve))</f>
        <v>2.6749999999999999E-2</v>
      </c>
      <c r="Q82" s="210" t="str">
        <f t="shared" si="9"/>
        <v>10Y</v>
      </c>
      <c r="R82" s="211" t="str">
        <f>_xll.qlSwapIndex(,FamilyName,Q82,NDays,Currency,Calendar,"1Y","mf","act/360",IborIndex,Discounting,,_xll.ohTrigger(Trigger,RecalcTrigger))</f>
        <v>obj_0056d#0003</v>
      </c>
      <c r="S82" s="212">
        <f>_xll.qlIndexFixing(R82,$X$19,TRUE,Trigger)</f>
        <v>2.6749845760969001E-2</v>
      </c>
      <c r="T82" s="231">
        <f t="shared" si="10"/>
        <v>-1.5423903099859304E-7</v>
      </c>
      <c r="W82" s="201" t="str">
        <f t="shared" si="7"/>
        <v>1D</v>
      </c>
      <c r="X82" s="199">
        <f>_xll.qlCalendarAdvance(LiborCalendar,X81,W82,"f",FALSE)</f>
        <v>41912</v>
      </c>
      <c r="Y82" s="202">
        <f>_xll.qlInterestRateIndexValueDate(IborIndex,X82,Trigger)</f>
        <v>41914</v>
      </c>
      <c r="Z82" s="203">
        <v>2.4595374850656035E-3</v>
      </c>
      <c r="AA82" s="200">
        <v>2.4376698138439679E-3</v>
      </c>
    </row>
    <row r="83" spans="13:27" x14ac:dyDescent="0.2">
      <c r="M83" s="201" t="str">
        <v>obj_0050c#0003</v>
      </c>
      <c r="N83" s="201" t="str">
        <f>_xll.qlRateHelperQuoteName(M83)</f>
        <v>USDAM3L12Y_Quote</v>
      </c>
      <c r="O83" s="199">
        <f>_xll.qlRateHelperLatestDate(M83,Trigger)</f>
        <v>46210</v>
      </c>
      <c r="P83" s="209">
        <f>_xll.qlRateHelperQuoteValue(M83,_xll.ohTrigger(RecalcTrigger,YieldCurve))</f>
        <v>2.8739999999999998E-2</v>
      </c>
      <c r="Q83" s="210" t="str">
        <f t="shared" si="9"/>
        <v>12Y</v>
      </c>
      <c r="R83" s="211" t="str">
        <f>_xll.qlSwapIndex(,FamilyName,Q83,NDays,Currency,Calendar,"1Y","mf","act/360",IborIndex,Discounting,,_xll.ohTrigger(Trigger,RecalcTrigger))</f>
        <v>obj_0056b#0003</v>
      </c>
      <c r="S83" s="212">
        <f>_xll.qlIndexFixing(R83,$X$19,TRUE,Trigger)</f>
        <v>2.8739867261924824E-2</v>
      </c>
      <c r="T83" s="231">
        <f t="shared" si="10"/>
        <v>-1.3273807517380498E-7</v>
      </c>
      <c r="W83" s="201" t="str">
        <f t="shared" si="7"/>
        <v>1D</v>
      </c>
      <c r="X83" s="199">
        <f>_xll.qlCalendarAdvance(LiborCalendar,X82,W83,"f",FALSE)</f>
        <v>41913</v>
      </c>
      <c r="Y83" s="202">
        <f>_xll.qlInterestRateIndexValueDate(IborIndex,X83,Trigger)</f>
        <v>41915</v>
      </c>
      <c r="Z83" s="203">
        <v>2.4651613240059323E-3</v>
      </c>
      <c r="AA83" s="200">
        <v>2.4529628323755048E-3</v>
      </c>
    </row>
    <row r="84" spans="13:27" x14ac:dyDescent="0.2">
      <c r="M84" s="201" t="str">
        <v>obj_00528#0003</v>
      </c>
      <c r="N84" s="201" t="str">
        <f>_xll.qlRateHelperQuoteName(M84)</f>
        <v>USDAM3L15Y_Quote</v>
      </c>
      <c r="O84" s="199">
        <f>_xll.qlRateHelperLatestDate(M84,Trigger)</f>
        <v>47308</v>
      </c>
      <c r="P84" s="209">
        <f>_xll.qlRateHelperQuoteValue(M84,_xll.ohTrigger(RecalcTrigger,YieldCurve))</f>
        <v>3.074E-2</v>
      </c>
      <c r="Q84" s="210" t="str">
        <f t="shared" si="9"/>
        <v>15Y</v>
      </c>
      <c r="R84" s="211" t="str">
        <f>_xll.qlSwapIndex(,FamilyName,Q84,NDays,Currency,Calendar,"1Y","mf","act/360",IborIndex,Discounting,,_xll.ohTrigger(Trigger,RecalcTrigger))</f>
        <v>obj_00566#0003</v>
      </c>
      <c r="S84" s="212">
        <f>_xll.qlIndexFixing(R84,$X$19,TRUE,Trigger)</f>
        <v>3.0739888347066091E-2</v>
      </c>
      <c r="T84" s="231">
        <f t="shared" si="10"/>
        <v>-1.1165293390888453E-7</v>
      </c>
      <c r="W84" s="201" t="str">
        <f t="shared" si="7"/>
        <v>1D</v>
      </c>
      <c r="X84" s="199">
        <f>_xll.qlCalendarAdvance(LiborCalendar,X83,W84,"f",FALSE)</f>
        <v>41914</v>
      </c>
      <c r="Y84" s="202">
        <f>_xll.qlInterestRateIndexValueDate(IborIndex,X84,Trigger)</f>
        <v>41918</v>
      </c>
      <c r="Z84" s="203">
        <v>2.4686833606042502E-3</v>
      </c>
      <c r="AA84" s="200">
        <v>2.4663771287691816E-3</v>
      </c>
    </row>
    <row r="85" spans="13:27" x14ac:dyDescent="0.2">
      <c r="M85" s="201" t="str">
        <v>obj_0052a#0003</v>
      </c>
      <c r="N85" s="201" t="str">
        <f>_xll.qlRateHelperQuoteName(M85)</f>
        <v>USDAM3L20Y_Quote</v>
      </c>
      <c r="O85" s="199">
        <f>_xll.qlRateHelperLatestDate(M85,Trigger)</f>
        <v>49132</v>
      </c>
      <c r="P85" s="209">
        <f>_xll.qlRateHelperQuoteValue(M85,_xll.ohTrigger(RecalcTrigger,YieldCurve))</f>
        <v>3.2489999999999998E-2</v>
      </c>
      <c r="Q85" s="210" t="str">
        <f t="shared" si="9"/>
        <v>20Y</v>
      </c>
      <c r="R85" s="211" t="str">
        <f>_xll.qlSwapIndex(,FamilyName,Q85,NDays,Currency,Calendar,"1Y","mf","act/360",IborIndex,Discounting,,_xll.ohTrigger(Trigger,RecalcTrigger))</f>
        <v>obj_0055f#0003</v>
      </c>
      <c r="S85" s="212">
        <f>_xll.qlIndexFixing(R85,$X$19,TRUE,Trigger)</f>
        <v>3.2489947267807955E-2</v>
      </c>
      <c r="T85" s="231">
        <f t="shared" si="10"/>
        <v>-5.2732192043491999E-8</v>
      </c>
      <c r="W85" s="201" t="str">
        <f t="shared" ref="W85:W148" si="11">W84</f>
        <v>1D</v>
      </c>
      <c r="X85" s="199">
        <f>_xll.qlCalendarAdvance(LiborCalendar,X84,W85,"f",FALSE)</f>
        <v>41915</v>
      </c>
      <c r="Y85" s="202">
        <f>_xll.qlInterestRateIndexValueDate(IborIndex,X85,Trigger)</f>
        <v>41919</v>
      </c>
      <c r="Z85" s="203">
        <v>2.4707506612245051E-3</v>
      </c>
      <c r="AA85" s="200">
        <v>2.4774087598977701E-3</v>
      </c>
    </row>
    <row r="86" spans="13:27" x14ac:dyDescent="0.2">
      <c r="M86" s="201" t="str">
        <v>obj_0052d#0003</v>
      </c>
      <c r="N86" s="201" t="str">
        <f>_xll.qlRateHelperQuoteName(M86)</f>
        <v>USDAM3L25Y_Quote</v>
      </c>
      <c r="O86" s="199">
        <f>_xll.qlRateHelperLatestDate(M86,Trigger)</f>
        <v>50958</v>
      </c>
      <c r="P86" s="209">
        <f>_xll.qlRateHelperQuoteValue(M86,_xll.ohTrigger(RecalcTrigger,YieldCurve))</f>
        <v>3.3270000000000001E-2</v>
      </c>
      <c r="Q86" s="210" t="str">
        <f t="shared" si="9"/>
        <v>25Y</v>
      </c>
      <c r="R86" s="211" t="str">
        <f>_xll.qlSwapIndex(,FamilyName,Q86,NDays,Currency,Calendar,"1Y","mf","act/360",IborIndex,Discounting,,_xll.ohTrigger(Trigger,RecalcTrigger))</f>
        <v>obj_00561#0003</v>
      </c>
      <c r="S86" s="212">
        <f>_xll.qlIndexFixing(R86,$X$19,TRUE,Trigger)</f>
        <v>3.3269954232824105E-2</v>
      </c>
      <c r="T86" s="231">
        <f t="shared" si="10"/>
        <v>-4.5767175896327394E-8</v>
      </c>
      <c r="W86" s="201" t="str">
        <f t="shared" si="11"/>
        <v>1D</v>
      </c>
      <c r="X86" s="199">
        <f>_xll.qlCalendarAdvance(LiborCalendar,X85,W86,"f",FALSE)</f>
        <v>41918</v>
      </c>
      <c r="Y86" s="202">
        <f>_xll.qlInterestRateIndexValueDate(IborIndex,X86,Trigger)</f>
        <v>41920</v>
      </c>
      <c r="Z86" s="203">
        <v>2.472722419220513E-3</v>
      </c>
      <c r="AA86" s="200">
        <v>2.4931004067196838E-3</v>
      </c>
    </row>
    <row r="87" spans="13:27" x14ac:dyDescent="0.2">
      <c r="M87" s="201" t="str">
        <v>obj_00520#0003</v>
      </c>
      <c r="N87" s="201" t="str">
        <f>_xll.qlRateHelperQuoteName(M87)</f>
        <v>USDAM3L30Y_Quote</v>
      </c>
      <c r="O87" s="199">
        <f>_xll.qlRateHelperLatestDate(M87,Trigger)</f>
        <v>52785</v>
      </c>
      <c r="P87" s="209">
        <f>_xll.qlRateHelperQuoteValue(M87,_xll.ohTrigger(RecalcTrigger,YieldCurve))</f>
        <v>3.363E-2</v>
      </c>
      <c r="Q87" s="210" t="str">
        <f t="shared" si="9"/>
        <v>30Y</v>
      </c>
      <c r="R87" s="211" t="str">
        <f>_xll.qlSwapIndex(,FamilyName,Q87,NDays,Currency,Calendar,"1Y","mf","act/360",IborIndex,Discounting,,_xll.ohTrigger(Trigger,RecalcTrigger))</f>
        <v>obj_00562#0003</v>
      </c>
      <c r="S87" s="212">
        <f>_xll.qlIndexFixing(R87,$X$19,TRUE,Trigger)</f>
        <v>3.3629962015335434E-2</v>
      </c>
      <c r="T87" s="231">
        <f t="shared" si="10"/>
        <v>-3.7984664566503845E-8</v>
      </c>
      <c r="W87" s="201" t="str">
        <f t="shared" si="11"/>
        <v>1D</v>
      </c>
      <c r="X87" s="199">
        <f>_xll.qlCalendarAdvance(LiborCalendar,X86,W87,"f",FALSE)</f>
        <v>41919</v>
      </c>
      <c r="Y87" s="202">
        <f>_xll.qlInterestRateIndexValueDate(IborIndex,X87,Trigger)</f>
        <v>41921</v>
      </c>
      <c r="Z87" s="203">
        <v>2.4746193617400988E-3</v>
      </c>
      <c r="AA87" s="200">
        <v>2.4968269287306555E-3</v>
      </c>
    </row>
    <row r="88" spans="13:27" x14ac:dyDescent="0.2">
      <c r="M88" s="201" t="str">
        <v>obj_0050e#0003</v>
      </c>
      <c r="N88" s="201" t="str">
        <f>_xll.qlRateHelperQuoteName(M88)</f>
        <v>USDAM3L40Y_Quote</v>
      </c>
      <c r="O88" s="199">
        <f>_xll.qlRateHelperLatestDate(M88,Trigger)</f>
        <v>56437</v>
      </c>
      <c r="P88" s="209">
        <f>_xll.qlRateHelperQuoteValue(M88,_xll.ohTrigger(RecalcTrigger,YieldCurve))</f>
        <v>3.381E-2</v>
      </c>
      <c r="Q88" s="210" t="str">
        <f t="shared" si="9"/>
        <v>40Y</v>
      </c>
      <c r="R88" s="211" t="str">
        <f>_xll.qlSwapIndex(,FamilyName,Q88,NDays,Currency,Calendar,"1Y","mf","act/360",IborIndex,Discounting,,_xll.ohTrigger(Trigger,RecalcTrigger))</f>
        <v>obj_0055e#0003</v>
      </c>
      <c r="S88" s="212">
        <f>_xll.qlIndexFixing(R88,$X$19,TRUE,Trigger)</f>
        <v>3.3809979909822624E-2</v>
      </c>
      <c r="T88" s="231">
        <f t="shared" si="10"/>
        <v>-2.0090177375864382E-8</v>
      </c>
      <c r="W88" s="201" t="str">
        <f t="shared" si="11"/>
        <v>1D</v>
      </c>
      <c r="X88" s="199">
        <f>_xll.qlCalendarAdvance(LiborCalendar,X87,W88,"f",FALSE)</f>
        <v>41920</v>
      </c>
      <c r="Y88" s="202">
        <f>_xll.qlInterestRateIndexValueDate(IborIndex,X88,Trigger)</f>
        <v>41922</v>
      </c>
      <c r="Z88" s="203">
        <v>2.4803500554980398E-3</v>
      </c>
      <c r="AA88" s="200">
        <v>2.4935625645916559E-3</v>
      </c>
    </row>
    <row r="89" spans="13:27" x14ac:dyDescent="0.2">
      <c r="M89" s="201" t="str">
        <v>obj_00519#0003</v>
      </c>
      <c r="N89" s="201" t="str">
        <f>_xll.qlRateHelperQuoteName(M89)</f>
        <v>USDAM3L50Y_Quote</v>
      </c>
      <c r="O89" s="199">
        <f>_xll.qlRateHelperLatestDate(M89,Trigger)</f>
        <v>60090</v>
      </c>
      <c r="P89" s="209">
        <f>_xll.qlRateHelperQuoteValue(M89,_xll.ohTrigger(RecalcTrigger,YieldCurve))</f>
        <v>3.3620000000000004E-2</v>
      </c>
      <c r="Q89" s="210" t="str">
        <f t="shared" si="9"/>
        <v>50Y</v>
      </c>
      <c r="R89" s="211" t="str">
        <f>_xll.qlSwapIndex(,FamilyName,Q89,NDays,Currency,Calendar,"1Y","mf","act/360",IborIndex,Discounting,,_xll.ohTrigger(Trigger,RecalcTrigger))</f>
        <v>obj_00569#0003</v>
      </c>
      <c r="S89" s="212">
        <f>_xll.qlIndexFixing(R89,$X$19,TRUE,Trigger)</f>
        <v>3.3619981715337387E-2</v>
      </c>
      <c r="T89" s="231">
        <f t="shared" si="10"/>
        <v>-1.8284662617329417E-8</v>
      </c>
      <c r="W89" s="201" t="str">
        <f t="shared" si="11"/>
        <v>1D</v>
      </c>
      <c r="X89" s="199">
        <f>_xll.qlCalendarAdvance(LiborCalendar,X88,W89,"f",FALSE)</f>
        <v>41921</v>
      </c>
      <c r="Y89" s="202">
        <f>_xll.qlInterestRateIndexValueDate(IborIndex,X89,Trigger)</f>
        <v>41926</v>
      </c>
      <c r="Z89" s="203">
        <v>2.4838991332365445E-3</v>
      </c>
      <c r="AA89" s="200">
        <v>2.4883437977329947E-3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9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41922</v>
      </c>
      <c r="Y90" s="202">
        <f>_xll.qlInterestRateIndexValueDate(IborIndex,X90,Trigger)</f>
        <v>41926</v>
      </c>
      <c r="Z90" s="203">
        <v>2.4838991332365445E-3</v>
      </c>
      <c r="AA90" s="200">
        <v>2.4883437977329947E-3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9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41925</v>
      </c>
      <c r="Y91" s="202">
        <f>_xll.qlInterestRateIndexValueDate(IborIndex,X91,Trigger)</f>
        <v>41927</v>
      </c>
      <c r="Z91" s="203">
        <v>2.4858975582324654E-3</v>
      </c>
      <c r="AA91" s="200">
        <v>2.4776898334621933E-3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41926</v>
      </c>
      <c r="Y92" s="202">
        <f>_xll.qlInterestRateIndexValueDate(IborIndex,X92,Trigger)</f>
        <v>41928</v>
      </c>
      <c r="Z92" s="203">
        <v>2.4880046266782751E-3</v>
      </c>
      <c r="AA92" s="200">
        <v>2.4676248076893614E-3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41927</v>
      </c>
      <c r="Y93" s="202">
        <f>_xll.qlInterestRateIndexValueDate(IborIndex,X93,Trigger)</f>
        <v>41929</v>
      </c>
      <c r="Z93" s="203">
        <v>2.4971620083805769E-3</v>
      </c>
      <c r="AA93" s="200">
        <v>2.462912342631185E-3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41928</v>
      </c>
      <c r="Y94" s="202">
        <f>_xll.qlInterestRateIndexValueDate(IborIndex,X94,Trigger)</f>
        <v>41932</v>
      </c>
      <c r="Z94" s="203">
        <v>2.4977453986203646E-3</v>
      </c>
      <c r="AA94" s="200">
        <v>2.458386790458178E-3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41929</v>
      </c>
      <c r="Y95" s="202">
        <f>_xll.qlInterestRateIndexValueDate(IborIndex,X95,Trigger)</f>
        <v>41933</v>
      </c>
      <c r="Z95" s="203">
        <v>2.5005046787204229E-3</v>
      </c>
      <c r="AA95" s="200">
        <v>2.4540481513302126E-3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41932</v>
      </c>
      <c r="Y96" s="202">
        <f>_xll.qlInterestRateIndexValueDate(IborIndex,X96,Trigger)</f>
        <v>41934</v>
      </c>
      <c r="Z96" s="203">
        <v>2.5033901155429414E-3</v>
      </c>
      <c r="AA96" s="200">
        <v>2.4460105353973915E-3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41933</v>
      </c>
      <c r="Y97" s="202">
        <f>_xll.qlInterestRateIndexValueDate(IborIndex,X97,Trigger)</f>
        <v>41935</v>
      </c>
      <c r="Z97" s="203">
        <v>2.5063999700381465E-3</v>
      </c>
      <c r="AA97" s="200">
        <v>2.4385627242295982E-3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41934</v>
      </c>
      <c r="Y98" s="202">
        <f>_xll.qlInterestRateIndexValueDate(IborIndex,X98,Trigger)</f>
        <v>41936</v>
      </c>
      <c r="Z98" s="203">
        <v>2.5147403034435916E-3</v>
      </c>
      <c r="AA98" s="200">
        <v>2.4351586497672884E-3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41935</v>
      </c>
      <c r="Y99" s="202">
        <f>_xll.qlInterestRateIndexValueDate(IborIndex,X99,Trigger)</f>
        <v>41939</v>
      </c>
      <c r="Z99" s="203">
        <v>2.5196487839918981E-3</v>
      </c>
      <c r="AA99" s="200">
        <v>2.4319414882700841E-3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41936</v>
      </c>
      <c r="Y100" s="202">
        <f>_xll.qlInterestRateIndexValueDate(IborIndex,X100,Trigger)</f>
        <v>41940</v>
      </c>
      <c r="Z100" s="203">
        <v>2.5232546413315716E-3</v>
      </c>
      <c r="AA100" s="200">
        <v>2.4289112396580492E-3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41939</v>
      </c>
      <c r="Y101" s="202">
        <f>_xll.qlInterestRateIndexValueDate(IborIndex,X101,Trigger)</f>
        <v>41941</v>
      </c>
      <c r="Z101" s="203">
        <v>2.5269744821712747E-3</v>
      </c>
      <c r="AA101" s="200">
        <v>2.4234901000141917E-3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41940</v>
      </c>
      <c r="Y102" s="202">
        <f>_xll.qlInterestRateIndexValueDate(IborIndex,X102,Trigger)</f>
        <v>41942</v>
      </c>
      <c r="Z102" s="203">
        <v>2.5308065674977268E-3</v>
      </c>
      <c r="AA102" s="200">
        <v>2.4186593743014129E-3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41941</v>
      </c>
      <c r="Y103" s="202">
        <f>_xll.qlInterestRateIndexValueDate(IborIndex,X103,Trigger)</f>
        <v>41943</v>
      </c>
      <c r="Z103" s="203">
        <v>2.53190921364513E-3</v>
      </c>
      <c r="AA103" s="200">
        <v>2.4165636901951615E-3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41942</v>
      </c>
      <c r="Y104" s="202">
        <f>_xll.qlInterestRateIndexValueDate(IborIndex,X104,Trigger)</f>
        <v>41946</v>
      </c>
      <c r="Z104" s="203">
        <v>2.5472225734792511E-3</v>
      </c>
      <c r="AA104" s="200">
        <v>2.4146549190540156E-3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41943</v>
      </c>
      <c r="Y105" s="202">
        <f>_xll.qlInterestRateIndexValueDate(IborIndex,X105,Trigger)</f>
        <v>41947</v>
      </c>
      <c r="Z105" s="203">
        <v>2.5515897961140822E-3</v>
      </c>
      <c r="AA105" s="200">
        <v>2.4129330607181032E-3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41946</v>
      </c>
      <c r="Y106" s="202">
        <f>_xll.qlInterestRateIndexValueDate(IborIndex,X106,Trigger)</f>
        <v>41948</v>
      </c>
      <c r="Z106" s="203">
        <v>2.5560588291985492E-3</v>
      </c>
      <c r="AA106" s="200">
        <v>2.4101285222233315E-3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41947</v>
      </c>
      <c r="Y107" s="202">
        <f>_xll.qlInterestRateIndexValueDate(IborIndex,X107,Trigger)</f>
        <v>41949</v>
      </c>
      <c r="Z107" s="203">
        <v>2.5606279337271913E-3</v>
      </c>
      <c r="AA107" s="200">
        <v>2.4075291596314941E-3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41948</v>
      </c>
      <c r="Y108" s="202">
        <f>_xll.qlInterestRateIndexValueDate(IborIndex,X108,Trigger)</f>
        <v>41950</v>
      </c>
      <c r="Z108" s="203">
        <v>2.571458716369907E-3</v>
      </c>
      <c r="AA108" s="200">
        <v>2.4065270814510598E-3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41949</v>
      </c>
      <c r="Y109" s="202">
        <f>_xll.qlInterestRateIndexValueDate(IborIndex,X109,Trigger)</f>
        <v>41953</v>
      </c>
      <c r="Z109" s="203">
        <v>2.579870286204689E-3</v>
      </c>
      <c r="AA109" s="200">
        <v>2.4061136133113337E-3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41950</v>
      </c>
      <c r="Y110" s="202">
        <f>_xll.qlInterestRateIndexValueDate(IborIndex,X110,Trigger)</f>
        <v>41955</v>
      </c>
      <c r="Z110" s="203">
        <v>2.5900466769608432E-3</v>
      </c>
      <c r="AA110" s="200">
        <v>2.4059257989073046E-3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41953</v>
      </c>
      <c r="Y111" s="202">
        <f>_xll.qlInterestRateIndexValueDate(IborIndex,X111,Trigger)</f>
        <v>41955</v>
      </c>
      <c r="Z111" s="203">
        <v>2.5900466769608432E-3</v>
      </c>
      <c r="AA111" s="200">
        <v>2.4059257989073046E-3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41954</v>
      </c>
      <c r="Y112" s="202">
        <f>_xll.qlInterestRateIndexValueDate(IborIndex,X112,Trigger)</f>
        <v>41956</v>
      </c>
      <c r="Z112" s="203">
        <v>2.5952675894275433E-3</v>
      </c>
      <c r="AA112" s="200">
        <v>2.4063288696041241E-3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41955</v>
      </c>
      <c r="Y113" s="202">
        <f>_xll.qlInterestRateIndexValueDate(IborIndex,X113,Trigger)</f>
        <v>41957</v>
      </c>
      <c r="Z113" s="203">
        <v>2.6103808978038836E-3</v>
      </c>
      <c r="AA113" s="200">
        <v>2.4068499658103093E-3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41956</v>
      </c>
      <c r="Y114" s="202">
        <f>_xll.qlInterestRateIndexValueDate(IborIndex,X114,Trigger)</f>
        <v>41960</v>
      </c>
      <c r="Z114" s="203">
        <v>2.6169954427580008E-3</v>
      </c>
      <c r="AA114" s="200">
        <v>2.4075579749816001E-3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41957</v>
      </c>
      <c r="Y115" s="202">
        <f>_xll.qlInterestRateIndexValueDate(IborIndex,X115,Trigger)</f>
        <v>41961</v>
      </c>
      <c r="Z115" s="203">
        <v>2.6226297618154003E-3</v>
      </c>
      <c r="AA115" s="200">
        <v>2.4084528969581243E-3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41960</v>
      </c>
      <c r="Y116" s="202">
        <f>_xll.qlInterestRateIndexValueDate(IborIndex,X116,Trigger)</f>
        <v>41962</v>
      </c>
      <c r="Z116" s="203">
        <v>2.62834154508958E-3</v>
      </c>
      <c r="AA116" s="200">
        <v>2.4108819291601691E-3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41961</v>
      </c>
      <c r="Y117" s="202">
        <f>_xll.qlInterestRateIndexValueDate(IborIndex,X117,Trigger)</f>
        <v>41963</v>
      </c>
      <c r="Z117" s="203">
        <v>2.6341290535359797E-3</v>
      </c>
      <c r="AA117" s="200">
        <v>2.4139017137958518E-3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41962</v>
      </c>
      <c r="Y118" s="202">
        <f>_xll.qlInterestRateIndexValueDate(IborIndex,X118,Trigger)</f>
        <v>41964</v>
      </c>
      <c r="Z118" s="203">
        <v>2.6468196467587411E-3</v>
      </c>
      <c r="AA118" s="200">
        <v>2.4157312002781595E-3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41963</v>
      </c>
      <c r="Y119" s="202">
        <f>_xll.qlInterestRateIndexValueDate(IborIndex,X119,Trigger)</f>
        <v>41967</v>
      </c>
      <c r="Z119" s="203">
        <v>2.658001557916232E-3</v>
      </c>
      <c r="AA119" s="200">
        <v>2.4188573818317849E-3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41964</v>
      </c>
      <c r="Y120" s="202">
        <f>_xll.qlInterestRateIndexValueDate(IborIndex,X120,Trigger)</f>
        <v>41968</v>
      </c>
      <c r="Z120" s="203">
        <v>2.664141606322465E-3</v>
      </c>
      <c r="AA120" s="200">
        <v>2.4249969140743843E-3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41967</v>
      </c>
      <c r="Y121" s="202">
        <f>_xll.qlInterestRateIndexValueDate(IborIndex,X121,Trigger)</f>
        <v>41969</v>
      </c>
      <c r="Z121" s="203">
        <v>2.6703469454936665E-3</v>
      </c>
      <c r="AA121" s="200">
        <v>2.4306332896806282E-3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41968</v>
      </c>
      <c r="Y122" s="202">
        <f>_xll.qlInterestRateIndexValueDate(IborIndex,X122,Trigger)</f>
        <v>41971</v>
      </c>
      <c r="Z122" s="203">
        <v>2.679418318733143E-3</v>
      </c>
      <c r="AA122" s="200">
        <v>2.4337711664390582E-3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41969</v>
      </c>
      <c r="Y123" s="202">
        <f>_xll.qlInterestRateIndexValueDate(IborIndex,X123,Trigger)</f>
        <v>41971</v>
      </c>
      <c r="Z123" s="203">
        <v>2.679418318733143E-3</v>
      </c>
      <c r="AA123" s="200">
        <v>2.4337711664390582E-3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41970</v>
      </c>
      <c r="Y124" s="202">
        <f>_xll.qlInterestRateIndexValueDate(IborIndex,X124,Trigger)</f>
        <v>41974</v>
      </c>
      <c r="Z124" s="203">
        <v>2.6987144278191031E-3</v>
      </c>
      <c r="AA124" s="200">
        <v>2.4370959560826577E-3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41971</v>
      </c>
      <c r="Y125" s="202">
        <f>_xll.qlInterestRateIndexValueDate(IborIndex,X125,Trigger)</f>
        <v>41975</v>
      </c>
      <c r="Z125" s="203">
        <v>2.7016748660733114E-3</v>
      </c>
      <c r="AA125" s="200">
        <v>2.4406076586913628E-3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41974</v>
      </c>
      <c r="Y126" s="202">
        <f>_xll.qlInterestRateIndexValueDate(IborIndex,X126,Trigger)</f>
        <v>41976</v>
      </c>
      <c r="Z126" s="203">
        <v>2.7082573548824485E-3</v>
      </c>
      <c r="AA126" s="200">
        <v>2.4482707569006834E-3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41975</v>
      </c>
      <c r="Y127" s="202">
        <f>_xll.qlInterestRateIndexValueDate(IborIndex,X127,Trigger)</f>
        <v>41977</v>
      </c>
      <c r="Z127" s="203">
        <v>2.714891761404381E-3</v>
      </c>
      <c r="AA127" s="200">
        <v>2.456523598457494E-3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41976</v>
      </c>
      <c r="Y128" s="202">
        <f>_xll.qlInterestRateIndexValueDate(IborIndex,X128,Trigger)</f>
        <v>41978</v>
      </c>
      <c r="Z128" s="203">
        <v>2.7215763078451971E-3</v>
      </c>
      <c r="AA128" s="200">
        <v>2.4609698657318546E-3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41977</v>
      </c>
      <c r="Y129" s="202">
        <f>_xll.qlInterestRateIndexValueDate(IborIndex,X129,Trigger)</f>
        <v>41981</v>
      </c>
      <c r="Z129" s="203">
        <v>2.7455872747741269E-3</v>
      </c>
      <c r="AA129" s="200">
        <v>2.4656030460512568E-3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41978</v>
      </c>
      <c r="Y130" s="202">
        <f>_xll.qlInterestRateIndexValueDate(IborIndex,X130,Trigger)</f>
        <v>41982</v>
      </c>
      <c r="Z130" s="203">
        <v>2.7487803366117447E-3</v>
      </c>
      <c r="AA130" s="200">
        <v>2.4704231392558285E-3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41981</v>
      </c>
      <c r="Y131" s="202">
        <f>_xll.qlInterestRateIndexValueDate(IborIndex,X131,Trigger)</f>
        <v>41983</v>
      </c>
      <c r="Z131" s="203">
        <v>2.7556889154132236E-3</v>
      </c>
      <c r="AA131" s="200">
        <v>2.4807034629414915E-3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41982</v>
      </c>
      <c r="Y132" s="202">
        <f>_xll.qlInterestRateIndexValueDate(IborIndex,X132,Trigger)</f>
        <v>41984</v>
      </c>
      <c r="Z132" s="203">
        <v>2.7626369671658324E-3</v>
      </c>
      <c r="AA132" s="200">
        <v>2.4915726421248507E-3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41983</v>
      </c>
      <c r="Y133" s="202">
        <f>_xll.qlInterestRateIndexValueDate(IborIndex,X133,Trigger)</f>
        <v>41985</v>
      </c>
      <c r="Z133" s="203">
        <v>2.7696227140010521E-3</v>
      </c>
      <c r="AA133" s="200">
        <v>2.4973273003148222E-3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41984</v>
      </c>
      <c r="Y134" s="202">
        <f>_xll.qlInterestRateIndexValueDate(IborIndex,X134,Trigger)</f>
        <v>41988</v>
      </c>
      <c r="Z134" s="203">
        <v>2.7945599334163167E-3</v>
      </c>
      <c r="AA134" s="200">
        <v>2.5032422187099002E-3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41985</v>
      </c>
      <c r="Y135" s="202">
        <f>_xll.qlInterestRateIndexValueDate(IborIndex,X135,Trigger)</f>
        <v>41989</v>
      </c>
      <c r="Z135" s="203">
        <v>2.7979070944619266E-3</v>
      </c>
      <c r="AA135" s="200">
        <v>2.5092107861102164E-3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41988</v>
      </c>
      <c r="Y136" s="202">
        <f>_xll.qlInterestRateIndexValueDate(IborIndex,X136,Trigger)</f>
        <v>41990</v>
      </c>
      <c r="Z136" s="203">
        <v>2.8050546483235905E-3</v>
      </c>
      <c r="AA136" s="200">
        <v>2.5212555656040081E-3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41989</v>
      </c>
      <c r="Y137" s="202">
        <f>_xll.qlInterestRateIndexValueDate(IborIndex,X137,Trigger)</f>
        <v>41991</v>
      </c>
      <c r="Z137" s="203">
        <v>2.8122297261443663E-3</v>
      </c>
      <c r="AA137" s="200">
        <v>2.5333550176842579E-3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41990</v>
      </c>
      <c r="Y138" s="202">
        <f>_xll.qlInterestRateIndexValueDate(IborIndex,X138,Trigger)</f>
        <v>41992</v>
      </c>
      <c r="Z138" s="203">
        <v>2.8194330315578497E-3</v>
      </c>
      <c r="AA138" s="200">
        <v>2.5394585660709623E-3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41991</v>
      </c>
      <c r="Y139" s="202">
        <f>_xll.qlInterestRateIndexValueDate(IborIndex,X139,Trigger)</f>
        <v>41995</v>
      </c>
      <c r="Z139" s="203">
        <v>2.8451086447596001E-3</v>
      </c>
      <c r="AA139" s="200">
        <v>2.5486769028049139E-3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41992</v>
      </c>
      <c r="Y140" s="202">
        <f>_xll.qlInterestRateIndexValueDate(IborIndex,X140,Trigger)</f>
        <v>41996</v>
      </c>
      <c r="Z140" s="203">
        <v>2.8485525284080992E-3</v>
      </c>
      <c r="AA140" s="200">
        <v>2.56416998378306E-3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41995</v>
      </c>
      <c r="Y141" s="202">
        <f>_xll.qlInterestRateIndexValueDate(IborIndex,X141,Trigger)</f>
        <v>41997</v>
      </c>
      <c r="Z141" s="203">
        <v>2.8559149713194287E-3</v>
      </c>
      <c r="AA141" s="200">
        <v>2.576646776422109E-3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41996</v>
      </c>
      <c r="Y142" s="202">
        <f>_xll.qlInterestRateIndexValueDate(IborIndex,X142,Trigger)</f>
        <v>42002</v>
      </c>
      <c r="Z142" s="203">
        <v>2.8973331867902905E-3</v>
      </c>
      <c r="AA142" s="200">
        <v>2.5924414075850777E-3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41997</v>
      </c>
      <c r="Y143" s="202">
        <f>_xll.qlInterestRateIndexValueDate(IborIndex,X143,Trigger)</f>
        <v>42003</v>
      </c>
      <c r="Z143" s="203">
        <v>2.9008756065387331E-3</v>
      </c>
      <c r="AA143" s="200">
        <v>2.6084072452370322E-3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42002</v>
      </c>
      <c r="Y144" s="202">
        <f>_xll.qlInterestRateIndexValueDate(IborIndex,X144,Trigger)</f>
        <v>42004</v>
      </c>
      <c r="Z144" s="203">
        <v>2.9085112423947734E-3</v>
      </c>
      <c r="AA144" s="200">
        <v>2.6212613492582193E-3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42003</v>
      </c>
      <c r="Y145" s="202">
        <f>_xll.qlInterestRateIndexValueDate(IborIndex,X145,Trigger)</f>
        <v>42006</v>
      </c>
      <c r="Z145" s="203">
        <v>2.9239151975337663E-3</v>
      </c>
      <c r="AA145" s="200">
        <v>2.6277428444387851E-3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42004</v>
      </c>
      <c r="Y146" s="202">
        <f>_xll.qlInterestRateIndexValueDate(IborIndex,X146,Trigger)</f>
        <v>42009</v>
      </c>
      <c r="Z146" s="203">
        <v>2.9559333563620948E-3</v>
      </c>
      <c r="AA146" s="200">
        <v>2.6342513358645903E-3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42006</v>
      </c>
      <c r="Y147" s="202">
        <f>_xll.qlInterestRateIndexValueDate(IborIndex,X147,Trigger)</f>
        <v>42010</v>
      </c>
      <c r="Z147" s="203">
        <v>2.9595895211215746E-3</v>
      </c>
      <c r="AA147" s="200">
        <v>2.6407868236155707E-3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42009</v>
      </c>
      <c r="Y148" s="202">
        <f>_xll.qlInterestRateIndexValueDate(IborIndex,X148,Trigger)</f>
        <v>42011</v>
      </c>
      <c r="Z148" s="203">
        <v>2.9632550767733079E-3</v>
      </c>
      <c r="AA148" s="200">
        <v>2.6539673514314188E-3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42010</v>
      </c>
      <c r="Y149" s="202">
        <f>_xll.qlInterestRateIndexValueDate(IborIndex,X149,Trigger)</f>
        <v>42012</v>
      </c>
      <c r="Z149" s="203">
        <v>2.9712749378720815E-3</v>
      </c>
      <c r="AA149" s="200">
        <v>2.6671987365123329E-3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42011</v>
      </c>
      <c r="Y150" s="202">
        <f>_xll.qlInterestRateIndexValueDate(IborIndex,X150,Trigger)</f>
        <v>42013</v>
      </c>
      <c r="Z150" s="203">
        <v>2.9793482277442607E-3</v>
      </c>
      <c r="AA150" s="200">
        <v>2.6738692052497015E-3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42012</v>
      </c>
      <c r="Y151" s="202">
        <f>_xll.qlInterestRateIndexValueDate(IborIndex,X151,Trigger)</f>
        <v>42016</v>
      </c>
      <c r="Z151" s="203">
        <v>3.0084305312966914E-3</v>
      </c>
      <c r="AA151" s="200">
        <v>2.6805666702323094E-3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42013</v>
      </c>
      <c r="Y152" s="202">
        <f>_xll.qlInterestRateIndexValueDate(IborIndex,X152,Trigger)</f>
        <v>42017</v>
      </c>
      <c r="Z152" s="203">
        <v>3.0121996786407479E-3</v>
      </c>
      <c r="AA152" s="200">
        <v>2.6872911314601566E-3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42016</v>
      </c>
      <c r="Y153" s="202">
        <f>_xll.qlInterestRateIndexValueDate(IborIndex,X153,Trigger)</f>
        <v>42018</v>
      </c>
      <c r="Z153" s="203">
        <v>3.0205581152467076E-3</v>
      </c>
      <c r="AA153" s="200">
        <v>2.7042677362021372E-3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42017</v>
      </c>
      <c r="Y154" s="202">
        <f>_xll.qlInterestRateIndexValueDate(IborIndex,X154,Trigger)</f>
        <v>42019</v>
      </c>
      <c r="Z154" s="203">
        <v>3.0289771818603484E-3</v>
      </c>
      <c r="AA154" s="200">
        <v>2.7213183811181096E-3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42018</v>
      </c>
      <c r="Y155" s="202">
        <f>_xll.qlInterestRateIndexValueDate(IborIndex,X155,Trigger)</f>
        <v>42020</v>
      </c>
      <c r="Z155" s="203">
        <v>3.0374580787304595E-3</v>
      </c>
      <c r="AA155" s="200">
        <v>2.7282048197374564E-3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42019</v>
      </c>
      <c r="Y156" s="202">
        <f>_xll.qlInterestRateIndexValueDate(IborIndex,X156,Trigger)</f>
        <v>42024</v>
      </c>
      <c r="Z156" s="203">
        <v>3.0720239742372257E-3</v>
      </c>
      <c r="AA156" s="200">
        <v>2.7351182546020425E-3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42020</v>
      </c>
      <c r="Y157" s="202">
        <f>_xll.qlInterestRateIndexValueDate(IborIndex,X157,Trigger)</f>
        <v>42024</v>
      </c>
      <c r="Z157" s="203">
        <v>3.0720239742372257E-3</v>
      </c>
      <c r="AA157" s="200">
        <v>2.7351182546020425E-3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42023</v>
      </c>
      <c r="Y158" s="202">
        <f>_xll.qlInterestRateIndexValueDate(IborIndex,X158,Trigger)</f>
        <v>42025</v>
      </c>
      <c r="Z158" s="203">
        <v>3.0808320266002553E-3</v>
      </c>
      <c r="AA158" s="200">
        <v>2.7490561040366401E-3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42024</v>
      </c>
      <c r="Y159" s="202">
        <f>_xll.qlInterestRateIndexValueDate(IborIndex,X159,Trigger)</f>
        <v>42026</v>
      </c>
      <c r="Z159" s="203">
        <v>3.0897091109984842E-3</v>
      </c>
      <c r="AA159" s="200">
        <v>2.7630419565127795E-3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42025</v>
      </c>
      <c r="Y160" s="202">
        <f>_xll.qlInterestRateIndexValueDate(IborIndex,X160,Trigger)</f>
        <v>42027</v>
      </c>
      <c r="Z160" s="203">
        <v>3.098656427777513E-3</v>
      </c>
      <c r="AA160" s="200">
        <v>2.7700903726035619E-3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42026</v>
      </c>
      <c r="Y161" s="202">
        <f>_xll.qlInterestRateIndexValueDate(IborIndex,X161,Trigger)</f>
        <v>42030</v>
      </c>
      <c r="Z161" s="203">
        <v>3.1311064830505846E-3</v>
      </c>
      <c r="AA161" s="200">
        <v>2.7771657849395837E-3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42027</v>
      </c>
      <c r="Y162" s="202">
        <f>_xll.qlInterestRateIndexValueDate(IborIndex,X162,Trigger)</f>
        <v>42031</v>
      </c>
      <c r="Z162" s="203">
        <v>3.1351720260905935E-3</v>
      </c>
      <c r="AA162" s="200">
        <v>2.7842681935208446E-3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42030</v>
      </c>
      <c r="Y163" s="202">
        <f>_xll.qlInterestRateIndexValueDate(IborIndex,X163,Trigger)</f>
        <v>42032</v>
      </c>
      <c r="Z163" s="203">
        <v>3.1444885104505715E-3</v>
      </c>
      <c r="AA163" s="200">
        <v>2.7985847535916264E-3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42031</v>
      </c>
      <c r="Y164" s="202">
        <f>_xll.qlInterestRateIndexValueDate(IborIndex,X164,Trigger)</f>
        <v>42033</v>
      </c>
      <c r="Z164" s="203">
        <v>3.1538824295669343E-3</v>
      </c>
      <c r="AA164" s="200">
        <v>2.8129477902982813E-3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42032</v>
      </c>
      <c r="Y165" s="202">
        <f>_xll.qlInterestRateIndexValueDate(IborIndex,X165,Trigger)</f>
        <v>42034</v>
      </c>
      <c r="Z165" s="203">
        <v>3.163354983891864E-3</v>
      </c>
      <c r="AA165" s="200">
        <v>2.8201851801856748E-3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42033</v>
      </c>
      <c r="Y166" s="202">
        <f>_xll.qlInterestRateIndexValueDate(IborIndex,X166,Trigger)</f>
        <v>42037</v>
      </c>
      <c r="Z166" s="203">
        <v>3.2033936455525113E-3</v>
      </c>
      <c r="AA166" s="200">
        <v>2.8274495663183075E-3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42034</v>
      </c>
      <c r="Y167" s="202">
        <f>_xll.qlInterestRateIndexValueDate(IborIndex,X167,Trigger)</f>
        <v>42038</v>
      </c>
      <c r="Z167" s="203">
        <v>3.2076591955185777E-3</v>
      </c>
      <c r="AA167" s="200">
        <v>2.8347409486961794E-3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42037</v>
      </c>
      <c r="Y168" s="202">
        <f>_xll.qlInterestRateIndexValueDate(IborIndex,X168,Trigger)</f>
        <v>42039</v>
      </c>
      <c r="Z168" s="203">
        <v>3.2119393005123342E-3</v>
      </c>
      <c r="AA168" s="200">
        <v>2.8494362541486851E-3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42038</v>
      </c>
      <c r="Y169" s="202">
        <f>_xll.qlInterestRateIndexValueDate(IborIndex,X169,Trigger)</f>
        <v>42040</v>
      </c>
      <c r="Z169" s="203">
        <v>3.2162341494973621E-3</v>
      </c>
      <c r="AA169" s="200">
        <v>2.8641764408199322E-3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42039</v>
      </c>
      <c r="Y170" s="202">
        <f>_xll.qlInterestRateIndexValueDate(IborIndex,X170,Trigger)</f>
        <v>42041</v>
      </c>
      <c r="Z170" s="203">
        <v>3.2262336736112655E-3</v>
      </c>
      <c r="AA170" s="200">
        <v>2.8716028044240005E-3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42040</v>
      </c>
      <c r="Y171" s="202">
        <f>_xll.qlInterestRateIndexValueDate(IborIndex,X171,Trigger)</f>
        <v>42044</v>
      </c>
      <c r="Z171" s="203">
        <v>3.2686185894987038E-3</v>
      </c>
      <c r="AA171" s="200">
        <v>2.8790561644331802E-3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42041</v>
      </c>
      <c r="Y172" s="202">
        <f>_xll.qlInterestRateIndexValueDate(IborIndex,X172,Trigger)</f>
        <v>42045</v>
      </c>
      <c r="Z172" s="203">
        <v>3.2730863503260821E-3</v>
      </c>
      <c r="AA172" s="200">
        <v>2.8865365206875992E-3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42044</v>
      </c>
      <c r="Y173" s="202">
        <f>_xll.qlInterestRateIndexValueDate(IborIndex,X173,Trigger)</f>
        <v>42046</v>
      </c>
      <c r="Z173" s="203">
        <v>3.2775712572848535E-3</v>
      </c>
      <c r="AA173" s="200">
        <v>2.9054075643553112E-3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42045</v>
      </c>
      <c r="Y174" s="202">
        <f>_xll.qlInterestRateIndexValueDate(IborIndex,X174,Trigger)</f>
        <v>42047</v>
      </c>
      <c r="Z174" s="203">
        <v>3.288115265294031E-3</v>
      </c>
      <c r="AA174" s="200">
        <v>2.9243432460379637E-3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42046</v>
      </c>
      <c r="Y175" s="202">
        <f>_xll.qlInterestRateIndexValueDate(IborIndex,X175,Trigger)</f>
        <v>42048</v>
      </c>
      <c r="Z175" s="203">
        <v>3.2987542700336904E-3</v>
      </c>
      <c r="AA175" s="200">
        <v>2.9319855799236905E-3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42047</v>
      </c>
      <c r="Y176" s="202">
        <f>_xll.qlInterestRateIndexValueDate(IborIndex,X176,Trigger)</f>
        <v>42052</v>
      </c>
      <c r="Z176" s="203">
        <v>3.3486761957304267E-3</v>
      </c>
      <c r="AA176" s="200">
        <v>2.9396549101345926E-3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42048</v>
      </c>
      <c r="Y177" s="202">
        <f>_xll.qlInterestRateIndexValueDate(IborIndex,X177,Trigger)</f>
        <v>42052</v>
      </c>
      <c r="Z177" s="203">
        <v>3.3486761957304267E-3</v>
      </c>
      <c r="AA177" s="200">
        <v>2.9396549101345926E-3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42051</v>
      </c>
      <c r="Y178" s="202">
        <f>_xll.qlInterestRateIndexValueDate(IborIndex,X178,Trigger)</f>
        <v>42053</v>
      </c>
      <c r="Z178" s="203">
        <v>3.3534167412878173E-3</v>
      </c>
      <c r="AA178" s="200">
        <v>2.9551078151168753E-3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42052</v>
      </c>
      <c r="Y179" s="202">
        <f>_xll.qlInterestRateIndexValueDate(IborIndex,X179,Trigger)</f>
        <v>42054</v>
      </c>
      <c r="Z179" s="203">
        <v>3.3646512246556814E-3</v>
      </c>
      <c r="AA179" s="200">
        <v>2.970602193750338E-3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42053</v>
      </c>
      <c r="Y180" s="202">
        <f>_xll.qlInterestRateIndexValueDate(IborIndex,X180,Trigger)</f>
        <v>42055</v>
      </c>
      <c r="Z180" s="203">
        <v>3.3759892043586435E-3</v>
      </c>
      <c r="AA180" s="200">
        <v>2.9784065054272446E-3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42054</v>
      </c>
      <c r="Y181" s="202">
        <f>_xll.qlInterestRateIndexValueDate(IborIndex,X181,Trigger)</f>
        <v>42058</v>
      </c>
      <c r="Z181" s="203">
        <v>3.4310863101222576E-3</v>
      </c>
      <c r="AA181" s="200">
        <v>2.9862378133493905E-3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42055</v>
      </c>
      <c r="Y182" s="202">
        <f>_xll.qlInterestRateIndexValueDate(IborIndex,X182,Trigger)</f>
        <v>42059</v>
      </c>
      <c r="Z182" s="203">
        <v>3.4361182214144477E-3</v>
      </c>
      <c r="AA182" s="200">
        <v>2.9940961175167757E-3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42058</v>
      </c>
      <c r="Y183" s="202">
        <f>_xll.qlInterestRateIndexValueDate(IborIndex,X183,Trigger)</f>
        <v>42060</v>
      </c>
      <c r="Z183" s="203">
        <v>3.4411754370937686E-3</v>
      </c>
      <c r="AA183" s="200">
        <v>3.009927879018548E-3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42059</v>
      </c>
      <c r="Y184" s="202">
        <f>_xll.qlInterestRateIndexValueDate(IborIndex,X184,Trigger)</f>
        <v>42061</v>
      </c>
      <c r="Z184" s="203">
        <v>3.4462585087114486E-3</v>
      </c>
      <c r="AA184" s="200">
        <v>3.0257992975180059E-3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42060</v>
      </c>
      <c r="Y185" s="202">
        <f>_xll.qlInterestRateIndexValueDate(IborIndex,X185,Trigger)</f>
        <v>42062</v>
      </c>
      <c r="Z185" s="203">
        <v>3.472463443516718E-3</v>
      </c>
      <c r="AA185" s="200">
        <v>3.0337925832313317E-3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42061</v>
      </c>
      <c r="Y186" s="202">
        <f>_xll.qlInterestRateIndexValueDate(IborIndex,X186,Trigger)</f>
        <v>42065</v>
      </c>
      <c r="Z186" s="203">
        <v>3.5171511594886289E-3</v>
      </c>
      <c r="AA186" s="200">
        <v>3.0418128651898968E-3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42062</v>
      </c>
      <c r="Y187" s="202">
        <f>_xll.qlInterestRateIndexValueDate(IborIndex,X187,Trigger)</f>
        <v>42066</v>
      </c>
      <c r="Z187" s="203">
        <v>3.5299065585160726E-3</v>
      </c>
      <c r="AA187" s="200">
        <v>3.0498601436335093E-3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42065</v>
      </c>
      <c r="Y188" s="202">
        <f>_xll.qlInterestRateIndexValueDate(IborIndex,X188,Trigger)</f>
        <v>42067</v>
      </c>
      <c r="Z188" s="203">
        <v>3.5427805878716855E-3</v>
      </c>
      <c r="AA188" s="200">
        <v>3.0660708008767301E-3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42066</v>
      </c>
      <c r="Y189" s="202">
        <f>_xll.qlInterestRateIndexValueDate(IborIndex,X189,Trigger)</f>
        <v>42068</v>
      </c>
      <c r="Z189" s="203">
        <v>3.5557744226824201E-3</v>
      </c>
      <c r="AA189" s="200">
        <v>3.0823192201800964E-3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42067</v>
      </c>
      <c r="Y190" s="202">
        <f>_xll.qlInterestRateIndexValueDate(IborIndex,X190,Trigger)</f>
        <v>42069</v>
      </c>
      <c r="Z190" s="203">
        <v>3.5841955555768129E-3</v>
      </c>
      <c r="AA190" s="200">
        <v>3.0905014800897135E-3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42068</v>
      </c>
      <c r="Y191" s="202">
        <f>_xll.qlInterestRateIndexValueDate(IborIndex,X191,Trigger)</f>
        <v>42072</v>
      </c>
      <c r="Z191" s="203">
        <v>3.6089713199705113E-3</v>
      </c>
      <c r="AA191" s="200">
        <v>3.0987107363245059E-3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42069</v>
      </c>
      <c r="Y192" s="202">
        <f>_xll.qlInterestRateIndexValueDate(IborIndex,X192,Trigger)</f>
        <v>42073</v>
      </c>
      <c r="Z192" s="203">
        <v>3.6225818099160272E-3</v>
      </c>
      <c r="AA192" s="200">
        <v>3.1069469888844736E-3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42072</v>
      </c>
      <c r="Y193" s="202">
        <f>_xll.qlInterestRateIndexValueDate(IborIndex,X193,Trigger)</f>
        <v>42074</v>
      </c>
      <c r="Z193" s="203">
        <v>3.6363191566544397E-3</v>
      </c>
      <c r="AA193" s="200">
        <v>3.1235365826365324E-3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42073</v>
      </c>
      <c r="Y194" s="202">
        <f>_xll.qlInterestRateIndexValueDate(IborIndex,X194,Trigger)</f>
        <v>42075</v>
      </c>
      <c r="Z194" s="203">
        <v>3.6501845355047212E-3</v>
      </c>
      <c r="AA194" s="200">
        <v>3.1401619623760979E-3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42074</v>
      </c>
      <c r="Y195" s="202">
        <f>_xll.qlInterestRateIndexValueDate(IborIndex,X195,Trigger)</f>
        <v>42076</v>
      </c>
      <c r="Z195" s="203">
        <v>3.6804276792873464E-3</v>
      </c>
      <c r="AA195" s="200">
        <v>3.1485511810558364E-3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42075</v>
      </c>
      <c r="Y196" s="202">
        <f>_xll.qlInterestRateIndexValueDate(IborIndex,X196,Trigger)</f>
        <v>42079</v>
      </c>
      <c r="Z196" s="203">
        <v>3.7069498794848623E-3</v>
      </c>
      <c r="AA196" s="200">
        <v>3.157057318690093E-3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42076</v>
      </c>
      <c r="Y197" s="202">
        <f>_xll.qlInterestRateIndexValueDate(IborIndex,X197,Trigger)</f>
        <v>42080</v>
      </c>
      <c r="Z197" s="203">
        <v>3.7214730497495251E-3</v>
      </c>
      <c r="AA197" s="200">
        <v>3.1656983596928256E-3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42079</v>
      </c>
      <c r="Y198" s="202">
        <f>_xll.qlInterestRateIndexValueDate(IborIndex,X198,Trigger)</f>
        <v>42081</v>
      </c>
      <c r="Z198" s="203">
        <v>3.7361311090089448E-3</v>
      </c>
      <c r="AA198" s="200">
        <v>3.1834582703282877E-3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42080</v>
      </c>
      <c r="Y199" s="202">
        <f>_xll.qlInterestRateIndexValueDate(IborIndex,X199,Trigger)</f>
        <v>42082</v>
      </c>
      <c r="Z199" s="203">
        <v>3.7509240905034876E-3</v>
      </c>
      <c r="AA199" s="200">
        <v>3.2016115578681337E-3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42081</v>
      </c>
      <c r="Y200" s="202">
        <f>_xll.qlInterestRateIndexValueDate(IborIndex,X200,Trigger)</f>
        <v>42083</v>
      </c>
      <c r="Z200" s="203">
        <v>3.7830382832805569E-3</v>
      </c>
      <c r="AA200" s="200">
        <v>3.210927115953055E-3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42082</v>
      </c>
      <c r="Y201" s="202">
        <f>_xll.qlInterestRateIndexValueDate(IborIndex,X201,Trigger)</f>
        <v>42086</v>
      </c>
      <c r="Z201" s="203">
        <v>3.8114272353811209E-3</v>
      </c>
      <c r="AA201" s="200">
        <v>3.2203775775663246E-3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42083</v>
      </c>
      <c r="Y202" s="202">
        <f>_xll.qlInterestRateIndexValueDate(IborIndex,X202,Trigger)</f>
        <v>42087</v>
      </c>
      <c r="Z202" s="203">
        <v>3.8268809155940077E-3</v>
      </c>
      <c r="AA202" s="200">
        <v>3.2299629426280063E-3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42086</v>
      </c>
      <c r="Y203" s="202">
        <f>_xll.qlInterestRateIndexValueDate(IborIndex,X203,Trigger)</f>
        <v>42088</v>
      </c>
      <c r="Z203" s="203">
        <v>3.8424637891029561E-3</v>
      </c>
      <c r="AA203" s="200">
        <v>3.249612683795533E-3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42087</v>
      </c>
      <c r="Y204" s="202">
        <f>_xll.qlInterestRateIndexValueDate(IborIndex,X204,Trigger)</f>
        <v>42089</v>
      </c>
      <c r="Z204" s="203">
        <v>3.8581748737536075E-3</v>
      </c>
      <c r="AA204" s="200">
        <v>3.2696534378384712E-3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42088</v>
      </c>
      <c r="Y205" s="202">
        <f>_xll.qlInterestRateIndexValueDate(IborIndex,X205,Trigger)</f>
        <v>42090</v>
      </c>
      <c r="Z205" s="203">
        <v>3.8920632471519099E-3</v>
      </c>
      <c r="AA205" s="200">
        <v>3.2799133203820219E-3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42089</v>
      </c>
      <c r="Y206" s="202">
        <f>_xll.qlInterestRateIndexValueDate(IborIndex,X206,Trigger)</f>
        <v>42093</v>
      </c>
      <c r="Z206" s="203">
        <v>3.9222816805679246E-3</v>
      </c>
      <c r="AA206" s="200">
        <v>3.2903081065338569E-3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42090</v>
      </c>
      <c r="Y207" s="202">
        <f>_xll.qlInterestRateIndexValueDate(IborIndex,X207,Trigger)</f>
        <v>42094</v>
      </c>
      <c r="Z207" s="203">
        <v>3.9294177310709799E-3</v>
      </c>
      <c r="AA207" s="200">
        <v>3.3008377962140401E-3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42093</v>
      </c>
      <c r="Y208" s="202">
        <f>_xll.qlInterestRateIndexValueDate(IborIndex,X208,Trigger)</f>
        <v>42095</v>
      </c>
      <c r="Z208" s="203">
        <v>3.9458216635426969E-3</v>
      </c>
      <c r="AA208" s="200">
        <v>3.3223775151824952E-3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42094</v>
      </c>
      <c r="Y209" s="202">
        <f>_xll.qlInterestRateIndexValueDate(IborIndex,X209,Trigger)</f>
        <v>42096</v>
      </c>
      <c r="Z209" s="203">
        <v>3.9623477723116241E-3</v>
      </c>
      <c r="AA209" s="200">
        <v>3.3443055906179353E-3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42095</v>
      </c>
      <c r="Y210" s="202">
        <f>_xll.qlInterestRateIndexValueDate(IborIndex,X210,Trigger)</f>
        <v>42101</v>
      </c>
      <c r="Z210" s="203">
        <v>4.0467762055646011E-3</v>
      </c>
      <c r="AA210" s="200">
        <v>3.3783229242878576E-3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42096</v>
      </c>
      <c r="Y211" s="202">
        <f>_xll.qlInterestRateIndexValueDate(IborIndex,X211,Trigger)</f>
        <v>42102</v>
      </c>
      <c r="Z211" s="203">
        <v>4.0640145189944892E-3</v>
      </c>
      <c r="AA211" s="200">
        <v>3.4017527764529376E-3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42101</v>
      </c>
      <c r="Y212" s="202">
        <f>_xll.qlInterestRateIndexValueDate(IborIndex,X212,Trigger)</f>
        <v>42103</v>
      </c>
      <c r="Z212" s="203">
        <v>4.0813680576199168E-3</v>
      </c>
      <c r="AA212" s="200">
        <v>3.4255680203632011E-3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42102</v>
      </c>
      <c r="Y213" s="202">
        <f>_xll.qlInterestRateIndexValueDate(IborIndex,X213,Trigger)</f>
        <v>42104</v>
      </c>
      <c r="Z213" s="203">
        <v>4.098835828398751E-3</v>
      </c>
      <c r="AA213" s="200">
        <v>3.4377165535826038E-3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42103</v>
      </c>
      <c r="Y214" s="202">
        <f>_xll.qlInterestRateIndexValueDate(IborIndex,X214,Trigger)</f>
        <v>42107</v>
      </c>
      <c r="Z214" s="203">
        <v>4.1519146031236921E-3</v>
      </c>
      <c r="AA214" s="200">
        <v>3.4499999905701628E-3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42104</v>
      </c>
      <c r="Y215" s="202">
        <f>_xll.qlInterestRateIndexValueDate(IborIndex,X215,Trigger)</f>
        <v>42108</v>
      </c>
      <c r="Z215" s="203">
        <v>4.1698293719437439E-3</v>
      </c>
      <c r="AA215" s="200">
        <v>3.4624183312459422E-3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42107</v>
      </c>
      <c r="Y216" s="202">
        <f>_xll.qlInterestRateIndexValueDate(IborIndex,X216,Trigger)</f>
        <v>42109</v>
      </c>
      <c r="Z216" s="203">
        <v>4.1878534075888351E-3</v>
      </c>
      <c r="AA216" s="200">
        <v>3.487738480822955E-3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42108</v>
      </c>
      <c r="Y217" s="202">
        <f>_xll.qlInterestRateIndexValueDate(IborIndex,X217,Trigger)</f>
        <v>42110</v>
      </c>
      <c r="Z217" s="203">
        <v>4.2059857169676421E-3</v>
      </c>
      <c r="AA217" s="200">
        <v>3.5134407314707516E-3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42109</v>
      </c>
      <c r="Y218" s="202">
        <f>_xll.qlInterestRateIndexValueDate(IborIndex,X218,Trigger)</f>
        <v>42111</v>
      </c>
      <c r="Z218" s="203">
        <v>4.2242253069800549E-3</v>
      </c>
      <c r="AA218" s="200">
        <v>3.526533590987313E-3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42110</v>
      </c>
      <c r="Y219" s="202">
        <f>_xll.qlInterestRateIndexValueDate(IborIndex,X219,Trigger)</f>
        <v>42114</v>
      </c>
      <c r="Z219" s="203">
        <v>4.2795778296579922E-3</v>
      </c>
      <c r="AA219" s="200">
        <v>3.5397613543519668E-3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42111</v>
      </c>
      <c r="Y220" s="202">
        <f>_xll.qlInterestRateIndexValueDate(IborIndex,X220,Trigger)</f>
        <v>42115</v>
      </c>
      <c r="Z220" s="203">
        <v>4.2982366109973313E-3</v>
      </c>
      <c r="AA220" s="200">
        <v>3.5531240215647131E-3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42114</v>
      </c>
      <c r="Y221" s="202">
        <f>_xll.qlInterestRateIndexValueDate(IborIndex,X221,Trigger)</f>
        <v>42116</v>
      </c>
      <c r="Z221" s="203">
        <v>4.3169977073168938E-3</v>
      </c>
      <c r="AA221" s="200">
        <v>3.5803346424145843E-3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42115</v>
      </c>
      <c r="Y222" s="202">
        <f>_xll.qlInterestRateIndexValueDate(IborIndex,X222,Trigger)</f>
        <v>42117</v>
      </c>
      <c r="Z222" s="203">
        <v>4.3358601254542065E-3</v>
      </c>
      <c r="AA222" s="200">
        <v>3.6079237288966226E-3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42116</v>
      </c>
      <c r="Y223" s="202">
        <f>_xll.qlInterestRateIndexValueDate(IborIndex,X223,Trigger)</f>
        <v>42118</v>
      </c>
      <c r="Z223" s="203">
        <v>4.3548228722344942E-3</v>
      </c>
      <c r="AA223" s="200">
        <v>3.6219609154297672E-3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42117</v>
      </c>
      <c r="Y224" s="202">
        <f>_xll.qlInterestRateIndexValueDate(IborIndex,X224,Trigger)</f>
        <v>42121</v>
      </c>
      <c r="Z224" s="203">
        <v>4.4123031525414216E-3</v>
      </c>
      <c r="AA224" s="200">
        <v>3.6361330058909402E-3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42118</v>
      </c>
      <c r="Y225" s="202">
        <f>_xll.qlInterestRateIndexValueDate(IborIndex,X225,Trigger)</f>
        <v>42122</v>
      </c>
      <c r="Z225" s="203">
        <v>4.4316572819368171E-3</v>
      </c>
      <c r="AA225" s="200">
        <v>3.6504400002801418E-3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42121</v>
      </c>
      <c r="Y226" s="202">
        <f>_xll.qlInterestRateIndexValueDate(IborIndex,X226,Trigger)</f>
        <v>42123</v>
      </c>
      <c r="Z226" s="203">
        <v>4.4511067739344242E-3</v>
      </c>
      <c r="AA226" s="200">
        <v>3.6795412765755486E-3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42122</v>
      </c>
      <c r="Y227" s="202">
        <f>_xll.qlInterestRateIndexValueDate(IborIndex,X227,Trigger)</f>
        <v>42124</v>
      </c>
      <c r="Z227" s="203">
        <v>4.481204128626703E-3</v>
      </c>
      <c r="AA227" s="200">
        <v>3.7090170175968495E-3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42123</v>
      </c>
      <c r="Y228" s="202">
        <f>_xll.qlInterestRateIndexValueDate(IborIndex,X228,Trigger)</f>
        <v>42125</v>
      </c>
      <c r="Z228" s="203">
        <v>4.5221123488793204E-3</v>
      </c>
      <c r="AA228" s="200">
        <v>3.7239985320258739E-3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42124</v>
      </c>
      <c r="Y229" s="202">
        <f>_xll.qlInterestRateIndexValueDate(IborIndex,X229,Trigger)</f>
        <v>42129</v>
      </c>
      <c r="Z229" s="203">
        <v>4.5804755801779635E-3</v>
      </c>
      <c r="AA229" s="200">
        <v>3.7543662728278804E-3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42125</v>
      </c>
      <c r="Y230" s="202">
        <f>_xll.qlInterestRateIndexValueDate(IborIndex,X230,Trigger)</f>
        <v>42130</v>
      </c>
      <c r="Z230" s="203">
        <v>4.600597610625928E-3</v>
      </c>
      <c r="AA230" s="200">
        <v>3.7853583996660944E-3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42129</v>
      </c>
      <c r="Y231" s="202">
        <f>_xll.qlInterestRateIndexValueDate(IborIndex,X231,Trigger)</f>
        <v>42131</v>
      </c>
      <c r="Z231" s="203">
        <v>4.6208065952394999E-3</v>
      </c>
      <c r="AA231" s="200">
        <v>3.8167206034867007E-3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42130</v>
      </c>
      <c r="Y232" s="202">
        <f>_xll.qlInterestRateIndexValueDate(IborIndex,X232,Trigger)</f>
        <v>42132</v>
      </c>
      <c r="Z232" s="203">
        <v>4.6627987941073659E-3</v>
      </c>
      <c r="AA232" s="200">
        <v>3.8326464464510934E-3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42131</v>
      </c>
      <c r="Y233" s="202">
        <f>_xll.qlInterestRateIndexValueDate(IborIndex,X233,Trigger)</f>
        <v>42135</v>
      </c>
      <c r="Z233" s="203">
        <v>4.7024924241752556E-3</v>
      </c>
      <c r="AA233" s="200">
        <v>3.8487071935833228E-3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42132</v>
      </c>
      <c r="Y234" s="202">
        <f>_xll.qlInterestRateIndexValueDate(IborIndex,X234,Trigger)</f>
        <v>42136</v>
      </c>
      <c r="Z234" s="203">
        <v>4.7231214411021065E-3</v>
      </c>
      <c r="AA234" s="200">
        <v>3.8649028448833889E-3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42135</v>
      </c>
      <c r="Y235" s="202">
        <f>_xll.qlInterestRateIndexValueDate(IborIndex,X235,Trigger)</f>
        <v>42137</v>
      </c>
      <c r="Z235" s="203">
        <v>4.7438315166809207E-3</v>
      </c>
      <c r="AA235" s="200">
        <v>3.8977860292188637E-3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42136</v>
      </c>
      <c r="Y236" s="202">
        <f>_xll.qlInterestRateIndexValueDate(IborIndex,X236,Trigger)</f>
        <v>42138</v>
      </c>
      <c r="Z236" s="203">
        <v>4.764621668272513E-3</v>
      </c>
      <c r="AA236" s="200">
        <v>3.9310344922416363E-3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42137</v>
      </c>
      <c r="Y237" s="202">
        <f>_xll.qlInterestRateIndexValueDate(IborIndex,X237,Trigger)</f>
        <v>42139</v>
      </c>
      <c r="Z237" s="203">
        <v>4.8076079182426072E-3</v>
      </c>
      <c r="AA237" s="200">
        <v>3.947904664780566E-3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42138</v>
      </c>
      <c r="Y238" s="202">
        <f>_xll.qlInterestRateIndexValueDate(IborIndex,X238,Trigger)</f>
        <v>42142</v>
      </c>
      <c r="Z238" s="203">
        <v>4.8485633814164004E-3</v>
      </c>
      <c r="AA238" s="200">
        <v>3.9649097414873324E-3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42139</v>
      </c>
      <c r="Y239" s="202">
        <f>_xll.qlInterestRateIndexValueDate(IborIndex,X239,Trigger)</f>
        <v>42143</v>
      </c>
      <c r="Z239" s="203">
        <v>4.8697391729149563E-3</v>
      </c>
      <c r="AA239" s="200">
        <v>3.9820497226017437E-3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42142</v>
      </c>
      <c r="Y240" s="202">
        <f>_xll.qlInterestRateIndexValueDate(IborIndex,X240,Trigger)</f>
        <v>42144</v>
      </c>
      <c r="Z240" s="203">
        <v>4.8909891442479618E-3</v>
      </c>
      <c r="AA240" s="200">
        <v>4.0256417187345406E-3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42143</v>
      </c>
      <c r="Y241" s="202">
        <f>_xll.qlInterestRateIndexValueDate(IborIndex,X241,Trigger)</f>
        <v>42145</v>
      </c>
      <c r="Z241" s="203">
        <v>4.9123123126606693E-3</v>
      </c>
      <c r="AA241" s="200">
        <v>4.0697731931693681E-3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42144</v>
      </c>
      <c r="Y242" s="202">
        <f>_xll.qlInterestRateIndexValueDate(IborIndex,X242,Trigger)</f>
        <v>42146</v>
      </c>
      <c r="Z242" s="203">
        <v>4.9562098573862935E-3</v>
      </c>
      <c r="AA242" s="200">
        <v>4.0877226004898404E-3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42145</v>
      </c>
      <c r="Y243" s="202">
        <f>_xll.qlInterestRateIndexValueDate(IborIndex,X243,Trigger)</f>
        <v>42150</v>
      </c>
      <c r="Z243" s="203">
        <v>5.0199917132541455E-3</v>
      </c>
      <c r="AA243" s="200">
        <v>4.1058069122179575E-3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42146</v>
      </c>
      <c r="Y244" s="202">
        <f>_xll.qlInterestRateIndexValueDate(IborIndex,X244,Trigger)</f>
        <v>42151</v>
      </c>
      <c r="Z244" s="203">
        <v>5.0417334253013866E-3</v>
      </c>
      <c r="AA244" s="200">
        <v>4.1424728830374846E-3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42150</v>
      </c>
      <c r="Y245" s="202">
        <f>_xll.qlInterestRateIndexValueDate(IborIndex,X245,Trigger)</f>
        <v>42152</v>
      </c>
      <c r="Z245" s="203">
        <v>5.0635414546472352E-3</v>
      </c>
      <c r="AA245" s="200">
        <v>4.179493204166107E-3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42151</v>
      </c>
      <c r="Y246" s="202">
        <f>_xll.qlInterestRateIndexValueDate(IborIndex,X246,Trigger)</f>
        <v>42153</v>
      </c>
      <c r="Z246" s="203">
        <v>5.0740081408976543E-3</v>
      </c>
      <c r="AA246" s="200">
        <v>4.1982520384920008E-3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42152</v>
      </c>
      <c r="Y247" s="202">
        <f>_xll.qlInterestRateIndexValueDate(IborIndex,X247,Trigger)</f>
        <v>42156</v>
      </c>
      <c r="Z247" s="203">
        <v>5.1514170867686514E-3</v>
      </c>
      <c r="AA247" s="200">
        <v>4.2171457773854115E-3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42153</v>
      </c>
      <c r="Y248" s="202">
        <f>_xll.qlInterestRateIndexValueDate(IborIndex,X248,Trigger)</f>
        <v>42157</v>
      </c>
      <c r="Z248" s="203">
        <v>5.1735419587561893E-3</v>
      </c>
      <c r="AA248" s="200">
        <v>4.2361744208463392E-3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42156</v>
      </c>
      <c r="Y249" s="202">
        <f>_xll.qlInterestRateIndexValueDate(IborIndex,X249,Trigger)</f>
        <v>42158</v>
      </c>
      <c r="Z249" s="203">
        <v>5.1957272503695522E-3</v>
      </c>
      <c r="AA249" s="200">
        <v>4.2747321477509814E-3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42157</v>
      </c>
      <c r="Y250" s="202">
        <f>_xll.qlInterestRateIndexValueDate(IborIndex,X250,Trigger)</f>
        <v>42159</v>
      </c>
      <c r="Z250" s="203">
        <v>5.2179719785950679E-3</v>
      </c>
      <c r="AA250" s="200">
        <v>4.3136380410047082E-3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42158</v>
      </c>
      <c r="Y251" s="202">
        <f>_xll.qlInterestRateIndexValueDate(IborIndex,X251,Trigger)</f>
        <v>42160</v>
      </c>
      <c r="Z251" s="203">
        <v>5.2750941648657531E-3</v>
      </c>
      <c r="AA251" s="200">
        <v>4.333341207782837E-3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42159</v>
      </c>
      <c r="Y252" s="202">
        <f>_xll.qlInterestRateIndexValueDate(IborIndex,X252,Trigger)</f>
        <v>42163</v>
      </c>
      <c r="Z252" s="203">
        <v>5.3075255966718851E-3</v>
      </c>
      <c r="AA252" s="200">
        <v>4.353179279208419E-3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42160</v>
      </c>
      <c r="Y253" s="202">
        <f>_xll.qlInterestRateIndexValueDate(IborIndex,X253,Trigger)</f>
        <v>42164</v>
      </c>
      <c r="Z253" s="203">
        <v>5.3300527620745251E-3</v>
      </c>
      <c r="AA253" s="200">
        <v>4.373152255441326E-3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42163</v>
      </c>
      <c r="Y254" s="202">
        <f>_xll.qlInterestRateIndexValueDate(IborIndex,X254,Trigger)</f>
        <v>42165</v>
      </c>
      <c r="Z254" s="203">
        <v>5.3526334655954518E-3</v>
      </c>
      <c r="AA254" s="200">
        <v>4.4136019997420561E-3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42164</v>
      </c>
      <c r="Y255" s="202">
        <f>_xll.qlInterestRateIndexValueDate(IborIndex,X255,Trigger)</f>
        <v>42166</v>
      </c>
      <c r="Z255" s="203">
        <v>5.3752667240811068E-3</v>
      </c>
      <c r="AA255" s="200">
        <v>4.4543932082063975E-3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42165</v>
      </c>
      <c r="Y256" s="202">
        <f>_xll.qlInterestRateIndexValueDate(IborIndex,X256,Trigger)</f>
        <v>42167</v>
      </c>
      <c r="Z256" s="203">
        <v>5.4214733184532416E-3</v>
      </c>
      <c r="AA256" s="200">
        <v>4.4750407084759303E-3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42166</v>
      </c>
      <c r="Y257" s="202">
        <f>_xll.qlInterestRateIndexValueDate(IborIndex,X257,Trigger)</f>
        <v>42170</v>
      </c>
      <c r="Z257" s="203">
        <v>5.4663056438917033E-3</v>
      </c>
      <c r="AA257" s="200">
        <v>4.4958231136327242E-3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42167</v>
      </c>
      <c r="Y258" s="202">
        <f>_xll.qlInterestRateIndexValueDate(IborIndex,X258,Trigger)</f>
        <v>42171</v>
      </c>
      <c r="Z258" s="203">
        <v>5.48918692918167E-3</v>
      </c>
      <c r="AA258" s="200">
        <v>4.5167253550104647E-3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42170</v>
      </c>
      <c r="Y259" s="202">
        <f>_xll.qlInterestRateIndexValueDate(IborIndex,X259,Trigger)</f>
        <v>42172</v>
      </c>
      <c r="Z259" s="203">
        <v>5.5121148700814472E-3</v>
      </c>
      <c r="AA259" s="200">
        <v>4.5587660118062701E-3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42171</v>
      </c>
      <c r="Y260" s="202">
        <f>_xll.qlInterestRateIndexValueDate(IborIndex,X260,Trigger)</f>
        <v>42173</v>
      </c>
      <c r="Z260" s="203">
        <v>5.5350884307795983E-3</v>
      </c>
      <c r="AA260" s="200">
        <v>4.6008395240804134E-3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42172</v>
      </c>
      <c r="Y261" s="202">
        <f>_xll.qlInterestRateIndexValueDate(IborIndex,X261,Trigger)</f>
        <v>42174</v>
      </c>
      <c r="Z261" s="203">
        <v>5.5819439194391939E-3</v>
      </c>
      <c r="AA261" s="200">
        <v>4.6219792986512687E-3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42173</v>
      </c>
      <c r="Y262" s="202">
        <f>_xll.qlInterestRateIndexValueDate(IborIndex,X262,Trigger)</f>
        <v>42177</v>
      </c>
      <c r="Z262" s="203">
        <v>5.6274239260467604E-3</v>
      </c>
      <c r="AA262" s="200">
        <v>4.6431635661114967E-3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42174</v>
      </c>
      <c r="Y263" s="202">
        <f>_xll.qlInterestRateIndexValueDate(IborIndex,X263,Trigger)</f>
        <v>42178</v>
      </c>
      <c r="Z263" s="203">
        <v>5.6506163774973908E-3</v>
      </c>
      <c r="AA263" s="200">
        <v>4.6643923264610976E-3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42177</v>
      </c>
      <c r="Y264" s="202">
        <f>_xll.qlInterestRateIndexValueDate(IborIndex,X264,Trigger)</f>
        <v>42179</v>
      </c>
      <c r="Z264" s="203">
        <v>5.6738516313948259E-3</v>
      </c>
      <c r="AA264" s="200">
        <v>4.7070597008413984E-3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42178</v>
      </c>
      <c r="Y265" s="202">
        <f>_xll.qlInterestRateIndexValueDate(IborIndex,X265,Trigger)</f>
        <v>42180</v>
      </c>
      <c r="Z265" s="203">
        <v>5.6971293734244038E-3</v>
      </c>
      <c r="AA265" s="200">
        <v>4.7497522973927175E-3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42179</v>
      </c>
      <c r="Y266" s="202">
        <f>_xll.qlInterestRateIndexValueDate(IborIndex,X266,Trigger)</f>
        <v>42181</v>
      </c>
      <c r="Z266" s="203">
        <v>5.744577414726254E-3</v>
      </c>
      <c r="AA266" s="200">
        <v>4.7712035225888627E-3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42180</v>
      </c>
      <c r="Y267" s="202">
        <f>_xll.qlInterestRateIndexValueDate(IborIndex,X267,Trigger)</f>
        <v>42184</v>
      </c>
      <c r="Z267" s="203">
        <v>5.7906589363754266E-3</v>
      </c>
      <c r="AA267" s="200">
        <v>4.7926992405944446E-3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42181</v>
      </c>
      <c r="Y268" s="202">
        <f>_xll.qlInterestRateIndexValueDate(IborIndex,X268,Trigger)</f>
        <v>42185</v>
      </c>
      <c r="Z268" s="203">
        <v>5.8141444041424854E-3</v>
      </c>
      <c r="AA268" s="200">
        <v>4.8467588764422587E-3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42184</v>
      </c>
      <c r="Y269" s="202">
        <f>_xll.qlInterestRateIndexValueDate(IborIndex,X269,Trigger)</f>
        <v>42186</v>
      </c>
      <c r="Z269" s="203">
        <v>5.8376704740286016E-3</v>
      </c>
      <c r="AA269" s="200">
        <v>4.9008452260412838E-3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42185</v>
      </c>
      <c r="Y270" s="202">
        <f>_xll.qlInterestRateIndexValueDate(IborIndex,X270,Trigger)</f>
        <v>42187</v>
      </c>
      <c r="Z270" s="203">
        <v>5.8612368316765416E-3</v>
      </c>
      <c r="AA270" s="200">
        <v>4.9226079022623992E-3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42186</v>
      </c>
      <c r="Y271" s="202">
        <f>_xll.qlInterestRateIndexValueDate(IborIndex,X271,Trigger)</f>
        <v>42191</v>
      </c>
      <c r="Z271" s="203">
        <v>5.9558988525115529E-3</v>
      </c>
      <c r="AA271" s="200">
        <v>4.9444150713728874E-3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42187</v>
      </c>
      <c r="Y272" s="202">
        <f>_xll.qlInterestRateIndexValueDate(IborIndex,X272,Trigger)</f>
        <v>42191</v>
      </c>
      <c r="Z272" s="203">
        <v>5.9558988525115529E-3</v>
      </c>
      <c r="AA272" s="200">
        <v>4.9444150713728874E-3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42188</v>
      </c>
      <c r="Y273" s="202">
        <f>_xll.qlInterestRateIndexValueDate(IborIndex,X273,Trigger)</f>
        <v>42192</v>
      </c>
      <c r="Z273" s="203">
        <v>5.9796619333824207E-3</v>
      </c>
      <c r="AA273" s="200">
        <v>4.9662667335326205E-3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42191</v>
      </c>
      <c r="Y274" s="202">
        <f>_xll.qlInterestRateIndexValueDate(IborIndex,X274,Trigger)</f>
        <v>42193</v>
      </c>
      <c r="Z274" s="203">
        <v>6.0034634157352836E-3</v>
      </c>
      <c r="AA274" s="200">
        <v>5.0101880937614141E-3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42192</v>
      </c>
      <c r="Y275" s="202">
        <f>_xll.qlInterestRateIndexValueDate(IborIndex,X275,Trigger)</f>
        <v>42194</v>
      </c>
      <c r="Z275" s="203">
        <v>6.0273029851685925E-3</v>
      </c>
      <c r="AA275" s="200">
        <v>5.0541183128238742E-3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42193</v>
      </c>
      <c r="Y276" s="202">
        <f>_xll.qlInterestRateIndexValueDate(IborIndex,X276,Trigger)</f>
        <v>42195</v>
      </c>
      <c r="Z276" s="203">
        <v>6.0881408581504063E-3</v>
      </c>
      <c r="AA276" s="200">
        <v>5.0761924403897041E-3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42194</v>
      </c>
      <c r="Y277" s="202">
        <f>_xll.qlInterestRateIndexValueDate(IborIndex,X277,Trigger)</f>
        <v>42198</v>
      </c>
      <c r="Z277" s="203">
        <v>6.1230358454276938E-3</v>
      </c>
      <c r="AA277" s="200">
        <v>5.0983110609248428E-3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42195</v>
      </c>
      <c r="Y278" s="202">
        <f>_xll.qlInterestRateIndexValueDate(IborIndex,X278,Trigger)</f>
        <v>42199</v>
      </c>
      <c r="Z278" s="203">
        <v>6.1470611339958557E-3</v>
      </c>
      <c r="AA278" s="200">
        <v>5.1204741746690985E-3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42198</v>
      </c>
      <c r="Y279" s="202">
        <f>_xll.qlInterestRateIndexValueDate(IborIndex,X279,Trigger)</f>
        <v>42200</v>
      </c>
      <c r="Z279" s="203">
        <v>6.1711226230909419E-3</v>
      </c>
      <c r="AA279" s="200">
        <v>5.1650228141930654E-3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42199</v>
      </c>
      <c r="Y280" s="202">
        <f>_xll.qlInterestRateIndexValueDate(IborIndex,X280,Trigger)</f>
        <v>42201</v>
      </c>
      <c r="Z280" s="203">
        <v>6.1952199982644842E-3</v>
      </c>
      <c r="AA280" s="200">
        <v>5.2095715604583148E-3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42200</v>
      </c>
      <c r="Y281" s="202">
        <f>_xll.qlInterestRateIndexValueDate(IborIndex,X281,Trigger)</f>
        <v>42202</v>
      </c>
      <c r="Z281" s="203">
        <v>6.2442003724002566E-3</v>
      </c>
      <c r="AA281" s="200">
        <v>5.2319571398484754E-3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42201</v>
      </c>
      <c r="Y282" s="202">
        <f>_xll.qlInterestRateIndexValueDate(IborIndex,X282,Trigger)</f>
        <v>42205</v>
      </c>
      <c r="Z282" s="203">
        <v>6.2919620705219042E-3</v>
      </c>
      <c r="AA282" s="200">
        <v>5.2543872122079449E-3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42202</v>
      </c>
      <c r="Y283" s="202">
        <f>_xll.qlInterestRateIndexValueDate(IborIndex,X283,Trigger)</f>
        <v>42206</v>
      </c>
      <c r="Z283" s="203">
        <v>6.3162341591148311E-3</v>
      </c>
      <c r="AA283" s="200">
        <v>5.2768617777765314E-3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42205</v>
      </c>
      <c r="Y284" s="202">
        <f>_xll.qlInterestRateIndexValueDate(IborIndex,X284,Trigger)</f>
        <v>42207</v>
      </c>
      <c r="Z284" s="203">
        <v>6.3405402469485714E-3</v>
      </c>
      <c r="AA284" s="200">
        <v>5.3220378951568392E-3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42206</v>
      </c>
      <c r="Y285" s="202">
        <f>_xll.qlInterestRateIndexValueDate(IborIndex,X285,Trigger)</f>
        <v>42208</v>
      </c>
      <c r="Z285" s="203">
        <v>6.3648800195268713E-3</v>
      </c>
      <c r="AA285" s="200">
        <v>5.3672049719022397E-3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42207</v>
      </c>
      <c r="Y286" s="202">
        <f>_xll.qlInterestRateIndexValueDate(IborIndex,X286,Trigger)</f>
        <v>42209</v>
      </c>
      <c r="Z286" s="203">
        <v>6.4142970482502287E-3</v>
      </c>
      <c r="AA286" s="200">
        <v>5.3899020033565392E-3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42208</v>
      </c>
      <c r="Y287" s="202">
        <f>_xll.qlInterestRateIndexValueDate(IborIndex,X287,Trigger)</f>
        <v>42212</v>
      </c>
      <c r="Z287" s="203">
        <v>6.4625696671103215E-3</v>
      </c>
      <c r="AA287" s="200">
        <v>5.4126435280199559E-3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42209</v>
      </c>
      <c r="Y288" s="202">
        <f>_xll.qlInterestRateIndexValueDate(IborIndex,X288,Trigger)</f>
        <v>42213</v>
      </c>
      <c r="Z288" s="203">
        <v>6.4870731457164852E-3</v>
      </c>
      <c r="AA288" s="200">
        <v>5.4354295458924895E-3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42212</v>
      </c>
      <c r="Y289" s="202">
        <f>_xll.qlInterestRateIndexValueDate(IborIndex,X289,Trigger)</f>
        <v>42214</v>
      </c>
      <c r="Z289" s="203">
        <v>6.5116084219402313E-3</v>
      </c>
      <c r="AA289" s="200">
        <v>5.4812333452058937E-3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42213</v>
      </c>
      <c r="Y290" s="202">
        <f>_xll.qlInterestRateIndexValueDate(IborIndex,X290,Trigger)</f>
        <v>42215</v>
      </c>
      <c r="Z290" s="203">
        <v>6.5361751812340416E-3</v>
      </c>
      <c r="AA290" s="200">
        <v>5.5270185497935387E-3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42214</v>
      </c>
      <c r="Y291" s="202">
        <f>_xll.qlInterestRateIndexValueDate(IborIndex,X291,Trigger)</f>
        <v>42216</v>
      </c>
      <c r="Z291" s="203">
        <v>6.5481724200889451E-3</v>
      </c>
      <c r="AA291" s="200">
        <v>5.5500270338715296E-3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42215</v>
      </c>
      <c r="Y292" s="202">
        <f>_xll.qlInterestRateIndexValueDate(IborIndex,X292,Trigger)</f>
        <v>42219</v>
      </c>
      <c r="Z292" s="203">
        <v>6.6347507579475494E-3</v>
      </c>
      <c r="AA292" s="200">
        <v>5.5730800112385737E-3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42216</v>
      </c>
      <c r="Y293" s="202">
        <f>_xll.qlInterestRateIndexValueDate(IborIndex,X293,Trigger)</f>
        <v>42220</v>
      </c>
      <c r="Z293" s="203">
        <v>6.6594702141547337E-3</v>
      </c>
      <c r="AA293" s="200">
        <v>5.5961774818147347E-3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42219</v>
      </c>
      <c r="Y294" s="202">
        <f>_xll.qlInterestRateIndexValueDate(IborIndex,X294,Trigger)</f>
        <v>42221</v>
      </c>
      <c r="Z294" s="203">
        <v>6.6842192660061146E-3</v>
      </c>
      <c r="AA294" s="200">
        <v>5.6426091729999683E-3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42220</v>
      </c>
      <c r="Y295" s="202">
        <f>_xll.qlInterestRateIndexValueDate(IborIndex,X295,Trigger)</f>
        <v>42222</v>
      </c>
      <c r="Z295" s="203">
        <v>6.7089975989037785E-3</v>
      </c>
      <c r="AA295" s="200">
        <v>5.6890122971697821E-3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42221</v>
      </c>
      <c r="Y296" s="202">
        <f>_xll.qlInterestRateIndexValueDate(IborIndex,X296,Trigger)</f>
        <v>42223</v>
      </c>
      <c r="Z296" s="203">
        <v>6.7591905248071474E-3</v>
      </c>
      <c r="AA296" s="200">
        <v>5.7123322343510807E-3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42222</v>
      </c>
      <c r="Y297" s="202">
        <f>_xll.qlInterestRateIndexValueDate(IborIndex,X297,Trigger)</f>
        <v>42226</v>
      </c>
      <c r="Z297" s="203">
        <v>6.8083974487809238E-3</v>
      </c>
      <c r="AA297" s="200">
        <v>5.7356966647414964E-3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42223</v>
      </c>
      <c r="Y298" s="202">
        <f>_xll.qlInterestRateIndexValueDate(IborIndex,X298,Trigger)</f>
        <v>42227</v>
      </c>
      <c r="Z298" s="203">
        <v>6.846050677529191E-3</v>
      </c>
      <c r="AA298" s="200">
        <v>5.7591055885009013E-3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42226</v>
      </c>
      <c r="Y299" s="202">
        <f>_xll.qlInterestRateIndexValueDate(IborIndex,X299,Trigger)</f>
        <v>42228</v>
      </c>
      <c r="Z299" s="203">
        <v>6.8582648799540308E-3</v>
      </c>
      <c r="AA299" s="200">
        <v>5.8061653873586749E-3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42227</v>
      </c>
      <c r="Y300" s="202">
        <f>_xll.qlInterestRateIndexValueDate(IborIndex,X300,Trigger)</f>
        <v>42229</v>
      </c>
      <c r="Z300" s="203">
        <v>6.8832393708623991E-3</v>
      </c>
      <c r="AA300" s="200">
        <v>5.85318621706854E-3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42228</v>
      </c>
      <c r="Y301" s="202">
        <f>_xll.qlInterestRateIndexValueDate(IborIndex,X301,Trigger)</f>
        <v>42230</v>
      </c>
      <c r="Z301" s="203">
        <v>6.9337761299058586E-3</v>
      </c>
      <c r="AA301" s="200">
        <v>5.8768176075929546E-3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42229</v>
      </c>
      <c r="Y302" s="202">
        <f>_xll.qlInterestRateIndexValueDate(IborIndex,X302,Trigger)</f>
        <v>42233</v>
      </c>
      <c r="Z302" s="203">
        <v>6.9834018279291152E-3</v>
      </c>
      <c r="AA302" s="200">
        <v>5.9004934914863583E-3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42230</v>
      </c>
      <c r="Y303" s="202">
        <f>_xll.qlInterestRateIndexValueDate(IborIndex,X303,Trigger)</f>
        <v>42234</v>
      </c>
      <c r="Z303" s="203">
        <v>7.0085069921818023E-3</v>
      </c>
      <c r="AA303" s="200">
        <v>5.9242138688286872E-3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42233</v>
      </c>
      <c r="Y304" s="202">
        <f>_xll.qlInterestRateIndexValueDate(IborIndex,X304,Trigger)</f>
        <v>42235</v>
      </c>
      <c r="Z304" s="203">
        <v>7.0336373470527768E-3</v>
      </c>
      <c r="AA304" s="200">
        <v>5.9719019971815612E-3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42234</v>
      </c>
      <c r="Y305" s="202">
        <f>_xll.qlInterestRateIndexValueDate(IborIndex,X305,Trigger)</f>
        <v>42236</v>
      </c>
      <c r="Z305" s="203">
        <v>7.0587925778415987E-3</v>
      </c>
      <c r="AA305" s="200">
        <v>6.0195403122875746E-3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42235</v>
      </c>
      <c r="Y306" s="202">
        <f>_xll.qlInterestRateIndexValueDate(IborIndex,X306,Trigger)</f>
        <v>42237</v>
      </c>
      <c r="Z306" s="203">
        <v>7.1096468199664184E-3</v>
      </c>
      <c r="AA306" s="200">
        <v>6.0434831567146574E-3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42236</v>
      </c>
      <c r="Y307" s="202">
        <f>_xll.qlInterestRateIndexValueDate(IborIndex,X307,Trigger)</f>
        <v>42240</v>
      </c>
      <c r="Z307" s="203">
        <v>7.1596559658954791E-3</v>
      </c>
      <c r="AA307" s="200">
        <v>6.0674704945906655E-3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42237</v>
      </c>
      <c r="Y308" s="202">
        <f>_xll.qlInterestRateIndexValueDate(IborIndex,X308,Trigger)</f>
        <v>42241</v>
      </c>
      <c r="Z308" s="203">
        <v>7.1849308554941182E-3</v>
      </c>
      <c r="AA308" s="200">
        <v>6.0915023259155987E-3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42240</v>
      </c>
      <c r="Y309" s="202">
        <f>_xll.qlInterestRateIndexValueDate(IborIndex,X309,Trigger)</f>
        <v>42242</v>
      </c>
      <c r="Z309" s="203">
        <v>7.2231099329134532E-3</v>
      </c>
      <c r="AA309" s="200">
        <v>6.1398190115280471E-3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42241</v>
      </c>
      <c r="Y310" s="202">
        <f>_xll.qlInterestRateIndexValueDate(IborIndex,X310,Trigger)</f>
        <v>42243</v>
      </c>
      <c r="Z310" s="203">
        <v>7.2355492825952796E-3</v>
      </c>
      <c r="AA310" s="200">
        <v>6.188074585944392E-3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42242</v>
      </c>
      <c r="Y311" s="202">
        <f>_xll.qlInterestRateIndexValueDate(IborIndex,X311,Trigger)</f>
        <v>42244</v>
      </c>
      <c r="Z311" s="203">
        <v>7.2866969528486841E-3</v>
      </c>
      <c r="AA311" s="200">
        <v>6.2123288846738234E-3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42243</v>
      </c>
      <c r="Y312" s="202">
        <f>_xll.qlInterestRateIndexValueDate(IborIndex,X312,Trigger)</f>
        <v>42248</v>
      </c>
      <c r="Z312" s="203">
        <v>7.349551707350902E-3</v>
      </c>
      <c r="AA312" s="200">
        <v>6.2609709626393339E-3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42244</v>
      </c>
      <c r="Y313" s="202">
        <f>_xll.qlInterestRateIndexValueDate(IborIndex,X313,Trigger)</f>
        <v>42249</v>
      </c>
      <c r="Z313" s="203">
        <v>7.3749928764309048E-3</v>
      </c>
      <c r="AA313" s="200">
        <v>6.3222181803768152E-3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42248</v>
      </c>
      <c r="Y314" s="202">
        <f>_xll.qlInterestRateIndexValueDate(IborIndex,X314,Trigger)</f>
        <v>42250</v>
      </c>
      <c r="Z314" s="203">
        <v>7.400454564375757E-3</v>
      </c>
      <c r="AA314" s="200">
        <v>6.3833547945080227E-3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42249</v>
      </c>
      <c r="Y315" s="202">
        <f>_xll.qlInterestRateIndexValueDate(IborIndex,X315,Trigger)</f>
        <v>42251</v>
      </c>
      <c r="Z315" s="203">
        <v>7.425936452910821E-3</v>
      </c>
      <c r="AA315" s="200">
        <v>6.4079650416282163E-3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42250</v>
      </c>
      <c r="Y316" s="202">
        <f>_xll.qlInterestRateIndexValueDate(IborIndex,X316,Trigger)</f>
        <v>42255</v>
      </c>
      <c r="Z316" s="203">
        <v>7.5280596471266432E-3</v>
      </c>
      <c r="AA316" s="200">
        <v>6.4326197822772713E-3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42251</v>
      </c>
      <c r="Y317" s="202">
        <f>_xll.qlInterestRateIndexValueDate(IborIndex,X317,Trigger)</f>
        <v>42255</v>
      </c>
      <c r="Z317" s="203">
        <v>7.5280596471266432E-3</v>
      </c>
      <c r="AA317" s="200">
        <v>6.4326197822772713E-3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42254</v>
      </c>
      <c r="Y318" s="202">
        <f>_xll.qlInterestRateIndexValueDate(IborIndex,X318,Trigger)</f>
        <v>42256</v>
      </c>
      <c r="Z318" s="203">
        <v>7.5536377641778514E-3</v>
      </c>
      <c r="AA318" s="200">
        <v>6.4821942904558227E-3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42255</v>
      </c>
      <c r="Y319" s="202">
        <f>_xll.qlInterestRateIndexValueDate(IborIndex,X319,Trigger)</f>
        <v>42257</v>
      </c>
      <c r="Z319" s="203">
        <v>7.5792341719913706E-3</v>
      </c>
      <c r="AA319" s="200">
        <v>6.5316836808015921E-3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42256</v>
      </c>
      <c r="Y320" s="202">
        <f>_xll.qlInterestRateIndexValueDate(IborIndex,X320,Trigger)</f>
        <v>42258</v>
      </c>
      <c r="Z320" s="203">
        <v>7.6048485522354665E-3</v>
      </c>
      <c r="AA320" s="200">
        <v>6.5565608894946337E-3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42257</v>
      </c>
      <c r="Y321" s="202">
        <f>_xll.qlInterestRateIndexValueDate(IborIndex,X321,Trigger)</f>
        <v>42261</v>
      </c>
      <c r="Z321" s="203">
        <v>7.6817963441029851E-3</v>
      </c>
      <c r="AA321" s="200">
        <v>6.5814825917964725E-3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42258</v>
      </c>
      <c r="Y322" s="202">
        <f>_xll.qlInterestRateIndexValueDate(IborIndex,X322,Trigger)</f>
        <v>42262</v>
      </c>
      <c r="Z322" s="203">
        <v>7.7074794305833864E-3</v>
      </c>
      <c r="AA322" s="200">
        <v>6.6064439635660221E-3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42261</v>
      </c>
      <c r="Y323" s="202">
        <f>_xll.qlInterestRateIndexValueDate(IborIndex,X323,Trigger)</f>
        <v>42263</v>
      </c>
      <c r="Z323" s="203">
        <v>7.7331788977135904E-3</v>
      </c>
      <c r="AA323" s="200">
        <v>6.6565512617966505E-3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42262</v>
      </c>
      <c r="Y324" s="202">
        <f>_xll.qlInterestRateIndexValueDate(IborIndex,X324,Trigger)</f>
        <v>42264</v>
      </c>
      <c r="Z324" s="203">
        <v>7.7588944418349615E-3</v>
      </c>
      <c r="AA324" s="200">
        <v>6.7064642321934542E-3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42263</v>
      </c>
      <c r="Y325" s="202">
        <f>_xll.qlInterestRateIndexValueDate(IborIndex,X325,Trigger)</f>
        <v>42265</v>
      </c>
      <c r="Z325" s="203">
        <v>7.7846258713029975E-3</v>
      </c>
      <c r="AA325" s="200">
        <v>6.731508170556566E-3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42264</v>
      </c>
      <c r="Y326" s="202">
        <f>_xll.qlInterestRateIndexValueDate(IborIndex,X326,Trigger)</f>
        <v>42268</v>
      </c>
      <c r="Z326" s="203">
        <v>7.8619160396616299E-3</v>
      </c>
      <c r="AA326" s="200">
        <v>6.7565676573622113E-3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42265</v>
      </c>
      <c r="Y327" s="202">
        <f>_xll.qlInterestRateIndexValueDate(IborIndex,X327,Trigger)</f>
        <v>42269</v>
      </c>
      <c r="Z327" s="203">
        <v>7.8877116846373021E-3</v>
      </c>
      <c r="AA327" s="200">
        <v>6.7816426926903262E-3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42268</v>
      </c>
      <c r="Y328" s="202">
        <f>_xll.qlInterestRateIndexValueDate(IborIndex,X328,Trigger)</f>
        <v>42270</v>
      </c>
      <c r="Z328" s="203">
        <v>7.9135236051503764E-3</v>
      </c>
      <c r="AA328" s="200">
        <v>6.8319742422318086E-3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42269</v>
      </c>
      <c r="Y329" s="202">
        <f>_xll.qlInterestRateIndexValueDate(IborIndex,X329,Trigger)</f>
        <v>42271</v>
      </c>
      <c r="Z329" s="203">
        <v>7.9393518898683863E-3</v>
      </c>
      <c r="AA329" s="200">
        <v>6.8820983190676088E-3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42270</v>
      </c>
      <c r="Y330" s="202">
        <f>_xll.qlInterestRateIndexValueDate(IborIndex,X330,Trigger)</f>
        <v>42272</v>
      </c>
      <c r="Z330" s="203">
        <v>8.0177869992657091E-3</v>
      </c>
      <c r="AA330" s="200">
        <v>6.9072510968481993E-3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42271</v>
      </c>
      <c r="Y331" s="202">
        <f>_xll.qlInterestRateIndexValueDate(IborIndex,X331,Trigger)</f>
        <v>42275</v>
      </c>
      <c r="Z331" s="203">
        <v>8.0559961535751363E-3</v>
      </c>
      <c r="AA331" s="200">
        <v>6.9324194233111314E-3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42272</v>
      </c>
      <c r="Y332" s="202">
        <f>_xll.qlInterestRateIndexValueDate(IborIndex,X332,Trigger)</f>
        <v>42276</v>
      </c>
      <c r="Z332" s="203">
        <v>8.0687418801254646E-3</v>
      </c>
      <c r="AA332" s="200">
        <v>6.9576032980567248E-3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42275</v>
      </c>
      <c r="Y333" s="202">
        <f>_xll.qlInterestRateIndexValueDate(IborIndex,X333,Trigger)</f>
        <v>42277</v>
      </c>
      <c r="Z333" s="203">
        <v>8.1078550309718212E-3</v>
      </c>
      <c r="AA333" s="200">
        <v>7.0081592998416653E-3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42276</v>
      </c>
      <c r="Y334" s="202">
        <f>_xll.qlInterestRateIndexValueDate(IborIndex,X334,Trigger)</f>
        <v>42278</v>
      </c>
      <c r="Z334" s="203">
        <v>8.1734356748737417E-3</v>
      </c>
      <c r="AA334" s="200">
        <v>7.0584942828233466E-3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42277</v>
      </c>
      <c r="Y335" s="202">
        <f>_xll.qlInterestRateIndexValueDate(IborIndex,X335,Trigger)</f>
        <v>42279</v>
      </c>
      <c r="Z335" s="203">
        <v>8.1862118495982916E-3</v>
      </c>
      <c r="AA335" s="200">
        <v>7.0837559003411599E-3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42278</v>
      </c>
      <c r="Y336" s="202">
        <f>_xll.qlInterestRateIndexValueDate(IborIndex,X336,Trigger)</f>
        <v>42282</v>
      </c>
      <c r="Z336" s="203">
        <v>8.2378023331957494E-3</v>
      </c>
      <c r="AA336" s="200">
        <v>7.1090330663814427E-3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42279</v>
      </c>
      <c r="Y337" s="202">
        <f>_xll.qlInterestRateIndexValueDate(IborIndex,X337,Trigger)</f>
        <v>42283</v>
      </c>
      <c r="Z337" s="203">
        <v>8.2638439427758052E-3</v>
      </c>
      <c r="AA337" s="200">
        <v>7.1343257808642591E-3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42282</v>
      </c>
      <c r="Y338" s="202">
        <f>_xll.qlInterestRateIndexValueDate(IborIndex,X338,Trigger)</f>
        <v>42284</v>
      </c>
      <c r="Z338" s="203">
        <v>8.2899031401427407E-3</v>
      </c>
      <c r="AA338" s="200">
        <v>7.1978511699333225E-3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42283</v>
      </c>
      <c r="Y339" s="202">
        <f>_xll.qlInterestRateIndexValueDate(IborIndex,X339,Trigger)</f>
        <v>42285</v>
      </c>
      <c r="Z339" s="203">
        <v>8.3159800130472306E-3</v>
      </c>
      <c r="AA339" s="200">
        <v>7.2610225819147445E-3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42284</v>
      </c>
      <c r="Y340" s="202">
        <f>_xll.qlInterestRateIndexValueDate(IborIndex,X340,Trigger)</f>
        <v>42286</v>
      </c>
      <c r="Z340" s="203">
        <v>8.3686459902095663E-3</v>
      </c>
      <c r="AA340" s="200">
        <v>7.2864085877721863E-3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42285</v>
      </c>
      <c r="Y341" s="202">
        <f>_xll.qlInterestRateIndexValueDate(IborIndex,X341,Trigger)</f>
        <v>42290</v>
      </c>
      <c r="Z341" s="203">
        <v>8.4466325821134763E-3</v>
      </c>
      <c r="AA341" s="200">
        <v>7.3118101422320336E-3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42286</v>
      </c>
      <c r="Y342" s="202">
        <f>_xll.qlInterestRateIndexValueDate(IborIndex,X342,Trigger)</f>
        <v>42290</v>
      </c>
      <c r="Z342" s="203">
        <v>8.4466325821134763E-3</v>
      </c>
      <c r="AA342" s="200">
        <v>7.3118101422320336E-3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42289</v>
      </c>
      <c r="Y343" s="202">
        <f>_xll.qlInterestRateIndexValueDate(IborIndex,X343,Trigger)</f>
        <v>42291</v>
      </c>
      <c r="Z343" s="203">
        <v>8.4728173511665044E-3</v>
      </c>
      <c r="AA343" s="200">
        <v>7.3628156600946681E-3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42290</v>
      </c>
      <c r="Y344" s="202">
        <f>_xll.qlInterestRateIndexValueDate(IborIndex,X344,Trigger)</f>
        <v>42292</v>
      </c>
      <c r="Z344" s="203">
        <v>8.4990204100891514E-3</v>
      </c>
      <c r="AA344" s="200">
        <v>7.4135718455359267E-3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42291</v>
      </c>
      <c r="Y345" s="202">
        <f>_xll.qlInterestRateIndexValueDate(IborIndex,X345,Trigger)</f>
        <v>42293</v>
      </c>
      <c r="Z345" s="203">
        <v>8.5653327026404356E-3</v>
      </c>
      <c r="AA345" s="200">
        <v>7.439051142767994E-3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42292</v>
      </c>
      <c r="Y346" s="202">
        <f>_xll.qlInterestRateIndexValueDate(IborIndex,X346,Trigger)</f>
        <v>42296</v>
      </c>
      <c r="Z346" s="203">
        <v>8.6040172999525613E-3</v>
      </c>
      <c r="AA346" s="200">
        <v>7.4645459886824028E-3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42293</v>
      </c>
      <c r="Y347" s="202">
        <f>_xll.qlInterestRateIndexValueDate(IborIndex,X347,Trigger)</f>
        <v>42297</v>
      </c>
      <c r="Z347" s="203">
        <v>8.6303131248544537E-3</v>
      </c>
      <c r="AA347" s="200">
        <v>7.4900563831192812E-3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42296</v>
      </c>
      <c r="Y348" s="202">
        <f>_xll.qlInterestRateIndexValueDate(IborIndex,X348,Trigger)</f>
        <v>42298</v>
      </c>
      <c r="Z348" s="203">
        <v>8.6566277662959781E-3</v>
      </c>
      <c r="AA348" s="200">
        <v>7.5412869695057339E-3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42297</v>
      </c>
      <c r="Y349" s="202">
        <f>_xll.qlInterestRateIndexValueDate(IborIndex,X349,Trigger)</f>
        <v>42299</v>
      </c>
      <c r="Z349" s="203">
        <v>8.68296131206517E-3</v>
      </c>
      <c r="AA349" s="200">
        <v>7.5922534467309788E-3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42298</v>
      </c>
      <c r="Y350" s="202">
        <f>_xll.qlInterestRateIndexValueDate(IborIndex,X350,Trigger)</f>
        <v>42300</v>
      </c>
      <c r="Z350" s="203">
        <v>8.7361871719611132E-3</v>
      </c>
      <c r="AA350" s="200">
        <v>7.6178415840999492E-3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42299</v>
      </c>
      <c r="Y351" s="202">
        <f>_xll.qlInterestRateIndexValueDate(IborIndex,X351,Trigger)</f>
        <v>42303</v>
      </c>
      <c r="Z351" s="203">
        <v>8.7884862942653966E-3</v>
      </c>
      <c r="AA351" s="200">
        <v>7.6434452701512612E-3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42300</v>
      </c>
      <c r="Y352" s="202">
        <f>_xll.qlInterestRateIndexValueDate(IborIndex,X352,Trigger)</f>
        <v>42304</v>
      </c>
      <c r="Z352" s="203">
        <v>8.8149156785812532E-3</v>
      </c>
      <c r="AA352" s="200">
        <v>7.6690645047250428E-3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42303</v>
      </c>
      <c r="Y353" s="202">
        <f>_xll.qlInterestRateIndexValueDate(IborIndex,X353,Trigger)</f>
        <v>42305</v>
      </c>
      <c r="Z353" s="203">
        <v>8.8413644940051363E-3</v>
      </c>
      <c r="AA353" s="200">
        <v>7.7205203695740465E-3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42304</v>
      </c>
      <c r="Y354" s="202">
        <f>_xll.qlInterestRateIndexValueDate(IborIndex,X354,Trigger)</f>
        <v>42306</v>
      </c>
      <c r="Z354" s="203">
        <v>8.8678328283433305E-3</v>
      </c>
      <c r="AA354" s="200">
        <v>7.7716969293639693E-3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42305</v>
      </c>
      <c r="Y355" s="202">
        <f>_xll.qlInterestRateIndexValueDate(IborIndex,X355,Trigger)</f>
        <v>42307</v>
      </c>
      <c r="Z355" s="203">
        <v>8.8808169189641475E-3</v>
      </c>
      <c r="AA355" s="200">
        <v>7.7973939070297149E-3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42306</v>
      </c>
      <c r="Y356" s="202">
        <f>_xll.qlInterestRateIndexValueDate(IborIndex,X356,Trigger)</f>
        <v>42310</v>
      </c>
      <c r="Z356" s="203">
        <v>8.9739031110596026E-3</v>
      </c>
      <c r="AA356" s="200">
        <v>7.8231064333778022E-3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42307</v>
      </c>
      <c r="Y357" s="202">
        <f>_xll.qlInterestRateIndexValueDate(IborIndex,X357,Trigger)</f>
        <v>42311</v>
      </c>
      <c r="Z357" s="203">
        <v>9.0004703571557113E-3</v>
      </c>
      <c r="AA357" s="200">
        <v>7.848834508248359E-3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42310</v>
      </c>
      <c r="Y358" s="202">
        <f>_xll.qlInterestRateIndexValueDate(IborIndex,X358,Trigger)</f>
        <v>42312</v>
      </c>
      <c r="Z358" s="203">
        <v>9.027057649058574E-3</v>
      </c>
      <c r="AA358" s="200">
        <v>7.900515863763502E-3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42311</v>
      </c>
      <c r="Y359" s="202">
        <f>_xll.qlInterestRateIndexValueDate(IborIndex,X359,Trigger)</f>
        <v>42313</v>
      </c>
      <c r="Z359" s="203">
        <v>9.0536650745935889E-3</v>
      </c>
      <c r="AA359" s="200">
        <v>7.9519022944740669E-3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42312</v>
      </c>
      <c r="Y360" s="202">
        <f>_xll.qlInterestRateIndexValueDate(IborIndex,X360,Trigger)</f>
        <v>42314</v>
      </c>
      <c r="Z360" s="203">
        <v>9.1074887282971417E-3</v>
      </c>
      <c r="AA360" s="200">
        <v>7.9907074763019281E-3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42313</v>
      </c>
      <c r="Y361" s="202">
        <f>_xll.qlInterestRateIndexValueDate(IborIndex,X361,Trigger)</f>
        <v>42317</v>
      </c>
      <c r="Z361" s="203">
        <v>9.1602978696378821E-3</v>
      </c>
      <c r="AA361" s="200">
        <v>8.029366394888271E-3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42314</v>
      </c>
      <c r="Y362" s="202">
        <f>_xll.qlInterestRateIndexValueDate(IborIndex,X362,Trigger)</f>
        <v>42318</v>
      </c>
      <c r="Z362" s="203">
        <v>9.1870072807954534E-3</v>
      </c>
      <c r="AA362" s="200">
        <v>8.0812734555379961E-3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42317</v>
      </c>
      <c r="Y363" s="202">
        <f>_xll.qlInterestRateIndexValueDate(IborIndex,X363,Trigger)</f>
        <v>42320</v>
      </c>
      <c r="Z363" s="203">
        <v>9.2404881728625418E-3</v>
      </c>
      <c r="AA363" s="200">
        <v>8.1328695432603126E-3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42318</v>
      </c>
      <c r="Y364" s="202">
        <f>_xll.qlInterestRateIndexValueDate(IborIndex,X364,Trigger)</f>
        <v>42320</v>
      </c>
      <c r="Z364" s="203">
        <v>9.2404881728625418E-3</v>
      </c>
      <c r="AA364" s="200">
        <v>8.1328695432603126E-3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42319</v>
      </c>
      <c r="Y365" s="202">
        <f>_xll.qlInterestRateIndexValueDate(IborIndex,X365,Trigger)</f>
        <v>42321</v>
      </c>
      <c r="Z365" s="203">
        <v>9.3083178883073148E-3</v>
      </c>
      <c r="AA365" s="200">
        <v>8.1587842020791612E-3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42320</v>
      </c>
      <c r="Y366" s="202">
        <f>_xll.qlInterestRateIndexValueDate(IborIndex,X366,Trigger)</f>
        <v>42324</v>
      </c>
      <c r="Z366" s="203">
        <v>9.3477006957212849E-3</v>
      </c>
      <c r="AA366" s="200">
        <v>8.1847144095004154E-3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42321</v>
      </c>
      <c r="Y367" s="202">
        <f>_xll.qlInterestRateIndexValueDate(IborIndex,X367,Trigger)</f>
        <v>42325</v>
      </c>
      <c r="Z367" s="203">
        <v>9.3745565761425304E-3</v>
      </c>
      <c r="AA367" s="200">
        <v>8.2106601656040112E-3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42324</v>
      </c>
      <c r="Y368" s="202">
        <f>_xll.qlInterestRateIndexValueDate(IborIndex,X368,Trigger)</f>
        <v>42326</v>
      </c>
      <c r="Z368" s="203">
        <v>9.4014337321624494E-3</v>
      </c>
      <c r="AA368" s="200">
        <v>8.2627931482548433E-3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42325</v>
      </c>
      <c r="Y369" s="202">
        <f>_xll.qlInterestRateIndexValueDate(IborIndex,X369,Trigger)</f>
        <v>42327</v>
      </c>
      <c r="Z369" s="203">
        <v>9.428332251642935E-3</v>
      </c>
      <c r="AA369" s="200">
        <v>8.3145986769217473E-3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42326</v>
      </c>
      <c r="Y370" s="202">
        <f>_xll.qlInterestRateIndexValueDate(IborIndex,X370,Trigger)</f>
        <v>42328</v>
      </c>
      <c r="Z370" s="203">
        <v>9.4827865568348369E-3</v>
      </c>
      <c r="AA370" s="200">
        <v>8.3406221765169875E-3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42327</v>
      </c>
      <c r="Y371" s="202">
        <f>_xll.qlInterestRateIndexValueDate(IborIndex,X371,Trigger)</f>
        <v>42331</v>
      </c>
      <c r="Z371" s="203">
        <v>9.5361417215247945E-3</v>
      </c>
      <c r="AA371" s="200">
        <v>8.3797860496614973E-3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42328</v>
      </c>
      <c r="Y372" s="202">
        <f>_xll.qlInterestRateIndexValueDate(IborIndex,X372,Trigger)</f>
        <v>42332</v>
      </c>
      <c r="Z372" s="203">
        <v>9.5631483763468309E-3</v>
      </c>
      <c r="AA372" s="200">
        <v>8.4450749454312302E-3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42331</v>
      </c>
      <c r="Y373" s="202">
        <f>_xll.qlInterestRateIndexValueDate(IborIndex,X373,Trigger)</f>
        <v>42333</v>
      </c>
      <c r="Z373" s="203">
        <v>9.5901769218633415E-3</v>
      </c>
      <c r="AA373" s="200">
        <v>8.4970896965774756E-3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42332</v>
      </c>
      <c r="Y374" s="202">
        <f>_xll.qlInterestRateIndexValueDate(IborIndex,X374,Trigger)</f>
        <v>42335</v>
      </c>
      <c r="Z374" s="203">
        <v>9.6720078195045248E-3</v>
      </c>
      <c r="AA374" s="200">
        <v>8.5232220371089795E-3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42333</v>
      </c>
      <c r="Y375" s="202">
        <f>_xll.qlInterestRateIndexValueDate(IborIndex,X375,Trigger)</f>
        <v>42335</v>
      </c>
      <c r="Z375" s="203">
        <v>9.6720078195045248E-3</v>
      </c>
      <c r="AA375" s="200">
        <v>8.5232220371089795E-3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42334</v>
      </c>
      <c r="Y376" s="202">
        <f>_xll.qlInterestRateIndexValueDate(IborIndex,X376,Trigger)</f>
        <v>42338</v>
      </c>
      <c r="Z376" s="203">
        <v>9.7117726839449237E-3</v>
      </c>
      <c r="AA376" s="200">
        <v>8.5493699263228251E-3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42335</v>
      </c>
      <c r="Y377" s="202">
        <f>_xll.qlInterestRateIndexValueDate(IborIndex,X377,Trigger)</f>
        <v>42339</v>
      </c>
      <c r="Z377" s="203">
        <v>9.7389218924043112E-3</v>
      </c>
      <c r="AA377" s="200">
        <v>8.5755333642989484E-3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42338</v>
      </c>
      <c r="Y378" s="202">
        <f>_xll.qlInterestRateIndexValueDate(IborIndex,X378,Trigger)</f>
        <v>42340</v>
      </c>
      <c r="Z378" s="203">
        <v>9.7660935894856513E-3</v>
      </c>
      <c r="AA378" s="200">
        <v>8.6281188504777617E-3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42339</v>
      </c>
      <c r="Y379" s="202">
        <f>_xll.qlInterestRateIndexValueDate(IborIndex,X379,Trigger)</f>
        <v>42341</v>
      </c>
      <c r="Z379" s="203">
        <v>9.7932878640427049E-3</v>
      </c>
      <c r="AA379" s="200">
        <v>8.6803426034265385E-3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42340</v>
      </c>
      <c r="Y380" s="202">
        <f>_xll.qlInterestRateIndexValueDate(IborIndex,X380,Trigger)</f>
        <v>42342</v>
      </c>
      <c r="Z380" s="203">
        <v>9.8205048049327445E-3</v>
      </c>
      <c r="AA380" s="200">
        <v>8.7065837849742422E-3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42341</v>
      </c>
      <c r="Y381" s="202">
        <f>_xll.qlInterestRateIndexValueDate(IborIndex,X381,Trigger)</f>
        <v>42345</v>
      </c>
      <c r="Z381" s="203">
        <v>9.9022925142121659E-3</v>
      </c>
      <c r="AA381" s="200">
        <v>8.7328405154440958E-3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42342</v>
      </c>
      <c r="Y382" s="202">
        <f>_xll.qlInterestRateIndexValueDate(IborIndex,X382,Trigger)</f>
        <v>42346</v>
      </c>
      <c r="Z382" s="203">
        <v>9.9296010090587101E-3</v>
      </c>
      <c r="AA382" s="200">
        <v>8.7591127945163549E-3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42345</v>
      </c>
      <c r="Y383" s="202">
        <f>_xll.qlInterestRateIndexValueDate(IborIndex,X383,Trigger)</f>
        <v>42347</v>
      </c>
      <c r="Z383" s="203">
        <v>9.9569326145658912E-3</v>
      </c>
      <c r="AA383" s="200">
        <v>8.8119248669649153E-3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42346</v>
      </c>
      <c r="Y384" s="202">
        <f>_xll.qlInterestRateIndexValueDate(IborIndex,X384,Trigger)</f>
        <v>42348</v>
      </c>
      <c r="Z384" s="203">
        <v>9.9842874196067969E-3</v>
      </c>
      <c r="AA384" s="200">
        <v>8.8643573985081048E-3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42347</v>
      </c>
      <c r="Y385" s="202">
        <f>_xll.qlInterestRateIndexValueDate(IborIndex,X385,Trigger)</f>
        <v>42349</v>
      </c>
      <c r="Z385" s="203">
        <v>1.0011665513057145E-2</v>
      </c>
      <c r="AA385" s="200">
        <v>8.8907074214716886E-3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42348</v>
      </c>
      <c r="Y386" s="202">
        <f>_xll.qlInterestRateIndexValueDate(IborIndex,X386,Trigger)</f>
        <v>42352</v>
      </c>
      <c r="Z386" s="203">
        <v>1.0093940412681773E-2</v>
      </c>
      <c r="AA386" s="200">
        <v>8.9170743305277966E-3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42349</v>
      </c>
      <c r="Y387" s="202">
        <f>_xll.qlInterestRateIndexValueDate(IborIndex,X387,Trigger)</f>
        <v>42353</v>
      </c>
      <c r="Z387" s="203">
        <v>1.0121412548597365E-2</v>
      </c>
      <c r="AA387" s="200">
        <v>8.9434634751572872E-3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42352</v>
      </c>
      <c r="Y388" s="202">
        <f>_xll.qlInterestRateIndexValueDate(IborIndex,X388,Trigger)</f>
        <v>42354</v>
      </c>
      <c r="Z388" s="203">
        <v>1.0148908417350191E-2</v>
      </c>
      <c r="AA388" s="200">
        <v>8.9965451584461675E-3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42353</v>
      </c>
      <c r="Y389" s="202">
        <f>_xll.qlInterestRateIndexValueDate(IborIndex,X389,Trigger)</f>
        <v>42355</v>
      </c>
      <c r="Z389" s="203">
        <v>1.0176428149108652E-2</v>
      </c>
      <c r="AA389" s="200">
        <v>9.0492557839105814E-3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42354</v>
      </c>
      <c r="Y390" s="202">
        <f>_xll.qlInterestRateIndexValueDate(IborIndex,X390,Trigger)</f>
        <v>42356</v>
      </c>
      <c r="Z390" s="203">
        <v>1.020397203915128E-2</v>
      </c>
      <c r="AA390" s="200">
        <v>9.0757627936177698E-3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42355</v>
      </c>
      <c r="Y391" s="202">
        <f>_xll.qlInterestRateIndexValueDate(IborIndex,X391,Trigger)</f>
        <v>42359</v>
      </c>
      <c r="Z391" s="203">
        <v>1.0286752024652328E-2</v>
      </c>
      <c r="AA391" s="200">
        <v>9.1022933763884595E-3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42356</v>
      </c>
      <c r="Y392" s="202">
        <f>_xll.qlInterestRateIndexValueDate(IborIndex,X392,Trigger)</f>
        <v>42360</v>
      </c>
      <c r="Z392" s="203">
        <v>1.0314395913550746E-2</v>
      </c>
      <c r="AA392" s="200">
        <v>9.169087977158874E-3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42359</v>
      </c>
      <c r="Y393" s="202">
        <f>_xll.qlInterestRateIndexValueDate(IborIndex,X393,Trigger)</f>
        <v>42361</v>
      </c>
      <c r="Z393" s="203">
        <v>1.0342065643642083E-2</v>
      </c>
      <c r="AA393" s="200">
        <v>9.2352998857947455E-3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42360</v>
      </c>
      <c r="Y394" s="202">
        <f>_xll.qlInterestRateIndexValueDate(IborIndex,X394,Trigger)</f>
        <v>42362</v>
      </c>
      <c r="Z394" s="203">
        <v>1.0369761551537961E-2</v>
      </c>
      <c r="AA394" s="200">
        <v>9.2619719068665063E-3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42361</v>
      </c>
      <c r="Y395" s="202">
        <f>_xll.qlInterestRateIndexValueDate(IborIndex,X395,Trigger)</f>
        <v>42367</v>
      </c>
      <c r="Z395" s="203">
        <v>1.050864554018513E-2</v>
      </c>
      <c r="AA395" s="200">
        <v>9.3558890476308498E-3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42362</v>
      </c>
      <c r="Y396" s="202">
        <f>_xll.qlInterestRateIndexValueDate(IborIndex,X396,Trigger)</f>
        <v>42368</v>
      </c>
      <c r="Z396" s="203">
        <v>1.0536505584306497E-2</v>
      </c>
      <c r="AA396" s="200">
        <v>9.4224990676305964E-3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42367</v>
      </c>
      <c r="Y397" s="202">
        <f>_xll.qlInterestRateIndexValueDate(IborIndex,X397,Trigger)</f>
        <v>42369</v>
      </c>
      <c r="Z397" s="203">
        <v>1.0564394162791308E-2</v>
      </c>
      <c r="AA397" s="200">
        <v>9.4493361002268017E-3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42368</v>
      </c>
      <c r="Y398" s="202">
        <f>_xll.qlInterestRateIndexValueDate(IborIndex,X398,Trigger)</f>
        <v>42373</v>
      </c>
      <c r="Z398" s="203">
        <v>1.0676240554344515E-2</v>
      </c>
      <c r="AA398" s="200">
        <v>9.4761967058865082E-3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42369</v>
      </c>
      <c r="Y399" s="202">
        <f>_xll.qlInterestRateIndexValueDate(IborIndex,X399,Trigger)</f>
        <v>42374</v>
      </c>
      <c r="Z399" s="203">
        <v>1.0704276855219252E-2</v>
      </c>
      <c r="AA399" s="200">
        <v>9.503080884769588E-3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42373</v>
      </c>
      <c r="Y400" s="202">
        <f>_xll.qlInterestRateIndexValueDate(IborIndex,X400,Trigger)</f>
        <v>42375</v>
      </c>
      <c r="Z400" s="203">
        <v>1.0732343710757842E-2</v>
      </c>
      <c r="AA400" s="200">
        <v>9.5571815289474671E-3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42374</v>
      </c>
      <c r="Y401" s="202">
        <f>_xll.qlInterestRateIndexValueDate(IborIndex,X401,Trigger)</f>
        <v>42376</v>
      </c>
      <c r="Z401" s="203">
        <v>1.0760441457710693E-2</v>
      </c>
      <c r="AA401" s="200">
        <v>9.6108533311767275E-3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42375</v>
      </c>
      <c r="Y402" s="202">
        <f>_xll.qlInterestRateIndexValueDate(IborIndex,X402,Trigger)</f>
        <v>42377</v>
      </c>
      <c r="Z402" s="203">
        <v>1.078857043284227E-2</v>
      </c>
      <c r="AA402" s="200">
        <v>9.6378553755371854E-3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42376</v>
      </c>
      <c r="Y403" s="202">
        <f>_xll.qlInterestRateIndexValueDate(IborIndex,X403,Trigger)</f>
        <v>42380</v>
      </c>
      <c r="Z403" s="203">
        <v>1.0873148095083095E-2</v>
      </c>
      <c r="AA403" s="200">
        <v>9.6648809931210167E-3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42377</v>
      </c>
      <c r="Y404" s="202">
        <f>_xll.qlInterestRateIndexValueDate(IborIndex,X404,Trigger)</f>
        <v>42381</v>
      </c>
      <c r="Z404" s="203">
        <v>1.0901405350756902E-2</v>
      </c>
      <c r="AA404" s="200">
        <v>9.6919301838482852E-3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42380</v>
      </c>
      <c r="Y405" s="202">
        <f>_xll.qlInterestRateIndexValueDate(IborIndex,X405,Trigger)</f>
        <v>42382</v>
      </c>
      <c r="Z405" s="203">
        <v>1.0929695518575809E-2</v>
      </c>
      <c r="AA405" s="200">
        <v>9.7600679121678802E-3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42381</v>
      </c>
      <c r="Y406" s="202">
        <f>_xll.qlInterestRateIndexValueDate(IborIndex,X406,Trigger)</f>
        <v>42383</v>
      </c>
      <c r="Z406" s="203">
        <v>1.0958018935363127E-2</v>
      </c>
      <c r="AA406" s="200">
        <v>9.8275297347161228E-3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42382</v>
      </c>
      <c r="Y407" s="202">
        <f>_xll.qlInterestRateIndexValueDate(IborIndex,X407,Trigger)</f>
        <v>42384</v>
      </c>
      <c r="Z407" s="203">
        <v>1.0986375937955354E-2</v>
      </c>
      <c r="AA407" s="200">
        <v>9.8547203643839509E-3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42383</v>
      </c>
      <c r="Y408" s="202">
        <f>_xll.qlInterestRateIndexValueDate(IborIndex,X408,Trigger)</f>
        <v>42388</v>
      </c>
      <c r="Z408" s="203">
        <v>1.1100146543429069E-2</v>
      </c>
      <c r="AA408" s="200">
        <v>9.8819345671952163E-3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42384</v>
      </c>
      <c r="Y409" s="202">
        <f>_xll.qlInterestRateIndexValueDate(IborIndex,X409,Trigger)</f>
        <v>42388</v>
      </c>
      <c r="Z409" s="203">
        <v>1.1100146543429069E-2</v>
      </c>
      <c r="AA409" s="200">
        <v>9.8819345671952163E-3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42387</v>
      </c>
      <c r="Y410" s="202">
        <f>_xll.qlInterestRateIndexValueDate(IborIndex,X410,Trigger)</f>
        <v>42389</v>
      </c>
      <c r="Z410" s="203">
        <v>1.1128676527931409E-2</v>
      </c>
      <c r="AA410" s="200">
        <v>9.9367158100704955E-3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42388</v>
      </c>
      <c r="Y411" s="202">
        <f>_xll.qlInterestRateIndexValueDate(IborIndex,X411,Trigger)</f>
        <v>42390</v>
      </c>
      <c r="Z411" s="203">
        <v>1.1157242119468435E-2</v>
      </c>
      <c r="AA411" s="200">
        <v>9.9910271105940751E-3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42389</v>
      </c>
      <c r="Y412" s="202">
        <f>_xll.qlInterestRateIndexValueDate(IborIndex,X412,Trigger)</f>
        <v>42391</v>
      </c>
      <c r="Z412" s="203">
        <v>1.1185843654948664E-2</v>
      </c>
      <c r="AA412" s="200">
        <v>1.0018359179442271E-2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42390</v>
      </c>
      <c r="Y413" s="202">
        <f>_xll.qlInterestRateIndexValueDate(IborIndex,X413,Trigger)</f>
        <v>42394</v>
      </c>
      <c r="Z413" s="203">
        <v>1.1271867294291939E-2</v>
      </c>
      <c r="AA413" s="200">
        <v>1.004571482151384E-2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42391</v>
      </c>
      <c r="Y414" s="202">
        <f>_xll.qlInterestRateIndexValueDate(IborIndex,X414,Trigger)</f>
        <v>42395</v>
      </c>
      <c r="Z414" s="203">
        <v>1.1300615974844559E-2</v>
      </c>
      <c r="AA414" s="200">
        <v>1.0073094036728847E-2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42394</v>
      </c>
      <c r="Y415" s="202">
        <f>_xll.qlInterestRateIndexValueDate(IborIndex,X415,Trigger)</f>
        <v>42396</v>
      </c>
      <c r="Z415" s="203">
        <v>1.1329402284042875E-2</v>
      </c>
      <c r="AA415" s="200">
        <v>1.0128215977260879E-2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42395</v>
      </c>
      <c r="Y416" s="202">
        <f>_xll.qlInterestRateIndexValueDate(IborIndex,X416,Trigger)</f>
        <v>42397</v>
      </c>
      <c r="Z416" s="203">
        <v>1.1358226558862166E-2</v>
      </c>
      <c r="AA416" s="200">
        <v>1.018284663014235E-2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42396</v>
      </c>
      <c r="Y417" s="202">
        <f>_xll.qlInterestRateIndexValueDate(IborIndex,X417,Trigger)</f>
        <v>42398</v>
      </c>
      <c r="Z417" s="203">
        <v>1.1387089136285623E-2</v>
      </c>
      <c r="AA417" s="200">
        <v>1.0210343711634096E-2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42397</v>
      </c>
      <c r="Y418" s="202">
        <f>_xll.qlInterestRateIndexValueDate(IborIndex,X418,Trigger)</f>
        <v>42401</v>
      </c>
      <c r="Z418" s="203">
        <v>1.1488902319986538E-2</v>
      </c>
      <c r="AA418" s="200">
        <v>1.0237864366349214E-2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42398</v>
      </c>
      <c r="Y419" s="202">
        <f>_xll.qlInterestRateIndexValueDate(IborIndex,X419,Trigger)</f>
        <v>42402</v>
      </c>
      <c r="Z419" s="203">
        <v>1.1502929212081041E-2</v>
      </c>
      <c r="AA419" s="200">
        <v>1.0265408594287706E-2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42401</v>
      </c>
      <c r="Y420" s="202">
        <f>_xll.qlInterestRateIndexValueDate(IborIndex,X420,Trigger)</f>
        <v>42403</v>
      </c>
      <c r="Z420" s="203">
        <v>1.1516964628286885E-2</v>
      </c>
      <c r="AA420" s="200">
        <v>1.0320871502900175E-2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42402</v>
      </c>
      <c r="Y421" s="202">
        <f>_xll.qlInterestRateIndexValueDate(IborIndex,X421,Trigger)</f>
        <v>42404</v>
      </c>
      <c r="Z421" s="203">
        <v>1.1546039160950983E-2</v>
      </c>
      <c r="AA421" s="200">
        <v>1.0375821238834959E-2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42403</v>
      </c>
      <c r="Y422" s="202">
        <f>_xll.qlInterestRateIndexValueDate(IborIndex,X422,Trigger)</f>
        <v>42405</v>
      </c>
      <c r="Z422" s="203">
        <v>1.1575154198122384E-2</v>
      </c>
      <c r="AA422" s="200">
        <v>1.0403483333130126E-2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42404</v>
      </c>
      <c r="Y423" s="202">
        <f>_xll.qlInterestRateIndexValueDate(IborIndex,X423,Trigger)</f>
        <v>42408</v>
      </c>
      <c r="Z423" s="203">
        <v>1.1677895698049648E-2</v>
      </c>
      <c r="AA423" s="200">
        <v>1.0431169000728602E-2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42405</v>
      </c>
      <c r="Y424" s="202">
        <f>_xll.qlInterestRateIndexValueDate(IborIndex,X424,Trigger)</f>
        <v>42409</v>
      </c>
      <c r="Z424" s="203">
        <v>1.1692026207669848E-2</v>
      </c>
      <c r="AA424" s="200">
        <v>1.0458878241630387E-2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42408</v>
      </c>
      <c r="Y425" s="202">
        <f>_xll.qlInterestRateIndexValueDate(IborIndex,X425,Trigger)</f>
        <v>42410</v>
      </c>
      <c r="Z425" s="203">
        <v>1.1721348879317972E-2</v>
      </c>
      <c r="AA425" s="200">
        <v>1.0528731069971986E-2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42409</v>
      </c>
      <c r="Y426" s="202">
        <f>_xll.qlInterestRateIndexValueDate(IborIndex,X426,Trigger)</f>
        <v>42411</v>
      </c>
      <c r="Z426" s="203">
        <v>1.1750714100328352E-2</v>
      </c>
      <c r="AA426" s="200">
        <v>1.0597778045768891E-2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42410</v>
      </c>
      <c r="Y427" s="202">
        <f>_xll.qlInterestRateIndexValueDate(IborIndex,X427,Trigger)</f>
        <v>42412</v>
      </c>
      <c r="Z427" s="203">
        <v>1.1780122211549227E-2</v>
      </c>
      <c r="AA427" s="200">
        <v>1.0625628726570469E-2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42411</v>
      </c>
      <c r="Y428" s="202">
        <f>_xll.qlInterestRateIndexValueDate(IborIndex,X428,Trigger)</f>
        <v>42416</v>
      </c>
      <c r="Z428" s="203">
        <v>1.1898190375903894E-2</v>
      </c>
      <c r="AA428" s="200">
        <v>1.0653502980675356E-2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42412</v>
      </c>
      <c r="Y429" s="202">
        <f>_xll.qlInterestRateIndexValueDate(IborIndex,X429,Trigger)</f>
        <v>42416</v>
      </c>
      <c r="Z429" s="203">
        <v>1.1898190375903894E-2</v>
      </c>
      <c r="AA429" s="200">
        <v>1.0653502980675356E-2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42415</v>
      </c>
      <c r="Y430" s="202">
        <f>_xll.qlInterestRateIndexValueDate(IborIndex,X430,Trigger)</f>
        <v>42417</v>
      </c>
      <c r="Z430" s="203">
        <v>1.1927818051302275E-2</v>
      </c>
      <c r="AA430" s="200">
        <v>1.0709648651801018E-2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42416</v>
      </c>
      <c r="Y431" s="202">
        <f>_xll.qlInterestRateIndexValueDate(IborIndex,X431,Trigger)</f>
        <v>42418</v>
      </c>
      <c r="Z431" s="203">
        <v>1.1957490662241277E-2</v>
      </c>
      <c r="AA431" s="200">
        <v>1.0765235730527678E-2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42417</v>
      </c>
      <c r="Y432" s="202">
        <f>_xll.qlInterestRateIndexValueDate(IborIndex,X432,Trigger)</f>
        <v>42419</v>
      </c>
      <c r="Z432" s="203">
        <v>1.1987208549649075E-2</v>
      </c>
      <c r="AA432" s="200">
        <v>1.0793227851468856E-2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42418</v>
      </c>
      <c r="Y433" s="202">
        <f>_xll.qlInterestRateIndexValueDate(IborIndex,X433,Trigger)</f>
        <v>42422</v>
      </c>
      <c r="Z433" s="203">
        <v>1.2092158127852089E-2</v>
      </c>
      <c r="AA433" s="200">
        <v>1.0821243545633408E-2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42419</v>
      </c>
      <c r="Y434" s="202">
        <f>_xll.qlInterestRateIndexValueDate(IborIndex,X434,Trigger)</f>
        <v>42423</v>
      </c>
      <c r="Z434" s="203">
        <v>1.2106539682950945E-2</v>
      </c>
      <c r="AA434" s="200">
        <v>1.0849282813261141E-2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42422</v>
      </c>
      <c r="Y435" s="202">
        <f>_xll.qlInterestRateIndexValueDate(IborIndex,X435,Trigger)</f>
        <v>42424</v>
      </c>
      <c r="Z435" s="203">
        <v>1.2136489067041012E-2</v>
      </c>
      <c r="AA435" s="200">
        <v>1.0905770286253613E-2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42423</v>
      </c>
      <c r="Y436" s="202">
        <f>_xll.qlInterestRateIndexValueDate(IborIndex,X436,Trigger)</f>
        <v>42425</v>
      </c>
      <c r="Z436" s="203">
        <v>1.2166485773416724E-2</v>
      </c>
      <c r="AA436" s="200">
        <v>1.0961675617444655E-2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42424</v>
      </c>
      <c r="Y437" s="202">
        <f>_xll.qlInterestRateIndexValueDate(IborIndex,X437,Trigger)</f>
        <v>42426</v>
      </c>
      <c r="Z437" s="203">
        <v>1.2196530143087969E-2</v>
      </c>
      <c r="AA437" s="200">
        <v>1.0989832751988615E-2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42425</v>
      </c>
      <c r="Y438" s="202">
        <f>_xll.qlInterestRateIndexValueDate(IborIndex,X438,Trigger)</f>
        <v>42429</v>
      </c>
      <c r="Z438" s="203">
        <v>1.2318398961064044E-2</v>
      </c>
      <c r="AA438" s="200">
        <v>1.1018013459995757E-2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42426</v>
      </c>
      <c r="Y439" s="202">
        <f>_xll.qlInterestRateIndexValueDate(IborIndex,X439,Trigger)</f>
        <v>42430</v>
      </c>
      <c r="Z439" s="203">
        <v>1.2348693052522036E-2</v>
      </c>
      <c r="AA439" s="200">
        <v>1.1046217741306208E-2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42429</v>
      </c>
      <c r="Y440" s="202">
        <f>_xll.qlInterestRateIndexValueDate(IborIndex,X440,Trigger)</f>
        <v>42431</v>
      </c>
      <c r="Z440" s="203">
        <v>1.2379036633034621E-2</v>
      </c>
      <c r="AA440" s="200">
        <v>1.1103047301643798E-2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42430</v>
      </c>
      <c r="Y441" s="202">
        <f>_xll.qlInterestRateIndexValueDate(IborIndex,X441,Trigger)</f>
        <v>42432</v>
      </c>
      <c r="Z441" s="203">
        <v>1.2409430036348743E-2</v>
      </c>
      <c r="AA441" s="200">
        <v>1.1159270600860083E-2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42431</v>
      </c>
      <c r="Y442" s="202">
        <f>_xll.qlInterestRateIndexValueDate(IborIndex,X442,Trigger)</f>
        <v>42433</v>
      </c>
      <c r="Z442" s="203">
        <v>1.2471620063700523E-2</v>
      </c>
      <c r="AA442" s="200">
        <v>1.1187592749406505E-2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42432</v>
      </c>
      <c r="Y443" s="202">
        <f>_xll.qlInterestRateIndexValueDate(IborIndex,X443,Trigger)</f>
        <v>42436</v>
      </c>
      <c r="Z443" s="203">
        <v>1.2531508552992156E-2</v>
      </c>
      <c r="AA443" s="200">
        <v>1.1215938471336173E-2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42433</v>
      </c>
      <c r="Y444" s="202">
        <f>_xll.qlInterestRateIndexValueDate(IborIndex,X444,Trigger)</f>
        <v>42437</v>
      </c>
      <c r="Z444" s="203">
        <v>1.256215607694733E-2</v>
      </c>
      <c r="AA444" s="200">
        <v>1.1244307766649086E-2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42436</v>
      </c>
      <c r="Y445" s="202">
        <f>_xll.qlInterestRateIndexValueDate(IborIndex,X445,Trigger)</f>
        <v>42438</v>
      </c>
      <c r="Z445" s="203">
        <v>1.2592855426442015E-2</v>
      </c>
      <c r="AA445" s="200">
        <v>1.1301479703647033E-2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42437</v>
      </c>
      <c r="Y446" s="202">
        <f>_xll.qlInterestRateIndexValueDate(IborIndex,X446,Trigger)</f>
        <v>42439</v>
      </c>
      <c r="Z446" s="203">
        <v>1.2623606935310042E-2</v>
      </c>
      <c r="AA446" s="200">
        <v>1.1358020682772363E-2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42438</v>
      </c>
      <c r="Y447" s="202">
        <f>_xll.qlInterestRateIndexValueDate(IborIndex,X447,Trigger)</f>
        <v>42440</v>
      </c>
      <c r="Z447" s="203">
        <v>1.2686551960176007E-2</v>
      </c>
      <c r="AA447" s="200">
        <v>1.138650784548112E-2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42439</v>
      </c>
      <c r="Y448" s="202">
        <f>_xll.qlInterestRateIndexValueDate(IborIndex,X448,Trigger)</f>
        <v>42443</v>
      </c>
      <c r="Z448" s="203">
        <v>1.2747141241616187E-2</v>
      </c>
      <c r="AA448" s="200">
        <v>1.1415023665586332E-2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42440</v>
      </c>
      <c r="Y449" s="202">
        <f>_xll.qlInterestRateIndexValueDate(IborIndex,X449,Trigger)</f>
        <v>42444</v>
      </c>
      <c r="Z449" s="203">
        <v>1.2778158555284993E-2</v>
      </c>
      <c r="AA449" s="200">
        <v>1.1443588478901034E-2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42443</v>
      </c>
      <c r="Y450" s="202">
        <f>_xll.qlInterestRateIndexValueDate(IborIndex,X450,Trigger)</f>
        <v>42445</v>
      </c>
      <c r="Z450" s="203">
        <v>1.2809230031589916E-2</v>
      </c>
      <c r="AA450" s="200">
        <v>1.1501265784632508E-2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42444</v>
      </c>
      <c r="Y451" s="202">
        <f>_xll.qlInterestRateIndexValueDate(IborIndex,X451,Trigger)</f>
        <v>42446</v>
      </c>
      <c r="Z451" s="203">
        <v>1.2840355551179466E-2</v>
      </c>
      <c r="AA451" s="200">
        <v>1.1558388504386841E-2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42445</v>
      </c>
      <c r="Y452" s="202">
        <f>_xll.qlInterestRateIndexValueDate(IborIndex,X452,Trigger)</f>
        <v>42447</v>
      </c>
      <c r="Z452" s="203">
        <v>1.2904049267732505E-2</v>
      </c>
      <c r="AA452" s="200">
        <v>1.1587223703815042E-2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42446</v>
      </c>
      <c r="Y453" s="202">
        <f>_xll.qlInterestRateIndexValueDate(IborIndex,X453,Trigger)</f>
        <v>42450</v>
      </c>
      <c r="Z453" s="203">
        <v>1.2965354879595324E-2</v>
      </c>
      <c r="AA453" s="200">
        <v>1.1616112980545878E-2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42447</v>
      </c>
      <c r="Y454" s="202">
        <f>_xll.qlInterestRateIndexValueDate(IborIndex,X454,Trigger)</f>
        <v>42451</v>
      </c>
      <c r="Z454" s="203">
        <v>1.2996717094706319E-2</v>
      </c>
      <c r="AA454" s="200">
        <v>1.1645056334419479E-2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42450</v>
      </c>
      <c r="Y455" s="202">
        <f>_xll.qlInterestRateIndexValueDate(IborIndex,X455,Trigger)</f>
        <v>42452</v>
      </c>
      <c r="Z455" s="203">
        <v>1.302811949095573E-2</v>
      </c>
      <c r="AA455" s="200">
        <v>1.1703503756415046E-2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42451</v>
      </c>
      <c r="Y456" s="202">
        <f>_xll.qlInterestRateIndexValueDate(IborIndex,X456,Trigger)</f>
        <v>42453</v>
      </c>
      <c r="Z456" s="203">
        <v>1.3059559682180118E-2</v>
      </c>
      <c r="AA456" s="200">
        <v>1.1761370523259984E-2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42452</v>
      </c>
      <c r="Y457" s="202">
        <f>_xll.qlInterestRateIndexValueDate(IborIndex,X457,Trigger)</f>
        <v>42458</v>
      </c>
      <c r="Z457" s="203">
        <v>1.321724404195047E-2</v>
      </c>
      <c r="AA457" s="200">
        <v>1.1849173976727911E-2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42453</v>
      </c>
      <c r="Y458" s="202">
        <f>_xll.qlInterestRateIndexValueDate(IborIndex,X458,Trigger)</f>
        <v>42459</v>
      </c>
      <c r="Z458" s="203">
        <v>1.3248860889372355E-2</v>
      </c>
      <c r="AA458" s="200">
        <v>1.1908391918691308E-2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42458</v>
      </c>
      <c r="Y459" s="202">
        <f>_xll.qlInterestRateIndexValueDate(IborIndex,X459,Trigger)</f>
        <v>42460</v>
      </c>
      <c r="Z459" s="203">
        <v>1.3264128782753045E-2</v>
      </c>
      <c r="AA459" s="200">
        <v>1.1967002331401133E-2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42459</v>
      </c>
      <c r="Y460" s="202">
        <f>_xll.qlInterestRateIndexValueDate(IborIndex,X460,Trigger)</f>
        <v>42461</v>
      </c>
      <c r="Z460" s="203">
        <v>1.3295790048429077E-2</v>
      </c>
      <c r="AA460" s="200">
        <v>1.1996594613625788E-2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42460</v>
      </c>
      <c r="Y461" s="202">
        <f>_xll.qlInterestRateIndexValueDate(IborIndex,X461,Trigger)</f>
        <v>42464</v>
      </c>
      <c r="Z461" s="203">
        <v>1.3407213735618446E-2</v>
      </c>
      <c r="AA461" s="200">
        <v>1.2026240973233016E-2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42461</v>
      </c>
      <c r="Y462" s="202">
        <f>_xll.qlInterestRateIndexValueDate(IborIndex,X462,Trigger)</f>
        <v>42465</v>
      </c>
      <c r="Z462" s="203">
        <v>1.3422594045081409E-2</v>
      </c>
      <c r="AA462" s="200">
        <v>1.2055941410382687E-2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42464</v>
      </c>
      <c r="Y463" s="202">
        <f>_xll.qlInterestRateIndexValueDate(IborIndex,X463,Trigger)</f>
        <v>42466</v>
      </c>
      <c r="Z463" s="203">
        <v>1.3454322712074496E-2</v>
      </c>
      <c r="AA463" s="200">
        <v>1.2115930285103715E-2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42465</v>
      </c>
      <c r="Y464" s="202">
        <f>_xll.qlInterestRateIndexValueDate(IborIndex,X464,Trigger)</f>
        <v>42467</v>
      </c>
      <c r="Z464" s="203">
        <v>1.3486057619667709E-2</v>
      </c>
      <c r="AA464" s="200">
        <v>1.2175283933446579E-2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42466</v>
      </c>
      <c r="Y465" s="202">
        <f>_xll.qlInterestRateIndexValueDate(IborIndex,X465,Trigger)</f>
        <v>42468</v>
      </c>
      <c r="Z465" s="203">
        <v>1.351779635445882E-2</v>
      </c>
      <c r="AA465" s="200">
        <v>1.2205254758068662E-2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42467</v>
      </c>
      <c r="Y466" s="202">
        <f>_xll.qlInterestRateIndexValueDate(IborIndex,X466,Trigger)</f>
        <v>42471</v>
      </c>
      <c r="Z466" s="203">
        <v>1.3613011386856232E-2</v>
      </c>
      <c r="AA466" s="200">
        <v>1.2235279660073317E-2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42468</v>
      </c>
      <c r="Y467" s="202">
        <f>_xll.qlInterestRateIndexValueDate(IborIndex,X467,Trigger)</f>
        <v>42472</v>
      </c>
      <c r="Z467" s="203">
        <v>1.3644741294888241E-2</v>
      </c>
      <c r="AA467" s="200">
        <v>1.2265358639780288E-2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42471</v>
      </c>
      <c r="Y468" s="202">
        <f>_xll.qlInterestRateIndexValueDate(IborIndex,X468,Trigger)</f>
        <v>42473</v>
      </c>
      <c r="Z468" s="203">
        <v>1.3676462961954535E-2</v>
      </c>
      <c r="AA468" s="200">
        <v>1.232611886934798E-2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42472</v>
      </c>
      <c r="Y469" s="202">
        <f>_xll.qlInterestRateIndexValueDate(IborIndex,X469,Trigger)</f>
        <v>42474</v>
      </c>
      <c r="Z469" s="203">
        <v>1.3708173974193482E-2</v>
      </c>
      <c r="AA469" s="200">
        <v>1.2386215334032613E-2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42473</v>
      </c>
      <c r="Y470" s="202">
        <f>_xll.qlInterestRateIndexValueDate(IborIndex,X470,Trigger)</f>
        <v>42475</v>
      </c>
      <c r="Z470" s="203">
        <v>1.3739871917662625E-2</v>
      </c>
      <c r="AA470" s="200">
        <v>1.2416564701611676E-2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42474</v>
      </c>
      <c r="Y471" s="202">
        <f>_xll.qlInterestRateIndexValueDate(IborIndex,X471,Trigger)</f>
        <v>42478</v>
      </c>
      <c r="Z471" s="203">
        <v>1.3834863194888284E-2</v>
      </c>
      <c r="AA471" s="200">
        <v>1.244696814681312E-2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42475</v>
      </c>
      <c r="Y472" s="202">
        <f>_xll.qlInterestRateIndexValueDate(IborIndex,X472,Trigger)</f>
        <v>42479</v>
      </c>
      <c r="Z472" s="203">
        <v>1.3866484722330513E-2</v>
      </c>
      <c r="AA472" s="200">
        <v>1.2477425669636943E-2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42478</v>
      </c>
      <c r="Y473" s="202">
        <f>_xll.qlInterestRateIndexValueDate(IborIndex,X473,Trigger)</f>
        <v>42480</v>
      </c>
      <c r="Z473" s="203">
        <v>1.3898081110144343E-2</v>
      </c>
      <c r="AA473" s="200">
        <v>1.253895768535962E-2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42479</v>
      </c>
      <c r="Y474" s="202">
        <f>_xll.qlInterestRateIndexValueDate(IborIndex,X474,Trigger)</f>
        <v>42481</v>
      </c>
      <c r="Z474" s="203">
        <v>1.3929649943928785E-2</v>
      </c>
      <c r="AA474" s="200">
        <v>1.2599796537715591E-2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42480</v>
      </c>
      <c r="Y475" s="202">
        <f>_xll.qlInterestRateIndexValueDate(IborIndex,X475,Trigger)</f>
        <v>42482</v>
      </c>
      <c r="Z475" s="203">
        <v>1.3961188809207306E-2</v>
      </c>
      <c r="AA475" s="200">
        <v>1.2630524448971059E-2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42481</v>
      </c>
      <c r="Y476" s="202">
        <f>_xll.qlInterestRateIndexValueDate(IborIndex,X476,Trigger)</f>
        <v>42485</v>
      </c>
      <c r="Z476" s="203">
        <v>1.4055601448085179E-2</v>
      </c>
      <c r="AA476" s="200">
        <v>1.2661306437928843E-2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42482</v>
      </c>
      <c r="Y477" s="202">
        <f>_xll.qlInterestRateIndexValueDate(IborIndex,X477,Trigger)</f>
        <v>42486</v>
      </c>
      <c r="Z477" s="203">
        <v>1.408699629304188E-2</v>
      </c>
      <c r="AA477" s="200">
        <v>1.2692142504588944E-2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42485</v>
      </c>
      <c r="Y478" s="202">
        <f>_xll.qlInterestRateIndexValueDate(IborIndex,X478,Trigger)</f>
        <v>42487</v>
      </c>
      <c r="Z478" s="203">
        <v>1.4118349095967186E-2</v>
      </c>
      <c r="AA478" s="200">
        <v>1.2754446747260673E-2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42486</v>
      </c>
      <c r="Y479" s="202">
        <f>_xll.qlInterestRateIndexValueDate(IborIndex,X479,Trigger)</f>
        <v>42488</v>
      </c>
      <c r="Z479" s="203">
        <v>1.4149657441929546E-2</v>
      </c>
      <c r="AA479" s="200">
        <v>1.2816027549211739E-2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42487</v>
      </c>
      <c r="Y480" s="202">
        <f>_xll.qlInterestRateIndexValueDate(IborIndex,X480,Trigger)</f>
        <v>42489</v>
      </c>
      <c r="Z480" s="203">
        <v>1.41809189159245E-2</v>
      </c>
      <c r="AA480" s="200">
        <v>1.2847134004863037E-2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42488</v>
      </c>
      <c r="Y481" s="202">
        <f>_xll.qlInterestRateIndexValueDate(IborIndex,X481,Trigger)</f>
        <v>42493</v>
      </c>
      <c r="Z481" s="203">
        <v>1.4320756637763204E-2</v>
      </c>
      <c r="AA481" s="200">
        <v>1.2909509149592324E-2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42489</v>
      </c>
      <c r="Y482" s="202">
        <f>_xll.qlInterestRateIndexValueDate(IborIndex,X482,Trigger)</f>
        <v>42494</v>
      </c>
      <c r="Z482" s="203">
        <v>1.4351690993518428E-2</v>
      </c>
      <c r="AA482" s="200">
        <v>1.2972586069279757E-2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42493</v>
      </c>
      <c r="Y483" s="202">
        <f>_xll.qlInterestRateIndexValueDate(IborIndex,X483,Trigger)</f>
        <v>42495</v>
      </c>
      <c r="Z483" s="203">
        <v>1.4382562856427101E-2</v>
      </c>
      <c r="AA483" s="200">
        <v>1.3034908373317222E-2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42494</v>
      </c>
      <c r="Y484" s="202">
        <f>_xll.qlInterestRateIndexValueDate(IborIndex,X484,Trigger)</f>
        <v>42496</v>
      </c>
      <c r="Z484" s="203">
        <v>1.4443499187964781E-2</v>
      </c>
      <c r="AA484" s="200">
        <v>1.3066393374003837E-2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42495</v>
      </c>
      <c r="Y485" s="202">
        <f>_xll.qlInterestRateIndexValueDate(IborIndex,X485,Trigger)</f>
        <v>42499</v>
      </c>
      <c r="Z485" s="203">
        <v>1.4505377590044855E-2</v>
      </c>
      <c r="AA485" s="200">
        <v>1.3097932452552641E-2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42496</v>
      </c>
      <c r="Y486" s="202">
        <f>_xll.qlInterestRateIndexValueDate(IborIndex,X486,Trigger)</f>
        <v>42500</v>
      </c>
      <c r="Z486" s="203">
        <v>1.4535901145932045E-2</v>
      </c>
      <c r="AA486" s="200">
        <v>1.3129525609123505E-2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42499</v>
      </c>
      <c r="Y487" s="202">
        <f>_xll.qlInterestRateIndexValueDate(IborIndex,X487,Trigger)</f>
        <v>42501</v>
      </c>
      <c r="Z487" s="203">
        <v>1.4566347871361584E-2</v>
      </c>
      <c r="AA487" s="200">
        <v>1.3193375665938589E-2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42500</v>
      </c>
      <c r="Y488" s="202">
        <f>_xll.qlInterestRateIndexValueDate(IborIndex,X488,Trigger)</f>
        <v>42502</v>
      </c>
      <c r="Z488" s="203">
        <v>1.4596715376484288E-2</v>
      </c>
      <c r="AA488" s="200">
        <v>1.3256439014908139E-2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42501</v>
      </c>
      <c r="Y489" s="202">
        <f>_xll.qlInterestRateIndexValueDate(IborIndex,X489,Trigger)</f>
        <v>42503</v>
      </c>
      <c r="Z489" s="203">
        <v>1.4656242199718278E-2</v>
      </c>
      <c r="AA489" s="200">
        <v>1.328830256126956E-2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42502</v>
      </c>
      <c r="Y490" s="202">
        <f>_xll.qlInterestRateIndexValueDate(IborIndex,X490,Trigger)</f>
        <v>42506</v>
      </c>
      <c r="Z490" s="203">
        <v>1.4717345394532719E-2</v>
      </c>
      <c r="AA490" s="200">
        <v>1.3320220185812914E-2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42503</v>
      </c>
      <c r="Y491" s="202">
        <f>_xll.qlInterestRateIndexValueDate(IborIndex,X491,Trigger)</f>
        <v>42507</v>
      </c>
      <c r="Z491" s="203">
        <v>1.4747280947994896E-2</v>
      </c>
      <c r="AA491" s="200">
        <v>1.3352191888298393E-2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42506</v>
      </c>
      <c r="Y492" s="202">
        <f>_xll.qlInterestRateIndexValueDate(IborIndex,X492,Trigger)</f>
        <v>42508</v>
      </c>
      <c r="Z492" s="203">
        <v>1.4777122940625817E-2</v>
      </c>
      <c r="AA492" s="200">
        <v>1.3416815551758887E-2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42507</v>
      </c>
      <c r="Y493" s="202">
        <f>_xll.qlInterestRateIndexValueDate(IborIndex,X493,Trigger)</f>
        <v>42509</v>
      </c>
      <c r="Z493" s="203">
        <v>1.4806868982103628E-2</v>
      </c>
      <c r="AA493" s="200">
        <v>1.3480619478860589E-2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42508</v>
      </c>
      <c r="Y494" s="202">
        <f>_xll.qlInterestRateIndexValueDate(IborIndex,X494,Trigger)</f>
        <v>42510</v>
      </c>
      <c r="Z494" s="203">
        <v>1.4864784309654728E-2</v>
      </c>
      <c r="AA494" s="200">
        <v>1.3512861571696178E-2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42509</v>
      </c>
      <c r="Y495" s="202">
        <f>_xll.qlInterestRateIndexValueDate(IborIndex,X495,Trigger)</f>
        <v>42513</v>
      </c>
      <c r="Z495" s="203">
        <v>1.4924845827782428E-2</v>
      </c>
      <c r="AA495" s="200">
        <v>1.3545157742713698E-2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42510</v>
      </c>
      <c r="Y496" s="202">
        <f>_xll.qlInterestRateIndexValueDate(IborIndex,X496,Trigger)</f>
        <v>42514</v>
      </c>
      <c r="Z496" s="203">
        <v>1.4954076256404351E-2</v>
      </c>
      <c r="AA496" s="200">
        <v>1.3577507991833215E-2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42513</v>
      </c>
      <c r="Y497" s="202">
        <f>_xll.qlInterestRateIndexValueDate(IborIndex,X497,Trigger)</f>
        <v>42515</v>
      </c>
      <c r="Z497" s="203">
        <v>1.4983196390591817E-2</v>
      </c>
      <c r="AA497" s="200">
        <v>1.3659431351749074E-2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42514</v>
      </c>
      <c r="Y498" s="202">
        <f>_xll.qlInterestRateIndexValueDate(IborIndex,X498,Trigger)</f>
        <v>42516</v>
      </c>
      <c r="Z498" s="203">
        <v>1.5012203839578114E-2</v>
      </c>
      <c r="AA498" s="200">
        <v>1.3740070410079852E-2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42515</v>
      </c>
      <c r="Y499" s="202">
        <f>_xll.qlInterestRateIndexValueDate(IborIndex,X499,Trigger)</f>
        <v>42517</v>
      </c>
      <c r="Z499" s="203">
        <v>1.5081856468410081E-2</v>
      </c>
      <c r="AA499" s="200">
        <v>1.37727451283709E-2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42516</v>
      </c>
      <c r="Y500" s="202">
        <f>_xll.qlInterestRateIndexValueDate(IborIndex,X500,Trigger)</f>
        <v>42521</v>
      </c>
      <c r="Z500" s="203">
        <v>1.5155467125421273E-2</v>
      </c>
      <c r="AA500" s="200">
        <v>1.3805473924843881E-2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42517</v>
      </c>
      <c r="Y501" s="202">
        <f>_xll.qlInterestRateIndexValueDate(IborIndex,X501,Trigger)</f>
        <v>42522</v>
      </c>
      <c r="Z501" s="203">
        <v>1.5183748253731793E-2</v>
      </c>
      <c r="AA501" s="200">
        <v>1.3871646250542824E-2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42521</v>
      </c>
      <c r="Y502" s="202">
        <f>_xll.qlInterestRateIndexValueDate(IborIndex,X502,Trigger)</f>
        <v>42523</v>
      </c>
      <c r="Z502" s="203">
        <v>1.5211899959806773E-2</v>
      </c>
      <c r="AA502" s="200">
        <v>1.393692989351436E-2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42522</v>
      </c>
      <c r="Y503" s="202">
        <f>_xll.qlInterestRateIndexValueDate(IborIndex,X503,Trigger)</f>
        <v>42524</v>
      </c>
      <c r="Z503" s="203">
        <v>1.5279042686856687E-2</v>
      </c>
      <c r="AA503" s="200">
        <v>1.3969929081536492E-2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42523</v>
      </c>
      <c r="Y504" s="202">
        <f>_xll.qlInterestRateIndexValueDate(IborIndex,X504,Trigger)</f>
        <v>42527</v>
      </c>
      <c r="Z504" s="203">
        <v>1.532316473623908E-2</v>
      </c>
      <c r="AA504" s="200">
        <v>1.400298234766062E-2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42524</v>
      </c>
      <c r="Y505" s="202">
        <f>_xll.qlInterestRateIndexValueDate(IborIndex,X505,Trigger)</f>
        <v>42528</v>
      </c>
      <c r="Z505" s="203">
        <v>1.535063346153083E-2</v>
      </c>
      <c r="AA505" s="200">
        <v>1.4036089692286424E-2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42527</v>
      </c>
      <c r="Y506" s="202">
        <f>_xll.qlInterestRateIndexValueDate(IborIndex,X506,Trigger)</f>
        <v>42529</v>
      </c>
      <c r="Z506" s="203">
        <v>1.5377958416370513E-2</v>
      </c>
      <c r="AA506" s="200">
        <v>1.4103037093562421E-2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42528</v>
      </c>
      <c r="Y507" s="202">
        <f>_xll.qlInterestRateIndexValueDate(IborIndex,X507,Trigger)</f>
        <v>42530</v>
      </c>
      <c r="Z507" s="203">
        <v>1.5405137209207694E-2</v>
      </c>
      <c r="AA507" s="200">
        <v>1.4169059854447497E-2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42529</v>
      </c>
      <c r="Y508" s="202">
        <f>_xll.qlInterestRateIndexValueDate(IborIndex,X508,Trigger)</f>
        <v>42531</v>
      </c>
      <c r="Z508" s="203">
        <v>1.5457179237005328E-2</v>
      </c>
      <c r="AA508" s="200">
        <v>1.4202437590942196E-2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42530</v>
      </c>
      <c r="Y509" s="202">
        <f>_xll.qlInterestRateIndexValueDate(IborIndex,X509,Trigger)</f>
        <v>42534</v>
      </c>
      <c r="Z509" s="203">
        <v>1.5512342927751065E-2</v>
      </c>
      <c r="AA509" s="200">
        <v>1.4235869405938573E-2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42531</v>
      </c>
      <c r="Y510" s="202">
        <f>_xll.qlInterestRateIndexValueDate(IborIndex,X510,Trigger)</f>
        <v>42535</v>
      </c>
      <c r="Z510" s="203">
        <v>1.5538755035573643E-2</v>
      </c>
      <c r="AA510" s="200">
        <v>1.4269318817099474E-2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42534</v>
      </c>
      <c r="Y511" s="202">
        <f>_xll.qlInterestRateIndexValueDate(IborIndex,X511,Trigger)</f>
        <v>42536</v>
      </c>
      <c r="Z511" s="203">
        <v>1.556500663106236E-2</v>
      </c>
      <c r="AA511" s="200">
        <v>1.433631209767583E-2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42535</v>
      </c>
      <c r="Y512" s="202">
        <f>_xll.qlInterestRateIndexValueDate(IborIndex,X512,Trigger)</f>
        <v>42537</v>
      </c>
      <c r="Z512" s="203">
        <v>1.5591095661414943E-2</v>
      </c>
      <c r="AA512" s="200">
        <v>1.4401614239796245E-2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42536</v>
      </c>
      <c r="Y513" s="202">
        <f>_xll.qlInterestRateIndexValueDate(IborIndex,X513,Trigger)</f>
        <v>42538</v>
      </c>
      <c r="Z513" s="203">
        <v>1.5640912665188605E-2</v>
      </c>
      <c r="AA513" s="200">
        <v>1.4434276057446738E-2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42537</v>
      </c>
      <c r="Y514" s="202">
        <f>_xll.qlInterestRateIndexValueDate(IborIndex,X514,Trigger)</f>
        <v>42541</v>
      </c>
      <c r="Z514" s="203">
        <v>1.5693841071938865E-2</v>
      </c>
      <c r="AA514" s="200">
        <v>1.4466773059815807E-2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42538</v>
      </c>
      <c r="Y515" s="202">
        <f>_xll.qlInterestRateIndexValueDate(IborIndex,X515,Trigger)</f>
        <v>42542</v>
      </c>
      <c r="Z515" s="203">
        <v>1.5719134505642884E-2</v>
      </c>
      <c r="AA515" s="200">
        <v>1.449910524698339E-2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42541</v>
      </c>
      <c r="Y516" s="202">
        <f>_xll.qlInterestRateIndexValueDate(IborIndex,X516,Trigger)</f>
        <v>42543</v>
      </c>
      <c r="Z516" s="203">
        <v>1.574427483478831E-2</v>
      </c>
      <c r="AA516" s="200">
        <v>1.4563809375145453E-2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42542</v>
      </c>
      <c r="Y517" s="202">
        <f>_xll.qlInterestRateIndexValueDate(IborIndex,X517,Trigger)</f>
        <v>42544</v>
      </c>
      <c r="Z517" s="203">
        <v>1.5769264091006523E-2</v>
      </c>
      <c r="AA517" s="200">
        <v>1.4626785841240775E-2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42543</v>
      </c>
      <c r="Y518" s="202">
        <f>_xll.qlInterestRateIndexValueDate(IborIndex,X518,Trigger)</f>
        <v>42545</v>
      </c>
      <c r="Z518" s="203">
        <v>1.5817029209022247E-2</v>
      </c>
      <c r="AA518" s="200">
        <v>1.4658293951042012E-2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42544</v>
      </c>
      <c r="Y519" s="202">
        <f>_xll.qlInterestRateIndexValueDate(IborIndex,X519,Trigger)</f>
        <v>42548</v>
      </c>
      <c r="Z519" s="203">
        <v>1.5867751021600891E-2</v>
      </c>
      <c r="AA519" s="200">
        <v>1.4689637245242082E-2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42545</v>
      </c>
      <c r="Y520" s="202">
        <f>_xll.qlInterestRateIndexValueDate(IborIndex,X520,Trigger)</f>
        <v>42549</v>
      </c>
      <c r="Z520" s="203">
        <v>1.5892015390024963E-2</v>
      </c>
      <c r="AA520" s="200">
        <v>1.4720815723840985E-2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42548</v>
      </c>
      <c r="Y521" s="202">
        <f>_xll.qlInterestRateIndexValueDate(IborIndex,X521,Trigger)</f>
        <v>42550</v>
      </c>
      <c r="Z521" s="203">
        <v>1.5916140876730739E-2</v>
      </c>
      <c r="AA521" s="200">
        <v>1.4798850277519815E-2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42549</v>
      </c>
      <c r="Y522" s="202">
        <f>_xll.qlInterestRateIndexValueDate(IborIndex,X522,Trigger)</f>
        <v>42551</v>
      </c>
      <c r="Z522" s="203">
        <v>1.5940129513815314E-2</v>
      </c>
      <c r="AA522" s="200">
        <v>1.4874235880899533E-2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42550</v>
      </c>
      <c r="Y523" s="202">
        <f>_xll.qlInterestRateIndexValueDate(IborIndex,X523,Trigger)</f>
        <v>42552</v>
      </c>
      <c r="Z523" s="203">
        <v>1.5986117788917422E-2</v>
      </c>
      <c r="AA523" s="200">
        <v>1.4904425464852267E-2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42551</v>
      </c>
      <c r="Y524" s="202">
        <f>_xll.qlInterestRateIndexValueDate(IborIndex,X524,Trigger)</f>
        <v>42556</v>
      </c>
      <c r="Z524" s="203">
        <v>1.6058091082869801E-2</v>
      </c>
      <c r="AA524" s="200">
        <v>1.4934450232804153E-2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42552</v>
      </c>
      <c r="Y525" s="202">
        <f>_xll.qlInterestRateIndexValueDate(IborIndex,X525,Trigger)</f>
        <v>42556</v>
      </c>
      <c r="Z525" s="203">
        <v>1.6058091082869801E-2</v>
      </c>
      <c r="AA525" s="200">
        <v>1.4934450232804153E-2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42555</v>
      </c>
      <c r="Y526" s="202">
        <f>_xll.qlInterestRateIndexValueDate(IborIndex,X526,Trigger)</f>
        <v>42557</v>
      </c>
      <c r="Z526" s="203">
        <v>1.6081301299865118E-2</v>
      </c>
      <c r="AA526" s="200">
        <v>1.4994574885980327E-2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42556</v>
      </c>
      <c r="Y527" s="202">
        <f>_xll.qlInterestRateIndexValueDate(IborIndex,X527,Trigger)</f>
        <v>42558</v>
      </c>
      <c r="Z527" s="203">
        <v>1.6104388893693165E-2</v>
      </c>
      <c r="AA527" s="200">
        <v>1.5052901144683162E-2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42557</v>
      </c>
      <c r="Y528" s="202">
        <f>_xll.qlInterestRateIndexValueDate(IborIndex,X528,Trigger)</f>
        <v>42559</v>
      </c>
      <c r="Z528" s="203">
        <v>1.6159587848962337E-2</v>
      </c>
      <c r="AA528" s="200">
        <v>1.508210183247094E-2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42558</v>
      </c>
      <c r="Y529" s="202">
        <f>_xll.qlInterestRateIndexValueDate(IborIndex,X529,Trigger)</f>
        <v>42562</v>
      </c>
      <c r="Z529" s="203">
        <v>1.6195553690081618E-2</v>
      </c>
      <c r="AA529" s="200">
        <v>1.5111137704018063E-2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42559</v>
      </c>
      <c r="Y530" s="202">
        <f>_xll.qlInterestRateIndexValueDate(IborIndex,X530,Trigger)</f>
        <v>42563</v>
      </c>
      <c r="Z530" s="203">
        <v>1.6218058658142034E-2</v>
      </c>
      <c r="AA530" s="200">
        <v>1.5140008759484402E-2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42562</v>
      </c>
      <c r="Y531" s="202">
        <f>_xll.qlInterestRateIndexValueDate(IborIndex,X531,Trigger)</f>
        <v>42564</v>
      </c>
      <c r="Z531" s="203">
        <v>1.6240453199465998E-2</v>
      </c>
      <c r="AA531" s="200">
        <v>1.5197843032375147E-2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42563</v>
      </c>
      <c r="Y532" s="202">
        <f>_xll.qlInterestRateIndexValueDate(IborIndex,X532,Trigger)</f>
        <v>42565</v>
      </c>
      <c r="Z532" s="203">
        <v>1.6262739346989071E-2</v>
      </c>
      <c r="AA532" s="200">
        <v>1.5253844818063911E-2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42564</v>
      </c>
      <c r="Y533" s="202">
        <f>_xll.qlInterestRateIndexValueDate(IborIndex,X533,Trigger)</f>
        <v>42566</v>
      </c>
      <c r="Z533" s="203">
        <v>1.6305940042656532E-2</v>
      </c>
      <c r="AA533" s="200">
        <v>1.5281891791847357E-2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42565</v>
      </c>
      <c r="Y534" s="202">
        <f>_xll.qlInterestRateIndexValueDate(IborIndex,X534,Trigger)</f>
        <v>42569</v>
      </c>
      <c r="Z534" s="203">
        <v>1.6350840659749011E-2</v>
      </c>
      <c r="AA534" s="200">
        <v>1.5309773949070404E-2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42566</v>
      </c>
      <c r="Y535" s="202">
        <f>_xll.qlInterestRateIndexValueDate(IborIndex,X535,Trigger)</f>
        <v>42570</v>
      </c>
      <c r="Z535" s="203">
        <v>1.6372615334244674E-2</v>
      </c>
      <c r="AA535" s="200">
        <v>1.533749128997286E-2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42569</v>
      </c>
      <c r="Y536" s="202">
        <f>_xll.qlInterestRateIndexValueDate(IborIndex,X536,Trigger)</f>
        <v>42571</v>
      </c>
      <c r="Z536" s="203">
        <v>1.6394293813704924E-2</v>
      </c>
      <c r="AA536" s="200">
        <v>1.539303471751019E-2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42576</v>
      </c>
      <c r="Y537" s="202">
        <f>_xll.qlInterestRateIndexValueDate(IborIndex,X537,Trigger)</f>
        <v>42578</v>
      </c>
      <c r="Z537" s="203">
        <v>1.6543520513608904E-2</v>
      </c>
      <c r="AA537" s="200">
        <v>1.5580149901976981E-2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42583</v>
      </c>
      <c r="Y538" s="202">
        <f>_xll.qlInterestRateIndexValueDate(IborIndex,X538,Trigger)</f>
        <v>42585</v>
      </c>
      <c r="Z538" s="203">
        <v>1.6688830794247475E-2</v>
      </c>
      <c r="AA538" s="200">
        <v>1.5759188547965763E-2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42590</v>
      </c>
      <c r="Y539" s="202">
        <f>_xll.qlInterestRateIndexValueDate(IborIndex,X539,Trigger)</f>
        <v>42592</v>
      </c>
      <c r="Z539" s="203">
        <v>1.6830922267155254E-2</v>
      </c>
      <c r="AA539" s="200">
        <v>1.593015061934544E-2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42597</v>
      </c>
      <c r="Y540" s="202">
        <f>_xll.qlInterestRateIndexValueDate(IborIndex,X540,Trigger)</f>
        <v>42599</v>
      </c>
      <c r="Z540" s="203">
        <v>1.6970492654002248E-2</v>
      </c>
      <c r="AA540" s="200">
        <v>1.6093036081636924E-2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42604</v>
      </c>
      <c r="Y541" s="202">
        <f>_xll.qlInterestRateIndexValueDate(IborIndex,X541,Trigger)</f>
        <v>42606</v>
      </c>
      <c r="Z541" s="203">
        <v>1.7118399418119705E-2</v>
      </c>
      <c r="AA541" s="200">
        <v>1.6247844901906561E-2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42612</v>
      </c>
      <c r="Y542" s="202">
        <f>_xll.qlInterestRateIndexValueDate(IborIndex,X542,Trigger)</f>
        <v>42614</v>
      </c>
      <c r="Z542" s="203">
        <v>1.7254110319005509E-2</v>
      </c>
      <c r="AA542" s="200">
        <v>1.6454292663672376E-2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42619</v>
      </c>
      <c r="Y543" s="202">
        <f>_xll.qlInterestRateIndexValueDate(IborIndex,X543,Trigger)</f>
        <v>42621</v>
      </c>
      <c r="Z543" s="203">
        <v>1.7390226831334239E-2</v>
      </c>
      <c r="AA543" s="200">
        <v>1.6570657046601767E-2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42626</v>
      </c>
      <c r="Y544" s="202">
        <f>_xll.qlInterestRateIndexValueDate(IborIndex,X544,Trigger)</f>
        <v>42628</v>
      </c>
      <c r="Z544" s="203">
        <v>1.7526706155474331E-2</v>
      </c>
      <c r="AA544" s="200">
        <v>1.6700811716123809E-2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42633</v>
      </c>
      <c r="Y545" s="202">
        <f>_xll.qlInterestRateIndexValueDate(IborIndex,X545,Trigger)</f>
        <v>42635</v>
      </c>
      <c r="Z545" s="203">
        <v>1.7664136522169901E-2</v>
      </c>
      <c r="AA545" s="200">
        <v>1.6831435359225821E-2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42640</v>
      </c>
      <c r="Y546" s="202">
        <f>_xll.qlInterestRateIndexValueDate(IborIndex,X546,Trigger)</f>
        <v>42642</v>
      </c>
      <c r="Z546" s="203">
        <v>1.7802635672619718E-2</v>
      </c>
      <c r="AA546" s="200">
        <v>1.6963118363646501E-2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42647</v>
      </c>
      <c r="Y547" s="202">
        <f>_xll.qlInterestRateIndexValueDate(IborIndex,X547,Trigger)</f>
        <v>42649</v>
      </c>
      <c r="Z547" s="203">
        <v>1.795282630533181E-2</v>
      </c>
      <c r="AA547" s="200">
        <v>1.7114910404263384E-2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42654</v>
      </c>
      <c r="Y548" s="202">
        <f>_xll.qlInterestRateIndexValueDate(IborIndex,X548,Trigger)</f>
        <v>42656</v>
      </c>
      <c r="Z548" s="203">
        <v>1.8093546755006382E-2</v>
      </c>
      <c r="AA548" s="200">
        <v>1.7229662460600537E-2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42661</v>
      </c>
      <c r="Y549" s="202">
        <f>_xll.qlInterestRateIndexValueDate(IborIndex,X549,Trigger)</f>
        <v>42663</v>
      </c>
      <c r="Z549" s="203">
        <v>1.8235336442227287E-2</v>
      </c>
      <c r="AA549" s="200">
        <v>1.7364523555691846E-2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42668</v>
      </c>
      <c r="Y550" s="202">
        <f>_xll.qlInterestRateIndexValueDate(IborIndex,X550,Trigger)</f>
        <v>42670</v>
      </c>
      <c r="Z550" s="203">
        <v>1.8378195482326613E-2</v>
      </c>
      <c r="AA550" s="200">
        <v>1.7500444016578243E-2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42675</v>
      </c>
      <c r="Y551" s="202">
        <f>_xll.qlInterestRateIndexValueDate(IborIndex,X551,Trigger)</f>
        <v>42677</v>
      </c>
      <c r="Z551" s="203">
        <v>1.8522123991508797E-2</v>
      </c>
      <c r="AA551" s="200">
        <v>1.7637423844618638E-2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42682</v>
      </c>
      <c r="Y552" s="202">
        <f>_xll.qlInterestRateIndexValueDate(IborIndex,X552,Trigger)</f>
        <v>42684</v>
      </c>
      <c r="Z552" s="203">
        <v>1.8667122086852356E-2</v>
      </c>
      <c r="AA552" s="200">
        <v>1.779526940540066E-2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42689</v>
      </c>
      <c r="Y553" s="202">
        <f>_xll.qlInterestRateIndexValueDate(IborIndex,X553,Trigger)</f>
        <v>42691</v>
      </c>
      <c r="Z553" s="203">
        <v>1.8813189886306425E-2</v>
      </c>
      <c r="AA553" s="200">
        <v>1.7914561606877655E-2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42696</v>
      </c>
      <c r="Y554" s="202">
        <f>_xll.qlInterestRateIndexValueDate(IborIndex,X554,Trigger)</f>
        <v>42699</v>
      </c>
      <c r="Z554" s="203">
        <v>1.90039015439376E-2</v>
      </c>
      <c r="AA554" s="200">
        <v>1.8074828585366021E-2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42703</v>
      </c>
      <c r="Y555" s="202">
        <f>_xll.qlInterestRateIndexValueDate(IborIndex,X555,Trigger)</f>
        <v>42705</v>
      </c>
      <c r="Z555" s="203">
        <v>1.908595728483764E-2</v>
      </c>
      <c r="AA555" s="200">
        <v>1.8195936852380967E-2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42710</v>
      </c>
      <c r="Y556" s="202">
        <f>_xll.qlInterestRateIndexValueDate(IborIndex,X556,Trigger)</f>
        <v>42712</v>
      </c>
      <c r="Z556" s="203">
        <v>1.9235066191794381E-2</v>
      </c>
      <c r="AA556" s="200">
        <v>1.8338213534336845E-2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42717</v>
      </c>
      <c r="Y557" s="202">
        <f>_xll.qlInterestRateIndexValueDate(IborIndex,X557,Trigger)</f>
        <v>42719</v>
      </c>
      <c r="Z557" s="203">
        <v>1.9385245028010978E-2</v>
      </c>
      <c r="AA557" s="200">
        <v>1.8481549590800839E-2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42724</v>
      </c>
      <c r="Y558" s="202">
        <f>_xll.qlInterestRateIndexValueDate(IborIndex,X558,Trigger)</f>
        <v>42726</v>
      </c>
      <c r="Z558" s="203">
        <v>1.9536493913007824E-2</v>
      </c>
      <c r="AA558" s="200">
        <v>1.8646659421648337E-2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42732</v>
      </c>
      <c r="Y559" s="202">
        <f>_xll.qlInterestRateIndexValueDate(IborIndex,X559,Trigger)</f>
        <v>42734</v>
      </c>
      <c r="Z559" s="203">
        <v>1.9722295173346564E-2</v>
      </c>
      <c r="AA559" s="200">
        <v>1.8813152928949251E-2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42739</v>
      </c>
      <c r="Y560" s="202">
        <f>_xll.qlInterestRateIndexValueDate(IborIndex,X560,Trigger)</f>
        <v>42741</v>
      </c>
      <c r="Z560" s="203">
        <v>1.9864202452945179E-2</v>
      </c>
      <c r="AA560" s="200">
        <v>1.8938931098189116E-2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42746</v>
      </c>
      <c r="Y561" s="202">
        <f>_xll.qlInterestRateIndexValueDate(IborIndex,X561,Trigger)</f>
        <v>42748</v>
      </c>
      <c r="Z561" s="203">
        <v>2.0018815136023882E-2</v>
      </c>
      <c r="AA561" s="200">
        <v>1.9107846043819876E-2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42753</v>
      </c>
      <c r="Y562" s="202">
        <f>_xll.qlInterestRateIndexValueDate(IborIndex,X562,Trigger)</f>
        <v>42755</v>
      </c>
      <c r="Z562" s="203">
        <v>2.0174498372138139E-2</v>
      </c>
      <c r="AA562" s="200">
        <v>1.9235440294025352E-2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42760</v>
      </c>
      <c r="Y563" s="202">
        <f>_xll.qlInterestRateIndexValueDate(IborIndex,X563,Trigger)</f>
        <v>42762</v>
      </c>
      <c r="Z563" s="203">
        <v>2.033125228520305E-2</v>
      </c>
      <c r="AA563" s="200">
        <v>1.9385283964856725E-2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42767</v>
      </c>
      <c r="Y564" s="202">
        <f>_xll.qlInterestRateIndexValueDate(IborIndex,X564,Trigger)</f>
        <v>42769</v>
      </c>
      <c r="Z564" s="203">
        <v>2.047702483148358E-2</v>
      </c>
      <c r="AA564" s="200">
        <v>1.9536187019468798E-2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42774</v>
      </c>
      <c r="Y565" s="202">
        <f>_xll.qlInterestRateIndexValueDate(IborIndex,X565,Trigger)</f>
        <v>42776</v>
      </c>
      <c r="Z565" s="203">
        <v>2.063583492268518E-2</v>
      </c>
      <c r="AA565" s="200">
        <v>1.9688149459220483E-2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42781</v>
      </c>
      <c r="Y566" s="202">
        <f>_xll.qlInterestRateIndexValueDate(IborIndex,X566,Trigger)</f>
        <v>42783</v>
      </c>
      <c r="Z566" s="203">
        <v>2.0795715927202557E-2</v>
      </c>
      <c r="AA566" s="200">
        <v>1.9863118026934856E-2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42788</v>
      </c>
      <c r="Y567" s="202">
        <f>_xll.qlInterestRateIndexValueDate(IborIndex,X567,Trigger)</f>
        <v>42790</v>
      </c>
      <c r="Z567" s="203">
        <v>2.0956667970889201E-2</v>
      </c>
      <c r="AA567" s="200">
        <v>1.9995252499338534E-2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42795</v>
      </c>
      <c r="Y568" s="202">
        <f>_xll.qlInterestRateIndexValueDate(IborIndex,X568,Trigger)</f>
        <v>42797</v>
      </c>
      <c r="Z568" s="203">
        <v>2.1180754132673216E-2</v>
      </c>
      <c r="AA568" s="200">
        <v>2.0150393102422726E-2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42802</v>
      </c>
      <c r="Y569" s="202">
        <f>_xll.qlInterestRateIndexValueDate(IborIndex,X569,Trigger)</f>
        <v>42804</v>
      </c>
      <c r="Z569" s="203">
        <v>2.1344279455274402E-2</v>
      </c>
      <c r="AA569" s="200">
        <v>2.0306593096002246E-2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42809</v>
      </c>
      <c r="Y570" s="202">
        <f>_xll.qlInterestRateIndexValueDate(IborIndex,X570,Trigger)</f>
        <v>42811</v>
      </c>
      <c r="Z570" s="203">
        <v>2.1508876934528409E-2</v>
      </c>
      <c r="AA570" s="200">
        <v>2.0463852481595879E-2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42816</v>
      </c>
      <c r="Y571" s="202">
        <f>_xll.qlInterestRateIndexValueDate(IborIndex,X571,Trigger)</f>
        <v>42818</v>
      </c>
      <c r="Z571" s="203">
        <v>2.1674546707311278E-2</v>
      </c>
      <c r="AA571" s="200">
        <v>2.0622171260242794E-2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42823</v>
      </c>
      <c r="Y572" s="202">
        <f>_xll.qlInterestRateIndexValueDate(IborIndex,X572,Trigger)</f>
        <v>42825</v>
      </c>
      <c r="Z572" s="203">
        <v>2.1802988196715639E-2</v>
      </c>
      <c r="AA572" s="200">
        <v>2.0781549433781521E-2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42830</v>
      </c>
      <c r="Y573" s="202">
        <f>_xll.qlInterestRateIndexValueDate(IborIndex,X573,Trigger)</f>
        <v>42832</v>
      </c>
      <c r="Z573" s="203">
        <v>2.1970542622006494E-2</v>
      </c>
      <c r="AA573" s="200">
        <v>2.0941987003251228E-2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42837</v>
      </c>
      <c r="Y574" s="202">
        <f>_xll.qlInterestRateIndexValueDate(IborIndex,X574,Trigger)</f>
        <v>42843</v>
      </c>
      <c r="Z574" s="203">
        <v>2.2235851363895692E-2</v>
      </c>
      <c r="AA574" s="200">
        <v>2.1149820544268394E-2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42844</v>
      </c>
      <c r="Y575" s="202">
        <f>_xll.qlInterestRateIndexValueDate(IborIndex,X575,Trigger)</f>
        <v>42846</v>
      </c>
      <c r="Z575" s="203">
        <v>2.2308543641305471E-2</v>
      </c>
      <c r="AA575" s="200">
        <v>2.1266040336218595E-2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42851</v>
      </c>
      <c r="Y576" s="202">
        <f>_xll.qlInterestRateIndexValueDate(IborIndex,X576,Trigger)</f>
        <v>42853</v>
      </c>
      <c r="Z576" s="203">
        <v>2.2517400774175883E-2</v>
      </c>
      <c r="AA576" s="200">
        <v>2.1429656102514016E-2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42858</v>
      </c>
      <c r="Y577" s="202">
        <f>_xll.qlInterestRateIndexValueDate(IborIndex,X577,Trigger)</f>
        <v>42860</v>
      </c>
      <c r="Z577" s="203">
        <v>2.2687677467280575E-2</v>
      </c>
      <c r="AA577" s="200">
        <v>2.1594331270655687E-2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42865</v>
      </c>
      <c r="Y578" s="202">
        <f>_xll.qlInterestRateIndexValueDate(IborIndex,X578,Trigger)</f>
        <v>42867</v>
      </c>
      <c r="Z578" s="203">
        <v>2.2857982833118393E-2</v>
      </c>
      <c r="AA578" s="200">
        <v>2.1760065841922582E-2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42872</v>
      </c>
      <c r="Y579" s="202">
        <f>_xll.qlInterestRateIndexValueDate(IborIndex,X579,Trigger)</f>
        <v>42874</v>
      </c>
      <c r="Z579" s="203">
        <v>2.3028081023163092E-2</v>
      </c>
      <c r="AA579" s="200">
        <v>2.1926859818073297E-2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42879</v>
      </c>
      <c r="Y580" s="202">
        <f>_xll.qlInterestRateIndexValueDate(IborIndex,X580,Trigger)</f>
        <v>42881</v>
      </c>
      <c r="Z580" s="203">
        <v>2.3210450390094867E-2</v>
      </c>
      <c r="AA580" s="200">
        <v>2.211877873715018E-2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42886</v>
      </c>
      <c r="Y581" s="202">
        <f>_xll.qlInterestRateIndexValueDate(IborIndex,X581,Trigger)</f>
        <v>42888</v>
      </c>
      <c r="Z581" s="203">
        <v>2.3379325470139427E-2</v>
      </c>
      <c r="AA581" s="200">
        <v>2.2263625990301961E-2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42893</v>
      </c>
      <c r="Y582" s="202">
        <f>_xll.qlInterestRateIndexValueDate(IborIndex,X582,Trigger)</f>
        <v>42895</v>
      </c>
      <c r="Z582" s="203">
        <v>2.3534773430155802E-2</v>
      </c>
      <c r="AA582" s="200">
        <v>2.2433598189417481E-2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42900</v>
      </c>
      <c r="Y583" s="202">
        <f>_xll.qlInterestRateIndexValueDate(IborIndex,X583,Trigger)</f>
        <v>42902</v>
      </c>
      <c r="Z583" s="203">
        <v>2.3701683603022595E-2</v>
      </c>
      <c r="AA583" s="200">
        <v>2.2604629799172216E-2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42907</v>
      </c>
      <c r="Y584" s="202">
        <f>_xll.qlInterestRateIndexValueDate(IborIndex,X584,Trigger)</f>
        <v>42909</v>
      </c>
      <c r="Z584" s="203">
        <v>2.3867206739175816E-2</v>
      </c>
      <c r="AA584" s="200">
        <v>2.277672082108495E-2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42914</v>
      </c>
      <c r="Y585" s="202">
        <f>_xll.qlInterestRateIndexValueDate(IborIndex,X585,Trigger)</f>
        <v>42916</v>
      </c>
      <c r="Z585" s="203">
        <v>2.3994701778533165E-2</v>
      </c>
      <c r="AA585" s="200">
        <v>2.2974693516122358E-2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42921</v>
      </c>
      <c r="Y586" s="202">
        <f>_xll.qlInterestRateIndexValueDate(IborIndex,X586,Trigger)</f>
        <v>42923</v>
      </c>
      <c r="Z586" s="203">
        <v>2.4205118602791655E-2</v>
      </c>
      <c r="AA586" s="200">
        <v>2.3123427863360746E-2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42928</v>
      </c>
      <c r="Y587" s="202">
        <f>_xll.qlInterestRateIndexValueDate(IborIndex,X587,Trigger)</f>
        <v>42930</v>
      </c>
      <c r="Z587" s="203">
        <v>2.4353132135004198E-2</v>
      </c>
      <c r="AA587" s="200">
        <v>2.3295098931042091E-2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42935</v>
      </c>
      <c r="Y588" s="202">
        <f>_xll.qlInterestRateIndexValueDate(IborIndex,X588,Trigger)</f>
        <v>42937</v>
      </c>
      <c r="Z588" s="203">
        <v>2.4511021090677303E-2</v>
      </c>
      <c r="AA588" s="200">
        <v>2.3464680987439479E-2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42942</v>
      </c>
      <c r="Y589" s="202">
        <f>_xll.qlInterestRateIndexValueDate(IborIndex,X589,Trigger)</f>
        <v>42944</v>
      </c>
      <c r="Z589" s="203">
        <v>2.4666814102312508E-2</v>
      </c>
      <c r="AA589" s="200">
        <v>2.3632174029355468E-2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42949</v>
      </c>
      <c r="Y590" s="202">
        <f>_xll.qlInterestRateIndexValueDate(IborIndex,X590,Trigger)</f>
        <v>42951</v>
      </c>
      <c r="Z590" s="203">
        <v>2.4820510915233532E-2</v>
      </c>
      <c r="AA590" s="200">
        <v>2.3797578054152169E-2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42956</v>
      </c>
      <c r="Y591" s="202">
        <f>_xll.qlInterestRateIndexValueDate(IborIndex,X591,Trigger)</f>
        <v>42958</v>
      </c>
      <c r="Z591" s="203">
        <v>2.4972111278183481E-2</v>
      </c>
      <c r="AA591" s="200">
        <v>2.3960893058871946E-2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42963</v>
      </c>
      <c r="Y592" s="202">
        <f>_xll.qlInterestRateIndexValueDate(IborIndex,X592,Trigger)</f>
        <v>42965</v>
      </c>
      <c r="Z592" s="203">
        <v>2.512161494332487E-2</v>
      </c>
      <c r="AA592" s="200">
        <v>2.4122119040717038E-2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42970</v>
      </c>
      <c r="Y593" s="202">
        <f>_xll.qlInterestRateIndexValueDate(IborIndex,X593,Trigger)</f>
        <v>42972</v>
      </c>
      <c r="Z593" s="203">
        <v>2.526902166624214E-2</v>
      </c>
      <c r="AA593" s="200">
        <v>2.4281255996729811E-2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42977</v>
      </c>
      <c r="Y594" s="202">
        <f>_xll.qlInterestRateIndexValueDate(IborIndex,X594,Trigger)</f>
        <v>42979</v>
      </c>
      <c r="Z594" s="203">
        <v>2.5381683645026108E-2</v>
      </c>
      <c r="AA594" s="200">
        <v>2.4460568809407945E-2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42984</v>
      </c>
      <c r="Y595" s="202">
        <f>_xll.qlInterestRateIndexValueDate(IborIndex,X595,Trigger)</f>
        <v>42986</v>
      </c>
      <c r="Z595" s="203">
        <v>2.5525314896458352E-2</v>
      </c>
      <c r="AA595" s="200">
        <v>2.4593262820546968E-2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42991</v>
      </c>
      <c r="Y596" s="202">
        <f>_xll.qlInterestRateIndexValueDate(IborIndex,X596,Trigger)</f>
        <v>42993</v>
      </c>
      <c r="Z596" s="203">
        <v>2.5666848818666894E-2</v>
      </c>
      <c r="AA596" s="200">
        <v>2.4746132682835764E-2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42998</v>
      </c>
      <c r="Y597" s="202">
        <f>_xll.qlInterestRateIndexValueDate(IborIndex,X597,Trigger)</f>
        <v>43000</v>
      </c>
      <c r="Z597" s="203">
        <v>2.5806285187623471E-2</v>
      </c>
      <c r="AA597" s="200">
        <v>2.4896913508580809E-2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43005</v>
      </c>
      <c r="Y598" s="202">
        <f>_xll.qlInterestRateIndexValueDate(IborIndex,X598,Trigger)</f>
        <v>43007</v>
      </c>
      <c r="Z598" s="203">
        <v>2.594362378261408E-2</v>
      </c>
      <c r="AA598" s="200">
        <v>2.5045605295064277E-2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43012</v>
      </c>
      <c r="Y599" s="202">
        <f>_xll.qlInterestRateIndexValueDate(IborIndex,X599,Trigger)</f>
        <v>43014</v>
      </c>
      <c r="Z599" s="203">
        <v>2.6109412961043868E-2</v>
      </c>
      <c r="AA599" s="200">
        <v>2.5212980754876213E-2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43019</v>
      </c>
      <c r="Y600" s="202">
        <f>_xll.qlInterestRateIndexValueDate(IborIndex,X600,Trigger)</f>
        <v>43021</v>
      </c>
      <c r="Z600" s="203">
        <v>2.6252151272603112E-2</v>
      </c>
      <c r="AA600" s="200">
        <v>2.5336721740094603E-2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43026</v>
      </c>
      <c r="Y601" s="202">
        <f>_xll.qlInterestRateIndexValueDate(IborIndex,X601,Trigger)</f>
        <v>43028</v>
      </c>
      <c r="Z601" s="203">
        <v>2.6372757329244458E-2</v>
      </c>
      <c r="AA601" s="200">
        <v>2.5479146393525554E-2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43033</v>
      </c>
      <c r="Y602" s="202">
        <f>_xll.qlInterestRateIndexValueDate(IborIndex,X602,Trigger)</f>
        <v>43035</v>
      </c>
      <c r="Z602" s="203">
        <v>2.6501281138298555E-2</v>
      </c>
      <c r="AA602" s="200">
        <v>2.5619481997622984E-2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43040</v>
      </c>
      <c r="Y603" s="202">
        <f>_xll.qlInterestRateIndexValueDate(IborIndex,X603,Trigger)</f>
        <v>43042</v>
      </c>
      <c r="Z603" s="203">
        <v>2.6627705749289611E-2</v>
      </c>
      <c r="AA603" s="200">
        <v>2.575772854982894E-2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43047</v>
      </c>
      <c r="Y604" s="202">
        <f>_xll.qlInterestRateIndexValueDate(IborIndex,X604,Trigger)</f>
        <v>43052</v>
      </c>
      <c r="Z604" s="203">
        <v>2.6785843653664022E-2</v>
      </c>
      <c r="AA604" s="200">
        <v>2.5913166583872993E-2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43054</v>
      </c>
      <c r="Y605" s="202">
        <f>_xll.qlInterestRateIndexValueDate(IborIndex,X605,Trigger)</f>
        <v>43056</v>
      </c>
      <c r="Z605" s="203">
        <v>2.6883569920538787E-2</v>
      </c>
      <c r="AA605" s="200">
        <v>2.6027954489293847E-2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43061</v>
      </c>
      <c r="Y606" s="202">
        <f>_xll.qlInterestRateIndexValueDate(IborIndex,X606,Trigger)</f>
        <v>43063</v>
      </c>
      <c r="Z606" s="203">
        <v>2.6994382343642886E-2</v>
      </c>
      <c r="AA606" s="200">
        <v>2.6159933871836571E-2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43068</v>
      </c>
      <c r="Y607" s="202">
        <f>_xll.qlInterestRateIndexValueDate(IborIndex,X607,Trigger)</f>
        <v>43070</v>
      </c>
      <c r="Z607" s="203">
        <v>2.7076153266598624E-2</v>
      </c>
      <c r="AA607" s="200">
        <v>2.6289824193135303E-2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43075</v>
      </c>
      <c r="Y608" s="202">
        <f>_xll.qlInterestRateIndexValueDate(IborIndex,X608,Trigger)</f>
        <v>43077</v>
      </c>
      <c r="Z608" s="203">
        <v>2.7192643962630214E-2</v>
      </c>
      <c r="AA608" s="200">
        <v>2.6417625451031768E-2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43082</v>
      </c>
      <c r="Y609" s="202">
        <f>_xll.qlInterestRateIndexValueDate(IborIndex,X609,Trigger)</f>
        <v>43084</v>
      </c>
      <c r="Z609" s="203">
        <v>2.7307034809976649E-2</v>
      </c>
      <c r="AA609" s="200">
        <v>2.6543337643047948E-2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43089</v>
      </c>
      <c r="Y610" s="202">
        <f>_xll.qlInterestRateIndexValueDate(IborIndex,X610,Trigger)</f>
        <v>43091</v>
      </c>
      <c r="Z610" s="203">
        <v>2.7419325629510993E-2</v>
      </c>
      <c r="AA610" s="200">
        <v>2.6684450677345595E-2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43096</v>
      </c>
      <c r="Y611" s="202">
        <f>_xll.qlInterestRateIndexValueDate(IborIndex,X611,Trigger)</f>
        <v>43098</v>
      </c>
      <c r="Z611" s="203">
        <v>2.7529516245394348E-2</v>
      </c>
      <c r="AA611" s="200">
        <v>2.6805686292812325E-2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43103</v>
      </c>
      <c r="Y612" s="202">
        <f>_xll.qlInterestRateIndexValueDate(IborIndex,X612,Trigger)</f>
        <v>43105</v>
      </c>
      <c r="Z612" s="203">
        <v>2.7637606485070521E-2</v>
      </c>
      <c r="AA612" s="200">
        <v>2.6907939803511027E-2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43110</v>
      </c>
      <c r="Y613" s="202">
        <f>_xll.qlInterestRateIndexValueDate(IborIndex,X613,Trigger)</f>
        <v>43112</v>
      </c>
      <c r="Z613" s="203">
        <v>2.7743596179269581E-2</v>
      </c>
      <c r="AA613" s="200">
        <v>2.7041890304202454E-2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43117</v>
      </c>
      <c r="Y614" s="202">
        <f>_xll.qlInterestRateIndexValueDate(IborIndex,X614,Trigger)</f>
        <v>43119</v>
      </c>
      <c r="Z614" s="203">
        <v>2.7847485162011409E-2</v>
      </c>
      <c r="AA614" s="200">
        <v>2.7140562542822266E-2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43124</v>
      </c>
      <c r="Y615" s="202">
        <f>_xll.qlInterestRateIndexValueDate(IborIndex,X615,Trigger)</f>
        <v>43126</v>
      </c>
      <c r="Z615" s="203">
        <v>2.7949273270598596E-2</v>
      </c>
      <c r="AA615" s="200">
        <v>2.7253740296071527E-2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43131</v>
      </c>
      <c r="Y616" s="202">
        <f>_xll.qlInterestRateIndexValueDate(IborIndex,X616,Trigger)</f>
        <v>43133</v>
      </c>
      <c r="Z616" s="203">
        <v>2.8041140107478199E-2</v>
      </c>
      <c r="AA616" s="200">
        <v>2.7364828969052013E-2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43138</v>
      </c>
      <c r="Y617" s="202">
        <f>_xll.qlInterestRateIndexValueDate(IborIndex,X617,Trigger)</f>
        <v>43140</v>
      </c>
      <c r="Z617" s="203">
        <v>2.8138868491204443E-2</v>
      </c>
      <c r="AA617" s="200">
        <v>2.7473828559845259E-2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43145</v>
      </c>
      <c r="Y618" s="202">
        <f>_xll.qlInterestRateIndexValueDate(IborIndex,X618,Trigger)</f>
        <v>43147</v>
      </c>
      <c r="Z618" s="203">
        <v>2.8234495680942447E-2</v>
      </c>
      <c r="AA618" s="200">
        <v>2.7595841458509796E-2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43152</v>
      </c>
      <c r="Y619" s="202">
        <f>_xll.qlInterestRateIndexValueDate(IborIndex,X619,Trigger)</f>
        <v>43154</v>
      </c>
      <c r="Z619" s="203">
        <v>2.8328021528588661E-2</v>
      </c>
      <c r="AA619" s="200">
        <v>2.7685560487276106E-2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43159</v>
      </c>
      <c r="Y620" s="202">
        <f>_xll.qlInterestRateIndexValueDate(IborIndex,X620,Trigger)</f>
        <v>43161</v>
      </c>
      <c r="Z620" s="203">
        <v>2.8455559798336333E-2</v>
      </c>
      <c r="AA620" s="200">
        <v>2.7788292820236649E-2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43166</v>
      </c>
      <c r="Y621" s="202">
        <f>_xll.qlInterestRateIndexValueDate(IborIndex,X621,Trigger)</f>
        <v>43168</v>
      </c>
      <c r="Z621" s="203">
        <v>2.8544166816284747E-2</v>
      </c>
      <c r="AA621" s="200">
        <v>2.7888936063655834E-2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43173</v>
      </c>
      <c r="Y622" s="202">
        <f>_xll.qlInterestRateIndexValueDate(IborIndex,X622,Trigger)</f>
        <v>43175</v>
      </c>
      <c r="Z622" s="203">
        <v>2.8630671294938154E-2</v>
      </c>
      <c r="AA622" s="200">
        <v>2.7987490215775068E-2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43180</v>
      </c>
      <c r="Y623" s="202">
        <f>_xll.qlInterestRateIndexValueDate(IborIndex,X623,Trigger)</f>
        <v>43182</v>
      </c>
      <c r="Z623" s="203">
        <v>2.8715073092788472E-2</v>
      </c>
      <c r="AA623" s="200">
        <v>2.8083955274755823E-2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43187</v>
      </c>
      <c r="Y624" s="202">
        <f>_xll.qlInterestRateIndexValueDate(IborIndex,X624,Trigger)</f>
        <v>43193</v>
      </c>
      <c r="Z624" s="203">
        <v>2.8823794595311057E-2</v>
      </c>
      <c r="AA624" s="200">
        <v>2.8204912088840572E-2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43194</v>
      </c>
      <c r="Y625" s="202">
        <f>_xll.qlInterestRateIndexValueDate(IborIndex,X625,Trigger)</f>
        <v>43196</v>
      </c>
      <c r="Z625" s="203">
        <v>2.8858091738858227E-2</v>
      </c>
      <c r="AA625" s="200">
        <v>2.8270618107146817E-2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43201</v>
      </c>
      <c r="Y626" s="202">
        <f>_xll.qlInterestRateIndexValueDate(IborIndex,X626,Trigger)</f>
        <v>43203</v>
      </c>
      <c r="Z626" s="203">
        <v>2.8936621231407385E-2</v>
      </c>
      <c r="AA626" s="200">
        <v>2.8360815877119805E-2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43208</v>
      </c>
      <c r="Y627" s="202">
        <f>_xll.qlInterestRateIndexValueDate(IborIndex,X627,Trigger)</f>
        <v>43210</v>
      </c>
      <c r="Z627" s="203">
        <v>2.901313639473356E-2</v>
      </c>
      <c r="AA627" s="200">
        <v>2.8448924547639365E-2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43215</v>
      </c>
      <c r="Y628" s="202">
        <f>_xll.qlInterestRateIndexValueDate(IborIndex,X628,Trigger)</f>
        <v>43217</v>
      </c>
      <c r="Z628" s="203">
        <v>2.9087786360978113E-2</v>
      </c>
      <c r="AA628" s="200">
        <v>2.8534944117106775E-2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43222</v>
      </c>
      <c r="Y629" s="202">
        <f>_xll.qlInterestRateIndexValueDate(IborIndex,X629,Trigger)</f>
        <v>43224</v>
      </c>
      <c r="Z629" s="203">
        <v>2.9178882165639602E-2</v>
      </c>
      <c r="AA629" s="200">
        <v>2.8618874583923315E-2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43229</v>
      </c>
      <c r="Y630" s="202">
        <f>_xll.qlInterestRateIndexValueDate(IborIndex,X630,Trigger)</f>
        <v>43231</v>
      </c>
      <c r="Z630" s="203">
        <v>2.925005043179222E-2</v>
      </c>
      <c r="AA630" s="200">
        <v>2.8700715946810007E-2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43236</v>
      </c>
      <c r="Y631" s="202">
        <f>_xll.qlInterestRateIndexValueDate(IborIndex,X631,Trigger)</f>
        <v>43238</v>
      </c>
      <c r="Z631" s="203">
        <v>2.9319847309686564E-2</v>
      </c>
      <c r="AA631" s="200">
        <v>2.8780468204248066E-2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43243</v>
      </c>
      <c r="Y632" s="202">
        <f>_xll.qlInterestRateIndexValueDate(IborIndex,X632,Trigger)</f>
        <v>43245</v>
      </c>
      <c r="Z632" s="203">
        <v>2.9394303334753444E-2</v>
      </c>
      <c r="AA632" s="200">
        <v>2.8869055551226097E-2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43250</v>
      </c>
      <c r="Y633" s="202">
        <f>_xll.qlInterestRateIndexValueDate(IborIndex,X633,Trigger)</f>
        <v>43252</v>
      </c>
      <c r="Z633" s="203">
        <v>2.9461765118223262E-2</v>
      </c>
      <c r="AA633" s="200">
        <v>2.8933705397182763E-2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43257</v>
      </c>
      <c r="Y634" s="202">
        <f>_xll.qlInterestRateIndexValueDate(IborIndex,X634,Trigger)</f>
        <v>43259</v>
      </c>
      <c r="Z634" s="203">
        <v>2.952247345121084E-2</v>
      </c>
      <c r="AA634" s="200">
        <v>2.9007190330121446E-2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43264</v>
      </c>
      <c r="Y635" s="202">
        <f>_xll.qlInterestRateIndexValueDate(IborIndex,X635,Trigger)</f>
        <v>43266</v>
      </c>
      <c r="Z635" s="203">
        <v>2.9588248670144441E-2</v>
      </c>
      <c r="AA635" s="200">
        <v>2.9078586152175845E-2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43271</v>
      </c>
      <c r="Y636" s="202">
        <f>_xll.qlInterestRateIndexValueDate(IborIndex,X636,Trigger)</f>
        <v>43273</v>
      </c>
      <c r="Z636" s="203">
        <v>2.9653384503199331E-2</v>
      </c>
      <c r="AA636" s="200">
        <v>2.9147892862226854E-2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43278</v>
      </c>
      <c r="Y637" s="202">
        <f>_xll.qlInterestRateIndexValueDate(IborIndex,X637,Trigger)</f>
        <v>43280</v>
      </c>
      <c r="Z637" s="203">
        <v>2.9700642843157168E-2</v>
      </c>
      <c r="AA637" s="200">
        <v>2.9221012276949843E-2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43285</v>
      </c>
      <c r="Y638" s="202">
        <f>_xll.qlInterestRateIndexValueDate(IborIndex,X638,Trigger)</f>
        <v>43287</v>
      </c>
      <c r="Z638" s="203">
        <v>2.9788113089410696E-2</v>
      </c>
      <c r="AA638" s="200">
        <v>2.9280285413628704E-2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43292</v>
      </c>
      <c r="Y639" s="202">
        <f>_xll.qlInterestRateIndexValueDate(IborIndex,X639,Trigger)</f>
        <v>43294</v>
      </c>
      <c r="Z639" s="203">
        <v>2.9846415507239054E-2</v>
      </c>
      <c r="AA639" s="200">
        <v>2.9344718944379622E-2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43299</v>
      </c>
      <c r="Y640" s="202">
        <f>_xll.qlInterestRateIndexValueDate(IborIndex,X640,Trigger)</f>
        <v>43301</v>
      </c>
      <c r="Z640" s="203">
        <v>2.9910368046357917E-2</v>
      </c>
      <c r="AA640" s="200">
        <v>2.9409015188468501E-2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43306</v>
      </c>
      <c r="Y641" s="202">
        <f>_xll.qlInterestRateIndexValueDate(IborIndex,X641,Trigger)</f>
        <v>43308</v>
      </c>
      <c r="Z641" s="203">
        <v>2.997418328380802E-2</v>
      </c>
      <c r="AA641" s="200">
        <v>2.9473174146055214E-2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43313</v>
      </c>
      <c r="Y642" s="202">
        <f>_xll.qlInterestRateIndexValueDate(IborIndex,X642,Trigger)</f>
        <v>43315</v>
      </c>
      <c r="Z642" s="203">
        <v>3.003786121274378E-2</v>
      </c>
      <c r="AA642" s="200">
        <v>2.9537195816899953E-2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43320</v>
      </c>
      <c r="Y643" s="202">
        <f>_xll.qlInterestRateIndexValueDate(IborIndex,X643,Trigger)</f>
        <v>43322</v>
      </c>
      <c r="Z643" s="203">
        <v>3.0107168540464264E-2</v>
      </c>
      <c r="AA643" s="200">
        <v>2.9601080201082652E-2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43327</v>
      </c>
      <c r="Y644" s="202">
        <f>_xll.qlInterestRateIndexValueDate(IborIndex,X644,Trigger)</f>
        <v>43329</v>
      </c>
      <c r="Z644" s="203">
        <v>3.0164805117763892E-2</v>
      </c>
      <c r="AA644" s="200">
        <v>2.9664827298363505E-2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43334</v>
      </c>
      <c r="Y645" s="202">
        <f>_xll.qlInterestRateIndexValueDate(IborIndex,X645,Trigger)</f>
        <v>43336</v>
      </c>
      <c r="Z645" s="203">
        <v>3.0228071080231053E-2</v>
      </c>
      <c r="AA645" s="200">
        <v>2.9728437108822447E-2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43341</v>
      </c>
      <c r="Y646" s="202">
        <f>_xll.qlInterestRateIndexValueDate(IborIndex,X646,Trigger)</f>
        <v>43343</v>
      </c>
      <c r="Z646" s="203">
        <v>3.0273939596271802E-2</v>
      </c>
      <c r="AA646" s="200">
        <v>2.9800965928492573E-2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43348</v>
      </c>
      <c r="Y647" s="202">
        <f>_xll.qlInterestRateIndexValueDate(IborIndex,X647,Trigger)</f>
        <v>43350</v>
      </c>
      <c r="Z647" s="203">
        <v>3.0336944459700255E-2</v>
      </c>
      <c r="AA647" s="200">
        <v>2.9855244868635111E-2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43355</v>
      </c>
      <c r="Y648" s="202">
        <f>_xll.qlInterestRateIndexValueDate(IborIndex,X648,Trigger)</f>
        <v>43357</v>
      </c>
      <c r="Z648" s="203">
        <v>3.0399811977124245E-2</v>
      </c>
      <c r="AA648" s="200">
        <v>2.9918442817908897E-2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43362</v>
      </c>
      <c r="Y649" s="202">
        <f>_xll.qlInterestRateIndexValueDate(IborIndex,X649,Trigger)</f>
        <v>43364</v>
      </c>
      <c r="Z649" s="203">
        <v>3.0462542142013618E-2</v>
      </c>
      <c r="AA649" s="200">
        <v>2.9981503480041027E-2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43369</v>
      </c>
      <c r="Y650" s="202">
        <f>_xll.qlInterestRateIndexValueDate(IborIndex,X650,Trigger)</f>
        <v>43371</v>
      </c>
      <c r="Z650" s="203">
        <v>3.0542340721105343E-2</v>
      </c>
      <c r="AA650" s="200">
        <v>3.0044426854871631E-2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43376</v>
      </c>
      <c r="Y651" s="202">
        <f>_xll.qlInterestRateIndexValueDate(IborIndex,X651,Trigger)</f>
        <v>43378</v>
      </c>
      <c r="Z651" s="203">
        <v>3.0604782567789229E-2</v>
      </c>
      <c r="AA651" s="200">
        <v>3.0116171176395312E-2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43383</v>
      </c>
      <c r="Y652" s="202">
        <f>_xll.qlInterestRateIndexValueDate(IborIndex,X652,Trigger)</f>
        <v>43385</v>
      </c>
      <c r="Z652" s="203">
        <v>3.0667087038311606E-2</v>
      </c>
      <c r="AA652" s="200">
        <v>3.0169861742548321E-2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43390</v>
      </c>
      <c r="Y653" s="202">
        <f>_xll.qlInterestRateIndexValueDate(IborIndex,X653,Trigger)</f>
        <v>43392</v>
      </c>
      <c r="Z653" s="203">
        <v>3.0734975562450896E-2</v>
      </c>
      <c r="AA653" s="200">
        <v>3.0232373255154599E-2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43397</v>
      </c>
      <c r="Y654" s="202">
        <f>_xll.qlInterestRateIndexValueDate(IborIndex,X654,Trigger)</f>
        <v>43399</v>
      </c>
      <c r="Z654" s="203">
        <v>3.0791283824150223E-2</v>
      </c>
      <c r="AA654" s="200">
        <v>3.0294747480219542E-2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43404</v>
      </c>
      <c r="Y655" s="202">
        <f>_xll.qlInterestRateIndexValueDate(IborIndex,X655,Trigger)</f>
        <v>43406</v>
      </c>
      <c r="Z655" s="203">
        <v>3.0853176126141801E-2</v>
      </c>
      <c r="AA655" s="200">
        <v>3.0356984417743149E-2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43411</v>
      </c>
      <c r="Y656" s="202">
        <f>_xll.qlInterestRateIndexValueDate(IborIndex,X656,Trigger)</f>
        <v>43413</v>
      </c>
      <c r="Z656" s="203">
        <v>3.0914931025323403E-2</v>
      </c>
      <c r="AA656" s="200">
        <v>3.0427944238882176E-2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43418</v>
      </c>
      <c r="Y657" s="202">
        <f>_xll.qlInterestRateIndexValueDate(IborIndex,X657,Trigger)</f>
        <v>43420</v>
      </c>
      <c r="Z657" s="203">
        <v>3.0982251801475139E-2</v>
      </c>
      <c r="AA657" s="200">
        <v>3.048104642952687E-2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43425</v>
      </c>
      <c r="Y658" s="202">
        <f>_xll.qlInterestRateIndexValueDate(IborIndex,X658,Trigger)</f>
        <v>43427</v>
      </c>
      <c r="Z658" s="203">
        <v>3.1038028588770611E-2</v>
      </c>
      <c r="AA658" s="200">
        <v>3.0542871503707048E-2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43432</v>
      </c>
      <c r="Y659" s="202">
        <f>_xll.qlInterestRateIndexValueDate(IborIndex,X659,Trigger)</f>
        <v>43434</v>
      </c>
      <c r="Z659" s="203">
        <v>3.1076593332787006E-2</v>
      </c>
      <c r="AA659" s="200">
        <v>3.0604559290106081E-2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43439</v>
      </c>
      <c r="Y660" s="202">
        <f>_xll.qlInterestRateIndexValueDate(IborIndex,X660,Trigger)</f>
        <v>43441</v>
      </c>
      <c r="Z660" s="203">
        <v>3.1137816739398083E-2</v>
      </c>
      <c r="AA660" s="200">
        <v>3.0666109788404228E-2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43446</v>
      </c>
      <c r="Y661" s="202">
        <f>_xll.qlInterestRateIndexValueDate(IborIndex,X661,Trigger)</f>
        <v>43448</v>
      </c>
      <c r="Z661" s="203">
        <v>3.1198902718213795E-2</v>
      </c>
      <c r="AA661" s="200">
        <v>3.0727522998681422E-2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43453</v>
      </c>
      <c r="Y662" s="202">
        <f>_xll.qlInterestRateIndexValueDate(IborIndex,X662,Trigger)</f>
        <v>43455</v>
      </c>
      <c r="Z662" s="203">
        <v>3.125985126295916E-2</v>
      </c>
      <c r="AA662" s="200">
        <v>3.079754141686486E-2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43461</v>
      </c>
      <c r="Y663" s="202">
        <f>_xll.qlInterestRateIndexValueDate(IborIndex,X663,Trigger)</f>
        <v>43465</v>
      </c>
      <c r="Z663" s="203">
        <v>3.1335332880346733E-2</v>
      </c>
      <c r="AA663" s="200">
        <v>3.0867380519845611E-2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43468</v>
      </c>
      <c r="Y664" s="202">
        <f>_xll.qlInterestRateIndexValueDate(IborIndex,X664,Trigger)</f>
        <v>43472</v>
      </c>
      <c r="Z664" s="203">
        <v>3.1412966881028417E-2</v>
      </c>
      <c r="AA664" s="200">
        <v>3.0919642171411965E-2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43475</v>
      </c>
      <c r="Y665" s="202">
        <f>_xll.qlInterestRateIndexValueDate(IborIndex,X665,Trigger)</f>
        <v>43479</v>
      </c>
      <c r="Z665" s="203">
        <v>3.1473439617700688E-2</v>
      </c>
      <c r="AA665" s="200">
        <v>3.0980486616174474E-2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43482</v>
      </c>
      <c r="Y666" s="202">
        <f>_xll.qlInterestRateIndexValueDate(IborIndex,X666,Trigger)</f>
        <v>43487</v>
      </c>
      <c r="Z666" s="203">
        <v>3.1542382993060135E-2</v>
      </c>
      <c r="AA666" s="200">
        <v>3.1049855016318517E-2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43489</v>
      </c>
      <c r="Y667" s="202">
        <f>_xll.qlInterestRateIndexValueDate(IborIndex,X667,Trigger)</f>
        <v>43493</v>
      </c>
      <c r="Z667" s="203">
        <v>3.1593972692621243E-2</v>
      </c>
      <c r="AA667" s="200">
        <v>3.1101763640517532E-2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43496</v>
      </c>
      <c r="Y668" s="202">
        <f>_xll.qlInterestRateIndexValueDate(IborIndex,X668,Trigger)</f>
        <v>43500</v>
      </c>
      <c r="Z668" s="203">
        <v>3.16596845992657E-2</v>
      </c>
      <c r="AA668" s="200">
        <v>3.116219621993821E-2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43503</v>
      </c>
      <c r="Y669" s="202">
        <f>_xll.qlInterestRateIndexValueDate(IborIndex,X669,Trigger)</f>
        <v>43507</v>
      </c>
      <c r="Z669" s="203">
        <v>3.1713955861258643E-2</v>
      </c>
      <c r="AA669" s="200">
        <v>3.1222491510698447E-2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43510</v>
      </c>
      <c r="Y670" s="202">
        <f>_xll.qlInterestRateIndexValueDate(IborIndex,X670,Trigger)</f>
        <v>43515</v>
      </c>
      <c r="Z670" s="203">
        <v>3.1776628857810074E-2</v>
      </c>
      <c r="AA670" s="200">
        <v>3.1291232305914463E-2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43517</v>
      </c>
      <c r="Y671" s="202">
        <f>_xll.qlInterestRateIndexValueDate(IborIndex,X671,Trigger)</f>
        <v>43521</v>
      </c>
      <c r="Z671" s="203">
        <v>3.1839026943223867E-2</v>
      </c>
      <c r="AA671" s="200">
        <v>3.1342670226157665E-2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43524</v>
      </c>
      <c r="Y672" s="202">
        <f>_xll.qlInterestRateIndexValueDate(IborIndex,X672,Trigger)</f>
        <v>43528</v>
      </c>
      <c r="Z672" s="203">
        <v>3.189853272446113E-2</v>
      </c>
      <c r="AA672" s="200">
        <v>3.1402553650696774E-2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43531</v>
      </c>
      <c r="Y673" s="202">
        <f>_xll.qlInterestRateIndexValueDate(IborIndex,X673,Trigger)</f>
        <v>43535</v>
      </c>
      <c r="Z673" s="203">
        <v>3.1957900995229292E-2</v>
      </c>
      <c r="AA673" s="200">
        <v>3.1462299786415571E-2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43538</v>
      </c>
      <c r="Y674" s="202">
        <f>_xll.qlInterestRateIndexValueDate(IborIndex,X674,Trigger)</f>
        <v>43542</v>
      </c>
      <c r="Z674" s="203">
        <v>3.2017131749291605E-2</v>
      </c>
      <c r="AA674" s="200">
        <v>3.1521908633074247E-2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43545</v>
      </c>
      <c r="Y675" s="202">
        <f>_xll.qlInterestRateIndexValueDate(IborIndex,X675,Trigger)</f>
        <v>43549</v>
      </c>
      <c r="Z675" s="203">
        <v>3.207622498042783E-2</v>
      </c>
      <c r="AA675" s="200">
        <v>3.1581380190832675E-2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43552</v>
      </c>
      <c r="Y676" s="202">
        <f>_xll.qlInterestRateIndexValueDate(IborIndex,X676,Trigger)</f>
        <v>43556</v>
      </c>
      <c r="Z676" s="203">
        <v>3.2129565721772273E-2</v>
      </c>
      <c r="AA676" s="200">
        <v>3.1640714459371111E-2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43559</v>
      </c>
      <c r="Y677" s="202">
        <f>_xll.qlInterestRateIndexValueDate(IborIndex,X677,Trigger)</f>
        <v>43563</v>
      </c>
      <c r="Z677" s="203">
        <v>3.2188388479274979E-2</v>
      </c>
      <c r="AA677" s="200">
        <v>3.1699911438849426E-2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43566</v>
      </c>
      <c r="Y678" s="202">
        <f>_xll.qlInterestRateIndexValueDate(IborIndex,X678,Trigger)</f>
        <v>43570</v>
      </c>
      <c r="Z678" s="203">
        <v>3.2247070925498611E-2</v>
      </c>
      <c r="AA678" s="200">
        <v>3.1758971129107749E-2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43573</v>
      </c>
      <c r="Y679" s="202">
        <f>_xll.qlInterestRateIndexValueDate(IborIndex,X679,Trigger)</f>
        <v>43579</v>
      </c>
      <c r="Z679" s="203">
        <v>3.2322290901788481E-2</v>
      </c>
      <c r="AA679" s="200">
        <v>3.1845919729267536E-2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43580</v>
      </c>
      <c r="Y680" s="202">
        <f>_xll.qlInterestRateIndexValueDate(IborIndex,X680,Trigger)</f>
        <v>43584</v>
      </c>
      <c r="Z680" s="203">
        <v>3.2363956625518595E-2</v>
      </c>
      <c r="AA680" s="200">
        <v>3.1876678641564737E-2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43587</v>
      </c>
      <c r="Y681" s="202">
        <f>_xll.qlInterestRateIndexValueDate(IborIndex,X681,Trigger)</f>
        <v>43592</v>
      </c>
      <c r="Z681" s="203">
        <v>3.2435992868284337E-2</v>
      </c>
      <c r="AA681" s="200">
        <v>3.1943693516653937E-2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43594</v>
      </c>
      <c r="Y682" s="202">
        <f>_xll.qlInterestRateIndexValueDate(IborIndex,X682,Trigger)</f>
        <v>43598</v>
      </c>
      <c r="Z682" s="203">
        <v>3.2485653294734518E-2</v>
      </c>
      <c r="AA682" s="200">
        <v>3.1993836996342395E-2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43601</v>
      </c>
      <c r="Y683" s="202">
        <f>_xll.qlInterestRateIndexValueDate(IborIndex,X683,Trigger)</f>
        <v>43605</v>
      </c>
      <c r="Z683" s="203">
        <v>3.2543383377408808E-2</v>
      </c>
      <c r="AA683" s="200">
        <v>3.2052210239461587E-2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43608</v>
      </c>
      <c r="Y684" s="202">
        <f>_xll.qlInterestRateIndexValueDate(IborIndex,X684,Trigger)</f>
        <v>43613</v>
      </c>
      <c r="Z684" s="203">
        <v>3.2609067373292902E-2</v>
      </c>
      <c r="AA684" s="200">
        <v>3.2118754407557404E-2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43615</v>
      </c>
      <c r="Y685" s="202">
        <f>_xll.qlInterestRateIndexValueDate(IborIndex,X685,Trigger)</f>
        <v>43619</v>
      </c>
      <c r="Z685" s="203">
        <v>3.2658110983577113E-2</v>
      </c>
      <c r="AA685" s="200">
        <v>3.2168544856761017E-2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43622</v>
      </c>
      <c r="Y686" s="202">
        <f>_xll.qlInterestRateIndexValueDate(IborIndex,X686,Trigger)</f>
        <v>43626</v>
      </c>
      <c r="Z686" s="203">
        <v>3.2715075565142811E-2</v>
      </c>
      <c r="AA686" s="200">
        <v>3.2226506230701446E-2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43629</v>
      </c>
      <c r="Y687" s="202">
        <f>_xll.qlInterestRateIndexValueDate(IborIndex,X687,Trigger)</f>
        <v>43633</v>
      </c>
      <c r="Z687" s="203">
        <v>3.2771752036240859E-2</v>
      </c>
      <c r="AA687" s="200">
        <v>3.2284330314862331E-2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43636</v>
      </c>
      <c r="Y688" s="202">
        <f>_xll.qlInterestRateIndexValueDate(IborIndex,X688,Trigger)</f>
        <v>43640</v>
      </c>
      <c r="Z688" s="203">
        <v>3.2828123923671917E-2</v>
      </c>
      <c r="AA688" s="200">
        <v>3.234201710924367E-2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43643</v>
      </c>
      <c r="Y689" s="202">
        <f>_xll.qlInterestRateIndexValueDate(IborIndex,X689,Trigger)</f>
        <v>43647</v>
      </c>
      <c r="Z689" s="203">
        <v>3.2884174753364324E-2</v>
      </c>
      <c r="AA689" s="200">
        <v>3.2405130019181883E-2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43650</v>
      </c>
      <c r="Y690" s="202">
        <f>_xll.qlInterestRateIndexValueDate(IborIndex,X690,Trigger)</f>
        <v>43654</v>
      </c>
      <c r="Z690" s="203">
        <v>3.2939888050384482E-2</v>
      </c>
      <c r="AA690" s="200">
        <v>3.2456964961680157E-2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43657</v>
      </c>
      <c r="Y691" s="202">
        <f>_xll.qlInterestRateIndexValueDate(IborIndex,X691,Trigger)</f>
        <v>43661</v>
      </c>
      <c r="Z691" s="203">
        <v>3.2995250082531798E-2</v>
      </c>
      <c r="AA691" s="200">
        <v>3.2514055976475831E-2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43664</v>
      </c>
      <c r="Y692" s="202">
        <f>_xll.qlInterestRateIndexValueDate(IborIndex,X692,Trigger)</f>
        <v>43668</v>
      </c>
      <c r="Z692" s="203">
        <v>3.3050258091384954E-2</v>
      </c>
      <c r="AA692" s="200">
        <v>3.2570795140163256E-2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43671</v>
      </c>
      <c r="Y693" s="202">
        <f>_xll.qlInterestRateIndexValueDate(IborIndex,X693,Trigger)</f>
        <v>43675</v>
      </c>
      <c r="Z693" s="203">
        <v>3.3104912062116687E-2</v>
      </c>
      <c r="AA693" s="200">
        <v>3.2627182452502623E-2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43678</v>
      </c>
      <c r="Y694" s="202">
        <f>_xll.qlInterestRateIndexValueDate(IborIndex,X694,Trigger)</f>
        <v>43682</v>
      </c>
      <c r="Z694" s="203">
        <v>3.3159211979995294E-2</v>
      </c>
      <c r="AA694" s="200">
        <v>3.2683217913334062E-2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43685</v>
      </c>
      <c r="Y695" s="202">
        <f>_xll.qlInterestRateIndexValueDate(IborIndex,X695,Trigger)</f>
        <v>43689</v>
      </c>
      <c r="Z695" s="203">
        <v>3.3213157830385531E-2</v>
      </c>
      <c r="AA695" s="200">
        <v>3.2738901522497699E-2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43692</v>
      </c>
      <c r="Y696" s="202">
        <f>_xll.qlInterestRateIndexValueDate(IborIndex,X696,Trigger)</f>
        <v>43696</v>
      </c>
      <c r="Z696" s="203">
        <v>3.3266749598745114E-2</v>
      </c>
      <c r="AA696" s="200">
        <v>3.2794233279753726E-2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43699</v>
      </c>
      <c r="Y697" s="202">
        <f>_xll.qlInterestRateIndexValueDate(IborIndex,X697,Trigger)</f>
        <v>43704</v>
      </c>
      <c r="Z697" s="203">
        <v>3.3327563745652967E-2</v>
      </c>
      <c r="AA697" s="200">
        <v>3.2857038734670496E-2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43706</v>
      </c>
      <c r="Y698" s="202">
        <f>_xll.qlInterestRateIndexValueDate(IborIndex,X698,Trigger)</f>
        <v>43711</v>
      </c>
      <c r="Z698" s="203">
        <v>3.3375147095096792E-2</v>
      </c>
      <c r="AA698" s="200">
        <v>3.2911616523199072E-2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43713</v>
      </c>
      <c r="Y699" s="202">
        <f>_xll.qlInterestRateIndexValueDate(IborIndex,X699,Trigger)</f>
        <v>43717</v>
      </c>
      <c r="Z699" s="203">
        <v>3.3420168167373608E-2</v>
      </c>
      <c r="AA699" s="200">
        <v>3.2958117439036982E-2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43720</v>
      </c>
      <c r="Y700" s="202">
        <f>_xll.qlInterestRateIndexValueDate(IborIndex,X700,Trigger)</f>
        <v>43724</v>
      </c>
      <c r="Z700" s="203">
        <v>3.3472363931813E-2</v>
      </c>
      <c r="AA700" s="200">
        <v>3.3012041787303659E-2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43727</v>
      </c>
      <c r="Y701" s="202">
        <f>_xll.qlInterestRateIndexValueDate(IborIndex,X701,Trigger)</f>
        <v>43731</v>
      </c>
      <c r="Z701" s="203">
        <v>3.3524205569277613E-2</v>
      </c>
      <c r="AA701" s="200">
        <v>3.3065614283023237E-2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43734</v>
      </c>
      <c r="Y702" s="202">
        <f>_xll.qlInterestRateIndexValueDate(IborIndex,X702,Trigger)</f>
        <v>43738</v>
      </c>
      <c r="Z702" s="203">
        <v>3.3580863683980673E-2</v>
      </c>
      <c r="AA702" s="200">
        <v>3.3118834925875973E-2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43741</v>
      </c>
      <c r="Y703" s="202">
        <f>_xll.qlInterestRateIndexValueDate(IborIndex,X703,Trigger)</f>
        <v>43745</v>
      </c>
      <c r="Z703" s="203">
        <v>3.3631976478986712E-2</v>
      </c>
      <c r="AA703" s="200">
        <v>3.3171703715861867E-2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43748</v>
      </c>
      <c r="Y704" s="202">
        <f>_xll.qlInterestRateIndexValueDate(IborIndex,X704,Trigger)</f>
        <v>43753</v>
      </c>
      <c r="Z704" s="203">
        <v>3.3689957392979322E-2</v>
      </c>
      <c r="AA704" s="200">
        <v>3.3231694349522556E-2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43755</v>
      </c>
      <c r="Y705" s="202">
        <f>_xll.qlInterestRateIndexValueDate(IborIndex,X705,Trigger)</f>
        <v>43759</v>
      </c>
      <c r="Z705" s="203">
        <v>3.3733139470537389E-2</v>
      </c>
      <c r="AA705" s="200">
        <v>3.3276385736273895E-2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43762</v>
      </c>
      <c r="Y706" s="202">
        <f>_xll.qlInterestRateIndexValueDate(IborIndex,X706,Trigger)</f>
        <v>43766</v>
      </c>
      <c r="Z706" s="203">
        <v>3.37831896398108E-2</v>
      </c>
      <c r="AA706" s="200">
        <v>3.3328198966460221E-2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43769</v>
      </c>
      <c r="Y707" s="202">
        <f>_xll.qlInterestRateIndexValueDate(IborIndex,X707,Trigger)</f>
        <v>43773</v>
      </c>
      <c r="Z707" s="203">
        <v>3.3832885573395602E-2</v>
      </c>
      <c r="AA707" s="200">
        <v>3.3379660342980344E-2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43776</v>
      </c>
      <c r="Y708" s="202">
        <f>_xll.qlInterestRateIndexValueDate(IborIndex,X708,Trigger)</f>
        <v>43781</v>
      </c>
      <c r="Z708" s="203">
        <v>3.3889247150894621E-2</v>
      </c>
      <c r="AA708" s="200">
        <v>3.3438042503526333E-2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43783</v>
      </c>
      <c r="Y709" s="202">
        <f>_xll.qlInterestRateIndexValueDate(IborIndex,X709,Trigger)</f>
        <v>43787</v>
      </c>
      <c r="Z709" s="203">
        <v>3.3931214680003041E-2</v>
      </c>
      <c r="AA709" s="200">
        <v>3.348152753486211E-2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43790</v>
      </c>
      <c r="Y710" s="202">
        <f>_xll.qlInterestRateIndexValueDate(IborIndex,X710,Trigger)</f>
        <v>43794</v>
      </c>
      <c r="Z710" s="203">
        <v>3.3979847826519062E-2</v>
      </c>
      <c r="AA710" s="200">
        <v>3.3537081391377122E-2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43797</v>
      </c>
      <c r="Y711" s="202">
        <f>_xll.qlInterestRateIndexValueDate(IborIndex,X711,Trigger)</f>
        <v>43801</v>
      </c>
      <c r="Z711" s="203">
        <v>3.4023141966041559E-2</v>
      </c>
      <c r="AA711" s="200">
        <v>3.3581987310720152E-2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43804</v>
      </c>
      <c r="Y712" s="202">
        <f>_xll.qlInterestRateIndexValueDate(IborIndex,X712,Trigger)</f>
        <v>43808</v>
      </c>
      <c r="Z712" s="203">
        <v>3.4071087315241839E-2</v>
      </c>
      <c r="AA712" s="200">
        <v>3.3631689417230604E-2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43811</v>
      </c>
      <c r="Y713" s="202">
        <f>_xll.qlInterestRateIndexValueDate(IborIndex,X713,Trigger)</f>
        <v>43815</v>
      </c>
      <c r="Z713" s="203">
        <v>3.4118678377820101E-2</v>
      </c>
      <c r="AA713" s="200">
        <v>3.3681039669275492E-2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43818</v>
      </c>
      <c r="Y714" s="202">
        <f>_xll.qlInterestRateIndexValueDate(IborIndex,X714,Trigger)</f>
        <v>43822</v>
      </c>
      <c r="Z714" s="203">
        <v>3.4165915141087591E-2</v>
      </c>
      <c r="AA714" s="200">
        <v>3.3737009114913619E-2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43826</v>
      </c>
      <c r="Y715" s="202">
        <f>_xll.qlInterestRateIndexValueDate(IborIndex,X715,Trigger)</f>
        <v>43830</v>
      </c>
      <c r="Z715" s="203">
        <v>3.4219466161344886E-2</v>
      </c>
      <c r="AA715" s="200">
        <v>3.3802596458842871E-2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43833</v>
      </c>
      <c r="Y716" s="202">
        <f>_xll.qlInterestRateIndexValueDate(IborIndex,X716,Trigger)</f>
        <v>43837</v>
      </c>
      <c r="Z716" s="203">
        <v>3.4265943669506117E-2</v>
      </c>
      <c r="AA716" s="200">
        <v>3.3833849815492201E-2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43840</v>
      </c>
      <c r="Y717" s="202">
        <f>_xll.qlInterestRateIndexValueDate(IborIndex,X717,Trigger)</f>
        <v>43844</v>
      </c>
      <c r="Z717" s="203">
        <v>3.4312066839083381E-2</v>
      </c>
      <c r="AA717" s="200">
        <v>3.3881742383243818E-2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43847</v>
      </c>
      <c r="Y718" s="202">
        <f>_xll.qlInterestRateIndexValueDate(IborIndex,X718,Trigger)</f>
        <v>43851</v>
      </c>
      <c r="Z718" s="203">
        <v>3.4357835657778828E-2</v>
      </c>
      <c r="AA718" s="200">
        <v>3.3929283095890383E-2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43854</v>
      </c>
      <c r="Y719" s="202">
        <f>_xll.qlInterestRateIndexValueDate(IborIndex,X719,Trigger)</f>
        <v>43858</v>
      </c>
      <c r="Z719" s="203">
        <v>3.4403250113385943E-2</v>
      </c>
      <c r="AA719" s="200">
        <v>3.3976471953192089E-2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43861</v>
      </c>
      <c r="Y720" s="202">
        <f>_xll.qlInterestRateIndexValueDate(IborIndex,X720,Trigger)</f>
        <v>43865</v>
      </c>
      <c r="Z720" s="203">
        <v>3.4448310193795739E-2</v>
      </c>
      <c r="AA720" s="200">
        <v>3.4023308954909126E-2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43868</v>
      </c>
      <c r="Y721" s="202">
        <f>_xll.qlInterestRateIndexValueDate(IborIndex,X721,Trigger)</f>
        <v>43872</v>
      </c>
      <c r="Z721" s="203">
        <v>3.4488241675385112E-2</v>
      </c>
      <c r="AA721" s="200">
        <v>3.4069794101121431E-2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43875</v>
      </c>
      <c r="Y722" s="202">
        <f>_xll.qlInterestRateIndexValueDate(IborIndex,X722,Trigger)</f>
        <v>43879</v>
      </c>
      <c r="Z722" s="203">
        <v>3.4532614049071597E-2</v>
      </c>
      <c r="AA722" s="200">
        <v>3.4115927391589196E-2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43882</v>
      </c>
      <c r="Y723" s="202">
        <f>_xll.qlInterestRateIndexValueDate(IborIndex,X723,Trigger)</f>
        <v>43886</v>
      </c>
      <c r="Z723" s="203">
        <v>3.4581364064141813E-2</v>
      </c>
      <c r="AA723" s="200">
        <v>3.4161708826152548E-2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43889</v>
      </c>
      <c r="Y724" s="202">
        <f>_xll.qlInterestRateIndexValueDate(IborIndex,X724,Trigger)</f>
        <v>43893</v>
      </c>
      <c r="Z724" s="203">
        <v>3.4629715687373261E-2</v>
      </c>
      <c r="AA724" s="200">
        <v>3.4207138404651616E-2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43896</v>
      </c>
      <c r="Y725" s="202">
        <f>_xll.qlInterestRateIndexValueDate(IborIndex,X725,Trigger)</f>
        <v>43900</v>
      </c>
      <c r="Z725" s="203">
        <v>3.4672982541720389E-2</v>
      </c>
      <c r="AA725" s="200">
        <v>3.4252216127086399E-2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43903</v>
      </c>
      <c r="Y726" s="202">
        <f>_xll.qlInterestRateIndexValueDate(IborIndex,X726,Trigger)</f>
        <v>43907</v>
      </c>
      <c r="Z726" s="203">
        <v>3.471589492049254E-2</v>
      </c>
      <c r="AA726" s="200">
        <v>3.4296941993297025E-2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43910</v>
      </c>
      <c r="Y727" s="202">
        <f>_xll.qlInterestRateIndexValueDate(IborIndex,X727,Trigger)</f>
        <v>43914</v>
      </c>
      <c r="Z727" s="203">
        <v>3.4758452812122434E-2</v>
      </c>
      <c r="AA727" s="200">
        <v>3.4341316002963751E-2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43917</v>
      </c>
      <c r="Y728" s="202">
        <f>_xll.qlInterestRateIndexValueDate(IborIndex,X728,Trigger)</f>
        <v>43921</v>
      </c>
      <c r="Z728" s="203">
        <v>3.4796031907786976E-2</v>
      </c>
      <c r="AA728" s="200">
        <v>3.4385338156166512E-2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43924</v>
      </c>
      <c r="Y729" s="202">
        <f>_xll.qlInterestRateIndexValueDate(IborIndex,X729,Trigger)</f>
        <v>43928</v>
      </c>
      <c r="Z729" s="203">
        <v>3.4837902082003519E-2</v>
      </c>
      <c r="AA729" s="200">
        <v>3.4429008452665499E-2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43935</v>
      </c>
      <c r="Y730" s="202">
        <f>_xll.qlInterestRateIndexValueDate(IborIndex,X730,Trigger)</f>
        <v>43937</v>
      </c>
      <c r="Z730" s="203">
        <v>3.4891213108021825E-2</v>
      </c>
      <c r="AA730" s="200">
        <v>3.4496922310003342E-2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43942</v>
      </c>
      <c r="Y731" s="202">
        <f>_xll.qlInterestRateIndexValueDate(IborIndex,X731,Trigger)</f>
        <v>43944</v>
      </c>
      <c r="Z731" s="203">
        <v>3.4932267602857628E-2</v>
      </c>
      <c r="AA731" s="200">
        <v>3.4539687831607324E-2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43949</v>
      </c>
      <c r="Y732" s="202">
        <f>_xll.qlInterestRateIndexValueDate(IborIndex,X732,Trigger)</f>
        <v>43951</v>
      </c>
      <c r="Z732" s="203">
        <v>3.4977490458810663E-2</v>
      </c>
      <c r="AA732" s="200">
        <v>3.4582101496187789E-2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43956</v>
      </c>
      <c r="Y733" s="202">
        <f>_xll.qlInterestRateIndexValueDate(IborIndex,X733,Trigger)</f>
        <v>43958</v>
      </c>
      <c r="Z733" s="203">
        <v>3.5017794564626066E-2</v>
      </c>
      <c r="AA733" s="200">
        <v>3.4624163303504929E-2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43963</v>
      </c>
      <c r="Y734" s="202">
        <f>_xll.qlInterestRateIndexValueDate(IborIndex,X734,Trigger)</f>
        <v>43965</v>
      </c>
      <c r="Z734" s="203">
        <v>3.5057729647488406E-2</v>
      </c>
      <c r="AA734" s="200">
        <v>3.4665873253398871E-2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43970</v>
      </c>
      <c r="Y735" s="202">
        <f>_xll.qlInterestRateIndexValueDate(IborIndex,X735,Trigger)</f>
        <v>43972</v>
      </c>
      <c r="Z735" s="203">
        <v>3.5097292432376553E-2</v>
      </c>
      <c r="AA735" s="200">
        <v>3.4713110921655854E-2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43977</v>
      </c>
      <c r="Y736" s="202">
        <f>_xll.qlInterestRateIndexValueDate(IborIndex,X736,Trigger)</f>
        <v>43979</v>
      </c>
      <c r="Z736" s="203">
        <v>3.5136479644245926E-2</v>
      </c>
      <c r="AA736" s="200">
        <v>3.4748237580677355E-2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43984</v>
      </c>
      <c r="Y737" s="202">
        <f>_xll.qlInterestRateIndexValueDate(IborIndex,X737,Trigger)</f>
        <v>43986</v>
      </c>
      <c r="Z737" s="203">
        <v>3.517528800802501E-2</v>
      </c>
      <c r="AA737" s="200">
        <v>3.4788891957822088E-2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43991</v>
      </c>
      <c r="Y738" s="202">
        <f>_xll.qlInterestRateIndexValueDate(IborIndex,X738,Trigger)</f>
        <v>43993</v>
      </c>
      <c r="Z738" s="203">
        <v>3.5213714248626647E-2</v>
      </c>
      <c r="AA738" s="200">
        <v>3.4829194477064007E-2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43998</v>
      </c>
      <c r="Y739" s="202">
        <f>_xll.qlInterestRateIndexValueDate(IborIndex,X739,Trigger)</f>
        <v>44000</v>
      </c>
      <c r="Z739" s="203">
        <v>3.5251755090944567E-2</v>
      </c>
      <c r="AA739" s="200">
        <v>3.4869145138323177E-2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44005</v>
      </c>
      <c r="Y740" s="202">
        <f>_xll.qlInterestRateIndexValueDate(IborIndex,X740,Trigger)</f>
        <v>44007</v>
      </c>
      <c r="Z740" s="203">
        <v>3.5289407259858581E-2</v>
      </c>
      <c r="AA740" s="200">
        <v>3.490874394151966E-2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44012</v>
      </c>
      <c r="Y741" s="202">
        <f>_xll.qlInterestRateIndexValueDate(IborIndex,X741,Trigger)</f>
        <v>44014</v>
      </c>
      <c r="Z741" s="203">
        <v>3.5326667480240714E-2</v>
      </c>
      <c r="AA741" s="200">
        <v>3.4953568725244466E-2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44019</v>
      </c>
      <c r="Y742" s="202">
        <f>_xll.qlInterestRateIndexValueDate(IborIndex,X742,Trigger)</f>
        <v>44021</v>
      </c>
      <c r="Z742" s="203">
        <v>3.5363532489639769E-2</v>
      </c>
      <c r="AA742" s="200">
        <v>3.4986867606336958E-2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44026</v>
      </c>
      <c r="Y743" s="202">
        <f>_xll.qlInterestRateIndexValueDate(IborIndex,X743,Trigger)</f>
        <v>44028</v>
      </c>
      <c r="Z743" s="203">
        <v>3.5400000131073341E-2</v>
      </c>
      <c r="AA743" s="200">
        <v>3.5025350093693675E-2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44033</v>
      </c>
      <c r="Y744" s="202">
        <f>_xll.qlInterestRateIndexValueDate(IborIndex,X744,Trigger)</f>
        <v>44035</v>
      </c>
      <c r="Z744" s="203">
        <v>3.5436070195267955E-2</v>
      </c>
      <c r="AA744" s="200">
        <v>3.5063438203719599E-2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44040</v>
      </c>
      <c r="Y745" s="202">
        <f>_xll.qlInterestRateIndexValueDate(IborIndex,X745,Trigger)</f>
        <v>44042</v>
      </c>
      <c r="Z745" s="203">
        <v>3.5471742671321894E-2</v>
      </c>
      <c r="AA745" s="200">
        <v>3.5101131936574603E-2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44047</v>
      </c>
      <c r="Y746" s="202">
        <f>_xll.qlInterestRateIndexValueDate(IborIndex,X746,Trigger)</f>
        <v>44049</v>
      </c>
      <c r="Z746" s="203">
        <v>3.5507017548452487E-2</v>
      </c>
      <c r="AA746" s="200">
        <v>3.5138431291938943E-2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44054</v>
      </c>
      <c r="Y747" s="202">
        <f>_xll.qlInterestRateIndexValueDate(IborIndex,X747,Trigger)</f>
        <v>44056</v>
      </c>
      <c r="Z747" s="203">
        <v>3.5541894815996948E-2</v>
      </c>
      <c r="AA747" s="200">
        <v>3.5175336269652746E-2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44061</v>
      </c>
      <c r="Y748" s="202">
        <f>_xll.qlInterestRateIndexValueDate(IborIndex,X748,Trigger)</f>
        <v>44063</v>
      </c>
      <c r="Z748" s="203">
        <v>3.5576374463415897E-2</v>
      </c>
      <c r="AA748" s="200">
        <v>3.5211846869716013E-2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44068</v>
      </c>
      <c r="Y749" s="202">
        <f>_xll.qlInterestRateIndexValueDate(IborIndex,X749,Trigger)</f>
        <v>44070</v>
      </c>
      <c r="Z749" s="203">
        <v>3.5610456480287218E-2</v>
      </c>
      <c r="AA749" s="200">
        <v>3.5247963091888934E-2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44075</v>
      </c>
      <c r="Y750" s="202">
        <f>_xll.qlInterestRateIndexValueDate(IborIndex,X750,Trigger)</f>
        <v>44077</v>
      </c>
      <c r="Z750" s="203">
        <v>3.5640050971502364E-2</v>
      </c>
      <c r="AA750" s="200">
        <v>3.528875586273017E-2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44082</v>
      </c>
      <c r="Y751" s="202">
        <f>_xll.qlInterestRateIndexValueDate(IborIndex,X751,Trigger)</f>
        <v>44084</v>
      </c>
      <c r="Z751" s="203">
        <v>3.567336281619516E-2</v>
      </c>
      <c r="AA751" s="200">
        <v>3.5319012402483807E-2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44089</v>
      </c>
      <c r="Y752" s="202">
        <f>_xll.qlInterestRateIndexValueDate(IborIndex,X752,Trigger)</f>
        <v>44091</v>
      </c>
      <c r="Z752" s="203">
        <v>3.5706277036711732E-2</v>
      </c>
      <c r="AA752" s="200">
        <v>3.5353945490506078E-2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44096</v>
      </c>
      <c r="Y753" s="202">
        <f>_xll.qlInterestRateIndexValueDate(IborIndex,X753,Trigger)</f>
        <v>44098</v>
      </c>
      <c r="Z753" s="203">
        <v>3.5738793623212917E-2</v>
      </c>
      <c r="AA753" s="200">
        <v>3.538848420031826E-2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44103</v>
      </c>
      <c r="Y754" s="202">
        <f>_xll.qlInterestRateIndexValueDate(IborIndex,X754,Trigger)</f>
        <v>44105</v>
      </c>
      <c r="Z754" s="203">
        <v>3.5786856396522598E-2</v>
      </c>
      <c r="AA754" s="200">
        <v>3.5422628531680544E-2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44110</v>
      </c>
      <c r="Y755" s="202">
        <f>_xll.qlInterestRateIndexValueDate(IborIndex,X755,Trigger)</f>
        <v>44112</v>
      </c>
      <c r="Z755" s="203">
        <v>3.5806597771526449E-2</v>
      </c>
      <c r="AA755" s="200">
        <v>3.5461167712247388E-2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44117</v>
      </c>
      <c r="Y756" s="202">
        <f>_xll.qlInterestRateIndexValueDate(IborIndex,X756,Trigger)</f>
        <v>44119</v>
      </c>
      <c r="Z756" s="203">
        <v>3.5837896092846315E-2</v>
      </c>
      <c r="AA756" s="200">
        <v>3.5489734058815614E-2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44124</v>
      </c>
      <c r="Y757" s="202">
        <f>_xll.qlInterestRateIndexValueDate(IborIndex,X757,Trigger)</f>
        <v>44126</v>
      </c>
      <c r="Z757" s="203">
        <v>3.5868796704570494E-2</v>
      </c>
      <c r="AA757" s="200">
        <v>3.5522695254348591E-2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44131</v>
      </c>
      <c r="Y758" s="202">
        <f>_xll.qlInterestRateIndexValueDate(IborIndex,X758,Trigger)</f>
        <v>44133</v>
      </c>
      <c r="Z758" s="203">
        <v>3.5899299597358623E-2</v>
      </c>
      <c r="AA758" s="200">
        <v>3.5555262070952054E-2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44138</v>
      </c>
      <c r="Y759" s="202">
        <f>_xll.qlInterestRateIndexValueDate(IborIndex,X759,Trigger)</f>
        <v>44140</v>
      </c>
      <c r="Z759" s="203">
        <v>3.5929404761989393E-2</v>
      </c>
      <c r="AA759" s="200">
        <v>3.558743450870594E-2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44145</v>
      </c>
      <c r="Y760" s="202">
        <f>_xll.qlInterestRateIndexValueDate(IborIndex,X760,Trigger)</f>
        <v>44147</v>
      </c>
      <c r="Z760" s="203">
        <v>3.5959112189364852E-2</v>
      </c>
      <c r="AA760" s="200">
        <v>3.5619212567450376E-2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44152</v>
      </c>
      <c r="Y761" s="202">
        <f>_xll.qlInterestRateIndexValueDate(IborIndex,X761,Trigger)</f>
        <v>44154</v>
      </c>
      <c r="Z761" s="203">
        <v>3.5988421870503495E-2</v>
      </c>
      <c r="AA761" s="200">
        <v>3.5650596246945554E-2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44159</v>
      </c>
      <c r="Y762" s="202">
        <f>_xll.qlInterestRateIndexValueDate(IborIndex,X762,Trigger)</f>
        <v>44162</v>
      </c>
      <c r="Z762" s="203">
        <v>3.6017649261350405E-2</v>
      </c>
      <c r="AA762" s="200">
        <v>3.5685980395836481E-2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44166</v>
      </c>
      <c r="Y763" s="202">
        <f>_xll.qlInterestRateIndexValueDate(IborIndex,X763,Trigger)</f>
        <v>44168</v>
      </c>
      <c r="Z763" s="203">
        <v>3.6038324920749432E-2</v>
      </c>
      <c r="AA763" s="200">
        <v>3.5712180468028265E-2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44173</v>
      </c>
      <c r="Y764" s="202">
        <f>_xll.qlInterestRateIndexValueDate(IborIndex,X764,Trigger)</f>
        <v>44175</v>
      </c>
      <c r="Z764" s="203">
        <v>3.6066492519534421E-2</v>
      </c>
      <c r="AA764" s="200">
        <v>3.5742381009455926E-2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44180</v>
      </c>
      <c r="Y765" s="202">
        <f>_xll.qlInterestRateIndexValueDate(IborIndex,X765,Trigger)</f>
        <v>44182</v>
      </c>
      <c r="Z765" s="203">
        <v>3.6094262413590705E-2</v>
      </c>
      <c r="AA765" s="200">
        <v>3.5772187171314584E-2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44187</v>
      </c>
      <c r="Y766" s="202">
        <f>_xll.qlInterestRateIndexValueDate(IborIndex,X766,Trigger)</f>
        <v>44189</v>
      </c>
      <c r="Z766" s="203">
        <v>3.6121634594707075E-2</v>
      </c>
      <c r="AA766" s="200">
        <v>3.5805768442358499E-2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44194</v>
      </c>
      <c r="Y767" s="202">
        <f>_xll.qlInterestRateIndexValueDate(IborIndex,X767,Trigger)</f>
        <v>44196</v>
      </c>
      <c r="Z767" s="203">
        <v>3.6148609054788672E-2</v>
      </c>
      <c r="AA767" s="200">
        <v>3.5834729504866658E-2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44201</v>
      </c>
      <c r="Y768" s="202">
        <f>_xll.qlInterestRateIndexValueDate(IborIndex,X768,Trigger)</f>
        <v>44203</v>
      </c>
      <c r="Z768" s="203">
        <v>3.6175185785860542E-2</v>
      </c>
      <c r="AA768" s="200">
        <v>3.5859239378517316E-2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44208</v>
      </c>
      <c r="Y769" s="202">
        <f>_xll.qlInterestRateIndexValueDate(IborIndex,X769,Trigger)</f>
        <v>44210</v>
      </c>
      <c r="Z769" s="203">
        <v>3.6201364780061418E-2</v>
      </c>
      <c r="AA769" s="200">
        <v>3.5891468490056866E-2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44215</v>
      </c>
      <c r="Y770" s="202">
        <f>_xll.qlInterestRateIndexValueDate(IborIndex,X770,Trigger)</f>
        <v>44217</v>
      </c>
      <c r="Z770" s="203">
        <v>3.6227146029650825E-2</v>
      </c>
      <c r="AA770" s="200">
        <v>3.5915302283715533E-2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44222</v>
      </c>
      <c r="Y771" s="202">
        <f>_xll.qlInterestRateIndexValueDate(IborIndex,X771,Trigger)</f>
        <v>44224</v>
      </c>
      <c r="Z771" s="203">
        <v>3.625252952700464E-2</v>
      </c>
      <c r="AA771" s="200">
        <v>3.5942742166241715E-2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44229</v>
      </c>
      <c r="Y772" s="202">
        <f>_xll.qlInterestRateIndexValueDate(IborIndex,X772,Trigger)</f>
        <v>44231</v>
      </c>
      <c r="Z772" s="203">
        <v>3.6273982202912232E-2</v>
      </c>
      <c r="AA772" s="200">
        <v>3.5969787668399533E-2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44236</v>
      </c>
      <c r="Y773" s="202">
        <f>_xll.qlInterestRateIndexValueDate(IborIndex,X773,Trigger)</f>
        <v>44238</v>
      </c>
      <c r="Z773" s="203">
        <v>3.6298596115916203E-2</v>
      </c>
      <c r="AA773" s="200">
        <v>3.6000213899214373E-2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44243</v>
      </c>
      <c r="Y774" s="202">
        <f>_xll.qlInterestRateIndexValueDate(IborIndex,X774,Trigger)</f>
        <v>44245</v>
      </c>
      <c r="Z774" s="203">
        <v>3.632281229331303E-2</v>
      </c>
      <c r="AA774" s="200">
        <v>3.6022695531929827E-2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44250</v>
      </c>
      <c r="Y775" s="202">
        <f>_xll.qlInterestRateIndexValueDate(IborIndex,X775,Trigger)</f>
        <v>44252</v>
      </c>
      <c r="Z775" s="203">
        <v>3.6346630728020732E-2</v>
      </c>
      <c r="AA775" s="200">
        <v>3.6048557892982558E-2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44257</v>
      </c>
      <c r="Y776" s="202">
        <f>_xll.qlInterestRateIndexValueDate(IborIndex,X776,Trigger)</f>
        <v>44259</v>
      </c>
      <c r="Z776" s="203">
        <v>3.6380331800837155E-2</v>
      </c>
      <c r="AA776" s="200">
        <v>3.6074025873427118E-2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44264</v>
      </c>
      <c r="Y777" s="202">
        <f>_xll.qlInterestRateIndexValueDate(IborIndex,X777,Trigger)</f>
        <v>44266</v>
      </c>
      <c r="Z777" s="203">
        <v>3.6403276419036477E-2</v>
      </c>
      <c r="AA777" s="200">
        <v>3.6099099473183571E-2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44271</v>
      </c>
      <c r="Y778" s="202">
        <f>_xll.qlInterestRateIndexValueDate(IborIndex,X778,Trigger)</f>
        <v>44273</v>
      </c>
      <c r="Z778" s="203">
        <v>3.642582315673594E-2</v>
      </c>
      <c r="AA778" s="200">
        <v>3.6123778692331854E-2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44278</v>
      </c>
      <c r="Y779" s="202">
        <f>_xll.qlInterestRateIndexValueDate(IborIndex,X779,Trigger)</f>
        <v>44280</v>
      </c>
      <c r="Z779" s="203">
        <v>3.6447972007119273E-2</v>
      </c>
      <c r="AA779" s="200">
        <v>3.6148063530632157E-2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44285</v>
      </c>
      <c r="Y780" s="202">
        <f>_xll.qlInterestRateIndexValueDate(IborIndex,X780,Trigger)</f>
        <v>44287</v>
      </c>
      <c r="Z780" s="203">
        <v>3.6466403100427917E-2</v>
      </c>
      <c r="AA780" s="200">
        <v>3.6171953988004546E-2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44292</v>
      </c>
      <c r="Y781" s="202">
        <f>_xll.qlInterestRateIndexValueDate(IborIndex,X781,Trigger)</f>
        <v>44294</v>
      </c>
      <c r="Z781" s="203">
        <v>3.6487782440617983E-2</v>
      </c>
      <c r="AA781" s="200">
        <v>3.6195450064369084E-2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44299</v>
      </c>
      <c r="Y782" s="202">
        <f>_xll.qlInterestRateIndexValueDate(IborIndex,X782,Trigger)</f>
        <v>44301</v>
      </c>
      <c r="Z782" s="203">
        <v>3.6508773517352378E-2</v>
      </c>
      <c r="AA782" s="200">
        <v>3.621855175972577E-2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44306</v>
      </c>
      <c r="Y783" s="202">
        <f>_xll.qlInterestRateIndexValueDate(IborIndex,X783,Trigger)</f>
        <v>44308</v>
      </c>
      <c r="Z783" s="203">
        <v>3.6529411012890797E-2</v>
      </c>
      <c r="AA783" s="200">
        <v>3.6241259073994669E-2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44313</v>
      </c>
      <c r="Y784" s="202">
        <f>_xll.qlInterestRateIndexValueDate(IborIndex,X784,Trigger)</f>
        <v>44315</v>
      </c>
      <c r="Z784" s="203">
        <v>3.6549733678026594E-2</v>
      </c>
      <c r="AA784" s="200">
        <v>3.626357200701591E-2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44320</v>
      </c>
      <c r="Y785" s="202">
        <f>_xll.qlInterestRateIndexValueDate(IborIndex,X785,Trigger)</f>
        <v>44322</v>
      </c>
      <c r="Z785" s="203">
        <v>3.6573012100264111E-2</v>
      </c>
      <c r="AA785" s="200">
        <v>3.6285490558709554E-2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44327</v>
      </c>
      <c r="Y786" s="202">
        <f>_xll.qlInterestRateIndexValueDate(IborIndex,X786,Trigger)</f>
        <v>44329</v>
      </c>
      <c r="Z786" s="203">
        <v>3.6592816202130354E-2</v>
      </c>
      <c r="AA786" s="200">
        <v>3.6307014729075604E-2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44334</v>
      </c>
      <c r="Y787" s="202">
        <f>_xll.qlInterestRateIndexValueDate(IborIndex,X787,Trigger)</f>
        <v>44336</v>
      </c>
      <c r="Z787" s="203">
        <v>3.6612425022234531E-2</v>
      </c>
      <c r="AA787" s="200">
        <v>3.6328144518114058E-2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44341</v>
      </c>
      <c r="Y788" s="202">
        <f>_xll.qlInterestRateIndexValueDate(IborIndex,X788,Trigger)</f>
        <v>44343</v>
      </c>
      <c r="Z788" s="203">
        <v>3.6631876897333021E-2</v>
      </c>
      <c r="AA788" s="200">
        <v>3.6351809932222423E-2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44348</v>
      </c>
      <c r="Y789" s="202">
        <f>_xll.qlInterestRateIndexValueDate(IborIndex,X789,Trigger)</f>
        <v>44350</v>
      </c>
      <c r="Z789" s="203">
        <v>3.6651210164960708E-2</v>
      </c>
      <c r="AA789" s="200">
        <v>3.6369220951488757E-2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44355</v>
      </c>
      <c r="Y790" s="202">
        <f>_xll.qlInterestRateIndexValueDate(IborIndex,X790,Trigger)</f>
        <v>44357</v>
      </c>
      <c r="Z790" s="203">
        <v>3.6670463163415351E-2</v>
      </c>
      <c r="AA790" s="200">
        <v>3.6389167595825E-2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44362</v>
      </c>
      <c r="Y791" s="202">
        <f>_xll.qlInterestRateIndexValueDate(IborIndex,X791,Trigger)</f>
        <v>44364</v>
      </c>
      <c r="Z791" s="203">
        <v>3.6689674231748882E-2</v>
      </c>
      <c r="AA791" s="200">
        <v>3.6408719858354033E-2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44369</v>
      </c>
      <c r="Y792" s="202">
        <f>_xll.qlInterestRateIndexValueDate(IborIndex,X792,Trigger)</f>
        <v>44371</v>
      </c>
      <c r="Z792" s="203">
        <v>3.6708881709765669E-2</v>
      </c>
      <c r="AA792" s="200">
        <v>3.6427877739315662E-2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44376</v>
      </c>
      <c r="Y793" s="202">
        <f>_xll.qlInterestRateIndexValueDate(IborIndex,X793,Trigger)</f>
        <v>44378</v>
      </c>
      <c r="Z793" s="203">
        <v>3.6728123938010365E-2</v>
      </c>
      <c r="AA793" s="200">
        <v>3.6449289543805108E-2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44383</v>
      </c>
      <c r="Y794" s="202">
        <f>_xll.qlInterestRateIndexValueDate(IborIndex,X794,Trigger)</f>
        <v>44385</v>
      </c>
      <c r="Z794" s="203">
        <v>3.6747439239148888E-2</v>
      </c>
      <c r="AA794" s="200">
        <v>3.646516489148155E-2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44390</v>
      </c>
      <c r="Y795" s="202">
        <f>_xll.qlInterestRateIndexValueDate(IborIndex,X795,Trigger)</f>
        <v>44392</v>
      </c>
      <c r="Z795" s="203">
        <v>3.6766856472450989E-2</v>
      </c>
      <c r="AA795" s="200">
        <v>3.6483781545140204E-2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44397</v>
      </c>
      <c r="Y796" s="202">
        <f>_xll.qlInterestRateIndexValueDate(IborIndex,X796,Trigger)</f>
        <v>44399</v>
      </c>
      <c r="Z796" s="203">
        <v>3.6786379663565183E-2</v>
      </c>
      <c r="AA796" s="200">
        <v>3.6502503086897065E-2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44404</v>
      </c>
      <c r="Y797" s="202">
        <f>_xll.qlInterestRateIndexValueDate(IborIndex,X797,Trigger)</f>
        <v>44406</v>
      </c>
      <c r="Z797" s="203">
        <v>3.6806008814060646E-2</v>
      </c>
      <c r="AA797" s="200">
        <v>3.6521329516672196E-2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44411</v>
      </c>
      <c r="Y798" s="202">
        <f>_xll.qlInterestRateIndexValueDate(IborIndex,X798,Trigger)</f>
        <v>44413</v>
      </c>
      <c r="Z798" s="203">
        <v>3.6825743925516977E-2</v>
      </c>
      <c r="AA798" s="200">
        <v>3.6540260834465599E-2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44418</v>
      </c>
      <c r="Y799" s="202">
        <f>_xll.qlInterestRateIndexValueDate(IborIndex,X799,Trigger)</f>
        <v>44420</v>
      </c>
      <c r="Z799" s="203">
        <v>3.6845584999521619E-2</v>
      </c>
      <c r="AA799" s="200">
        <v>3.6559297040277272E-2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44425</v>
      </c>
      <c r="Y800" s="202">
        <f>_xll.qlInterestRateIndexValueDate(IborIndex,X800,Trigger)</f>
        <v>44427</v>
      </c>
      <c r="Z800" s="203">
        <v>3.6865532037669797E-2</v>
      </c>
      <c r="AA800" s="200">
        <v>3.6578438134267088E-2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44432</v>
      </c>
      <c r="Y801" s="202">
        <f>_xll.qlInterestRateIndexValueDate(IborIndex,X801,Trigger)</f>
        <v>44434</v>
      </c>
      <c r="Z801" s="203">
        <v>3.6885585041566332E-2</v>
      </c>
      <c r="AA801" s="200">
        <v>3.6597684116275175E-2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44439</v>
      </c>
      <c r="Y802" s="202">
        <f>_xll.qlInterestRateIndexValueDate(IborIndex,X802,Trigger)</f>
        <v>44441</v>
      </c>
      <c r="Z802" s="203">
        <v>3.6902398516735289E-2</v>
      </c>
      <c r="AA802" s="200">
        <v>3.661980795879316E-2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44446</v>
      </c>
      <c r="Y803" s="202">
        <f>_xll.qlInterestRateIndexValueDate(IborIndex,X803,Trigger)</f>
        <v>44448</v>
      </c>
      <c r="Z803" s="203">
        <v>3.6922653820274348E-2</v>
      </c>
      <c r="AA803" s="200">
        <v>3.6636490744825778E-2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44453</v>
      </c>
      <c r="Y804" s="202">
        <f>_xll.qlInterestRateIndexValueDate(IborIndex,X804,Trigger)</f>
        <v>44455</v>
      </c>
      <c r="Z804" s="203">
        <v>3.6943015082356444E-2</v>
      </c>
      <c r="AA804" s="200">
        <v>3.6656051391208422E-2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44460</v>
      </c>
      <c r="Y805" s="202">
        <f>_xll.qlInterestRateIndexValueDate(IborIndex,X805,Trigger)</f>
        <v>44462</v>
      </c>
      <c r="Z805" s="203">
        <v>3.6963482304601378E-2</v>
      </c>
      <c r="AA805" s="200">
        <v>3.6675716925769208E-2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44467</v>
      </c>
      <c r="Y806" s="202">
        <f>_xll.qlInterestRateIndexValueDate(IborIndex,X806,Trigger)</f>
        <v>44469</v>
      </c>
      <c r="Z806" s="203">
        <v>3.6984055488636862E-2</v>
      </c>
      <c r="AA806" s="200">
        <v>3.6695487348588074E-2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44474</v>
      </c>
      <c r="Y807" s="202">
        <f>_xll.qlInterestRateIndexValueDate(IborIndex,X807,Trigger)</f>
        <v>44476</v>
      </c>
      <c r="Z807" s="203">
        <v>3.7008128436578587E-2</v>
      </c>
      <c r="AA807" s="200">
        <v>3.6718210552066921E-2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44481</v>
      </c>
      <c r="Y808" s="202">
        <f>_xll.qlInterestRateIndexValueDate(IborIndex,X808,Trigger)</f>
        <v>44483</v>
      </c>
      <c r="Z808" s="203">
        <v>3.702892324635098E-2</v>
      </c>
      <c r="AA808" s="200">
        <v>3.673534285884017E-2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44488</v>
      </c>
      <c r="Y809" s="202">
        <f>_xll.qlInterestRateIndexValueDate(IborIndex,X809,Trigger)</f>
        <v>44490</v>
      </c>
      <c r="Z809" s="203">
        <v>3.704982403501425E-2</v>
      </c>
      <c r="AA809" s="200">
        <v>3.67554279462734E-2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44495</v>
      </c>
      <c r="Y810" s="202">
        <f>_xll.qlInterestRateIndexValueDate(IborIndex,X810,Trigger)</f>
        <v>44497</v>
      </c>
      <c r="Z810" s="203">
        <v>3.7070830804248792E-2</v>
      </c>
      <c r="AA810" s="200">
        <v>3.6775617921964709E-2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44502</v>
      </c>
      <c r="Y811" s="202">
        <f>_xll.qlInterestRateIndexValueDate(IborIndex,X811,Trigger)</f>
        <v>44504</v>
      </c>
      <c r="Z811" s="203">
        <v>3.7091943555742829E-2</v>
      </c>
      <c r="AA811" s="200">
        <v>3.6795912785914098E-2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44509</v>
      </c>
      <c r="Y812" s="202">
        <f>_xll.qlInterestRateIndexValueDate(IborIndex,X812,Trigger)</f>
        <v>44512</v>
      </c>
      <c r="Z812" s="203">
        <v>3.7123093295352426E-2</v>
      </c>
      <c r="AA812" s="200">
        <v>3.6819235350833424E-2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44516</v>
      </c>
      <c r="Y813" s="202">
        <f>_xll.qlInterestRateIndexValueDate(IborIndex,X813,Trigger)</f>
        <v>44518</v>
      </c>
      <c r="Z813" s="203">
        <v>3.71344870123161E-2</v>
      </c>
      <c r="AA813" s="200">
        <v>3.6836817178746983E-2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44523</v>
      </c>
      <c r="Y814" s="202">
        <f>_xll.qlInterestRateIndexValueDate(IborIndex,X814,Trigger)</f>
        <v>44526</v>
      </c>
      <c r="Z814" s="203">
        <v>3.7165918083464707E-2</v>
      </c>
      <c r="AA814" s="200">
        <v>3.6860379488370398E-2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44530</v>
      </c>
      <c r="Y815" s="202">
        <f>_xll.qlInterestRateIndexValueDate(IborIndex,X815,Trigger)</f>
        <v>44532</v>
      </c>
      <c r="Z815" s="203">
        <v>3.7170512150535018E-2</v>
      </c>
      <c r="AA815" s="200">
        <v>3.6878141124851993E-2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44537</v>
      </c>
      <c r="Y816" s="202">
        <f>_xll.qlInterestRateIndexValueDate(IborIndex,X816,Trigger)</f>
        <v>44539</v>
      </c>
      <c r="Z816" s="203">
        <v>3.7192135250786684E-2</v>
      </c>
      <c r="AA816" s="200">
        <v>3.689896043041152E-2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44544</v>
      </c>
      <c r="Y817" s="202">
        <f>_xll.qlInterestRateIndexValueDate(IborIndex,X817,Trigger)</f>
        <v>44546</v>
      </c>
      <c r="Z817" s="203">
        <v>3.7213864318982992E-2</v>
      </c>
      <c r="AA817" s="200">
        <v>3.6919884624388999E-2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44551</v>
      </c>
      <c r="Y818" s="202">
        <f>_xll.qlInterestRateIndexValueDate(IborIndex,X818,Trigger)</f>
        <v>44553</v>
      </c>
      <c r="Z818" s="203">
        <v>3.7235699356834573E-2</v>
      </c>
      <c r="AA818" s="200">
        <v>3.69439264236604E-2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44559</v>
      </c>
      <c r="Y819" s="202">
        <f>_xll.qlInterestRateIndexValueDate(IborIndex,X819,Trigger)</f>
        <v>44565</v>
      </c>
      <c r="Z819" s="203">
        <v>3.7273377396892293E-2</v>
      </c>
      <c r="AA819" s="200">
        <v>3.6971137202250759E-2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44566</v>
      </c>
      <c r="Y820" s="202">
        <f>_xll.qlInterestRateIndexValueDate(IborIndex,X820,Trigger)</f>
        <v>44568</v>
      </c>
      <c r="Z820" s="203">
        <v>3.7282845568250345E-2</v>
      </c>
      <c r="AA820" s="200">
        <v>3.6986329221733172E-2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44573</v>
      </c>
      <c r="Y821" s="202">
        <f>_xll.qlInterestRateIndexValueDate(IborIndex,X821,Trigger)</f>
        <v>44575</v>
      </c>
      <c r="Z821" s="203">
        <v>3.7305013664810538E-2</v>
      </c>
      <c r="AA821" s="200">
        <v>3.701074776324198E-2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44580</v>
      </c>
      <c r="Y822" s="202">
        <f>_xll.qlInterestRateIndexValueDate(IborIndex,X822,Trigger)</f>
        <v>44582</v>
      </c>
      <c r="Z822" s="203">
        <v>3.7327287738197157E-2</v>
      </c>
      <c r="AA822" s="200">
        <v>3.7029151573717556E-2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44587</v>
      </c>
      <c r="Y823" s="202">
        <f>_xll.qlInterestRateIndexValueDate(IborIndex,X823,Trigger)</f>
        <v>44589</v>
      </c>
      <c r="Z823" s="203">
        <v>3.7349667790163465E-2</v>
      </c>
      <c r="AA823" s="200">
        <v>3.7050720082456579E-2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44594</v>
      </c>
      <c r="Y824" s="202">
        <f>_xll.qlInterestRateIndexValueDate(IborIndex,X824,Trigger)</f>
        <v>44596</v>
      </c>
      <c r="Z824" s="203">
        <v>3.736859446762468E-2</v>
      </c>
      <c r="AA824" s="200">
        <v>3.7072393479613552E-2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44601</v>
      </c>
      <c r="Y825" s="202">
        <f>_xll.qlInterestRateIndexValueDate(IborIndex,X825,Trigger)</f>
        <v>44603</v>
      </c>
      <c r="Z825" s="203">
        <v>3.7391176577620568E-2</v>
      </c>
      <c r="AA825" s="200">
        <v>3.7094171765348349E-2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44608</v>
      </c>
      <c r="Y826" s="202">
        <f>_xll.qlInterestRateIndexValueDate(IborIndex,X826,Trigger)</f>
        <v>44610</v>
      </c>
      <c r="Z826" s="203">
        <v>3.741386465900811E-2</v>
      </c>
      <c r="AA826" s="200">
        <v>3.7119189669656549E-2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44615</v>
      </c>
      <c r="Y827" s="202">
        <f>_xll.qlInterestRateIndexValueDate(IborIndex,X827,Trigger)</f>
        <v>44617</v>
      </c>
      <c r="Z827" s="203">
        <v>3.7436658713554893E-2</v>
      </c>
      <c r="AA827" s="200">
        <v>3.7138043002471477E-2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44622</v>
      </c>
      <c r="Y828" s="202">
        <f>_xll.qlInterestRateIndexValueDate(IborIndex,X828,Trigger)</f>
        <v>44624</v>
      </c>
      <c r="Z828" s="203">
        <v>3.7477565966453318E-2</v>
      </c>
      <c r="AA828" s="200">
        <v>3.7160135953859808E-2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44629</v>
      </c>
      <c r="Y829" s="202">
        <f>_xll.qlInterestRateIndexValueDate(IborIndex,X829,Trigger)</f>
        <v>44631</v>
      </c>
      <c r="Z829" s="203">
        <v>3.750062176563633E-2</v>
      </c>
      <c r="AA829" s="200">
        <v>3.7182333793905897E-2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44636</v>
      </c>
      <c r="Y830" s="202">
        <f>_xll.qlInterestRateIndexValueDate(IborIndex,X830,Trigger)</f>
        <v>44638</v>
      </c>
      <c r="Z830" s="203">
        <v>3.7523783606257105E-2</v>
      </c>
      <c r="AA830" s="200">
        <v>3.720463652252981E-2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44643</v>
      </c>
      <c r="Y831" s="202">
        <f>_xll.qlInterestRateIndexValueDate(IborIndex,X831,Trigger)</f>
        <v>44645</v>
      </c>
      <c r="Z831" s="203">
        <v>3.7547051490217948E-2</v>
      </c>
      <c r="AA831" s="200">
        <v>3.7227044139891419E-2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44650</v>
      </c>
      <c r="Y832" s="202">
        <f>_xll.qlInterestRateIndexValueDate(IborIndex,X832,Trigger)</f>
        <v>44652</v>
      </c>
      <c r="Z832" s="203">
        <v>3.7559497734893768E-2</v>
      </c>
      <c r="AA832" s="200">
        <v>3.724955664583085E-2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44657</v>
      </c>
      <c r="Y833" s="202">
        <f>_xll.qlInterestRateIndexValueDate(IborIndex,X833,Trigger)</f>
        <v>44659</v>
      </c>
      <c r="Z833" s="203">
        <v>3.7582947663161968E-2</v>
      </c>
      <c r="AA833" s="200">
        <v>3.7272174040507977E-2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44664</v>
      </c>
      <c r="Y834" s="202">
        <f>_xll.qlInterestRateIndexValueDate(IborIndex,X834,Trigger)</f>
        <v>44670</v>
      </c>
      <c r="Z834" s="203">
        <v>3.7619986302727469E-2</v>
      </c>
      <c r="AA834" s="200">
        <v>3.7301407670105036E-2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44671</v>
      </c>
      <c r="Y835" s="202">
        <f>_xll.qlInterestRateIndexValueDate(IborIndex,X835,Trigger)</f>
        <v>44673</v>
      </c>
      <c r="Z835" s="203">
        <v>3.76301158489315E-2</v>
      </c>
      <c r="AA835" s="200">
        <v>3.7317723495915445E-2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44678</v>
      </c>
      <c r="Y836" s="202">
        <f>_xll.qlInterestRateIndexValueDate(IborIndex,X836,Trigger)</f>
        <v>44680</v>
      </c>
      <c r="Z836" s="203">
        <v>3.765377662025788E-2</v>
      </c>
      <c r="AA836" s="200">
        <v>3.7340655556805658E-2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44685</v>
      </c>
      <c r="Y837" s="202">
        <f>_xll.qlInterestRateIndexValueDate(IborIndex,X837,Trigger)</f>
        <v>44687</v>
      </c>
      <c r="Z837" s="203">
        <v>3.7688418049703673E-2</v>
      </c>
      <c r="AA837" s="200">
        <v>3.736369250635363E-2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44692</v>
      </c>
      <c r="Y838" s="202">
        <f>_xll.qlInterestRateIndexValueDate(IborIndex,X838,Trigger)</f>
        <v>44694</v>
      </c>
      <c r="Z838" s="203">
        <v>3.7712049271206693E-2</v>
      </c>
      <c r="AA838" s="200">
        <v>3.7386834344719233E-2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44699</v>
      </c>
      <c r="Y839" s="202">
        <f>_xll.qlInterestRateIndexValueDate(IborIndex,X839,Trigger)</f>
        <v>44701</v>
      </c>
      <c r="Z839" s="203">
        <v>3.7735622868123757E-2</v>
      </c>
      <c r="AA839" s="200">
        <v>3.7410081071902468E-2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44706</v>
      </c>
      <c r="Y840" s="202">
        <f>_xll.qlInterestRateIndexValueDate(IborIndex,X840,Trigger)</f>
        <v>44708</v>
      </c>
      <c r="Z840" s="203">
        <v>3.7762735762568056E-2</v>
      </c>
      <c r="AA840" s="200">
        <v>3.7436777195454241E-2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44713</v>
      </c>
      <c r="Y841" s="202">
        <f>_xll.qlInterestRateIndexValueDate(IborIndex,X841,Trigger)</f>
        <v>44715</v>
      </c>
      <c r="Z841" s="203">
        <v>3.7786092255716872E-2</v>
      </c>
      <c r="AA841" s="200">
        <v>3.7456889192721832E-2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44720</v>
      </c>
      <c r="Y842" s="202">
        <f>_xll.qlInterestRateIndexValueDate(IborIndex,X842,Trigger)</f>
        <v>44722</v>
      </c>
      <c r="Z842" s="203">
        <v>3.7805704113079069E-2</v>
      </c>
      <c r="AA842" s="200">
        <v>3.7480450586517833E-2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44727</v>
      </c>
      <c r="Y843" s="202">
        <f>_xll.qlInterestRateIndexValueDate(IborIndex,X843,Trigger)</f>
        <v>44729</v>
      </c>
      <c r="Z843" s="203">
        <v>3.7828753409863462E-2</v>
      </c>
      <c r="AA843" s="200">
        <v>3.7504116869051529E-2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44734</v>
      </c>
      <c r="Y844" s="202">
        <f>_xll.qlInterestRateIndexValueDate(IborIndex,X844,Trigger)</f>
        <v>44736</v>
      </c>
      <c r="Z844" s="203">
        <v>3.7851598177692389E-2</v>
      </c>
      <c r="AA844" s="200">
        <v>3.7527888040562729E-2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44741</v>
      </c>
      <c r="Y845" s="202">
        <f>_xll.qlInterestRateIndexValueDate(IborIndex,X845,Trigger)</f>
        <v>44743</v>
      </c>
      <c r="Z845" s="203">
        <v>3.7874209033645911E-2</v>
      </c>
      <c r="AA845" s="200">
        <v>3.7555183529152103E-2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44748</v>
      </c>
      <c r="Y846" s="202">
        <f>_xll.qlInterestRateIndexValueDate(IborIndex,X846,Trigger)</f>
        <v>44750</v>
      </c>
      <c r="Z846" s="203">
        <v>3.7900083996738478E-2</v>
      </c>
      <c r="AA846" s="200">
        <v>3.7575624119652318E-2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44755</v>
      </c>
      <c r="Y847" s="202">
        <f>_xll.qlInterestRateIndexValueDate(IborIndex,X847,Trigger)</f>
        <v>44757</v>
      </c>
      <c r="Z847" s="203">
        <v>3.7918618784255606E-2</v>
      </c>
      <c r="AA847" s="200">
        <v>3.7599207630316656E-2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44762</v>
      </c>
      <c r="Y848" s="202">
        <f>_xll.qlInterestRateIndexValueDate(IborIndex,X848,Trigger)</f>
        <v>44764</v>
      </c>
      <c r="Z848" s="203">
        <v>3.7940392472626212E-2</v>
      </c>
      <c r="AA848" s="200">
        <v>3.7622505330405787E-2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44769</v>
      </c>
      <c r="Y849" s="202">
        <f>_xll.qlInterestRateIndexValueDate(IborIndex,X849,Trigger)</f>
        <v>44771</v>
      </c>
      <c r="Z849" s="203">
        <v>3.7961877668675724E-2</v>
      </c>
      <c r="AA849" s="200">
        <v>3.7645517220079583E-2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44776</v>
      </c>
      <c r="Y850" s="202">
        <f>_xll.qlInterestRateIndexValueDate(IborIndex,X850,Trigger)</f>
        <v>44778</v>
      </c>
      <c r="Z850" s="203">
        <v>3.7983074367592663E-2</v>
      </c>
      <c r="AA850" s="200">
        <v>3.76682432990183E-2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44783</v>
      </c>
      <c r="Y851" s="202">
        <f>_xll.qlInterestRateIndexValueDate(IborIndex,X851,Trigger)</f>
        <v>44785</v>
      </c>
      <c r="Z851" s="203">
        <v>3.8003982564634449E-2</v>
      </c>
      <c r="AA851" s="200">
        <v>3.7690683567461747E-2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44790</v>
      </c>
      <c r="Y852" s="202">
        <f>_xll.qlInterestRateIndexValueDate(IborIndex,X852,Trigger)</f>
        <v>44792</v>
      </c>
      <c r="Z852" s="203">
        <v>3.8024602255120575E-2</v>
      </c>
      <c r="AA852" s="200">
        <v>3.7712838025170115E-2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44797</v>
      </c>
      <c r="Y853" s="202">
        <f>_xll.qlInterestRateIndexValueDate(IborIndex,X853,Trigger)</f>
        <v>44799</v>
      </c>
      <c r="Z853" s="203">
        <v>3.8044933434435144E-2</v>
      </c>
      <c r="AA853" s="200">
        <v>3.7734706672223339E-2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44804</v>
      </c>
      <c r="Y854" s="202">
        <f>_xll.qlInterestRateIndexValueDate(IborIndex,X854,Trigger)</f>
        <v>44806</v>
      </c>
      <c r="Z854" s="203">
        <v>3.8054826323391952E-2</v>
      </c>
      <c r="AA854" s="200">
        <v>3.7759349439330236E-2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44811</v>
      </c>
      <c r="Y855" s="202">
        <f>_xll.qlInterestRateIndexValueDate(IborIndex,X855,Trigger)</f>
        <v>44813</v>
      </c>
      <c r="Z855" s="203">
        <v>3.8074636038895965E-2</v>
      </c>
      <c r="AA855" s="200">
        <v>3.7777586533804808E-2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44818</v>
      </c>
      <c r="Y856" s="202">
        <f>_xll.qlInterestRateIndexValueDate(IborIndex,X856,Trigger)</f>
        <v>44820</v>
      </c>
      <c r="Z856" s="203">
        <v>3.8094157318602537E-2</v>
      </c>
      <c r="AA856" s="200">
        <v>3.7798597748412988E-2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44825</v>
      </c>
      <c r="Y857" s="202">
        <f>_xll.qlInterestRateIndexValueDate(IborIndex,X857,Trigger)</f>
        <v>44827</v>
      </c>
      <c r="Z857" s="203">
        <v>3.8113390158282079E-2</v>
      </c>
      <c r="AA857" s="200">
        <v>3.7819323151886408E-2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44832</v>
      </c>
      <c r="Y858" s="202">
        <f>_xll.qlInterestRateIndexValueDate(IborIndex,X858,Trigger)</f>
        <v>44834</v>
      </c>
      <c r="Z858" s="203">
        <v>3.8132334553766502E-2</v>
      </c>
      <c r="AA858" s="200">
        <v>3.7839762744544814E-2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44839</v>
      </c>
      <c r="Y859" s="202">
        <f>_xll.qlInterestRateIndexValueDate(IborIndex,X859,Trigger)</f>
        <v>44841</v>
      </c>
      <c r="Z859" s="203">
        <v>3.8160861525399423E-2</v>
      </c>
      <c r="AA859" s="200">
        <v>3.7862772306160863E-2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44846</v>
      </c>
      <c r="Y860" s="202">
        <f>_xll.qlInterestRateIndexValueDate(IborIndex,X860,Trigger)</f>
        <v>44848</v>
      </c>
      <c r="Z860" s="203">
        <v>3.8182441558709111E-2</v>
      </c>
      <c r="AA860" s="200">
        <v>3.7879784496457347E-2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44853</v>
      </c>
      <c r="Y861" s="202">
        <f>_xll.qlInterestRateIndexValueDate(IborIndex,X861,Trigger)</f>
        <v>44855</v>
      </c>
      <c r="Z861" s="203">
        <v>3.819719593424703E-2</v>
      </c>
      <c r="AA861" s="200">
        <v>3.7899366655791411E-2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44860</v>
      </c>
      <c r="Y862" s="202">
        <f>_xll.qlInterestRateIndexValueDate(IborIndex,X862,Trigger)</f>
        <v>44862</v>
      </c>
      <c r="Z862" s="203">
        <v>3.8214930315981228E-2</v>
      </c>
      <c r="AA862" s="200">
        <v>3.7918663003990716E-2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44867</v>
      </c>
      <c r="Y863" s="202">
        <f>_xll.qlInterestRateIndexValueDate(IborIndex,X863,Trigger)</f>
        <v>44869</v>
      </c>
      <c r="Z863" s="203">
        <v>3.8232376143940511E-2</v>
      </c>
      <c r="AA863" s="200">
        <v>3.7937673540895389E-2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44874</v>
      </c>
      <c r="Y864" s="202">
        <f>_xll.qlInterestRateIndexValueDate(IborIndex,X864,Trigger)</f>
        <v>44879</v>
      </c>
      <c r="Z864" s="203">
        <v>3.8250422534042018E-2</v>
      </c>
      <c r="AA864" s="200">
        <v>3.7959049895901487E-2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44881</v>
      </c>
      <c r="Y865" s="202">
        <f>_xll.qlInterestRateIndexValueDate(IborIndex,X865,Trigger)</f>
        <v>44883</v>
      </c>
      <c r="Z865" s="203">
        <v>3.8269576827768187E-2</v>
      </c>
      <c r="AA865" s="200">
        <v>3.7974837180980714E-2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44888</v>
      </c>
      <c r="Y866" s="202">
        <f>_xll.qlInterestRateIndexValueDate(IborIndex,X866,Trigger)</f>
        <v>44890</v>
      </c>
      <c r="Z866" s="203">
        <v>3.8282982266450043E-2</v>
      </c>
      <c r="AA866" s="200">
        <v>3.7992990284001493E-2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44895</v>
      </c>
      <c r="Y867" s="202">
        <f>_xll.qlInterestRateIndexValueDate(IborIndex,X867,Trigger)</f>
        <v>44897</v>
      </c>
      <c r="Z867" s="203">
        <v>3.8286710175073679E-2</v>
      </c>
      <c r="AA867" s="200">
        <v>3.8010857575567769E-2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44902</v>
      </c>
      <c r="Y868" s="202">
        <f>_xll.qlInterestRateIndexValueDate(IborIndex,X868,Trigger)</f>
        <v>44904</v>
      </c>
      <c r="Z868" s="203">
        <v>3.830278881700977E-2</v>
      </c>
      <c r="AA868" s="200">
        <v>3.8028439055759478E-2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44909</v>
      </c>
      <c r="Y869" s="202">
        <f>_xll.qlInterestRateIndexValueDate(IborIndex,X869,Trigger)</f>
        <v>44911</v>
      </c>
      <c r="Z869" s="203">
        <v>3.8318579003123077E-2</v>
      </c>
      <c r="AA869" s="200">
        <v>3.8045734724416747E-2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44916</v>
      </c>
      <c r="Y870" s="202">
        <f>_xll.qlInterestRateIndexValueDate(IborIndex,X870,Trigger)</f>
        <v>44918</v>
      </c>
      <c r="Z870" s="203">
        <v>3.8334080730028752E-2</v>
      </c>
      <c r="AA870" s="200">
        <v>3.8065151229620398E-2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44923</v>
      </c>
      <c r="Y871" s="202">
        <f>_xll.qlInterestRateIndexValueDate(IborIndex,X871,Trigger)</f>
        <v>44925</v>
      </c>
      <c r="Z871" s="203">
        <v>3.8352361490782937E-2</v>
      </c>
      <c r="AA871" s="200">
        <v>3.8081834444989582E-2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44930</v>
      </c>
      <c r="Y872" s="202">
        <f>_xll.qlInterestRateIndexValueDate(IborIndex,X872,Trigger)</f>
        <v>44932</v>
      </c>
      <c r="Z872" s="203">
        <v>3.8364218792987792E-2</v>
      </c>
      <c r="AA872" s="200">
        <v>3.809590686110198E-2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44937</v>
      </c>
      <c r="Y873" s="202">
        <f>_xll.qlInterestRateIndexValueDate(IborIndex,X873,Trigger)</f>
        <v>44939</v>
      </c>
      <c r="Z873" s="203">
        <v>3.8378855122584099E-2</v>
      </c>
      <c r="AA873" s="200">
        <v>3.8114343440804888E-2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44944</v>
      </c>
      <c r="Y874" s="202">
        <f>_xll.qlInterestRateIndexValueDate(IborIndex,X874,Trigger)</f>
        <v>44946</v>
      </c>
      <c r="Z874" s="203">
        <v>3.8393202980052443E-2</v>
      </c>
      <c r="AA874" s="200">
        <v>3.8127925894206882E-2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44951</v>
      </c>
      <c r="Y875" s="202">
        <f>_xll.qlInterestRateIndexValueDate(IborIndex,X875,Trigger)</f>
        <v>44953</v>
      </c>
      <c r="Z875" s="203">
        <v>3.8407262362320616E-2</v>
      </c>
      <c r="AA875" s="200">
        <v>3.8143506693097962E-2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44958</v>
      </c>
      <c r="Y876" s="202">
        <f>_xll.qlInterestRateIndexValueDate(IborIndex,X876,Trigger)</f>
        <v>44960</v>
      </c>
      <c r="Z876" s="203">
        <v>3.8418059574345721E-2</v>
      </c>
      <c r="AA876" s="200">
        <v>3.8158801680294729E-2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44965</v>
      </c>
      <c r="Y877" s="202">
        <f>_xll.qlInterestRateIndexValueDate(IborIndex,X877,Trigger)</f>
        <v>44967</v>
      </c>
      <c r="Z877" s="203">
        <v>3.8431561168897309E-2</v>
      </c>
      <c r="AA877" s="200">
        <v>3.817381085571725E-2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44972</v>
      </c>
      <c r="Y878" s="202">
        <f>_xll.qlInterestRateIndexValueDate(IborIndex,X878,Trigger)</f>
        <v>44974</v>
      </c>
      <c r="Z878" s="203">
        <v>3.8444774309755611E-2</v>
      </c>
      <c r="AA878" s="200">
        <v>3.8190614225213082E-2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44979</v>
      </c>
      <c r="Y879" s="202">
        <f>_xll.qlInterestRateIndexValueDate(IborIndex,X879,Trigger)</f>
        <v>44981</v>
      </c>
      <c r="Z879" s="203">
        <v>3.8457698994116572E-2</v>
      </c>
      <c r="AA879" s="200">
        <v>3.8202971770839866E-2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44986</v>
      </c>
      <c r="Y880" s="202">
        <f>_xll.qlInterestRateIndexValueDate(IborIndex,X880,Trigger)</f>
        <v>44988</v>
      </c>
      <c r="Z880" s="203">
        <v>3.8484802958123676E-2</v>
      </c>
      <c r="AA880" s="200">
        <v>3.8217123510619899E-2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44993</v>
      </c>
      <c r="Y881" s="202">
        <f>_xll.qlInterestRateIndexValueDate(IborIndex,X881,Trigger)</f>
        <v>44995</v>
      </c>
      <c r="Z881" s="203">
        <v>3.8497054212962373E-2</v>
      </c>
      <c r="AA881" s="200">
        <v>3.8230989438465812E-2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45000</v>
      </c>
      <c r="Y882" s="202">
        <f>_xll.qlInterestRateIndexValueDate(IborIndex,X882,Trigger)</f>
        <v>45002</v>
      </c>
      <c r="Z882" s="203">
        <v>3.8509016850873268E-2</v>
      </c>
      <c r="AA882" s="200">
        <v>3.8244569554377605E-2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45007</v>
      </c>
      <c r="Y883" s="202">
        <f>_xll.qlInterestRateIndexValueDate(IborIndex,X883,Trigger)</f>
        <v>45009</v>
      </c>
      <c r="Z883" s="203">
        <v>3.8520690869180203E-2</v>
      </c>
      <c r="AA883" s="200">
        <v>3.8257863858355279E-2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45014</v>
      </c>
      <c r="Y884" s="202">
        <f>_xll.qlInterestRateIndexValueDate(IborIndex,X884,Trigger)</f>
        <v>45016</v>
      </c>
      <c r="Z884" s="203">
        <v>3.8523632755084428E-2</v>
      </c>
      <c r="AA884" s="200">
        <v>3.827087235023896E-2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45021</v>
      </c>
      <c r="Y885" s="202">
        <f>_xll.qlInterestRateIndexValueDate(IborIndex,X885,Trigger)</f>
        <v>45027</v>
      </c>
      <c r="Z885" s="203">
        <v>3.8541034073374912E-2</v>
      </c>
      <c r="AA885" s="200">
        <v>3.8287177585241139E-2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45028</v>
      </c>
      <c r="Y886" s="202">
        <f>_xll.qlInterestRateIndexValueDate(IborIndex,X886,Trigger)</f>
        <v>45030</v>
      </c>
      <c r="Z886" s="203">
        <v>3.8545662327303588E-2</v>
      </c>
      <c r="AA886" s="200">
        <v>3.8296031897724347E-2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45035</v>
      </c>
      <c r="Y887" s="202">
        <f>_xll.qlInterestRateIndexValueDate(IborIndex,X887,Trigger)</f>
        <v>45037</v>
      </c>
      <c r="Z887" s="203">
        <v>3.8556296290335045E-2</v>
      </c>
      <c r="AA887" s="200">
        <v>3.8308182953326053E-2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45042</v>
      </c>
      <c r="Y888" s="202">
        <f>_xll.qlInterestRateIndexValueDate(IborIndex,X888,Trigger)</f>
        <v>45044</v>
      </c>
      <c r="Z888" s="203">
        <v>3.8575043708755696E-2</v>
      </c>
      <c r="AA888" s="200">
        <v>3.8320048196673895E-2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45049</v>
      </c>
      <c r="Y889" s="202">
        <f>_xll.qlInterestRateIndexValueDate(IborIndex,X889,Trigger)</f>
        <v>45051</v>
      </c>
      <c r="Z889" s="203">
        <v>3.8585346476565648E-2</v>
      </c>
      <c r="AA889" s="200">
        <v>3.8331627627927745E-2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45056</v>
      </c>
      <c r="Y890" s="202">
        <f>_xll.qlInterestRateIndexValueDate(IborIndex,X890,Trigger)</f>
        <v>45058</v>
      </c>
      <c r="Z890" s="203">
        <v>3.8595566395229333E-2</v>
      </c>
      <c r="AA890" s="200">
        <v>3.8342921247007666E-2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45063</v>
      </c>
      <c r="Y891" s="202">
        <f>_xll.qlInterestRateIndexValueDate(IborIndex,X891,Trigger)</f>
        <v>45065</v>
      </c>
      <c r="Z891" s="203">
        <v>3.8605749931924095E-2</v>
      </c>
      <c r="AA891" s="200">
        <v>3.8353929053833724E-2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45070</v>
      </c>
      <c r="Y892" s="202">
        <f>_xll.qlInterestRateIndexValueDate(IborIndex,X892,Trigger)</f>
        <v>45072</v>
      </c>
      <c r="Z892" s="203">
        <v>3.8618750075111515E-2</v>
      </c>
      <c r="AA892" s="200">
        <v>3.8366159430305302E-2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45077</v>
      </c>
      <c r="Y893" s="202">
        <f>_xll.qlInterestRateIndexValueDate(IborIndex,X893,Trigger)</f>
        <v>45079</v>
      </c>
      <c r="Z893" s="203">
        <v>3.8629017883273123E-2</v>
      </c>
      <c r="AA893" s="200">
        <v>3.8375087230644311E-2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45084</v>
      </c>
      <c r="Y894" s="202">
        <f>_xll.qlInterestRateIndexValueDate(IborIndex,X894,Trigger)</f>
        <v>45086</v>
      </c>
      <c r="Z894" s="203">
        <v>3.8636546929363996E-2</v>
      </c>
      <c r="AA894" s="200">
        <v>3.8385237600708777E-2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45091</v>
      </c>
      <c r="Y895" s="202">
        <f>_xll.qlInterestRateIndexValueDate(IborIndex,X895,Trigger)</f>
        <v>45093</v>
      </c>
      <c r="Z895" s="203">
        <v>3.8647049619821745E-2</v>
      </c>
      <c r="AA895" s="200">
        <v>3.8395102158359506E-2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45098</v>
      </c>
      <c r="Y896" s="202">
        <f>_xll.qlInterestRateIndexValueDate(IborIndex,X896,Trigger)</f>
        <v>45100</v>
      </c>
      <c r="Z896" s="203">
        <v>3.8657748271635574E-2</v>
      </c>
      <c r="AA896" s="200">
        <v>3.84046809035965E-2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45105</v>
      </c>
      <c r="Y897" s="202">
        <f>_xll.qlInterestRateIndexValueDate(IborIndex,X897,Trigger)</f>
        <v>45107</v>
      </c>
      <c r="Z897" s="203">
        <v>3.8659961760734551E-2</v>
      </c>
      <c r="AA897" s="200">
        <v>3.8415278066663561E-2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45112</v>
      </c>
      <c r="Y898" s="202">
        <f>_xll.qlInterestRateIndexValueDate(IborIndex,X898,Trigger)</f>
        <v>45114</v>
      </c>
      <c r="Z898" s="203">
        <v>3.868285882956142E-2</v>
      </c>
      <c r="AA898" s="200">
        <v>3.8423109147247558E-2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45119</v>
      </c>
      <c r="Y899" s="202">
        <f>_xll.qlInterestRateIndexValueDate(IborIndex,X899,Trigger)</f>
        <v>45121</v>
      </c>
      <c r="Z899" s="203">
        <v>3.8691476955437239E-2</v>
      </c>
      <c r="AA899" s="200">
        <v>3.8432536552743812E-2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45126</v>
      </c>
      <c r="Y900" s="202">
        <f>_xll.qlInterestRateIndexValueDate(IborIndex,X900,Trigger)</f>
        <v>45128</v>
      </c>
      <c r="Z900" s="203">
        <v>3.8703369946805129E-2</v>
      </c>
      <c r="AA900" s="200">
        <v>3.8442295981129249E-2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45133</v>
      </c>
      <c r="Y901" s="202">
        <f>_xll.qlInterestRateIndexValueDate(IborIndex,X901,Trigger)</f>
        <v>45135</v>
      </c>
      <c r="Z901" s="203">
        <v>3.8715598317965894E-2</v>
      </c>
      <c r="AA901" s="200">
        <v>3.8452387432403867E-2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45140</v>
      </c>
      <c r="Y902" s="202">
        <f>_xll.qlInterestRateIndexValueDate(IborIndex,X902,Trigger)</f>
        <v>45142</v>
      </c>
      <c r="Z902" s="203">
        <v>3.8728162072097422E-2</v>
      </c>
      <c r="AA902" s="200">
        <v>3.8462810906567668E-2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45147</v>
      </c>
      <c r="Y903" s="202">
        <f>_xll.qlInterestRateIndexValueDate(IborIndex,X903,Trigger)</f>
        <v>45149</v>
      </c>
      <c r="Z903" s="203">
        <v>3.8741061212468578E-2</v>
      </c>
      <c r="AA903" s="200">
        <v>3.8473566403700588E-2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45154</v>
      </c>
      <c r="Y904" s="202">
        <f>_xll.qlInterestRateIndexValueDate(IborIndex,X904,Trigger)</f>
        <v>45156</v>
      </c>
      <c r="Z904" s="203">
        <v>3.8754295742431576E-2</v>
      </c>
      <c r="AA904" s="200">
        <v>3.8484653923802625E-2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45161</v>
      </c>
      <c r="Y905" s="202">
        <f>_xll.qlInterestRateIndexValueDate(IborIndex,X905,Trigger)</f>
        <v>45163</v>
      </c>
      <c r="Z905" s="203">
        <v>3.876786566543132E-2</v>
      </c>
      <c r="AA905" s="200">
        <v>3.8496073466873781E-2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45168</v>
      </c>
      <c r="Y906" s="202">
        <f>_xll.qlInterestRateIndexValueDate(IborIndex,X906,Trigger)</f>
        <v>45170</v>
      </c>
      <c r="Z906" s="203">
        <v>3.8772360735098918E-2</v>
      </c>
      <c r="AA906" s="200">
        <v>3.8509530932016034E-2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45175</v>
      </c>
      <c r="Y907" s="202">
        <f>_xll.qlInterestRateIndexValueDate(IborIndex,X907,Trigger)</f>
        <v>45177</v>
      </c>
      <c r="Z907" s="203">
        <v>3.8786525026683824E-2</v>
      </c>
      <c r="AA907" s="200">
        <v>3.8519908622163257E-2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45182</v>
      </c>
      <c r="Y908" s="202">
        <f>_xll.qlInterestRateIndexValueDate(IborIndex,X908,Trigger)</f>
        <v>45184</v>
      </c>
      <c r="Z908" s="203">
        <v>3.8801024611779485E-2</v>
      </c>
      <c r="AA908" s="200">
        <v>3.8532324234461512E-2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45189</v>
      </c>
      <c r="Y909" s="202">
        <f>_xll.qlInterestRateIndexValueDate(IborIndex,X909,Trigger)</f>
        <v>45191</v>
      </c>
      <c r="Z909" s="203">
        <v>3.881585949403573E-2</v>
      </c>
      <c r="AA909" s="200">
        <v>3.8545071869888758E-2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45196</v>
      </c>
      <c r="Y910" s="202">
        <f>_xll.qlInterestRateIndexValueDate(IborIndex,X910,Trigger)</f>
        <v>45198</v>
      </c>
      <c r="Z910" s="203">
        <v>3.8831029677188475E-2</v>
      </c>
      <c r="AA910" s="200">
        <v>3.8558151528444995E-2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45203</v>
      </c>
      <c r="Y911" s="202">
        <f>_xll.qlInterestRateIndexValueDate(IborIndex,X911,Trigger)</f>
        <v>45205</v>
      </c>
      <c r="Z911" s="203">
        <v>3.8856328660910044E-2</v>
      </c>
      <c r="AA911" s="200">
        <v>3.8573506268724245E-2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45210</v>
      </c>
      <c r="Y912" s="202">
        <f>_xll.qlInterestRateIndexValueDate(IborIndex,X912,Trigger)</f>
        <v>45212</v>
      </c>
      <c r="Z912" s="203">
        <v>3.8875541976974494E-2</v>
      </c>
      <c r="AA912" s="200">
        <v>3.8585306915264184E-2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45217</v>
      </c>
      <c r="Y913" s="202">
        <f>_xll.qlInterestRateIndexValueDate(IborIndex,X913,Trigger)</f>
        <v>45219</v>
      </c>
      <c r="Z913" s="203">
        <v>3.8888499640517132E-2</v>
      </c>
      <c r="AA913" s="200">
        <v>3.8599382643607072E-2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45224</v>
      </c>
      <c r="Y914" s="202">
        <f>_xll.qlInterestRateIndexValueDate(IborIndex,X914,Trigger)</f>
        <v>45226</v>
      </c>
      <c r="Z914" s="203">
        <v>3.8905088270113061E-2</v>
      </c>
      <c r="AA914" s="200">
        <v>3.8613790395158887E-2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45231</v>
      </c>
      <c r="Y915" s="202">
        <f>_xll.qlInterestRateIndexValueDate(IborIndex,X915,Trigger)</f>
        <v>45233</v>
      </c>
      <c r="Z915" s="203">
        <v>3.892201233196288E-2</v>
      </c>
      <c r="AA915" s="200">
        <v>3.8628530170239372E-2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45238</v>
      </c>
      <c r="Y916" s="202">
        <f>_xll.qlInterestRateIndexValueDate(IborIndex,X916,Trigger)</f>
        <v>45243</v>
      </c>
      <c r="Z916" s="203">
        <v>3.8939960242618622E-2</v>
      </c>
      <c r="AA916" s="200">
        <v>3.8645782186534916E-2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45245</v>
      </c>
      <c r="Y917" s="202">
        <f>_xll.qlInterestRateIndexValueDate(IborIndex,X917,Trigger)</f>
        <v>45247</v>
      </c>
      <c r="Z917" s="203">
        <v>3.8960291222138052E-2</v>
      </c>
      <c r="AA917" s="200">
        <v>3.8659005790426804E-2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45252</v>
      </c>
      <c r="Y918" s="202">
        <f>_xll.qlInterestRateIndexValueDate(IborIndex,X918,Trigger)</f>
        <v>45254</v>
      </c>
      <c r="Z918" s="203">
        <v>3.8974797155475846E-2</v>
      </c>
      <c r="AA918" s="200">
        <v>3.8674741635773557E-2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45259</v>
      </c>
      <c r="Y919" s="202">
        <f>_xll.qlInterestRateIndexValueDate(IborIndex,X919,Trigger)</f>
        <v>45261</v>
      </c>
      <c r="Z919" s="203">
        <v>3.8982650523948024E-2</v>
      </c>
      <c r="AA919" s="200">
        <v>3.8690809504569046E-2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45266</v>
      </c>
      <c r="Y920" s="202">
        <f>_xll.qlInterestRateIndexValueDate(IborIndex,X920,Trigger)</f>
        <v>45268</v>
      </c>
      <c r="Z920" s="203">
        <v>3.9001173940060647E-2</v>
      </c>
      <c r="AA920" s="200">
        <v>3.8707209396973141E-2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45273</v>
      </c>
      <c r="Y921" s="202">
        <f>_xll.qlInterestRateIndexValueDate(IborIndex,X921,Trigger)</f>
        <v>45275</v>
      </c>
      <c r="Z921" s="203">
        <v>3.9020032703725185E-2</v>
      </c>
      <c r="AA921" s="200">
        <v>3.8723941313065779E-2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45280</v>
      </c>
      <c r="Y922" s="202">
        <f>_xll.qlInterestRateIndexValueDate(IborIndex,X922,Trigger)</f>
        <v>45282</v>
      </c>
      <c r="Z922" s="203">
        <v>3.9039226819693899E-2</v>
      </c>
      <c r="AA922" s="200">
        <v>3.8743470062403418E-2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45287</v>
      </c>
      <c r="Y923" s="202">
        <f>_xll.qlInterestRateIndexValueDate(IborIndex,X923,Trigger)</f>
        <v>45289</v>
      </c>
      <c r="Z923" s="203">
        <v>3.9055186910139206E-2</v>
      </c>
      <c r="AA923" s="200">
        <v>3.8760913457771551E-2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45294</v>
      </c>
      <c r="Y924" s="202">
        <f>_xll.qlInterestRateIndexValueDate(IborIndex,X924,Trigger)</f>
        <v>45296</v>
      </c>
      <c r="Z924" s="203">
        <v>3.9078621127948084E-2</v>
      </c>
      <c r="AA924" s="200">
        <v>3.877612920331508E-2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45301</v>
      </c>
      <c r="Y925" s="202">
        <f>_xll.qlInterestRateIndexValueDate(IborIndex,X925,Trigger)</f>
        <v>45303</v>
      </c>
      <c r="Z925" s="203">
        <v>3.9098821330154417E-2</v>
      </c>
      <c r="AA925" s="200">
        <v>3.879679631989319E-2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45308</v>
      </c>
      <c r="Y926" s="202">
        <f>_xll.qlInterestRateIndexValueDate(IborIndex,X926,Trigger)</f>
        <v>45310</v>
      </c>
      <c r="Z926" s="203">
        <v>3.911935690450135E-2</v>
      </c>
      <c r="AA926" s="200">
        <v>3.8812581249176858E-2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45315</v>
      </c>
      <c r="Y927" s="202">
        <f>_xll.qlInterestRateIndexValueDate(IborIndex,X927,Trigger)</f>
        <v>45317</v>
      </c>
      <c r="Z927" s="203">
        <v>3.9140227856157506E-2</v>
      </c>
      <c r="AA927" s="200">
        <v>3.883130530788037E-2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45322</v>
      </c>
      <c r="Y928" s="202">
        <f>_xll.qlInterestRateIndexValueDate(IborIndex,X928,Trigger)</f>
        <v>45324</v>
      </c>
      <c r="Z928" s="203">
        <v>3.9157733943665285E-2</v>
      </c>
      <c r="AA928" s="200">
        <v>3.8850361390672106E-2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45329</v>
      </c>
      <c r="Y929" s="202">
        <f>_xll.qlInterestRateIndexValueDate(IborIndex,X929,Trigger)</f>
        <v>45331</v>
      </c>
      <c r="Z929" s="203">
        <v>3.9179249379406755E-2</v>
      </c>
      <c r="AA929" s="200">
        <v>3.8869749497312256E-2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45336</v>
      </c>
      <c r="Y930" s="202">
        <f>_xll.qlInterestRateIndexValueDate(IborIndex,X930,Trigger)</f>
        <v>45338</v>
      </c>
      <c r="Z930" s="203">
        <v>3.9201100170466852E-2</v>
      </c>
      <c r="AA930" s="200">
        <v>3.8892313893663655E-2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45343</v>
      </c>
      <c r="Y931" s="202">
        <f>_xll.qlInterestRateIndexValueDate(IborIndex,X931,Trigger)</f>
        <v>45345</v>
      </c>
      <c r="Z931" s="203">
        <v>3.9223286322285666E-2</v>
      </c>
      <c r="AA931" s="200">
        <v>3.8909521783097034E-2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45350</v>
      </c>
      <c r="Y932" s="202">
        <f>_xll.qlInterestRateIndexValueDate(IborIndex,X932,Trigger)</f>
        <v>45352</v>
      </c>
      <c r="Z932" s="203">
        <v>3.9261047121308686E-2</v>
      </c>
      <c r="AA932" s="200">
        <v>3.8929905962161726E-2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45357</v>
      </c>
      <c r="Y933" s="202">
        <f>_xll.qlInterestRateIndexValueDate(IborIndex,X933,Trigger)</f>
        <v>45359</v>
      </c>
      <c r="Z933" s="203">
        <v>3.9284009800917521E-2</v>
      </c>
      <c r="AA933" s="200">
        <v>3.8950622165474513E-2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45364</v>
      </c>
      <c r="Y934" s="202">
        <f>_xll.qlInterestRateIndexValueDate(IborIndex,X934,Trigger)</f>
        <v>45366</v>
      </c>
      <c r="Z934" s="203">
        <v>3.9307308011331199E-2</v>
      </c>
      <c r="AA934" s="200">
        <v>3.8971670393035396E-2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45371</v>
      </c>
      <c r="Y935" s="202">
        <f>_xll.qlInterestRateIndexValueDate(IborIndex,X935,Trigger)</f>
        <v>45373</v>
      </c>
      <c r="Z935" s="203">
        <v>3.9330941758607005E-2</v>
      </c>
      <c r="AA935" s="200">
        <v>3.8993050645004246E-2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45378</v>
      </c>
      <c r="Y936" s="202">
        <f>_xll.qlInterestRateIndexValueDate(IborIndex,X936,Trigger)</f>
        <v>45384</v>
      </c>
      <c r="Z936" s="203">
        <v>3.9356961094028427E-2</v>
      </c>
      <c r="AA936" s="200">
        <v>3.9021027413106424E-2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45385</v>
      </c>
      <c r="Y937" s="202">
        <f>_xll.qlInterestRateIndexValueDate(IborIndex,X937,Trigger)</f>
        <v>45387</v>
      </c>
      <c r="Z937" s="203">
        <v>3.9367384322662041E-2</v>
      </c>
      <c r="AA937" s="200">
        <v>3.9036807222245784E-2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45392</v>
      </c>
      <c r="Y938" s="202">
        <f>_xll.qlInterestRateIndexValueDate(IborIndex,X938,Trigger)</f>
        <v>45394</v>
      </c>
      <c r="Z938" s="203">
        <v>3.9391943336228571E-2</v>
      </c>
      <c r="AA938" s="200">
        <v>3.9059183547678344E-2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45399</v>
      </c>
      <c r="Y939" s="202">
        <f>_xll.qlInterestRateIndexValueDate(IborIndex,X939,Trigger)</f>
        <v>45401</v>
      </c>
      <c r="Z939" s="203">
        <v>3.9416810466603655E-2</v>
      </c>
      <c r="AA939" s="200">
        <v>3.9081891897598808E-2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45406</v>
      </c>
      <c r="Y940" s="202">
        <f>_xll.qlInterestRateIndexValueDate(IborIndex,X940,Trigger)</f>
        <v>45408</v>
      </c>
      <c r="Z940" s="203">
        <v>3.9441939580064506E-2</v>
      </c>
      <c r="AA940" s="200">
        <v>3.9104932272246984E-2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45413</v>
      </c>
      <c r="Y941" s="202">
        <f>_xll.qlInterestRateIndexValueDate(IborIndex,X941,Trigger)</f>
        <v>45415</v>
      </c>
      <c r="Z941" s="203">
        <v>3.9479307923736759E-2</v>
      </c>
      <c r="AA941" s="200">
        <v>3.9128304671622871E-2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45420</v>
      </c>
      <c r="Y942" s="202">
        <f>_xll.qlInterestRateIndexValueDate(IborIndex,X942,Trigger)</f>
        <v>45422</v>
      </c>
      <c r="Z942" s="203">
        <v>3.9504830294732958E-2</v>
      </c>
      <c r="AA942" s="200">
        <v>3.915200909572647E-2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45427</v>
      </c>
      <c r="Y943" s="202">
        <f>_xll.qlInterestRateIndexValueDate(IborIndex,X943,Trigger)</f>
        <v>45429</v>
      </c>
      <c r="Z943" s="203">
        <v>3.9530461865445655E-2</v>
      </c>
      <c r="AA943" s="200">
        <v>3.9176045544717653E-2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45434</v>
      </c>
      <c r="Y944" s="202">
        <f>_xll.qlInterestRateIndexValueDate(IborIndex,X944,Trigger)</f>
        <v>45436</v>
      </c>
      <c r="Z944" s="203">
        <v>3.9560161194862935E-2</v>
      </c>
      <c r="AA944" s="200">
        <v>3.9203922333275187E-2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45441</v>
      </c>
      <c r="Y945" s="202">
        <f>_xll.qlInterestRateIndexValueDate(IborIndex,X945,Trigger)</f>
        <v>45443</v>
      </c>
      <c r="Z945" s="203">
        <v>3.9569878665956147E-2</v>
      </c>
      <c r="AA945" s="200">
        <v>3.9225114517442705E-2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45448</v>
      </c>
      <c r="Y946" s="202">
        <f>_xll.qlInterestRateIndexValueDate(IborIndex,X946,Trigger)</f>
        <v>45450</v>
      </c>
      <c r="Z946" s="203">
        <v>3.9607559023537381E-2</v>
      </c>
      <c r="AA946" s="200">
        <v>3.9250147041336447E-2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45455</v>
      </c>
      <c r="Y947" s="202">
        <f>_xll.qlInterestRateIndexValueDate(IborIndex,X947,Trigger)</f>
        <v>45457</v>
      </c>
      <c r="Z947" s="203">
        <v>3.9633174634767829E-2</v>
      </c>
      <c r="AA947" s="200">
        <v>3.9275511590437517E-2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45462</v>
      </c>
      <c r="Y948" s="202">
        <f>_xll.qlInterestRateIndexValueDate(IborIndex,X948,Trigger)</f>
        <v>45464</v>
      </c>
      <c r="Z948" s="203">
        <v>3.9658673060541202E-2</v>
      </c>
      <c r="AA948" s="200">
        <v>3.9301208164586043E-2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45469</v>
      </c>
      <c r="Y949" s="202">
        <f>_xll.qlInterestRateIndexValueDate(IborIndex,X949,Trigger)</f>
        <v>45471</v>
      </c>
      <c r="Z949" s="203">
        <v>3.9684009020239087E-2</v>
      </c>
      <c r="AA949" s="200">
        <v>3.9327236764181706E-2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45476</v>
      </c>
      <c r="Y950" s="202">
        <f>_xll.qlInterestRateIndexValueDate(IborIndex,X950,Trigger)</f>
        <v>45478</v>
      </c>
      <c r="Z950" s="203">
        <v>3.9709137232073803E-2</v>
      </c>
      <c r="AA950" s="200">
        <v>3.9353583059167363E-2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45483</v>
      </c>
      <c r="Y951" s="202">
        <f>_xll.qlInterestRateIndexValueDate(IborIndex,X951,Trigger)</f>
        <v>45485</v>
      </c>
      <c r="Z951" s="203">
        <v>3.9737922018747589E-2</v>
      </c>
      <c r="AA951" s="200">
        <v>3.9379845814337955E-2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45490</v>
      </c>
      <c r="Y952" s="202">
        <f>_xll.qlInterestRateIndexValueDate(IborIndex,X952,Trigger)</f>
        <v>45492</v>
      </c>
      <c r="Z952" s="203">
        <v>3.9758618563351271E-2</v>
      </c>
      <c r="AA952" s="200">
        <v>3.9405838741908283E-2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45497</v>
      </c>
      <c r="Y953" s="202">
        <f>_xll.qlInterestRateIndexValueDate(IborIndex,X953,Trigger)</f>
        <v>45499</v>
      </c>
      <c r="Z953" s="203">
        <v>3.9782950859290241E-2</v>
      </c>
      <c r="AA953" s="200">
        <v>3.9431561841718477E-2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45504</v>
      </c>
      <c r="Y954" s="202">
        <f>_xll.qlInterestRateIndexValueDate(IborIndex,X954,Trigger)</f>
        <v>45506</v>
      </c>
      <c r="Z954" s="203">
        <v>3.9807010703875823E-2</v>
      </c>
      <c r="AA954" s="200">
        <v>3.945701511384847E-2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45511</v>
      </c>
      <c r="Y955" s="202">
        <f>_xll.qlInterestRateIndexValueDate(IborIndex,X955,Trigger)</f>
        <v>45513</v>
      </c>
      <c r="Z955" s="203">
        <v>3.9834639077803047E-2</v>
      </c>
      <c r="AA955" s="200">
        <v>3.9482198558138393E-2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45518</v>
      </c>
      <c r="Y956" s="202">
        <f>_xll.qlInterestRateIndexValueDate(IborIndex,X956,Trigger)</f>
        <v>45520</v>
      </c>
      <c r="Z956" s="203">
        <v>3.9854313018709411E-2</v>
      </c>
      <c r="AA956" s="200">
        <v>3.9507112174508308E-2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45525</v>
      </c>
      <c r="Y957" s="202">
        <f>_xll.qlInterestRateIndexValueDate(IborIndex,X957,Trigger)</f>
        <v>45527</v>
      </c>
      <c r="Z957" s="203">
        <v>3.9877555478962858E-2</v>
      </c>
      <c r="AA957" s="200">
        <v>3.9531755962958215E-2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45532</v>
      </c>
      <c r="Y958" s="202">
        <f>_xll.qlInterestRateIndexValueDate(IborIndex,X958,Trigger)</f>
        <v>45534</v>
      </c>
      <c r="Z958" s="203">
        <v>3.9889146596084682E-2</v>
      </c>
      <c r="AA958" s="200">
        <v>3.9559589891000613E-2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45539</v>
      </c>
      <c r="Y959" s="202">
        <f>_xll.qlInterestRateIndexValueDate(IborIndex,X959,Trigger)</f>
        <v>45541</v>
      </c>
      <c r="Z959" s="203">
        <v>3.9911894970428484E-2</v>
      </c>
      <c r="AA959" s="200">
        <v>3.9580234055778263E-2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45546</v>
      </c>
      <c r="Y960" s="202">
        <f>_xll.qlInterestRateIndexValueDate(IborIndex,X960,Trigger)</f>
        <v>45548</v>
      </c>
      <c r="Z960" s="203">
        <v>3.9934370950730019E-2</v>
      </c>
      <c r="AA960" s="200">
        <v>3.9604068360148403E-2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45553</v>
      </c>
      <c r="Y961" s="202">
        <f>_xll.qlInterestRateIndexValueDate(IborIndex,X961,Trigger)</f>
        <v>45555</v>
      </c>
      <c r="Z961" s="203">
        <v>3.9956574532394276E-2</v>
      </c>
      <c r="AA961" s="200">
        <v>3.9627632836278792E-2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45560</v>
      </c>
      <c r="Y962" s="202">
        <f>_xll.qlInterestRateIndexValueDate(IborIndex,X962,Trigger)</f>
        <v>45562</v>
      </c>
      <c r="Z962" s="203">
        <v>3.9978505710877209E-2</v>
      </c>
      <c r="AA962" s="200">
        <v>3.9650927484249365E-2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45567</v>
      </c>
      <c r="Y963" s="202">
        <f>_xll.qlInterestRateIndexValueDate(IborIndex,X963,Trigger)</f>
        <v>45569</v>
      </c>
      <c r="Z963" s="203">
        <v>4.0011288174397898E-2</v>
      </c>
      <c r="AA963" s="200">
        <v>3.9673952303900251E-2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45574</v>
      </c>
      <c r="Y964" s="202">
        <f>_xll.qlInterestRateIndexValueDate(IborIndex,X964,Trigger)</f>
        <v>45576</v>
      </c>
      <c r="Z964" s="203">
        <v>4.0032623235332E-2</v>
      </c>
      <c r="AA964" s="200">
        <v>3.9699935981589718E-2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45581</v>
      </c>
      <c r="Y965" s="202">
        <f>_xll.qlInterestRateIndexValueDate(IborIndex,X965,Trigger)</f>
        <v>45583</v>
      </c>
      <c r="Z965" s="203">
        <v>4.005735672508938E-2</v>
      </c>
      <c r="AA965" s="200">
        <v>3.971919245840283E-2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45588</v>
      </c>
      <c r="Y966" s="202">
        <f>_xll.qlInterestRateIndexValueDate(IborIndex,X966,Trigger)</f>
        <v>45590</v>
      </c>
      <c r="Z966" s="203">
        <v>4.0074475840416582E-2</v>
      </c>
      <c r="AA966" s="200">
        <v>3.974140779293478E-2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45595</v>
      </c>
      <c r="Y967" s="202">
        <f>_xll.qlInterestRateIndexValueDate(IborIndex,X967,Trigger)</f>
        <v>45597</v>
      </c>
      <c r="Z967" s="203">
        <v>4.0094993375723073E-2</v>
      </c>
      <c r="AA967" s="200">
        <v>3.9763353299147042E-2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45602</v>
      </c>
      <c r="Y968" s="202">
        <f>_xll.qlInterestRateIndexValueDate(IborIndex,X968,Trigger)</f>
        <v>45604</v>
      </c>
      <c r="Z968" s="203">
        <v>4.0115238393738269E-2</v>
      </c>
      <c r="AA968" s="200">
        <v>3.97881034752956E-2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45609</v>
      </c>
      <c r="Y969" s="202">
        <f>_xll.qlInterestRateIndexValueDate(IborIndex,X969,Trigger)</f>
        <v>45611</v>
      </c>
      <c r="Z969" s="203">
        <v>4.0138812984803145E-2</v>
      </c>
      <c r="AA969" s="200">
        <v>3.9806434825813142E-2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45616</v>
      </c>
      <c r="Y970" s="202">
        <f>_xll.qlInterestRateIndexValueDate(IborIndex,X970,Trigger)</f>
        <v>45618</v>
      </c>
      <c r="Z970" s="203">
        <v>4.015491086084292E-2</v>
      </c>
      <c r="AA970" s="200">
        <v>3.982757084626698E-2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45623</v>
      </c>
      <c r="Y971" s="202">
        <f>_xll.qlInterestRateIndexValueDate(IborIndex,X971,Trigger)</f>
        <v>45625</v>
      </c>
      <c r="Z971" s="203">
        <v>4.0163627452229685E-2</v>
      </c>
      <c r="AA971" s="200">
        <v>3.9848437038161322E-2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45630</v>
      </c>
      <c r="Y972" s="202">
        <f>_xll.qlInterestRateIndexValueDate(IborIndex,X972,Trigger)</f>
        <v>45632</v>
      </c>
      <c r="Z972" s="203">
        <v>4.0179278622122894E-2</v>
      </c>
      <c r="AA972" s="200">
        <v>3.9869033401176424E-2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45637</v>
      </c>
      <c r="Y973" s="202">
        <f>_xll.qlInterestRateIndexValueDate(IborIndex,X973,Trigger)</f>
        <v>45639</v>
      </c>
      <c r="Z973" s="203">
        <v>4.019823043752524E-2</v>
      </c>
      <c r="AA973" s="200">
        <v>3.9889359935472157E-2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45644</v>
      </c>
      <c r="Y974" s="202">
        <f>_xll.qlInterestRateIndexValueDate(IborIndex,X974,Trigger)</f>
        <v>45646</v>
      </c>
      <c r="Z974" s="203">
        <v>4.021690982915338E-2</v>
      </c>
      <c r="AA974" s="200">
        <v>3.991305057588157E-2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45653</v>
      </c>
      <c r="Y975" s="202">
        <f>_xll.qlInterestRateIndexValueDate(IborIndex,X975,Trigger)</f>
        <v>45657</v>
      </c>
      <c r="Z975" s="203">
        <v>4.0245712742569495E-2</v>
      </c>
      <c r="AA975" s="200">
        <v>3.9944818692205786E-2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45660</v>
      </c>
      <c r="Y976" s="202">
        <f>_xll.qlInterestRateIndexValueDate(IborIndex,X976,Trigger)</f>
        <v>45664</v>
      </c>
      <c r="Z976" s="203">
        <v>4.0263691598703133E-2</v>
      </c>
      <c r="AA976" s="200">
        <v>3.9954247304549995E-2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45667</v>
      </c>
      <c r="Y977" s="202">
        <f>_xll.qlInterestRateIndexValueDate(IborIndex,X977,Trigger)</f>
        <v>45671</v>
      </c>
      <c r="Z977" s="203">
        <v>4.0281398017818937E-2</v>
      </c>
      <c r="AA977" s="200">
        <v>3.9973417429477465E-2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45674</v>
      </c>
      <c r="Y978" s="202">
        <f>_xll.qlInterestRateIndexValueDate(IborIndex,X978,Trigger)</f>
        <v>45678</v>
      </c>
      <c r="Z978" s="203">
        <v>4.0302273141160187E-2</v>
      </c>
      <c r="AA978" s="200">
        <v>3.9992317725445758E-2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45681</v>
      </c>
      <c r="Y979" s="202">
        <f>_xll.qlInterestRateIndexValueDate(IborIndex,X979,Trigger)</f>
        <v>45685</v>
      </c>
      <c r="Z979" s="203">
        <v>4.031599353072135E-2</v>
      </c>
      <c r="AA979" s="200">
        <v>4.001094819237494E-2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45688</v>
      </c>
      <c r="Y980" s="202">
        <f>_xll.qlInterestRateIndexValueDate(IborIndex,X980,Trigger)</f>
        <v>45692</v>
      </c>
      <c r="Z980" s="203">
        <v>4.0336288631051355E-2</v>
      </c>
      <c r="AA980" s="200">
        <v>4.0029308830265009E-2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45695</v>
      </c>
      <c r="Y981" s="202">
        <f>_xll.qlInterestRateIndexValueDate(IborIndex,X981,Trigger)</f>
        <v>45699</v>
      </c>
      <c r="Z981" s="203">
        <v>4.0349499253277799E-2</v>
      </c>
      <c r="AA981" s="200">
        <v>4.0047399638956094E-2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45702</v>
      </c>
      <c r="Y982" s="202">
        <f>_xll.qlInterestRateIndexValueDate(IborIndex,X982,Trigger)</f>
        <v>45706</v>
      </c>
      <c r="Z982" s="203">
        <v>4.0365843434669202E-2</v>
      </c>
      <c r="AA982" s="200">
        <v>4.006522061852813E-2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45709</v>
      </c>
      <c r="Y983" s="202">
        <f>_xll.qlInterestRateIndexValueDate(IborIndex,X983,Trigger)</f>
        <v>45713</v>
      </c>
      <c r="Z983" s="203">
        <v>4.0385268251087646E-2</v>
      </c>
      <c r="AA983" s="200">
        <v>4.0082771768901182E-2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45716</v>
      </c>
      <c r="Y984" s="202">
        <f>_xll.qlInterestRateIndexValueDate(IborIndex,X984,Trigger)</f>
        <v>45720</v>
      </c>
      <c r="Z984" s="203">
        <v>4.0404383760960859E-2</v>
      </c>
      <c r="AA984" s="200">
        <v>4.0100053090075249E-2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45723</v>
      </c>
      <c r="Y985" s="202">
        <f>_xll.qlInterestRateIndexValueDate(IborIndex,X985,Trigger)</f>
        <v>45727</v>
      </c>
      <c r="Z985" s="203">
        <v>4.0419875095327455E-2</v>
      </c>
      <c r="AA985" s="200">
        <v>4.0117064581970396E-2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45730</v>
      </c>
      <c r="Y986" s="202">
        <f>_xll.qlInterestRateIndexValueDate(IborIndex,X986,Trigger)</f>
        <v>45734</v>
      </c>
      <c r="Z986" s="203">
        <v>4.0435093902398536E-2</v>
      </c>
      <c r="AA986" s="200">
        <v>4.0133806244506687E-2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45737</v>
      </c>
      <c r="Y987" s="202">
        <f>_xll.qlInterestRateIndexValueDate(IborIndex,X987,Trigger)</f>
        <v>45741</v>
      </c>
      <c r="Z987" s="203">
        <v>4.0450040179027057E-2</v>
      </c>
      <c r="AA987" s="200">
        <v>4.0150278077764057E-2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45744</v>
      </c>
      <c r="Y988" s="202">
        <f>_xll.qlInterestRateIndexValueDate(IborIndex,X988,Trigger)</f>
        <v>45748</v>
      </c>
      <c r="Z988" s="203">
        <v>4.0461451091788135E-2</v>
      </c>
      <c r="AA988" s="200">
        <v>4.0166480081582634E-2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45751</v>
      </c>
      <c r="Y989" s="202">
        <f>_xll.qlInterestRateIndexValueDate(IborIndex,X989,Trigger)</f>
        <v>45755</v>
      </c>
      <c r="Z989" s="203">
        <v>4.0475870152718876E-2</v>
      </c>
      <c r="AA989" s="200">
        <v>4.0182412256122291E-2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45758</v>
      </c>
      <c r="Y990" s="202">
        <f>_xll.qlInterestRateIndexValueDate(IborIndex,X990,Trigger)</f>
        <v>45762</v>
      </c>
      <c r="Z990" s="203">
        <v>4.0490016704233273E-2</v>
      </c>
      <c r="AA990" s="200">
        <v>4.0198074601063283E-2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45769</v>
      </c>
      <c r="Y991" s="202">
        <f>_xll.qlInterestRateIndexValueDate(IborIndex,X991,Trigger)</f>
        <v>45771</v>
      </c>
      <c r="Z991" s="203">
        <v>4.0507804700958085E-2</v>
      </c>
      <c r="AA991" s="200">
        <v>4.0222141691783619E-2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45776</v>
      </c>
      <c r="Y992" s="202">
        <f>_xll.qlInterestRateIndexValueDate(IborIndex,X992,Trigger)</f>
        <v>45778</v>
      </c>
      <c r="Z992" s="203">
        <v>4.0524514462169238E-2</v>
      </c>
      <c r="AA992" s="200">
        <v>4.0237110189424996E-2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45783</v>
      </c>
      <c r="Y993" s="202">
        <f>_xll.qlInterestRateIndexValueDate(IborIndex,X993,Trigger)</f>
        <v>45785</v>
      </c>
      <c r="Z993" s="203">
        <v>4.0537747621785164E-2</v>
      </c>
      <c r="AA993" s="200">
        <v>4.0251808857467708E-2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45790</v>
      </c>
      <c r="Y994" s="202">
        <f>_xll.qlInterestRateIndexValueDate(IborIndex,X994,Trigger)</f>
        <v>45792</v>
      </c>
      <c r="Z994" s="203">
        <v>4.055070822972421E-2</v>
      </c>
      <c r="AA994" s="200">
        <v>4.0266237695911755E-2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45797</v>
      </c>
      <c r="Y995" s="202">
        <f>_xll.qlInterestRateIndexValueDate(IborIndex,X995,Trigger)</f>
        <v>45799</v>
      </c>
      <c r="Z995" s="203">
        <v>4.056339628330765E-2</v>
      </c>
      <c r="AA995" s="200">
        <v>4.0282397393411884E-2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45804</v>
      </c>
      <c r="Y996" s="202">
        <f>_xll.qlInterestRateIndexValueDate(IborIndex,X996,Trigger)</f>
        <v>45806</v>
      </c>
      <c r="Z996" s="203">
        <v>4.0575811779910625E-2</v>
      </c>
      <c r="AA996" s="200">
        <v>4.0294285883923919E-2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45811</v>
      </c>
      <c r="Y997" s="202">
        <f>_xll.qlInterestRateIndexValueDate(IborIndex,X997,Trigger)</f>
        <v>45813</v>
      </c>
      <c r="Z997" s="203">
        <v>4.0587954716964761E-2</v>
      </c>
      <c r="AA997" s="200">
        <v>4.0307905233332164E-2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45818</v>
      </c>
      <c r="Y998" s="202">
        <f>_xll.qlInterestRateIndexValueDate(IborIndex,X998,Trigger)</f>
        <v>45820</v>
      </c>
      <c r="Z998" s="203">
        <v>4.0599825091958142E-2</v>
      </c>
      <c r="AA998" s="200">
        <v>4.0321254753061808E-2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45825</v>
      </c>
      <c r="Y999" s="202">
        <f>_xll.qlInterestRateIndexValueDate(IborIndex,X999,Trigger)</f>
        <v>45827</v>
      </c>
      <c r="Z999" s="203">
        <v>4.0611422902437092E-2</v>
      </c>
      <c r="AA999" s="200">
        <v>4.0334334443032915E-2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45832</v>
      </c>
      <c r="Y1000" s="202">
        <f>_xll.qlInterestRateIndexValueDate(IborIndex,X1000,Trigger)</f>
        <v>45834</v>
      </c>
      <c r="Z1000" s="203">
        <v>4.0622748146000046E-2</v>
      </c>
      <c r="AA1000" s="200">
        <v>4.034714430316555E-2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45839</v>
      </c>
      <c r="Y1001" s="202">
        <f>_xll.qlInterestRateIndexValueDate(IborIndex,X1001,Trigger)</f>
        <v>45841</v>
      </c>
      <c r="Z1001" s="203">
        <v>4.0633800820308874E-2</v>
      </c>
      <c r="AA1001" s="200">
        <v>4.0361453739441444E-2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45846</v>
      </c>
      <c r="Y1002" s="202">
        <f>_xll.qlInterestRateIndexValueDate(IborIndex,X1002,Trigger)</f>
        <v>45848</v>
      </c>
      <c r="Z1002" s="203">
        <v>4.0644580923072375E-2</v>
      </c>
      <c r="AA1002" s="200">
        <v>4.03719545339154E-2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45853</v>
      </c>
      <c r="Y1003" s="202">
        <f>_xll.qlInterestRateIndexValueDate(IborIndex,X1003,Trigger)</f>
        <v>45855</v>
      </c>
      <c r="Z1003" s="203">
        <v>4.0655088452064489E-2</v>
      </c>
      <c r="AA1003" s="200">
        <v>4.0383954904532615E-2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45860</v>
      </c>
      <c r="Y1004" s="202">
        <f>_xll.qlInterestRateIndexValueDate(IborIndex,X1004,Trigger)</f>
        <v>45862</v>
      </c>
      <c r="Z1004" s="203">
        <v>4.0665323405110441E-2</v>
      </c>
      <c r="AA1004" s="200">
        <v>4.0395685445231422E-2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45867</v>
      </c>
      <c r="Y1005" s="202">
        <f>_xll.qlInterestRateIndexValueDate(IborIndex,X1005,Trigger)</f>
        <v>45869</v>
      </c>
      <c r="Z1005" s="203">
        <v>4.0675285780092801E-2</v>
      </c>
      <c r="AA1005" s="200">
        <v>4.0407146155931883E-2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45874</v>
      </c>
      <c r="Y1006" s="202">
        <f>_xll.qlInterestRateIndexValueDate(IborIndex,X1006,Trigger)</f>
        <v>45876</v>
      </c>
      <c r="Z1006" s="203">
        <v>4.0684975574951467E-2</v>
      </c>
      <c r="AA1006" s="200">
        <v>4.0418337036713936E-2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45881</v>
      </c>
      <c r="Y1007" s="202">
        <f>_xll.qlInterestRateIndexValueDate(IborIndex,X1007,Trigger)</f>
        <v>45883</v>
      </c>
      <c r="Z1007" s="203">
        <v>4.0694392787682825E-2</v>
      </c>
      <c r="AA1007" s="200">
        <v>4.042925808757758E-2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45888</v>
      </c>
      <c r="Y1008" s="202">
        <f>_xll.qlInterestRateIndexValueDate(IborIndex,X1008,Trigger)</f>
        <v>45890</v>
      </c>
      <c r="Z1008" s="203">
        <v>4.0703537416338004E-2</v>
      </c>
      <c r="AA1008" s="200">
        <v>4.0439909308362942E-2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45895</v>
      </c>
      <c r="Y1009" s="202">
        <f>_xll.qlInterestRateIndexValueDate(IborIndex,X1009,Trigger)</f>
        <v>45897</v>
      </c>
      <c r="Z1009" s="203">
        <v>4.0712409459025475E-2</v>
      </c>
      <c r="AA1009" s="200">
        <v>4.0451751727967888E-2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45902</v>
      </c>
      <c r="Y1010" s="202">
        <f>_xll.qlInterestRateIndexValueDate(IborIndex,X1010,Trigger)</f>
        <v>45904</v>
      </c>
      <c r="Z1010" s="203">
        <v>4.0718151168900256E-2</v>
      </c>
      <c r="AA1010" s="200">
        <v>4.0460402259858697E-2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45909</v>
      </c>
      <c r="Y1011" s="202">
        <f>_xll.qlInterestRateIndexValueDate(IborIndex,X1011,Trigger)</f>
        <v>45911</v>
      </c>
      <c r="Z1011" s="203">
        <v>4.0726496565798631E-2</v>
      </c>
      <c r="AA1011" s="200">
        <v>4.0470243990409216E-2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45916</v>
      </c>
      <c r="Y1012" s="202">
        <f>_xll.qlInterestRateIndexValueDate(IborIndex,X1012,Trigger)</f>
        <v>45918</v>
      </c>
      <c r="Z1012" s="203">
        <v>4.0734569402003866E-2</v>
      </c>
      <c r="AA1012" s="200">
        <v>4.047981589096139E-2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45923</v>
      </c>
      <c r="Y1013" s="202">
        <f>_xll.qlInterestRateIndexValueDate(IborIndex,X1013,Trigger)</f>
        <v>45925</v>
      </c>
      <c r="Z1013" s="203">
        <v>4.0753568496526497E-2</v>
      </c>
      <c r="AA1013" s="200">
        <v>4.0489117961355348E-2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45930</v>
      </c>
      <c r="Y1014" s="202">
        <f>_xll.qlInterestRateIndexValueDate(IborIndex,X1014,Trigger)</f>
        <v>45932</v>
      </c>
      <c r="Z1014" s="203">
        <v>4.0752680820701305E-2</v>
      </c>
      <c r="AA1014" s="200">
        <v>4.0498150201591088E-2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45937</v>
      </c>
      <c r="Y1015" s="202">
        <f>_xll.qlInterestRateIndexValueDate(IborIndex,X1015,Trigger)</f>
        <v>45939</v>
      </c>
      <c r="Z1015" s="203">
        <v>4.0759917311022187E-2</v>
      </c>
      <c r="AA1015" s="200">
        <v>4.0508142357653654E-2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45944</v>
      </c>
      <c r="Y1016" s="202">
        <f>_xll.qlInterestRateIndexValueDate(IborIndex,X1016,Trigger)</f>
        <v>45946</v>
      </c>
      <c r="Z1016" s="203">
        <v>4.0766881203713384E-2</v>
      </c>
      <c r="AA1016" s="200">
        <v>4.0515405191667853E-2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45951</v>
      </c>
      <c r="Y1017" s="202">
        <f>_xll.qlInterestRateIndexValueDate(IborIndex,X1017,Trigger)</f>
        <v>45953</v>
      </c>
      <c r="Z1017" s="203">
        <v>4.0773572497335181E-2</v>
      </c>
      <c r="AA1017" s="200">
        <v>4.0523627941269069E-2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45958</v>
      </c>
      <c r="Y1018" s="202">
        <f>_xll.qlInterestRateIndexValueDate(IborIndex,X1018,Trigger)</f>
        <v>45960</v>
      </c>
      <c r="Z1018" s="203">
        <v>4.0779991190503462E-2</v>
      </c>
      <c r="AA1018" s="200">
        <v>4.0531580860871941E-2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45965</v>
      </c>
      <c r="Y1019" s="202">
        <f>_xll.qlInterestRateIndexValueDate(IborIndex,X1019,Trigger)</f>
        <v>45967</v>
      </c>
      <c r="Z1019" s="203">
        <v>4.0786137281890594E-2</v>
      </c>
      <c r="AA1019" s="200">
        <v>4.0542084333563544E-2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45972</v>
      </c>
      <c r="Y1020" s="202">
        <f>_xll.qlInterestRateIndexValueDate(IborIndex,X1020,Trigger)</f>
        <v>45974</v>
      </c>
      <c r="Z1020" s="203">
        <v>4.0792010770224547E-2</v>
      </c>
      <c r="AA1020" s="200">
        <v>4.0546677209123416E-2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45979</v>
      </c>
      <c r="Y1021" s="202">
        <f>_xll.qlInterestRateIndexValueDate(IborIndex,X1021,Trigger)</f>
        <v>45981</v>
      </c>
      <c r="Z1021" s="203">
        <v>4.0797611654293256E-2</v>
      </c>
      <c r="AA1021" s="200">
        <v>4.055382063777202E-2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45986</v>
      </c>
      <c r="Y1022" s="202">
        <f>_xll.qlInterestRateIndexValueDate(IborIndex,X1022,Trigger)</f>
        <v>45989</v>
      </c>
      <c r="Z1022" s="203">
        <v>4.0801048217422566E-2</v>
      </c>
      <c r="AA1022" s="200">
        <v>4.0561654151849424E-2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45993</v>
      </c>
      <c r="Y1023" s="202">
        <f>_xll.qlInterestRateIndexValueDate(IborIndex,X1023,Trigger)</f>
        <v>45995</v>
      </c>
      <c r="Z1023" s="203">
        <v>4.0802765108324479E-2</v>
      </c>
      <c r="AA1023" s="200">
        <v>4.0567298004274832E-2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46000</v>
      </c>
      <c r="Y1024" s="202">
        <f>_xll.qlInterestRateIndexValueDate(IborIndex,X1024,Trigger)</f>
        <v>46002</v>
      </c>
      <c r="Z1024" s="203">
        <v>4.080758602950052E-2</v>
      </c>
      <c r="AA1024" s="200">
        <v>4.0573631942049104E-2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46007</v>
      </c>
      <c r="Y1025" s="202">
        <f>_xll.qlInterestRateIndexValueDate(IborIndex,X1025,Trigger)</f>
        <v>46009</v>
      </c>
      <c r="Z1025" s="203">
        <v>4.0812134403609868E-2</v>
      </c>
      <c r="AA1025" s="200">
        <v>4.0579696049585223E-2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46014</v>
      </c>
      <c r="Y1026" s="202">
        <f>_xll.qlInterestRateIndexValueDate(IborIndex,X1026,Trigger)</f>
        <v>46020</v>
      </c>
      <c r="Z1026" s="203">
        <v>4.0821279509294241E-2</v>
      </c>
      <c r="AA1026" s="200">
        <v>4.0589781609172704E-2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46021</v>
      </c>
      <c r="Y1027" s="202">
        <f>_xll.qlInterestRateIndexValueDate(IborIndex,X1027,Trigger)</f>
        <v>46024</v>
      </c>
      <c r="Z1027" s="203">
        <v>4.082096315480932E-2</v>
      </c>
      <c r="AA1027" s="200">
        <v>4.0591781953223105E-2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46028</v>
      </c>
      <c r="Y1028" s="202">
        <f>_xll.qlInterestRateIndexValueDate(IborIndex,X1028,Trigger)</f>
        <v>46030</v>
      </c>
      <c r="Z1028" s="203">
        <v>4.0824144234590243E-2</v>
      </c>
      <c r="AA1028" s="200">
        <v>4.0596269389885364E-2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46035</v>
      </c>
      <c r="Y1029" s="202">
        <f>_xll.qlInterestRateIndexValueDate(IborIndex,X1029,Trigger)</f>
        <v>46037</v>
      </c>
      <c r="Z1029" s="203">
        <v>4.0827602411769526E-2</v>
      </c>
      <c r="AA1029" s="200">
        <v>4.0601944261178247E-2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46042</v>
      </c>
      <c r="Y1030" s="202">
        <f>_xll.qlInterestRateIndexValueDate(IborIndex,X1030,Trigger)</f>
        <v>46044</v>
      </c>
      <c r="Z1030" s="203">
        <v>4.0830788037828469E-2</v>
      </c>
      <c r="AA1030" s="200">
        <v>4.0605969131455311E-2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46049</v>
      </c>
      <c r="Y1031" s="202">
        <f>_xll.qlInterestRateIndexValueDate(IborIndex,X1031,Trigger)</f>
        <v>46051</v>
      </c>
      <c r="Z1031" s="203">
        <v>4.083370111212492E-2</v>
      </c>
      <c r="AA1031" s="200">
        <v>4.0610414256683214E-2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46056</v>
      </c>
      <c r="Y1032" s="202">
        <f>_xll.qlInterestRateIndexValueDate(IborIndex,X1032,Trigger)</f>
        <v>46058</v>
      </c>
      <c r="Z1032" s="203">
        <v>4.0833895373619408E-2</v>
      </c>
      <c r="AA1032" s="200">
        <v>4.0614589551433156E-2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46063</v>
      </c>
      <c r="Y1033" s="202">
        <f>_xll.qlInterestRateIndexValueDate(IborIndex,X1033,Trigger)</f>
        <v>46065</v>
      </c>
      <c r="Z1033" s="203">
        <v>4.083628254134223E-2</v>
      </c>
      <c r="AA1033" s="200">
        <v>4.0619030912312226E-2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46070</v>
      </c>
      <c r="Y1034" s="202">
        <f>_xll.qlInterestRateIndexValueDate(IborIndex,X1034,Trigger)</f>
        <v>46072</v>
      </c>
      <c r="Z1034" s="203">
        <v>4.0838397186474487E-2</v>
      </c>
      <c r="AA1034" s="200">
        <v>4.0622130649738963E-2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46077</v>
      </c>
      <c r="Y1035" s="202">
        <f>_xll.qlInterestRateIndexValueDate(IborIndex,X1035,Trigger)</f>
        <v>46079</v>
      </c>
      <c r="Z1035" s="203">
        <v>4.0840239308592256E-2</v>
      </c>
      <c r="AA1035" s="200">
        <v>4.0625496453214893E-2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46084</v>
      </c>
      <c r="Y1036" s="202">
        <f>_xll.qlInterestRateIndexValueDate(IborIndex,X1036,Trigger)</f>
        <v>46086</v>
      </c>
      <c r="Z1036" s="203">
        <v>4.0848911749631928E-2</v>
      </c>
      <c r="AA1036" s="200">
        <v>4.0628592426292798E-2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46091</v>
      </c>
      <c r="Y1037" s="202">
        <f>_xll.qlInterestRateIndexValueDate(IborIndex,X1037,Trigger)</f>
        <v>46093</v>
      </c>
      <c r="Z1037" s="203">
        <v>4.0850150846205968E-2</v>
      </c>
      <c r="AA1037" s="200">
        <v>4.0631418568892741E-2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46098</v>
      </c>
      <c r="Y1038" s="202">
        <f>_xll.qlInterestRateIndexValueDate(IborIndex,X1038,Trigger)</f>
        <v>46100</v>
      </c>
      <c r="Z1038" s="203">
        <v>4.0851117326488731E-2</v>
      </c>
      <c r="AA1038" s="200">
        <v>4.0633974880934787E-2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46105</v>
      </c>
      <c r="Y1039" s="202">
        <f>_xll.qlInterestRateIndexValueDate(IborIndex,X1039,Trigger)</f>
        <v>46107</v>
      </c>
      <c r="Z1039" s="203">
        <v>4.0851811190276026E-2</v>
      </c>
      <c r="AA1039" s="200">
        <v>4.0636261362658743E-2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46112</v>
      </c>
      <c r="Y1040" s="202">
        <f>_xll.qlInterestRateIndexValueDate(IborIndex,X1040,Trigger)</f>
        <v>46114</v>
      </c>
      <c r="Z1040" s="203">
        <v>4.0849943997366182E-2</v>
      </c>
      <c r="AA1040" s="200">
        <v>4.0638278013824802E-2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46119</v>
      </c>
      <c r="Y1041" s="202">
        <f>_xll.qlInterestRateIndexValueDate(IborIndex,X1041,Trigger)</f>
        <v>46121</v>
      </c>
      <c r="Z1041" s="203">
        <v>4.0850112156691765E-2</v>
      </c>
      <c r="AA1041" s="200">
        <v>4.06400248345129E-2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46126</v>
      </c>
      <c r="Y1042" s="202">
        <f>_xll.qlInterestRateIndexValueDate(IborIndex,X1042,Trigger)</f>
        <v>46128</v>
      </c>
      <c r="Z1042" s="203">
        <v>4.085001443641418E-2</v>
      </c>
      <c r="AA1042" s="200">
        <v>4.06415018246431E-2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46133</v>
      </c>
      <c r="Y1043" s="202">
        <f>_xll.qlInterestRateIndexValueDate(IborIndex,X1043,Trigger)</f>
        <v>46135</v>
      </c>
      <c r="Z1043" s="203">
        <v>4.0849669018091665E-2</v>
      </c>
      <c r="AA1043" s="200">
        <v>4.0642708984375275E-2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46140</v>
      </c>
      <c r="Y1044" s="202">
        <f>_xll.qlInterestRateIndexValueDate(IborIndex,X1044,Trigger)</f>
        <v>46142</v>
      </c>
      <c r="Z1044" s="203">
        <v>4.085131988659655E-2</v>
      </c>
      <c r="AA1044" s="200">
        <v>4.0643646313629489E-2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46147</v>
      </c>
      <c r="Y1045" s="202">
        <f>_xll.qlInterestRateIndexValueDate(IborIndex,X1045,Trigger)</f>
        <v>46149</v>
      </c>
      <c r="Z1045" s="203">
        <v>4.0850526618070031E-2</v>
      </c>
      <c r="AA1045" s="200">
        <v>4.0644313812325805E-2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46154</v>
      </c>
      <c r="Y1046" s="202">
        <f>_xll.qlInterestRateIndexValueDate(IborIndex,X1046,Trigger)</f>
        <v>46156</v>
      </c>
      <c r="Z1046" s="203">
        <v>4.0849545535904953E-2</v>
      </c>
      <c r="AA1046" s="200">
        <v>4.0644711480704032E-2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46161</v>
      </c>
      <c r="Y1047" s="202">
        <f>_xll.qlInterestRateIndexValueDate(IborIndex,X1047,Trigger)</f>
        <v>46163</v>
      </c>
      <c r="Z1047" s="203">
        <v>4.0848395789250549E-2</v>
      </c>
      <c r="AA1047" s="200">
        <v>4.0644835553935721E-2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46168</v>
      </c>
      <c r="Y1048" s="202">
        <f>_xll.qlInterestRateIndexValueDate(IborIndex,X1048,Trigger)</f>
        <v>46170</v>
      </c>
      <c r="Z1048" s="203">
        <v>4.084709652725256E-2</v>
      </c>
      <c r="AA1048" s="200">
        <v>4.0644697325706858E-2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46175</v>
      </c>
      <c r="Y1049" s="202">
        <f>_xll.qlInterestRateIndexValueDate(IborIndex,X1049,Trigger)</f>
        <v>46177</v>
      </c>
      <c r="Z1049" s="203">
        <v>4.0845666899054132E-2</v>
      </c>
      <c r="AA1049" s="200">
        <v>4.0644285502411392E-2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46182</v>
      </c>
      <c r="Y1050" s="202">
        <f>_xll.qlInterestRateIndexValueDate(IborIndex,X1050,Trigger)</f>
        <v>46184</v>
      </c>
      <c r="Z1050" s="203">
        <v>4.0844126053781883E-2</v>
      </c>
      <c r="AA1050" s="200">
        <v>4.0643603848717902E-2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46189</v>
      </c>
      <c r="Y1051" s="202">
        <f>_xll.qlInterestRateIndexValueDate(IborIndex,X1051,Trigger)</f>
        <v>46191</v>
      </c>
      <c r="Z1051" s="203">
        <v>4.0842493140546825E-2</v>
      </c>
      <c r="AA1051" s="200">
        <v>4.0642652364466514E-2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46196</v>
      </c>
      <c r="Y1052" s="202">
        <f>_xll.qlInterestRateIndexValueDate(IborIndex,X1052,Trigger)</f>
        <v>46198</v>
      </c>
      <c r="Z1052" s="203">
        <v>4.0840787308430389E-2</v>
      </c>
      <c r="AA1052" s="200">
        <v>4.0641431049737164E-2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46203</v>
      </c>
      <c r="Y1053" s="202">
        <f>_xll.qlInterestRateIndexValueDate(IborIndex,X1053,Trigger)</f>
        <v>46205</v>
      </c>
      <c r="Z1053" s="203">
        <v>4.0839027706492323E-2</v>
      </c>
      <c r="AA1053" s="200">
        <v>4.0639705704190732E-2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46210</v>
      </c>
      <c r="Y1054" s="202">
        <f>_xll.qlInterestRateIndexValueDate(IborIndex,X1054,Trigger)</f>
        <v>46212</v>
      </c>
      <c r="Z1054" s="203">
        <v>4.0837233409317136E-2</v>
      </c>
      <c r="AA1054" s="200">
        <v>4.0638286533649648E-2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46217</v>
      </c>
      <c r="Y1055" s="202">
        <f>_xll.qlInterestRateIndexValueDate(IborIndex,X1055,Trigger)</f>
        <v>46219</v>
      </c>
      <c r="Z1055" s="203">
        <v>4.0835417006130144E-2</v>
      </c>
      <c r="AA1055" s="200">
        <v>4.0636611585709304E-2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46224</v>
      </c>
      <c r="Y1056" s="202">
        <f>_xll.qlInterestRateIndexValueDate(IborIndex,X1056,Trigger)</f>
        <v>46226</v>
      </c>
      <c r="Z1056" s="203">
        <v>4.0833579660037485E-2</v>
      </c>
      <c r="AA1056" s="200">
        <v>4.0634915907871161E-2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46231</v>
      </c>
      <c r="Y1057" s="202">
        <f>_xll.qlInterestRateIndexValueDate(IborIndex,X1057,Trigger)</f>
        <v>46233</v>
      </c>
      <c r="Z1057" s="203">
        <v>4.08317213710713E-2</v>
      </c>
      <c r="AA1057" s="200">
        <v>4.0633199500295092E-2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46238</v>
      </c>
      <c r="Y1058" s="202">
        <f>_xll.qlInterestRateIndexValueDate(IborIndex,X1058,Trigger)</f>
        <v>46240</v>
      </c>
      <c r="Z1058" s="203">
        <v>4.0829842139259394E-2</v>
      </c>
      <c r="AA1058" s="200">
        <v>4.0631462362981097E-2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46245</v>
      </c>
      <c r="Y1059" s="202">
        <f>_xll.qlInterestRateIndexValueDate(IborIndex,X1059,Trigger)</f>
        <v>46247</v>
      </c>
      <c r="Z1059" s="203">
        <v>4.0827941964633054E-2</v>
      </c>
      <c r="AA1059" s="200">
        <v>4.0629704495849239E-2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46252</v>
      </c>
      <c r="Y1060" s="202">
        <f>_xll.qlInterestRateIndexValueDate(IborIndex,X1060,Trigger)</f>
        <v>46254</v>
      </c>
      <c r="Z1060" s="203">
        <v>4.0826020847220951E-2</v>
      </c>
      <c r="AA1060" s="200">
        <v>4.0627925898979456E-2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46259</v>
      </c>
      <c r="Y1061" s="202">
        <f>_xll.qlInterestRateIndexValueDate(IborIndex,X1061,Trigger)</f>
        <v>46261</v>
      </c>
      <c r="Z1061" s="203">
        <v>4.0824078787055219E-2</v>
      </c>
      <c r="AA1061" s="200">
        <v>4.062612657229181E-2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46266</v>
      </c>
      <c r="Y1062" s="202">
        <f>_xll.qlInterestRateIndexValueDate(IborIndex,X1062,Trigger)</f>
        <v>46268</v>
      </c>
      <c r="Z1062" s="203">
        <v>4.0819953522521553E-2</v>
      </c>
      <c r="AA1062" s="200">
        <v>4.0624044815604776E-2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46273</v>
      </c>
      <c r="Y1063" s="202">
        <f>_xll.qlInterestRateIndexValueDate(IborIndex,X1063,Trigger)</f>
        <v>46275</v>
      </c>
      <c r="Z1063" s="203">
        <v>4.0817971296460892E-2</v>
      </c>
      <c r="AA1063" s="200">
        <v>4.0622465729702739E-2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46280</v>
      </c>
      <c r="Y1064" s="202">
        <f>_xll.qlInterestRateIndexValueDate(IborIndex,X1064,Trigger)</f>
        <v>46282</v>
      </c>
      <c r="Z1064" s="203">
        <v>4.0815968130088774E-2</v>
      </c>
      <c r="AA1064" s="200">
        <v>4.0620604213801315E-2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46287</v>
      </c>
      <c r="Y1065" s="202">
        <f>_xll.qlInterestRateIndexValueDate(IborIndex,X1065,Trigger)</f>
        <v>46289</v>
      </c>
      <c r="Z1065" s="203">
        <v>4.0813944023435064E-2</v>
      </c>
      <c r="AA1065" s="200">
        <v>4.0618721968082028E-2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46294</v>
      </c>
      <c r="Y1066" s="202">
        <f>_xll.qlInterestRateIndexValueDate(IborIndex,X1066,Trigger)</f>
        <v>46296</v>
      </c>
      <c r="Z1066" s="203">
        <v>4.0820520437159738E-2</v>
      </c>
      <c r="AA1066" s="200">
        <v>4.0616818992544879E-2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46301</v>
      </c>
      <c r="Y1067" s="202">
        <f>_xll.qlInterestRateIndexValueDate(IborIndex,X1067,Trigger)</f>
        <v>46303</v>
      </c>
      <c r="Z1067" s="203">
        <v>4.0811986629964804E-2</v>
      </c>
      <c r="AA1067" s="200">
        <v>4.0614618779972744E-2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46308</v>
      </c>
      <c r="Y1068" s="202">
        <f>_xll.qlInterestRateIndexValueDate(IborIndex,X1068,Trigger)</f>
        <v>46310</v>
      </c>
      <c r="Z1068" s="203">
        <v>4.0809897971400437E-2</v>
      </c>
      <c r="AA1068" s="200">
        <v>4.0612950852336738E-2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46315</v>
      </c>
      <c r="Y1069" s="202">
        <f>_xll.qlInterestRateIndexValueDate(IborIndex,X1069,Trigger)</f>
        <v>46317</v>
      </c>
      <c r="Z1069" s="203">
        <v>4.0807788370337904E-2</v>
      </c>
      <c r="AA1069" s="200">
        <v>4.0610985687425938E-2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46322</v>
      </c>
      <c r="Y1070" s="202">
        <f>_xll.qlInterestRateIndexValueDate(IborIndex,X1070,Trigger)</f>
        <v>46324</v>
      </c>
      <c r="Z1070" s="203">
        <v>4.0805657826809345E-2</v>
      </c>
      <c r="AA1070" s="200">
        <v>4.0608999792857148E-2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46329</v>
      </c>
      <c r="Y1071" s="202">
        <f>_xll.qlInterestRateIndexValueDate(IborIndex,X1071,Trigger)</f>
        <v>46331</v>
      </c>
      <c r="Z1071" s="203">
        <v>4.0803506340850393E-2</v>
      </c>
      <c r="AA1071" s="200">
        <v>4.0606993168470495E-2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46336</v>
      </c>
      <c r="Y1072" s="202">
        <f>_xll.qlInterestRateIndexValueDate(IborIndex,X1072,Trigger)</f>
        <v>46338</v>
      </c>
      <c r="Z1072" s="203">
        <v>4.0801333912494922E-2</v>
      </c>
      <c r="AA1072" s="200">
        <v>4.0604965814345917E-2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46343</v>
      </c>
      <c r="Y1073" s="202">
        <f>_xll.qlInterestRateIndexValueDate(IborIndex,X1073,Trigger)</f>
        <v>46345</v>
      </c>
      <c r="Z1073" s="203">
        <v>4.0799140541776829E-2</v>
      </c>
      <c r="AA1073" s="200">
        <v>4.0602917730483412E-2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46350</v>
      </c>
      <c r="Y1074" s="202">
        <f>_xll.qlInterestRateIndexValueDate(IborIndex,X1074,Trigger)</f>
        <v>46353</v>
      </c>
      <c r="Z1074" s="203">
        <v>4.0794466965815582E-2</v>
      </c>
      <c r="AA1074" s="200">
        <v>4.0600551679847996E-2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46357</v>
      </c>
      <c r="Y1075" s="202">
        <f>_xll.qlInterestRateIndexValueDate(IborIndex,X1075,Trigger)</f>
        <v>46359</v>
      </c>
      <c r="Z1075" s="203">
        <v>4.0790411517830805E-2</v>
      </c>
      <c r="AA1075" s="200">
        <v>4.0598759373464688E-2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46364</v>
      </c>
      <c r="Y1076" s="202">
        <f>_xll.qlInterestRateIndexValueDate(IborIndex,X1076,Trigger)</f>
        <v>46366</v>
      </c>
      <c r="Z1076" s="203">
        <v>4.0788158819931475E-2</v>
      </c>
      <c r="AA1076" s="200">
        <v>4.0596649100228532E-2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46371</v>
      </c>
      <c r="Y1077" s="202">
        <f>_xll.qlInterestRateIndexValueDate(IborIndex,X1077,Trigger)</f>
        <v>46373</v>
      </c>
      <c r="Z1077" s="203">
        <v>4.078588518449866E-2</v>
      </c>
      <c r="AA1077" s="200">
        <v>4.0594518097254451E-2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46378</v>
      </c>
      <c r="Y1078" s="202">
        <f>_xll.qlInterestRateIndexValueDate(IborIndex,X1078,Trigger)</f>
        <v>46380</v>
      </c>
      <c r="Z1078" s="203">
        <v>4.0783590611567888E-2</v>
      </c>
      <c r="AA1078" s="200">
        <v>4.0592057281942928E-2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46385</v>
      </c>
      <c r="Y1079" s="202">
        <f>_xll.qlInterestRateIndexValueDate(IborIndex,X1079,Trigger)</f>
        <v>46387</v>
      </c>
      <c r="Z1079" s="203">
        <v>4.0781275101175574E-2</v>
      </c>
      <c r="AA1079" s="200">
        <v>4.0589881858021926E-2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46392</v>
      </c>
      <c r="Y1080" s="202">
        <f>_xll.qlInterestRateIndexValueDate(IborIndex,X1080,Trigger)</f>
        <v>46394</v>
      </c>
      <c r="Z1080" s="203">
        <v>4.0778938653357244E-2</v>
      </c>
      <c r="AA1080" s="200">
        <v>4.0588000709824712E-2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46399</v>
      </c>
      <c r="Y1081" s="202">
        <f>_xll.qlInterestRateIndexValueDate(IborIndex,X1081,Trigger)</f>
        <v>46401</v>
      </c>
      <c r="Z1081" s="203">
        <v>4.0776581268148426E-2</v>
      </c>
      <c r="AA1081" s="200">
        <v>4.0585468820966142E-2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46406</v>
      </c>
      <c r="Y1082" s="202">
        <f>_xll.qlInterestRateIndexValueDate(IborIndex,X1082,Trigger)</f>
        <v>46408</v>
      </c>
      <c r="Z1082" s="203">
        <v>4.0774202945587312E-2</v>
      </c>
      <c r="AA1082" s="200">
        <v>4.0583552135995404E-2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46413</v>
      </c>
      <c r="Y1083" s="202">
        <f>_xll.qlInterestRateIndexValueDate(IborIndex,X1083,Trigger)</f>
        <v>46415</v>
      </c>
      <c r="Z1083" s="203">
        <v>4.0771803685708541E-2</v>
      </c>
      <c r="AA1083" s="200">
        <v>4.0581296754433893E-2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46420</v>
      </c>
      <c r="Y1084" s="202">
        <f>_xll.qlInterestRateIndexValueDate(IborIndex,X1084,Trigger)</f>
        <v>46422</v>
      </c>
      <c r="Z1084" s="203">
        <v>4.076725957975056E-2</v>
      </c>
      <c r="AA1084" s="200">
        <v>4.0579020643134456E-2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46427</v>
      </c>
      <c r="Y1085" s="202">
        <f>_xll.qlInterestRateIndexValueDate(IborIndex,X1085,Trigger)</f>
        <v>46429</v>
      </c>
      <c r="Z1085" s="203">
        <v>4.0764820215730115E-2</v>
      </c>
      <c r="AA1085" s="200">
        <v>4.0576393989599779E-2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46434</v>
      </c>
      <c r="Y1086" s="202">
        <f>_xll.qlInterestRateIndexValueDate(IborIndex,X1086,Trigger)</f>
        <v>46436</v>
      </c>
      <c r="Z1086" s="203">
        <v>4.076235991684684E-2</v>
      </c>
      <c r="AA1086" s="200">
        <v>4.057440623116193E-2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46441</v>
      </c>
      <c r="Y1087" s="202">
        <f>_xll.qlInterestRateIndexValueDate(IborIndex,X1087,Trigger)</f>
        <v>46443</v>
      </c>
      <c r="Z1087" s="203">
        <v>4.0759878683136665E-2</v>
      </c>
      <c r="AA1087" s="200">
        <v>4.0572067930568778E-2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46448</v>
      </c>
      <c r="Y1088" s="202">
        <f>_xll.qlInterestRateIndexValueDate(IborIndex,X1088,Trigger)</f>
        <v>46450</v>
      </c>
      <c r="Z1088" s="203">
        <v>4.0763726922040139E-2</v>
      </c>
      <c r="AA1088" s="200">
        <v>4.05697089002377E-2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46455</v>
      </c>
      <c r="Y1089" s="202">
        <f>_xll.qlInterestRateIndexValueDate(IborIndex,X1089,Trigger)</f>
        <v>46457</v>
      </c>
      <c r="Z1089" s="203">
        <v>4.0761198478493431E-2</v>
      </c>
      <c r="AA1089" s="200">
        <v>4.0567329140088759E-2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46462</v>
      </c>
      <c r="Y1090" s="202">
        <f>_xll.qlInterestRateIndexValueDate(IborIndex,X1090,Trigger)</f>
        <v>46464</v>
      </c>
      <c r="Z1090" s="203">
        <v>4.0758649093221848E-2</v>
      </c>
      <c r="AA1090" s="200">
        <v>4.0564928650201892E-2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46469</v>
      </c>
      <c r="Y1091" s="202">
        <f>_xll.qlInterestRateIndexValueDate(IborIndex,X1091,Trigger)</f>
        <v>46471</v>
      </c>
      <c r="Z1091" s="203">
        <v>4.0756078766267093E-2</v>
      </c>
      <c r="AA1091" s="200">
        <v>4.0562507430497163E-2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46476</v>
      </c>
      <c r="Y1092" s="202">
        <f>_xll.qlInterestRateIndexValueDate(IborIndex,X1092,Trigger)</f>
        <v>46478</v>
      </c>
      <c r="Z1092" s="203">
        <v>4.0751377841893907E-2</v>
      </c>
      <c r="AA1092" s="200">
        <v>4.0560065481054508E-2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46483</v>
      </c>
      <c r="Y1093" s="202">
        <f>_xll.qlInterestRateIndexValueDate(IborIndex,X1093,Trigger)</f>
        <v>46485</v>
      </c>
      <c r="Z1093" s="203">
        <v>4.0748767421510318E-2</v>
      </c>
      <c r="AA1093" s="200">
        <v>4.0557602801953863E-2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46490</v>
      </c>
      <c r="Y1094" s="202">
        <f>_xll.qlInterestRateIndexValueDate(IborIndex,X1094,Trigger)</f>
        <v>46492</v>
      </c>
      <c r="Z1094" s="203">
        <v>4.0746136061901875E-2</v>
      </c>
      <c r="AA1094" s="200">
        <v>4.0555119393035355E-2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46497</v>
      </c>
      <c r="Y1095" s="202">
        <f>_xll.qlInterestRateIndexValueDate(IborIndex,X1095,Trigger)</f>
        <v>46499</v>
      </c>
      <c r="Z1095" s="203">
        <v>4.0743483763111606E-2</v>
      </c>
      <c r="AA1095" s="200">
        <v>4.0552615254219049E-2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46504</v>
      </c>
      <c r="Y1096" s="202">
        <f>_xll.qlInterestRateIndexValueDate(IborIndex,X1096,Trigger)</f>
        <v>46506</v>
      </c>
      <c r="Z1096" s="203">
        <v>4.0740810525179048E-2</v>
      </c>
      <c r="AA1096" s="200">
        <v>4.0550090385824689E-2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46511</v>
      </c>
      <c r="Y1097" s="202">
        <f>_xll.qlInterestRateIndexValueDate(IborIndex,X1097,Trigger)</f>
        <v>46513</v>
      </c>
      <c r="Z1097" s="203">
        <v>4.0740217031486677E-2</v>
      </c>
      <c r="AA1097" s="200">
        <v>4.054754478753253E-2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46518</v>
      </c>
      <c r="Y1098" s="202">
        <f>_xll.qlInterestRateIndexValueDate(IborIndex,X1098,Trigger)</f>
        <v>46520</v>
      </c>
      <c r="Z1098" s="203">
        <v>4.0737500113907067E-2</v>
      </c>
      <c r="AA1098" s="200">
        <v>4.0544978459582381E-2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46525</v>
      </c>
      <c r="Y1099" s="202">
        <f>_xll.qlInterestRateIndexValueDate(IborIndex,X1099,Trigger)</f>
        <v>46527</v>
      </c>
      <c r="Z1099" s="203">
        <v>4.0734762254978803E-2</v>
      </c>
      <c r="AA1099" s="200">
        <v>4.0542391401814371E-2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46532</v>
      </c>
      <c r="Y1100" s="202">
        <f>_xll.qlInterestRateIndexValueDate(IborIndex,X1100,Trigger)</f>
        <v>46534</v>
      </c>
      <c r="Z1100" s="203">
        <v>4.073200345474793E-2</v>
      </c>
      <c r="AA1100" s="200">
        <v>4.0539409381104008E-2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46539</v>
      </c>
      <c r="Y1101" s="202">
        <f>_xll.qlInterestRateIndexValueDate(IborIndex,X1101,Trigger)</f>
        <v>46541</v>
      </c>
      <c r="Z1101" s="203">
        <v>4.0729223713254423E-2</v>
      </c>
      <c r="AA1101" s="200">
        <v>4.053715509706457E-2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46546</v>
      </c>
      <c r="Y1102" s="202">
        <f>_xll.qlInterestRateIndexValueDate(IborIndex,X1102,Trigger)</f>
        <v>46548</v>
      </c>
      <c r="Z1102" s="203">
        <v>4.0726423030545196E-2</v>
      </c>
      <c r="AA1102" s="200">
        <v>4.0534505850162716E-2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46553</v>
      </c>
      <c r="Y1103" s="202">
        <f>_xll.qlInterestRateIndexValueDate(IborIndex,X1103,Trigger)</f>
        <v>46555</v>
      </c>
      <c r="Z1103" s="203">
        <v>4.0723601406665436E-2</v>
      </c>
      <c r="AA1103" s="200">
        <v>4.0531835873363065E-2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46560</v>
      </c>
      <c r="Y1104" s="202">
        <f>_xll.qlInterestRateIndexValueDate(IborIndex,X1104,Trigger)</f>
        <v>46562</v>
      </c>
      <c r="Z1104" s="203">
        <v>4.0720758841656844E-2</v>
      </c>
      <c r="AA1104" s="200">
        <v>4.0529145166825487E-2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46567</v>
      </c>
      <c r="Y1105" s="202">
        <f>_xll.qlInterestRateIndexValueDate(IborIndex,X1105,Trigger)</f>
        <v>46569</v>
      </c>
      <c r="Z1105" s="203">
        <v>4.0717895335567203E-2</v>
      </c>
      <c r="AA1105" s="200">
        <v>4.0526044690309959E-2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46574</v>
      </c>
      <c r="Y1106" s="202">
        <f>_xll.qlInterestRateIndexValueDate(IborIndex,X1106,Trigger)</f>
        <v>46576</v>
      </c>
      <c r="Z1106" s="203">
        <v>4.0715010888441705E-2</v>
      </c>
      <c r="AA1106" s="200">
        <v>4.0523701564536552E-2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46581</v>
      </c>
      <c r="Y1107" s="202">
        <f>_xll.qlInterestRateIndexValueDate(IborIndex,X1107,Trigger)</f>
        <v>46583</v>
      </c>
      <c r="Z1107" s="203">
        <v>4.0712105500325529E-2</v>
      </c>
      <c r="AA1107" s="200">
        <v>4.0520948668705259E-2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46588</v>
      </c>
      <c r="Y1108" s="202">
        <f>_xll.qlInterestRateIndexValueDate(IborIndex,X1108,Trigger)</f>
        <v>46590</v>
      </c>
      <c r="Z1108" s="203">
        <v>4.0709179171265583E-2</v>
      </c>
      <c r="AA1108" s="200">
        <v>4.0518175043215976E-2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46595</v>
      </c>
      <c r="Y1109" s="202">
        <f>_xll.qlInterestRateIndexValueDate(IborIndex,X1109,Trigger)</f>
        <v>46597</v>
      </c>
      <c r="Z1109" s="203">
        <v>4.0706231901307066E-2</v>
      </c>
      <c r="AA1109" s="200">
        <v>4.0515380687988767E-2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46602</v>
      </c>
      <c r="Y1110" s="202">
        <f>_xll.qlInterestRateIndexValueDate(IborIndex,X1110,Trigger)</f>
        <v>46604</v>
      </c>
      <c r="Z1110" s="203">
        <v>4.0703263690497753E-2</v>
      </c>
      <c r="AA1110" s="200">
        <v>4.0512565602943695E-2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46609</v>
      </c>
      <c r="Y1111" s="202">
        <f>_xll.qlInterestRateIndexValueDate(IborIndex,X1111,Trigger)</f>
        <v>46611</v>
      </c>
      <c r="Z1111" s="203">
        <v>4.0700274538884564E-2</v>
      </c>
      <c r="AA1111" s="200">
        <v>4.0509729788080762E-2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46616</v>
      </c>
      <c r="Y1112" s="202">
        <f>_xll.qlInterestRateIndexValueDate(IborIndex,X1112,Trigger)</f>
        <v>46618</v>
      </c>
      <c r="Z1112" s="203">
        <v>4.0697264446515287E-2</v>
      </c>
      <c r="AA1112" s="200">
        <v>4.0506873243479902E-2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46623</v>
      </c>
      <c r="Y1113" s="202">
        <f>_xll.qlInterestRateIndexValueDate(IborIndex,X1113,Trigger)</f>
        <v>46625</v>
      </c>
      <c r="Z1113" s="203">
        <v>4.0694233413436851E-2</v>
      </c>
      <c r="AA1113" s="200">
        <v>4.0503995969300988E-2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46630</v>
      </c>
      <c r="Y1114" s="202">
        <f>_xll.qlInterestRateIndexValueDate(IborIndex,X1114,Trigger)</f>
        <v>46632</v>
      </c>
      <c r="Z1114" s="203">
        <v>4.0689111698777633E-2</v>
      </c>
      <c r="AA1114" s="200">
        <v>4.0500682272384125E-2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46637</v>
      </c>
      <c r="Y1115" s="202">
        <f>_xll.qlInterestRateIndexValueDate(IborIndex,X1115,Trigger)</f>
        <v>46639</v>
      </c>
      <c r="Z1115" s="203">
        <v>4.0686040625524347E-2</v>
      </c>
      <c r="AA1115" s="200">
        <v>4.0498179231329701E-2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46644</v>
      </c>
      <c r="Y1116" s="202">
        <f>_xll.qlInterestRateIndexValueDate(IborIndex,X1116,Trigger)</f>
        <v>46646</v>
      </c>
      <c r="Z1116" s="203">
        <v>4.0682948614031787E-2</v>
      </c>
      <c r="AA1116" s="200">
        <v>4.0495239767777136E-2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46651</v>
      </c>
      <c r="Y1117" s="202">
        <f>_xll.qlInterestRateIndexValueDate(IborIndex,X1117,Trigger)</f>
        <v>46653</v>
      </c>
      <c r="Z1117" s="203">
        <v>4.0679835664350905E-2</v>
      </c>
      <c r="AA1117" s="200">
        <v>4.0492279574486645E-2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46658</v>
      </c>
      <c r="Y1118" s="202">
        <f>_xll.qlInterestRateIndexValueDate(IborIndex,X1118,Trigger)</f>
        <v>46660</v>
      </c>
      <c r="Z1118" s="203">
        <v>4.0676701776529128E-2</v>
      </c>
      <c r="AA1118" s="200">
        <v>4.0489298651378292E-2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46665</v>
      </c>
      <c r="Y1119" s="202">
        <f>_xll.qlInterestRateIndexValueDate(IborIndex,X1119,Trigger)</f>
        <v>46667</v>
      </c>
      <c r="Z1119" s="203">
        <v>4.0675607462811521E-2</v>
      </c>
      <c r="AA1119" s="200">
        <v>4.0485866498896073E-2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46672</v>
      </c>
      <c r="Y1120" s="202">
        <f>_xll.qlInterestRateIndexValueDate(IborIndex,X1120,Trigger)</f>
        <v>46674</v>
      </c>
      <c r="Z1120" s="203">
        <v>4.0672429846141729E-2</v>
      </c>
      <c r="AA1120" s="200">
        <v>4.0483274616187614E-2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46679</v>
      </c>
      <c r="Y1121" s="202">
        <f>_xll.qlInterestRateIndexValueDate(IborIndex,X1121,Trigger)</f>
        <v>46681</v>
      </c>
      <c r="Z1121" s="203">
        <v>4.0669231289158107E-2</v>
      </c>
      <c r="AA1121" s="200">
        <v>4.0480231503865483E-2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46686</v>
      </c>
      <c r="Y1122" s="202">
        <f>_xll.qlInterestRateIndexValueDate(IborIndex,X1122,Trigger)</f>
        <v>46688</v>
      </c>
      <c r="Z1122" s="203">
        <v>4.0666011791911046E-2</v>
      </c>
      <c r="AA1122" s="200">
        <v>4.0477167661805424E-2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46693</v>
      </c>
      <c r="Y1123" s="202">
        <f>_xll.qlInterestRateIndexValueDate(IborIndex,X1123,Trigger)</f>
        <v>46695</v>
      </c>
      <c r="Z1123" s="203">
        <v>4.0662771354452683E-2</v>
      </c>
      <c r="AA1123" s="200">
        <v>4.0474083089927504E-2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46700</v>
      </c>
      <c r="Y1124" s="202">
        <f>_xll.qlInterestRateIndexValueDate(IborIndex,X1124,Trigger)</f>
        <v>46703</v>
      </c>
      <c r="Z1124" s="203">
        <v>4.0663144202108578E-2</v>
      </c>
      <c r="AA1124" s="200">
        <v>4.0470532481720056E-2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46707</v>
      </c>
      <c r="Y1125" s="202">
        <f>_xll.qlInterestRateIndexValueDate(IborIndex,X1125,Trigger)</f>
        <v>46709</v>
      </c>
      <c r="Z1125" s="203">
        <v>4.0656227659106231E-2</v>
      </c>
      <c r="AA1125" s="200">
        <v>4.0467851757197693E-2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46714</v>
      </c>
      <c r="Y1126" s="202">
        <f>_xll.qlInterestRateIndexValueDate(IborIndex,X1126,Trigger)</f>
        <v>46717</v>
      </c>
      <c r="Z1126" s="203">
        <v>4.0656545178250153E-2</v>
      </c>
      <c r="AA1126" s="200">
        <v>4.0464253766652192E-2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46721</v>
      </c>
      <c r="Y1127" s="202">
        <f>_xll.qlInterestRateIndexValueDate(IborIndex,X1127,Trigger)</f>
        <v>46723</v>
      </c>
      <c r="Z1127" s="203">
        <v>4.0647554578036101E-2</v>
      </c>
      <c r="AA1127" s="200">
        <v>4.0461537505356304E-2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46728</v>
      </c>
      <c r="Y1128" s="202">
        <f>_xll.qlInterestRateIndexValueDate(IborIndex,X1128,Trigger)</f>
        <v>46730</v>
      </c>
      <c r="Z1128" s="203">
        <v>4.0644211311570672E-2</v>
      </c>
      <c r="AA1128" s="200">
        <v>4.0458349284868689E-2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46735</v>
      </c>
      <c r="Y1129" s="202">
        <f>_xll.qlInterestRateIndexValueDate(IborIndex,X1129,Trigger)</f>
        <v>46737</v>
      </c>
      <c r="Z1129" s="203">
        <v>4.0640847107525656E-2</v>
      </c>
      <c r="AA1129" s="200">
        <v>4.0455140334563211E-2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46742</v>
      </c>
      <c r="Y1130" s="202">
        <f>_xll.qlInterestRateIndexValueDate(IborIndex,X1130,Trigger)</f>
        <v>46744</v>
      </c>
      <c r="Z1130" s="203">
        <v>4.0637461965951131E-2</v>
      </c>
      <c r="AA1130" s="200">
        <v>4.0451447579501476E-2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46750</v>
      </c>
      <c r="Y1131" s="202">
        <f>_xll.qlInterestRateIndexValueDate(IborIndex,X1131,Trigger)</f>
        <v>46756</v>
      </c>
      <c r="Z1131" s="203">
        <v>4.0631610154464766E-2</v>
      </c>
      <c r="AA1131" s="200">
        <v>4.0447260866285362E-2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46757</v>
      </c>
      <c r="Y1132" s="202">
        <f>_xll.qlInterestRateIndexValueDate(IborIndex,X1132,Trigger)</f>
        <v>46759</v>
      </c>
      <c r="Z1132" s="203">
        <v>4.0630137587476856E-2</v>
      </c>
      <c r="AA1132" s="200">
        <v>4.0444920107578497E-2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46764</v>
      </c>
      <c r="Y1133" s="202">
        <f>_xll.qlInterestRateIndexValueDate(IborIndex,X1133,Trigger)</f>
        <v>46766</v>
      </c>
      <c r="Z1133" s="203">
        <v>4.0634822852738721E-2</v>
      </c>
      <c r="AA1133" s="200">
        <v>4.04411528946369E-2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46771</v>
      </c>
      <c r="Y1134" s="202">
        <f>_xll.qlInterestRateIndexValueDate(IborIndex,X1134,Trigger)</f>
        <v>46773</v>
      </c>
      <c r="Z1134" s="203">
        <v>4.0623214760402183E-2</v>
      </c>
      <c r="AA1134" s="200">
        <v>4.0438309716543941E-2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46778</v>
      </c>
      <c r="Y1135" s="202">
        <f>_xll.qlInterestRateIndexValueDate(IborIndex,X1135,Trigger)</f>
        <v>46780</v>
      </c>
      <c r="Z1135" s="203">
        <v>4.0619721940961036E-2</v>
      </c>
      <c r="AA1135" s="200">
        <v>4.043497342649971E-2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46785</v>
      </c>
      <c r="Y1136" s="202">
        <f>_xll.qlInterestRateIndexValueDate(IborIndex,X1136,Trigger)</f>
        <v>46787</v>
      </c>
      <c r="Z1136" s="203">
        <v>4.0614179725158905E-2</v>
      </c>
      <c r="AA1136" s="200">
        <v>4.0431616406637616E-2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46792</v>
      </c>
      <c r="Y1137" s="202">
        <f>_xll.qlInterestRateIndexValueDate(IborIndex,X1137,Trigger)</f>
        <v>46794</v>
      </c>
      <c r="Z1137" s="203">
        <v>4.061064692344285E-2</v>
      </c>
      <c r="AA1137" s="200">
        <v>4.042823865695766E-2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46799</v>
      </c>
      <c r="Y1138" s="202">
        <f>_xll.qlInterestRateIndexValueDate(IborIndex,X1138,Trigger)</f>
        <v>46801</v>
      </c>
      <c r="Z1138" s="203">
        <v>4.0607093186952881E-2</v>
      </c>
      <c r="AA1138" s="200">
        <v>4.0424352988450707E-2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46806</v>
      </c>
      <c r="Y1139" s="202">
        <f>_xll.qlInterestRateIndexValueDate(IborIndex,X1139,Trigger)</f>
        <v>46808</v>
      </c>
      <c r="Z1139" s="203">
        <v>4.0603518515744064E-2</v>
      </c>
      <c r="AA1139" s="200">
        <v>4.0421420968703714E-2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46813</v>
      </c>
      <c r="Y1140" s="202">
        <f>_xll.qlInterestRateIndexValueDate(IborIndex,X1140,Trigger)</f>
        <v>46815</v>
      </c>
      <c r="Z1140" s="203">
        <v>4.060800623697617E-2</v>
      </c>
      <c r="AA1140" s="200">
        <v>4.041798102980998E-2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46820</v>
      </c>
      <c r="Y1141" s="202">
        <f>_xll.qlInterestRateIndexValueDate(IborIndex,X1141,Trigger)</f>
        <v>46822</v>
      </c>
      <c r="Z1141" s="203">
        <v>4.0604382089033574E-2</v>
      </c>
      <c r="AA1141" s="200">
        <v>4.0414520361338191E-2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46827</v>
      </c>
      <c r="Y1142" s="202">
        <f>_xll.qlInterestRateIndexValueDate(IborIndex,X1142,Trigger)</f>
        <v>46829</v>
      </c>
      <c r="Z1142" s="203">
        <v>4.0600736997304696E-2</v>
      </c>
      <c r="AA1142" s="200">
        <v>4.041103896304854E-2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46834</v>
      </c>
      <c r="Y1143" s="202">
        <f>_xll.qlInterestRateIndexValueDate(IborIndex,X1143,Trigger)</f>
        <v>46836</v>
      </c>
      <c r="Z1143" s="203">
        <v>4.0597070961848211E-2</v>
      </c>
      <c r="AA1143" s="200">
        <v>4.0407536835100899E-2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46841</v>
      </c>
      <c r="Y1144" s="202">
        <f>_xll.qlInterestRateIndexValueDate(IborIndex,X1144,Trigger)</f>
        <v>46843</v>
      </c>
      <c r="Z1144" s="203">
        <v>4.0587344398878025E-2</v>
      </c>
      <c r="AA1144" s="200">
        <v>4.0404013977335396E-2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46848</v>
      </c>
      <c r="Y1145" s="202">
        <f>_xll.qlInterestRateIndexValueDate(IborIndex,X1145,Trigger)</f>
        <v>46850</v>
      </c>
      <c r="Z1145" s="203">
        <v>4.0583642210003441E-2</v>
      </c>
      <c r="AA1145" s="200">
        <v>4.0400470389991838E-2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46855</v>
      </c>
      <c r="Y1146" s="202">
        <f>_xll.qlInterestRateIndexValueDate(IborIndex,X1146,Trigger)</f>
        <v>46861</v>
      </c>
      <c r="Z1146" s="203">
        <v>4.0577782184116479E-2</v>
      </c>
      <c r="AA1146" s="200">
        <v>4.0395883888892925E-2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46862</v>
      </c>
      <c r="Y1147" s="202">
        <f>_xll.qlInterestRateIndexValueDate(IborIndex,X1147,Trigger)</f>
        <v>46864</v>
      </c>
      <c r="Z1147" s="203">
        <v>4.0576175022426594E-2</v>
      </c>
      <c r="AA1147" s="200">
        <v>4.0393321025851137E-2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46869</v>
      </c>
      <c r="Y1148" s="202">
        <f>_xll.qlInterestRateIndexValueDate(IborIndex,X1148,Trigger)</f>
        <v>46871</v>
      </c>
      <c r="Z1148" s="203">
        <v>4.0578426630747941E-2</v>
      </c>
      <c r="AA1148" s="200">
        <v>4.0389715249133928E-2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46876</v>
      </c>
      <c r="Y1149" s="202">
        <f>_xll.qlInterestRateIndexValueDate(IborIndex,X1149,Trigger)</f>
        <v>46878</v>
      </c>
      <c r="Z1149" s="203">
        <v>4.0574634934189509E-2</v>
      </c>
      <c r="AA1149" s="200">
        <v>4.038608874275873E-2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46883</v>
      </c>
      <c r="Y1150" s="202">
        <f>_xll.qlInterestRateIndexValueDate(IborIndex,X1150,Trigger)</f>
        <v>46885</v>
      </c>
      <c r="Z1150" s="203">
        <v>4.0570822294326965E-2</v>
      </c>
      <c r="AA1150" s="200">
        <v>4.0382441506645606E-2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46890</v>
      </c>
      <c r="Y1151" s="202">
        <f>_xll.qlInterestRateIndexValueDate(IborIndex,X1151,Trigger)</f>
        <v>46892</v>
      </c>
      <c r="Z1151" s="203">
        <v>4.0566988711222385E-2</v>
      </c>
      <c r="AA1151" s="200">
        <v>4.0378773540794555E-2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46897</v>
      </c>
      <c r="Y1152" s="202">
        <f>_xll.qlInterestRateIndexValueDate(IborIndex,X1152,Trigger)</f>
        <v>46899</v>
      </c>
      <c r="Z1152" s="203">
        <v>4.0565131955169698E-2</v>
      </c>
      <c r="AA1152" s="200">
        <v>4.0374556196400846E-2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46904</v>
      </c>
      <c r="Y1153" s="202">
        <f>_xll.qlInterestRateIndexValueDate(IborIndex,X1153,Trigger)</f>
        <v>46906</v>
      </c>
      <c r="Z1153" s="203">
        <v>4.0561254555295682E-2</v>
      </c>
      <c r="AA1153" s="200">
        <v>4.0371375419878675E-2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46911</v>
      </c>
      <c r="Y1154" s="202">
        <f>_xll.qlInterestRateIndexValueDate(IborIndex,X1154,Trigger)</f>
        <v>46913</v>
      </c>
      <c r="Z1154" s="203">
        <v>4.0555362303081474E-2</v>
      </c>
      <c r="AA1154" s="200">
        <v>4.0367645264893781E-2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46918</v>
      </c>
      <c r="Y1155" s="202">
        <f>_xll.qlInterestRateIndexValueDate(IborIndex,X1155,Trigger)</f>
        <v>46920</v>
      </c>
      <c r="Z1155" s="203">
        <v>4.0551444947636336E-2</v>
      </c>
      <c r="AA1155" s="200">
        <v>4.0363894380170962E-2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46925</v>
      </c>
      <c r="Y1156" s="202">
        <f>_xll.qlInterestRateIndexValueDate(IborIndex,X1156,Trigger)</f>
        <v>46927</v>
      </c>
      <c r="Z1156" s="203">
        <v>4.0547506649262113E-2</v>
      </c>
      <c r="AA1156" s="200">
        <v>4.036012276563028E-2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46932</v>
      </c>
      <c r="Y1157" s="202">
        <f>_xll.qlInterestRateIndexValueDate(IborIndex,X1157,Trigger)</f>
        <v>46934</v>
      </c>
      <c r="Z1157" s="203">
        <v>4.0537582903440388E-2</v>
      </c>
      <c r="AA1157" s="200">
        <v>4.0355786965671214E-2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46939</v>
      </c>
      <c r="Y1158" s="202">
        <f>_xll.qlInterestRateIndexValueDate(IborIndex,X1158,Trigger)</f>
        <v>46941</v>
      </c>
      <c r="Z1158" s="203">
        <v>4.0541553376881555E-2</v>
      </c>
      <c r="AA1158" s="200">
        <v>4.0352517347415073E-2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46946</v>
      </c>
      <c r="Y1159" s="202">
        <f>_xll.qlInterestRateIndexValueDate(IborIndex,X1159,Trigger)</f>
        <v>46948</v>
      </c>
      <c r="Z1159" s="203">
        <v>4.0535566097222225E-2</v>
      </c>
      <c r="AA1159" s="200">
        <v>4.0348683543740549E-2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46953</v>
      </c>
      <c r="Y1160" s="202">
        <f>_xll.qlInterestRateIndexValueDate(IborIndex,X1160,Trigger)</f>
        <v>46955</v>
      </c>
      <c r="Z1160" s="203">
        <v>4.0531544027783022E-2</v>
      </c>
      <c r="AA1160" s="200">
        <v>4.0344829010328098E-2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46960</v>
      </c>
      <c r="Y1161" s="202">
        <f>_xll.qlInterestRateIndexValueDate(IborIndex,X1161,Trigger)</f>
        <v>46962</v>
      </c>
      <c r="Z1161" s="203">
        <v>4.0527501015740416E-2</v>
      </c>
      <c r="AA1161" s="200">
        <v>4.0340953747257657E-2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46967</v>
      </c>
      <c r="Y1162" s="202">
        <f>_xll.qlInterestRateIndexValueDate(IborIndex,X1162,Trigger)</f>
        <v>46969</v>
      </c>
      <c r="Z1162" s="203">
        <v>4.0523437061159899E-2</v>
      </c>
      <c r="AA1162" s="200">
        <v>4.0337057754369354E-2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46974</v>
      </c>
      <c r="Y1163" s="202">
        <f>_xll.qlInterestRateIndexValueDate(IborIndex,X1163,Trigger)</f>
        <v>46976</v>
      </c>
      <c r="Z1163" s="203">
        <v>4.0519352164106945E-2</v>
      </c>
      <c r="AA1163" s="200">
        <v>4.0333141031823061E-2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46981</v>
      </c>
      <c r="Y1164" s="202">
        <f>_xll.qlInterestRateIndexValueDate(IborIndex,X1164,Trigger)</f>
        <v>46983</v>
      </c>
      <c r="Z1164" s="203">
        <v>4.0515246324647036E-2</v>
      </c>
      <c r="AA1164" s="200">
        <v>4.0329203579538841E-2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46988</v>
      </c>
      <c r="Y1165" s="202">
        <f>_xll.qlInterestRateIndexValueDate(IborIndex,X1165,Trigger)</f>
        <v>46990</v>
      </c>
      <c r="Z1165" s="203">
        <v>4.0511119542847349E-2</v>
      </c>
      <c r="AA1165" s="200">
        <v>4.0325245397596632E-2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46995</v>
      </c>
      <c r="Y1166" s="202">
        <f>_xll.qlInterestRateIndexValueDate(IborIndex,X1166,Trigger)</f>
        <v>46997</v>
      </c>
      <c r="Z1166" s="203">
        <v>4.0501059974927651E-2</v>
      </c>
      <c r="AA1166" s="200">
        <v>4.0320696377635912E-2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47002</v>
      </c>
      <c r="Y1167" s="202">
        <f>_xll.qlInterestRateIndexValueDate(IborIndex,X1167,Trigger)</f>
        <v>47004</v>
      </c>
      <c r="Z1167" s="203">
        <v>4.0496897194246616E-2</v>
      </c>
      <c r="AA1167" s="200">
        <v>4.0317266844418498E-2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47009</v>
      </c>
      <c r="Y1168" s="202">
        <f>_xll.qlInterestRateIndexValueDate(IborIndex,X1168,Trigger)</f>
        <v>47011</v>
      </c>
      <c r="Z1168" s="203">
        <v>4.0492713478297991E-2</v>
      </c>
      <c r="AA1168" s="200">
        <v>4.0313246473182573E-2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47016</v>
      </c>
      <c r="Y1169" s="202">
        <f>_xll.qlInterestRateIndexValueDate(IborIndex,X1169,Trigger)</f>
        <v>47018</v>
      </c>
      <c r="Z1169" s="203">
        <v>4.0488508827151173E-2</v>
      </c>
      <c r="AA1169" s="200">
        <v>4.0309205372288659E-2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47023</v>
      </c>
      <c r="Y1170" s="202">
        <f>_xll.qlInterestRateIndexValueDate(IborIndex,X1170,Trigger)</f>
        <v>47025</v>
      </c>
      <c r="Z1170" s="203">
        <v>4.0484283240871173E-2</v>
      </c>
      <c r="AA1170" s="200">
        <v>4.0305143541736754E-2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47030</v>
      </c>
      <c r="Y1171" s="202">
        <f>_xll.qlInterestRateIndexValueDate(IborIndex,X1171,Trigger)</f>
        <v>47032</v>
      </c>
      <c r="Z1171" s="203">
        <v>4.0485919066701501E-2</v>
      </c>
      <c r="AA1171" s="200">
        <v>4.030047606637055E-2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47037</v>
      </c>
      <c r="Y1172" s="202">
        <f>_xll.qlInterestRateIndexValueDate(IborIndex,X1172,Trigger)</f>
        <v>47039</v>
      </c>
      <c r="Z1172" s="203">
        <v>4.0483604414786989E-2</v>
      </c>
      <c r="AA1172" s="200">
        <v>4.0296957691419166E-2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47044</v>
      </c>
      <c r="Y1173" s="202">
        <f>_xll.qlInterestRateIndexValueDate(IborIndex,X1173,Trigger)</f>
        <v>47046</v>
      </c>
      <c r="Z1173" s="203">
        <v>4.0477351372347523E-2</v>
      </c>
      <c r="AA1173" s="200">
        <v>4.0292833671733419E-2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47051</v>
      </c>
      <c r="Y1174" s="202">
        <f>_xll.qlInterestRateIndexValueDate(IborIndex,X1174,Trigger)</f>
        <v>47053</v>
      </c>
      <c r="Z1174" s="203">
        <v>4.0473036112550369E-2</v>
      </c>
      <c r="AA1174" s="200">
        <v>4.0288688922229809E-2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47058</v>
      </c>
      <c r="Y1175" s="202">
        <f>_xll.qlInterestRateIndexValueDate(IborIndex,X1175,Trigger)</f>
        <v>47060</v>
      </c>
      <c r="Z1175" s="203">
        <v>4.0468699911097146E-2</v>
      </c>
      <c r="AA1175" s="200">
        <v>4.028452344306821E-2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47065</v>
      </c>
      <c r="Y1176" s="202">
        <f>_xll.qlInterestRateIndexValueDate(IborIndex,X1176,Trigger)</f>
        <v>47070</v>
      </c>
      <c r="Z1176" s="203">
        <v>4.0458568969062136E-2</v>
      </c>
      <c r="AA1176" s="200">
        <v>4.0279737511976776E-2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47072</v>
      </c>
      <c r="Y1177" s="202">
        <f>_xll.qlInterestRateIndexValueDate(IborIndex,X1177,Trigger)</f>
        <v>47074</v>
      </c>
      <c r="Z1177" s="203">
        <v>4.0461913503227455E-2</v>
      </c>
      <c r="AA1177" s="200">
        <v>4.0276130295531232E-2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47079</v>
      </c>
      <c r="Y1178" s="202">
        <f>_xll.qlInterestRateIndexValueDate(IborIndex,X1178,Trigger)</f>
        <v>47081</v>
      </c>
      <c r="Z1178" s="203">
        <v>4.0455565657521335E-2</v>
      </c>
      <c r="AA1178" s="200">
        <v>4.0271902627155853E-2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47086</v>
      </c>
      <c r="Y1179" s="202">
        <f>_xll.qlInterestRateIndexValueDate(IborIndex,X1179,Trigger)</f>
        <v>47088</v>
      </c>
      <c r="Z1179" s="203">
        <v>4.0443365872584458E-2</v>
      </c>
      <c r="AA1179" s="200">
        <v>4.0267654229202421E-2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47093</v>
      </c>
      <c r="Y1180" s="202">
        <f>_xll.qlInterestRateIndexValueDate(IborIndex,X1180,Trigger)</f>
        <v>47095</v>
      </c>
      <c r="Z1180" s="203">
        <v>4.0438932929497184E-2</v>
      </c>
      <c r="AA1180" s="200">
        <v>4.0263385101431126E-2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47100</v>
      </c>
      <c r="Y1181" s="202">
        <f>_xll.qlInterestRateIndexValueDate(IborIndex,X1181,Trigger)</f>
        <v>47102</v>
      </c>
      <c r="Z1181" s="203">
        <v>4.0434479054304973E-2</v>
      </c>
      <c r="AA1181" s="200">
        <v>4.0259095244001841E-2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47107</v>
      </c>
      <c r="Y1182" s="202">
        <f>_xll.qlInterestRateIndexValueDate(IborIndex,X1182,Trigger)</f>
        <v>47109</v>
      </c>
      <c r="Z1182" s="203">
        <v>4.0430004247077989E-2</v>
      </c>
      <c r="AA1182" s="200">
        <v>4.0254167166455801E-2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47114</v>
      </c>
      <c r="Y1183" s="202">
        <f>_xll.qlInterestRateIndexValueDate(IborIndex,X1183,Trigger)</f>
        <v>47116</v>
      </c>
      <c r="Z1183" s="203">
        <v>4.0425508507884622E-2</v>
      </c>
      <c r="AA1183" s="200">
        <v>4.0249832888159531E-2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47121</v>
      </c>
      <c r="Y1184" s="202">
        <f>_xll.qlInterestRateIndexValueDate(IborIndex,X1184,Trigger)</f>
        <v>47123</v>
      </c>
      <c r="Z1184" s="203">
        <v>4.0420991836795039E-2</v>
      </c>
      <c r="AA1184" s="200">
        <v>4.0246101293446301E-2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47128</v>
      </c>
      <c r="Y1185" s="202">
        <f>_xll.qlInterestRateIndexValueDate(IborIndex,X1185,Trigger)</f>
        <v>47130</v>
      </c>
      <c r="Z1185" s="203">
        <v>4.0416454233881183E-2</v>
      </c>
      <c r="AA1185" s="200">
        <v>4.0241102142513085E-2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47135</v>
      </c>
      <c r="Y1186" s="202">
        <f>_xll.qlInterestRateIndexValueDate(IborIndex,X1186,Trigger)</f>
        <v>47137</v>
      </c>
      <c r="Z1186" s="203">
        <v>4.0411895699210554E-2</v>
      </c>
      <c r="AA1186" s="200">
        <v>4.0237335011186204E-2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47142</v>
      </c>
      <c r="Y1187" s="202">
        <f>_xll.qlInterestRateIndexValueDate(IborIndex,X1187,Trigger)</f>
        <v>47144</v>
      </c>
      <c r="Z1187" s="203">
        <v>4.040731623285776E-2</v>
      </c>
      <c r="AA1187" s="200">
        <v>4.0232920775489234E-2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47149</v>
      </c>
      <c r="Y1188" s="202">
        <f>_xll.qlInterestRateIndexValueDate(IborIndex,X1188,Trigger)</f>
        <v>47151</v>
      </c>
      <c r="Z1188" s="203">
        <v>4.0400788764167396E-2</v>
      </c>
      <c r="AA1188" s="200">
        <v>4.0228485810134273E-2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47156</v>
      </c>
      <c r="Y1189" s="202">
        <f>_xll.qlInterestRateIndexValueDate(IborIndex,X1189,Trigger)</f>
        <v>47158</v>
      </c>
      <c r="Z1189" s="203">
        <v>4.0396169445591212E-2</v>
      </c>
      <c r="AA1189" s="200">
        <v>4.0224030115041387E-2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47163</v>
      </c>
      <c r="Y1190" s="202">
        <f>_xll.qlInterestRateIndexValueDate(IborIndex,X1190,Trigger)</f>
        <v>47165</v>
      </c>
      <c r="Z1190" s="203">
        <v>4.0391529197817772E-2</v>
      </c>
      <c r="AA1190" s="200">
        <v>4.0218912508782623E-2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47170</v>
      </c>
      <c r="Y1191" s="202">
        <f>_xll.qlInterestRateIndexValueDate(IborIndex,X1191,Trigger)</f>
        <v>47172</v>
      </c>
      <c r="Z1191" s="203">
        <v>4.0386868020918933E-2</v>
      </c>
      <c r="AA1191" s="200">
        <v>4.0215056535721772E-2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47177</v>
      </c>
      <c r="Y1192" s="202">
        <f>_xll.qlInterestRateIndexValueDate(IborIndex,X1192,Trigger)</f>
        <v>47179</v>
      </c>
      <c r="Z1192" s="203">
        <v>4.0391780482861787E-2</v>
      </c>
      <c r="AA1192" s="200">
        <v>4.0210538651574979E-2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47184</v>
      </c>
      <c r="Y1193" s="202">
        <f>_xll.qlInterestRateIndexValueDate(IborIndex,X1193,Trigger)</f>
        <v>47186</v>
      </c>
      <c r="Z1193" s="203">
        <v>4.0387067344002173E-2</v>
      </c>
      <c r="AA1193" s="200">
        <v>4.0206000037610323E-2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47191</v>
      </c>
      <c r="Y1194" s="202">
        <f>_xll.qlInterestRateIndexValueDate(IborIndex,X1194,Trigger)</f>
        <v>47193</v>
      </c>
      <c r="Z1194" s="203">
        <v>4.038233326488537E-2</v>
      </c>
      <c r="AA1194" s="200">
        <v>4.0201440694067614E-2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47198</v>
      </c>
      <c r="Y1195" s="202">
        <f>_xll.qlInterestRateIndexValueDate(IborIndex,X1195,Trigger)</f>
        <v>47200</v>
      </c>
      <c r="Z1195" s="203">
        <v>4.0377578245586208E-2</v>
      </c>
      <c r="AA1195" s="200">
        <v>4.0196860620707042E-2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47205</v>
      </c>
      <c r="Y1196" s="202">
        <f>_xll.qlInterestRateIndexValueDate(IborIndex,X1196,Trigger)</f>
        <v>47211</v>
      </c>
      <c r="Z1196" s="203">
        <v>4.0364334948303271E-2</v>
      </c>
      <c r="AA1196" s="200">
        <v>4.0190941495117372E-2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47212</v>
      </c>
      <c r="Y1197" s="202">
        <f>_xll.qlInterestRateIndexValueDate(IborIndex,X1197,Trigger)</f>
        <v>47214</v>
      </c>
      <c r="Z1197" s="203">
        <v>4.0362279181326836E-2</v>
      </c>
      <c r="AA1197" s="200">
        <v>4.0187638285011928E-2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47219</v>
      </c>
      <c r="Y1198" s="202">
        <f>_xll.qlInterestRateIndexValueDate(IborIndex,X1198,Trigger)</f>
        <v>47221</v>
      </c>
      <c r="Z1198" s="203">
        <v>4.0357467464032341E-2</v>
      </c>
      <c r="AA1198" s="200">
        <v>4.018299602259745E-2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47226</v>
      </c>
      <c r="Y1199" s="202">
        <f>_xll.qlInterestRateIndexValueDate(IborIndex,X1199,Trigger)</f>
        <v>47228</v>
      </c>
      <c r="Z1199" s="203">
        <v>4.0352635275279471E-2</v>
      </c>
      <c r="AA1199" s="200">
        <v>4.0178333030524982E-2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47233</v>
      </c>
      <c r="Y1200" s="202">
        <f>_xll.qlInterestRateIndexValueDate(IborIndex,X1200,Trigger)</f>
        <v>47235</v>
      </c>
      <c r="Z1200" s="203">
        <v>4.0347783394472023E-2</v>
      </c>
      <c r="AA1200" s="200">
        <v>4.0173649308794523E-2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47240</v>
      </c>
      <c r="Y1201" s="202">
        <f>_xll.qlInterestRateIndexValueDate(IborIndex,X1201,Trigger)</f>
        <v>47242</v>
      </c>
      <c r="Z1201" s="203">
        <v>4.034861654760255E-2</v>
      </c>
      <c r="AA1201" s="200">
        <v>4.0168944857326139E-2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47247</v>
      </c>
      <c r="Y1202" s="202">
        <f>_xll.qlInterestRateIndexValueDate(IborIndex,X1202,Trigger)</f>
        <v>47249</v>
      </c>
      <c r="Z1202" s="203">
        <v>4.0343722724096961E-2</v>
      </c>
      <c r="AA1202" s="200">
        <v>4.0164219676119828E-2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47254</v>
      </c>
      <c r="Y1203" s="202">
        <f>_xll.qlInterestRateIndexValueDate(IborIndex,X1203,Trigger)</f>
        <v>47256</v>
      </c>
      <c r="Z1203" s="203">
        <v>4.0338811784731157E-2</v>
      </c>
      <c r="AA1203" s="200">
        <v>4.0159473765255527E-2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47261</v>
      </c>
      <c r="Y1204" s="202">
        <f>_xll.qlInterestRateIndexValueDate(IborIndex,X1204,Trigger)</f>
        <v>47263</v>
      </c>
      <c r="Z1204" s="203">
        <v>4.033578109290397E-2</v>
      </c>
      <c r="AA1204" s="200">
        <v>4.0154024483829431E-2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47268</v>
      </c>
      <c r="Y1205" s="202">
        <f>_xll.qlInterestRateIndexValueDate(IborIndex,X1205,Trigger)</f>
        <v>47270</v>
      </c>
      <c r="Z1205" s="203">
        <v>4.0330836761297936E-2</v>
      </c>
      <c r="AA1205" s="200">
        <v>4.0149919754473018E-2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47275</v>
      </c>
      <c r="Y1206" s="202">
        <f>_xll.qlInterestRateIndexValueDate(IborIndex,X1206,Trigger)</f>
        <v>47277</v>
      </c>
      <c r="Z1206" s="203">
        <v>4.0323983919518885E-2</v>
      </c>
      <c r="AA1206" s="200">
        <v>4.014511165455481E-2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47282</v>
      </c>
      <c r="Y1207" s="202">
        <f>_xll.qlInterestRateIndexValueDate(IborIndex,X1207,Trigger)</f>
        <v>47284</v>
      </c>
      <c r="Z1207" s="203">
        <v>4.0319012164742506E-2</v>
      </c>
      <c r="AA1207" s="200">
        <v>4.0140282824898676E-2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47289</v>
      </c>
      <c r="Y1208" s="202">
        <f>_xll.qlInterestRateIndexValueDate(IborIndex,X1208,Trigger)</f>
        <v>47291</v>
      </c>
      <c r="Z1208" s="203">
        <v>4.0314027118103189E-2</v>
      </c>
      <c r="AA1208" s="200">
        <v>4.0135433265584552E-2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47296</v>
      </c>
      <c r="Y1209" s="202">
        <f>_xll.qlInterestRateIndexValueDate(IborIndex,X1209,Trigger)</f>
        <v>47298</v>
      </c>
      <c r="Z1209" s="203">
        <v>4.0303360634655006E-2</v>
      </c>
      <c r="AA1209" s="200">
        <v>4.0132450966736677E-2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47303</v>
      </c>
      <c r="Y1210" s="202">
        <f>_xll.qlInterestRateIndexValueDate(IborIndex,X1210,Trigger)</f>
        <v>47305</v>
      </c>
      <c r="Z1210" s="203">
        <v>4.0305908549910612E-2</v>
      </c>
      <c r="AA1210" s="200">
        <v>4.0125672199948781E-2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47310</v>
      </c>
      <c r="Y1211" s="202">
        <f>_xll.qlInterestRateIndexValueDate(IborIndex,X1211,Trigger)</f>
        <v>47312</v>
      </c>
      <c r="Z1211" s="203">
        <v>4.0298999851085218E-2</v>
      </c>
      <c r="AA1211" s="200">
        <v>4.0120767711213645E-2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47317</v>
      </c>
      <c r="Y1212" s="202">
        <f>_xll.qlInterestRateIndexValueDate(IborIndex,X1212,Trigger)</f>
        <v>47319</v>
      </c>
      <c r="Z1212" s="203">
        <v>4.0293968814031876E-2</v>
      </c>
      <c r="AA1212" s="200">
        <v>4.0115852656290585E-2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47324</v>
      </c>
      <c r="Y1213" s="202">
        <f>_xll.qlInterestRateIndexValueDate(IborIndex,X1213,Trigger)</f>
        <v>47326</v>
      </c>
      <c r="Z1213" s="203">
        <v>4.0288927107294668E-2</v>
      </c>
      <c r="AA1213" s="200">
        <v>4.01109270351796E-2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47331</v>
      </c>
      <c r="Y1214" s="202">
        <f>_xll.qlInterestRateIndexValueDate(IborIndex,X1214,Trigger)</f>
        <v>47333</v>
      </c>
      <c r="Z1214" s="203">
        <v>4.0283874730917824E-2</v>
      </c>
      <c r="AA1214" s="200">
        <v>4.010599084788069E-2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47338</v>
      </c>
      <c r="Y1215" s="202">
        <f>_xll.qlInterestRateIndexValueDate(IborIndex,X1215,Trigger)</f>
        <v>47340</v>
      </c>
      <c r="Z1215" s="203">
        <v>4.028069340861104E-2</v>
      </c>
      <c r="AA1215" s="200">
        <v>4.0101044094393856E-2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47345</v>
      </c>
      <c r="Y1216" s="202">
        <f>_xll.qlInterestRateIndexValueDate(IborIndex,X1216,Trigger)</f>
        <v>47347</v>
      </c>
      <c r="Z1216" s="203">
        <v>4.0273737969408495E-2</v>
      </c>
      <c r="AA1216" s="200">
        <v>4.0096086774639161E-2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47352</v>
      </c>
      <c r="Y1217" s="202">
        <f>_xll.qlInterestRateIndexValueDate(IborIndex,X1217,Trigger)</f>
        <v>47354</v>
      </c>
      <c r="Z1217" s="203">
        <v>4.0268653584361047E-2</v>
      </c>
      <c r="AA1217" s="200">
        <v>4.0091118888856414E-2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47359</v>
      </c>
      <c r="Y1218" s="202">
        <f>_xll.qlInterestRateIndexValueDate(IborIndex,X1218,Trigger)</f>
        <v>47361</v>
      </c>
      <c r="Z1218" s="203">
        <v>4.0257925386184189E-2</v>
      </c>
      <c r="AA1218" s="200">
        <v>4.008542836688278E-2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47366</v>
      </c>
      <c r="Y1219" s="202">
        <f>_xll.qlInterestRateIndexValueDate(IborIndex,X1219,Trigger)</f>
        <v>47368</v>
      </c>
      <c r="Z1219" s="203">
        <v>4.0252823651599511E-2</v>
      </c>
      <c r="AA1219" s="200">
        <v>4.0081151418567273E-2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47373</v>
      </c>
      <c r="Y1220" s="202">
        <f>_xll.qlInterestRateIndexValueDate(IborIndex,X1220,Trigger)</f>
        <v>47375</v>
      </c>
      <c r="Z1220" s="203">
        <v>4.024771125096218E-2</v>
      </c>
      <c r="AA1220" s="200">
        <v>4.0076151834220752E-2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47380</v>
      </c>
      <c r="Y1221" s="202">
        <f>_xll.qlInterestRateIndexValueDate(IborIndex,X1221,Trigger)</f>
        <v>47382</v>
      </c>
      <c r="Z1221" s="203">
        <v>4.024258818431347E-2</v>
      </c>
      <c r="AA1221" s="200">
        <v>4.0071141683606371E-2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47387</v>
      </c>
      <c r="Y1222" s="202">
        <f>_xll.qlInterestRateIndexValueDate(IborIndex,X1222,Trigger)</f>
        <v>47389</v>
      </c>
      <c r="Z1222" s="203">
        <v>4.0243071617871204E-2</v>
      </c>
      <c r="AA1222" s="200">
        <v>4.0066120966724128E-2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47394</v>
      </c>
      <c r="Y1223" s="202">
        <f>_xll.qlInterestRateIndexValueDate(IborIndex,X1223,Trigger)</f>
        <v>47396</v>
      </c>
      <c r="Z1223" s="203">
        <v>4.0237923216618648E-2</v>
      </c>
      <c r="AA1223" s="200">
        <v>4.0060370066488105E-2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47401</v>
      </c>
      <c r="Y1224" s="202">
        <f>_xll.qlInterestRateIndexValueDate(IborIndex,X1224,Trigger)</f>
        <v>47403</v>
      </c>
      <c r="Z1224" s="203">
        <v>4.0232764146149097E-2</v>
      </c>
      <c r="AA1224" s="200">
        <v>4.0056047834555741E-2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47408</v>
      </c>
      <c r="Y1225" s="202">
        <f>_xll.qlInterestRateIndexValueDate(IborIndex,X1225,Trigger)</f>
        <v>47410</v>
      </c>
      <c r="Z1225" s="203">
        <v>4.0229462811176869E-2</v>
      </c>
      <c r="AA1225" s="200">
        <v>4.0050995419269597E-2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47415</v>
      </c>
      <c r="Y1226" s="202">
        <f>_xll.qlInterestRateIndexValueDate(IborIndex,X1226,Trigger)</f>
        <v>47417</v>
      </c>
      <c r="Z1226" s="203">
        <v>4.0222413997723118E-2</v>
      </c>
      <c r="AA1226" s="200">
        <v>4.0045932437715592E-2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47422</v>
      </c>
      <c r="Y1227" s="202">
        <f>_xll.qlInterestRateIndexValueDate(IborIndex,X1227,Trigger)</f>
        <v>47424</v>
      </c>
      <c r="Z1227" s="203">
        <v>4.0217222919853426E-2</v>
      </c>
      <c r="AA1227" s="200">
        <v>4.0040858890053599E-2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47429</v>
      </c>
      <c r="Y1228" s="202">
        <f>_xll.qlInterestRateIndexValueDate(IborIndex,X1228,Trigger)</f>
        <v>47431</v>
      </c>
      <c r="Z1228" s="203">
        <v>4.0212021172935972E-2</v>
      </c>
      <c r="AA1228" s="200">
        <v>4.0035047611635122E-2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47436</v>
      </c>
      <c r="Y1229" s="202">
        <f>_xll.qlInterestRateIndexValueDate(IborIndex,X1229,Trigger)</f>
        <v>47438</v>
      </c>
      <c r="Z1229" s="203">
        <v>4.0208671803003665E-2</v>
      </c>
      <c r="AA1229" s="200">
        <v>4.0030680096085902E-2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47443</v>
      </c>
      <c r="Y1230" s="202">
        <f>_xll.qlInterestRateIndexValueDate(IborIndex,X1230,Trigger)</f>
        <v>47445</v>
      </c>
      <c r="Z1230" s="203">
        <v>4.0201585672132056E-2</v>
      </c>
      <c r="AA1230" s="200">
        <v>4.0025574849780199E-2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47450</v>
      </c>
      <c r="Y1231" s="202">
        <f>_xll.qlInterestRateIndexValueDate(IborIndex,X1231,Trigger)</f>
        <v>47452</v>
      </c>
      <c r="Z1231" s="203">
        <v>4.018891057495555E-2</v>
      </c>
      <c r="AA1231" s="200">
        <v>4.0020459037366507E-2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47457</v>
      </c>
      <c r="Y1232" s="202">
        <f>_xll.qlInterestRateIndexValueDate(IborIndex,X1232,Trigger)</f>
        <v>47459</v>
      </c>
      <c r="Z1232" s="203">
        <v>4.0183671528669862E-2</v>
      </c>
      <c r="AA1232" s="200">
        <v>4.0015332658764891E-2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47464</v>
      </c>
      <c r="Y1233" s="202">
        <f>_xll.qlInterestRateIndexValueDate(IborIndex,X1233,Trigger)</f>
        <v>47466</v>
      </c>
      <c r="Z1233" s="203">
        <v>4.0178421817976151E-2</v>
      </c>
      <c r="AA1233" s="200">
        <v>4.0010195713895413E-2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47471</v>
      </c>
      <c r="Y1234" s="202">
        <f>_xll.qlInterestRateIndexValueDate(IborIndex,X1234,Trigger)</f>
        <v>47473</v>
      </c>
      <c r="Z1234" s="203">
        <v>4.0173161442917049E-2</v>
      </c>
      <c r="AA1234" s="200">
        <v>4.0004311981673979E-2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47479</v>
      </c>
      <c r="Y1235" s="202">
        <f>_xll.qlInterestRateIndexValueDate(IborIndex,X1235,Trigger)</f>
        <v>47483</v>
      </c>
      <c r="Z1235" s="203">
        <v>4.0161919424412537E-2</v>
      </c>
      <c r="AA1235" s="200">
        <v>3.9998414448731978E-2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47486</v>
      </c>
      <c r="Y1236" s="202">
        <f>_xll.qlInterestRateIndexValueDate(IborIndex,X1236,Trigger)</f>
        <v>47490</v>
      </c>
      <c r="Z1236" s="203">
        <v>4.0162194861320485E-2</v>
      </c>
      <c r="AA1236" s="200">
        <v>3.9993982242290116E-2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47493</v>
      </c>
      <c r="Y1237" s="202">
        <f>_xll.qlInterestRateIndexValueDate(IborIndex,X1237,Trigger)</f>
        <v>47497</v>
      </c>
      <c r="Z1237" s="203">
        <v>4.0156896573276583E-2</v>
      </c>
      <c r="AA1237" s="200">
        <v>3.9988801523316297E-2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47500</v>
      </c>
      <c r="Y1238" s="202">
        <f>_xll.qlInterestRateIndexValueDate(IborIndex,X1238,Trigger)</f>
        <v>47505</v>
      </c>
      <c r="Z1238" s="203">
        <v>4.0150828327412104E-2</v>
      </c>
      <c r="AA1238" s="200">
        <v>3.998286776343285E-2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47507</v>
      </c>
      <c r="Y1239" s="202">
        <f>_xll.qlInterestRateIndexValueDate(IborIndex,X1239,Trigger)</f>
        <v>47511</v>
      </c>
      <c r="Z1239" s="203">
        <v>4.0146268001379701E-2</v>
      </c>
      <c r="AA1239" s="200">
        <v>3.9978408386884823E-2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47514</v>
      </c>
      <c r="Y1240" s="202">
        <f>_xll.qlInterestRateIndexValueDate(IborIndex,X1240,Trigger)</f>
        <v>47518</v>
      </c>
      <c r="Z1240" s="203">
        <v>4.0142785332858665E-2</v>
      </c>
      <c r="AA1240" s="200">
        <v>3.9973195969347231E-2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47521</v>
      </c>
      <c r="Y1241" s="202">
        <f>_xll.qlInterestRateIndexValueDate(IborIndex,X1241,Trigger)</f>
        <v>47525</v>
      </c>
      <c r="Z1241" s="203">
        <v>4.0135596768685722E-2</v>
      </c>
      <c r="AA1241" s="200">
        <v>3.9967972985621714E-2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47528</v>
      </c>
      <c r="Y1242" s="202">
        <f>_xll.qlInterestRateIndexValueDate(IborIndex,X1242,Trigger)</f>
        <v>47533</v>
      </c>
      <c r="Z1242" s="203">
        <v>4.0127635063237577E-2</v>
      </c>
      <c r="AA1242" s="200">
        <v>3.9961990923256252E-2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47535</v>
      </c>
      <c r="Y1243" s="202">
        <f>_xll.qlInterestRateIndexValueDate(IborIndex,X1243,Trigger)</f>
        <v>47539</v>
      </c>
      <c r="Z1243" s="203">
        <v>4.0126726424301817E-2</v>
      </c>
      <c r="AA1243" s="200">
        <v>3.9957495319766778E-2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47542</v>
      </c>
      <c r="Y1244" s="202">
        <f>_xll.qlInterestRateIndexValueDate(IborIndex,X1244,Trigger)</f>
        <v>47546</v>
      </c>
      <c r="Z1244" s="203">
        <v>4.012135212246782E-2</v>
      </c>
      <c r="AA1244" s="200">
        <v>3.9952240637557423E-2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47549</v>
      </c>
      <c r="Y1245" s="202">
        <f>_xll.qlInterestRateIndexValueDate(IborIndex,X1245,Trigger)</f>
        <v>47553</v>
      </c>
      <c r="Z1245" s="203">
        <v>4.011596715455016E-2</v>
      </c>
      <c r="AA1245" s="200">
        <v>3.9946975389160144E-2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47556</v>
      </c>
      <c r="Y1246" s="202">
        <f>_xll.qlInterestRateIndexValueDate(IborIndex,X1246,Trigger)</f>
        <v>47560</v>
      </c>
      <c r="Z1246" s="203">
        <v>4.0110571520590534E-2</v>
      </c>
      <c r="AA1246" s="200">
        <v>3.9941699574495004E-2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47563</v>
      </c>
      <c r="Y1247" s="202">
        <f>_xll.qlInterestRateIndexValueDate(IborIndex,X1247,Trigger)</f>
        <v>47567</v>
      </c>
      <c r="Z1247" s="203">
        <v>4.0105165220634995E-2</v>
      </c>
      <c r="AA1247" s="200">
        <v>3.9936413193801812E-2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47570</v>
      </c>
      <c r="Y1248" s="202">
        <f>_xll.qlInterestRateIndexValueDate(IborIndex,X1248,Trigger)</f>
        <v>47574</v>
      </c>
      <c r="Z1248" s="203">
        <v>4.0097911505441668E-2</v>
      </c>
      <c r="AA1248" s="200">
        <v>3.9931116246920695E-2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47577</v>
      </c>
      <c r="Y1249" s="202">
        <f>_xll.qlInterestRateIndexValueDate(IborIndex,X1249,Trigger)</f>
        <v>47581</v>
      </c>
      <c r="Z1249" s="203">
        <v>4.0092485236815148E-2</v>
      </c>
      <c r="AA1249" s="200">
        <v>3.9925808733771717E-2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47584</v>
      </c>
      <c r="Y1250" s="202">
        <f>_xll.qlInterestRateIndexValueDate(IborIndex,X1250,Trigger)</f>
        <v>47588</v>
      </c>
      <c r="Z1250" s="203">
        <v>4.0087048303419345E-2</v>
      </c>
      <c r="AA1250" s="200">
        <v>3.9920490654674623E-2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47591</v>
      </c>
      <c r="Y1251" s="202">
        <f>_xll.qlInterestRateIndexValueDate(IborIndex,X1251,Trigger)</f>
        <v>47597</v>
      </c>
      <c r="Z1251" s="203">
        <v>4.0080042289872456E-2</v>
      </c>
      <c r="AA1251" s="200">
        <v>3.9917300265548405E-2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47598</v>
      </c>
      <c r="Y1252" s="202">
        <f>_xll.qlInterestRateIndexValueDate(IborIndex,X1252,Trigger)</f>
        <v>47602</v>
      </c>
      <c r="Z1252" s="203">
        <v>4.007614244249643E-2</v>
      </c>
      <c r="AA1252" s="200">
        <v>3.9909822797516981E-2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47605</v>
      </c>
      <c r="Y1253" s="202">
        <f>_xll.qlInterestRateIndexValueDate(IborIndex,X1253,Trigger)</f>
        <v>47610</v>
      </c>
      <c r="Z1253" s="203">
        <v>4.007172109602529E-2</v>
      </c>
      <c r="AA1253" s="200">
        <v>3.990370790332598E-2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47612</v>
      </c>
      <c r="Y1254" s="202">
        <f>_xll.qlInterestRateIndexValueDate(IborIndex,X1254,Trigger)</f>
        <v>47616</v>
      </c>
      <c r="Z1254" s="203">
        <v>4.0067022476704711E-2</v>
      </c>
      <c r="AA1254" s="200">
        <v>3.9899112675927384E-2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47619</v>
      </c>
      <c r="Y1255" s="202">
        <f>_xll.qlInterestRateIndexValueDate(IborIndex,X1255,Trigger)</f>
        <v>47623</v>
      </c>
      <c r="Z1255" s="203">
        <v>4.0061530850354528E-2</v>
      </c>
      <c r="AA1255" s="200">
        <v>3.9893741765810731E-2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47626</v>
      </c>
      <c r="Y1256" s="202">
        <f>_xll.qlInterestRateIndexValueDate(IborIndex,X1256,Trigger)</f>
        <v>47631</v>
      </c>
      <c r="Z1256" s="203">
        <v>4.0055241646035453E-2</v>
      </c>
      <c r="AA1256" s="200">
        <v>3.9887590644678284E-2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47633</v>
      </c>
      <c r="Y1257" s="202">
        <f>_xll.qlInterestRateIndexValueDate(IborIndex,X1257,Trigger)</f>
        <v>47637</v>
      </c>
      <c r="Z1257" s="203">
        <v>4.0050515600895002E-2</v>
      </c>
      <c r="AA1257" s="200">
        <v>3.9882968247093586E-2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47640</v>
      </c>
      <c r="Y1258" s="202">
        <f>_xll.qlInterestRateIndexValueDate(IborIndex,X1258,Trigger)</f>
        <v>47644</v>
      </c>
      <c r="Z1258" s="203">
        <v>4.0044991977876893E-2</v>
      </c>
      <c r="AA1258" s="200">
        <v>3.9877565638413159E-2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47647</v>
      </c>
      <c r="Y1259" s="202">
        <f>_xll.qlInterestRateIndexValueDate(IborIndex,X1259,Trigger)</f>
        <v>47651</v>
      </c>
      <c r="Z1259" s="203">
        <v>4.0039457689392884E-2</v>
      </c>
      <c r="AA1259" s="200">
        <v>3.9872152463624744E-2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47654</v>
      </c>
      <c r="Y1260" s="202">
        <f>_xll.qlInterestRateIndexValueDate(IborIndex,X1260,Trigger)</f>
        <v>47658</v>
      </c>
      <c r="Z1260" s="203">
        <v>4.003391273548642E-2</v>
      </c>
      <c r="AA1260" s="200">
        <v>3.9866728722648404E-2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47661</v>
      </c>
      <c r="Y1261" s="202">
        <f>_xll.qlInterestRateIndexValueDate(IborIndex,X1261,Trigger)</f>
        <v>47665</v>
      </c>
      <c r="Z1261" s="203">
        <v>4.0028357116204408E-2</v>
      </c>
      <c r="AA1261" s="200">
        <v>3.9863112613716112E-2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47668</v>
      </c>
      <c r="Y1262" s="202">
        <f>_xll.qlInterestRateIndexValueDate(IborIndex,X1262,Trigger)</f>
        <v>47672</v>
      </c>
      <c r="Z1262" s="203">
        <v>4.0022790831591173E-2</v>
      </c>
      <c r="AA1262" s="200">
        <v>3.9855849542291821E-2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47675</v>
      </c>
      <c r="Y1263" s="202">
        <f>_xll.qlInterestRateIndexValueDate(IborIndex,X1263,Trigger)</f>
        <v>47679</v>
      </c>
      <c r="Z1263" s="203">
        <v>4.0017213881690154E-2</v>
      </c>
      <c r="AA1263" s="200">
        <v>3.9850394102831643E-2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47682</v>
      </c>
      <c r="Y1264" s="202">
        <f>_xll.qlInterestRateIndexValueDate(IborIndex,X1264,Trigger)</f>
        <v>47686</v>
      </c>
      <c r="Z1264" s="203">
        <v>4.0011626266550013E-2</v>
      </c>
      <c r="AA1264" s="200">
        <v>3.9844928097263477E-2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47689</v>
      </c>
      <c r="Y1265" s="202">
        <f>_xll.qlInterestRateIndexValueDate(IborIndex,X1265,Trigger)</f>
        <v>47693</v>
      </c>
      <c r="Z1265" s="203">
        <v>4.0006027986212445E-2</v>
      </c>
      <c r="AA1265" s="200">
        <v>3.9839451525427449E-2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47696</v>
      </c>
      <c r="Y1266" s="202">
        <f>_xll.qlInterestRateIndexValueDate(IborIndex,X1266,Trigger)</f>
        <v>47700</v>
      </c>
      <c r="Z1266" s="203">
        <v>4.0000419040724378E-2</v>
      </c>
      <c r="AA1266" s="200">
        <v>3.9833964387483434E-2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47703</v>
      </c>
      <c r="Y1267" s="202">
        <f>_xll.qlInterestRateIndexValueDate(IborIndex,X1267,Trigger)</f>
        <v>47707</v>
      </c>
      <c r="Z1267" s="203">
        <v>3.9994799430130124E-2</v>
      </c>
      <c r="AA1267" s="200">
        <v>3.9828466683431429E-2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47710</v>
      </c>
      <c r="Y1268" s="202">
        <f>_xll.qlInterestRateIndexValueDate(IborIndex,X1268,Trigger)</f>
        <v>47714</v>
      </c>
      <c r="Z1268" s="203">
        <v>3.9989169154477464E-2</v>
      </c>
      <c r="AA1268" s="200">
        <v>3.9822958413111564E-2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47717</v>
      </c>
      <c r="Y1269" s="202">
        <f>_xll.qlInterestRateIndexValueDate(IborIndex,X1269,Trigger)</f>
        <v>47722</v>
      </c>
      <c r="Z1269" s="203">
        <v>3.9982721494532386E-2</v>
      </c>
      <c r="AA1269" s="200">
        <v>3.9816650308912571E-2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47724</v>
      </c>
      <c r="Y1270" s="202">
        <f>_xll.qlInterestRateIndexValueDate(IborIndex,X1270,Trigger)</f>
        <v>47729</v>
      </c>
      <c r="Z1270" s="203">
        <v>3.9975262057143905E-2</v>
      </c>
      <c r="AA1270" s="200">
        <v>3.981111939694415E-2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47731</v>
      </c>
      <c r="Y1271" s="202">
        <f>_xll.qlInterestRateIndexValueDate(IborIndex,X1271,Trigger)</f>
        <v>47735</v>
      </c>
      <c r="Z1271" s="203">
        <v>3.9970409218541732E-2</v>
      </c>
      <c r="AA1271" s="200">
        <v>3.9806370205344166E-2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47738</v>
      </c>
      <c r="Y1272" s="202">
        <f>_xll.qlInterestRateIndexValueDate(IborIndex,X1272,Trigger)</f>
        <v>47742</v>
      </c>
      <c r="Z1272" s="203">
        <v>3.9964737671415285E-2</v>
      </c>
      <c r="AA1272" s="200">
        <v>3.9800819670352539E-2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47745</v>
      </c>
      <c r="Y1273" s="202">
        <f>_xll.qlInterestRateIndexValueDate(IborIndex,X1273,Trigger)</f>
        <v>47749</v>
      </c>
      <c r="Z1273" s="203">
        <v>3.9959055460543791E-2</v>
      </c>
      <c r="AA1273" s="200">
        <v>3.9795258569252923E-2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47752</v>
      </c>
      <c r="Y1274" s="202">
        <f>_xll.qlInterestRateIndexValueDate(IborIndex,X1274,Trigger)</f>
        <v>47756</v>
      </c>
      <c r="Z1274" s="203">
        <v>3.9955163536861758E-2</v>
      </c>
      <c r="AA1274" s="200">
        <v>3.9789686901965382E-2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47759</v>
      </c>
      <c r="Y1275" s="202">
        <f>_xll.qlInterestRateIndexValueDate(IborIndex,X1275,Trigger)</f>
        <v>47763</v>
      </c>
      <c r="Z1275" s="203">
        <v>3.9949458607071442E-2</v>
      </c>
      <c r="AA1275" s="200">
        <v>3.9784104668649789E-2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47766</v>
      </c>
      <c r="Y1276" s="202">
        <f>_xll.qlInterestRateIndexValueDate(IborIndex,X1276,Trigger)</f>
        <v>47771</v>
      </c>
      <c r="Z1276" s="203">
        <v>3.9942925628506369E-2</v>
      </c>
      <c r="AA1276" s="200">
        <v>3.9777712035107271E-2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47773</v>
      </c>
      <c r="Y1277" s="202">
        <f>_xll.qlInterestRateIndexValueDate(IborIndex,X1277,Trigger)</f>
        <v>47777</v>
      </c>
      <c r="Z1277" s="203">
        <v>3.9938016753459919E-2</v>
      </c>
      <c r="AA1277" s="200">
        <v>3.9772908503294957E-2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47780</v>
      </c>
      <c r="Y1278" s="202">
        <f>_xll.qlInterestRateIndexValueDate(IborIndex,X1278,Trigger)</f>
        <v>47784</v>
      </c>
      <c r="Z1278" s="203">
        <v>3.9932279829729932E-2</v>
      </c>
      <c r="AA1278" s="200">
        <v>3.9767294571495526E-2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47787</v>
      </c>
      <c r="Y1279" s="202">
        <f>_xll.qlInterestRateIndexValueDate(IborIndex,X1279,Trigger)</f>
        <v>47791</v>
      </c>
      <c r="Z1279" s="203">
        <v>3.9926532241447231E-2</v>
      </c>
      <c r="AA1279" s="200">
        <v>3.9761670073348299E-2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47794</v>
      </c>
      <c r="Y1280" s="202">
        <f>_xll.qlInterestRateIndexValueDate(IborIndex,X1280,Trigger)</f>
        <v>47799</v>
      </c>
      <c r="Z1280" s="203">
        <v>3.9919950510546941E-2</v>
      </c>
      <c r="AA1280" s="200">
        <v>3.9755229137403703E-2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47801</v>
      </c>
      <c r="Y1281" s="202">
        <f>_xll.qlInterestRateIndexValueDate(IborIndex,X1281,Trigger)</f>
        <v>47805</v>
      </c>
      <c r="Z1281" s="203">
        <v>3.9915005071406995E-2</v>
      </c>
      <c r="AA1281" s="200">
        <v>3.9750389378809814E-2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47808</v>
      </c>
      <c r="Y1282" s="202">
        <f>_xll.qlInterestRateIndexValueDate(IborIndex,X1282,Trigger)</f>
        <v>47812</v>
      </c>
      <c r="Z1282" s="203">
        <v>3.9909225489745043E-2</v>
      </c>
      <c r="AA1282" s="200">
        <v>3.9746522642118975E-2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47815</v>
      </c>
      <c r="Y1283" s="202">
        <f>_xll.qlInterestRateIndexValueDate(IborIndex,X1283,Trigger)</f>
        <v>47819</v>
      </c>
      <c r="Z1283" s="203">
        <v>3.9901646855914998E-2</v>
      </c>
      <c r="AA1283" s="200">
        <v>3.9739066419599567E-2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47822</v>
      </c>
      <c r="Y1284" s="202">
        <f>_xll.qlInterestRateIndexValueDate(IborIndex,X1284,Trigger)</f>
        <v>47826</v>
      </c>
      <c r="Z1284" s="203">
        <v>3.9895847346872328E-2</v>
      </c>
      <c r="AA1284" s="200">
        <v>3.9733389090752524E-2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47829</v>
      </c>
      <c r="Y1285" s="202">
        <f>_xll.qlInterestRateIndexValueDate(IborIndex,X1285,Trigger)</f>
        <v>47833</v>
      </c>
      <c r="Z1285" s="203">
        <v>3.9890037174636246E-2</v>
      </c>
      <c r="AA1285" s="200">
        <v>3.9727701195797493E-2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47836</v>
      </c>
      <c r="Y1286" s="202">
        <f>_xll.qlInterestRateIndexValueDate(IborIndex,X1286,Trigger)</f>
        <v>47840</v>
      </c>
      <c r="Z1286" s="203">
        <v>3.9884216339254201E-2</v>
      </c>
      <c r="AA1286" s="200">
        <v>3.9721187806289748E-2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47844</v>
      </c>
      <c r="Y1287" s="202">
        <f>_xll.qlInterestRateIndexValueDate(IborIndex,X1287,Trigger)</f>
        <v>47848</v>
      </c>
      <c r="Z1287" s="203">
        <v>3.9875768320785987E-2</v>
      </c>
      <c r="AA1287" s="200">
        <v>3.9718224917661971E-2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47851</v>
      </c>
      <c r="Y1288" s="202">
        <f>_xll.qlInterestRateIndexValueDate(IborIndex,X1288,Trigger)</f>
        <v>47855</v>
      </c>
      <c r="Z1288" s="203">
        <v>3.9869926041513182E-2</v>
      </c>
      <c r="AA1288" s="200">
        <v>3.9709756166574905E-2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47858</v>
      </c>
      <c r="Y1289" s="202">
        <f>_xll.qlInterestRateIndexValueDate(IborIndex,X1289,Trigger)</f>
        <v>47862</v>
      </c>
      <c r="Z1289" s="203">
        <v>3.9865852866454679E-2</v>
      </c>
      <c r="AA1289" s="200">
        <v>3.9704024497595469E-2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47865</v>
      </c>
      <c r="Y1290" s="202">
        <f>_xll.qlInterestRateIndexValueDate(IborIndex,X1290,Trigger)</f>
        <v>47869</v>
      </c>
      <c r="Z1290" s="203">
        <v>3.9858209497247721E-2</v>
      </c>
      <c r="AA1290" s="200">
        <v>3.9698282262348172E-2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47872</v>
      </c>
      <c r="Y1291" s="202">
        <f>_xll.qlInterestRateIndexValueDate(IborIndex,X1291,Trigger)</f>
        <v>47876</v>
      </c>
      <c r="Z1291" s="203">
        <v>3.9852335232347436E-2</v>
      </c>
      <c r="AA1291" s="200">
        <v>3.9692529460992887E-2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47879</v>
      </c>
      <c r="Y1292" s="202">
        <f>_xll.qlInterestRateIndexValueDate(IborIndex,X1292,Trigger)</f>
        <v>47883</v>
      </c>
      <c r="Z1292" s="203">
        <v>3.984822584545053E-2</v>
      </c>
      <c r="AA1292" s="200">
        <v>3.9686766093449677E-2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47886</v>
      </c>
      <c r="Y1293" s="202">
        <f>_xll.qlInterestRateIndexValueDate(IborIndex,X1293,Trigger)</f>
        <v>47890</v>
      </c>
      <c r="Z1293" s="203">
        <v>3.9840554717247123E-2</v>
      </c>
      <c r="AA1293" s="200">
        <v>3.9680992159798478E-2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47893</v>
      </c>
      <c r="Y1294" s="202">
        <f>_xll.qlInterestRateIndexValueDate(IborIndex,X1294,Trigger)</f>
        <v>47897</v>
      </c>
      <c r="Z1294" s="203">
        <v>3.983464846713769E-2</v>
      </c>
      <c r="AA1294" s="200">
        <v>3.9675207659959355E-2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47900</v>
      </c>
      <c r="Y1295" s="202">
        <f>_xll.qlInterestRateIndexValueDate(IborIndex,X1295,Trigger)</f>
        <v>47904</v>
      </c>
      <c r="Z1295" s="203">
        <v>3.9830502859140353E-2</v>
      </c>
      <c r="AA1295" s="200">
        <v>3.9669412594012243E-2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47907</v>
      </c>
      <c r="Y1296" s="202">
        <f>_xll.qlInterestRateIndexValueDate(IborIndex,X1296,Trigger)</f>
        <v>47911</v>
      </c>
      <c r="Z1296" s="203">
        <v>3.9826343756240001E-2</v>
      </c>
      <c r="AA1296" s="200">
        <v>3.9663606961877207E-2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47914</v>
      </c>
      <c r="Y1297" s="202">
        <f>_xll.qlInterestRateIndexValueDate(IborIndex,X1297,Trigger)</f>
        <v>47918</v>
      </c>
      <c r="Z1297" s="203">
        <v>3.9820402690654427E-2</v>
      </c>
      <c r="AA1297" s="200">
        <v>3.9657790763554246E-2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47921</v>
      </c>
      <c r="Y1298" s="202">
        <f>_xll.qlInterestRateIndexValueDate(IborIndex,X1298,Trigger)</f>
        <v>47925</v>
      </c>
      <c r="Z1298" s="203">
        <v>3.981445096142236E-2</v>
      </c>
      <c r="AA1298" s="200">
        <v>3.9651963999203232E-2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47928</v>
      </c>
      <c r="Y1299" s="202">
        <f>_xll.qlInterestRateIndexValueDate(IborIndex,X1299,Trigger)</f>
        <v>47932</v>
      </c>
      <c r="Z1299" s="203">
        <v>3.9808488568588984E-2</v>
      </c>
      <c r="AA1299" s="200">
        <v>3.9646126668664294E-2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47935</v>
      </c>
      <c r="Y1300" s="202">
        <f>_xll.qlInterestRateIndexValueDate(IborIndex,X1300,Trigger)</f>
        <v>47939</v>
      </c>
      <c r="Z1300" s="203">
        <v>3.9800751295865806E-2</v>
      </c>
      <c r="AA1300" s="200">
        <v>3.9640278771937432E-2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47942</v>
      </c>
      <c r="Y1301" s="202">
        <f>_xll.qlInterestRateIndexValueDate(IborIndex,X1301,Trigger)</f>
        <v>47946</v>
      </c>
      <c r="Z1301" s="203">
        <v>3.979476899572483E-2</v>
      </c>
      <c r="AA1301" s="200">
        <v>3.9634420309022644E-2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47953</v>
      </c>
      <c r="Y1302" s="202">
        <f>_xll.qlInterestRateIndexValueDate(IborIndex,X1302,Trigger)</f>
        <v>47955</v>
      </c>
      <c r="Z1302" s="203">
        <v>3.9787061799804242E-2</v>
      </c>
      <c r="AA1302" s="200">
        <v>3.9625192805221587E-2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47960</v>
      </c>
      <c r="Y1303" s="202">
        <f>_xll.qlInterestRateIndexValueDate(IborIndex,X1303,Trigger)</f>
        <v>47962</v>
      </c>
      <c r="Z1303" s="203">
        <v>3.9781055128572627E-2</v>
      </c>
      <c r="AA1303" s="200">
        <v>3.9619307172360507E-2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47967</v>
      </c>
      <c r="Y1304" s="202">
        <f>_xll.qlInterestRateIndexValueDate(IborIndex,X1304,Trigger)</f>
        <v>47969</v>
      </c>
      <c r="Z1304" s="203">
        <v>3.9776795919244975E-2</v>
      </c>
      <c r="AA1304" s="200">
        <v>3.961341097315163E-2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47974</v>
      </c>
      <c r="Y1305" s="202">
        <f>_xll.qlInterestRateIndexValueDate(IborIndex,X1305,Trigger)</f>
        <v>47976</v>
      </c>
      <c r="Z1305" s="203">
        <v>3.9770766499183485E-2</v>
      </c>
      <c r="AA1305" s="200">
        <v>3.9607504207914701E-2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47981</v>
      </c>
      <c r="Y1306" s="202">
        <f>_xll.qlInterestRateIndexValueDate(IborIndex,X1306,Trigger)</f>
        <v>47983</v>
      </c>
      <c r="Z1306" s="203">
        <v>3.9764726415876063E-2</v>
      </c>
      <c r="AA1306" s="200">
        <v>3.9601586876489847E-2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47988</v>
      </c>
      <c r="Y1307" s="202">
        <f>_xll.qlInterestRateIndexValueDate(IborIndex,X1307,Trigger)</f>
        <v>47990</v>
      </c>
      <c r="Z1307" s="203">
        <v>3.975867566937135E-2</v>
      </c>
      <c r="AA1307" s="200">
        <v>3.9594811274010766E-2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47995</v>
      </c>
      <c r="Y1308" s="202">
        <f>_xll.qlInterestRateIndexValueDate(IborIndex,X1308,Trigger)</f>
        <v>47997</v>
      </c>
      <c r="Z1308" s="203">
        <v>3.9752614259718023E-2</v>
      </c>
      <c r="AA1308" s="200">
        <v>3.9589720515316174E-2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48002</v>
      </c>
      <c r="Y1309" s="202">
        <f>_xll.qlInterestRateIndexValueDate(IborIndex,X1309,Trigger)</f>
        <v>48004</v>
      </c>
      <c r="Z1309" s="203">
        <v>3.9746542186967326E-2</v>
      </c>
      <c r="AA1309" s="200">
        <v>3.9583771485567354E-2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48009</v>
      </c>
      <c r="Y1310" s="202">
        <f>_xll.qlInterestRateIndexValueDate(IborIndex,X1310,Trigger)</f>
        <v>48011</v>
      </c>
      <c r="Z1310" s="203">
        <v>3.9740459451167061E-2</v>
      </c>
      <c r="AA1310" s="200">
        <v>3.9577811889550674E-2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48016</v>
      </c>
      <c r="Y1311" s="202">
        <f>_xll.qlInterestRateIndexValueDate(IborIndex,X1311,Trigger)</f>
        <v>48018</v>
      </c>
      <c r="Z1311" s="203">
        <v>3.9734366052366743E-2</v>
      </c>
      <c r="AA1311" s="200">
        <v>3.9571841727426005E-2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48023</v>
      </c>
      <c r="Y1312" s="202">
        <f>_xll.qlInterestRateIndexValueDate(IborIndex,X1312,Trigger)</f>
        <v>48025</v>
      </c>
      <c r="Z1312" s="203">
        <v>3.9728261990615035E-2</v>
      </c>
      <c r="AA1312" s="200">
        <v>3.9565860999273283E-2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48030</v>
      </c>
      <c r="Y1313" s="202">
        <f>_xll.qlInterestRateIndexValueDate(IborIndex,X1313,Trigger)</f>
        <v>48032</v>
      </c>
      <c r="Z1313" s="203">
        <v>3.9722147265963202E-2</v>
      </c>
      <c r="AA1313" s="200">
        <v>3.9559012943071181E-2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48037</v>
      </c>
      <c r="Y1314" s="202">
        <f>_xll.qlInterestRateIndexValueDate(IborIndex,X1314,Trigger)</f>
        <v>48039</v>
      </c>
      <c r="Z1314" s="203">
        <v>3.971602187845729E-2</v>
      </c>
      <c r="AA1314" s="200">
        <v>3.9553867844324131E-2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48044</v>
      </c>
      <c r="Y1315" s="202">
        <f>_xll.qlInterestRateIndexValueDate(IborIndex,X1315,Trigger)</f>
        <v>48046</v>
      </c>
      <c r="Z1315" s="203">
        <v>3.9709885828151166E-2</v>
      </c>
      <c r="AA1315" s="200">
        <v>3.9547855417607636E-2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48051</v>
      </c>
      <c r="Y1316" s="202">
        <f>_xll.qlInterestRateIndexValueDate(IborIndex,X1316,Trigger)</f>
        <v>48053</v>
      </c>
      <c r="Z1316" s="203">
        <v>3.970373911509089E-2</v>
      </c>
      <c r="AA1316" s="200">
        <v>3.9541832424783152E-2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48058</v>
      </c>
      <c r="Y1317" s="202">
        <f>_xll.qlInterestRateIndexValueDate(IborIndex,X1317,Trigger)</f>
        <v>48060</v>
      </c>
      <c r="Z1317" s="203">
        <v>3.969758173932858E-2</v>
      </c>
      <c r="AA1317" s="200">
        <v>3.9535798865930616E-2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48065</v>
      </c>
      <c r="Y1318" s="202">
        <f>_xll.qlInterestRateIndexValueDate(IborIndex,X1318,Trigger)</f>
        <v>48067</v>
      </c>
      <c r="Z1318" s="203">
        <v>3.9691413700912913E-2</v>
      </c>
      <c r="AA1318" s="200">
        <v>3.9529754740810219E-2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48072</v>
      </c>
      <c r="Y1319" s="202">
        <f>_xll.qlInterestRateIndexValueDate(IborIndex,X1319,Trigger)</f>
        <v>48074</v>
      </c>
      <c r="Z1319" s="203">
        <v>3.9685234999894264E-2</v>
      </c>
      <c r="AA1319" s="200">
        <v>3.9523700049581834E-2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48079</v>
      </c>
      <c r="Y1320" s="202">
        <f>_xll.qlInterestRateIndexValueDate(IborIndex,X1320,Trigger)</f>
        <v>48081</v>
      </c>
      <c r="Z1320" s="203">
        <v>3.9679045636322165E-2</v>
      </c>
      <c r="AA1320" s="200">
        <v>3.9517634792325396E-2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48086</v>
      </c>
      <c r="Y1321" s="202">
        <f>_xll.qlInterestRateIndexValueDate(IborIndex,X1321,Trigger)</f>
        <v>48088</v>
      </c>
      <c r="Z1321" s="203">
        <v>3.9672845610247885E-2</v>
      </c>
      <c r="AA1321" s="200">
        <v>3.9510690131479009E-2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48093</v>
      </c>
      <c r="Y1322" s="202">
        <f>_xll.qlInterestRateIndexValueDate(IborIndex,X1322,Trigger)</f>
        <v>48095</v>
      </c>
      <c r="Z1322" s="203">
        <v>3.9664902598516065E-2</v>
      </c>
      <c r="AA1322" s="200">
        <v>3.9505472579088874E-2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48100</v>
      </c>
      <c r="Y1323" s="202">
        <f>_xll.qlInterestRateIndexValueDate(IborIndex,X1323,Trigger)</f>
        <v>48102</v>
      </c>
      <c r="Z1323" s="203">
        <v>3.9658682691065435E-2</v>
      </c>
      <c r="AA1323" s="200">
        <v>3.949937562350847E-2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48107</v>
      </c>
      <c r="Y1324" s="202">
        <f>_xll.qlInterestRateIndexValueDate(IborIndex,X1324,Trigger)</f>
        <v>48109</v>
      </c>
      <c r="Z1324" s="203">
        <v>3.9652452122320547E-2</v>
      </c>
      <c r="AA1324" s="200">
        <v>3.9493268101500334E-2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48114</v>
      </c>
      <c r="Y1325" s="202">
        <f>_xll.qlInterestRateIndexValueDate(IborIndex,X1325,Trigger)</f>
        <v>48116</v>
      </c>
      <c r="Z1325" s="203">
        <v>3.96531227808221E-2</v>
      </c>
      <c r="AA1325" s="200">
        <v>3.9487150013464145E-2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48121</v>
      </c>
      <c r="Y1326" s="202">
        <f>_xll.qlInterestRateIndexValueDate(IborIndex,X1326,Trigger)</f>
        <v>48123</v>
      </c>
      <c r="Z1326" s="203">
        <v>3.9641685544091851E-2</v>
      </c>
      <c r="AA1326" s="200">
        <v>3.9481021359240032E-2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48128</v>
      </c>
      <c r="Y1327" s="202">
        <f>_xll.qlInterestRateIndexValueDate(IborIndex,X1327,Trigger)</f>
        <v>48130</v>
      </c>
      <c r="Z1327" s="203">
        <v>3.9635421544055791E-2</v>
      </c>
      <c r="AA1327" s="200">
        <v>3.9474004244990368E-2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48135</v>
      </c>
      <c r="Y1328" s="202">
        <f>_xll.qlInterestRateIndexValueDate(IborIndex,X1328,Trigger)</f>
        <v>48137</v>
      </c>
      <c r="Z1328" s="203">
        <v>3.9629146881872045E-2</v>
      </c>
      <c r="AA1328" s="200">
        <v>3.9468732352547775E-2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48142</v>
      </c>
      <c r="Y1329" s="202">
        <f>_xll.qlInterestRateIndexValueDate(IborIndex,X1329,Trigger)</f>
        <v>48144</v>
      </c>
      <c r="Z1329" s="203">
        <v>3.9622861557587527E-2</v>
      </c>
      <c r="AA1329" s="200">
        <v>3.9462571999999696E-2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48149</v>
      </c>
      <c r="Y1330" s="202">
        <f>_xll.qlInterestRateIndexValueDate(IborIndex,X1330,Trigger)</f>
        <v>48151</v>
      </c>
      <c r="Z1330" s="203">
        <v>3.9616565571257846E-2</v>
      </c>
      <c r="AA1330" s="200">
        <v>3.9456401081343628E-2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48156</v>
      </c>
      <c r="Y1331" s="202">
        <f>_xll.qlInterestRateIndexValueDate(IborIndex,X1331,Trigger)</f>
        <v>48158</v>
      </c>
      <c r="Z1331" s="203">
        <v>3.9610258922928195E-2</v>
      </c>
      <c r="AA1331" s="200">
        <v>3.9451939137449266E-2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48163</v>
      </c>
      <c r="Y1332" s="202">
        <f>_xll.qlInterestRateIndexValueDate(IborIndex,X1332,Trigger)</f>
        <v>48165</v>
      </c>
      <c r="Z1332" s="203">
        <v>3.9603941612655034E-2</v>
      </c>
      <c r="AA1332" s="200">
        <v>3.9444027545467719E-2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48170</v>
      </c>
      <c r="Y1333" s="202">
        <f>_xll.qlInterestRateIndexValueDate(IborIndex,X1333,Trigger)</f>
        <v>48172</v>
      </c>
      <c r="Z1333" s="203">
        <v>3.9597613640485294E-2</v>
      </c>
      <c r="AA1333" s="200">
        <v>3.9437824928487686E-2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48177</v>
      </c>
      <c r="Y1334" s="202">
        <f>_xll.qlInterestRateIndexValueDate(IborIndex,X1334,Trigger)</f>
        <v>48180</v>
      </c>
      <c r="Z1334" s="203">
        <v>3.9588653893207738E-2</v>
      </c>
      <c r="AA1334" s="200">
        <v>3.9430723285134306E-2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48184</v>
      </c>
      <c r="Y1335" s="202">
        <f>_xll.qlInterestRateIndexValueDate(IborIndex,X1335,Trigger)</f>
        <v>48186</v>
      </c>
      <c r="Z1335" s="203">
        <v>3.9583212235085825E-2</v>
      </c>
      <c r="AA1335" s="200">
        <v>3.9425387995883909E-2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48191</v>
      </c>
      <c r="Y1336" s="202">
        <f>_xll.qlInterestRateIndexValueDate(IborIndex,X1336,Trigger)</f>
        <v>48193</v>
      </c>
      <c r="Z1336" s="203">
        <v>3.9576853734735407E-2</v>
      </c>
      <c r="AA1336" s="200">
        <v>3.9419153680420038E-2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48198</v>
      </c>
      <c r="Y1337" s="202">
        <f>_xll.qlInterestRateIndexValueDate(IborIndex,X1337,Trigger)</f>
        <v>48200</v>
      </c>
      <c r="Z1337" s="203">
        <v>3.95704845737469E-2</v>
      </c>
      <c r="AA1337" s="200">
        <v>3.9412908798768242E-2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48205</v>
      </c>
      <c r="Y1338" s="202">
        <f>_xll.qlInterestRateIndexValueDate(IborIndex,X1338,Trigger)</f>
        <v>48211</v>
      </c>
      <c r="Z1338" s="203">
        <v>3.9562162619965265E-2</v>
      </c>
      <c r="AA1338" s="200">
        <v>3.9406573213991436E-2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48212</v>
      </c>
      <c r="Y1339" s="202">
        <f>_xll.qlInterestRateIndexValueDate(IborIndex,X1339,Trigger)</f>
        <v>48215</v>
      </c>
      <c r="Z1339" s="203">
        <v>3.95568004737979E-2</v>
      </c>
      <c r="AA1339" s="200">
        <v>3.9399491329952241E-2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48219</v>
      </c>
      <c r="Y1340" s="202">
        <f>_xll.qlInterestRateIndexValueDate(IborIndex,X1340,Trigger)</f>
        <v>48221</v>
      </c>
      <c r="Z1340" s="203">
        <v>3.9551313127463218E-2</v>
      </c>
      <c r="AA1340" s="200">
        <v>3.939411075724486E-2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48226</v>
      </c>
      <c r="Y1341" s="202">
        <f>_xll.qlInterestRateIndexValueDate(IborIndex,X1341,Trigger)</f>
        <v>48228</v>
      </c>
      <c r="Z1341" s="203">
        <v>3.9544901324433605E-2</v>
      </c>
      <c r="AA1341" s="200">
        <v>3.9386924584787764E-2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48233</v>
      </c>
      <c r="Y1342" s="202">
        <f>_xll.qlInterestRateIndexValueDate(IborIndex,X1342,Trigger)</f>
        <v>48235</v>
      </c>
      <c r="Z1342" s="203">
        <v>3.9538478861019764E-2</v>
      </c>
      <c r="AA1342" s="200">
        <v>3.9381525898889436E-2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48240</v>
      </c>
      <c r="Y1343" s="202">
        <f>_xll.qlInterestRateIndexValueDate(IborIndex,X1343,Trigger)</f>
        <v>48242</v>
      </c>
      <c r="Z1343" s="203">
        <v>3.953204573727704E-2</v>
      </c>
      <c r="AA1343" s="200">
        <v>3.9375217620589709E-2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48247</v>
      </c>
      <c r="Y1344" s="202">
        <f>_xll.qlInterestRateIndexValueDate(IborIndex,X1344,Trigger)</f>
        <v>48249</v>
      </c>
      <c r="Z1344" s="203">
        <v>3.952390161431385E-2</v>
      </c>
      <c r="AA1344" s="200">
        <v>3.9368898776102057E-2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48254</v>
      </c>
      <c r="Y1345" s="202">
        <f>_xll.qlInterestRateIndexValueDate(IborIndex,X1345,Trigger)</f>
        <v>48256</v>
      </c>
      <c r="Z1345" s="203">
        <v>3.9517448636471109E-2</v>
      </c>
      <c r="AA1345" s="200">
        <v>3.9361664301402755E-2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48261</v>
      </c>
      <c r="Y1346" s="202">
        <f>_xll.qlInterestRateIndexValueDate(IborIndex,X1346,Trigger)</f>
        <v>48263</v>
      </c>
      <c r="Z1346" s="203">
        <v>3.95109849994979E-2</v>
      </c>
      <c r="AA1346" s="200">
        <v>3.9356229388722852E-2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48268</v>
      </c>
      <c r="Y1347" s="202">
        <f>_xll.qlInterestRateIndexValueDate(IborIndex,X1347,Trigger)</f>
        <v>48270</v>
      </c>
      <c r="Z1347" s="203">
        <v>3.9504510703447515E-2</v>
      </c>
      <c r="AA1347" s="200">
        <v>3.9349878845911235E-2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48275</v>
      </c>
      <c r="Y1348" s="202">
        <f>_xll.qlInterestRateIndexValueDate(IborIndex,X1348,Trigger)</f>
        <v>48277</v>
      </c>
      <c r="Z1348" s="203">
        <v>3.9501414665627975E-2</v>
      </c>
      <c r="AA1348" s="200">
        <v>3.9343517736911693E-2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48282</v>
      </c>
      <c r="Y1349" s="202">
        <f>_xll.qlInterestRateIndexValueDate(IborIndex,X1349,Trigger)</f>
        <v>48284</v>
      </c>
      <c r="Z1349" s="203">
        <v>3.9494916110169864E-2</v>
      </c>
      <c r="AA1349" s="200">
        <v>3.9337146061804162E-2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48289</v>
      </c>
      <c r="Y1350" s="202">
        <f>_xll.qlInterestRateIndexValueDate(IborIndex,X1350,Trigger)</f>
        <v>48291</v>
      </c>
      <c r="Z1350" s="203">
        <v>3.9488406893700562E-2</v>
      </c>
      <c r="AA1350" s="200">
        <v>3.9330763820668579E-2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48296</v>
      </c>
      <c r="Y1351" s="202">
        <f>_xll.qlInterestRateIndexValueDate(IborIndex,X1351,Trigger)</f>
        <v>48298</v>
      </c>
      <c r="Z1351" s="203">
        <v>3.9481887016270444E-2</v>
      </c>
      <c r="AA1351" s="200">
        <v>3.9324371013265136E-2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48303</v>
      </c>
      <c r="Y1352" s="202">
        <f>_xll.qlInterestRateIndexValueDate(IborIndex,X1352,Trigger)</f>
        <v>48305</v>
      </c>
      <c r="Z1352" s="203">
        <v>3.947366791723176E-2</v>
      </c>
      <c r="AA1352" s="200">
        <v>3.931796763983364E-2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48310</v>
      </c>
      <c r="Y1353" s="202">
        <f>_xll.qlInterestRateIndexValueDate(IborIndex,X1353,Trigger)</f>
        <v>48312</v>
      </c>
      <c r="Z1353" s="203">
        <v>3.9467128193028708E-2</v>
      </c>
      <c r="AA1353" s="200">
        <v>3.9311553700134283E-2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48317</v>
      </c>
      <c r="Y1354" s="202">
        <f>_xll.qlInterestRateIndexValueDate(IborIndex,X1354,Trigger)</f>
        <v>48319</v>
      </c>
      <c r="Z1354" s="203">
        <v>3.9460577809065991E-2</v>
      </c>
      <c r="AA1354" s="200">
        <v>3.9305129194566746E-2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48324</v>
      </c>
      <c r="Y1355" s="202">
        <f>_xll.qlInterestRateIndexValueDate(IborIndex,X1355,Trigger)</f>
        <v>48326</v>
      </c>
      <c r="Z1355" s="203">
        <v>3.945401676539631E-2</v>
      </c>
      <c r="AA1355" s="200">
        <v>3.9298694122651412E-2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48331</v>
      </c>
      <c r="Y1356" s="202">
        <f>_xll.qlInterestRateIndexValueDate(IborIndex,X1356,Trigger)</f>
        <v>48333</v>
      </c>
      <c r="Z1356" s="203">
        <v>3.9447445062072373E-2</v>
      </c>
      <c r="AA1356" s="200">
        <v>3.9292248484787962E-2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48338</v>
      </c>
      <c r="Y1357" s="202">
        <f>_xll.qlInterestRateIndexValueDate(IborIndex,X1357,Trigger)</f>
        <v>48340</v>
      </c>
      <c r="Z1357" s="203">
        <v>3.9442543874513798E-2</v>
      </c>
      <c r="AA1357" s="200">
        <v>3.9285792280816523E-2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48345</v>
      </c>
      <c r="Y1358" s="202">
        <f>_xll.qlInterestRateIndexValueDate(IborIndex,X1358,Trigger)</f>
        <v>48347</v>
      </c>
      <c r="Z1358" s="203">
        <v>3.9435949371851603E-2</v>
      </c>
      <c r="AA1358" s="200">
        <v>3.9279325510577223E-2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48352</v>
      </c>
      <c r="Y1359" s="202">
        <f>_xll.qlInterestRateIndexValueDate(IborIndex,X1359,Trigger)</f>
        <v>48354</v>
      </c>
      <c r="Z1359" s="203">
        <v>3.9429344208657818E-2</v>
      </c>
      <c r="AA1359" s="200">
        <v>3.9272848174389807E-2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48359</v>
      </c>
      <c r="Y1360" s="202">
        <f>_xll.qlInterestRateIndexValueDate(IborIndex,X1360,Trigger)</f>
        <v>48361</v>
      </c>
      <c r="Z1360" s="203">
        <v>3.9422728384980225E-2</v>
      </c>
      <c r="AA1360" s="200">
        <v>3.9265432566102376E-2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48366</v>
      </c>
      <c r="Y1361" s="202">
        <f>_xll.qlInterestRateIndexValueDate(IborIndex,X1361,Trigger)</f>
        <v>48368</v>
      </c>
      <c r="Z1361" s="203">
        <v>3.9416101900876188E-2</v>
      </c>
      <c r="AA1361" s="200">
        <v>3.9259861803451201E-2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48373</v>
      </c>
      <c r="Y1362" s="202">
        <f>_xll.qlInterestRateIndexValueDate(IborIndex,X1362,Trigger)</f>
        <v>48375</v>
      </c>
      <c r="Z1362" s="203">
        <v>3.9409464756398692E-2</v>
      </c>
      <c r="AA1362" s="200">
        <v>3.9253352768779948E-2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48380</v>
      </c>
      <c r="Y1363" s="202">
        <f>_xll.qlInterestRateIndexValueDate(IborIndex,X1363,Trigger)</f>
        <v>48382</v>
      </c>
      <c r="Z1363" s="203">
        <v>3.9402816951600743E-2</v>
      </c>
      <c r="AA1363" s="200">
        <v>3.9246833168080641E-2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48387</v>
      </c>
      <c r="Y1364" s="202">
        <f>_xll.qlInterestRateIndexValueDate(IborIndex,X1364,Trigger)</f>
        <v>48389</v>
      </c>
      <c r="Z1364" s="203">
        <v>3.9396158486537082E-2</v>
      </c>
      <c r="AA1364" s="200">
        <v>3.9240303001193411E-2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48394</v>
      </c>
      <c r="Y1365" s="202">
        <f>_xll.qlInterestRateIndexValueDate(IborIndex,X1365,Trigger)</f>
        <v>48396</v>
      </c>
      <c r="Z1365" s="203">
        <v>3.9389489361260709E-2</v>
      </c>
      <c r="AA1365" s="200">
        <v>3.9232827015283078E-2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48401</v>
      </c>
      <c r="Y1366" s="202">
        <f>_xll.qlInterestRateIndexValueDate(IborIndex,X1366,Trigger)</f>
        <v>48403</v>
      </c>
      <c r="Z1366" s="203">
        <v>3.9382809575826357E-2</v>
      </c>
      <c r="AA1366" s="200">
        <v>3.9227210969174919E-2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48408</v>
      </c>
      <c r="Y1367" s="202">
        <f>_xll.qlInterestRateIndexValueDate(IborIndex,X1367,Trigger)</f>
        <v>48410</v>
      </c>
      <c r="Z1367" s="203">
        <v>3.9376119130287039E-2</v>
      </c>
      <c r="AA1367" s="200">
        <v>3.9220649103963723E-2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48415</v>
      </c>
      <c r="Y1368" s="202">
        <f>_xll.qlInterestRateIndexValueDate(IborIndex,X1368,Trigger)</f>
        <v>48417</v>
      </c>
      <c r="Z1368" s="203">
        <v>3.9369418024699225E-2</v>
      </c>
      <c r="AA1368" s="200">
        <v>3.921407667280441E-2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48422</v>
      </c>
      <c r="Y1369" s="202">
        <f>_xll.qlInterestRateIndexValueDate(IborIndex,X1369,Trigger)</f>
        <v>48424</v>
      </c>
      <c r="Z1369" s="203">
        <v>3.9362706259114172E-2</v>
      </c>
      <c r="AA1369" s="200">
        <v>3.92074936752973E-2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48429</v>
      </c>
      <c r="Y1370" s="202">
        <f>_xll.qlInterestRateIndexValueDate(IborIndex,X1370,Trigger)</f>
        <v>48431</v>
      </c>
      <c r="Z1370" s="203">
        <v>3.9355983833588369E-2</v>
      </c>
      <c r="AA1370" s="200">
        <v>3.9200900111842074E-2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48436</v>
      </c>
      <c r="Y1371" s="202">
        <f>_xll.qlInterestRateIndexValueDate(IborIndex,X1371,Trigger)</f>
        <v>48438</v>
      </c>
      <c r="Z1371" s="203">
        <v>3.9349250748175676E-2</v>
      </c>
      <c r="AA1371" s="200">
        <v>3.9194295982278859E-2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48443</v>
      </c>
      <c r="Y1372" s="202">
        <f>_xll.qlInterestRateIndexValueDate(IborIndex,X1372,Trigger)</f>
        <v>48445</v>
      </c>
      <c r="Z1372" s="203">
        <v>3.93425070029291E-2</v>
      </c>
      <c r="AA1372" s="200">
        <v>3.918768128652772E-2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48450</v>
      </c>
      <c r="Y1373" s="202">
        <f>_xll.qlInterestRateIndexValueDate(IborIndex,X1373,Trigger)</f>
        <v>48452</v>
      </c>
      <c r="Z1373" s="203">
        <v>3.9335752597906851E-2</v>
      </c>
      <c r="AA1373" s="200">
        <v>3.9181056024588656E-2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48457</v>
      </c>
      <c r="Y1374" s="202">
        <f>_xll.qlInterestRateIndexValueDate(IborIndex,X1374,Trigger)</f>
        <v>48459</v>
      </c>
      <c r="Z1374" s="203">
        <v>3.9327331661773032E-2</v>
      </c>
      <c r="AA1374" s="200">
        <v>3.9173471358733281E-2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48464</v>
      </c>
      <c r="Y1375" s="202">
        <f>_xll.qlInterestRateIndexValueDate(IborIndex,X1375,Trigger)</f>
        <v>48466</v>
      </c>
      <c r="Z1375" s="203">
        <v>3.9320557435115602E-2</v>
      </c>
      <c r="AA1375" s="200">
        <v>3.9167773802626371E-2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48471</v>
      </c>
      <c r="Y1376" s="202">
        <f>_xll.qlInterestRateIndexValueDate(IborIndex,X1376,Trigger)</f>
        <v>48473</v>
      </c>
      <c r="Z1376" s="203">
        <v>3.9313772549872075E-2</v>
      </c>
      <c r="AA1376" s="200">
        <v>3.9161116842523214E-2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48478</v>
      </c>
      <c r="Y1377" s="202">
        <f>_xll.qlInterestRateIndexValueDate(IborIndex,X1377,Trigger)</f>
        <v>48480</v>
      </c>
      <c r="Z1377" s="203">
        <v>3.9306977006098663E-2</v>
      </c>
      <c r="AA1377" s="200">
        <v>3.9154449316312068E-2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48485</v>
      </c>
      <c r="Y1378" s="202">
        <f>_xll.qlInterestRateIndexValueDate(IborIndex,X1378,Trigger)</f>
        <v>48487</v>
      </c>
      <c r="Z1378" s="203">
        <v>3.9300170803845437E-2</v>
      </c>
      <c r="AA1378" s="200">
        <v>3.9147771223833061E-2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48492</v>
      </c>
      <c r="Y1379" s="202">
        <f>_xll.qlInterestRateIndexValueDate(IborIndex,X1379,Trigger)</f>
        <v>48494</v>
      </c>
      <c r="Z1379" s="203">
        <v>3.9295002315498387E-2</v>
      </c>
      <c r="AA1379" s="200">
        <v>3.9140126180194912E-2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48499</v>
      </c>
      <c r="Y1380" s="202">
        <f>_xll.qlInterestRateIndexValueDate(IborIndex,X1380,Trigger)</f>
        <v>48501</v>
      </c>
      <c r="Z1380" s="203">
        <v>3.9288173293566098E-2</v>
      </c>
      <c r="AA1380" s="200">
        <v>3.913438334079089E-2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48506</v>
      </c>
      <c r="Y1381" s="202">
        <f>_xll.qlInterestRateIndexValueDate(IborIndex,X1381,Trigger)</f>
        <v>48508</v>
      </c>
      <c r="Z1381" s="203">
        <v>3.9281333612295181E-2</v>
      </c>
      <c r="AA1381" s="200">
        <v>3.912767355014779E-2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48513</v>
      </c>
      <c r="Y1382" s="202">
        <f>_xll.qlInterestRateIndexValueDate(IborIndex,X1382,Trigger)</f>
        <v>48515</v>
      </c>
      <c r="Z1382" s="203">
        <v>3.9274483271743849E-2</v>
      </c>
      <c r="AA1382" s="200">
        <v>3.9120953193396701E-2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48520</v>
      </c>
      <c r="Y1383" s="202">
        <f>_xll.qlInterestRateIndexValueDate(IborIndex,X1383,Trigger)</f>
        <v>48522</v>
      </c>
      <c r="Z1383" s="203">
        <v>3.9267622271962489E-2</v>
      </c>
      <c r="AA1383" s="200">
        <v>3.9114222270457688E-2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48527</v>
      </c>
      <c r="Y1384" s="202">
        <f>_xll.qlInterestRateIndexValueDate(IborIndex,X1384,Trigger)</f>
        <v>48530</v>
      </c>
      <c r="Z1384" s="203">
        <v>3.9263049266661167E-2</v>
      </c>
      <c r="AA1384" s="200">
        <v>3.9106516849196638E-2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48534</v>
      </c>
      <c r="Y1385" s="202">
        <f>_xll.qlInterestRateIndexValueDate(IborIndex,X1385,Trigger)</f>
        <v>48536</v>
      </c>
      <c r="Z1385" s="203">
        <v>3.9253868294943449E-2</v>
      </c>
      <c r="AA1385" s="200">
        <v>3.9100728726415568E-2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48541</v>
      </c>
      <c r="Y1386" s="202">
        <f>_xll.qlInterestRateIndexValueDate(IborIndex,X1386,Trigger)</f>
        <v>48544</v>
      </c>
      <c r="Z1386" s="203">
        <v>3.9249264889987028E-2</v>
      </c>
      <c r="AA1386" s="200">
        <v>3.9092999153993446E-2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48548</v>
      </c>
      <c r="Y1387" s="202">
        <f>_xll.qlInterestRateIndexValueDate(IborIndex,X1387,Trigger)</f>
        <v>48550</v>
      </c>
      <c r="Z1387" s="203">
        <v>3.9236799014963353E-2</v>
      </c>
      <c r="AA1387" s="200">
        <v>3.9087192917941493E-2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48555</v>
      </c>
      <c r="Y1388" s="202">
        <f>_xll.qlInterestRateIndexValueDate(IborIndex,X1388,Trigger)</f>
        <v>48557</v>
      </c>
      <c r="Z1388" s="203">
        <v>3.9229887741805136E-2</v>
      </c>
      <c r="AA1388" s="200">
        <v>3.9080409164702345E-2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48562</v>
      </c>
      <c r="Y1389" s="202">
        <f>_xll.qlInterestRateIndexValueDate(IborIndex,X1389,Trigger)</f>
        <v>48564</v>
      </c>
      <c r="Z1389" s="203">
        <v>3.922296581179463E-2</v>
      </c>
      <c r="AA1389" s="200">
        <v>3.9073614845115401E-2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48569</v>
      </c>
      <c r="Y1390" s="202">
        <f>_xll.qlInterestRateIndexValueDate(IborIndex,X1390,Trigger)</f>
        <v>48571</v>
      </c>
      <c r="Z1390" s="203">
        <v>3.9216033224986901E-2</v>
      </c>
      <c r="AA1390" s="200">
        <v>3.9065836970531009E-2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48577</v>
      </c>
      <c r="Y1391" s="202">
        <f>_xll.qlInterestRateIndexValueDate(IborIndex,X1391,Trigger)</f>
        <v>48583</v>
      </c>
      <c r="Z1391" s="203">
        <v>3.920412399725226E-2</v>
      </c>
      <c r="AA1391" s="200">
        <v>3.905707036548911E-2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48584</v>
      </c>
      <c r="Y1392" s="202">
        <f>_xll.qlInterestRateIndexValueDate(IborIndex,X1392,Trigger)</f>
        <v>48586</v>
      </c>
      <c r="Z1392" s="203">
        <v>3.9201141796948669E-2</v>
      </c>
      <c r="AA1392" s="200">
        <v>3.9052192482191828E-2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48591</v>
      </c>
      <c r="Y1393" s="202">
        <f>_xll.qlInterestRateIndexValueDate(IborIndex,X1393,Trigger)</f>
        <v>48593</v>
      </c>
      <c r="Z1393" s="203">
        <v>3.9194175717708113E-2</v>
      </c>
      <c r="AA1393" s="200">
        <v>3.9044376655805735E-2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48598</v>
      </c>
      <c r="Y1394" s="202">
        <f>_xll.qlInterestRateIndexValueDate(IborIndex,X1394,Trigger)</f>
        <v>48600</v>
      </c>
      <c r="Z1394" s="203">
        <v>3.9187198981895932E-2</v>
      </c>
      <c r="AA1394" s="200">
        <v>3.9038505729500628E-2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48605</v>
      </c>
      <c r="Y1395" s="202">
        <f>_xll.qlInterestRateIndexValueDate(IborIndex,X1395,Trigger)</f>
        <v>48607</v>
      </c>
      <c r="Z1395" s="203">
        <v>3.9180211589571634E-2</v>
      </c>
      <c r="AA1395" s="200">
        <v>3.9031646504072981E-2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48612</v>
      </c>
      <c r="Y1396" s="202">
        <f>_xll.qlInterestRateIndexValueDate(IborIndex,X1396,Trigger)</f>
        <v>48614</v>
      </c>
      <c r="Z1396" s="203">
        <v>3.91715910182567E-2</v>
      </c>
      <c r="AA1396" s="200">
        <v>3.9024776712377474E-2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48619</v>
      </c>
      <c r="Y1397" s="202">
        <f>_xll.qlInterestRateIndexValueDate(IborIndex,X1397,Trigger)</f>
        <v>48621</v>
      </c>
      <c r="Z1397" s="203">
        <v>3.9164583832993205E-2</v>
      </c>
      <c r="AA1397" s="200">
        <v>3.9017896354813786E-2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48626</v>
      </c>
      <c r="Y1398" s="202">
        <f>_xll.qlInterestRateIndexValueDate(IborIndex,X1398,Trigger)</f>
        <v>48628</v>
      </c>
      <c r="Z1398" s="203">
        <v>3.9157565992396025E-2</v>
      </c>
      <c r="AA1398" s="200">
        <v>3.9010020150804792E-2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48633</v>
      </c>
      <c r="Y1399" s="202">
        <f>_xll.qlInterestRateIndexValueDate(IborIndex,X1399,Trigger)</f>
        <v>48635</v>
      </c>
      <c r="Z1399" s="203">
        <v>3.9150537496521726E-2</v>
      </c>
      <c r="AA1399" s="200">
        <v>3.9004103941122636E-2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48640</v>
      </c>
      <c r="Y1400" s="202">
        <f>_xll.qlInterestRateIndexValueDate(IborIndex,X1400,Trigger)</f>
        <v>48642</v>
      </c>
      <c r="Z1400" s="203">
        <v>3.9151580242619402E-2</v>
      </c>
      <c r="AA1400" s="200">
        <v>3.8997191885155047E-2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48647</v>
      </c>
      <c r="Y1401" s="202">
        <f>_xll.qlInterestRateIndexValueDate(IborIndex,X1401,Trigger)</f>
        <v>48649</v>
      </c>
      <c r="Z1401" s="203">
        <v>3.9144522814189654E-2</v>
      </c>
      <c r="AA1401" s="200">
        <v>3.8990269263079469E-2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48654</v>
      </c>
      <c r="Y1402" s="202">
        <f>_xll.qlInterestRateIndexValueDate(IborIndex,X1402,Trigger)</f>
        <v>48656</v>
      </c>
      <c r="Z1402" s="203">
        <v>3.9137454725587592E-2</v>
      </c>
      <c r="AA1402" s="200">
        <v>3.8983336075055774E-2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48661</v>
      </c>
      <c r="Y1403" s="202">
        <f>_xll.qlInterestRateIndexValueDate(IborIndex,X1403,Trigger)</f>
        <v>48663</v>
      </c>
      <c r="Z1403" s="203">
        <v>3.9130375976871891E-2</v>
      </c>
      <c r="AA1403" s="200">
        <v>3.8976392320844155E-2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48668</v>
      </c>
      <c r="Y1404" s="202">
        <f>_xll.qlInterestRateIndexValueDate(IborIndex,X1404,Trigger)</f>
        <v>48670</v>
      </c>
      <c r="Z1404" s="203">
        <v>3.9118455829903559E-2</v>
      </c>
      <c r="AA1404" s="200">
        <v>3.8969438000524548E-2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48675</v>
      </c>
      <c r="Y1405" s="202">
        <f>_xll.qlInterestRateIndexValueDate(IborIndex,X1405,Trigger)</f>
        <v>48677</v>
      </c>
      <c r="Z1405" s="203">
        <v>3.9111360347245869E-2</v>
      </c>
      <c r="AA1405" s="200">
        <v>3.8962473114096952E-2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48682</v>
      </c>
      <c r="Y1406" s="202">
        <f>_xll.qlInterestRateIndexValueDate(IborIndex,X1406,Trigger)</f>
        <v>48688</v>
      </c>
      <c r="Z1406" s="203">
        <v>3.9100188771785109E-2</v>
      </c>
      <c r="AA1406" s="200">
        <v>3.8953502734457857E-2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48689</v>
      </c>
      <c r="Y1407" s="202">
        <f>_xll.qlInterestRateIndexValueDate(IborIndex,X1407,Trigger)</f>
        <v>48691</v>
      </c>
      <c r="Z1407" s="203">
        <v>3.90971374112591E-2</v>
      </c>
      <c r="AA1407" s="200">
        <v>3.894851164299773E-2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48696</v>
      </c>
      <c r="Y1408" s="202">
        <f>_xll.qlInterestRateIndexValueDate(IborIndex,X1408,Trigger)</f>
        <v>48698</v>
      </c>
      <c r="Z1408" s="203">
        <v>3.9090009958042467E-2</v>
      </c>
      <c r="AA1408" s="200">
        <v>3.894151505840604E-2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48703</v>
      </c>
      <c r="Y1409" s="202">
        <f>_xll.qlInterestRateIndexValueDate(IborIndex,X1409,Trigger)</f>
        <v>48705</v>
      </c>
      <c r="Z1409" s="203">
        <v>3.9087679625465138E-2</v>
      </c>
      <c r="AA1409" s="200">
        <v>3.8934507907546489E-2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48710</v>
      </c>
      <c r="Y1410" s="202">
        <f>_xll.qlInterestRateIndexValueDate(IborIndex,X1410,Trigger)</f>
        <v>48712</v>
      </c>
      <c r="Z1410" s="203">
        <v>3.9080526257596025E-2</v>
      </c>
      <c r="AA1410" s="200">
        <v>3.8927490190738823E-2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48717</v>
      </c>
      <c r="Y1411" s="202">
        <f>_xll.qlInterestRateIndexValueDate(IborIndex,X1411,Trigger)</f>
        <v>48719</v>
      </c>
      <c r="Z1411" s="203">
        <v>3.9073362230082676E-2</v>
      </c>
      <c r="AA1411" s="200">
        <v>3.8920461907823167E-2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48724</v>
      </c>
      <c r="Y1412" s="202">
        <f>_xll.qlInterestRateIndexValueDate(IborIndex,X1412,Trigger)</f>
        <v>48726</v>
      </c>
      <c r="Z1412" s="203">
        <v>3.9067785468300038E-2</v>
      </c>
      <c r="AA1412" s="200">
        <v>3.8912416646406101E-2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48731</v>
      </c>
      <c r="Y1413" s="202">
        <f>_xll.qlInterestRateIndexValueDate(IborIndex,X1413,Trigger)</f>
        <v>48733</v>
      </c>
      <c r="Z1413" s="203">
        <v>3.9060598584463355E-2</v>
      </c>
      <c r="AA1413" s="200">
        <v>3.8906373643747827E-2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48738</v>
      </c>
      <c r="Y1414" s="202">
        <f>_xll.qlInterestRateIndexValueDate(IborIndex,X1414,Trigger)</f>
        <v>48740</v>
      </c>
      <c r="Z1414" s="203">
        <v>3.9051806190279328E-2</v>
      </c>
      <c r="AA1414" s="200">
        <v>3.8899313662588142E-2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48745</v>
      </c>
      <c r="Y1415" s="202">
        <f>_xll.qlInterestRateIndexValueDate(IborIndex,X1415,Trigger)</f>
        <v>48747</v>
      </c>
      <c r="Z1415" s="203">
        <v>3.9044599524786873E-2</v>
      </c>
      <c r="AA1415" s="200">
        <v>3.8892243115240532E-2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48752</v>
      </c>
      <c r="Y1416" s="202">
        <f>_xll.qlInterestRateIndexValueDate(IborIndex,X1416,Trigger)</f>
        <v>48754</v>
      </c>
      <c r="Z1416" s="203">
        <v>3.9037382199949532E-2</v>
      </c>
      <c r="AA1416" s="200">
        <v>3.8885162002024742E-2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48759</v>
      </c>
      <c r="Y1417" s="202">
        <f>_xll.qlInterestRateIndexValueDate(IborIndex,X1417,Trigger)</f>
        <v>48761</v>
      </c>
      <c r="Z1417" s="203">
        <v>3.9030154215825966E-2</v>
      </c>
      <c r="AA1417" s="200">
        <v>3.8877056362984774E-2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48766</v>
      </c>
      <c r="Y1418" s="202">
        <f>_xll.qlInterestRateIndexValueDate(IborIndex,X1418,Trigger)</f>
        <v>48768</v>
      </c>
      <c r="Z1418" s="203">
        <v>3.9024504259446521E-2</v>
      </c>
      <c r="AA1418" s="200">
        <v>3.8870968077109325E-2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48773</v>
      </c>
      <c r="Y1419" s="202">
        <f>_xll.qlInterestRateIndexValueDate(IborIndex,X1419,Trigger)</f>
        <v>48775</v>
      </c>
      <c r="Z1419" s="203">
        <v>3.9015666269959129E-2</v>
      </c>
      <c r="AA1419" s="200">
        <v>3.8863855265489633E-2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48780</v>
      </c>
      <c r="Y1420" s="202">
        <f>_xll.qlInterestRateIndexValueDate(IborIndex,X1420,Trigger)</f>
        <v>48782</v>
      </c>
      <c r="Z1420" s="203">
        <v>3.9008406308335769E-2</v>
      </c>
      <c r="AA1420" s="200">
        <v>3.8856731887921825E-2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48787</v>
      </c>
      <c r="Y1421" s="202">
        <f>_xll.qlInterestRateIndexValueDate(IborIndex,X1421,Trigger)</f>
        <v>48789</v>
      </c>
      <c r="Z1421" s="203">
        <v>3.9001135687667693E-2</v>
      </c>
      <c r="AA1421" s="200">
        <v>3.8849597944086156E-2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48794</v>
      </c>
      <c r="Y1422" s="202">
        <f>_xll.qlInterestRateIndexValueDate(IborIndex,X1422,Trigger)</f>
        <v>48796</v>
      </c>
      <c r="Z1422" s="203">
        <v>3.8993854408010183E-2</v>
      </c>
      <c r="AA1422" s="200">
        <v>3.8842453434222435E-2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48801</v>
      </c>
      <c r="Y1423" s="202">
        <f>_xll.qlInterestRateIndexValueDate(IborIndex,X1423,Trigger)</f>
        <v>48803</v>
      </c>
      <c r="Z1423" s="203">
        <v>3.8986562469428714E-2</v>
      </c>
      <c r="AA1423" s="200">
        <v>3.8835298358410597E-2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48808</v>
      </c>
      <c r="Y1424" s="202">
        <f>_xll.qlInterestRateIndexValueDate(IborIndex,X1424,Trigger)</f>
        <v>48810</v>
      </c>
      <c r="Z1424" s="203">
        <v>3.8979259871981121E-2</v>
      </c>
      <c r="AA1424" s="200">
        <v>3.8828132716410835E-2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48815</v>
      </c>
      <c r="Y1425" s="202">
        <f>_xll.qlInterestRateIndexValueDate(IborIndex,X1425,Trigger)</f>
        <v>48817</v>
      </c>
      <c r="Z1425" s="203">
        <v>3.8971946615728621E-2</v>
      </c>
      <c r="AA1425" s="200">
        <v>3.882095650838302E-2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48822</v>
      </c>
      <c r="Y1426" s="202">
        <f>_xll.qlInterestRateIndexValueDate(IborIndex,X1426,Trigger)</f>
        <v>48824</v>
      </c>
      <c r="Z1426" s="203">
        <v>3.8959893553501934E-2</v>
      </c>
      <c r="AA1426" s="200">
        <v>3.8812742189637817E-2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48829</v>
      </c>
      <c r="Y1427" s="202">
        <f>_xll.qlInterestRateIndexValueDate(IborIndex,X1427,Trigger)</f>
        <v>48831</v>
      </c>
      <c r="Z1427" s="203">
        <v>3.8952563632103296E-2</v>
      </c>
      <c r="AA1427" s="200">
        <v>3.8806572394083361E-2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48836</v>
      </c>
      <c r="Y1428" s="202">
        <f>_xll.qlInterestRateIndexValueDate(IborIndex,X1428,Trigger)</f>
        <v>48838</v>
      </c>
      <c r="Z1428" s="203">
        <v>3.8945223055064773E-2</v>
      </c>
      <c r="AA1428" s="200">
        <v>3.8799364487811516E-2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48843</v>
      </c>
      <c r="Y1429" s="202">
        <f>_xll.qlInterestRateIndexValueDate(IborIndex,X1429,Trigger)</f>
        <v>48845</v>
      </c>
      <c r="Z1429" s="203">
        <v>3.8937871822447852E-2</v>
      </c>
      <c r="AA1429" s="200">
        <v>3.8792146015511619E-2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48850</v>
      </c>
      <c r="Y1430" s="202">
        <f>_xll.qlInterestRateIndexValueDate(IborIndex,X1430,Trigger)</f>
        <v>48852</v>
      </c>
      <c r="Z1430" s="203">
        <v>3.893050993430875E-2</v>
      </c>
      <c r="AA1430" s="200">
        <v>3.8784916977023798E-2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48857</v>
      </c>
      <c r="Y1431" s="202">
        <f>_xll.qlInterestRateIndexValueDate(IborIndex,X1431,Trigger)</f>
        <v>48859</v>
      </c>
      <c r="Z1431" s="203">
        <v>3.8927843246690103E-2</v>
      </c>
      <c r="AA1431" s="200">
        <v>3.8776642280815565E-2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48864</v>
      </c>
      <c r="Y1432" s="202">
        <f>_xll.qlInterestRateIndexValueDate(IborIndex,X1432,Trigger)</f>
        <v>48866</v>
      </c>
      <c r="Z1432" s="203">
        <v>3.8922022371436653E-2</v>
      </c>
      <c r="AA1432" s="200">
        <v>3.8770427202043933E-2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48871</v>
      </c>
      <c r="Y1433" s="202">
        <f>_xll.qlInterestRateIndexValueDate(IborIndex,X1433,Trigger)</f>
        <v>48873</v>
      </c>
      <c r="Z1433" s="203">
        <v>3.8913056855987616E-2</v>
      </c>
      <c r="AA1433" s="200">
        <v>3.8763166465392018E-2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48878</v>
      </c>
      <c r="Y1434" s="202">
        <f>_xll.qlInterestRateIndexValueDate(IborIndex,X1434,Trigger)</f>
        <v>48880</v>
      </c>
      <c r="Z1434" s="203">
        <v>3.8905647673219024E-2</v>
      </c>
      <c r="AA1434" s="200">
        <v>3.8755895162712051E-2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48885</v>
      </c>
      <c r="Y1435" s="202">
        <f>_xll.qlInterestRateIndexValueDate(IborIndex,X1435,Trigger)</f>
        <v>48887</v>
      </c>
      <c r="Z1435" s="203">
        <v>3.8898227832255258E-2</v>
      </c>
      <c r="AA1435" s="200">
        <v>3.8748613293924095E-2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48892</v>
      </c>
      <c r="Y1436" s="202">
        <f>_xll.qlInterestRateIndexValueDate(IborIndex,X1436,Trigger)</f>
        <v>48897</v>
      </c>
      <c r="Z1436" s="203">
        <v>3.8884489285123433E-2</v>
      </c>
      <c r="AA1436" s="200">
        <v>3.8740278220332769E-2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48899</v>
      </c>
      <c r="Y1437" s="202">
        <f>_xll.qlInterestRateIndexValueDate(IborIndex,X1437,Trigger)</f>
        <v>48901</v>
      </c>
      <c r="Z1437" s="203">
        <v>3.8884915371133033E-2</v>
      </c>
      <c r="AA1437" s="200">
        <v>3.8734017858264025E-2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48906</v>
      </c>
      <c r="Y1438" s="202">
        <f>_xll.qlInterestRateIndexValueDate(IborIndex,X1438,Trigger)</f>
        <v>48908</v>
      </c>
      <c r="Z1438" s="203">
        <v>3.8875904360797513E-2</v>
      </c>
      <c r="AA1438" s="200">
        <v>3.8726704291311975E-2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48913</v>
      </c>
      <c r="Y1439" s="202">
        <f>_xll.qlInterestRateIndexValueDate(IborIndex,X1439,Trigger)</f>
        <v>48915</v>
      </c>
      <c r="Z1439" s="203">
        <v>3.8862217232224161E-2</v>
      </c>
      <c r="AA1439" s="200">
        <v>3.8719380158251937E-2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48920</v>
      </c>
      <c r="Y1440" s="202">
        <f>_xll.qlInterestRateIndexValueDate(IborIndex,X1440,Trigger)</f>
        <v>48922</v>
      </c>
      <c r="Z1440" s="203">
        <v>3.8854750355327816E-2</v>
      </c>
      <c r="AA1440" s="200">
        <v>3.8712045459163846E-2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48927</v>
      </c>
      <c r="Y1441" s="202">
        <f>_xll.qlInterestRateIndexValueDate(IborIndex,X1441,Trigger)</f>
        <v>48929</v>
      </c>
      <c r="Z1441" s="203">
        <v>3.8847272824551027E-2</v>
      </c>
      <c r="AA1441" s="200">
        <v>3.8704700193887831E-2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48934</v>
      </c>
      <c r="Y1442" s="202">
        <f>_xll.qlInterestRateIndexValueDate(IborIndex,X1442,Trigger)</f>
        <v>48936</v>
      </c>
      <c r="Z1442" s="203">
        <v>3.8839784639951525E-2</v>
      </c>
      <c r="AA1442" s="200">
        <v>3.8696292667212973E-2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48941</v>
      </c>
      <c r="Y1443" s="202">
        <f>_xll.qlInterestRateIndexValueDate(IborIndex,X1443,Trigger)</f>
        <v>48943</v>
      </c>
      <c r="Z1443" s="203">
        <v>3.8833835763083108E-2</v>
      </c>
      <c r="AA1443" s="200">
        <v>3.8688924760448273E-2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48948</v>
      </c>
      <c r="Y1444" s="202">
        <f>_xll.qlInterestRateIndexValueDate(IborIndex,X1444,Trigger)</f>
        <v>48950</v>
      </c>
      <c r="Z1444" s="203">
        <v>3.8824776309525966E-2</v>
      </c>
      <c r="AA1444" s="200">
        <v>3.8682601002051342E-2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48955</v>
      </c>
      <c r="Y1445" s="202">
        <f>_xll.qlInterestRateIndexValueDate(IborIndex,X1445,Trigger)</f>
        <v>48957</v>
      </c>
      <c r="Z1445" s="203">
        <v>3.8817256163818925E-2</v>
      </c>
      <c r="AA1445" s="200">
        <v>3.8674157248834717E-2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48962</v>
      </c>
      <c r="Y1446" s="202">
        <f>_xll.qlInterestRateIndexValueDate(IborIndex,X1446,Trigger)</f>
        <v>48964</v>
      </c>
      <c r="Z1446" s="203">
        <v>3.8809725364528092E-2</v>
      </c>
      <c r="AA1446" s="200">
        <v>3.8667815377166903E-2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48969</v>
      </c>
      <c r="Y1447" s="202">
        <f>_xll.qlInterestRateIndexValueDate(IborIndex,X1447,Trigger)</f>
        <v>48971</v>
      </c>
      <c r="Z1447" s="203">
        <v>3.8802183911712085E-2</v>
      </c>
      <c r="AA1447" s="200">
        <v>3.8660406715642637E-2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48976</v>
      </c>
      <c r="Y1448" s="202">
        <f>_xll.qlInterestRateIndexValueDate(IborIndex,X1448,Trigger)</f>
        <v>48978</v>
      </c>
      <c r="Z1448" s="203">
        <v>3.8793089649891241E-2</v>
      </c>
      <c r="AA1448" s="200">
        <v>3.8652987488010382E-2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48983</v>
      </c>
      <c r="Y1449" s="202">
        <f>_xll.qlInterestRateIndexValueDate(IborIndex,X1449,Trigger)</f>
        <v>48985</v>
      </c>
      <c r="Z1449" s="203">
        <v>3.878552846202396E-2</v>
      </c>
      <c r="AA1449" s="200">
        <v>3.8645557694430011E-2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48990</v>
      </c>
      <c r="Y1450" s="202">
        <f>_xll.qlInterestRateIndexValueDate(IborIndex,X1450,Trigger)</f>
        <v>48992</v>
      </c>
      <c r="Z1450" s="203">
        <v>3.8777956621793189E-2</v>
      </c>
      <c r="AA1450" s="200">
        <v>3.8637053563590484E-2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48997</v>
      </c>
      <c r="Y1451" s="202">
        <f>_xll.qlInterestRateIndexValueDate(IborIndex,X1451,Trigger)</f>
        <v>48999</v>
      </c>
      <c r="Z1451" s="203">
        <v>3.8770374129255519E-2</v>
      </c>
      <c r="AA1451" s="200">
        <v>3.8630666408865366E-2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49004</v>
      </c>
      <c r="Y1452" s="202">
        <f>_xll.qlInterestRateIndexValueDate(IborIndex,X1452,Trigger)</f>
        <v>49006</v>
      </c>
      <c r="Z1452" s="203">
        <v>3.8770459891620937E-2</v>
      </c>
      <c r="AA1452" s="200">
        <v>3.8623204917040965E-2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49011</v>
      </c>
      <c r="Y1453" s="202">
        <f>_xll.qlInterestRateIndexValueDate(IborIndex,X1453,Trigger)</f>
        <v>49013</v>
      </c>
      <c r="Z1453" s="203">
        <v>3.8762848213701483E-2</v>
      </c>
      <c r="AA1453" s="200">
        <v>3.861573285902864E-2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49018</v>
      </c>
      <c r="Y1454" s="202">
        <f>_xll.qlInterestRateIndexValueDate(IborIndex,X1454,Trigger)</f>
        <v>49020</v>
      </c>
      <c r="Z1454" s="203">
        <v>3.8755225878768888E-2</v>
      </c>
      <c r="AA1454" s="200">
        <v>3.8608250234988262E-2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49025</v>
      </c>
      <c r="Y1455" s="202">
        <f>_xll.qlInterestRateIndexValueDate(IborIndex,X1455,Trigger)</f>
        <v>49027</v>
      </c>
      <c r="Z1455" s="203">
        <v>3.8747592886881822E-2</v>
      </c>
      <c r="AA1455" s="200">
        <v>3.8600757045079703E-2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49032</v>
      </c>
      <c r="Y1456" s="202">
        <f>_xll.qlInterestRateIndexValueDate(IborIndex,X1456,Trigger)</f>
        <v>49034</v>
      </c>
      <c r="Z1456" s="203">
        <v>3.8735360949881732E-2</v>
      </c>
      <c r="AA1456" s="200">
        <v>3.859325328898322E-2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49039</v>
      </c>
      <c r="Y1457" s="202">
        <f>_xll.qlInterestRateIndexValueDate(IborIndex,X1457,Trigger)</f>
        <v>49045</v>
      </c>
      <c r="Z1457" s="203">
        <v>3.8723335469446112E-2</v>
      </c>
      <c r="AA1457" s="200">
        <v>3.8583590076992635E-2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49046</v>
      </c>
      <c r="Y1458" s="202">
        <f>_xll.qlInterestRateIndexValueDate(IborIndex,X1458,Trigger)</f>
        <v>49048</v>
      </c>
      <c r="Z1458" s="203">
        <v>3.8720051420516176E-2</v>
      </c>
      <c r="AA1458" s="200">
        <v>3.8578214078786033E-2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49053</v>
      </c>
      <c r="Y1459" s="202">
        <f>_xll.qlInterestRateIndexValueDate(IborIndex,X1459,Trigger)</f>
        <v>49055</v>
      </c>
      <c r="Z1459" s="203">
        <v>3.8712382324382642E-2</v>
      </c>
      <c r="AA1459" s="200">
        <v>3.857067862444552E-2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49060</v>
      </c>
      <c r="Y1460" s="202">
        <f>_xll.qlInterestRateIndexValueDate(IborIndex,X1460,Trigger)</f>
        <v>49062</v>
      </c>
      <c r="Z1460" s="203">
        <v>3.8709277978309149E-2</v>
      </c>
      <c r="AA1460" s="200">
        <v>3.8563132604236827E-2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49067</v>
      </c>
      <c r="Y1461" s="202">
        <f>_xll.qlInterestRateIndexValueDate(IborIndex,X1461,Trigger)</f>
        <v>49069</v>
      </c>
      <c r="Z1461" s="203">
        <v>3.870159248408004E-2</v>
      </c>
      <c r="AA1461" s="200">
        <v>3.855557601784021E-2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49074</v>
      </c>
      <c r="Y1462" s="202">
        <f>_xll.qlInterestRateIndexValueDate(IborIndex,X1462,Trigger)</f>
        <v>49076</v>
      </c>
      <c r="Z1462" s="203">
        <v>3.8693902862151894E-2</v>
      </c>
      <c r="AA1462" s="200">
        <v>3.854800886541554E-2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49081</v>
      </c>
      <c r="Y1463" s="202">
        <f>_xll.qlInterestRateIndexValueDate(IborIndex,X1463,Trigger)</f>
        <v>49083</v>
      </c>
      <c r="Z1463" s="203">
        <v>3.8686210586808392E-2</v>
      </c>
      <c r="AA1463" s="200">
        <v>3.8540431146962817E-2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49088</v>
      </c>
      <c r="Y1464" s="202">
        <f>_xll.qlInterestRateIndexValueDate(IborIndex,X1464,Trigger)</f>
        <v>49090</v>
      </c>
      <c r="Z1464" s="203">
        <v>3.8680038617498379E-2</v>
      </c>
      <c r="AA1464" s="200">
        <v>3.8531757959274771E-2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49095</v>
      </c>
      <c r="Y1465" s="202">
        <f>_xll.qlInterestRateIndexValueDate(IborIndex,X1465,Trigger)</f>
        <v>49097</v>
      </c>
      <c r="Z1465" s="203">
        <v>3.8672345053334528E-2</v>
      </c>
      <c r="AA1465" s="200">
        <v>3.8525244011973214E-2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49102</v>
      </c>
      <c r="Y1466" s="202">
        <f>_xll.qlInterestRateIndexValueDate(IborIndex,X1466,Trigger)</f>
        <v>49104</v>
      </c>
      <c r="Z1466" s="203">
        <v>3.8663132582898802E-2</v>
      </c>
      <c r="AA1466" s="200">
        <v>3.8517634595276462E-2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49109</v>
      </c>
      <c r="Y1467" s="202">
        <f>_xll.qlInterestRateIndexValueDate(IborIndex,X1467,Trigger)</f>
        <v>49111</v>
      </c>
      <c r="Z1467" s="203">
        <v>3.8655444436450824E-2</v>
      </c>
      <c r="AA1467" s="200">
        <v>3.8510014612711529E-2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49116</v>
      </c>
      <c r="Y1468" s="202">
        <f>_xll.qlInterestRateIndexValueDate(IborIndex,X1468,Trigger)</f>
        <v>49118</v>
      </c>
      <c r="Z1468" s="203">
        <v>3.8647761007809416E-2</v>
      </c>
      <c r="AA1468" s="200">
        <v>3.8502384063958672E-2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49123</v>
      </c>
      <c r="Y1469" s="202">
        <f>_xll.qlInterestRateIndexValueDate(IborIndex,X1469,Trigger)</f>
        <v>49125</v>
      </c>
      <c r="Z1469" s="203">
        <v>3.8635524065215497E-2</v>
      </c>
      <c r="AA1469" s="200">
        <v>3.8493650498887533E-2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49130</v>
      </c>
      <c r="Y1470" s="202">
        <f>_xll.qlInterestRateIndexValueDate(IborIndex,X1470,Trigger)</f>
        <v>49132</v>
      </c>
      <c r="Z1470" s="203">
        <v>3.8633934119270789E-2</v>
      </c>
      <c r="AA1470" s="200">
        <v>3.8487095335435484E-2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49137</v>
      </c>
      <c r="Y1471" s="202">
        <f>_xll.qlInterestRateIndexValueDate(IborIndex,X1471,Trigger)</f>
        <v>49139</v>
      </c>
      <c r="Z1471" s="203">
        <v>3.8624753525058106E-2</v>
      </c>
      <c r="AA1471" s="200">
        <v>3.8479455489959236E-2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49144</v>
      </c>
      <c r="Y1472" s="202">
        <f>_xll.qlInterestRateIndexValueDate(IborIndex,X1472,Trigger)</f>
        <v>49146</v>
      </c>
      <c r="Z1472" s="203">
        <v>3.8617101989688547E-2</v>
      </c>
      <c r="AA1472" s="200">
        <v>3.8471824679815469E-2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49151</v>
      </c>
      <c r="Y1473" s="202">
        <f>_xll.qlInterestRateIndexValueDate(IborIndex,X1473,Trigger)</f>
        <v>49153</v>
      </c>
      <c r="Z1473" s="203">
        <v>3.8609459594610915E-2</v>
      </c>
      <c r="AA1473" s="200">
        <v>3.8464202904844313E-2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49158</v>
      </c>
      <c r="Y1474" s="202">
        <f>_xll.qlInterestRateIndexValueDate(IborIndex,X1474,Trigger)</f>
        <v>49160</v>
      </c>
      <c r="Z1474" s="203">
        <v>3.8601826339772494E-2</v>
      </c>
      <c r="AA1474" s="200">
        <v>3.8456590165125704E-2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49165</v>
      </c>
      <c r="Y1475" s="202">
        <f>_xll.qlInterestRateIndexValueDate(IborIndex,X1475,Trigger)</f>
        <v>49167</v>
      </c>
      <c r="Z1475" s="203">
        <v>3.8594202225117995E-2</v>
      </c>
      <c r="AA1475" s="200">
        <v>3.8448986460579704E-2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49172</v>
      </c>
      <c r="Y1476" s="202">
        <f>_xll.qlInterestRateIndexValueDate(IborIndex,X1476,Trigger)</f>
        <v>49174</v>
      </c>
      <c r="Z1476" s="203">
        <v>3.858658725059385E-2</v>
      </c>
      <c r="AA1476" s="200">
        <v>3.8441391791126378E-2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49179</v>
      </c>
      <c r="Y1477" s="202">
        <f>_xll.qlInterestRateIndexValueDate(IborIndex,X1477,Trigger)</f>
        <v>49181</v>
      </c>
      <c r="Z1477" s="203">
        <v>3.8578981416147344E-2</v>
      </c>
      <c r="AA1477" s="200">
        <v>3.8433806156925598E-2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49186</v>
      </c>
      <c r="Y1478" s="202">
        <f>_xll.qlInterestRateIndexValueDate(IborIndex,X1478,Trigger)</f>
        <v>49188</v>
      </c>
      <c r="Z1478" s="203">
        <v>3.8566829390236784E-2</v>
      </c>
      <c r="AA1478" s="200">
        <v>3.8425147924394665E-2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49193</v>
      </c>
      <c r="Y1479" s="202">
        <f>_xll.qlInterestRateIndexValueDate(IborIndex,X1479,Trigger)</f>
        <v>49195</v>
      </c>
      <c r="Z1479" s="203">
        <v>3.8559242303986094E-2</v>
      </c>
      <c r="AA1479" s="200">
        <v>3.8418661994281678E-2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49200</v>
      </c>
      <c r="Y1480" s="202">
        <f>_xll.qlInterestRateIndexValueDate(IborIndex,X1480,Trigger)</f>
        <v>49202</v>
      </c>
      <c r="Z1480" s="203">
        <v>3.8551664354265179E-2</v>
      </c>
      <c r="AA1480" s="200">
        <v>3.8411103465838536E-2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49207</v>
      </c>
      <c r="Y1481" s="202">
        <f>_xll.qlInterestRateIndexValueDate(IborIndex,X1481,Trigger)</f>
        <v>49209</v>
      </c>
      <c r="Z1481" s="203">
        <v>3.8544095541023095E-2</v>
      </c>
      <c r="AA1481" s="200">
        <v>3.8403553972488069E-2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49214</v>
      </c>
      <c r="Y1482" s="202">
        <f>_xll.qlInterestRateIndexValueDate(IborIndex,X1482,Trigger)</f>
        <v>49216</v>
      </c>
      <c r="Z1482" s="203">
        <v>3.8536535864205371E-2</v>
      </c>
      <c r="AA1482" s="200">
        <v>3.8396013514390148E-2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49221</v>
      </c>
      <c r="Y1483" s="202">
        <f>_xll.qlInterestRateIndexValueDate(IborIndex,X1483,Trigger)</f>
        <v>49223</v>
      </c>
      <c r="Z1483" s="203">
        <v>3.8533538348059254E-2</v>
      </c>
      <c r="AA1483" s="200">
        <v>3.8387406911519761E-2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49228</v>
      </c>
      <c r="Y1484" s="202">
        <f>_xll.qlInterestRateIndexValueDate(IborIndex,X1484,Trigger)</f>
        <v>49230</v>
      </c>
      <c r="Z1484" s="203">
        <v>3.8527514204509068E-2</v>
      </c>
      <c r="AA1484" s="200">
        <v>3.8380959703792072E-2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49235</v>
      </c>
      <c r="Y1485" s="202">
        <f>_xll.qlInterestRateIndexValueDate(IborIndex,X1485,Trigger)</f>
        <v>49237</v>
      </c>
      <c r="Z1485" s="203">
        <v>3.8518463776873887E-2</v>
      </c>
      <c r="AA1485" s="200">
        <v>3.8373446351291918E-2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49242</v>
      </c>
      <c r="Y1486" s="202">
        <f>_xll.qlInterestRateIndexValueDate(IborIndex,X1486,Trigger)</f>
        <v>49244</v>
      </c>
      <c r="Z1486" s="203">
        <v>3.8510940200699055E-2</v>
      </c>
      <c r="AA1486" s="200">
        <v>3.8365942033964373E-2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49249</v>
      </c>
      <c r="Y1487" s="202">
        <f>_xll.qlInterestRateIndexValueDate(IborIndex,X1487,Trigger)</f>
        <v>49251</v>
      </c>
      <c r="Z1487" s="203">
        <v>3.8503425764066117E-2</v>
      </c>
      <c r="AA1487" s="200">
        <v>3.8358446751889375E-2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49256</v>
      </c>
      <c r="Y1488" s="202">
        <f>_xll.qlInterestRateIndexValueDate(IborIndex,X1488,Trigger)</f>
        <v>49261</v>
      </c>
      <c r="Z1488" s="203">
        <v>3.8489672871391462E-2</v>
      </c>
      <c r="AA1488" s="200">
        <v>3.8349891778679535E-2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49263</v>
      </c>
      <c r="Y1489" s="202">
        <f>_xll.qlInterestRateIndexValueDate(IborIndex,X1489,Trigger)</f>
        <v>49265</v>
      </c>
      <c r="Z1489" s="203">
        <v>3.8489941286543101E-2</v>
      </c>
      <c r="AA1489" s="200">
        <v>3.8343483293177272E-2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49270</v>
      </c>
      <c r="Y1490" s="202">
        <f>_xll.qlInterestRateIndexValueDate(IborIndex,X1490,Trigger)</f>
        <v>49272</v>
      </c>
      <c r="Z1490" s="203">
        <v>3.8480937290877794E-2</v>
      </c>
      <c r="AA1490" s="200">
        <v>3.833601511670004E-2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49277</v>
      </c>
      <c r="Y1491" s="202">
        <f>_xll.qlInterestRateIndexValueDate(IborIndex,X1491,Trigger)</f>
        <v>49279</v>
      </c>
      <c r="Z1491" s="203">
        <v>3.8467393589247223E-2</v>
      </c>
      <c r="AA1491" s="200">
        <v>3.8328555975395417E-2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49284</v>
      </c>
      <c r="Y1492" s="202">
        <f>_xll.qlInterestRateIndexValueDate(IborIndex,X1492,Trigger)</f>
        <v>49286</v>
      </c>
      <c r="Z1492" s="203">
        <v>3.8459925415447849E-2</v>
      </c>
      <c r="AA1492" s="200">
        <v>3.8321105869263405E-2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49291</v>
      </c>
      <c r="Y1493" s="202">
        <f>_xll.qlInterestRateIndexValueDate(IborIndex,X1493,Trigger)</f>
        <v>49293</v>
      </c>
      <c r="Z1493" s="203">
        <v>3.8452466376386774E-2</v>
      </c>
      <c r="AA1493" s="200">
        <v>3.831366479838394E-2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49298</v>
      </c>
      <c r="Y1494" s="202">
        <f>_xll.qlInterestRateIndexValueDate(IborIndex,X1494,Trigger)</f>
        <v>49300</v>
      </c>
      <c r="Z1494" s="203">
        <v>3.8445016472013371E-2</v>
      </c>
      <c r="AA1494" s="200">
        <v>3.8305171780814717E-2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49305</v>
      </c>
      <c r="Y1495" s="202">
        <f>_xll.qlInterestRateIndexValueDate(IborIndex,X1495,Trigger)</f>
        <v>49307</v>
      </c>
      <c r="Z1495" s="203">
        <v>3.8439091456870994E-2</v>
      </c>
      <c r="AA1495" s="200">
        <v>3.8297750071087933E-2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49312</v>
      </c>
      <c r="Y1496" s="202">
        <f>_xll.qlInterestRateIndexValueDate(IborIndex,X1496,Trigger)</f>
        <v>49314</v>
      </c>
      <c r="Z1496" s="203">
        <v>3.8430144067128857E-2</v>
      </c>
      <c r="AA1496" s="200">
        <v>3.8291395796861138E-2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49319</v>
      </c>
      <c r="Y1497" s="202">
        <f>_xll.qlInterestRateIndexValueDate(IborIndex,X1497,Trigger)</f>
        <v>49321</v>
      </c>
      <c r="Z1497" s="203">
        <v>3.8422721566516493E-2</v>
      </c>
      <c r="AA1497" s="200">
        <v>3.8282933757152193E-2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49326</v>
      </c>
      <c r="Y1498" s="202">
        <f>_xll.qlInterestRateIndexValueDate(IborIndex,X1498,Trigger)</f>
        <v>49328</v>
      </c>
      <c r="Z1498" s="203">
        <v>3.8415308200391962E-2</v>
      </c>
      <c r="AA1498" s="200">
        <v>3.827659497181557E-2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49333</v>
      </c>
      <c r="Y1499" s="202">
        <f>_xll.qlInterestRateIndexValueDate(IborIndex,X1499,Trigger)</f>
        <v>49335</v>
      </c>
      <c r="Z1499" s="203">
        <v>3.8407903968701973E-2</v>
      </c>
      <c r="AA1499" s="200">
        <v>3.82692081120517E-2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49340</v>
      </c>
      <c r="Y1500" s="202">
        <f>_xll.qlInterestRateIndexValueDate(IborIndex,X1500,Trigger)</f>
        <v>49342</v>
      </c>
      <c r="Z1500" s="203">
        <v>3.8398993886128316E-2</v>
      </c>
      <c r="AA1500" s="200">
        <v>3.8261830287460441E-2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49347</v>
      </c>
      <c r="Y1501" s="202">
        <f>_xll.qlInterestRateIndexValueDate(IborIndex,X1501,Trigger)</f>
        <v>49349</v>
      </c>
      <c r="Z1501" s="203">
        <v>3.8391608054765179E-2</v>
      </c>
      <c r="AA1501" s="200">
        <v>3.8254461498201664E-2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49354</v>
      </c>
      <c r="Y1502" s="202">
        <f>_xll.qlInterestRateIndexValueDate(IborIndex,X1502,Trigger)</f>
        <v>49356</v>
      </c>
      <c r="Z1502" s="203">
        <v>3.838423135657177E-2</v>
      </c>
      <c r="AA1502" s="200">
        <v>3.824605108807333E-2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49361</v>
      </c>
      <c r="Y1503" s="202">
        <f>_xll.qlInterestRateIndexValueDate(IborIndex,X1503,Trigger)</f>
        <v>49363</v>
      </c>
      <c r="Z1503" s="203">
        <v>3.8376863791497795E-2</v>
      </c>
      <c r="AA1503" s="200">
        <v>3.8239751025042068E-2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49368</v>
      </c>
      <c r="Y1504" s="202">
        <f>_xll.qlInterestRateIndexValueDate(IborIndex,X1504,Trigger)</f>
        <v>49370</v>
      </c>
      <c r="Z1504" s="203">
        <v>3.8377078639744912E-2</v>
      </c>
      <c r="AA1504" s="200">
        <v>3.8232409341221185E-2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49375</v>
      </c>
      <c r="Y1505" s="202">
        <f>_xll.qlInterestRateIndexValueDate(IborIndex,X1505,Trigger)</f>
        <v>49377</v>
      </c>
      <c r="Z1505" s="203">
        <v>3.8369728705811942E-2</v>
      </c>
      <c r="AA1505" s="200">
        <v>3.8225076692732785E-2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49382</v>
      </c>
      <c r="Y1506" s="202">
        <f>_xll.qlInterestRateIndexValueDate(IborIndex,X1506,Trigger)</f>
        <v>49384</v>
      </c>
      <c r="Z1506" s="203">
        <v>3.8362387910419966E-2</v>
      </c>
      <c r="AA1506" s="200">
        <v>3.8217753079257122E-2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49389</v>
      </c>
      <c r="Y1507" s="202">
        <f>_xll.qlInterestRateIndexValueDate(IborIndex,X1507,Trigger)</f>
        <v>49395</v>
      </c>
      <c r="Z1507" s="203">
        <v>3.8347842136405373E-2</v>
      </c>
      <c r="AA1507" s="200">
        <v>3.8208350281196957E-2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49396</v>
      </c>
      <c r="Y1508" s="202">
        <f>_xll.qlInterestRateIndexValueDate(IborIndex,X1508,Trigger)</f>
        <v>49398</v>
      </c>
      <c r="Z1508" s="203">
        <v>3.8343190984058827E-2</v>
      </c>
      <c r="AA1508" s="200">
        <v>3.8203132958063435E-2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49403</v>
      </c>
      <c r="Y1509" s="202">
        <f>_xll.qlInterestRateIndexValueDate(IborIndex,X1509,Trigger)</f>
        <v>49405</v>
      </c>
      <c r="Z1509" s="203">
        <v>3.8335877971364077E-2</v>
      </c>
      <c r="AA1509" s="200">
        <v>3.8195836450265475E-2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49410</v>
      </c>
      <c r="Y1510" s="202">
        <f>_xll.qlInterestRateIndexValueDate(IborIndex,X1510,Trigger)</f>
        <v>49412</v>
      </c>
      <c r="Z1510" s="203">
        <v>3.8328574093669771E-2</v>
      </c>
      <c r="AA1510" s="200">
        <v>3.8188548977640124E-2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49417</v>
      </c>
      <c r="Y1511" s="202">
        <f>_xll.qlInterestRateIndexValueDate(IborIndex,X1511,Trigger)</f>
        <v>49419</v>
      </c>
      <c r="Z1511" s="203">
        <v>3.8321279350924095E-2</v>
      </c>
      <c r="AA1511" s="200">
        <v>3.818127054026732E-2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49424</v>
      </c>
      <c r="Y1512" s="202">
        <f>_xll.qlInterestRateIndexValueDate(IborIndex,X1512,Trigger)</f>
        <v>49426</v>
      </c>
      <c r="Z1512" s="203">
        <v>3.8313993743076966E-2</v>
      </c>
      <c r="AA1512" s="200">
        <v>3.817400113798719E-2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49431</v>
      </c>
      <c r="Y1513" s="202">
        <f>_xll.qlInterestRateIndexValueDate(IborIndex,X1513,Trigger)</f>
        <v>49433</v>
      </c>
      <c r="Z1513" s="203">
        <v>3.8311258217466414E-2</v>
      </c>
      <c r="AA1513" s="200">
        <v>3.8166740770959606E-2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49438</v>
      </c>
      <c r="Y1514" s="202">
        <f>_xll.qlInterestRateIndexValueDate(IborIndex,X1514,Trigger)</f>
        <v>49440</v>
      </c>
      <c r="Z1514" s="203">
        <v>3.8303990528537446E-2</v>
      </c>
      <c r="AA1514" s="200">
        <v>3.8159489439104632E-2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49445</v>
      </c>
      <c r="Y1515" s="202">
        <f>_xll.qlInterestRateIndexValueDate(IborIndex,X1515,Trigger)</f>
        <v>49447</v>
      </c>
      <c r="Z1515" s="203">
        <v>3.8296731977682602E-2</v>
      </c>
      <c r="AA1515" s="200">
        <v>3.8152247142342333E-2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49452</v>
      </c>
      <c r="Y1516" s="202">
        <f>_xll.qlInterestRateIndexValueDate(IborIndex,X1516,Trigger)</f>
        <v>49454</v>
      </c>
      <c r="Z1516" s="203">
        <v>3.8290996059001485E-2</v>
      </c>
      <c r="AA1516" s="200">
        <v>3.8143981295295504E-2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49459</v>
      </c>
      <c r="Y1517" s="202">
        <f>_xll.qlInterestRateIndexValueDate(IborIndex,X1517,Trigger)</f>
        <v>49461</v>
      </c>
      <c r="Z1517" s="203">
        <v>3.8283755670714244E-2</v>
      </c>
      <c r="AA1517" s="200">
        <v>3.8137789654495435E-2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49466</v>
      </c>
      <c r="Y1518" s="202">
        <f>_xll.qlInterestRateIndexValueDate(IborIndex,X1518,Trigger)</f>
        <v>49468</v>
      </c>
      <c r="Z1518" s="203">
        <v>3.827501115306197E-2</v>
      </c>
      <c r="AA1518" s="200">
        <v>3.8130574463410838E-2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49473</v>
      </c>
      <c r="Y1519" s="202">
        <f>_xll.qlInterestRateIndexValueDate(IborIndex,X1519,Trigger)</f>
        <v>49475</v>
      </c>
      <c r="Z1519" s="203">
        <v>3.8267789153996812E-2</v>
      </c>
      <c r="AA1519" s="200">
        <v>3.8123368307418914E-2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49480</v>
      </c>
      <c r="Y1520" s="202">
        <f>_xll.qlInterestRateIndexValueDate(IborIndex,X1520,Trigger)</f>
        <v>49482</v>
      </c>
      <c r="Z1520" s="203">
        <v>3.8260576292752368E-2</v>
      </c>
      <c r="AA1520" s="200">
        <v>3.8116171186679537E-2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49487</v>
      </c>
      <c r="Y1521" s="202">
        <f>_xll.qlInterestRateIndexValueDate(IborIndex,X1521,Trigger)</f>
        <v>49489</v>
      </c>
      <c r="Z1521" s="203">
        <v>3.8248834334681459E-2</v>
      </c>
      <c r="AA1521" s="200">
        <v>3.8110487056672859E-2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49494</v>
      </c>
      <c r="Y1522" s="202">
        <f>_xll.qlInterestRateIndexValueDate(IborIndex,X1522,Trigger)</f>
        <v>49496</v>
      </c>
      <c r="Z1522" s="203">
        <v>3.8247690813676627E-2</v>
      </c>
      <c r="AA1522" s="200">
        <v>3.8101804050638677E-2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49501</v>
      </c>
      <c r="Y1523" s="202">
        <f>_xll.qlInterestRateIndexValueDate(IborIndex,X1523,Trigger)</f>
        <v>49503</v>
      </c>
      <c r="Z1523" s="203">
        <v>3.8238992535422019E-2</v>
      </c>
      <c r="AA1523" s="200">
        <v>3.8094634035497066E-2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49508</v>
      </c>
      <c r="Y1524" s="202">
        <f>_xll.qlInterestRateIndexValueDate(IborIndex,X1524,Trigger)</f>
        <v>49510</v>
      </c>
      <c r="Z1524" s="203">
        <v>3.8231816224943392E-2</v>
      </c>
      <c r="AA1524" s="200">
        <v>3.8087473055368193E-2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49515</v>
      </c>
      <c r="Y1525" s="202">
        <f>_xll.qlInterestRateIndexValueDate(IborIndex,X1525,Trigger)</f>
        <v>49517</v>
      </c>
      <c r="Z1525" s="203">
        <v>3.8224649052028659E-2</v>
      </c>
      <c r="AA1525" s="200">
        <v>3.8080321110571802E-2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49522</v>
      </c>
      <c r="Y1526" s="202">
        <f>_xll.qlInterestRateIndexValueDate(IborIndex,X1526,Trigger)</f>
        <v>49524</v>
      </c>
      <c r="Z1526" s="203">
        <v>3.8217491016630203E-2</v>
      </c>
      <c r="AA1526" s="200">
        <v>3.8073178200788149E-2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49529</v>
      </c>
      <c r="Y1527" s="202">
        <f>_xll.qlInterestRateIndexValueDate(IborIndex,X1527,Trigger)</f>
        <v>49531</v>
      </c>
      <c r="Z1527" s="203">
        <v>3.8211854425912822E-2</v>
      </c>
      <c r="AA1527" s="200">
        <v>3.8066044326336979E-2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49536</v>
      </c>
      <c r="Y1528" s="202">
        <f>_xll.qlInterestRateIndexValueDate(IborIndex,X1528,Trigger)</f>
        <v>49538</v>
      </c>
      <c r="Z1528" s="203">
        <v>3.8203202358168667E-2</v>
      </c>
      <c r="AA1528" s="200">
        <v>3.8058919486978482E-2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49543</v>
      </c>
      <c r="Y1529" s="202">
        <f>_xll.qlInterestRateIndexValueDate(IborIndex,X1529,Trigger)</f>
        <v>49545</v>
      </c>
      <c r="Z1529" s="203">
        <v>3.8196071735006949E-2</v>
      </c>
      <c r="AA1529" s="200">
        <v>3.8051803682872531E-2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49550</v>
      </c>
      <c r="Y1530" s="202">
        <f>_xll.qlInterestRateIndexValueDate(IborIndex,X1530,Trigger)</f>
        <v>49552</v>
      </c>
      <c r="Z1530" s="203">
        <v>3.8184414812904743E-2</v>
      </c>
      <c r="AA1530" s="200">
        <v>3.8043682398827272E-2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49557</v>
      </c>
      <c r="Y1531" s="202">
        <f>_xll.qlInterestRateIndexValueDate(IborIndex,X1531,Trigger)</f>
        <v>49559</v>
      </c>
      <c r="Z1531" s="203">
        <v>3.817730275871873E-2</v>
      </c>
      <c r="AA1531" s="200">
        <v>3.8037599180098525E-2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49564</v>
      </c>
      <c r="Y1532" s="202">
        <f>_xll.qlInterestRateIndexValueDate(IborIndex,X1532,Trigger)</f>
        <v>49566</v>
      </c>
      <c r="Z1532" s="203">
        <v>3.8170199838445676E-2</v>
      </c>
      <c r="AA1532" s="200">
        <v>3.8030510481510404E-2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49571</v>
      </c>
      <c r="Y1533" s="202">
        <f>_xll.qlInterestRateIndexValueDate(IborIndex,X1533,Trigger)</f>
        <v>49573</v>
      </c>
      <c r="Z1533" s="203">
        <v>3.8163106052033768E-2</v>
      </c>
      <c r="AA1533" s="200">
        <v>3.8023430818014958E-2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49578</v>
      </c>
      <c r="Y1534" s="202">
        <f>_xll.qlInterestRateIndexValueDate(IborIndex,X1534,Trigger)</f>
        <v>49580</v>
      </c>
      <c r="Z1534" s="203">
        <v>3.8160555677861488E-2</v>
      </c>
      <c r="AA1534" s="200">
        <v>3.8016360189772058E-2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49585</v>
      </c>
      <c r="Y1535" s="202">
        <f>_xll.qlInterestRateIndexValueDate(IborIndex,X1535,Trigger)</f>
        <v>49587</v>
      </c>
      <c r="Z1535" s="203">
        <v>3.8153479877814332E-2</v>
      </c>
      <c r="AA1535" s="200">
        <v>3.8008290535227474E-2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49592</v>
      </c>
      <c r="Y1536" s="202">
        <f>_xll.qlInterestRateIndexValueDate(IborIndex,X1536,Trigger)</f>
        <v>49594</v>
      </c>
      <c r="Z1536" s="203">
        <v>3.8146413214775764E-2</v>
      </c>
      <c r="AA1536" s="200">
        <v>3.8002246038724152E-2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49599</v>
      </c>
      <c r="Y1537" s="202">
        <f>_xll.qlInterestRateIndexValueDate(IborIndex,X1537,Trigger)</f>
        <v>49601</v>
      </c>
      <c r="Z1537" s="203">
        <v>3.8140867032605247E-2</v>
      </c>
      <c r="AA1537" s="200">
        <v>3.7995202515999082E-2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49606</v>
      </c>
      <c r="Y1538" s="202">
        <f>_xll.qlInterestRateIndexValueDate(IborIndex,X1538,Trigger)</f>
        <v>49608</v>
      </c>
      <c r="Z1538" s="203">
        <v>3.8132307299529683E-2</v>
      </c>
      <c r="AA1538" s="200">
        <v>3.7988168028366687E-2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49613</v>
      </c>
      <c r="Y1539" s="202">
        <f>_xll.qlInterestRateIndexValueDate(IborIndex,X1539,Trigger)</f>
        <v>49615</v>
      </c>
      <c r="Z1539" s="203">
        <v>3.8125268047222681E-2</v>
      </c>
      <c r="AA1539" s="200">
        <v>3.7981142575986837E-2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49620</v>
      </c>
      <c r="Y1540" s="202">
        <f>_xll.qlInterestRateIndexValueDate(IborIndex,X1540,Trigger)</f>
        <v>49622</v>
      </c>
      <c r="Z1540" s="203">
        <v>3.8118237931723573E-2</v>
      </c>
      <c r="AA1540" s="200">
        <v>3.7973124551022863E-2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49627</v>
      </c>
      <c r="Y1541" s="202">
        <f>_xll.qlInterestRateIndexValueDate(IborIndex,X1541,Trigger)</f>
        <v>49629</v>
      </c>
      <c r="Z1541" s="203">
        <v>3.811272794230023E-2</v>
      </c>
      <c r="AA1541" s="200">
        <v>3.7967118776744968E-2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49634</v>
      </c>
      <c r="Y1542" s="202">
        <f>_xll.qlInterestRateIndexValueDate(IborIndex,X1542,Trigger)</f>
        <v>49636</v>
      </c>
      <c r="Z1542" s="203">
        <v>3.8104205110959452E-2</v>
      </c>
      <c r="AA1542" s="200">
        <v>3.7960120429882949E-2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49641</v>
      </c>
      <c r="Y1543" s="202">
        <f>_xll.qlInterestRateIndexValueDate(IborIndex,X1543,Trigger)</f>
        <v>49643</v>
      </c>
      <c r="Z1543" s="203">
        <v>3.8092670539747776E-2</v>
      </c>
      <c r="AA1543" s="200">
        <v>3.7953131118193539E-2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49648</v>
      </c>
      <c r="Y1544" s="202">
        <f>_xll.qlInterestRateIndexValueDate(IborIndex,X1544,Trigger)</f>
        <v>49650</v>
      </c>
      <c r="Z1544" s="203">
        <v>3.8085677222639079E-2</v>
      </c>
      <c r="AA1544" s="200">
        <v>3.7946150841596804E-2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49655</v>
      </c>
      <c r="Y1545" s="202">
        <f>_xll.qlInterestRateIndexValueDate(IborIndex,X1545,Trigger)</f>
        <v>49657</v>
      </c>
      <c r="Z1545" s="203">
        <v>3.8078693038813519E-2</v>
      </c>
      <c r="AA1545" s="200">
        <v>3.7939179600252615E-2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49662</v>
      </c>
      <c r="Y1546" s="202">
        <f>_xll.qlInterestRateIndexValueDate(IborIndex,X1546,Trigger)</f>
        <v>49664</v>
      </c>
      <c r="Z1546" s="203">
        <v>3.8071717988225416E-2</v>
      </c>
      <c r="AA1546" s="200">
        <v>3.7931223530769387E-2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49670</v>
      </c>
      <c r="Y1547" s="202">
        <f>_xll.qlInterestRateIndexValueDate(IborIndex,X1547,Trigger)</f>
        <v>49674</v>
      </c>
      <c r="Z1547" s="203">
        <v>3.8061769473516242E-2</v>
      </c>
      <c r="AA1547" s="200">
        <v>3.7923279262246368E-2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49677</v>
      </c>
      <c r="Y1548" s="202">
        <f>_xll.qlInterestRateIndexValueDate(IborIndex,X1548,Trigger)</f>
        <v>49681</v>
      </c>
      <c r="Z1548" s="203">
        <v>3.8054816603443148E-2</v>
      </c>
      <c r="AA1548" s="200">
        <v>3.7917328805399109E-2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49684</v>
      </c>
      <c r="Y1549" s="202">
        <f>_xll.qlInterestRateIndexValueDate(IborIndex,X1549,Trigger)</f>
        <v>49688</v>
      </c>
      <c r="Z1549" s="203">
        <v>3.8049382869398504E-2</v>
      </c>
      <c r="AA1549" s="200">
        <v>3.7910394995313013E-2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49691</v>
      </c>
      <c r="Y1550" s="202">
        <f>_xll.qlInterestRateIndexValueDate(IborIndex,X1550,Trigger)</f>
        <v>49696</v>
      </c>
      <c r="Z1550" s="203">
        <v>3.8039948350310729E-2</v>
      </c>
      <c r="AA1550" s="200">
        <v>3.7902481704570334E-2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49698</v>
      </c>
      <c r="Y1551" s="202">
        <f>_xll.qlInterestRateIndexValueDate(IborIndex,X1551,Trigger)</f>
        <v>49702</v>
      </c>
      <c r="Z1551" s="203">
        <v>3.8034012791475086E-2</v>
      </c>
      <c r="AA1551" s="200">
        <v>3.7896554480898459E-2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49705</v>
      </c>
      <c r="Y1552" s="202">
        <f>_xll.qlInterestRateIndexValueDate(IborIndex,X1552,Trigger)</f>
        <v>49709</v>
      </c>
      <c r="Z1552" s="203">
        <v>3.8028606228791423E-2</v>
      </c>
      <c r="AA1552" s="200">
        <v>3.7889647776490065E-2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49712</v>
      </c>
      <c r="Y1553" s="202">
        <f>_xll.qlInterestRateIndexValueDate(IborIndex,X1553,Trigger)</f>
        <v>49716</v>
      </c>
      <c r="Z1553" s="203">
        <v>3.8020189248224347E-2</v>
      </c>
      <c r="AA1553" s="200">
        <v>3.7882750107174346E-2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49719</v>
      </c>
      <c r="Y1554" s="202">
        <f>_xll.qlInterestRateIndexValueDate(IborIndex,X1554,Trigger)</f>
        <v>49724</v>
      </c>
      <c r="Z1554" s="203">
        <v>3.8010796962867133E-2</v>
      </c>
      <c r="AA1554" s="200">
        <v>3.7874878120032207E-2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49726</v>
      </c>
      <c r="Y1555" s="202">
        <f>_xll.qlInterestRateIndexValueDate(IborIndex,X1555,Trigger)</f>
        <v>49730</v>
      </c>
      <c r="Z1555" s="203">
        <v>3.800791179392133E-2</v>
      </c>
      <c r="AA1555" s="200">
        <v>3.7868981874060736E-2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49733</v>
      </c>
      <c r="Y1556" s="202">
        <f>_xll.qlInterestRateIndexValueDate(IborIndex,X1556,Trigger)</f>
        <v>49737</v>
      </c>
      <c r="Z1556" s="203">
        <v>3.8001031916682991E-2</v>
      </c>
      <c r="AA1556" s="200">
        <v>3.7862111310262847E-2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49740</v>
      </c>
      <c r="Y1557" s="202">
        <f>_xll.qlInterestRateIndexValueDate(IborIndex,X1557,Trigger)</f>
        <v>49744</v>
      </c>
      <c r="Z1557" s="203">
        <v>3.7994161173223601E-2</v>
      </c>
      <c r="AA1557" s="200">
        <v>3.7855249781717504E-2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49747</v>
      </c>
      <c r="Y1558" s="202">
        <f>_xll.qlInterestRateIndexValueDate(IborIndex,X1558,Trigger)</f>
        <v>49751</v>
      </c>
      <c r="Z1558" s="203">
        <v>3.7987299563497105E-2</v>
      </c>
      <c r="AA1558" s="200">
        <v>3.7848397288184898E-2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49754</v>
      </c>
      <c r="Y1559" s="202">
        <f>_xll.qlInterestRateIndexValueDate(IborIndex,X1559,Trigger)</f>
        <v>49758</v>
      </c>
      <c r="Z1559" s="203">
        <v>3.7980447087453989E-2</v>
      </c>
      <c r="AA1559" s="200">
        <v>3.7841553829904839E-2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49761</v>
      </c>
      <c r="Y1560" s="202">
        <f>_xll.qlInterestRateIndexValueDate(IborIndex,X1560,Trigger)</f>
        <v>49765</v>
      </c>
      <c r="Z1560" s="203">
        <v>3.7972094528676767E-2</v>
      </c>
      <c r="AA1560" s="200">
        <v>3.7834719406717454E-2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49768</v>
      </c>
      <c r="Y1561" s="202">
        <f>_xll.qlInterestRateIndexValueDate(IborIndex,X1561,Trigger)</f>
        <v>49772</v>
      </c>
      <c r="Z1561" s="203">
        <v>3.7965260384853608E-2</v>
      </c>
      <c r="AA1561" s="200">
        <v>3.7827894018702679E-2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49775</v>
      </c>
      <c r="Y1562" s="202">
        <f>_xll.qlInterestRateIndexValueDate(IborIndex,X1562,Trigger)</f>
        <v>49781</v>
      </c>
      <c r="Z1562" s="203">
        <v>3.7956487047625033E-2</v>
      </c>
      <c r="AA1562" s="200">
        <v>3.7822132152651733E-2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49782</v>
      </c>
      <c r="Y1563" s="202">
        <f>_xll.qlInterestRateIndexValueDate(IborIndex,X1563,Trigger)</f>
        <v>49786</v>
      </c>
      <c r="Z1563" s="203">
        <v>3.7951619494536522E-2</v>
      </c>
      <c r="AA1563" s="200">
        <v>3.7814270348270895E-2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49789</v>
      </c>
      <c r="Y1564" s="202">
        <f>_xll.qlInterestRateIndexValueDate(IborIndex,X1564,Trigger)</f>
        <v>49793</v>
      </c>
      <c r="Z1564" s="203">
        <v>3.7944812747948614E-2</v>
      </c>
      <c r="AA1564" s="200">
        <v>3.780747206577395E-2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49796</v>
      </c>
      <c r="Y1565" s="202">
        <f>_xll.qlInterestRateIndexValueDate(IborIndex,X1565,Trigger)</f>
        <v>49801</v>
      </c>
      <c r="Z1565" s="203">
        <v>3.7938553685082491E-2</v>
      </c>
      <c r="AA1565" s="200">
        <v>3.779971366345336E-2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49803</v>
      </c>
      <c r="Y1566" s="202">
        <f>_xll.qlInterestRateIndexValueDate(IborIndex,X1566,Trigger)</f>
        <v>49807</v>
      </c>
      <c r="Z1566" s="203">
        <v>3.7932735494343728E-2</v>
      </c>
      <c r="AA1566" s="200">
        <v>3.7793902606217955E-2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49810</v>
      </c>
      <c r="Y1567" s="202">
        <f>_xll.qlInterestRateIndexValueDate(IborIndex,X1567,Trigger)</f>
        <v>49814</v>
      </c>
      <c r="Z1567" s="203">
        <v>3.7925956086073319E-2</v>
      </c>
      <c r="AA1567" s="200">
        <v>3.7787131429158904E-2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49817</v>
      </c>
      <c r="Y1568" s="202">
        <f>_xll.qlInterestRateIndexValueDate(IborIndex,X1568,Trigger)</f>
        <v>49822</v>
      </c>
      <c r="Z1568" s="203">
        <v>3.7918219374487153E-2</v>
      </c>
      <c r="AA1568" s="200">
        <v>3.7779404004618655E-2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49824</v>
      </c>
      <c r="Y1569" s="202">
        <f>_xll.qlInterestRateIndexValueDate(IborIndex,X1569,Trigger)</f>
        <v>49828</v>
      </c>
      <c r="Z1569" s="203">
        <v>3.7912424669262798E-2</v>
      </c>
      <c r="AA1569" s="200">
        <v>3.7773616180558633E-2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49831</v>
      </c>
      <c r="Y1570" s="202">
        <f>_xll.qlInterestRateIndexValueDate(IborIndex,X1570,Trigger)</f>
        <v>49835</v>
      </c>
      <c r="Z1570" s="203">
        <v>3.7905672660630593E-2</v>
      </c>
      <c r="AA1570" s="200">
        <v>3.7766872109017413E-2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49838</v>
      </c>
      <c r="Y1571" s="202">
        <f>_xll.qlInterestRateIndexValueDate(IborIndex,X1571,Trigger)</f>
        <v>49842</v>
      </c>
      <c r="Z1571" s="203">
        <v>3.789892978511613E-2</v>
      </c>
      <c r="AA1571" s="200">
        <v>3.7760137072648803E-2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49845</v>
      </c>
      <c r="Y1572" s="202">
        <f>_xll.qlInterestRateIndexValueDate(IborIndex,X1572,Trigger)</f>
        <v>49849</v>
      </c>
      <c r="Z1572" s="203">
        <v>3.7892196042675089E-2</v>
      </c>
      <c r="AA1572" s="200">
        <v>3.7753411071372867E-2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49852</v>
      </c>
      <c r="Y1573" s="202">
        <f>_xll.qlInterestRateIndexValueDate(IborIndex,X1573,Trigger)</f>
        <v>49856</v>
      </c>
      <c r="Z1573" s="203">
        <v>3.7885471433257954E-2</v>
      </c>
      <c r="AA1573" s="200">
        <v>3.7746694105349476E-2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49859</v>
      </c>
      <c r="Y1574" s="202">
        <f>_xll.qlInterestRateIndexValueDate(IborIndex,X1574,Trigger)</f>
        <v>49863</v>
      </c>
      <c r="Z1574" s="203">
        <v>3.7878755956820415E-2</v>
      </c>
      <c r="AA1574" s="200">
        <v>3.773998617441876E-2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49866</v>
      </c>
      <c r="Y1575" s="202">
        <f>_xll.qlInterestRateIndexValueDate(IborIndex,X1575,Trigger)</f>
        <v>49870</v>
      </c>
      <c r="Z1575" s="203">
        <v>3.7872049613315535E-2</v>
      </c>
      <c r="AA1575" s="200">
        <v>3.7733287278660654E-2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49873</v>
      </c>
      <c r="Y1576" s="202">
        <f>_xll.qlInterestRateIndexValueDate(IborIndex,X1576,Trigger)</f>
        <v>49877</v>
      </c>
      <c r="Z1576" s="203">
        <v>3.7865352402696416E-2</v>
      </c>
      <c r="AA1576" s="200">
        <v>3.7726597417915286E-2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49880</v>
      </c>
      <c r="Y1577" s="202">
        <f>_xll.qlInterestRateIndexValueDate(IborIndex,X1577,Trigger)</f>
        <v>49884</v>
      </c>
      <c r="Z1577" s="203">
        <v>3.7858664324916129E-2</v>
      </c>
      <c r="AA1577" s="200">
        <v>3.77199165925024E-2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49887</v>
      </c>
      <c r="Y1578" s="202">
        <f>_xll.qlInterestRateIndexValueDate(IborIndex,X1578,Trigger)</f>
        <v>49891</v>
      </c>
      <c r="Z1578" s="203">
        <v>3.7851985379930363E-2</v>
      </c>
      <c r="AA1578" s="200">
        <v>3.7713244802182189E-2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49894</v>
      </c>
      <c r="Y1579" s="202">
        <f>_xll.qlInterestRateIndexValueDate(IborIndex,X1579,Trigger)</f>
        <v>49898</v>
      </c>
      <c r="Z1579" s="203">
        <v>3.7846823835189475E-2</v>
      </c>
      <c r="AA1579" s="200">
        <v>3.7706582047034587E-2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49901</v>
      </c>
      <c r="Y1580" s="202">
        <f>_xll.qlInterestRateIndexValueDate(IborIndex,X1580,Trigger)</f>
        <v>49905</v>
      </c>
      <c r="Z1580" s="203">
        <v>3.7838654888151239E-2</v>
      </c>
      <c r="AA1580" s="200">
        <v>3.7699928326979659E-2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49908</v>
      </c>
      <c r="Y1581" s="202">
        <f>_xll.qlInterestRateIndexValueDate(IborIndex,X1581,Trigger)</f>
        <v>49913</v>
      </c>
      <c r="Z1581" s="203">
        <v>3.7831053865804917E-2</v>
      </c>
      <c r="AA1581" s="200">
        <v>3.7692335138981292E-2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49915</v>
      </c>
      <c r="Y1582" s="202">
        <f>_xll.qlInterestRateIndexValueDate(IborIndex,X1582,Trigger)</f>
        <v>49920</v>
      </c>
      <c r="Z1582" s="203">
        <v>3.7822904726103397E-2</v>
      </c>
      <c r="AA1582" s="200">
        <v>3.7685700779999109E-2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49922</v>
      </c>
      <c r="Y1583" s="202">
        <f>_xll.qlInterestRateIndexValueDate(IborIndex,X1583,Trigger)</f>
        <v>49926</v>
      </c>
      <c r="Z1583" s="203">
        <v>3.7817219650509812E-2</v>
      </c>
      <c r="AA1583" s="200">
        <v>3.7680021377850537E-2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49929</v>
      </c>
      <c r="Y1584" s="202">
        <f>_xll.qlInterestRateIndexValueDate(IborIndex,X1584,Trigger)</f>
        <v>49933</v>
      </c>
      <c r="Z1584" s="203">
        <v>3.7810595541513101E-2</v>
      </c>
      <c r="AA1584" s="200">
        <v>3.7673403798486049E-2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49936</v>
      </c>
      <c r="Y1585" s="202">
        <f>_xll.qlInterestRateIndexValueDate(IborIndex,X1585,Trigger)</f>
        <v>49940</v>
      </c>
      <c r="Z1585" s="203">
        <v>3.7803980563915332E-2</v>
      </c>
      <c r="AA1585" s="200">
        <v>3.7666795254054364E-2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49943</v>
      </c>
      <c r="Y1586" s="202">
        <f>_xll.qlInterestRateIndexValueDate(IborIndex,X1586,Trigger)</f>
        <v>49947</v>
      </c>
      <c r="Z1586" s="203">
        <v>3.7797374717669932E-2</v>
      </c>
      <c r="AA1586" s="200">
        <v>3.7660195745115033E-2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49950</v>
      </c>
      <c r="Y1587" s="202">
        <f>_xll.qlInterestRateIndexValueDate(IborIndex,X1587,Trigger)</f>
        <v>49954</v>
      </c>
      <c r="Z1587" s="203">
        <v>3.7792285843128465E-2</v>
      </c>
      <c r="AA1587" s="200">
        <v>3.7653605271028567E-2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49957</v>
      </c>
      <c r="Y1588" s="202">
        <f>_xll.qlInterestRateIndexValueDate(IborIndex,X1588,Trigger)</f>
        <v>49962</v>
      </c>
      <c r="Z1588" s="203">
        <v>3.7784757880521269E-2</v>
      </c>
      <c r="AA1588" s="200">
        <v>3.7646084364171273E-2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49964</v>
      </c>
      <c r="Y1589" s="202">
        <f>_xll.qlInterestRateIndexValueDate(IborIndex,X1589,Trigger)</f>
        <v>49968</v>
      </c>
      <c r="Z1589" s="203">
        <v>3.7779119736237647E-2</v>
      </c>
      <c r="AA1589" s="200">
        <v>3.7640451428533339E-2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49971</v>
      </c>
      <c r="Y1590" s="202">
        <f>_xll.qlInterestRateIndexValueDate(IborIndex,X1590,Trigger)</f>
        <v>49975</v>
      </c>
      <c r="Z1590" s="203">
        <v>3.7772550381176842E-2</v>
      </c>
      <c r="AA1590" s="200">
        <v>3.763388806004464E-2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49978</v>
      </c>
      <c r="Y1591" s="202">
        <f>_xll.qlInterestRateIndexValueDate(IborIndex,X1591,Trigger)</f>
        <v>49982</v>
      </c>
      <c r="Z1591" s="203">
        <v>3.7765990158312772E-2</v>
      </c>
      <c r="AA1591" s="200">
        <v>3.7627333726568679E-2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49985</v>
      </c>
      <c r="Y1592" s="202">
        <f>_xll.qlInterestRateIndexValueDate(IborIndex,X1592,Trigger)</f>
        <v>49989</v>
      </c>
      <c r="Z1592" s="203">
        <v>3.7759439067601132E-2</v>
      </c>
      <c r="AA1592" s="200">
        <v>3.761985412339186E-2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49992</v>
      </c>
      <c r="Y1593" s="202">
        <f>_xll.qlInterestRateIndexValueDate(IborIndex,X1593,Trigger)</f>
        <v>49996</v>
      </c>
      <c r="Z1593" s="203">
        <v>3.7752897108993259E-2</v>
      </c>
      <c r="AA1593" s="200">
        <v>3.7614252165374396E-2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49999</v>
      </c>
      <c r="Y1594" s="202">
        <f>_xll.qlInterestRateIndexValueDate(IborIndex,X1594,Trigger)</f>
        <v>50003</v>
      </c>
      <c r="Z1594" s="203">
        <v>3.7746364282447445E-2</v>
      </c>
      <c r="AA1594" s="200">
        <v>3.7609223389378776E-2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50006</v>
      </c>
      <c r="Y1595" s="202">
        <f>_xll.qlInterestRateIndexValueDate(IborIndex,X1595,Trigger)</f>
        <v>50010</v>
      </c>
      <c r="Z1595" s="203">
        <v>3.7738333004919446E-2</v>
      </c>
      <c r="AA1595" s="200">
        <v>3.7601206744630744E-2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50013</v>
      </c>
      <c r="Y1596" s="202">
        <f>_xll.qlInterestRateIndexValueDate(IborIndex,X1596,Trigger)</f>
        <v>50017</v>
      </c>
      <c r="Z1596" s="203">
        <v>3.773181846972859E-2</v>
      </c>
      <c r="AA1596" s="200">
        <v>3.7594697586937897E-2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50020</v>
      </c>
      <c r="Y1597" s="202">
        <f>_xll.qlInterestRateIndexValueDate(IborIndex,X1597,Trigger)</f>
        <v>50024</v>
      </c>
      <c r="Z1597" s="203">
        <v>3.7725313065396442E-2</v>
      </c>
      <c r="AA1597" s="200">
        <v>3.7588197464417661E-2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50027</v>
      </c>
      <c r="Y1598" s="202">
        <f>_xll.qlInterestRateIndexValueDate(IborIndex,X1598,Trigger)</f>
        <v>50031</v>
      </c>
      <c r="Z1598" s="203">
        <v>3.7718816791878204E-2</v>
      </c>
      <c r="AA1598" s="200">
        <v>3.7583204693740768E-2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50038</v>
      </c>
      <c r="Y1599" s="202">
        <f>_xll.qlInterestRateIndexValueDate(IborIndex,X1599,Trigger)</f>
        <v>50040</v>
      </c>
      <c r="Z1599" s="203">
        <v>3.7708970486484361E-2</v>
      </c>
      <c r="AA1599" s="200">
        <v>3.7570599819236605E-2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50045</v>
      </c>
      <c r="Y1600" s="202">
        <f>_xll.qlInterestRateIndexValueDate(IborIndex,X1600,Trigger)</f>
        <v>50047</v>
      </c>
      <c r="Z1600" s="203">
        <v>3.7702495106119116E-2</v>
      </c>
      <c r="AA1600" s="200">
        <v>3.7569900129144074E-2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50052</v>
      </c>
      <c r="Y1601" s="202">
        <f>_xll.qlInterestRateIndexValueDate(IborIndex,X1601,Trigger)</f>
        <v>50054</v>
      </c>
      <c r="Z1601" s="203">
        <v>3.7696028855359387E-2</v>
      </c>
      <c r="AA1601" s="200">
        <v>3.7564937092509076E-2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50059</v>
      </c>
      <c r="Y1602" s="202">
        <f>_xll.qlInterestRateIndexValueDate(IborIndex,X1602,Trigger)</f>
        <v>50061</v>
      </c>
      <c r="Z1602" s="203">
        <v>3.7689571734158989E-2</v>
      </c>
      <c r="AA1602" s="200">
        <v>3.755698625056425E-2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50066</v>
      </c>
      <c r="Y1603" s="202">
        <f>_xll.qlInterestRateIndexValueDate(IborIndex,X1603,Trigger)</f>
        <v>50068</v>
      </c>
      <c r="Z1603" s="203">
        <v>3.7683123742476177E-2</v>
      </c>
      <c r="AA1603" s="200">
        <v>3.7550542867164083E-2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50073</v>
      </c>
      <c r="Y1604" s="202">
        <f>_xll.qlInterestRateIndexValueDate(IborIndex,X1604,Trigger)</f>
        <v>50075</v>
      </c>
      <c r="Z1604" s="203">
        <v>3.7676684880265654E-2</v>
      </c>
      <c r="AA1604" s="200">
        <v>3.7544108520988217E-2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50080</v>
      </c>
      <c r="Y1605" s="202">
        <f>_xll.qlInterestRateIndexValueDate(IborIndex,X1605,Trigger)</f>
        <v>50082</v>
      </c>
      <c r="Z1605" s="203">
        <v>3.7668748001807521E-2</v>
      </c>
      <c r="AA1605" s="200">
        <v>3.7539181529566701E-2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50087</v>
      </c>
      <c r="Y1606" s="202">
        <f>_xll.qlInterestRateIndexValueDate(IborIndex,X1606,Trigger)</f>
        <v>50089</v>
      </c>
      <c r="Z1606" s="203">
        <v>3.7662327415008218E-2</v>
      </c>
      <c r="AA1606" s="200">
        <v>3.7531266940469266E-2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50094</v>
      </c>
      <c r="Y1607" s="202">
        <f>_xll.qlInterestRateIndexValueDate(IborIndex,X1607,Trigger)</f>
        <v>50096</v>
      </c>
      <c r="Z1607" s="203">
        <v>3.7657423070037943E-2</v>
      </c>
      <c r="AA1607" s="200">
        <v>3.7524859706072888E-2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50101</v>
      </c>
      <c r="Y1608" s="202">
        <f>_xll.qlInterestRateIndexValueDate(IborIndex,X1608,Trigger)</f>
        <v>50103</v>
      </c>
      <c r="Z1608" s="203">
        <v>3.7654035234107625E-2</v>
      </c>
      <c r="AA1608" s="200">
        <v>3.7518461508927459E-2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50108</v>
      </c>
      <c r="Y1609" s="202">
        <f>_xll.qlInterestRateIndexValueDate(IborIndex,X1609,Trigger)</f>
        <v>50110</v>
      </c>
      <c r="Z1609" s="203">
        <v>3.7647641992029274E-2</v>
      </c>
      <c r="AA1609" s="200">
        <v>3.7512072348979686E-2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50115</v>
      </c>
      <c r="Y1610" s="202">
        <f>_xll.qlInterestRateIndexValueDate(IborIndex,X1610,Trigger)</f>
        <v>50117</v>
      </c>
      <c r="Z1610" s="203">
        <v>3.7641257881281399E-2</v>
      </c>
      <c r="AA1610" s="200">
        <v>3.7505692226362797E-2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50122</v>
      </c>
      <c r="Y1611" s="202">
        <f>_xll.qlInterestRateIndexValueDate(IborIndex,X1611,Trigger)</f>
        <v>50124</v>
      </c>
      <c r="Z1611" s="203">
        <v>3.7634882901821425E-2</v>
      </c>
      <c r="AA1611" s="200">
        <v>3.7499321140943565E-2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50129</v>
      </c>
      <c r="Y1612" s="202">
        <f>_xll.qlInterestRateIndexValueDate(IborIndex,X1612,Trigger)</f>
        <v>50131</v>
      </c>
      <c r="Z1612" s="203">
        <v>3.7627009794048316E-2</v>
      </c>
      <c r="AA1612" s="200">
        <v>3.7492959092801925E-2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50137</v>
      </c>
      <c r="Y1613" s="202">
        <f>_xll.qlInterestRateIndexValueDate(IborIndex,X1613,Trigger)</f>
        <v>50139</v>
      </c>
      <c r="Z1613" s="203">
        <v>3.7619745730213476E-2</v>
      </c>
      <c r="AA1613" s="200">
        <v>3.7480890129160116E-2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50144</v>
      </c>
      <c r="Y1614" s="202">
        <f>_xll.qlInterestRateIndexValueDate(IborIndex,X1614,Trigger)</f>
        <v>50146</v>
      </c>
      <c r="Z1614" s="203">
        <v>3.7613399456601353E-2</v>
      </c>
      <c r="AA1614" s="200">
        <v>3.7474550057572387E-2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50151</v>
      </c>
      <c r="Y1615" s="202">
        <f>_xll.qlInterestRateIndexValueDate(IborIndex,X1615,Trigger)</f>
        <v>50153</v>
      </c>
      <c r="Z1615" s="203">
        <v>3.7607062313035407E-2</v>
      </c>
      <c r="AA1615" s="200">
        <v>3.7468219021237203E-2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50158</v>
      </c>
      <c r="Y1616" s="202">
        <f>_xll.qlInterestRateIndexValueDate(IborIndex,X1616,Trigger)</f>
        <v>50160</v>
      </c>
      <c r="Z1616" s="203">
        <v>3.7602241528566678E-2</v>
      </c>
      <c r="AA1616" s="200">
        <v>3.7461897019994694E-2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50165</v>
      </c>
      <c r="Y1617" s="202">
        <f>_xll.qlInterestRateIndexValueDate(IborIndex,X1617,Trigger)</f>
        <v>50167</v>
      </c>
      <c r="Z1617" s="203">
        <v>3.7595922640329675E-2</v>
      </c>
      <c r="AA1617" s="200">
        <v>3.7455584053924795E-2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50172</v>
      </c>
      <c r="Y1618" s="202">
        <f>_xll.qlInterestRateIndexValueDate(IborIndex,X1618,Trigger)</f>
        <v>50174</v>
      </c>
      <c r="Z1618" s="203">
        <v>3.7589612883065171E-2</v>
      </c>
      <c r="AA1618" s="200">
        <v>3.744928012294757E-2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50179</v>
      </c>
      <c r="Y1619" s="202">
        <f>_xll.qlInterestRateIndexValueDate(IborIndex,X1619,Trigger)</f>
        <v>50181</v>
      </c>
      <c r="Z1619" s="203">
        <v>3.7583312256728854E-2</v>
      </c>
      <c r="AA1619" s="200">
        <v>3.7442086693895149E-2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50186</v>
      </c>
      <c r="Y1620" s="202">
        <f>_xll.qlInterestRateIndexValueDate(IborIndex,X1620,Trigger)</f>
        <v>50188</v>
      </c>
      <c r="Z1620" s="203">
        <v>3.7577020761279022E-2</v>
      </c>
      <c r="AA1620" s="200">
        <v>3.7436699366590886E-2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50193</v>
      </c>
      <c r="Y1621" s="202">
        <f>_xll.qlInterestRateIndexValueDate(IborIndex,X1621,Trigger)</f>
        <v>50195</v>
      </c>
      <c r="Z1621" s="203">
        <v>3.7570738396669613E-2</v>
      </c>
      <c r="AA1621" s="200">
        <v>3.7430422540891684E-2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50200</v>
      </c>
      <c r="Y1622" s="202">
        <f>_xll.qlInterestRateIndexValueDate(IborIndex,X1622,Trigger)</f>
        <v>50202</v>
      </c>
      <c r="Z1622" s="203">
        <v>3.756446516285894E-2</v>
      </c>
      <c r="AA1622" s="200">
        <v>3.7424154750524963E-2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50207</v>
      </c>
      <c r="Y1623" s="202">
        <f>_xll.qlInterestRateIndexValueDate(IborIndex,X1623,Trigger)</f>
        <v>50209</v>
      </c>
      <c r="Z1623" s="203">
        <v>3.7558201059804411E-2</v>
      </c>
      <c r="AA1623" s="200">
        <v>3.7417895995250916E-2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50214</v>
      </c>
      <c r="Y1624" s="202">
        <f>_xll.qlInterestRateIndexValueDate(IborIndex,X1624,Trigger)</f>
        <v>50216</v>
      </c>
      <c r="Z1624" s="203">
        <v>3.7551946087459119E-2</v>
      </c>
      <c r="AA1624" s="200">
        <v>3.7411646275069543E-2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50221</v>
      </c>
      <c r="Y1625" s="202">
        <f>_xll.qlInterestRateIndexValueDate(IborIndex,X1625,Trigger)</f>
        <v>50223</v>
      </c>
      <c r="Z1625" s="203">
        <v>3.754570024578309E-2</v>
      </c>
      <c r="AA1625" s="200">
        <v>3.740451480125806E-2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50228</v>
      </c>
      <c r="Y1626" s="202">
        <f>_xll.qlInterestRateIndexValueDate(IborIndex,X1626,Trigger)</f>
        <v>50230</v>
      </c>
      <c r="Z1626" s="203">
        <v>3.7539463534730276E-2</v>
      </c>
      <c r="AA1626" s="200">
        <v>3.7399173940144692E-2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50235</v>
      </c>
      <c r="Y1627" s="202">
        <f>_xll.qlInterestRateIndexValueDate(IborIndex,X1627,Trigger)</f>
        <v>50237</v>
      </c>
      <c r="Z1627" s="203">
        <v>3.7533235954260703E-2</v>
      </c>
      <c r="AA1627" s="200">
        <v>3.7392951325321278E-2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50242</v>
      </c>
      <c r="Y1628" s="202">
        <f>_xll.qlInterestRateIndexValueDate(IborIndex,X1628,Trigger)</f>
        <v>50244</v>
      </c>
      <c r="Z1628" s="203">
        <v>3.7527017504328332E-2</v>
      </c>
      <c r="AA1628" s="200">
        <v>3.7386737745670473E-2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50249</v>
      </c>
      <c r="Y1629" s="202">
        <f>_xll.qlInterestRateIndexValueDate(IborIndex,X1629,Trigger)</f>
        <v>50251</v>
      </c>
      <c r="Z1629" s="203">
        <v>3.7520808184891445E-2</v>
      </c>
      <c r="AA1629" s="200">
        <v>3.7380533201272215E-2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50256</v>
      </c>
      <c r="Y1630" s="202">
        <f>_xll.qlInterestRateIndexValueDate(IborIndex,X1630,Trigger)</f>
        <v>50258</v>
      </c>
      <c r="Z1630" s="203">
        <v>3.751460799590748E-2</v>
      </c>
      <c r="AA1630" s="200">
        <v>3.7374337691806758E-2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50263</v>
      </c>
      <c r="Y1631" s="202">
        <f>_xll.qlInterestRateIndexValueDate(IborIndex,X1631,Trigger)</f>
        <v>50265</v>
      </c>
      <c r="Z1631" s="203">
        <v>3.7508416937331243E-2</v>
      </c>
      <c r="AA1631" s="200">
        <v>3.7368151217593848E-2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50270</v>
      </c>
      <c r="Y1632" s="202">
        <f>_xll.qlInterestRateIndexValueDate(IborIndex,X1632,Trigger)</f>
        <v>50272</v>
      </c>
      <c r="Z1632" s="203">
        <v>3.7502235009122774E-2</v>
      </c>
      <c r="AA1632" s="200">
        <v>3.7361973778393676E-2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50277</v>
      </c>
      <c r="Y1633" s="202">
        <f>_xll.qlInterestRateIndexValueDate(IborIndex,X1633,Trigger)</f>
        <v>50279</v>
      </c>
      <c r="Z1633" s="203">
        <v>3.749606221123776E-2</v>
      </c>
      <c r="AA1633" s="200">
        <v>3.7355805374366113E-2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50284</v>
      </c>
      <c r="Y1634" s="202">
        <f>_xll.qlInterestRateIndexValueDate(IborIndex,X1634,Trigger)</f>
        <v>50286</v>
      </c>
      <c r="Z1634" s="203">
        <v>3.7488391236869596E-2</v>
      </c>
      <c r="AA1634" s="200">
        <v>3.7348766833176228E-2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50291</v>
      </c>
      <c r="Y1635" s="202">
        <f>_xll.qlInterestRateIndexValueDate(IborIndex,X1635,Trigger)</f>
        <v>50293</v>
      </c>
      <c r="Z1635" s="203">
        <v>3.7482236685210078E-2</v>
      </c>
      <c r="AA1635" s="200">
        <v>3.7343495671748883E-2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50298</v>
      </c>
      <c r="Y1636" s="202">
        <f>_xll.qlInterestRateIndexValueDate(IborIndex,X1636,Trigger)</f>
        <v>50300</v>
      </c>
      <c r="Z1636" s="203">
        <v>3.7476091262699865E-2</v>
      </c>
      <c r="AA1636" s="200">
        <v>3.7337354373079279E-2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50305</v>
      </c>
      <c r="Y1637" s="202">
        <f>_xll.qlInterestRateIndexValueDate(IborIndex,X1637,Trigger)</f>
        <v>50307</v>
      </c>
      <c r="Z1637" s="203">
        <v>3.7469954969295914E-2</v>
      </c>
      <c r="AA1637" s="200">
        <v>3.7331222109582285E-2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50312</v>
      </c>
      <c r="Y1638" s="202">
        <f>_xll.qlInterestRateIndexValueDate(IborIndex,X1638,Trigger)</f>
        <v>50314</v>
      </c>
      <c r="Z1638" s="203">
        <v>3.7469857922413655E-2</v>
      </c>
      <c r="AA1638" s="200">
        <v>3.7325098881257901E-2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50319</v>
      </c>
      <c r="Y1639" s="202">
        <f>_xll.qlInterestRateIndexValueDate(IborIndex,X1639,Trigger)</f>
        <v>50321</v>
      </c>
      <c r="Z1639" s="203">
        <v>3.7459217158328208E-2</v>
      </c>
      <c r="AA1639" s="200">
        <v>3.7318111969248946E-2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50326</v>
      </c>
      <c r="Y1640" s="202">
        <f>_xll.qlInterestRateIndexValueDate(IborIndex,X1640,Trigger)</f>
        <v>50328</v>
      </c>
      <c r="Z1640" s="203">
        <v>3.745310827151354E-2</v>
      </c>
      <c r="AA1640" s="200">
        <v>3.7312879529807219E-2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50333</v>
      </c>
      <c r="Y1641" s="202">
        <f>_xll.qlInterestRateIndexValueDate(IborIndex,X1641,Trigger)</f>
        <v>50335</v>
      </c>
      <c r="Z1641" s="203">
        <v>3.7447008514682606E-2</v>
      </c>
      <c r="AA1641" s="200">
        <v>3.7306783406680921E-2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50340</v>
      </c>
      <c r="Y1642" s="202">
        <f>_xll.qlInterestRateIndexValueDate(IborIndex,X1642,Trigger)</f>
        <v>50342</v>
      </c>
      <c r="Z1642" s="203">
        <v>3.7440917887791948E-2</v>
      </c>
      <c r="AA1642" s="200">
        <v>3.7300696318887105E-2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50347</v>
      </c>
      <c r="Y1643" s="202">
        <f>_xll.qlInterestRateIndexValueDate(IborIndex,X1643,Trigger)</f>
        <v>50349</v>
      </c>
      <c r="Z1643" s="203">
        <v>3.7434836390800731E-2</v>
      </c>
      <c r="AA1643" s="200">
        <v>3.7294618266026092E-2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50354</v>
      </c>
      <c r="Y1644" s="202">
        <f>_xll.qlInterestRateIndexValueDate(IborIndex,X1644,Trigger)</f>
        <v>50356</v>
      </c>
      <c r="Z1644" s="203">
        <v>3.7428764023664657E-2</v>
      </c>
      <c r="AA1644" s="200">
        <v>3.7288549248417624E-2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50361</v>
      </c>
      <c r="Y1645" s="202">
        <f>_xll.qlInterestRateIndexValueDate(IborIndex,X1645,Trigger)</f>
        <v>50363</v>
      </c>
      <c r="Z1645" s="203">
        <v>3.7422700786344611E-2</v>
      </c>
      <c r="AA1645" s="200">
        <v>3.7282489265821894E-2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50368</v>
      </c>
      <c r="Y1646" s="202">
        <f>_xll.qlInterestRateIndexValueDate(IborIndex,X1646,Trigger)</f>
        <v>50371</v>
      </c>
      <c r="Z1646" s="203">
        <v>3.7414275000525757E-2</v>
      </c>
      <c r="AA1646" s="200">
        <v>3.7275574634874076E-2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50375</v>
      </c>
      <c r="Y1647" s="202">
        <f>_xll.qlInterestRateIndexValueDate(IborIndex,X1647,Trigger)</f>
        <v>50377</v>
      </c>
      <c r="Z1647" s="203">
        <v>3.7407586659593761E-2</v>
      </c>
      <c r="AA1647" s="200">
        <v>3.7270396406148265E-2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50382</v>
      </c>
      <c r="Y1648" s="202">
        <f>_xll.qlInterestRateIndexValueDate(IborIndex,X1648,Trigger)</f>
        <v>50384</v>
      </c>
      <c r="Z1648" s="203">
        <v>3.7401550755810753E-2</v>
      </c>
      <c r="AA1648" s="200">
        <v>3.7264363528910494E-2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50389</v>
      </c>
      <c r="Y1649" s="202">
        <f>_xll.qlInterestRateIndexValueDate(IborIndex,X1649,Trigger)</f>
        <v>50391</v>
      </c>
      <c r="Z1649" s="203">
        <v>3.7395523979592227E-2</v>
      </c>
      <c r="AA1649" s="200">
        <v>3.7258339686925268E-2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50396</v>
      </c>
      <c r="Y1650" s="202">
        <f>_xll.qlInterestRateIndexValueDate(IborIndex,X1650,Trigger)</f>
        <v>50398</v>
      </c>
      <c r="Z1650" s="203">
        <v>3.7389506330899103E-2</v>
      </c>
      <c r="AA1650" s="200">
        <v>3.7251466359338181E-2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50403</v>
      </c>
      <c r="Y1651" s="202">
        <f>_xll.qlInterestRateIndexValueDate(IborIndex,X1651,Trigger)</f>
        <v>50405</v>
      </c>
      <c r="Z1651" s="203">
        <v>3.7383497809686972E-2</v>
      </c>
      <c r="AA1651" s="200">
        <v>3.7245461878185893E-2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50410</v>
      </c>
      <c r="Y1652" s="202">
        <f>_xll.qlInterestRateIndexValueDate(IborIndex,X1652,Trigger)</f>
        <v>50412</v>
      </c>
      <c r="Z1652" s="203">
        <v>3.7377498415917643E-2</v>
      </c>
      <c r="AA1652" s="200">
        <v>3.7240322371365764E-2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50417</v>
      </c>
      <c r="Y1653" s="202">
        <f>_xll.qlInterestRateIndexValueDate(IborIndex,X1653,Trigger)</f>
        <v>50419</v>
      </c>
      <c r="Z1653" s="203">
        <v>3.7371508149550259E-2</v>
      </c>
      <c r="AA1653" s="200">
        <v>3.7233480021479082E-2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50424</v>
      </c>
      <c r="Y1654" s="202">
        <f>_xll.qlInterestRateIndexValueDate(IborIndex,X1654,Trigger)</f>
        <v>50426</v>
      </c>
      <c r="Z1654" s="203">
        <v>3.7365527010543076E-2</v>
      </c>
      <c r="AA1654" s="200">
        <v>3.7228356003309315E-2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50431</v>
      </c>
      <c r="Y1655" s="202">
        <f>_xll.qlInterestRateIndexValueDate(IborIndex,X1655,Trigger)</f>
        <v>50433</v>
      </c>
      <c r="Z1655" s="203">
        <v>3.7359554998857014E-2</v>
      </c>
      <c r="AA1655" s="200">
        <v>3.7222386372040006E-2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50438</v>
      </c>
      <c r="Y1656" s="202">
        <f>_xll.qlInterestRateIndexValueDate(IborIndex,X1656,Trigger)</f>
        <v>50440</v>
      </c>
      <c r="Z1656" s="203">
        <v>3.7352084467242121E-2</v>
      </c>
      <c r="AA1656" s="200">
        <v>3.7216425775703499E-2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50445</v>
      </c>
      <c r="Y1657" s="202">
        <f>_xll.qlInterestRateIndexValueDate(IborIndex,X1657,Trigger)</f>
        <v>50447</v>
      </c>
      <c r="Z1657" s="203">
        <v>3.734613067302224E-2</v>
      </c>
      <c r="AA1657" s="200">
        <v>3.7209624729097612E-2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50452</v>
      </c>
      <c r="Y1658" s="202">
        <f>_xll.qlInterestRateIndexValueDate(IborIndex,X1658,Trigger)</f>
        <v>50454</v>
      </c>
      <c r="Z1658" s="203">
        <v>3.7340186004963756E-2</v>
      </c>
      <c r="AA1658" s="200">
        <v>3.7204531688548315E-2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50459</v>
      </c>
      <c r="Y1659" s="202">
        <f>_xll.qlInterestRateIndexValueDate(IborIndex,X1659,Trigger)</f>
        <v>50461</v>
      </c>
      <c r="Z1659" s="203">
        <v>3.7334250463028046E-2</v>
      </c>
      <c r="AA1659" s="200">
        <v>3.7198598197649702E-2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50466</v>
      </c>
      <c r="Y1660" s="202">
        <f>_xll.qlInterestRateIndexValueDate(IborIndex,X1660,Trigger)</f>
        <v>50468</v>
      </c>
      <c r="Z1660" s="203">
        <v>3.7332847775856055E-2</v>
      </c>
      <c r="AA1660" s="200">
        <v>3.7192673741923699E-2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50473</v>
      </c>
      <c r="Y1661" s="202">
        <f>_xll.qlInterestRateIndexValueDate(IborIndex,X1661,Trigger)</f>
        <v>50475</v>
      </c>
      <c r="Z1661" s="203">
        <v>3.7326930609897106E-2</v>
      </c>
      <c r="AA1661" s="200">
        <v>3.7186758321130498E-2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50480</v>
      </c>
      <c r="Y1662" s="202">
        <f>_xll.qlInterestRateIndexValueDate(IborIndex,X1662,Trigger)</f>
        <v>50482</v>
      </c>
      <c r="Z1662" s="203">
        <v>3.7321022573046057E-2</v>
      </c>
      <c r="AA1662" s="200">
        <v>3.7180851935669779E-2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50487</v>
      </c>
      <c r="Y1663" s="202">
        <f>_xll.qlInterestRateIndexValueDate(IborIndex,X1663,Trigger)</f>
        <v>50489</v>
      </c>
      <c r="Z1663" s="203">
        <v>3.7315123665264682E-2</v>
      </c>
      <c r="AA1663" s="200">
        <v>3.7174954585141862E-2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50494</v>
      </c>
      <c r="Y1664" s="202">
        <f>_xll.qlInterestRateIndexValueDate(IborIndex,X1664,Trigger)</f>
        <v>50496</v>
      </c>
      <c r="Z1664" s="203">
        <v>3.7307725697340491E-2</v>
      </c>
      <c r="AA1664" s="200">
        <v>3.7169066269786555E-2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50501</v>
      </c>
      <c r="Y1665" s="202">
        <f>_xll.qlInterestRateIndexValueDate(IborIndex,X1665,Trigger)</f>
        <v>50503</v>
      </c>
      <c r="Z1665" s="203">
        <v>3.7301845002064696E-2</v>
      </c>
      <c r="AA1665" s="200">
        <v>3.7163186989603858E-2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50508</v>
      </c>
      <c r="Y1666" s="202">
        <f>_xll.qlInterestRateIndexValueDate(IborIndex,X1666,Trigger)</f>
        <v>50510</v>
      </c>
      <c r="Z1666" s="203">
        <v>3.7295973434699634E-2</v>
      </c>
      <c r="AA1666" s="200">
        <v>3.7157316744513835E-2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50515</v>
      </c>
      <c r="Y1667" s="202">
        <f>_xll.qlInterestRateIndexValueDate(IborIndex,X1667,Trigger)</f>
        <v>50517</v>
      </c>
      <c r="Z1667" s="203">
        <v>3.7290110995208417E-2</v>
      </c>
      <c r="AA1667" s="200">
        <v>3.715145553443655E-2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50522</v>
      </c>
      <c r="Y1668" s="202">
        <f>_xll.qlInterestRateIndexValueDate(IborIndex,X1668,Trigger)</f>
        <v>50524</v>
      </c>
      <c r="Z1668" s="203">
        <v>3.7284257683547116E-2</v>
      </c>
      <c r="AA1668" s="200">
        <v>3.7145603359611812E-2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50529</v>
      </c>
      <c r="Y1669" s="202">
        <f>_xll.qlInterestRateIndexValueDate(IborIndex,X1669,Trigger)</f>
        <v>50531</v>
      </c>
      <c r="Z1669" s="203">
        <v>3.7279921926716239E-2</v>
      </c>
      <c r="AA1669" s="200">
        <v>3.7139760219799811E-2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50536</v>
      </c>
      <c r="Y1670" s="202">
        <f>_xll.qlInterestRateIndexValueDate(IborIndex,X1670,Trigger)</f>
        <v>50538</v>
      </c>
      <c r="Z1670" s="203">
        <v>3.7274086921269593E-2</v>
      </c>
      <c r="AA1670" s="200">
        <v>3.7133926115080484E-2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50543</v>
      </c>
      <c r="Y1671" s="202">
        <f>_xll.qlInterestRateIndexValueDate(IborIndex,X1671,Trigger)</f>
        <v>50545</v>
      </c>
      <c r="Z1671" s="203">
        <v>3.7268261044565064E-2</v>
      </c>
      <c r="AA1671" s="200">
        <v>3.7128101045533768E-2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50550</v>
      </c>
      <c r="Y1672" s="202">
        <f>_xll.qlInterestRateIndexValueDate(IborIndex,X1672,Trigger)</f>
        <v>50552</v>
      </c>
      <c r="Z1672" s="203">
        <v>3.7262444296563536E-2</v>
      </c>
      <c r="AA1672" s="200">
        <v>3.7121454886630545E-2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50557</v>
      </c>
      <c r="Y1673" s="202">
        <f>_xll.qlInterestRateIndexValueDate(IborIndex,X1673,Trigger)</f>
        <v>50559</v>
      </c>
      <c r="Z1673" s="203">
        <v>3.7256636677223315E-2</v>
      </c>
      <c r="AA1673" s="200">
        <v>3.7116478011718357E-2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50564</v>
      </c>
      <c r="Y1674" s="202">
        <f>_xll.qlInterestRateIndexValueDate(IborIndex,X1674,Trigger)</f>
        <v>50566</v>
      </c>
      <c r="Z1674" s="203">
        <v>3.7250838186506173E-2</v>
      </c>
      <c r="AA1674" s="200">
        <v>3.7110680047529598E-2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50571</v>
      </c>
      <c r="Y1675" s="202">
        <f>_xll.qlInterestRateIndexValueDate(IborIndex,X1675,Trigger)</f>
        <v>50573</v>
      </c>
      <c r="Z1675" s="203">
        <v>3.7245048824370394E-2</v>
      </c>
      <c r="AA1675" s="200">
        <v>3.7104891118353578E-2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50578</v>
      </c>
      <c r="Y1676" s="202">
        <f>_xll.qlInterestRateIndexValueDate(IborIndex,X1676,Trigger)</f>
        <v>50580</v>
      </c>
      <c r="Z1676" s="203">
        <v>3.7239268590777759E-2</v>
      </c>
      <c r="AA1676" s="200">
        <v>3.7099111224350168E-2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50585</v>
      </c>
      <c r="Y1677" s="202">
        <f>_xll.qlInterestRateIndexValueDate(IborIndex,X1677,Trigger)</f>
        <v>50587</v>
      </c>
      <c r="Z1677" s="203">
        <v>3.7233497485683081E-2</v>
      </c>
      <c r="AA1677" s="200">
        <v>3.7092516694468003E-2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50592</v>
      </c>
      <c r="Y1678" s="202">
        <f>_xll.qlInterestRateIndexValueDate(IborIndex,X1678,Trigger)</f>
        <v>50594</v>
      </c>
      <c r="Z1678" s="203">
        <v>3.7227735509053339E-2</v>
      </c>
      <c r="AA1678" s="200">
        <v>3.7087578541541433E-2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50599</v>
      </c>
      <c r="Y1679" s="202">
        <f>_xll.qlInterestRateIndexValueDate(IborIndex,X1679,Trigger)</f>
        <v>50601</v>
      </c>
      <c r="Z1679" s="203">
        <v>3.7221982660845102E-2</v>
      </c>
      <c r="AA1679" s="200">
        <v>3.7081825752736108E-2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50606</v>
      </c>
      <c r="Y1680" s="202">
        <f>_xll.qlInterestRateIndexValueDate(IborIndex,X1680,Trigger)</f>
        <v>50608</v>
      </c>
      <c r="Z1680" s="203">
        <v>3.7216238941016652E-2</v>
      </c>
      <c r="AA1680" s="200">
        <v>3.707608199918333E-2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50613</v>
      </c>
      <c r="Y1681" s="202">
        <f>_xll.qlInterestRateIndexValueDate(IborIndex,X1681,Trigger)</f>
        <v>50615</v>
      </c>
      <c r="Z1681" s="203">
        <v>3.7210504349531499E-2</v>
      </c>
      <c r="AA1681" s="200">
        <v>3.7070347280723226E-2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50620</v>
      </c>
      <c r="Y1682" s="202">
        <f>_xll.qlInterestRateIndexValueDate(IborIndex,X1682,Trigger)</f>
        <v>50622</v>
      </c>
      <c r="Z1682" s="203">
        <v>3.720477888634794E-2</v>
      </c>
      <c r="AA1682" s="200">
        <v>3.706462159727586E-2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50627</v>
      </c>
      <c r="Y1683" s="202">
        <f>_xll.qlInterestRateIndexValueDate(IborIndex,X1683,Trigger)</f>
        <v>50629</v>
      </c>
      <c r="Z1683" s="203">
        <v>3.7199062551428609E-2</v>
      </c>
      <c r="AA1683" s="200">
        <v>3.7058904948921167E-2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50634</v>
      </c>
      <c r="Y1684" s="202">
        <f>_xll.qlInterestRateIndexValueDate(IborIndex,X1684,Trigger)</f>
        <v>50636</v>
      </c>
      <c r="Z1684" s="203">
        <v>3.7193355344730943E-2</v>
      </c>
      <c r="AA1684" s="200">
        <v>3.7053197335819021E-2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50641</v>
      </c>
      <c r="Y1685" s="202">
        <f>_xll.qlInterestRateIndexValueDate(IborIndex,X1685,Trigger)</f>
        <v>50643</v>
      </c>
      <c r="Z1685" s="203">
        <v>3.7187657266217568E-2</v>
      </c>
      <c r="AA1685" s="200">
        <v>3.7047498757729613E-2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50648</v>
      </c>
      <c r="Y1686" s="202">
        <f>_xll.qlInterestRateIndexValueDate(IborIndex,X1686,Trigger)</f>
        <v>50650</v>
      </c>
      <c r="Z1686" s="203">
        <v>3.7180458887441967E-2</v>
      </c>
      <c r="AA1686" s="200">
        <v>3.7040997160469047E-2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50655</v>
      </c>
      <c r="Y1687" s="202">
        <f>_xll.qlInterestRateIndexValueDate(IborIndex,X1687,Trigger)</f>
        <v>50657</v>
      </c>
      <c r="Z1687" s="203">
        <v>3.7174778997032538E-2</v>
      </c>
      <c r="AA1687" s="200">
        <v>3.7036128706828819E-2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50662</v>
      </c>
      <c r="Y1688" s="202">
        <f>_xll.qlInterestRateIndexValueDate(IborIndex,X1688,Trigger)</f>
        <v>50664</v>
      </c>
      <c r="Z1688" s="203">
        <v>3.7169108233664205E-2</v>
      </c>
      <c r="AA1688" s="200">
        <v>3.7030457234017433E-2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50669</v>
      </c>
      <c r="Y1689" s="202">
        <f>_xll.qlInterestRateIndexValueDate(IborIndex,X1689,Trigger)</f>
        <v>50671</v>
      </c>
      <c r="Z1689" s="203">
        <v>3.7163446597298325E-2</v>
      </c>
      <c r="AA1689" s="200">
        <v>3.7024794796298721E-2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50676</v>
      </c>
      <c r="Y1690" s="202">
        <f>_xll.qlInterestRateIndexValueDate(IborIndex,X1690,Trigger)</f>
        <v>50678</v>
      </c>
      <c r="Z1690" s="203">
        <v>3.715779408789624E-2</v>
      </c>
      <c r="AA1690" s="200">
        <v>3.7019141393752619E-2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50683</v>
      </c>
      <c r="Y1691" s="202">
        <f>_xll.qlInterestRateIndexValueDate(IborIndex,X1691,Trigger)</f>
        <v>50685</v>
      </c>
      <c r="Z1691" s="203">
        <v>3.7153660484780603E-2</v>
      </c>
      <c r="AA1691" s="200">
        <v>3.7012691425593047E-2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50690</v>
      </c>
      <c r="Y1692" s="202">
        <f>_xll.qlInterestRateIndexValueDate(IborIndex,X1692,Trigger)</f>
        <v>50692</v>
      </c>
      <c r="Z1692" s="203">
        <v>3.714802630245035E-2</v>
      </c>
      <c r="AA1692" s="200">
        <v>3.7007861693858501E-2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50697</v>
      </c>
      <c r="Y1693" s="202">
        <f>_xll.qlInterestRateIndexValueDate(IborIndex,X1693,Trigger)</f>
        <v>50699</v>
      </c>
      <c r="Z1693" s="203">
        <v>3.7142401247987261E-2</v>
      </c>
      <c r="AA1693" s="200">
        <v>3.7002235396590422E-2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50704</v>
      </c>
      <c r="Y1694" s="202">
        <f>_xll.qlInterestRateIndexValueDate(IborIndex,X1694,Trigger)</f>
        <v>50706</v>
      </c>
      <c r="Z1694" s="203">
        <v>3.7136785321357446E-2</v>
      </c>
      <c r="AA1694" s="200">
        <v>3.6996618134415016E-2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50711</v>
      </c>
      <c r="Y1695" s="202">
        <f>_xll.qlInterestRateIndexValueDate(IborIndex,X1695,Trigger)</f>
        <v>50713</v>
      </c>
      <c r="Z1695" s="203">
        <v>3.7131178522517454E-2</v>
      </c>
      <c r="AA1695" s="200">
        <v>3.6991009907252348E-2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50718</v>
      </c>
      <c r="Y1696" s="202">
        <f>_xll.qlInterestRateIndexValueDate(IborIndex,X1696,Trigger)</f>
        <v>50721</v>
      </c>
      <c r="Z1696" s="203">
        <v>3.7127802596451299E-2</v>
      </c>
      <c r="AA1696" s="200">
        <v>3.698461156819377E-2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50725</v>
      </c>
      <c r="Y1697" s="202">
        <f>_xll.qlInterestRateIndexValueDate(IborIndex,X1697,Trigger)</f>
        <v>50727</v>
      </c>
      <c r="Z1697" s="203">
        <v>3.7119992308056647E-2</v>
      </c>
      <c r="AA1697" s="200">
        <v>3.6979820558364906E-2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50732</v>
      </c>
      <c r="Y1698" s="202">
        <f>_xll.qlInterestRateIndexValueDate(IborIndex,X1698,Trigger)</f>
        <v>50735</v>
      </c>
      <c r="Z1698" s="203">
        <v>3.7116637561890577E-2</v>
      </c>
      <c r="AA1698" s="200">
        <v>3.6973442871026663E-2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50739</v>
      </c>
      <c r="Y1699" s="202">
        <f>_xll.qlInterestRateIndexValueDate(IborIndex,X1699,Trigger)</f>
        <v>50741</v>
      </c>
      <c r="Z1699" s="203">
        <v>3.710582192752554E-2</v>
      </c>
      <c r="AA1699" s="200">
        <v>3.6968667349848161E-2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50746</v>
      </c>
      <c r="Y1700" s="202">
        <f>_xll.qlInterestRateIndexValueDate(IborIndex,X1700,Trigger)</f>
        <v>50748</v>
      </c>
      <c r="Z1700" s="203">
        <v>3.7100260604304047E-2</v>
      </c>
      <c r="AA1700" s="200">
        <v>3.6963104298308735E-2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50753</v>
      </c>
      <c r="Y1701" s="202">
        <f>_xll.qlInterestRateIndexValueDate(IborIndex,X1701,Trigger)</f>
        <v>50755</v>
      </c>
      <c r="Z1701" s="203">
        <v>3.7094708406605115E-2</v>
      </c>
      <c r="AA1701" s="200">
        <v>3.6957550281782048E-2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50760</v>
      </c>
      <c r="Y1702" s="202">
        <f>_xll.qlInterestRateIndexValueDate(IborIndex,X1702,Trigger)</f>
        <v>50762</v>
      </c>
      <c r="Z1702" s="203">
        <v>3.708916533439055E-2</v>
      </c>
      <c r="AA1702" s="200">
        <v>3.6951213897644664E-2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50768</v>
      </c>
      <c r="Y1703" s="202">
        <f>_xll.qlInterestRateIndexValueDate(IborIndex,X1703,Trigger)</f>
        <v>50774</v>
      </c>
      <c r="Z1703" s="203">
        <v>3.7079684155490789E-2</v>
      </c>
      <c r="AA1703" s="200">
        <v>3.6944099571396549E-2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50775</v>
      </c>
      <c r="Y1704" s="202">
        <f>_xll.qlInterestRateIndexValueDate(IborIndex,X1704,Trigger)</f>
        <v>50777</v>
      </c>
      <c r="Z1704" s="203">
        <v>3.7077318051001562E-2</v>
      </c>
      <c r="AA1704" s="200">
        <v>3.6940153621589644E-2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50782</v>
      </c>
      <c r="Y1705" s="202">
        <f>_xll.qlInterestRateIndexValueDate(IborIndex,X1705,Trigger)</f>
        <v>50784</v>
      </c>
      <c r="Z1705" s="203">
        <v>3.7071803658637492E-2</v>
      </c>
      <c r="AA1705" s="200">
        <v>3.6933849690132803E-2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50789</v>
      </c>
      <c r="Y1706" s="202">
        <f>_xll.qlInterestRateIndexValueDate(IborIndex,X1706,Trigger)</f>
        <v>50791</v>
      </c>
      <c r="Z1706" s="203">
        <v>3.7066298391604136E-2</v>
      </c>
      <c r="AA1706" s="200">
        <v>3.6929129485905321E-2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50796</v>
      </c>
      <c r="Y1707" s="202">
        <f>_xll.qlInterestRateIndexValueDate(IborIndex,X1707,Trigger)</f>
        <v>50798</v>
      </c>
      <c r="Z1707" s="203">
        <v>3.7060802249863301E-2</v>
      </c>
      <c r="AA1707" s="200">
        <v>3.6923630970582266E-2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50803</v>
      </c>
      <c r="Y1708" s="202">
        <f>_xll.qlInterestRateIndexValueDate(IborIndex,X1708,Trigger)</f>
        <v>50805</v>
      </c>
      <c r="Z1708" s="203">
        <v>3.7053804281184897E-2</v>
      </c>
      <c r="AA1708" s="200">
        <v>3.6918141490511758E-2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50810</v>
      </c>
      <c r="Y1709" s="202">
        <f>_xll.qlInterestRateIndexValueDate(IborIndex,X1709,Trigger)</f>
        <v>50812</v>
      </c>
      <c r="Z1709" s="203">
        <v>3.7048326299372915E-2</v>
      </c>
      <c r="AA1709" s="200">
        <v>3.6912661045533923E-2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50817</v>
      </c>
      <c r="Y1710" s="202">
        <f>_xll.qlInterestRateIndexValueDate(IborIndex,X1710,Trigger)</f>
        <v>50819</v>
      </c>
      <c r="Z1710" s="203">
        <v>3.7042857441726619E-2</v>
      </c>
      <c r="AA1710" s="200">
        <v>3.690640874309814E-2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50824</v>
      </c>
      <c r="Y1711" s="202">
        <f>_xll.qlInterestRateIndexValueDate(IborIndex,X1711,Trigger)</f>
        <v>50826</v>
      </c>
      <c r="Z1711" s="203">
        <v>3.7037397708210094E-2</v>
      </c>
      <c r="AA1711" s="200">
        <v>3.6901727260696404E-2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50831</v>
      </c>
      <c r="Y1712" s="202">
        <f>_xll.qlInterestRateIndexValueDate(IborIndex,X1712,Trigger)</f>
        <v>50833</v>
      </c>
      <c r="Z1712" s="203">
        <v>3.7039504825406709E-2</v>
      </c>
      <c r="AA1712" s="200">
        <v>3.6896273920996592E-2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50838</v>
      </c>
      <c r="Y1713" s="202">
        <f>_xll.qlInterestRateIndexValueDate(IborIndex,X1713,Trigger)</f>
        <v>50840</v>
      </c>
      <c r="Z1713" s="203">
        <v>3.7034063813918543E-2</v>
      </c>
      <c r="AA1713" s="200">
        <v>3.6890829616229581E-2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50845</v>
      </c>
      <c r="Y1714" s="202">
        <f>_xll.qlInterestRateIndexValueDate(IborIndex,X1714,Trigger)</f>
        <v>50847</v>
      </c>
      <c r="Z1714" s="203">
        <v>3.7028631931514247E-2</v>
      </c>
      <c r="AA1714" s="200">
        <v>3.6885394346715117E-2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50852</v>
      </c>
      <c r="Y1715" s="202">
        <f>_xll.qlInterestRateIndexValueDate(IborIndex,X1715,Trigger)</f>
        <v>50854</v>
      </c>
      <c r="Z1715" s="203">
        <v>3.7023209178157254E-2</v>
      </c>
      <c r="AA1715" s="200">
        <v>3.687996811221339E-2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50859</v>
      </c>
      <c r="Y1716" s="202">
        <f>_xll.qlInterestRateIndexValueDate(IborIndex,X1716,Trigger)</f>
        <v>50861</v>
      </c>
      <c r="Z1716" s="203">
        <v>3.70132594239201E-2</v>
      </c>
      <c r="AA1716" s="200">
        <v>3.6874550912804338E-2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50866</v>
      </c>
      <c r="Y1717" s="202">
        <f>_xll.qlInterestRateIndexValueDate(IborIndex,X1717,Trigger)</f>
        <v>50872</v>
      </c>
      <c r="Z1717" s="203">
        <v>3.7004770262837001E-2</v>
      </c>
      <c r="AA1717" s="200">
        <v>3.686759921814442E-2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50873</v>
      </c>
      <c r="Y1718" s="202">
        <f>_xll.qlInterestRateIndexValueDate(IborIndex,X1718,Trigger)</f>
        <v>50875</v>
      </c>
      <c r="Z1718" s="203">
        <v>3.7002458909592813E-2</v>
      </c>
      <c r="AA1718" s="200">
        <v>3.6863743619264255E-2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50880</v>
      </c>
      <c r="Y1719" s="202">
        <f>_xll.qlInterestRateIndexValueDate(IborIndex,X1719,Trigger)</f>
        <v>50882</v>
      </c>
      <c r="Z1719" s="203">
        <v>3.6997072056160041E-2</v>
      </c>
      <c r="AA1719" s="200">
        <v>3.6858353525213161E-2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50887</v>
      </c>
      <c r="Y1720" s="202">
        <f>_xll.qlInterestRateIndexValueDate(IborIndex,X1720,Trigger)</f>
        <v>50889</v>
      </c>
      <c r="Z1720" s="203">
        <v>3.6991693846315093E-2</v>
      </c>
      <c r="AA1720" s="200">
        <v>3.6852972466094869E-2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50894</v>
      </c>
      <c r="Y1721" s="202">
        <f>_xll.qlInterestRateIndexValueDate(IborIndex,X1721,Trigger)</f>
        <v>50896</v>
      </c>
      <c r="Z1721" s="203">
        <v>3.6990860895946075E-2</v>
      </c>
      <c r="AA1721" s="200">
        <v>3.6847600442149187E-2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50901</v>
      </c>
      <c r="Y1722" s="202">
        <f>_xll.qlInterestRateIndexValueDate(IborIndex,X1722,Trigger)</f>
        <v>50903</v>
      </c>
      <c r="Z1722" s="203">
        <v>3.6985499233286687E-2</v>
      </c>
      <c r="AA1722" s="200">
        <v>3.6842237453216242E-2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50908</v>
      </c>
      <c r="Y1723" s="202">
        <f>_xll.qlInterestRateIndexValueDate(IborIndex,X1723,Trigger)</f>
        <v>50910</v>
      </c>
      <c r="Z1723" s="203">
        <v>3.6980145485209483E-2</v>
      </c>
      <c r="AA1723" s="200">
        <v>3.6836883499455908E-2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50915</v>
      </c>
      <c r="Y1724" s="202">
        <f>_xll.qlInterestRateIndexValueDate(IborIndex,X1724,Trigger)</f>
        <v>50917</v>
      </c>
      <c r="Z1724" s="203">
        <v>3.6976311788260122E-2</v>
      </c>
      <c r="AA1724" s="200">
        <v>3.6830775758582845E-2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50922</v>
      </c>
      <c r="Y1725" s="202">
        <f>_xll.qlInterestRateIndexValueDate(IborIndex,X1725,Trigger)</f>
        <v>50924</v>
      </c>
      <c r="Z1725" s="203">
        <v>3.6970973145879743E-2</v>
      </c>
      <c r="AA1725" s="200">
        <v>3.6826202697133326E-2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50929</v>
      </c>
      <c r="Y1726" s="202">
        <f>_xll.qlInterestRateIndexValueDate(IborIndex,X1726,Trigger)</f>
        <v>50931</v>
      </c>
      <c r="Z1726" s="203">
        <v>3.6964129548881682E-2</v>
      </c>
      <c r="AA1726" s="200">
        <v>3.6820875848571077E-2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50936</v>
      </c>
      <c r="Y1727" s="202">
        <f>_xll.qlInterestRateIndexValueDate(IborIndex,X1727,Trigger)</f>
        <v>50938</v>
      </c>
      <c r="Z1727" s="203">
        <v>3.6958805279547327E-2</v>
      </c>
      <c r="AA1727" s="200">
        <v>3.6815558035181439E-2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50943</v>
      </c>
      <c r="Y1728" s="202">
        <f>_xll.qlInterestRateIndexValueDate(IborIndex,X1728,Trigger)</f>
        <v>50945</v>
      </c>
      <c r="Z1728" s="203">
        <v>3.6953487835009874E-2</v>
      </c>
      <c r="AA1728" s="200">
        <v>3.6810249256804539E-2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50950</v>
      </c>
      <c r="Y1729" s="202">
        <f>_xll.qlInterestRateIndexValueDate(IborIndex,X1729,Trigger)</f>
        <v>50952</v>
      </c>
      <c r="Z1729" s="203">
        <v>3.6948176997313453E-2</v>
      </c>
      <c r="AA1729" s="200">
        <v>3.6804193144952535E-2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50957</v>
      </c>
      <c r="Y1730" s="202">
        <f>_xll.qlInterestRateIndexValueDate(IborIndex,X1730,Trigger)</f>
        <v>50959</v>
      </c>
      <c r="Z1730" s="203">
        <v>3.6944384376132976E-2</v>
      </c>
      <c r="AA1730" s="200">
        <v>3.6799657908206385E-2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50964</v>
      </c>
      <c r="Y1731" s="202">
        <f>_xll.qlInterestRateIndexValueDate(IborIndex,X1731,Trigger)</f>
        <v>50966</v>
      </c>
      <c r="Z1731" s="203">
        <v>3.693757432485345E-2</v>
      </c>
      <c r="AA1731" s="200">
        <v>3.6794372508008877E-2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50971</v>
      </c>
      <c r="Y1732" s="202">
        <f>_xll.qlInterestRateIndexValueDate(IborIndex,X1732,Trigger)</f>
        <v>50973</v>
      </c>
      <c r="Z1732" s="203">
        <v>3.693228230314069E-2</v>
      </c>
      <c r="AA1732" s="200">
        <v>3.6789093244262716E-2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50978</v>
      </c>
      <c r="Y1733" s="202">
        <f>_xll.qlInterestRateIndexValueDate(IborIndex,X1733,Trigger)</f>
        <v>50980</v>
      </c>
      <c r="Z1733" s="203">
        <v>3.6926996483447251E-2</v>
      </c>
      <c r="AA1733" s="200">
        <v>3.678382011680803E-2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50985</v>
      </c>
      <c r="Y1734" s="202">
        <f>_xll.qlInterestRateIndexValueDate(IborIndex,X1734,Trigger)</f>
        <v>50987</v>
      </c>
      <c r="Z1734" s="203">
        <v>3.6921716865745934E-2</v>
      </c>
      <c r="AA1734" s="200">
        <v>3.6778553125724756E-2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50992</v>
      </c>
      <c r="Y1735" s="202">
        <f>_xll.qlInterestRateIndexValueDate(IborIndex,X1735,Trigger)</f>
        <v>50994</v>
      </c>
      <c r="Z1735" s="203">
        <v>3.6916443450013756E-2</v>
      </c>
      <c r="AA1735" s="200">
        <v>3.6773292270932956E-2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50999</v>
      </c>
      <c r="Y1736" s="202">
        <f>_xll.qlInterestRateIndexValueDate(IborIndex,X1736,Trigger)</f>
        <v>51001</v>
      </c>
      <c r="Z1736" s="203">
        <v>3.6911176236225224E-2</v>
      </c>
      <c r="AA1736" s="200">
        <v>3.6768037552352695E-2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51006</v>
      </c>
      <c r="Y1737" s="202">
        <f>_xll.qlInterestRateIndexValueDate(IborIndex,X1737,Trigger)</f>
        <v>51008</v>
      </c>
      <c r="Z1737" s="203">
        <v>3.690591522435397E-2</v>
      </c>
      <c r="AA1737" s="200">
        <v>3.6762788970303717E-2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51013</v>
      </c>
      <c r="Y1738" s="202">
        <f>_xll.qlInterestRateIndexValueDate(IborIndex,X1738,Trigger)</f>
        <v>51015</v>
      </c>
      <c r="Z1738" s="203">
        <v>3.6896127789892014E-2</v>
      </c>
      <c r="AA1738" s="200">
        <v>3.6756798104500277E-2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51020</v>
      </c>
      <c r="Y1739" s="202">
        <f>_xll.qlInterestRateIndexValueDate(IborIndex,X1739,Trigger)</f>
        <v>51022</v>
      </c>
      <c r="Z1739" s="203">
        <v>3.689087945916112E-2</v>
      </c>
      <c r="AA1739" s="200">
        <v>3.6752310214920314E-2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51027</v>
      </c>
      <c r="Y1740" s="202">
        <f>_xll.qlInterestRateIndexValueDate(IborIndex,X1740,Trigger)</f>
        <v>51029</v>
      </c>
      <c r="Z1740" s="203">
        <v>3.6885637328152289E-2</v>
      </c>
      <c r="AA1740" s="200">
        <v>3.6747080041665825E-2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51034</v>
      </c>
      <c r="Y1741" s="202">
        <f>_xll.qlInterestRateIndexValueDate(IborIndex,X1741,Trigger)</f>
        <v>51036</v>
      </c>
      <c r="Z1741" s="203">
        <v>3.6880401396841789E-2</v>
      </c>
      <c r="AA1741" s="200">
        <v>3.6741856004782747E-2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51041</v>
      </c>
      <c r="Y1742" s="202">
        <f>_xll.qlInterestRateIndexValueDate(IborIndex,X1742,Trigger)</f>
        <v>51043</v>
      </c>
      <c r="Z1742" s="203">
        <v>3.6875171665205909E-2</v>
      </c>
      <c r="AA1742" s="200">
        <v>3.6736638104191144E-2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51048</v>
      </c>
      <c r="Y1743" s="202">
        <f>_xll.qlInterestRateIndexValueDate(IborIndex,X1743,Trigger)</f>
        <v>51050</v>
      </c>
      <c r="Z1743" s="203">
        <v>3.6874479391985279E-2</v>
      </c>
      <c r="AA1743" s="200">
        <v>3.6730682303138806E-2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51055</v>
      </c>
      <c r="Y1744" s="202">
        <f>_xll.qlInterestRateIndexValueDate(IborIndex,X1744,Trigger)</f>
        <v>51057</v>
      </c>
      <c r="Z1744" s="203">
        <v>3.6870772312336028E-2</v>
      </c>
      <c r="AA1744" s="200">
        <v>3.6726220712042235E-2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51062</v>
      </c>
      <c r="Y1745" s="202">
        <f>_xll.qlInterestRateIndexValueDate(IborIndex,X1745,Trigger)</f>
        <v>51064</v>
      </c>
      <c r="Z1745" s="203">
        <v>3.6864050395393859E-2</v>
      </c>
      <c r="AA1745" s="200">
        <v>3.6721021220404992E-2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51069</v>
      </c>
      <c r="Y1746" s="202">
        <f>_xll.qlInterestRateIndexValueDate(IborIndex,X1746,Trigger)</f>
        <v>51071</v>
      </c>
      <c r="Z1746" s="203">
        <v>3.6858845199647945E-2</v>
      </c>
      <c r="AA1746" s="200">
        <v>3.6715827865139161E-2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51076</v>
      </c>
      <c r="Y1747" s="202">
        <f>_xll.qlInterestRateIndexValueDate(IborIndex,X1747,Trigger)</f>
        <v>51078</v>
      </c>
      <c r="Z1747" s="203">
        <v>3.6853646205567588E-2</v>
      </c>
      <c r="AA1747" s="200">
        <v>3.6710640646164805E-2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51083</v>
      </c>
      <c r="Y1748" s="202">
        <f>_xll.qlInterestRateIndexValueDate(IborIndex,X1748,Trigger)</f>
        <v>51088</v>
      </c>
      <c r="Z1748" s="203">
        <v>3.6843209843906821E-2</v>
      </c>
      <c r="AA1748" s="200">
        <v>3.6704719909783634E-2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51090</v>
      </c>
      <c r="Y1749" s="202">
        <f>_xll.qlInterestRateIndexValueDate(IborIndex,X1749,Trigger)</f>
        <v>51092</v>
      </c>
      <c r="Z1749" s="203">
        <v>3.6844776908195175E-2</v>
      </c>
      <c r="AA1749" s="200">
        <v>3.6700284617090517E-2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51097</v>
      </c>
      <c r="Y1750" s="202">
        <f>_xll.qlInterestRateIndexValueDate(IborIndex,X1750,Trigger)</f>
        <v>51099</v>
      </c>
      <c r="Z1750" s="203">
        <v>3.6838086433074152E-2</v>
      </c>
      <c r="AA1750" s="200">
        <v>3.6695115807070522E-2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51104</v>
      </c>
      <c r="Y1751" s="202">
        <f>_xll.qlInterestRateIndexValueDate(IborIndex,X1751,Trigger)</f>
        <v>51106</v>
      </c>
      <c r="Z1751" s="203">
        <v>3.6828383061802798E-2</v>
      </c>
      <c r="AA1751" s="200">
        <v>3.6689953133421938E-2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51111</v>
      </c>
      <c r="Y1752" s="202">
        <f>_xll.qlInterestRateIndexValueDate(IborIndex,X1752,Trigger)</f>
        <v>51113</v>
      </c>
      <c r="Z1752" s="203">
        <v>3.682321532557177E-2</v>
      </c>
      <c r="AA1752" s="200">
        <v>3.6684796596064828E-2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51118</v>
      </c>
      <c r="Y1753" s="202">
        <f>_xll.qlInterestRateIndexValueDate(IborIndex,X1753,Trigger)</f>
        <v>51120</v>
      </c>
      <c r="Z1753" s="203">
        <v>3.6818053788748327E-2</v>
      </c>
      <c r="AA1753" s="200">
        <v>3.6679646194919258E-2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51125</v>
      </c>
      <c r="Y1754" s="202">
        <f>_xll.qlInterestRateIndexValueDate(IborIndex,X1754,Trigger)</f>
        <v>51127</v>
      </c>
      <c r="Z1754" s="203">
        <v>3.6812898451309625E-2</v>
      </c>
      <c r="AA1754" s="200">
        <v>3.6673767536159474E-2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51132</v>
      </c>
      <c r="Y1755" s="202">
        <f>_xll.qlInterestRateIndexValueDate(IborIndex,X1755,Trigger)</f>
        <v>51134</v>
      </c>
      <c r="Z1755" s="203">
        <v>3.680624010417155E-2</v>
      </c>
      <c r="AA1755" s="200">
        <v>3.6668630284415471E-2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51139</v>
      </c>
      <c r="Y1756" s="202">
        <f>_xll.qlInterestRateIndexValueDate(IborIndex,X1756,Trigger)</f>
        <v>51141</v>
      </c>
      <c r="Z1756" s="203">
        <v>3.6802606374486305E-2</v>
      </c>
      <c r="AA1756" s="200">
        <v>3.6664231809631076E-2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51146</v>
      </c>
      <c r="Y1757" s="202">
        <f>_xll.qlInterestRateIndexValueDate(IborIndex,X1757,Trigger)</f>
        <v>51148</v>
      </c>
      <c r="Z1757" s="203">
        <v>3.6797469635056014E-2</v>
      </c>
      <c r="AA1757" s="200">
        <v>3.6658374189562082E-2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51153</v>
      </c>
      <c r="Y1758" s="202">
        <f>_xll.qlInterestRateIndexValueDate(IborIndex,X1758,Trigger)</f>
        <v>51155</v>
      </c>
      <c r="Z1758" s="203">
        <v>3.6792339094911197E-2</v>
      </c>
      <c r="AA1758" s="200">
        <v>3.6653986234282954E-2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51160</v>
      </c>
      <c r="Y1759" s="202">
        <f>_xll.qlInterestRateIndexValueDate(IborIndex,X1759,Trigger)</f>
        <v>51162</v>
      </c>
      <c r="Z1759" s="203">
        <v>3.6787214754030781E-2</v>
      </c>
      <c r="AA1759" s="200">
        <v>3.6648872651126041E-2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51167</v>
      </c>
      <c r="Y1760" s="202">
        <f>_xll.qlInterestRateIndexValueDate(IborIndex,X1760,Trigger)</f>
        <v>51169</v>
      </c>
      <c r="Z1760" s="203">
        <v>3.6780587799227327E-2</v>
      </c>
      <c r="AA1760" s="200">
        <v>3.6643765204180667E-2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51174</v>
      </c>
      <c r="Y1761" s="202">
        <f>_xll.qlInterestRateIndexValueDate(IborIndex,X1761,Trigger)</f>
        <v>51176</v>
      </c>
      <c r="Z1761" s="203">
        <v>3.677547593387942E-2</v>
      </c>
      <c r="AA1761" s="200">
        <v>3.6638663893606704E-2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51181</v>
      </c>
      <c r="Y1762" s="202">
        <f>_xll.qlInterestRateIndexValueDate(IborIndex,X1762,Trigger)</f>
        <v>51183</v>
      </c>
      <c r="Z1762" s="203">
        <v>3.67703702670239E-2</v>
      </c>
      <c r="AA1762" s="200">
        <v>3.6632841338288813E-2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51188</v>
      </c>
      <c r="Y1763" s="202">
        <f>_xll.qlInterestRateIndexValueDate(IborIndex,X1763,Trigger)</f>
        <v>51190</v>
      </c>
      <c r="Z1763" s="203">
        <v>3.6765270798636784E-2</v>
      </c>
      <c r="AA1763" s="200">
        <v>3.662847968141314E-2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51195</v>
      </c>
      <c r="Y1764" s="202">
        <f>_xll.qlInterestRateIndexValueDate(IborIndex,X1764,Trigger)</f>
        <v>51197</v>
      </c>
      <c r="Z1764" s="203">
        <v>3.676621213702061E-2</v>
      </c>
      <c r="AA1764" s="200">
        <v>3.6623396779873474E-2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51202</v>
      </c>
      <c r="Y1765" s="202">
        <f>_xll.qlInterestRateIndexValueDate(IborIndex,X1765,Trigger)</f>
        <v>51204</v>
      </c>
      <c r="Z1765" s="203">
        <v>3.6761124768685503E-2</v>
      </c>
      <c r="AA1765" s="200">
        <v>3.6618320014545347E-2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51209</v>
      </c>
      <c r="Y1766" s="202">
        <f>_xll.qlInterestRateIndexValueDate(IborIndex,X1766,Trigger)</f>
        <v>51211</v>
      </c>
      <c r="Z1766" s="203">
        <v>3.675604360154739E-2</v>
      </c>
      <c r="AA1766" s="200">
        <v>3.6613249385508695E-2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51216</v>
      </c>
      <c r="Y1767" s="202">
        <f>_xll.qlInterestRateIndexValueDate(IborIndex,X1767,Trigger)</f>
        <v>51218</v>
      </c>
      <c r="Z1767" s="203">
        <v>3.6750968635579924E-2</v>
      </c>
      <c r="AA1767" s="200">
        <v>3.6608184892763518E-2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51223</v>
      </c>
      <c r="Y1768" s="202">
        <f>_xll.qlInterestRateIndexValueDate(IborIndex,X1768,Trigger)</f>
        <v>51229</v>
      </c>
      <c r="Z1768" s="203">
        <v>3.673848111884017E-2</v>
      </c>
      <c r="AA1768" s="200">
        <v>3.6601682418844206E-2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51230</v>
      </c>
      <c r="Y1769" s="202">
        <f>_xll.qlInterestRateIndexValueDate(IborIndex,X1769,Trigger)</f>
        <v>51232</v>
      </c>
      <c r="Z1769" s="203">
        <v>3.673631229952614E-2</v>
      </c>
      <c r="AA1769" s="200">
        <v>3.6598074316387397E-2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51237</v>
      </c>
      <c r="Y1770" s="202">
        <f>_xll.qlInterestRateIndexValueDate(IborIndex,X1770,Trigger)</f>
        <v>51239</v>
      </c>
      <c r="Z1770" s="203">
        <v>3.6731256148983496E-2</v>
      </c>
      <c r="AA1770" s="200">
        <v>3.6593028232596581E-2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51244</v>
      </c>
      <c r="Y1771" s="202">
        <f>_xll.qlInterestRateIndexValueDate(IborIndex,X1771,Trigger)</f>
        <v>51246</v>
      </c>
      <c r="Z1771" s="203">
        <v>3.6726206197420647E-2</v>
      </c>
      <c r="AA1771" s="200">
        <v>3.6587988285177175E-2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51251</v>
      </c>
      <c r="Y1772" s="202">
        <f>_xll.qlInterestRateIndexValueDate(IborIndex,X1772,Trigger)</f>
        <v>51253</v>
      </c>
      <c r="Z1772" s="203">
        <v>3.6721162444813861E-2</v>
      </c>
      <c r="AA1772" s="200">
        <v>3.6582954474049245E-2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51258</v>
      </c>
      <c r="Y1773" s="202">
        <f>_xll.qlInterestRateIndexValueDate(IborIndex,X1773,Trigger)</f>
        <v>51260</v>
      </c>
      <c r="Z1773" s="203">
        <v>3.6720649063023483E-2</v>
      </c>
      <c r="AA1773" s="200">
        <v>3.6577926799132854E-2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51265</v>
      </c>
      <c r="Y1774" s="202">
        <f>_xll.qlInterestRateIndexValueDate(IborIndex,X1774,Trigger)</f>
        <v>51267</v>
      </c>
      <c r="Z1774" s="203">
        <v>3.6715617504577851E-2</v>
      </c>
      <c r="AA1774" s="200">
        <v>3.657290526066781E-2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51272</v>
      </c>
      <c r="Y1775" s="202">
        <f>_xll.qlInterestRateIndexValueDate(IborIndex,X1775,Trigger)</f>
        <v>51274</v>
      </c>
      <c r="Z1775" s="203">
        <v>3.6710592147110671E-2</v>
      </c>
      <c r="AA1775" s="200">
        <v>3.656788985849424E-2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51279</v>
      </c>
      <c r="Y1776" s="202">
        <f>_xll.qlInterestRateIndexValueDate(IborIndex,X1776,Trigger)</f>
        <v>51281</v>
      </c>
      <c r="Z1776" s="203">
        <v>3.6707081038175382E-2</v>
      </c>
      <c r="AA1776" s="200">
        <v>3.6562165484079756E-2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51286</v>
      </c>
      <c r="Y1777" s="202">
        <f>_xll.qlInterestRateIndexValueDate(IborIndex,X1777,Trigger)</f>
        <v>51288</v>
      </c>
      <c r="Z1777" s="203">
        <v>3.6702068016882992E-2</v>
      </c>
      <c r="AA1777" s="200">
        <v>3.6557877463021526E-2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51293</v>
      </c>
      <c r="Y1778" s="202">
        <f>_xll.qlInterestRateIndexValueDate(IborIndex,X1778,Trigger)</f>
        <v>51295</v>
      </c>
      <c r="Z1778" s="203">
        <v>3.6695553280330688E-2</v>
      </c>
      <c r="AA1778" s="200">
        <v>3.6552880469802318E-2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51300</v>
      </c>
      <c r="Y1779" s="202">
        <f>_xll.qlInterestRateIndexValueDate(IborIndex,X1779,Trigger)</f>
        <v>51302</v>
      </c>
      <c r="Z1779" s="203">
        <v>3.6690552726530719E-2</v>
      </c>
      <c r="AA1779" s="200">
        <v>3.6547889612794648E-2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51307</v>
      </c>
      <c r="Y1780" s="202">
        <f>_xll.qlInterestRateIndexValueDate(IborIndex,X1780,Trigger)</f>
        <v>51309</v>
      </c>
      <c r="Z1780" s="203">
        <v>3.6685558373589292E-2</v>
      </c>
      <c r="AA1780" s="200">
        <v>3.654290489215839E-2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51314</v>
      </c>
      <c r="Y1781" s="202">
        <f>_xll.qlInterestRateIndexValueDate(IborIndex,X1781,Trigger)</f>
        <v>51316</v>
      </c>
      <c r="Z1781" s="203">
        <v>3.6676047620521672E-2</v>
      </c>
      <c r="AA1781" s="200">
        <v>3.6539425103541134E-2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51321</v>
      </c>
      <c r="Y1782" s="202">
        <f>_xll.qlInterestRateIndexValueDate(IborIndex,X1782,Trigger)</f>
        <v>51323</v>
      </c>
      <c r="Z1782" s="203">
        <v>3.6677095933960215E-2</v>
      </c>
      <c r="AA1782" s="200">
        <v>3.6532953859760298E-2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51328</v>
      </c>
      <c r="Y1783" s="202">
        <f>_xll.qlInterestRateIndexValueDate(IborIndex,X1783,Trigger)</f>
        <v>51330</v>
      </c>
      <c r="Z1783" s="203">
        <v>3.6670612519664601E-2</v>
      </c>
      <c r="AA1783" s="200">
        <v>3.6527987547998464E-2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51335</v>
      </c>
      <c r="Y1784" s="202">
        <f>_xll.qlInterestRateIndexValueDate(IborIndex,X1784,Trigger)</f>
        <v>51337</v>
      </c>
      <c r="Z1784" s="203">
        <v>3.6665642969910768E-2</v>
      </c>
      <c r="AA1784" s="200">
        <v>3.6523027372687977E-2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51342</v>
      </c>
      <c r="Y1785" s="202">
        <f>_xll.qlInterestRateIndexValueDate(IborIndex,X1785,Trigger)</f>
        <v>51344</v>
      </c>
      <c r="Z1785" s="203">
        <v>3.666067962089388E-2</v>
      </c>
      <c r="AA1785" s="200">
        <v>3.6518073333509093E-2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51349</v>
      </c>
      <c r="Y1786" s="202">
        <f>_xll.qlInterestRateIndexValueDate(IborIndex,X1786,Trigger)</f>
        <v>51351</v>
      </c>
      <c r="Z1786" s="203">
        <v>3.6655722472590122E-2</v>
      </c>
      <c r="AA1786" s="200">
        <v>3.6513125430621685E-2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51356</v>
      </c>
      <c r="Y1787" s="202">
        <f>_xll.qlInterestRateIndexValueDate(IborIndex,X1787,Trigger)</f>
        <v>51358</v>
      </c>
      <c r="Z1787" s="203">
        <v>3.6652278888046355E-2</v>
      </c>
      <c r="AA1787" s="200">
        <v>3.6508183664105687E-2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51363</v>
      </c>
      <c r="Y1788" s="202">
        <f>_xll.qlInterestRateIndexValueDate(IborIndex,X1788,Trigger)</f>
        <v>51365</v>
      </c>
      <c r="Z1788" s="203">
        <v>3.6645826778028467E-2</v>
      </c>
      <c r="AA1788" s="200">
        <v>3.65032480339611E-2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51370</v>
      </c>
      <c r="Y1789" s="202">
        <f>_xll.qlInterestRateIndexValueDate(IborIndex,X1789,Trigger)</f>
        <v>51372</v>
      </c>
      <c r="Z1789" s="203">
        <v>3.6640888231722103E-2</v>
      </c>
      <c r="AA1789" s="200">
        <v>3.6498318540028052E-2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51377</v>
      </c>
      <c r="Y1790" s="202">
        <f>_xll.qlInterestRateIndexValueDate(IborIndex,X1790,Trigger)</f>
        <v>51379</v>
      </c>
      <c r="Z1790" s="203">
        <v>3.6631434892791609E-2</v>
      </c>
      <c r="AA1790" s="200">
        <v>3.6492692346596911E-2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51384</v>
      </c>
      <c r="Y1791" s="202">
        <f>_xll.qlInterestRateIndexValueDate(IborIndex,X1791,Trigger)</f>
        <v>51386</v>
      </c>
      <c r="Z1791" s="203">
        <v>3.6626508915927392E-2</v>
      </c>
      <c r="AA1791" s="200">
        <v>3.6488477961196253E-2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51391</v>
      </c>
      <c r="Y1792" s="202">
        <f>_xll.qlInterestRateIndexValueDate(IborIndex,X1792,Trigger)</f>
        <v>51393</v>
      </c>
      <c r="Z1792" s="203">
        <v>3.6621589137553694E-2</v>
      </c>
      <c r="AA1792" s="200">
        <v>3.6483566876217566E-2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51398</v>
      </c>
      <c r="Y1793" s="202">
        <f>_xll.qlInterestRateIndexValueDate(IborIndex,X1793,Trigger)</f>
        <v>51400</v>
      </c>
      <c r="Z1793" s="203">
        <v>3.6616675557651177E-2</v>
      </c>
      <c r="AA1793" s="200">
        <v>3.647866192761029E-2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51405</v>
      </c>
      <c r="Y1794" s="202">
        <f>_xll.qlInterestRateIndexValueDate(IborIndex,X1794,Trigger)</f>
        <v>51407</v>
      </c>
      <c r="Z1794" s="203">
        <v>3.661628850899093E-2</v>
      </c>
      <c r="AA1794" s="200">
        <v>3.6473763115214552E-2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51412</v>
      </c>
      <c r="Y1795" s="202">
        <f>_xll.qlInterestRateIndexValueDate(IborIndex,X1795,Trigger)</f>
        <v>51414</v>
      </c>
      <c r="Z1795" s="203">
        <v>3.6611387166038151E-2</v>
      </c>
      <c r="AA1795" s="200">
        <v>3.6468171986374642E-2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51419</v>
      </c>
      <c r="Y1796" s="202">
        <f>_xll.qlInterestRateIndexValueDate(IborIndex,X1796,Trigger)</f>
        <v>51421</v>
      </c>
      <c r="Z1796" s="203">
        <v>3.6606492023562948E-2</v>
      </c>
      <c r="AA1796" s="200">
        <v>3.6463983899377439E-2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51426</v>
      </c>
      <c r="Y1797" s="202">
        <f>_xll.qlInterestRateIndexValueDate(IborIndex,X1797,Trigger)</f>
        <v>51428</v>
      </c>
      <c r="Z1797" s="203">
        <v>3.6603109895202796E-2</v>
      </c>
      <c r="AA1797" s="200">
        <v>3.6459103495936063E-2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51433</v>
      </c>
      <c r="Y1798" s="202">
        <f>_xll.qlInterestRateIndexValueDate(IborIndex,X1798,Trigger)</f>
        <v>51435</v>
      </c>
      <c r="Z1798" s="203">
        <v>3.659672033994664E-2</v>
      </c>
      <c r="AA1798" s="200">
        <v>3.6454229228786161E-2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51440</v>
      </c>
      <c r="Y1799" s="202">
        <f>_xll.qlInterestRateIndexValueDate(IborIndex,X1799,Trigger)</f>
        <v>51442</v>
      </c>
      <c r="Z1799" s="203">
        <v>3.6591843798759613E-2</v>
      </c>
      <c r="AA1799" s="200">
        <v>3.6449361098007671E-2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51447</v>
      </c>
      <c r="Y1800" s="202">
        <f>_xll.qlInterestRateIndexValueDate(IborIndex,X1800,Trigger)</f>
        <v>51449</v>
      </c>
      <c r="Z1800" s="203">
        <v>3.6586973457954065E-2</v>
      </c>
      <c r="AA1800" s="200">
        <v>3.6443805033758991E-2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51454</v>
      </c>
      <c r="Y1801" s="202">
        <f>_xll.qlInterestRateIndexValueDate(IborIndex,X1801,Trigger)</f>
        <v>51456</v>
      </c>
      <c r="Z1801" s="203">
        <v>3.6583615930782E-2</v>
      </c>
      <c r="AA1801" s="200">
        <v>3.6439643245165243E-2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51461</v>
      </c>
      <c r="Y1802" s="202">
        <f>_xll.qlInterestRateIndexValueDate(IborIndex,X1802,Trigger)</f>
        <v>51463</v>
      </c>
      <c r="Z1802" s="203">
        <v>3.6577251377397292E-2</v>
      </c>
      <c r="AA1802" s="200">
        <v>3.6434793523261177E-2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51468</v>
      </c>
      <c r="Y1803" s="202">
        <f>_xll.qlInterestRateIndexValueDate(IborIndex,X1803,Trigger)</f>
        <v>51470</v>
      </c>
      <c r="Z1803" s="203">
        <v>3.6566374541131985E-2</v>
      </c>
      <c r="AA1803" s="200">
        <v>3.6429949937648587E-2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51475</v>
      </c>
      <c r="Y1804" s="202">
        <f>_xll.qlInterestRateIndexValueDate(IborIndex,X1804,Trigger)</f>
        <v>51477</v>
      </c>
      <c r="Z1804" s="203">
        <v>3.6561529190073827E-2</v>
      </c>
      <c r="AA1804" s="200">
        <v>3.6425112488407407E-2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51482</v>
      </c>
      <c r="Y1805" s="202">
        <f>_xll.qlInterestRateIndexValueDate(IborIndex,X1805,Trigger)</f>
        <v>51484</v>
      </c>
      <c r="Z1805" s="203">
        <v>3.6556690036524842E-2</v>
      </c>
      <c r="AA1805" s="200">
        <v>3.6420281175217895E-2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51489</v>
      </c>
      <c r="Y1806" s="202">
        <f>_xll.qlInterestRateIndexValueDate(IborIndex,X1806,Trigger)</f>
        <v>51491</v>
      </c>
      <c r="Z1806" s="203">
        <v>3.6551857080458383E-2</v>
      </c>
      <c r="AA1806" s="200">
        <v>3.6414767188510666E-2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51497</v>
      </c>
      <c r="Y1807" s="202">
        <f>_xll.qlInterestRateIndexValueDate(IborIndex,X1807,Trigger)</f>
        <v>51501</v>
      </c>
      <c r="Z1807" s="203">
        <v>3.6541952051373935E-2</v>
      </c>
      <c r="AA1807" s="200">
        <v>3.640926121659227E-2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51504</v>
      </c>
      <c r="Y1808" s="202">
        <f>_xll.qlInterestRateIndexValueDate(IborIndex,X1808,Trigger)</f>
        <v>51508</v>
      </c>
      <c r="Z1808" s="203">
        <v>3.6541651583488356E-2</v>
      </c>
      <c r="AA1808" s="200">
        <v>3.6405136997226251E-2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51511</v>
      </c>
      <c r="Y1809" s="202">
        <f>_xll.qlInterestRateIndexValueDate(IborIndex,X1809,Trigger)</f>
        <v>51515</v>
      </c>
      <c r="Z1809" s="203">
        <v>3.6536839832327327E-2</v>
      </c>
      <c r="AA1809" s="200">
        <v>3.6400331106021255E-2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51518</v>
      </c>
      <c r="Y1810" s="202">
        <f>_xll.qlInterestRateIndexValueDate(IborIndex,X1810,Trigger)</f>
        <v>51523</v>
      </c>
      <c r="Z1810" s="203">
        <v>3.6531348277622729E-2</v>
      </c>
      <c r="AA1810" s="200">
        <v>3.6394846172713713E-2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51525</v>
      </c>
      <c r="Y1811" s="202">
        <f>_xll.qlInterestRateIndexValueDate(IborIndex,X1811,Trigger)</f>
        <v>51529</v>
      </c>
      <c r="Z1811" s="203">
        <v>3.6527234924208361E-2</v>
      </c>
      <c r="AA1811" s="200">
        <v>3.6390737732565626E-2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51532</v>
      </c>
      <c r="Y1812" s="202">
        <f>_xll.qlInterestRateIndexValueDate(IborIndex,X1812,Trigger)</f>
        <v>51536</v>
      </c>
      <c r="Z1812" s="203">
        <v>3.6523947575636602E-2</v>
      </c>
      <c r="AA1812" s="200">
        <v>3.6385950250235055E-2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51539</v>
      </c>
      <c r="Y1813" s="202">
        <f>_xll.qlInterestRateIndexValueDate(IborIndex,X1813,Trigger)</f>
        <v>51543</v>
      </c>
      <c r="Z1813" s="203">
        <v>3.651765480821028E-2</v>
      </c>
      <c r="AA1813" s="200">
        <v>3.638116890419596E-2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51546</v>
      </c>
      <c r="Y1814" s="202">
        <f>_xll.qlInterestRateIndexValueDate(IborIndex,X1814,Trigger)</f>
        <v>51551</v>
      </c>
      <c r="Z1814" s="203">
        <v>3.6510685962912959E-2</v>
      </c>
      <c r="AA1814" s="200">
        <v>3.6375712022609363E-2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51553</v>
      </c>
      <c r="Y1815" s="202">
        <f>_xll.qlInterestRateIndexValueDate(IborIndex,X1815,Trigger)</f>
        <v>51557</v>
      </c>
      <c r="Z1815" s="203">
        <v>3.6509605172712165E-2</v>
      </c>
      <c r="AA1815" s="200">
        <v>3.6371624621072129E-2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51560</v>
      </c>
      <c r="Y1816" s="202">
        <f>_xll.qlInterestRateIndexValueDate(IborIndex,X1816,Trigger)</f>
        <v>51564</v>
      </c>
      <c r="Z1816" s="203">
        <v>3.6504836769022005E-2</v>
      </c>
      <c r="AA1816" s="200">
        <v>3.6366861683987395E-2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51567</v>
      </c>
      <c r="Y1817" s="202">
        <f>_xll.qlInterestRateIndexValueDate(IborIndex,X1817,Trigger)</f>
        <v>51571</v>
      </c>
      <c r="Z1817" s="203">
        <v>3.6500074563938681E-2</v>
      </c>
      <c r="AA1817" s="200">
        <v>3.6362104883274071E-2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51574</v>
      </c>
      <c r="Y1818" s="202">
        <f>_xll.qlInterestRateIndexValueDate(IborIndex,X1818,Trigger)</f>
        <v>51578</v>
      </c>
      <c r="Z1818" s="203">
        <v>3.6495318557437012E-2</v>
      </c>
      <c r="AA1818" s="200">
        <v>3.6357354218772286E-2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51581</v>
      </c>
      <c r="Y1819" s="202">
        <f>_xll.qlInterestRateIndexValueDate(IborIndex,X1819,Trigger)</f>
        <v>51585</v>
      </c>
      <c r="Z1819" s="203">
        <v>3.6490568749497007E-2</v>
      </c>
      <c r="AA1819" s="200">
        <v>3.6352609690482041E-2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51588</v>
      </c>
      <c r="Y1820" s="202">
        <f>_xll.qlInterestRateIndexValueDate(IborIndex,X1820,Trigger)</f>
        <v>51592</v>
      </c>
      <c r="Z1820" s="203">
        <v>3.6484319637598711E-2</v>
      </c>
      <c r="AA1820" s="200">
        <v>3.6347871298643142E-2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51595</v>
      </c>
      <c r="Y1821" s="202">
        <f>_xll.qlInterestRateIndexValueDate(IborIndex,X1821,Trigger)</f>
        <v>51599</v>
      </c>
      <c r="Z1821" s="203">
        <v>3.6479582261867448E-2</v>
      </c>
      <c r="AA1821" s="200">
        <v>3.6343139043015782E-2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51602</v>
      </c>
      <c r="Y1822" s="202">
        <f>_xll.qlInterestRateIndexValueDate(IborIndex,X1822,Trigger)</f>
        <v>51606</v>
      </c>
      <c r="Z1822" s="203">
        <v>3.6474851083944167E-2</v>
      </c>
      <c r="AA1822" s="200">
        <v>3.6338412923599961E-2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51609</v>
      </c>
      <c r="Y1823" s="202">
        <f>_xll.qlInterestRateIndexValueDate(IborIndex,X1823,Trigger)</f>
        <v>51615</v>
      </c>
      <c r="Z1823" s="203">
        <v>3.6468777247848992E-2</v>
      </c>
      <c r="AA1823" s="200">
        <v>3.633533877431816E-2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51616</v>
      </c>
      <c r="Y1824" s="202">
        <f>_xll.qlInterestRateIndexValueDate(IborIndex,X1824,Trigger)</f>
        <v>51620</v>
      </c>
      <c r="Z1824" s="203">
        <v>3.6465407321434586E-2</v>
      </c>
      <c r="AA1824" s="200">
        <v>3.6328979093962488E-2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51623</v>
      </c>
      <c r="Y1825" s="202">
        <f>_xll.qlInterestRateIndexValueDate(IborIndex,X1825,Trigger)</f>
        <v>51628</v>
      </c>
      <c r="Z1825" s="203">
        <v>3.6461527345364189E-2</v>
      </c>
      <c r="AA1825" s="200">
        <v>3.6323599354508573E-2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51630</v>
      </c>
      <c r="Y1826" s="202">
        <f>_xll.qlInterestRateIndexValueDate(IborIndex,X1826,Trigger)</f>
        <v>51634</v>
      </c>
      <c r="Z1826" s="203">
        <v>3.6457493651738115E-2</v>
      </c>
      <c r="AA1826" s="200">
        <v>3.6319569809410979E-2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51637</v>
      </c>
      <c r="Y1827" s="202">
        <f>_xll.qlInterestRateIndexValueDate(IborIndex,X1827,Trigger)</f>
        <v>51641</v>
      </c>
      <c r="Z1827" s="203">
        <v>3.6452793431479898E-2</v>
      </c>
      <c r="AA1827" s="200">
        <v>3.6314874371612405E-2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51644</v>
      </c>
      <c r="Y1828" s="202">
        <f>_xll.qlInterestRateIndexValueDate(IborIndex,X1828,Trigger)</f>
        <v>51649</v>
      </c>
      <c r="Z1828" s="203">
        <v>3.6447429341013304E-2</v>
      </c>
      <c r="AA1828" s="200">
        <v>3.6309515670769343E-2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51651</v>
      </c>
      <c r="Y1829" s="202">
        <f>_xll.qlInterestRateIndexValueDate(IborIndex,X1829,Trigger)</f>
        <v>51655</v>
      </c>
      <c r="Z1829" s="203">
        <v>3.6443411586024599E-2</v>
      </c>
      <c r="AA1829" s="200">
        <v>3.6305501904889681E-2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51658</v>
      </c>
      <c r="Y1830" s="202">
        <f>_xll.qlInterestRateIndexValueDate(IborIndex,X1830,Trigger)</f>
        <v>51662</v>
      </c>
      <c r="Z1830" s="203">
        <v>3.6438729960783213E-2</v>
      </c>
      <c r="AA1830" s="200">
        <v>3.6300824875965532E-2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51665</v>
      </c>
      <c r="Y1831" s="202">
        <f>_xll.qlInterestRateIndexValueDate(IborIndex,X1831,Trigger)</f>
        <v>51669</v>
      </c>
      <c r="Z1831" s="203">
        <v>3.6434054533835004E-2</v>
      </c>
      <c r="AA1831" s="200">
        <v>3.6296153983332857E-2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51672</v>
      </c>
      <c r="Y1832" s="202">
        <f>_xll.qlInterestRateIndexValueDate(IborIndex,X1832,Trigger)</f>
        <v>51676</v>
      </c>
      <c r="Z1832" s="203">
        <v>3.6429385305159996E-2</v>
      </c>
      <c r="AA1832" s="200">
        <v>3.6291489226911722E-2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51679</v>
      </c>
      <c r="Y1833" s="202">
        <f>_xll.qlInterestRateIndexValueDate(IborIndex,X1833,Trigger)</f>
        <v>51683</v>
      </c>
      <c r="Z1833" s="203">
        <v>3.6424722274735602E-2</v>
      </c>
      <c r="AA1833" s="200">
        <v>3.628832686262129E-2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51686</v>
      </c>
      <c r="Y1834" s="202">
        <f>_xll.qlInterestRateIndexValueDate(IborIndex,X1834,Trigger)</f>
        <v>51690</v>
      </c>
      <c r="Z1834" s="203">
        <v>3.6420065442538348E-2</v>
      </c>
      <c r="AA1834" s="200">
        <v>3.6282178123183684E-2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51693</v>
      </c>
      <c r="Y1835" s="202">
        <f>_xll.qlInterestRateIndexValueDate(IborIndex,X1835,Trigger)</f>
        <v>51697</v>
      </c>
      <c r="Z1835" s="203">
        <v>3.6415414808549137E-2</v>
      </c>
      <c r="AA1835" s="200">
        <v>3.6277531775716909E-2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51700</v>
      </c>
      <c r="Y1836" s="202">
        <f>_xll.qlInterestRateIndexValueDate(IborIndex,X1836,Trigger)</f>
        <v>51704</v>
      </c>
      <c r="Z1836" s="203">
        <v>3.6410770372743623E-2</v>
      </c>
      <c r="AA1836" s="200">
        <v>3.6272891564541609E-2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51707</v>
      </c>
      <c r="Y1837" s="202">
        <f>_xll.qlInterestRateIndexValueDate(IborIndex,X1837,Trigger)</f>
        <v>51711</v>
      </c>
      <c r="Z1837" s="203">
        <v>3.6406132135100966E-2</v>
      </c>
      <c r="AA1837" s="200">
        <v>3.6268257489737721E-2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51714</v>
      </c>
      <c r="Y1838" s="202">
        <f>_xll.qlInterestRateIndexValueDate(IborIndex,X1838,Trigger)</f>
        <v>51718</v>
      </c>
      <c r="Z1838" s="203">
        <v>3.6401500095598567E-2</v>
      </c>
      <c r="AA1838" s="200">
        <v>3.6263629551145371E-2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51721</v>
      </c>
      <c r="Y1839" s="202">
        <f>_xll.qlInterestRateIndexValueDate(IborIndex,X1839,Trigger)</f>
        <v>51725</v>
      </c>
      <c r="Z1839" s="203">
        <v>3.6396874254217323E-2</v>
      </c>
      <c r="AA1839" s="200">
        <v>3.6259007748844496E-2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51728</v>
      </c>
      <c r="Y1840" s="202">
        <f>_xll.qlInterestRateIndexValueDate(IborIndex,X1840,Trigger)</f>
        <v>51732</v>
      </c>
      <c r="Z1840" s="203">
        <v>3.6392254610932886E-2</v>
      </c>
      <c r="AA1840" s="200">
        <v>3.6254392082915032E-2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51735</v>
      </c>
      <c r="Y1841" s="202">
        <f>_xll.qlInterestRateIndexValueDate(IborIndex,X1841,Trigger)</f>
        <v>51740</v>
      </c>
      <c r="Z1841" s="203">
        <v>3.6386982608086434E-2</v>
      </c>
      <c r="AA1841" s="200">
        <v>3.6249124549865286E-2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51742</v>
      </c>
      <c r="Y1842" s="202">
        <f>_xll.qlInterestRateIndexValueDate(IborIndex,X1842,Trigger)</f>
        <v>51747</v>
      </c>
      <c r="Z1842" s="203">
        <v>3.6380871362254985E-2</v>
      </c>
      <c r="AA1842" s="200">
        <v>3.6244522033097581E-2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51749</v>
      </c>
      <c r="Y1843" s="202">
        <f>_xll.qlInterestRateIndexValueDate(IborIndex,X1843,Trigger)</f>
        <v>51753</v>
      </c>
      <c r="Z1843" s="203">
        <v>3.6376928002550282E-2</v>
      </c>
      <c r="AA1843" s="200">
        <v>3.6240581902715618E-2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51756</v>
      </c>
      <c r="Y1844" s="202">
        <f>_xll.qlInterestRateIndexValueDate(IborIndex,X1844,Trigger)</f>
        <v>51760</v>
      </c>
      <c r="Z1844" s="203">
        <v>3.6372333170892265E-2</v>
      </c>
      <c r="AA1844" s="200">
        <v>3.6235990781872118E-2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51763</v>
      </c>
      <c r="Y1845" s="202">
        <f>_xll.qlInterestRateIndexValueDate(IborIndex,X1845,Trigger)</f>
        <v>51767</v>
      </c>
      <c r="Z1845" s="203">
        <v>3.6367744536541534E-2</v>
      </c>
      <c r="AA1845" s="200">
        <v>3.6231405797320093E-2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51770</v>
      </c>
      <c r="Y1846" s="202">
        <f>_xll.qlInterestRateIndexValueDate(IborIndex,X1846,Trigger)</f>
        <v>51774</v>
      </c>
      <c r="Z1846" s="203">
        <v>3.6364666910055236E-2</v>
      </c>
      <c r="AA1846" s="200">
        <v>3.6226826949139479E-2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51777</v>
      </c>
      <c r="Y1847" s="202">
        <f>_xll.qlInterestRateIndexValueDate(IborIndex,X1847,Trigger)</f>
        <v>51781</v>
      </c>
      <c r="Z1847" s="203">
        <v>3.6360090652844672E-2</v>
      </c>
      <c r="AA1847" s="200">
        <v>3.6222254237170404E-2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51784</v>
      </c>
      <c r="Y1848" s="202">
        <f>_xll.qlInterestRateIndexValueDate(IborIndex,X1848,Trigger)</f>
        <v>51789</v>
      </c>
      <c r="Z1848" s="203">
        <v>3.6354868233899551E-2</v>
      </c>
      <c r="AA1848" s="200">
        <v>3.6217035794532393E-2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51791</v>
      </c>
      <c r="Y1849" s="202">
        <f>_xll.qlInterestRateIndexValueDate(IborIndex,X1849,Trigger)</f>
        <v>51795</v>
      </c>
      <c r="Z1849" s="203">
        <v>3.6350956732177031E-2</v>
      </c>
      <c r="AA1849" s="200">
        <v>3.621312722226655E-2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51798</v>
      </c>
      <c r="Y1850" s="202">
        <f>_xll.qlInterestRateIndexValueDate(IborIndex,X1850,Trigger)</f>
        <v>51802</v>
      </c>
      <c r="Z1850" s="203">
        <v>3.6346399068675643E-2</v>
      </c>
      <c r="AA1850" s="200">
        <v>3.62085729191719E-2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51805</v>
      </c>
      <c r="Y1851" s="202">
        <f>_xll.qlInterestRateIndexValueDate(IborIndex,X1851,Trigger)</f>
        <v>51809</v>
      </c>
      <c r="Z1851" s="203">
        <v>3.6341847603034744E-2</v>
      </c>
      <c r="AA1851" s="200">
        <v>3.6204024752368724E-2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51812</v>
      </c>
      <c r="Y1852" s="202">
        <f>_xll.qlInterestRateIndexValueDate(IborIndex,X1852,Trigger)</f>
        <v>51817</v>
      </c>
      <c r="Z1852" s="203">
        <v>3.6336653517204609E-2</v>
      </c>
      <c r="AA1852" s="200">
        <v>3.6198834361371723E-2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51819</v>
      </c>
      <c r="Y1853" s="202">
        <f>_xll.qlInterestRateIndexValueDate(IborIndex,X1853,Trigger)</f>
        <v>51823</v>
      </c>
      <c r="Z1853" s="203">
        <v>3.6332763265246641E-2</v>
      </c>
      <c r="AA1853" s="200">
        <v>3.6194946827716734E-2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51826</v>
      </c>
      <c r="Y1854" s="202">
        <f>_xll.qlInterestRateIndexValueDate(IborIndex,X1854,Trigger)</f>
        <v>51830</v>
      </c>
      <c r="Z1854" s="203">
        <v>3.6328230393056868E-2</v>
      </c>
      <c r="AA1854" s="200">
        <v>3.6191912825747075E-2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51833</v>
      </c>
      <c r="Y1855" s="202">
        <f>_xll.qlInterestRateIndexValueDate(IborIndex,X1855,Trigger)</f>
        <v>51837</v>
      </c>
      <c r="Z1855" s="203">
        <v>3.6322199040369645E-2</v>
      </c>
      <c r="AA1855" s="200">
        <v>3.6185893448230644E-2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51840</v>
      </c>
      <c r="Y1856" s="202">
        <f>_xll.qlInterestRateIndexValueDate(IborIndex,X1856,Trigger)</f>
        <v>51844</v>
      </c>
      <c r="Z1856" s="203">
        <v>3.631767857501815E-2</v>
      </c>
      <c r="AA1856" s="200">
        <v>3.6181375962964779E-2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51847</v>
      </c>
      <c r="Y1857" s="202">
        <f>_xll.qlInterestRateIndexValueDate(IborIndex,X1857,Trigger)</f>
        <v>51851</v>
      </c>
      <c r="Z1857" s="203">
        <v>3.6313164306721837E-2</v>
      </c>
      <c r="AA1857" s="200">
        <v>3.6176864613990389E-2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51854</v>
      </c>
      <c r="Y1858" s="202">
        <f>_xll.qlInterestRateIndexValueDate(IborIndex,X1858,Trigger)</f>
        <v>51858</v>
      </c>
      <c r="Z1858" s="203">
        <v>3.6308656235459612E-2</v>
      </c>
      <c r="AA1858" s="200">
        <v>3.6171716300295031E-2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51862</v>
      </c>
      <c r="Y1859" s="202">
        <f>_xll.qlInterestRateIndexValueDate(IborIndex,X1859,Trigger)</f>
        <v>51866</v>
      </c>
      <c r="Z1859" s="203">
        <v>3.6302007206435505E-2</v>
      </c>
      <c r="AA1859" s="200">
        <v>3.6169567454313878E-2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51869</v>
      </c>
      <c r="Y1860" s="202">
        <f>_xll.qlInterestRateIndexValueDate(IborIndex,X1860,Trigger)</f>
        <v>51873</v>
      </c>
      <c r="Z1860" s="203">
        <v>3.6299016950219719E-2</v>
      </c>
      <c r="AA1860" s="200">
        <v>3.6162726036961246E-2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51876</v>
      </c>
      <c r="Y1861" s="202">
        <f>_xll.qlInterestRateIndexValueDate(IborIndex,X1861,Trigger)</f>
        <v>51880</v>
      </c>
      <c r="Z1861" s="203">
        <v>3.629302383589561E-2</v>
      </c>
      <c r="AA1861" s="200">
        <v>3.6158240109651629E-2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51883</v>
      </c>
      <c r="Y1862" s="202">
        <f>_xll.qlInterestRateIndexValueDate(IborIndex,X1862,Trigger)</f>
        <v>51887</v>
      </c>
      <c r="Z1862" s="203">
        <v>3.6288541445042455E-2</v>
      </c>
      <c r="AA1862" s="200">
        <v>3.6153760318713424E-2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51890</v>
      </c>
      <c r="Y1863" s="202">
        <f>_xll.qlInterestRateIndexValueDate(IborIndex,X1863,Trigger)</f>
        <v>51894</v>
      </c>
      <c r="Z1863" s="203">
        <v>3.6284065250441699E-2</v>
      </c>
      <c r="AA1863" s="200">
        <v>3.6149286664066693E-2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51897</v>
      </c>
      <c r="Y1864" s="202">
        <f>_xll.qlInterestRateIndexValueDate(IborIndex,X1864,Trigger)</f>
        <v>51901</v>
      </c>
      <c r="Z1864" s="203">
        <v>3.6281099751791501E-2</v>
      </c>
      <c r="AA1864" s="200">
        <v>3.6144819145711438E-2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51904</v>
      </c>
      <c r="Y1865" s="202">
        <f>_xll.qlInterestRateIndexValueDate(IborIndex,X1865,Trigger)</f>
        <v>51908</v>
      </c>
      <c r="Z1865" s="203">
        <v>3.6275131449907683E-2</v>
      </c>
      <c r="AA1865" s="200">
        <v>3.6140357763567721E-2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51911</v>
      </c>
      <c r="Y1866" s="202">
        <f>_xll.qlInterestRateIndexValueDate(IborIndex,X1866,Trigger)</f>
        <v>51915</v>
      </c>
      <c r="Z1866" s="203">
        <v>3.6270673843934453E-2</v>
      </c>
      <c r="AA1866" s="200">
        <v>3.6135902517795415E-2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51918</v>
      </c>
      <c r="Y1867" s="202">
        <f>_xll.qlInterestRateIndexValueDate(IborIndex,X1867,Trigger)</f>
        <v>51922</v>
      </c>
      <c r="Z1867" s="203">
        <v>3.626772692033129E-2</v>
      </c>
      <c r="AA1867" s="200">
        <v>3.6131453408234648E-2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51925</v>
      </c>
      <c r="Y1868" s="202">
        <f>_xll.qlInterestRateIndexValueDate(IborIndex,X1868,Trigger)</f>
        <v>51929</v>
      </c>
      <c r="Z1868" s="203">
        <v>3.6264786287082844E-2</v>
      </c>
      <c r="AA1868" s="200">
        <v>3.6127010434965356E-2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51932</v>
      </c>
      <c r="Y1869" s="202">
        <f>_xll.qlInterestRateIndexValueDate(IborIndex,X1869,Trigger)</f>
        <v>51936</v>
      </c>
      <c r="Z1869" s="203">
        <v>3.6260347264639309E-2</v>
      </c>
      <c r="AA1869" s="200">
        <v>3.612257359798754E-2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51939</v>
      </c>
      <c r="Y1870" s="202">
        <f>_xll.qlInterestRateIndexValueDate(IborIndex,X1870,Trigger)</f>
        <v>51943</v>
      </c>
      <c r="Z1870" s="203">
        <v>3.6255914439648755E-2</v>
      </c>
      <c r="AA1870" s="200">
        <v>3.6118142897381134E-2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51946</v>
      </c>
      <c r="Y1871" s="202">
        <f>_xll.qlInterestRateIndexValueDate(IborIndex,X1871,Trigger)</f>
        <v>51950</v>
      </c>
      <c r="Z1871" s="203">
        <v>3.6251487812094675E-2</v>
      </c>
      <c r="AA1871" s="200">
        <v>3.6113718332986267E-2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51953</v>
      </c>
      <c r="Y1872" s="202">
        <f>_xll.qlInterestRateIndexValueDate(IborIndex,X1872,Trigger)</f>
        <v>51957</v>
      </c>
      <c r="Z1872" s="203">
        <v>3.6245562804071166E-2</v>
      </c>
      <c r="AA1872" s="200">
        <v>3.6109299904962811E-2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51964</v>
      </c>
      <c r="Y1873" s="202">
        <f>_xll.qlInterestRateIndexValueDate(IborIndex,X1873,Trigger)</f>
        <v>51966</v>
      </c>
      <c r="Z1873" s="203">
        <v>3.6239888499797236E-2</v>
      </c>
      <c r="AA1873" s="200">
        <v>3.6102369058585992E-2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51971</v>
      </c>
      <c r="Y1874" s="202">
        <f>_xll.qlInterestRateIndexValueDate(IborIndex,X1874,Trigger)</f>
        <v>51973</v>
      </c>
      <c r="Z1874" s="203">
        <v>3.6235482233965034E-2</v>
      </c>
      <c r="AA1874" s="200">
        <v>3.609796640954066E-2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51978</v>
      </c>
      <c r="Y1875" s="202">
        <f>_xll.qlInterestRateIndexValueDate(IborIndex,X1875,Trigger)</f>
        <v>51980</v>
      </c>
      <c r="Z1875" s="203">
        <v>3.6231082164805903E-2</v>
      </c>
      <c r="AA1875" s="200">
        <v>3.6093569896706867E-2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51985</v>
      </c>
      <c r="Y1876" s="202">
        <f>_xll.qlInterestRateIndexValueDate(IborIndex,X1876,Trigger)</f>
        <v>51987</v>
      </c>
      <c r="Z1876" s="203">
        <v>3.6228192876045846E-2</v>
      </c>
      <c r="AA1876" s="200">
        <v>3.6089179520244485E-2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51992</v>
      </c>
      <c r="Y1877" s="202">
        <f>_xll.qlInterestRateIndexValueDate(IborIndex,X1877,Trigger)</f>
        <v>51994</v>
      </c>
      <c r="Z1877" s="203">
        <v>3.6223805203315487E-2</v>
      </c>
      <c r="AA1877" s="200">
        <v>3.6084795279993642E-2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51999</v>
      </c>
      <c r="Y1878" s="202">
        <f>_xll.qlInterestRateIndexValueDate(IborIndex,X1878,Trigger)</f>
        <v>52001</v>
      </c>
      <c r="Z1878" s="203">
        <v>3.6219423727868683E-2</v>
      </c>
      <c r="AA1878" s="200">
        <v>3.608041717611421E-2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52006</v>
      </c>
      <c r="Y1879" s="202">
        <f>_xll.qlInterestRateIndexValueDate(IborIndex,X1879,Trigger)</f>
        <v>52008</v>
      </c>
      <c r="Z1879" s="203">
        <v>3.6215048449684581E-2</v>
      </c>
      <c r="AA1879" s="200">
        <v>3.6075421142607311E-2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52013</v>
      </c>
      <c r="Y1880" s="202">
        <f>_xll.qlInterestRateIndexValueDate(IborIndex,X1880,Trigger)</f>
        <v>52015</v>
      </c>
      <c r="Z1880" s="203">
        <v>3.6210679368741457E-2</v>
      </c>
      <c r="AA1880" s="200">
        <v>3.6071679377069898E-2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52020</v>
      </c>
      <c r="Y1881" s="202">
        <f>_xll.qlInterestRateIndexValueDate(IborIndex,X1881,Trigger)</f>
        <v>52022</v>
      </c>
      <c r="Z1881" s="203">
        <v>3.62063164850202E-2</v>
      </c>
      <c r="AA1881" s="200">
        <v>3.6067319682064891E-2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52027</v>
      </c>
      <c r="Y1882" s="202">
        <f>_xll.qlInterestRateIndexValueDate(IborIndex,X1882,Trigger)</f>
        <v>52029</v>
      </c>
      <c r="Z1882" s="203">
        <v>3.6201959798499959E-2</v>
      </c>
      <c r="AA1882" s="200">
        <v>3.6062966123191487E-2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52034</v>
      </c>
      <c r="Y1883" s="202">
        <f>_xll.qlInterestRateIndexValueDate(IborIndex,X1883,Trigger)</f>
        <v>52036</v>
      </c>
      <c r="Z1883" s="203">
        <v>3.619760930915901E-2</v>
      </c>
      <c r="AA1883" s="200">
        <v>3.6058618700769429E-2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52041</v>
      </c>
      <c r="Y1884" s="202">
        <f>_xll.qlInterestRateIndexValueDate(IborIndex,X1884,Trigger)</f>
        <v>52043</v>
      </c>
      <c r="Z1884" s="203">
        <v>3.6193265016979108E-2</v>
      </c>
      <c r="AA1884" s="200">
        <v>3.6054277414558911E-2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52048</v>
      </c>
      <c r="Y1885" s="202">
        <f>_xll.qlInterestRateIndexValueDate(IborIndex,X1885,Trigger)</f>
        <v>52050</v>
      </c>
      <c r="Z1885" s="203">
        <v>3.6188926921937654E-2</v>
      </c>
      <c r="AA1885" s="200">
        <v>3.6049323458353655E-2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52055</v>
      </c>
      <c r="Y1886" s="202">
        <f>_xll.qlInterestRateIndexValueDate(IborIndex,X1886,Trigger)</f>
        <v>52057</v>
      </c>
      <c r="Z1886" s="203">
        <v>3.6184595024016414E-2</v>
      </c>
      <c r="AA1886" s="200">
        <v>3.6045613250852426E-2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52062</v>
      </c>
      <c r="Y1887" s="202">
        <f>_xll.qlInterestRateIndexValueDate(IborIndex,X1887,Trigger)</f>
        <v>52064</v>
      </c>
      <c r="Z1887" s="203">
        <v>3.6180269323191919E-2</v>
      </c>
      <c r="AA1887" s="200">
        <v>3.6041290373516333E-2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52069</v>
      </c>
      <c r="Y1888" s="202">
        <f>_xll.qlInterestRateIndexValueDate(IborIndex,X1888,Trigger)</f>
        <v>52071</v>
      </c>
      <c r="Z1888" s="203">
        <v>3.6175949819446801E-2</v>
      </c>
      <c r="AA1888" s="200">
        <v>3.6036973632391778E-2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52076</v>
      </c>
      <c r="Y1889" s="202">
        <f>_xll.qlInterestRateIndexValueDate(IborIndex,X1889,Trigger)</f>
        <v>52078</v>
      </c>
      <c r="Z1889" s="203">
        <v>3.6171636512760195E-2</v>
      </c>
      <c r="AA1889" s="200">
        <v>3.6032663027558698E-2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52083</v>
      </c>
      <c r="Y1890" s="202">
        <f>_xll.qlInterestRateIndexValueDate(IborIndex,X1890,Trigger)</f>
        <v>52085</v>
      </c>
      <c r="Z1890" s="203">
        <v>3.6167329403111258E-2</v>
      </c>
      <c r="AA1890" s="200">
        <v>3.6028358559097029E-2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52090</v>
      </c>
      <c r="Y1891" s="202">
        <f>_xll.qlInterestRateIndexValueDate(IborIndex,X1891,Trigger)</f>
        <v>52092</v>
      </c>
      <c r="Z1891" s="203">
        <v>3.6163028490478262E-2</v>
      </c>
      <c r="AA1891" s="200">
        <v>3.6024060226846899E-2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52097</v>
      </c>
      <c r="Y1892" s="202">
        <f>_xll.qlInterestRateIndexValueDate(IborIndex,X1892,Trigger)</f>
        <v>52099</v>
      </c>
      <c r="Z1892" s="203">
        <v>3.6158733774842966E-2</v>
      </c>
      <c r="AA1892" s="200">
        <v>3.6019768030888244E-2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52104</v>
      </c>
      <c r="Y1893" s="202">
        <f>_xll.qlInterestRateIndexValueDate(IborIndex,X1893,Trigger)</f>
        <v>52106</v>
      </c>
      <c r="Z1893" s="203">
        <v>3.6154445256184511E-2</v>
      </c>
      <c r="AA1893" s="200">
        <v>3.6014870177885072E-2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52111</v>
      </c>
      <c r="Y1894" s="202">
        <f>_xll.qlInterestRateIndexValueDate(IborIndex,X1894,Trigger)</f>
        <v>52113</v>
      </c>
      <c r="Z1894" s="203">
        <v>3.6148658191450328E-2</v>
      </c>
      <c r="AA1894" s="200">
        <v>3.6011202047845359E-2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52118</v>
      </c>
      <c r="Y1895" s="202">
        <f>_xll.qlInterestRateIndexValueDate(IborIndex,X1895,Trigger)</f>
        <v>52120</v>
      </c>
      <c r="Z1895" s="203">
        <v>3.6144382051474591E-2</v>
      </c>
      <c r="AA1895" s="200">
        <v>3.6006928260681192E-2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52125</v>
      </c>
      <c r="Y1896" s="202">
        <f>_xll.qlInterestRateIndexValueDate(IborIndex,X1896,Trigger)</f>
        <v>52127</v>
      </c>
      <c r="Z1896" s="203">
        <v>3.6140112107747639E-2</v>
      </c>
      <c r="AA1896" s="200">
        <v>3.6002660609808501E-2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52132</v>
      </c>
      <c r="Y1897" s="202">
        <f>_xll.qlInterestRateIndexValueDate(IborIndex,X1897,Trigger)</f>
        <v>52134</v>
      </c>
      <c r="Z1897" s="203">
        <v>3.614186813538018E-2</v>
      </c>
      <c r="AA1897" s="200">
        <v>3.5998399095387157E-2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52139</v>
      </c>
      <c r="Y1898" s="202">
        <f>_xll.qlInterestRateIndexValueDate(IborIndex,X1898,Trigger)</f>
        <v>52141</v>
      </c>
      <c r="Z1898" s="203">
        <v>3.6133095616842012E-2</v>
      </c>
      <c r="AA1898" s="200">
        <v>3.5994143717097415E-2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52146</v>
      </c>
      <c r="Y1899" s="202">
        <f>_xll.qlInterestRateIndexValueDate(IborIndex,X1899,Trigger)</f>
        <v>52148</v>
      </c>
      <c r="Z1899" s="203">
        <v>3.6128844279623228E-2</v>
      </c>
      <c r="AA1899" s="200">
        <v>3.5989287941395887E-2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52153</v>
      </c>
      <c r="Y1900" s="202">
        <f>_xll.qlInterestRateIndexValueDate(IborIndex,X1900,Trigger)</f>
        <v>52155</v>
      </c>
      <c r="Z1900" s="203">
        <v>3.6124599139239662E-2</v>
      </c>
      <c r="AA1900" s="200">
        <v>3.5985651369312421E-2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52160</v>
      </c>
      <c r="Y1901" s="202">
        <f>_xll.qlInterestRateIndexValueDate(IborIndex,X1901,Trigger)</f>
        <v>52162</v>
      </c>
      <c r="Z1901" s="203">
        <v>3.6120360195672198E-2</v>
      </c>
      <c r="AA1901" s="200">
        <v>3.5981414399897105E-2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52167</v>
      </c>
      <c r="Y1902" s="202">
        <f>_xll.qlInterestRateIndexValueDate(IborIndex,X1902,Trigger)</f>
        <v>52169</v>
      </c>
      <c r="Z1902" s="203">
        <v>3.6116127448901726E-2</v>
      </c>
      <c r="AA1902" s="200">
        <v>3.5977183566773263E-2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52174</v>
      </c>
      <c r="Y1903" s="202">
        <f>_xll.qlInterestRateIndexValueDate(IborIndex,X1903,Trigger)</f>
        <v>52176</v>
      </c>
      <c r="Z1903" s="203">
        <v>3.6111900898908256E-2</v>
      </c>
      <c r="AA1903" s="200">
        <v>3.5974454623062257E-2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52181</v>
      </c>
      <c r="Y1904" s="202">
        <f>_xll.qlInterestRateIndexValueDate(IborIndex,X1904,Trigger)</f>
        <v>52183</v>
      </c>
      <c r="Z1904" s="203">
        <v>3.6107680545670935E-2</v>
      </c>
      <c r="AA1904" s="200">
        <v>3.5968740309320069E-2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52188</v>
      </c>
      <c r="Y1905" s="202">
        <f>_xll.qlInterestRateIndexValueDate(IborIndex,X1905,Trigger)</f>
        <v>52190</v>
      </c>
      <c r="Z1905" s="203">
        <v>3.6103466389169787E-2</v>
      </c>
      <c r="AA1905" s="200">
        <v>3.5964527884990716E-2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52195</v>
      </c>
      <c r="Y1906" s="202">
        <f>_xll.qlInterestRateIndexValueDate(IborIndex,X1906,Trigger)</f>
        <v>52198</v>
      </c>
      <c r="Z1906" s="203">
        <v>3.6097152825242708E-2</v>
      </c>
      <c r="AA1906" s="200">
        <v>3.5959721199620986E-2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52202</v>
      </c>
      <c r="Y1907" s="202">
        <f>_xll.qlInterestRateIndexValueDate(IborIndex,X1907,Trigger)</f>
        <v>52204</v>
      </c>
      <c r="Z1907" s="203">
        <v>3.6092046783238629E-2</v>
      </c>
      <c r="AA1907" s="200">
        <v>3.5956121445206435E-2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52209</v>
      </c>
      <c r="Y1908" s="202">
        <f>_xll.qlInterestRateIndexValueDate(IborIndex,X1908,Trigger)</f>
        <v>52211</v>
      </c>
      <c r="Z1908" s="203">
        <v>3.608785116912383E-2</v>
      </c>
      <c r="AA1908" s="200">
        <v>3.5951927429751507E-2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52216</v>
      </c>
      <c r="Y1909" s="202">
        <f>_xll.qlInterestRateIndexValueDate(IborIndex,X1909,Trigger)</f>
        <v>52218</v>
      </c>
      <c r="Z1909" s="203">
        <v>3.6083661750335061E-2</v>
      </c>
      <c r="AA1909" s="200">
        <v>3.5947739550428182E-2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52223</v>
      </c>
      <c r="Y1910" s="202">
        <f>_xll.qlInterestRateIndexValueDate(IborIndex,X1910,Trigger)</f>
        <v>52229</v>
      </c>
      <c r="Z1910" s="203">
        <v>3.6080100954543545E-2</v>
      </c>
      <c r="AA1910" s="200">
        <v>3.5943860041953712E-2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52230</v>
      </c>
      <c r="Y1911" s="202">
        <f>_xll.qlInterestRateIndexValueDate(IborIndex,X1911,Trigger)</f>
        <v>52233</v>
      </c>
      <c r="Z1911" s="203">
        <v>3.6074705286085695E-2</v>
      </c>
      <c r="AA1911" s="200">
        <v>3.5938786186617833E-2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52237</v>
      </c>
      <c r="Y1912" s="202">
        <f>_xll.qlInterestRateIndexValueDate(IborIndex,X1912,Trigger)</f>
        <v>52239</v>
      </c>
      <c r="Z1912" s="203">
        <v>3.6071130665740192E-2</v>
      </c>
      <c r="AA1912" s="200">
        <v>3.5935212730606736E-2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52244</v>
      </c>
      <c r="Y1913" s="202">
        <f>_xll.qlInterestRateIndexValueDate(IborIndex,X1913,Trigger)</f>
        <v>52246</v>
      </c>
      <c r="Z1913" s="203">
        <v>3.6066966028066361E-2</v>
      </c>
      <c r="AA1913" s="200">
        <v>3.5930455135408934E-2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52251</v>
      </c>
      <c r="Y1914" s="202">
        <f>_xll.qlInterestRateIndexValueDate(IborIndex,X1914,Trigger)</f>
        <v>52253</v>
      </c>
      <c r="Z1914" s="203">
        <v>3.6062807585624412E-2</v>
      </c>
      <c r="AA1914" s="200">
        <v>3.5926892198663296E-2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52258</v>
      </c>
      <c r="Y1915" s="202">
        <f>_xll.qlInterestRateIndexValueDate(IborIndex,X1915,Trigger)</f>
        <v>52260</v>
      </c>
      <c r="Z1915" s="203">
        <v>3.6058655338393031E-2</v>
      </c>
      <c r="AA1915" s="200">
        <v>3.5922741137088821E-2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52265</v>
      </c>
      <c r="Y1916" s="202">
        <f>_xll.qlInterestRateIndexValueDate(IborIndex,X1916,Trigger)</f>
        <v>52267</v>
      </c>
      <c r="Z1916" s="203">
        <v>3.6053004260803906E-2</v>
      </c>
      <c r="AA1916" s="200">
        <v>3.591859621180582E-2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52272</v>
      </c>
      <c r="Y1917" s="202">
        <f>_xll.qlInterestRateIndexValueDate(IborIndex,X1917,Trigger)</f>
        <v>52274</v>
      </c>
      <c r="Z1917" s="203">
        <v>3.6048864374186119E-2</v>
      </c>
      <c r="AA1917" s="200">
        <v>3.5913866668249028E-2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52279</v>
      </c>
      <c r="Y1918" s="202">
        <f>_xll.qlInterestRateIndexValueDate(IborIndex,X1918,Trigger)</f>
        <v>52281</v>
      </c>
      <c r="Z1918" s="203">
        <v>3.6044730682060447E-2</v>
      </c>
      <c r="AA1918" s="200">
        <v>3.5910324770114244E-2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52286</v>
      </c>
      <c r="Y1919" s="202">
        <f>_xll.qlInterestRateIndexValueDate(IborIndex,X1919,Trigger)</f>
        <v>52288</v>
      </c>
      <c r="Z1919" s="203">
        <v>3.6040603184407119E-2</v>
      </c>
      <c r="AA1919" s="200">
        <v>3.5906198253785604E-2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52293</v>
      </c>
      <c r="Y1920" s="202">
        <f>_xll.qlInterestRateIndexValueDate(IborIndex,X1920,Trigger)</f>
        <v>52295</v>
      </c>
      <c r="Z1920" s="203">
        <v>3.6040997636649412E-2</v>
      </c>
      <c r="AA1920" s="200">
        <v>3.5902077873588567E-2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52300</v>
      </c>
      <c r="Y1921" s="202">
        <f>_xll.qlInterestRateIndexValueDate(IborIndex,X1921,Trigger)</f>
        <v>52302</v>
      </c>
      <c r="Z1921" s="203">
        <v>3.6036882625260384E-2</v>
      </c>
      <c r="AA1921" s="200">
        <v>3.5897963629683005E-2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52307</v>
      </c>
      <c r="Y1922" s="202">
        <f>_xll.qlInterestRateIndexValueDate(IborIndex,X1922,Trigger)</f>
        <v>52309</v>
      </c>
      <c r="Z1922" s="203">
        <v>3.6032773810273006E-2</v>
      </c>
      <c r="AA1922" s="200">
        <v>3.5893855522068918E-2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52314</v>
      </c>
      <c r="Y1923" s="202">
        <f>_xll.qlInterestRateIndexValueDate(IborIndex,X1923,Trigger)</f>
        <v>52316</v>
      </c>
      <c r="Z1923" s="203">
        <v>3.6028671191669907E-2</v>
      </c>
      <c r="AA1923" s="200">
        <v>3.588975355066637E-2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52321</v>
      </c>
      <c r="Y1924" s="202">
        <f>_xll.qlInterestRateIndexValueDate(IborIndex,X1924,Trigger)</f>
        <v>52323</v>
      </c>
      <c r="Z1924" s="203">
        <v>3.6023069280318551E-2</v>
      </c>
      <c r="AA1924" s="200">
        <v>3.5885657715795105E-2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52328</v>
      </c>
      <c r="Y1925" s="202">
        <f>_xll.qlInterestRateIndexValueDate(IborIndex,X1925,Trigger)</f>
        <v>52330</v>
      </c>
      <c r="Z1925" s="203">
        <v>3.6018979019265616E-2</v>
      </c>
      <c r="AA1925" s="200">
        <v>3.5881568016895571E-2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52335</v>
      </c>
      <c r="Y1926" s="202">
        <f>_xll.qlInterestRateIndexValueDate(IborIndex,X1926,Trigger)</f>
        <v>52337</v>
      </c>
      <c r="Z1926" s="203">
        <v>3.6014894953877323E-2</v>
      </c>
      <c r="AA1926" s="200">
        <v>3.5877484454367448E-2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52342</v>
      </c>
      <c r="Y1927" s="202">
        <f>_xll.qlInterestRateIndexValueDate(IborIndex,X1927,Trigger)</f>
        <v>52344</v>
      </c>
      <c r="Z1927" s="203">
        <v>3.601081708413522E-2</v>
      </c>
      <c r="AA1927" s="200">
        <v>3.5873407028210735E-2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52349</v>
      </c>
      <c r="Y1928" s="202">
        <f>_xll.qlInterestRateIndexValueDate(IborIndex,X1928,Trigger)</f>
        <v>52351</v>
      </c>
      <c r="Z1928" s="203">
        <v>3.6008251043747753E-2</v>
      </c>
      <c r="AA1928" s="200">
        <v>3.5869335738265562E-2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52356</v>
      </c>
      <c r="Y1929" s="202">
        <f>_xll.qlInterestRateIndexValueDate(IborIndex,X1929,Trigger)</f>
        <v>52358</v>
      </c>
      <c r="Z1929" s="203">
        <v>3.6004185603046281E-2</v>
      </c>
      <c r="AA1929" s="200">
        <v>3.5865270584531928E-2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52363</v>
      </c>
      <c r="Y1930" s="202">
        <f>_xll.qlInterestRateIndexValueDate(IborIndex,X1930,Trigger)</f>
        <v>52365</v>
      </c>
      <c r="Z1930" s="203">
        <v>3.6000126358594405E-2</v>
      </c>
      <c r="AA1930" s="200">
        <v>3.586121156724964E-2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52370</v>
      </c>
      <c r="Y1931" s="202">
        <f>_xll.qlInterestRateIndexValueDate(IborIndex,X1931,Trigger)</f>
        <v>52372</v>
      </c>
      <c r="Z1931" s="203">
        <v>3.5996073310375624E-2</v>
      </c>
      <c r="AA1931" s="200">
        <v>3.5856580203956767E-2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52377</v>
      </c>
      <c r="Y1932" s="202">
        <f>_xll.qlInterestRateIndexValueDate(IborIndex,X1932,Trigger)</f>
        <v>52379</v>
      </c>
      <c r="Z1932" s="203">
        <v>3.5992026458364731E-2</v>
      </c>
      <c r="AA1932" s="200">
        <v>3.5853111941079874E-2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52384</v>
      </c>
      <c r="Y1933" s="202">
        <f>_xll.qlInterestRateIndexValueDate(IborIndex,X1933,Trigger)</f>
        <v>52386</v>
      </c>
      <c r="Z1933" s="203">
        <v>3.5987985802549576E-2</v>
      </c>
      <c r="AA1933" s="200">
        <v>3.5849071332512139E-2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52391</v>
      </c>
      <c r="Y1934" s="202">
        <f>_xll.qlInterestRateIndexValueDate(IborIndex,X1934,Trigger)</f>
        <v>52393</v>
      </c>
      <c r="Z1934" s="203">
        <v>3.5983951342904948E-2</v>
      </c>
      <c r="AA1934" s="200">
        <v>3.5845036860235879E-2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52398</v>
      </c>
      <c r="Y1935" s="202">
        <f>_xll.qlInterestRateIndexValueDate(IborIndex,X1935,Trigger)</f>
        <v>52400</v>
      </c>
      <c r="Z1935" s="203">
        <v>3.5979923079417823E-2</v>
      </c>
      <c r="AA1935" s="200">
        <v>3.5841008524171158E-2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52405</v>
      </c>
      <c r="Y1936" s="202">
        <f>_xll.qlInterestRateIndexValueDate(IborIndex,X1936,Trigger)</f>
        <v>52407</v>
      </c>
      <c r="Z1936" s="203">
        <v>3.5975901012063875E-2</v>
      </c>
      <c r="AA1936" s="200">
        <v>3.5836986324397913E-2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52412</v>
      </c>
      <c r="Y1937" s="202">
        <f>_xll.qlInterestRateIndexValueDate(IborIndex,X1937,Trigger)</f>
        <v>52414</v>
      </c>
      <c r="Z1937" s="203">
        <v>3.5971885140827449E-2</v>
      </c>
      <c r="AA1937" s="200">
        <v>3.5832397038486619E-2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52419</v>
      </c>
      <c r="Y1938" s="202">
        <f>_xll.qlInterestRateIndexValueDate(IborIndex,X1938,Trigger)</f>
        <v>52421</v>
      </c>
      <c r="Z1938" s="203">
        <v>3.5967875465688581E-2</v>
      </c>
      <c r="AA1938" s="200">
        <v>3.5828960333645909E-2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52426</v>
      </c>
      <c r="Y1939" s="202">
        <f>_xll.qlInterestRateIndexValueDate(IborIndex,X1939,Trigger)</f>
        <v>52428</v>
      </c>
      <c r="Z1939" s="203">
        <v>3.5963871986629876E-2</v>
      </c>
      <c r="AA1939" s="200">
        <v>3.5824956542827024E-2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52433</v>
      </c>
      <c r="Y1940" s="202">
        <f>_xll.qlInterestRateIndexValueDate(IborIndex,X1940,Trigger)</f>
        <v>52435</v>
      </c>
      <c r="Z1940" s="203">
        <v>3.595987470363049E-2</v>
      </c>
      <c r="AA1940" s="200">
        <v>3.5820958888059806E-2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52440</v>
      </c>
      <c r="Y1941" s="202">
        <f>_xll.qlInterestRateIndexValueDate(IborIndex,X1941,Trigger)</f>
        <v>52442</v>
      </c>
      <c r="Z1941" s="203">
        <v>3.595588361667218E-2</v>
      </c>
      <c r="AA1941" s="200">
        <v>3.5816967369663999E-2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52447</v>
      </c>
      <c r="Y1942" s="202">
        <f>_xll.qlInterestRateIndexValueDate(IborIndex,X1942,Trigger)</f>
        <v>52449</v>
      </c>
      <c r="Z1942" s="203">
        <v>3.5951898725737563E-2</v>
      </c>
      <c r="AA1942" s="200">
        <v>3.5812981987559667E-2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52454</v>
      </c>
      <c r="Y1943" s="202">
        <f>_xll.qlInterestRateIndexValueDate(IborIndex,X1943,Trigger)</f>
        <v>52456</v>
      </c>
      <c r="Z1943" s="203">
        <v>3.5947920030804048E-2</v>
      </c>
      <c r="AA1943" s="200">
        <v>3.5809002741586937E-2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52461</v>
      </c>
      <c r="Y1944" s="202">
        <f>_xll.qlInterestRateIndexValueDate(IborIndex,X1944,Trigger)</f>
        <v>52463</v>
      </c>
      <c r="Z1944" s="203">
        <v>3.5943947531857735E-2</v>
      </c>
      <c r="AA1944" s="200">
        <v>3.5805029631985619E-2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52468</v>
      </c>
      <c r="Y1945" s="202">
        <f>_xll.qlInterestRateIndexValueDate(IborIndex,X1945,Trigger)</f>
        <v>52470</v>
      </c>
      <c r="Z1945" s="203">
        <v>3.5939981228876032E-2</v>
      </c>
      <c r="AA1945" s="200">
        <v>3.5801062658675775E-2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52475</v>
      </c>
      <c r="Y1946" s="202">
        <f>_xll.qlInterestRateIndexValueDate(IborIndex,X1946,Trigger)</f>
        <v>52477</v>
      </c>
      <c r="Z1946" s="203">
        <v>3.5934514706641073E-2</v>
      </c>
      <c r="AA1946" s="200">
        <v>3.5796536488676978E-2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52482</v>
      </c>
      <c r="Y1947" s="202">
        <f>_xll.qlInterestRateIndexValueDate(IborIndex,X1947,Trigger)</f>
        <v>52484</v>
      </c>
      <c r="Z1947" s="203">
        <v>3.5930560745864704E-2</v>
      </c>
      <c r="AA1947" s="200">
        <v>3.5793147120770641E-2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52489</v>
      </c>
      <c r="Y1948" s="202">
        <f>_xll.qlInterestRateIndexValueDate(IborIndex,X1948,Trigger)</f>
        <v>52491</v>
      </c>
      <c r="Z1948" s="203">
        <v>3.5926612980342748E-2</v>
      </c>
      <c r="AA1948" s="200">
        <v>3.5789198556335222E-2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52496</v>
      </c>
      <c r="Y1949" s="202">
        <f>_xll.qlInterestRateIndexValueDate(IborIndex,X1949,Trigger)</f>
        <v>52498</v>
      </c>
      <c r="Z1949" s="203">
        <v>3.5922671410054126E-2</v>
      </c>
      <c r="AA1949" s="200">
        <v>3.5785256128031406E-2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52503</v>
      </c>
      <c r="Y1950" s="202">
        <f>_xll.qlInterestRateIndexValueDate(IborIndex,X1950,Trigger)</f>
        <v>52505</v>
      </c>
      <c r="Z1950" s="203">
        <v>3.5924763135940965E-2</v>
      </c>
      <c r="AA1950" s="200">
        <v>3.5781319836099001E-2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52510</v>
      </c>
      <c r="Y1951" s="202">
        <f>_xll.qlInterestRateIndexValueDate(IborIndex,X1951,Trigger)</f>
        <v>52512</v>
      </c>
      <c r="Z1951" s="203">
        <v>3.5916313525244312E-2</v>
      </c>
      <c r="AA1951" s="200">
        <v>3.5776828730531562E-2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52517</v>
      </c>
      <c r="Y1952" s="202">
        <f>_xll.qlInterestRateIndexValueDate(IborIndex,X1952,Trigger)</f>
        <v>52519</v>
      </c>
      <c r="Z1952" s="203">
        <v>3.5912390593505726E-2</v>
      </c>
      <c r="AA1952" s="200">
        <v>3.5773465660868808E-2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52524</v>
      </c>
      <c r="Y1953" s="202">
        <f>_xll.qlInterestRateIndexValueDate(IborIndex,X1953,Trigger)</f>
        <v>52526</v>
      </c>
      <c r="Z1953" s="203">
        <v>3.5908473857586651E-2</v>
      </c>
      <c r="AA1953" s="200">
        <v>3.5769547777730892E-2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52531</v>
      </c>
      <c r="Y1954" s="202">
        <f>_xll.qlInterestRateIndexValueDate(IborIndex,X1954,Trigger)</f>
        <v>52533</v>
      </c>
      <c r="Z1954" s="203">
        <v>3.5904563317467102E-2</v>
      </c>
      <c r="AA1954" s="200">
        <v>3.5765636030884451E-2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52538</v>
      </c>
      <c r="Y1955" s="202">
        <f>_xll.qlInterestRateIndexValueDate(IborIndex,X1955,Trigger)</f>
        <v>52540</v>
      </c>
      <c r="Z1955" s="203">
        <v>3.5900658973127969E-2</v>
      </c>
      <c r="AA1955" s="200">
        <v>3.5761730420329485E-2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52545</v>
      </c>
      <c r="Y1956" s="202">
        <f>_xll.qlInterestRateIndexValueDate(IborIndex,X1956,Trigger)</f>
        <v>52547</v>
      </c>
      <c r="Z1956" s="203">
        <v>3.5896760824551857E-2</v>
      </c>
      <c r="AA1956" s="200">
        <v>3.5757830945826186E-2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52552</v>
      </c>
      <c r="Y1957" s="202">
        <f>_xll.qlInterestRateIndexValueDate(IborIndex,X1957,Trigger)</f>
        <v>52554</v>
      </c>
      <c r="Z1957" s="203">
        <v>3.589286887171967E-2</v>
      </c>
      <c r="AA1957" s="200">
        <v>3.5753937607854169E-2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52559</v>
      </c>
      <c r="Y1958" s="202">
        <f>_xll.qlInterestRateIndexValueDate(IborIndex,X1958,Trigger)</f>
        <v>52562</v>
      </c>
      <c r="Z1958" s="203">
        <v>3.5891442953929611E-2</v>
      </c>
      <c r="AA1958" s="200">
        <v>3.5749495592378722E-2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52566</v>
      </c>
      <c r="Y1959" s="202">
        <f>_xll.qlInterestRateIndexValueDate(IborIndex,X1959,Trigger)</f>
        <v>52568</v>
      </c>
      <c r="Z1959" s="203">
        <v>3.5883596441075846E-2</v>
      </c>
      <c r="AA1959" s="200">
        <v>3.5746169340384881E-2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52573</v>
      </c>
      <c r="Y1960" s="202">
        <f>_xll.qlInterestRateIndexValueDate(IborIndex,X1960,Trigger)</f>
        <v>52575</v>
      </c>
      <c r="Z1960" s="203">
        <v>3.5879723017166312E-2</v>
      </c>
      <c r="AA1960" s="200">
        <v>3.5742294411127418E-2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52580</v>
      </c>
      <c r="Y1961" s="202">
        <f>_xll.qlInterestRateIndexValueDate(IborIndex,X1961,Trigger)</f>
        <v>52582</v>
      </c>
      <c r="Z1961" s="203">
        <v>3.5875855788274909E-2</v>
      </c>
      <c r="AA1961" s="200">
        <v>3.5738425618161429E-2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52587</v>
      </c>
      <c r="Y1962" s="202">
        <f>_xll.qlInterestRateIndexValueDate(IborIndex,X1962,Trigger)</f>
        <v>52589</v>
      </c>
      <c r="Z1962" s="203">
        <v>3.5871994754382304E-2</v>
      </c>
      <c r="AA1962" s="200">
        <v>3.5734011654247055E-2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52594</v>
      </c>
      <c r="Y1963" s="202">
        <f>_xll.qlInterestRateIndexValueDate(IborIndex,X1963,Trigger)</f>
        <v>52596</v>
      </c>
      <c r="Z1963" s="203">
        <v>3.5868139915469173E-2</v>
      </c>
      <c r="AA1963" s="200">
        <v>3.5730156010282954E-2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52601</v>
      </c>
      <c r="Y1964" s="202">
        <f>_xll.qlInterestRateIndexValueDate(IborIndex,X1964,Trigger)</f>
        <v>52603</v>
      </c>
      <c r="Z1964" s="203">
        <v>3.5864291271519709E-2</v>
      </c>
      <c r="AA1964" s="200">
        <v>3.5726856056532696E-2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52608</v>
      </c>
      <c r="Y1965" s="202">
        <f>_xll.qlInterestRateIndexValueDate(IborIndex,X1965,Trigger)</f>
        <v>52610</v>
      </c>
      <c r="Z1965" s="203">
        <v>3.5860448822513699E-2</v>
      </c>
      <c r="AA1965" s="200">
        <v>3.5722463131229176E-2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52615</v>
      </c>
      <c r="Y1966" s="202">
        <f>_xll.qlInterestRateIndexValueDate(IborIndex,X1966,Trigger)</f>
        <v>52617</v>
      </c>
      <c r="Z1966" s="203">
        <v>3.5856612568437092E-2</v>
      </c>
      <c r="AA1966" s="200">
        <v>3.5719173697064122E-2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52622</v>
      </c>
      <c r="Y1967" s="202">
        <f>_xll.qlInterestRateIndexValueDate(IborIndex,X1967,Trigger)</f>
        <v>52624</v>
      </c>
      <c r="Z1967" s="203">
        <v>3.5852782509266178E-2</v>
      </c>
      <c r="AA1967" s="200">
        <v>3.5715341721527238E-2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52629</v>
      </c>
      <c r="Y1968" s="202">
        <f>_xll.qlInterestRateIndexValueDate(IborIndex,X1968,Trigger)</f>
        <v>52631</v>
      </c>
      <c r="Z1968" s="203">
        <v>3.5847451091414406E-2</v>
      </c>
      <c r="AA1968" s="200">
        <v>3.5711515882361766E-2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52636</v>
      </c>
      <c r="Y1969" s="202">
        <f>_xll.qlInterestRateIndexValueDate(IborIndex,X1969,Trigger)</f>
        <v>52638</v>
      </c>
      <c r="Z1969" s="203">
        <v>3.584363335798102E-2</v>
      </c>
      <c r="AA1969" s="200">
        <v>3.5707151008539384E-2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52643</v>
      </c>
      <c r="Y1970" s="202">
        <f>_xll.qlInterestRateIndexValueDate(IborIndex,X1970,Trigger)</f>
        <v>52645</v>
      </c>
      <c r="Z1970" s="203">
        <v>3.5839821818751005E-2</v>
      </c>
      <c r="AA1970" s="200">
        <v>3.5703882612825311E-2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52650</v>
      </c>
      <c r="Y1971" s="202">
        <f>_xll.qlInterestRateIndexValueDate(IborIndex,X1971,Trigger)</f>
        <v>52652</v>
      </c>
      <c r="Z1971" s="203">
        <v>3.58360164737066E-2</v>
      </c>
      <c r="AA1971" s="200">
        <v>3.5700075182454327E-2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52657</v>
      </c>
      <c r="Y1972" s="202">
        <f>_xll.qlInterestRateIndexValueDate(IborIndex,X1972,Trigger)</f>
        <v>52659</v>
      </c>
      <c r="Z1972" s="203">
        <v>3.5835233056177744E-2</v>
      </c>
      <c r="AA1972" s="200">
        <v>3.5696273888374819E-2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52664</v>
      </c>
      <c r="Y1973" s="202">
        <f>_xll.qlInterestRateIndexValueDate(IborIndex,X1973,Trigger)</f>
        <v>52666</v>
      </c>
      <c r="Z1973" s="203">
        <v>3.5831440232784999E-2</v>
      </c>
      <c r="AA1973" s="200">
        <v>3.5692478730586785E-2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52671</v>
      </c>
      <c r="Y1974" s="202">
        <f>_xll.qlInterestRateIndexValueDate(IborIndex,X1974,Trigger)</f>
        <v>52673</v>
      </c>
      <c r="Z1974" s="203">
        <v>3.5827653604828584E-2</v>
      </c>
      <c r="AA1974" s="200">
        <v>3.5688689709010291E-2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52678</v>
      </c>
      <c r="Y1975" s="202">
        <f>_xll.qlInterestRateIndexValueDate(IborIndex,X1975,Trigger)</f>
        <v>52680</v>
      </c>
      <c r="Z1975" s="203">
        <v>3.5823873172292006E-2</v>
      </c>
      <c r="AA1975" s="200">
        <v>3.5684906823725271E-2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52685</v>
      </c>
      <c r="Y1976" s="202">
        <f>_xll.qlInterestRateIndexValueDate(IborIndex,X1976,Trigger)</f>
        <v>52687</v>
      </c>
      <c r="Z1976" s="203">
        <v>3.5818590744722996E-2</v>
      </c>
      <c r="AA1976" s="200">
        <v>3.568113007465179E-2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52692</v>
      </c>
      <c r="Y1977" s="202">
        <f>_xll.qlInterestRateIndexValueDate(IborIndex,X1977,Trigger)</f>
        <v>52694</v>
      </c>
      <c r="Z1977" s="203">
        <v>3.5814822633669925E-2</v>
      </c>
      <c r="AA1977" s="200">
        <v>3.567735946194972E-2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52699</v>
      </c>
      <c r="Y1978" s="202">
        <f>_xll.qlInterestRateIndexValueDate(IborIndex,X1978,Trigger)</f>
        <v>52701</v>
      </c>
      <c r="Z1978" s="203">
        <v>3.5811060531246046E-2</v>
      </c>
      <c r="AA1978" s="200">
        <v>3.5673594985379253E-2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52706</v>
      </c>
      <c r="Y1979" s="202">
        <f>_xll.qlInterestRateIndexValueDate(IborIndex,X1979,Trigger)</f>
        <v>52708</v>
      </c>
      <c r="Z1979" s="203">
        <v>3.5807303507020258E-2</v>
      </c>
      <c r="AA1979" s="200">
        <v>3.5669836645180197E-2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52713</v>
      </c>
      <c r="Y1980" s="202">
        <f>_xll.qlInterestRateIndexValueDate(IborIndex,X1980,Trigger)</f>
        <v>52715</v>
      </c>
      <c r="Z1980" s="203">
        <v>3.5803550444475557E-2</v>
      </c>
      <c r="AA1980" s="200">
        <v>3.566608444119268E-2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52720</v>
      </c>
      <c r="Y1981" s="202">
        <f>_xll.qlInterestRateIndexValueDate(IborIndex,X1981,Trigger)</f>
        <v>52722</v>
      </c>
      <c r="Z1981" s="203">
        <v>3.5801307590968487E-2</v>
      </c>
      <c r="AA1981" s="200">
        <v>3.5662338373496638E-2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52727</v>
      </c>
      <c r="Y1982" s="202">
        <f>_xll.qlInterestRateIndexValueDate(IborIndex,X1982,Trigger)</f>
        <v>52729</v>
      </c>
      <c r="Z1982" s="203">
        <v>3.5797558575804959E-2</v>
      </c>
      <c r="AA1982" s="200">
        <v>3.5658598441932199E-2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52734</v>
      </c>
      <c r="Y1983" s="202">
        <f>_xll.qlInterestRateIndexValueDate(IborIndex,X1983,Trigger)</f>
        <v>52736</v>
      </c>
      <c r="Z1983" s="203">
        <v>3.5793810075810208E-2</v>
      </c>
      <c r="AA1983" s="200">
        <v>3.5654864646739171E-2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52741</v>
      </c>
      <c r="Y1984" s="202">
        <f>_xll.qlInterestRateIndexValueDate(IborIndex,X1984,Trigger)</f>
        <v>52743</v>
      </c>
      <c r="Z1984" s="203">
        <v>3.5790060986511198E-2</v>
      </c>
      <c r="AA1984" s="200">
        <v>3.5650604966050992E-2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52748</v>
      </c>
      <c r="Y1985" s="202">
        <f>_xll.qlInterestRateIndexValueDate(IborIndex,X1985,Trigger)</f>
        <v>52750</v>
      </c>
      <c r="Z1985" s="203">
        <v>3.5786310203445318E-2</v>
      </c>
      <c r="AA1985" s="200">
        <v>3.5647415465227539E-2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52755</v>
      </c>
      <c r="Y1986" s="202">
        <f>_xll.qlInterestRateIndexValueDate(IborIndex,X1986,Trigger)</f>
        <v>52757</v>
      </c>
      <c r="Z1986" s="203">
        <v>3.5782556622149103E-2</v>
      </c>
      <c r="AA1986" s="200">
        <v>3.5643700078908935E-2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52762</v>
      </c>
      <c r="Y1987" s="202">
        <f>_xll.qlInterestRateIndexValueDate(IborIndex,X1987,Trigger)</f>
        <v>52764</v>
      </c>
      <c r="Z1987" s="203">
        <v>3.5778799138164272E-2</v>
      </c>
      <c r="AA1987" s="200">
        <v>3.5639990828562063E-2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52769</v>
      </c>
      <c r="Y1988" s="202">
        <f>_xll.qlInterestRateIndexValueDate(IborIndex,X1988,Trigger)</f>
        <v>52771</v>
      </c>
      <c r="Z1988" s="203">
        <v>3.577503664703692E-2</v>
      </c>
      <c r="AA1988" s="200">
        <v>3.5636287714746473E-2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52776</v>
      </c>
      <c r="Y1989" s="202">
        <f>_xll.qlInterestRateIndexValueDate(IborIndex,X1989,Trigger)</f>
        <v>52778</v>
      </c>
      <c r="Z1989" s="203">
        <v>3.5771268044319203E-2</v>
      </c>
      <c r="AA1989" s="200">
        <v>3.5632063098489652E-2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52783</v>
      </c>
      <c r="Y1990" s="202">
        <f>_xll.qlInterestRateIndexValueDate(IborIndex,X1990,Trigger)</f>
        <v>52785</v>
      </c>
      <c r="Z1990" s="203">
        <v>3.5767492225563288E-2</v>
      </c>
      <c r="AA1990" s="200">
        <v>3.5628896911017449E-2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52790</v>
      </c>
      <c r="Y1991" s="202">
        <f>_xll.qlInterestRateIndexValueDate(IborIndex,X1991,Trigger)</f>
        <v>52792</v>
      </c>
      <c r="Z1991" s="203">
        <v>3.5763708270407119E-2</v>
      </c>
      <c r="AA1991" s="200">
        <v>3.5625195764987794E-2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52797</v>
      </c>
      <c r="Y1992" s="202">
        <f>_xll.qlInterestRateIndexValueDate(IborIndex,X1992,Trigger)</f>
        <v>52799</v>
      </c>
      <c r="Z1992" s="203">
        <v>3.5759915994795319E-2</v>
      </c>
      <c r="AA1992" s="200">
        <v>3.5621486369636912E-2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52804</v>
      </c>
      <c r="Y1993" s="202">
        <f>_xll.qlInterestRateIndexValueDate(IborIndex,X1993,Trigger)</f>
        <v>52806</v>
      </c>
      <c r="Z1993" s="203">
        <v>3.5756115398756567E-2</v>
      </c>
      <c r="AA1993" s="200">
        <v>3.5617768724724996E-2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52811</v>
      </c>
      <c r="Y1994" s="202">
        <f>_xll.qlInterestRateIndexValueDate(IborIndex,X1994,Trigger)</f>
        <v>52813</v>
      </c>
      <c r="Z1994" s="203">
        <v>3.5752306482307365E-2</v>
      </c>
      <c r="AA1994" s="200">
        <v>3.5614042830411918E-2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52818</v>
      </c>
      <c r="Y1995" s="202">
        <f>_xll.qlInterestRateIndexValueDate(IborIndex,X1995,Trigger)</f>
        <v>52820</v>
      </c>
      <c r="Z1995" s="203">
        <v>3.5752975162524001E-2</v>
      </c>
      <c r="AA1995" s="200">
        <v>3.5610308686617742E-2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52825</v>
      </c>
      <c r="Y1996" s="202">
        <f>_xll.qlInterestRateIndexValueDate(IborIndex,X1996,Trigger)</f>
        <v>52827</v>
      </c>
      <c r="Z1996" s="203">
        <v>3.5744663688293182E-2</v>
      </c>
      <c r="AA1996" s="200">
        <v>3.5606566293182595E-2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52832</v>
      </c>
      <c r="Y1997" s="202">
        <f>_xll.qlInterestRateIndexValueDate(IborIndex,X1997,Trigger)</f>
        <v>52834</v>
      </c>
      <c r="Z1997" s="203">
        <v>3.5740829810771646E-2</v>
      </c>
      <c r="AA1997" s="200">
        <v>3.5602815650346287E-2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52839</v>
      </c>
      <c r="Y1998" s="202">
        <f>_xll.qlInterestRateIndexValueDate(IborIndex,X1998,Trigger)</f>
        <v>52841</v>
      </c>
      <c r="Z1998" s="203">
        <v>3.5735495238446727E-2</v>
      </c>
      <c r="AA1998" s="200">
        <v>3.5598519100190629E-2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52846</v>
      </c>
      <c r="Y1999" s="202">
        <f>_xll.qlInterestRateIndexValueDate(IborIndex,X1999,Trigger)</f>
        <v>52848</v>
      </c>
      <c r="Z1999" s="203">
        <v>3.5731645695043557E-2</v>
      </c>
      <c r="AA1999" s="200">
        <v>3.5595289616390247E-2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52853</v>
      </c>
      <c r="Y2000" s="202">
        <f>_xll.qlInterestRateIndexValueDate(IborIndex,X2000,Trigger)</f>
        <v>52855</v>
      </c>
      <c r="Z2000" s="203">
        <v>3.57277878321599E-2</v>
      </c>
      <c r="AA2000" s="200">
        <v>3.5591514225190579E-2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52860</v>
      </c>
      <c r="Y2001" s="202">
        <f>_xll.qlInterestRateIndexValueDate(IborIndex,X2001,Trigger)</f>
        <v>52862</v>
      </c>
      <c r="Z2001" s="203">
        <v>3.57239216498186E-2</v>
      </c>
      <c r="AA2001" s="200">
        <v>3.5587730584509814E-2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52867</v>
      </c>
      <c r="Y2002" s="202">
        <f>_xll.qlInterestRateIndexValueDate(IborIndex,X2002,Trigger)</f>
        <v>52869</v>
      </c>
      <c r="Z2002" s="203">
        <v>3.5720047148045116E-2</v>
      </c>
      <c r="AA2002" s="200">
        <v>3.558393869434795E-2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52874</v>
      </c>
      <c r="Y2003" s="202">
        <f>_xll.qlInterestRateIndexValueDate(IborIndex,X2003,Trigger)</f>
        <v>52876</v>
      </c>
      <c r="Z2003" s="203">
        <v>3.5717651819999752E-2</v>
      </c>
      <c r="AA2003" s="200">
        <v>3.557959500414043E-2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52881</v>
      </c>
      <c r="Y2004" s="202">
        <f>_xll.qlInterestRateIndexValueDate(IborIndex,X2004,Trigger)</f>
        <v>52883</v>
      </c>
      <c r="Z2004" s="203">
        <v>3.5713759700824105E-2</v>
      </c>
      <c r="AA2004" s="200">
        <v>3.5576330165740799E-2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52888</v>
      </c>
      <c r="Y2005" s="202">
        <f>_xll.qlInterestRateIndexValueDate(IborIndex,X2005,Trigger)</f>
        <v>52890</v>
      </c>
      <c r="Z2005" s="203">
        <v>3.5709859261510837E-2</v>
      </c>
      <c r="AA2005" s="200">
        <v>3.5572513527055705E-2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52895</v>
      </c>
      <c r="Y2006" s="202">
        <f>_xll.qlInterestRateIndexValueDate(IborIndex,X2006,Trigger)</f>
        <v>52897</v>
      </c>
      <c r="Z2006" s="203">
        <v>3.5705950502083403E-2</v>
      </c>
      <c r="AA2006" s="200">
        <v>3.5568688638969448E-2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52902</v>
      </c>
      <c r="Y2007" s="202">
        <f>_xll.qlInterestRateIndexValueDate(IborIndex,X2007,Trigger)</f>
        <v>52904</v>
      </c>
      <c r="Z2007" s="203">
        <v>3.5702033422567003E-2</v>
      </c>
      <c r="AA2007" s="200">
        <v>3.5564855501402093E-2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52909</v>
      </c>
      <c r="Y2008" s="202">
        <f>_xll.qlInterestRateIndexValueDate(IborIndex,X2008,Trigger)</f>
        <v>52911</v>
      </c>
      <c r="Z2008" s="203">
        <v>3.5698108022985099E-2</v>
      </c>
      <c r="AA2008" s="200">
        <v>3.5560464671382519E-2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52916</v>
      </c>
      <c r="Y2009" s="202">
        <f>_xll.qlInterestRateIndexValueDate(IborIndex,X2009,Trigger)</f>
        <v>52918</v>
      </c>
      <c r="Z2009" s="203">
        <v>3.5694174303367229E-2</v>
      </c>
      <c r="AA2009" s="200">
        <v>3.555716447798396E-2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52923</v>
      </c>
      <c r="Y2010" s="202">
        <f>_xll.qlInterestRateIndexValueDate(IborIndex,X2010,Trigger)</f>
        <v>52926</v>
      </c>
      <c r="Z2010" s="203">
        <v>3.5692629418912429E-2</v>
      </c>
      <c r="AA2010" s="200">
        <v>3.555275479200759E-2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52930</v>
      </c>
      <c r="Y2011" s="202">
        <f>_xll.qlInterestRateIndexValueDate(IborIndex,X2011,Trigger)</f>
        <v>52932</v>
      </c>
      <c r="Z2011" s="203">
        <v>3.5683322622590552E-2</v>
      </c>
      <c r="AA2011" s="200">
        <v>3.5549440456641435E-2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52937</v>
      </c>
      <c r="Y2012" s="202">
        <f>_xll.qlInterestRateIndexValueDate(IborIndex,X2012,Trigger)</f>
        <v>52939</v>
      </c>
      <c r="Z2012" s="203">
        <v>3.5679365912501204E-2</v>
      </c>
      <c r="AA2012" s="200">
        <v>3.5545566071828461E-2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52944</v>
      </c>
      <c r="Y2013" s="202">
        <f>_xll.qlInterestRateIndexValueDate(IborIndex,X2013,Trigger)</f>
        <v>52946</v>
      </c>
      <c r="Z2013" s="203">
        <v>3.56754008840241E-2</v>
      </c>
      <c r="AA2013" s="200">
        <v>3.5541683437454452E-2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52951</v>
      </c>
      <c r="Y2014" s="202">
        <f>_xll.qlInterestRateIndexValueDate(IborIndex,X2014,Trigger)</f>
        <v>52953</v>
      </c>
      <c r="Z2014" s="203">
        <v>3.5671427537182332E-2</v>
      </c>
      <c r="AA2014" s="200">
        <v>3.553723603956449E-2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52959</v>
      </c>
      <c r="Y2015" s="202">
        <f>_xll.qlInterestRateIndexValueDate(IborIndex,X2015,Trigger)</f>
        <v>52961</v>
      </c>
      <c r="Z2015" s="203">
        <v>3.566835193823556E-2</v>
      </c>
      <c r="AA2015" s="200">
        <v>3.5532777866933429E-2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52966</v>
      </c>
      <c r="Y2016" s="202">
        <f>_xll.qlInterestRateIndexValueDate(IborIndex,X2016,Trigger)</f>
        <v>52968</v>
      </c>
      <c r="Z2016" s="203">
        <v>3.5662885211823259E-2</v>
      </c>
      <c r="AA2016" s="200">
        <v>3.5529427166496319E-2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52973</v>
      </c>
      <c r="Y2017" s="202">
        <f>_xll.qlInterestRateIndexValueDate(IborIndex,X2017,Trigger)</f>
        <v>52975</v>
      </c>
      <c r="Z2017" s="203">
        <v>3.5658885721715272E-2</v>
      </c>
      <c r="AA2017" s="200">
        <v>3.5524950137988398E-2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52980</v>
      </c>
      <c r="Y2018" s="202">
        <f>_xll.qlInterestRateIndexValueDate(IborIndex,X2018,Trigger)</f>
        <v>52982</v>
      </c>
      <c r="Z2018" s="203">
        <v>3.5654877913345651E-2</v>
      </c>
      <c r="AA2018" s="200">
        <v>3.5521585295583691E-2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52987</v>
      </c>
      <c r="Y2019" s="202">
        <f>_xll.qlInterestRateIndexValueDate(IborIndex,X2019,Trigger)</f>
        <v>52989</v>
      </c>
      <c r="Z2019" s="203">
        <v>3.5650861786739263E-2</v>
      </c>
      <c r="AA2019" s="200">
        <v>3.5517651985905729E-2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52994</v>
      </c>
      <c r="Y2020" s="202">
        <f>_xll.qlInterestRateIndexValueDate(IborIndex,X2020,Trigger)</f>
        <v>52996</v>
      </c>
      <c r="Z2020" s="203">
        <v>3.5645366736661868E-2</v>
      </c>
      <c r="AA2020" s="200">
        <v>3.5513710426826606E-2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53001</v>
      </c>
      <c r="Y2021" s="202">
        <f>_xll.qlInterestRateIndexValueDate(IborIndex,X2021,Trigger)</f>
        <v>53003</v>
      </c>
      <c r="Z2021" s="203">
        <v>3.5641334965267821E-2</v>
      </c>
      <c r="AA2021" s="200">
        <v>3.5509760618186448E-2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53008</v>
      </c>
      <c r="Y2022" s="202">
        <f>_xll.qlInterestRateIndexValueDate(IborIndex,X2022,Trigger)</f>
        <v>53010</v>
      </c>
      <c r="Z2022" s="203">
        <v>3.5637294876482054E-2</v>
      </c>
      <c r="AA2022" s="200">
        <v>3.5505236449786537E-2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53015</v>
      </c>
      <c r="Y2023" s="202">
        <f>_xll.qlInterestRateIndexValueDate(IborIndex,X2023,Trigger)</f>
        <v>53017</v>
      </c>
      <c r="Z2023" s="203">
        <v>3.5633246470334209E-2</v>
      </c>
      <c r="AA2023" s="200">
        <v>3.5501836252542773E-2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53022</v>
      </c>
      <c r="Y2024" s="202">
        <f>_xll.qlInterestRateIndexValueDate(IborIndex,X2024,Trigger)</f>
        <v>53024</v>
      </c>
      <c r="Z2024" s="203">
        <v>3.5636522933145273E-2</v>
      </c>
      <c r="AA2024" s="200">
        <v>3.5497861695459321E-2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53029</v>
      </c>
      <c r="Y2025" s="202">
        <f>_xll.qlInterestRateIndexValueDate(IborIndex,X2025,Trigger)</f>
        <v>53031</v>
      </c>
      <c r="Z2025" s="203">
        <v>3.5632452917349393E-2</v>
      </c>
      <c r="AA2025" s="200">
        <v>3.5493878889054642E-2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53036</v>
      </c>
      <c r="Y2026" s="202">
        <f>_xll.qlInterestRateIndexValueDate(IborIndex,X2026,Trigger)</f>
        <v>53038</v>
      </c>
      <c r="Z2026" s="203">
        <v>3.5628374580401238E-2</v>
      </c>
      <c r="AA2026" s="200">
        <v>3.5489887833008993E-2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53043</v>
      </c>
      <c r="Y2027" s="202">
        <f>_xll.qlInterestRateIndexValueDate(IborIndex,X2027,Trigger)</f>
        <v>53045</v>
      </c>
      <c r="Z2027" s="203">
        <v>3.5624287922330571E-2</v>
      </c>
      <c r="AA2027" s="200">
        <v>3.5485888527642118E-2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53050</v>
      </c>
      <c r="Y2028" s="202">
        <f>_xll.qlInterestRateIndexValueDate(IborIndex,X2028,Trigger)</f>
        <v>53052</v>
      </c>
      <c r="Z2028" s="203">
        <v>3.5615804982476622E-2</v>
      </c>
      <c r="AA2028" s="200">
        <v>3.5481880972794144E-2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53057</v>
      </c>
      <c r="Y2029" s="202">
        <f>_xll.qlInterestRateIndexValueDate(IborIndex,X2029,Trigger)</f>
        <v>53063</v>
      </c>
      <c r="Z2029" s="203">
        <v>3.5609357910271297E-2</v>
      </c>
      <c r="AA2029" s="200">
        <v>3.5476716280600229E-2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53064</v>
      </c>
      <c r="Y2030" s="202">
        <f>_xll.qlInterestRateIndexValueDate(IborIndex,X2030,Trigger)</f>
        <v>53066</v>
      </c>
      <c r="Z2030" s="203">
        <v>3.5607596052683127E-2</v>
      </c>
      <c r="AA2030" s="200">
        <v>3.5473841114654903E-2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53071</v>
      </c>
      <c r="Y2031" s="202">
        <f>_xll.qlInterestRateIndexValueDate(IborIndex,X2031,Trigger)</f>
        <v>53073</v>
      </c>
      <c r="Z2031" s="203">
        <v>3.5603479109715487E-2</v>
      </c>
      <c r="AA2031" s="200">
        <v>3.5469808811283698E-2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53078</v>
      </c>
      <c r="Y2032" s="202">
        <f>_xll.qlInterestRateIndexValueDate(IborIndex,X2032,Trigger)</f>
        <v>53080</v>
      </c>
      <c r="Z2032" s="203">
        <v>3.5603729816044316E-2</v>
      </c>
      <c r="AA2032" s="200">
        <v>3.5465768258511332E-2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53085</v>
      </c>
      <c r="Y2033" s="202">
        <f>_xll.qlInterestRateIndexValueDate(IborIndex,X2033,Trigger)</f>
        <v>53087</v>
      </c>
      <c r="Z2033" s="203">
        <v>3.5599593231786207E-2</v>
      </c>
      <c r="AA2033" s="200">
        <v>3.546171945641774E-2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53092</v>
      </c>
      <c r="Y2034" s="202">
        <f>_xll.qlInterestRateIndexValueDate(IborIndex,X2034,Trigger)</f>
        <v>53094</v>
      </c>
      <c r="Z2034" s="203">
        <v>3.5595448326591818E-2</v>
      </c>
      <c r="AA2034" s="200">
        <v>3.5457662404763113E-2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53099</v>
      </c>
      <c r="Y2035" s="202">
        <f>_xll.qlInterestRateIndexValueDate(IborIndex,X2035,Trigger)</f>
        <v>53101</v>
      </c>
      <c r="Z2035" s="203">
        <v>3.5591295100485816E-2</v>
      </c>
      <c r="AA2035" s="200">
        <v>3.5453597103547452E-2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53106</v>
      </c>
      <c r="Y2036" s="202">
        <f>_xll.qlInterestRateIndexValueDate(IborIndex,X2036,Trigger)</f>
        <v>53108</v>
      </c>
      <c r="Z2036" s="203">
        <v>3.5588588198987775E-2</v>
      </c>
      <c r="AA2036" s="200">
        <v>3.5448940943689777E-2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53113</v>
      </c>
      <c r="Y2037" s="202">
        <f>_xll.qlInterestRateIndexValueDate(IborIndex,X2037,Trigger)</f>
        <v>53115</v>
      </c>
      <c r="Z2037" s="203">
        <v>3.5584417326441908E-2</v>
      </c>
      <c r="AA2037" s="200">
        <v>3.5445441752912643E-2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53120</v>
      </c>
      <c r="Y2038" s="202">
        <f>_xll.qlInterestRateIndexValueDate(IborIndex,X2038,Trigger)</f>
        <v>53122</v>
      </c>
      <c r="Z2038" s="203">
        <v>3.5578785496966796E-2</v>
      </c>
      <c r="AA2038" s="200">
        <v>3.5441351703413559E-2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53127</v>
      </c>
      <c r="Y2039" s="202">
        <f>_xll.qlInterestRateIndexValueDate(IborIndex,X2039,Trigger)</f>
        <v>53129</v>
      </c>
      <c r="Z2039" s="203">
        <v>3.5574598987485578E-2</v>
      </c>
      <c r="AA2039" s="200">
        <v>3.5437253404353442E-2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53134</v>
      </c>
      <c r="Y2040" s="202">
        <f>_xll.qlInterestRateIndexValueDate(IborIndex,X2040,Trigger)</f>
        <v>53136</v>
      </c>
      <c r="Z2040" s="203">
        <v>3.557040415722626E-2</v>
      </c>
      <c r="AA2040" s="200">
        <v>3.5433146855892161E-2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53141</v>
      </c>
      <c r="Y2041" s="202">
        <f>_xll.qlInterestRateIndexValueDate(IborIndex,X2041,Trigger)</f>
        <v>53143</v>
      </c>
      <c r="Z2041" s="203">
        <v>3.5561852156919094E-2</v>
      </c>
      <c r="AA2041" s="200">
        <v>3.5428443556222433E-2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53148</v>
      </c>
      <c r="Y2042" s="202">
        <f>_xll.qlInterestRateIndexValueDate(IborIndex,X2042,Trigger)</f>
        <v>53150</v>
      </c>
      <c r="Z2042" s="203">
        <v>3.5563438140275939E-2</v>
      </c>
      <c r="AA2042" s="200">
        <v>3.5424909010606243E-2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53155</v>
      </c>
      <c r="Y2043" s="202">
        <f>_xll.qlInterestRateIndexValueDate(IborIndex,X2043,Trigger)</f>
        <v>53157</v>
      </c>
      <c r="Z2043" s="203">
        <v>3.5557769742063663E-2</v>
      </c>
      <c r="AA2043" s="200">
        <v>3.5420777713701668E-2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53162</v>
      </c>
      <c r="Y2044" s="202">
        <f>_xll.qlInterestRateIndexValueDate(IborIndex,X2044,Trigger)</f>
        <v>53164</v>
      </c>
      <c r="Z2044" s="203">
        <v>3.5553541628972535E-2</v>
      </c>
      <c r="AA2044" s="200">
        <v>3.5416638167315995E-2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53169</v>
      </c>
      <c r="Y2045" s="202">
        <f>_xll.qlInterestRateIndexValueDate(IborIndex,X2045,Trigger)</f>
        <v>53171</v>
      </c>
      <c r="Z2045" s="203">
        <v>3.5549305195239356E-2</v>
      </c>
      <c r="AA2045" s="200">
        <v>3.5412490371609096E-2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53176</v>
      </c>
      <c r="Y2046" s="202">
        <f>_xll.qlInterestRateIndexValueDate(IborIndex,X2046,Trigger)</f>
        <v>53178</v>
      </c>
      <c r="Z2046" s="203">
        <v>3.5545060440893887E-2</v>
      </c>
      <c r="AA2046" s="200">
        <v>3.5408334326421098E-2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53183</v>
      </c>
      <c r="Y2047" s="202">
        <f>_xll.qlInterestRateIndexValueDate(IborIndex,X2047,Trigger)</f>
        <v>53185</v>
      </c>
      <c r="Z2047" s="203">
        <v>3.5540807365961651E-2</v>
      </c>
      <c r="AA2047" s="200">
        <v>3.5404170031672066E-2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53190</v>
      </c>
      <c r="Y2048" s="202">
        <f>_xll.qlInterestRateIndexValueDate(IborIndex,X2048,Trigger)</f>
        <v>53192</v>
      </c>
      <c r="Z2048" s="203">
        <v>3.5536545970472407E-2</v>
      </c>
      <c r="AA2048" s="200">
        <v>3.5399997487441937E-2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53197</v>
      </c>
      <c r="Y2049" s="202">
        <f>_xll.qlInterestRateIndexValueDate(IborIndex,X2049,Trigger)</f>
        <v>53199</v>
      </c>
      <c r="Z2049" s="203">
        <v>3.5532276254452516E-2</v>
      </c>
      <c r="AA2049" s="200">
        <v>3.539581669389058E-2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53204</v>
      </c>
      <c r="Y2050" s="202">
        <f>_xll.qlInterestRateIndexValueDate(IborIndex,X2050,Trigger)</f>
        <v>53206</v>
      </c>
      <c r="Z2050" s="203">
        <v>3.5523676673819116E-2</v>
      </c>
      <c r="AA2050" s="200">
        <v>3.5391028542655079E-2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53211</v>
      </c>
      <c r="Y2051" s="202">
        <f>_xll.qlInterestRateIndexValueDate(IborIndex,X2051,Trigger)</f>
        <v>53213</v>
      </c>
      <c r="Z2051" s="203">
        <v>3.5519393362215691E-2</v>
      </c>
      <c r="AA2051" s="200">
        <v>3.5387430358264638E-2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53218</v>
      </c>
      <c r="Y2052" s="202">
        <f>_xll.qlInterestRateIndexValueDate(IborIndex,X2052,Trigger)</f>
        <v>53220</v>
      </c>
      <c r="Z2052" s="203">
        <v>3.5515101732458192E-2</v>
      </c>
      <c r="AA2052" s="200">
        <v>3.5383224816190051E-2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53225</v>
      </c>
      <c r="Y2053" s="202">
        <f>_xll.qlInterestRateIndexValueDate(IborIndex,X2053,Trigger)</f>
        <v>53227</v>
      </c>
      <c r="Z2053" s="203">
        <v>3.5510801784572964E-2</v>
      </c>
      <c r="AA2053" s="200">
        <v>3.5379011024714302E-2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53232</v>
      </c>
      <c r="Y2054" s="202">
        <f>_xll.qlInterestRateIndexValueDate(IborIndex,X2054,Trigger)</f>
        <v>53234</v>
      </c>
      <c r="Z2054" s="203">
        <v>3.5506493518588117E-2</v>
      </c>
      <c r="AA2054" s="200">
        <v>3.5374788983917327E-2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53239</v>
      </c>
      <c r="Y2055" s="202">
        <f>_xll.qlInterestRateIndexValueDate(IborIndex,X2055,Trigger)</f>
        <v>53241</v>
      </c>
      <c r="Z2055" s="203">
        <v>3.5506483228739803E-2</v>
      </c>
      <c r="AA2055" s="200">
        <v>3.5369953692709899E-2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53246</v>
      </c>
      <c r="Y2056" s="202">
        <f>_xll.qlInterestRateIndexValueDate(IborIndex,X2056,Trigger)</f>
        <v>53248</v>
      </c>
      <c r="Z2056" s="203">
        <v>3.5503589675602569E-2</v>
      </c>
      <c r="AA2056" s="200">
        <v>3.5366320153640274E-2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53253</v>
      </c>
      <c r="Y2057" s="202">
        <f>_xll.qlInterestRateIndexValueDate(IborIndex,X2057,Trigger)</f>
        <v>53255</v>
      </c>
      <c r="Z2057" s="203">
        <v>3.5497818990512506E-2</v>
      </c>
      <c r="AA2057" s="200">
        <v>3.5362073364320068E-2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53260</v>
      </c>
      <c r="Y2058" s="202">
        <f>_xll.qlInterestRateIndexValueDate(IborIndex,X2058,Trigger)</f>
        <v>53262</v>
      </c>
      <c r="Z2058" s="203">
        <v>3.54934743909643E-2</v>
      </c>
      <c r="AA2058" s="200">
        <v>3.53578183255987E-2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53267</v>
      </c>
      <c r="Y2059" s="202">
        <f>_xll.qlInterestRateIndexValueDate(IborIndex,X2059,Trigger)</f>
        <v>53269</v>
      </c>
      <c r="Z2059" s="203">
        <v>3.5489121471165216E-2</v>
      </c>
      <c r="AA2059" s="200">
        <v>3.5353555037316298E-2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53274</v>
      </c>
      <c r="Y2060" s="202">
        <f>_xll.qlInterestRateIndexValueDate(IborIndex,X2060,Trigger)</f>
        <v>53279</v>
      </c>
      <c r="Z2060" s="203">
        <v>3.5480028803671723E-2</v>
      </c>
      <c r="AA2060" s="200">
        <v>3.534867260661656E-2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53281</v>
      </c>
      <c r="Y2061" s="202">
        <f>_xll.qlInterestRateIndexValueDate(IborIndex,X2061,Trigger)</f>
        <v>53283</v>
      </c>
      <c r="Z2061" s="203">
        <v>3.5481819969039673E-2</v>
      </c>
      <c r="AA2061" s="200">
        <v>3.534500371246807E-2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53288</v>
      </c>
      <c r="Y2062" s="202">
        <f>_xll.qlInterestRateIndexValueDate(IborIndex,X2062,Trigger)</f>
        <v>53290</v>
      </c>
      <c r="Z2062" s="203">
        <v>3.5476012790534028E-2</v>
      </c>
      <c r="AA2062" s="200">
        <v>3.5340715675982182E-2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53295</v>
      </c>
      <c r="Y2063" s="202">
        <f>_xll.qlInterestRateIndexValueDate(IborIndex,X2063,Trigger)</f>
        <v>53297</v>
      </c>
      <c r="Z2063" s="203">
        <v>3.5465917547546688E-2</v>
      </c>
      <c r="AA2063" s="200">
        <v>3.5336419389935259E-2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53302</v>
      </c>
      <c r="Y2064" s="202">
        <f>_xll.qlInterestRateIndexValueDate(IborIndex,X2064,Trigger)</f>
        <v>53304</v>
      </c>
      <c r="Z2064" s="203">
        <v>3.5461527126796177E-2</v>
      </c>
      <c r="AA2064" s="200">
        <v>3.5332114854327301E-2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53309</v>
      </c>
      <c r="Y2065" s="202">
        <f>_xll.qlInterestRateIndexValueDate(IborIndex,X2065,Trigger)</f>
        <v>53311</v>
      </c>
      <c r="Z2065" s="203">
        <v>3.5457128389004389E-2</v>
      </c>
      <c r="AA2065" s="200">
        <v>3.5327802069398118E-2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53316</v>
      </c>
      <c r="Y2066" s="202">
        <f>_xll.qlInterestRateIndexValueDate(IborIndex,X2066,Trigger)</f>
        <v>53318</v>
      </c>
      <c r="Z2066" s="203">
        <v>3.5452721334199744E-2</v>
      </c>
      <c r="AA2066" s="200">
        <v>3.53228630710678E-2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53323</v>
      </c>
      <c r="Y2067" s="202">
        <f>_xll.qlInterestRateIndexValueDate(IborIndex,X2067,Trigger)</f>
        <v>53325</v>
      </c>
      <c r="Z2067" s="203">
        <v>3.5449729125996012E-2</v>
      </c>
      <c r="AA2067" s="200">
        <v>3.5318532608599185E-2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53330</v>
      </c>
      <c r="Y2068" s="202">
        <f>_xll.qlInterestRateIndexValueDate(IborIndex,X2068,Trigger)</f>
        <v>53332</v>
      </c>
      <c r="Z2068" s="203">
        <v>3.5443882273658467E-2</v>
      </c>
      <c r="AA2068" s="200">
        <v>3.5314814217803914E-2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53337</v>
      </c>
      <c r="Y2069" s="202">
        <f>_xll.qlInterestRateIndexValueDate(IborIndex,X2069,Trigger)</f>
        <v>53339</v>
      </c>
      <c r="Z2069" s="203">
        <v>3.543945026797779E-2</v>
      </c>
      <c r="AA2069" s="200">
        <v>3.5309846935538403E-2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53344</v>
      </c>
      <c r="Y2070" s="202">
        <f>_xll.qlInterestRateIndexValueDate(IborIndex,X2070,Trigger)</f>
        <v>53346</v>
      </c>
      <c r="Z2070" s="203">
        <v>3.5435009945392615E-2</v>
      </c>
      <c r="AA2070" s="200">
        <v>3.5306114402855471E-2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53351</v>
      </c>
      <c r="Y2071" s="202">
        <f>_xll.qlInterestRateIndexValueDate(IborIndex,X2071,Trigger)</f>
        <v>53353</v>
      </c>
      <c r="Z2071" s="203">
        <v>3.5430561305932251E-2</v>
      </c>
      <c r="AA2071" s="200">
        <v>3.5301752121119634E-2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53358</v>
      </c>
      <c r="Y2072" s="202">
        <f>_xll.qlInterestRateIndexValueDate(IborIndex,X2072,Trigger)</f>
        <v>53360</v>
      </c>
      <c r="Z2072" s="203">
        <v>3.5424686326878604E-2</v>
      </c>
      <c r="AA2072" s="200">
        <v>3.5297381589982635E-2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53365</v>
      </c>
      <c r="Y2073" s="202">
        <f>_xll.qlInterestRateIndexValueDate(IborIndex,X2073,Trigger)</f>
        <v>53367</v>
      </c>
      <c r="Z2073" s="203">
        <v>3.5420222085174209E-2</v>
      </c>
      <c r="AA2073" s="200">
        <v>3.5293002809444474E-2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53372</v>
      </c>
      <c r="Y2074" s="202">
        <f>_xll.qlInterestRateIndexValueDate(IborIndex,X2074,Trigger)</f>
        <v>53374</v>
      </c>
      <c r="Z2074" s="203">
        <v>3.5415749527434315E-2</v>
      </c>
      <c r="AA2074" s="200">
        <v>3.5287988387286973E-2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53379</v>
      </c>
      <c r="Y2075" s="202">
        <f>_xll.qlInterestRateIndexValueDate(IborIndex,X2075,Trigger)</f>
        <v>53381</v>
      </c>
      <c r="Z2075" s="203">
        <v>3.5411268653685865E-2</v>
      </c>
      <c r="AA2075" s="200">
        <v>3.528422049984492E-2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53386</v>
      </c>
      <c r="Y2076" s="202">
        <f>_xll.qlInterestRateIndexValueDate(IborIndex,X2076,Trigger)</f>
        <v>53388</v>
      </c>
      <c r="Z2076" s="203">
        <v>3.5413848863423456E-2</v>
      </c>
      <c r="AA2076" s="200">
        <v>3.5279816970943401E-2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53393</v>
      </c>
      <c r="Y2077" s="202">
        <f>_xll.qlInterestRateIndexValueDate(IborIndex,X2077,Trigger)</f>
        <v>53395</v>
      </c>
      <c r="Z2077" s="203">
        <v>3.5409346183943119E-2</v>
      </c>
      <c r="AA2077" s="200">
        <v>3.5275405192480846E-2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53400</v>
      </c>
      <c r="Y2078" s="202">
        <f>_xll.qlInterestRateIndexValueDate(IborIndex,X2078,Trigger)</f>
        <v>53402</v>
      </c>
      <c r="Z2078" s="203">
        <v>3.5404835184752764E-2</v>
      </c>
      <c r="AA2078" s="200">
        <v>3.5270985164697066E-2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53407</v>
      </c>
      <c r="Y2079" s="202">
        <f>_xll.qlInterestRateIndexValueDate(IborIndex,X2079,Trigger)</f>
        <v>53413</v>
      </c>
      <c r="Z2079" s="203">
        <v>3.5394909321449924E-2</v>
      </c>
      <c r="AA2079" s="200">
        <v>3.5265290149997242E-2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53414</v>
      </c>
      <c r="Y2080" s="202">
        <f>_xll.qlInterestRateIndexValueDate(IborIndex,X2080,Trigger)</f>
        <v>53416</v>
      </c>
      <c r="Z2080" s="203">
        <v>3.5391559039136988E-2</v>
      </c>
      <c r="AA2080" s="200">
        <v>3.5262120360606275E-2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53421</v>
      </c>
      <c r="Y2081" s="202">
        <f>_xll.qlInterestRateIndexValueDate(IborIndex,X2081,Trigger)</f>
        <v>53423</v>
      </c>
      <c r="Z2081" s="203">
        <v>3.5387026194801503E-2</v>
      </c>
      <c r="AA2081" s="200">
        <v>3.5257675584299264E-2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53428</v>
      </c>
      <c r="Y2082" s="202">
        <f>_xll.qlInterestRateIndexValueDate(IborIndex,X2082,Trigger)</f>
        <v>53430</v>
      </c>
      <c r="Z2082" s="203">
        <v>3.5382485033139413E-2</v>
      </c>
      <c r="AA2082" s="200">
        <v>3.5253222558671027E-2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53435</v>
      </c>
      <c r="Y2083" s="202">
        <f>_xll.qlInterestRateIndexValueDate(IborIndex,X2083,Trigger)</f>
        <v>53437</v>
      </c>
      <c r="Z2083" s="203">
        <v>3.5377935554180576E-2</v>
      </c>
      <c r="AA2083" s="200">
        <v>3.5248761283561691E-2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53442</v>
      </c>
      <c r="Y2084" s="202">
        <f>_xll.qlInterestRateIndexValueDate(IborIndex,X2084,Trigger)</f>
        <v>53444</v>
      </c>
      <c r="Z2084" s="203">
        <v>3.5373377757951352E-2</v>
      </c>
      <c r="AA2084" s="200">
        <v>3.5244291758891322E-2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53449</v>
      </c>
      <c r="Y2085" s="202">
        <f>_xll.qlInterestRateIndexValueDate(IborIndex,X2085,Trigger)</f>
        <v>53451</v>
      </c>
      <c r="Z2085" s="203">
        <v>3.5373025241033668E-2</v>
      </c>
      <c r="AA2085" s="200">
        <v>3.5239813984979662E-2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53456</v>
      </c>
      <c r="Y2086" s="202">
        <f>_xll.qlInterestRateIndexValueDate(IborIndex,X2086,Trigger)</f>
        <v>53458</v>
      </c>
      <c r="Z2086" s="203">
        <v>3.5368447685229475E-2</v>
      </c>
      <c r="AA2086" s="200">
        <v>3.5235327961506968E-2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53463</v>
      </c>
      <c r="Y2087" s="202">
        <f>_xll.qlInterestRateIndexValueDate(IborIndex,X2087,Trigger)</f>
        <v>53465</v>
      </c>
      <c r="Z2087" s="203">
        <v>3.5363861809977165E-2</v>
      </c>
      <c r="AA2087" s="200">
        <v>3.5230833688553176E-2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53470</v>
      </c>
      <c r="Y2088" s="202">
        <f>_xll.qlInterestRateIndexValueDate(IborIndex,X2088,Trigger)</f>
        <v>53472</v>
      </c>
      <c r="Z2088" s="203">
        <v>3.5360669003803351E-2</v>
      </c>
      <c r="AA2088" s="200">
        <v>3.5225687275337592E-2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53477</v>
      </c>
      <c r="Y2089" s="202">
        <f>_xll.qlInterestRateIndexValueDate(IborIndex,X2089,Trigger)</f>
        <v>53479</v>
      </c>
      <c r="Z2089" s="203">
        <v>3.5356065445479749E-2</v>
      </c>
      <c r="AA2089" s="200">
        <v>3.5221820394362169E-2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53484</v>
      </c>
      <c r="Y2090" s="202">
        <f>_xll.qlInterestRateIndexValueDate(IborIndex,X2090,Trigger)</f>
        <v>53486</v>
      </c>
      <c r="Z2090" s="203">
        <v>3.5350054267854744E-2</v>
      </c>
      <c r="AA2090" s="200">
        <v>3.521730137320489E-2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53491</v>
      </c>
      <c r="Y2091" s="202">
        <f>_xll.qlInterestRateIndexValueDate(IborIndex,X2091,Trigger)</f>
        <v>53493</v>
      </c>
      <c r="Z2091" s="203">
        <v>3.5345435115120394E-2</v>
      </c>
      <c r="AA2091" s="200">
        <v>3.5212774102326705E-2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53498</v>
      </c>
      <c r="Y2092" s="202">
        <f>_xll.qlInterestRateIndexValueDate(IborIndex,X2092,Trigger)</f>
        <v>53500</v>
      </c>
      <c r="Z2092" s="203">
        <v>3.5340807643091852E-2</v>
      </c>
      <c r="AA2092" s="200">
        <v>3.5208238582287166E-2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53505</v>
      </c>
      <c r="Y2093" s="202">
        <f>_xll.qlInterestRateIndexValueDate(IborIndex,X2093,Trigger)</f>
        <v>53507</v>
      </c>
      <c r="Z2093" s="203">
        <v>3.5331983319495046E-2</v>
      </c>
      <c r="AA2093" s="200">
        <v>3.5205091139380862E-2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53512</v>
      </c>
      <c r="Y2094" s="202">
        <f>_xll.qlInterestRateIndexValueDate(IborIndex,X2094,Trigger)</f>
        <v>53514</v>
      </c>
      <c r="Z2094" s="203">
        <v>3.5332922852843396E-2</v>
      </c>
      <c r="AA2094" s="200">
        <v>3.5199142793445048E-2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53519</v>
      </c>
      <c r="Y2095" s="202">
        <f>_xll.qlInterestRateIndexValueDate(IborIndex,X2095,Trigger)</f>
        <v>53521</v>
      </c>
      <c r="Z2095" s="203">
        <v>3.5326875311529372E-2</v>
      </c>
      <c r="AA2095" s="200">
        <v>3.5194582525122087E-2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53526</v>
      </c>
      <c r="Y2096" s="202">
        <f>_xll.qlInterestRateIndexValueDate(IborIndex,X2096,Trigger)</f>
        <v>53528</v>
      </c>
      <c r="Z2096" s="203">
        <v>3.5322214562614904E-2</v>
      </c>
      <c r="AA2096" s="200">
        <v>3.5190014007158155E-2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53533</v>
      </c>
      <c r="Y2097" s="202">
        <f>_xll.qlInterestRateIndexValueDate(IborIndex,X2097,Trigger)</f>
        <v>53535</v>
      </c>
      <c r="Z2097" s="203">
        <v>3.5317545494557609E-2</v>
      </c>
      <c r="AA2097" s="200">
        <v>3.5185437239713124E-2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53540</v>
      </c>
      <c r="Y2098" s="202">
        <f>_xll.qlInterestRateIndexValueDate(IborIndex,X2098,Trigger)</f>
        <v>53542</v>
      </c>
      <c r="Z2098" s="203">
        <v>3.5312868107382163E-2</v>
      </c>
      <c r="AA2098" s="200">
        <v>3.5180852222866932E-2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53547</v>
      </c>
      <c r="Y2099" s="202">
        <f>_xll.qlInterestRateIndexValueDate(IborIndex,X2099,Trigger)</f>
        <v>53549</v>
      </c>
      <c r="Z2099" s="203">
        <v>3.5309572261279489E-2</v>
      </c>
      <c r="AA2099" s="200">
        <v>3.5176258956539641E-2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53554</v>
      </c>
      <c r="Y2100" s="202">
        <f>_xll.qlInterestRateIndexValueDate(IborIndex,X2100,Trigger)</f>
        <v>53556</v>
      </c>
      <c r="Z2100" s="203">
        <v>3.5303488375805187E-2</v>
      </c>
      <c r="AA2100" s="200">
        <v>3.517165744097106E-2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53561</v>
      </c>
      <c r="Y2101" s="202">
        <f>_xll.qlInterestRateIndexValueDate(IborIndex,X2101,Trigger)</f>
        <v>53563</v>
      </c>
      <c r="Z2101" s="203">
        <v>3.5298786031466592E-2</v>
      </c>
      <c r="AA2101" s="200">
        <v>3.5167047675681573E-2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53568</v>
      </c>
      <c r="Y2102" s="202">
        <f>_xll.qlInterestRateIndexValueDate(IborIndex,X2102,Trigger)</f>
        <v>53570</v>
      </c>
      <c r="Z2102" s="203">
        <v>3.5289915205532152E-2</v>
      </c>
      <c r="AA2102" s="200">
        <v>3.5161769271168097E-2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53575</v>
      </c>
      <c r="Y2103" s="202">
        <f>_xll.qlInterestRateIndexValueDate(IborIndex,X2103,Trigger)</f>
        <v>53577</v>
      </c>
      <c r="Z2103" s="203">
        <v>3.5285199386660047E-2</v>
      </c>
      <c r="AA2103" s="200">
        <v>3.5157803397058984E-2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53582</v>
      </c>
      <c r="Y2104" s="202">
        <f>_xll.qlInterestRateIndexValueDate(IborIndex,X2104,Trigger)</f>
        <v>53584</v>
      </c>
      <c r="Z2104" s="203">
        <v>3.5280475251102575E-2</v>
      </c>
      <c r="AA2104" s="200">
        <v>3.5153168883486074E-2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53589</v>
      </c>
      <c r="Y2105" s="202">
        <f>_xll.qlInterestRateIndexValueDate(IborIndex,X2105,Trigger)</f>
        <v>53591</v>
      </c>
      <c r="Z2105" s="203">
        <v>3.5275742798882584E-2</v>
      </c>
      <c r="AA2105" s="200">
        <v>3.5148526120432066E-2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53596</v>
      </c>
      <c r="Y2106" s="202">
        <f>_xll.qlInterestRateIndexValueDate(IborIndex,X2106,Trigger)</f>
        <v>53598</v>
      </c>
      <c r="Z2106" s="203">
        <v>3.5275149525452021E-2</v>
      </c>
      <c r="AA2106" s="200">
        <v>3.5143875108056832E-2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53603</v>
      </c>
      <c r="Y2107" s="202">
        <f>_xll.qlInterestRateIndexValueDate(IborIndex,X2107,Trigger)</f>
        <v>53605</v>
      </c>
      <c r="Z2107" s="203">
        <v>3.527039726760095E-2</v>
      </c>
      <c r="AA2107" s="200">
        <v>3.5138549564051047E-2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53610</v>
      </c>
      <c r="Y2108" s="202">
        <f>_xll.qlInterestRateIndexValueDate(IborIndex,X2108,Trigger)</f>
        <v>53612</v>
      </c>
      <c r="Z2108" s="203">
        <v>3.5265636690939565E-2</v>
      </c>
      <c r="AA2108" s="200">
        <v>3.5134548334943005E-2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53617</v>
      </c>
      <c r="Y2109" s="202">
        <f>_xll.qlInterestRateIndexValueDate(IborIndex,X2109,Trigger)</f>
        <v>53619</v>
      </c>
      <c r="Z2109" s="203">
        <v>3.5262247096643516E-2</v>
      </c>
      <c r="AA2109" s="200">
        <v>3.5129872574124477E-2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53624</v>
      </c>
      <c r="Y2110" s="202">
        <f>_xll.qlInterestRateIndexValueDate(IborIndex,X2110,Trigger)</f>
        <v>53626</v>
      </c>
      <c r="Z2110" s="203">
        <v>3.5256090581304876E-2</v>
      </c>
      <c r="AA2110" s="200">
        <v>3.5125188564144594E-2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53631</v>
      </c>
      <c r="Y2111" s="202">
        <f>_xll.qlInterestRateIndexValueDate(IborIndex,X2111,Trigger)</f>
        <v>53633</v>
      </c>
      <c r="Z2111" s="203">
        <v>3.5251305048394507E-2</v>
      </c>
      <c r="AA2111" s="200">
        <v>3.5120496304523741E-2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53638</v>
      </c>
      <c r="Y2112" s="202">
        <f>_xll.qlInterestRateIndexValueDate(IborIndex,X2112,Trigger)</f>
        <v>53640</v>
      </c>
      <c r="Z2112" s="203">
        <v>3.5246511196796268E-2</v>
      </c>
      <c r="AA2112" s="200">
        <v>3.5115123620705901E-2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53645</v>
      </c>
      <c r="Y2113" s="202">
        <f>_xll.qlInterestRateIndexValueDate(IborIndex,X2113,Trigger)</f>
        <v>53647</v>
      </c>
      <c r="Z2113" s="203">
        <v>3.5243084083171054E-2</v>
      </c>
      <c r="AA2113" s="200">
        <v>3.5111087036918676E-2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53652</v>
      </c>
      <c r="Y2114" s="202">
        <f>_xll.qlInterestRateIndexValueDate(IborIndex,X2114,Trigger)</f>
        <v>53654</v>
      </c>
      <c r="Z2114" s="203">
        <v>3.5236898537657803E-2</v>
      </c>
      <c r="AA2114" s="200">
        <v>3.51063700290144E-2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53659</v>
      </c>
      <c r="Y2115" s="202">
        <f>_xll.qlInterestRateIndexValueDate(IborIndex,X2115,Trigger)</f>
        <v>53661</v>
      </c>
      <c r="Z2115" s="203">
        <v>3.5226587888072203E-2</v>
      </c>
      <c r="AA2115" s="200">
        <v>3.510164477154909E-2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53666</v>
      </c>
      <c r="Y2116" s="202">
        <f>_xll.qlInterestRateIndexValueDate(IborIndex,X2116,Trigger)</f>
        <v>53668</v>
      </c>
      <c r="Z2116" s="203">
        <v>3.5221765018431661E-2</v>
      </c>
      <c r="AA2116" s="200">
        <v>3.5096911264762554E-2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53673</v>
      </c>
      <c r="Y2117" s="202">
        <f>_xll.qlInterestRateIndexValueDate(IborIndex,X2117,Trigger)</f>
        <v>53675</v>
      </c>
      <c r="Z2117" s="203">
        <v>3.5216933833233988E-2</v>
      </c>
      <c r="AA2117" s="200">
        <v>3.5092169508574855E-2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53680</v>
      </c>
      <c r="Y2118" s="202">
        <f>_xll.qlInterestRateIndexValueDate(IborIndex,X2118,Trigger)</f>
        <v>53682</v>
      </c>
      <c r="Z2118" s="203">
        <v>3.521209433250938E-2</v>
      </c>
      <c r="AA2118" s="200">
        <v>3.5086740257206372E-2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53688</v>
      </c>
      <c r="Y2119" s="202">
        <f>_xll.qlInterestRateIndexValueDate(IborIndex,X2119,Trigger)</f>
        <v>53692</v>
      </c>
      <c r="Z2119" s="203">
        <v>3.5202429773026296E-2</v>
      </c>
      <c r="AA2119" s="200">
        <v>3.5081300231016854E-2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53695</v>
      </c>
      <c r="Y2120" s="202">
        <f>_xll.qlInterestRateIndexValueDate(IborIndex,X2120,Trigger)</f>
        <v>53699</v>
      </c>
      <c r="Z2120" s="203">
        <v>3.520167383438496E-2</v>
      </c>
      <c r="AA2120" s="200">
        <v>3.5077213140350949E-2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53702</v>
      </c>
      <c r="Y2121" s="202">
        <f>_xll.qlInterestRateIndexValueDate(IborIndex,X2121,Trigger)</f>
        <v>53706</v>
      </c>
      <c r="Z2121" s="203">
        <v>3.5198170869131844E-2</v>
      </c>
      <c r="AA2121" s="200">
        <v>3.5072437207981366E-2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53709</v>
      </c>
      <c r="Y2122" s="202">
        <f>_xll.qlInterestRateIndexValueDate(IborIndex,X2122,Trigger)</f>
        <v>53714</v>
      </c>
      <c r="Z2122" s="203">
        <v>3.5189865005760268E-2</v>
      </c>
      <c r="AA2122" s="200">
        <v>3.5066968897856654E-2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53716</v>
      </c>
      <c r="Y2123" s="202">
        <f>_xll.qlInterestRateIndexValueDate(IborIndex,X2123,Trigger)</f>
        <v>53720</v>
      </c>
      <c r="Z2123" s="203">
        <v>3.5187041649657809E-2</v>
      </c>
      <c r="AA2123" s="200">
        <v>3.5062860594639034E-2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53723</v>
      </c>
      <c r="Y2124" s="202">
        <f>_xll.qlInterestRateIndexValueDate(IborIndex,X2124,Trigger)</f>
        <v>53727</v>
      </c>
      <c r="Z2124" s="203">
        <v>3.5183510527464254E-2</v>
      </c>
      <c r="AA2124" s="200">
        <v>3.5058059913666284E-2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53730</v>
      </c>
      <c r="Y2125" s="202">
        <f>_xll.qlInterestRateIndexValueDate(IborIndex,X2125,Trigger)</f>
        <v>53734</v>
      </c>
      <c r="Z2125" s="203">
        <v>3.5177245279410053E-2</v>
      </c>
      <c r="AA2125" s="200">
        <v>3.505325098353218E-2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53737</v>
      </c>
      <c r="Y2126" s="202">
        <f>_xll.qlInterestRateIndexValueDate(IborIndex,X2126,Trigger)</f>
        <v>53742</v>
      </c>
      <c r="Z2126" s="203">
        <v>3.517027179572807E-2</v>
      </c>
      <c r="AA2126" s="200">
        <v>3.5047744961813621E-2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53744</v>
      </c>
      <c r="Y2127" s="202">
        <f>_xll.qlInterestRateIndexValueDate(IborIndex,X2127,Trigger)</f>
        <v>53748</v>
      </c>
      <c r="Z2127" s="203">
        <v>3.5168775334725226E-2</v>
      </c>
      <c r="AA2127" s="200">
        <v>3.5043608374820678E-2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53751</v>
      </c>
      <c r="Y2128" s="202">
        <f>_xll.qlInterestRateIndexValueDate(IborIndex,X2128,Trigger)</f>
        <v>53755</v>
      </c>
      <c r="Z2128" s="203">
        <v>3.5163846970385118E-2</v>
      </c>
      <c r="AA2128" s="200">
        <v>3.5038774696003472E-2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53758</v>
      </c>
      <c r="Y2129" s="202">
        <f>_xll.qlInterestRateIndexValueDate(IborIndex,X2129,Trigger)</f>
        <v>53762</v>
      </c>
      <c r="Z2129" s="203">
        <v>3.5158910289384608E-2</v>
      </c>
      <c r="AA2129" s="200">
        <v>3.5033932768184783E-2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53765</v>
      </c>
      <c r="Y2130" s="202">
        <f>_xll.qlInterestRateIndexValueDate(IborIndex,X2130,Trigger)</f>
        <v>53769</v>
      </c>
      <c r="Z2130" s="203">
        <v>3.5153965291752368E-2</v>
      </c>
      <c r="AA2130" s="200">
        <v>3.5029082590565253E-2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53772</v>
      </c>
      <c r="Y2131" s="202">
        <f>_xll.qlInterestRateIndexValueDate(IborIndex,X2131,Trigger)</f>
        <v>53776</v>
      </c>
      <c r="Z2131" s="203">
        <v>3.5149011977523154E-2</v>
      </c>
      <c r="AA2131" s="200">
        <v>3.5024224163784368E-2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53779</v>
      </c>
      <c r="Y2132" s="202">
        <f>_xll.qlInterestRateIndexValueDate(IborIndex,X2132,Trigger)</f>
        <v>53783</v>
      </c>
      <c r="Z2132" s="203">
        <v>3.5142696030716458E-2</v>
      </c>
      <c r="AA2132" s="200">
        <v>3.5019357487442448E-2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53786</v>
      </c>
      <c r="Y2133" s="202">
        <f>_xll.qlInterestRateIndexValueDate(IborIndex,X2133,Trigger)</f>
        <v>53790</v>
      </c>
      <c r="Z2133" s="203">
        <v>3.513772716031912E-2</v>
      </c>
      <c r="AA2133" s="200">
        <v>3.5014482561779303E-2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53793</v>
      </c>
      <c r="Y2134" s="202">
        <f>_xll.qlInterestRateIndexValueDate(IborIndex,X2134,Trigger)</f>
        <v>53799</v>
      </c>
      <c r="Z2134" s="203">
        <v>3.5131326393585779E-2</v>
      </c>
      <c r="AA2134" s="200">
        <v>3.5010908363082294E-2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53800</v>
      </c>
      <c r="Y2135" s="202">
        <f>_xll.qlInterestRateIndexValueDate(IborIndex,X2135,Trigger)</f>
        <v>53804</v>
      </c>
      <c r="Z2135" s="203">
        <v>3.5127764472257343E-2</v>
      </c>
      <c r="AA2135" s="200">
        <v>3.5004707961929782E-2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53807</v>
      </c>
      <c r="Y2136" s="202">
        <f>_xll.qlInterestRateIndexValueDate(IborIndex,X2136,Trigger)</f>
        <v>53811</v>
      </c>
      <c r="Z2136" s="203">
        <v>3.5122770654651754E-2</v>
      </c>
      <c r="AA2136" s="200">
        <v>3.4999808287983214E-2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53814</v>
      </c>
      <c r="Y2137" s="202">
        <f>_xll.qlInterestRateIndexValueDate(IborIndex,X2137,Trigger)</f>
        <v>53819</v>
      </c>
      <c r="Z2137" s="203">
        <v>3.5118402021695715E-2</v>
      </c>
      <c r="AA2137" s="200">
        <v>3.4994198558901957E-2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53821</v>
      </c>
      <c r="Y2138" s="202">
        <f>_xll.qlInterestRateIndexValueDate(IborIndex,X2138,Trigger)</f>
        <v>53825</v>
      </c>
      <c r="Z2138" s="203">
        <v>3.5114105915777745E-2</v>
      </c>
      <c r="AA2138" s="200">
        <v>3.4989984191406975E-2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53828</v>
      </c>
      <c r="Y2139" s="202">
        <f>_xll.qlInterestRateIndexValueDate(IborIndex,X2139,Trigger)</f>
        <v>53832</v>
      </c>
      <c r="Z2139" s="203">
        <v>3.510908606988835E-2</v>
      </c>
      <c r="AA2139" s="200">
        <v>3.4985059769017113E-2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53835</v>
      </c>
      <c r="Y2140" s="202">
        <f>_xll.qlInterestRateIndexValueDate(IborIndex,X2140,Trigger)</f>
        <v>53840</v>
      </c>
      <c r="Z2140" s="203">
        <v>3.5103338919916773E-2</v>
      </c>
      <c r="AA2140" s="200">
        <v>3.4979421756560214E-2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53842</v>
      </c>
      <c r="Y2141" s="202">
        <f>_xll.qlInterestRateIndexValueDate(IborIndex,X2141,Trigger)</f>
        <v>53846</v>
      </c>
      <c r="Z2141" s="203">
        <v>3.509902142919618E-2</v>
      </c>
      <c r="AA2141" s="200">
        <v>3.4975186176193773E-2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53849</v>
      </c>
      <c r="Y2142" s="202">
        <f>_xll.qlInterestRateIndexValueDate(IborIndex,X2142,Trigger)</f>
        <v>53853</v>
      </c>
      <c r="Z2142" s="203">
        <v>3.509397663445684E-2</v>
      </c>
      <c r="AA2142" s="200">
        <v>3.4970237005360616E-2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53856</v>
      </c>
      <c r="Y2143" s="202">
        <f>_xll.qlInterestRateIndexValueDate(IborIndex,X2143,Trigger)</f>
        <v>53860</v>
      </c>
      <c r="Z2143" s="203">
        <v>3.508892352349674E-2</v>
      </c>
      <c r="AA2143" s="200">
        <v>3.4965279585446041E-2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53863</v>
      </c>
      <c r="Y2144" s="202">
        <f>_xll.qlInterestRateIndexValueDate(IborIndex,X2144,Trigger)</f>
        <v>53867</v>
      </c>
      <c r="Z2144" s="203">
        <v>3.5083862096348901E-2</v>
      </c>
      <c r="AA2144" s="200">
        <v>3.4960313915970431E-2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53870</v>
      </c>
      <c r="Y2145" s="202">
        <f>_xll.qlInterestRateIndexValueDate(IborIndex,X2145,Trigger)</f>
        <v>53874</v>
      </c>
      <c r="Z2145" s="203">
        <v>3.5078792353046347E-2</v>
      </c>
      <c r="AA2145" s="200">
        <v>3.4956681395565958E-2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53877</v>
      </c>
      <c r="Y2146" s="202">
        <f>_xll.qlInterestRateIndexValueDate(IborIndex,X2146,Trigger)</f>
        <v>53881</v>
      </c>
      <c r="Z2146" s="203">
        <v>3.5073714293620349E-2</v>
      </c>
      <c r="AA2146" s="200">
        <v>3.4950357828575918E-2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53884</v>
      </c>
      <c r="Y2147" s="202">
        <f>_xll.qlInterestRateIndexValueDate(IborIndex,X2147,Trigger)</f>
        <v>53888</v>
      </c>
      <c r="Z2147" s="203">
        <v>3.5068627918100448E-2</v>
      </c>
      <c r="AA2147" s="200">
        <v>3.4945367410816885E-2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53891</v>
      </c>
      <c r="Y2148" s="202">
        <f>_xll.qlInterestRateIndexValueDate(IborIndex,X2148,Trigger)</f>
        <v>53895</v>
      </c>
      <c r="Z2148" s="203">
        <v>3.5063533226523141E-2</v>
      </c>
      <c r="AA2148" s="200">
        <v>3.4940368743656691E-2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53898</v>
      </c>
      <c r="Y2149" s="202">
        <f>_xll.qlInterestRateIndexValueDate(IborIndex,X2149,Trigger)</f>
        <v>53902</v>
      </c>
      <c r="Z2149" s="203">
        <v>3.5058430218919703E-2</v>
      </c>
      <c r="AA2149" s="200">
        <v>3.4935361826855527E-2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53905</v>
      </c>
      <c r="Y2150" s="202">
        <f>_xll.qlInterestRateIndexValueDate(IborIndex,X2150,Trigger)</f>
        <v>53909</v>
      </c>
      <c r="Z2150" s="203">
        <v>3.5053318895318812E-2</v>
      </c>
      <c r="AA2150" s="200">
        <v>3.4930346660733136E-2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53912</v>
      </c>
      <c r="Y2151" s="202">
        <f>_xll.qlInterestRateIndexValueDate(IborIndex,X2151,Trigger)</f>
        <v>53916</v>
      </c>
      <c r="Z2151" s="203">
        <v>3.5048199255756959E-2</v>
      </c>
      <c r="AA2151" s="200">
        <v>3.4925323245369455E-2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53919</v>
      </c>
      <c r="Y2152" s="202">
        <f>_xll.qlInterestRateIndexValueDate(IborIndex,X2152,Trigger)</f>
        <v>53923</v>
      </c>
      <c r="Z2152" s="203">
        <v>3.5043071300263677E-2</v>
      </c>
      <c r="AA2152" s="200">
        <v>3.492029158044474E-2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53926</v>
      </c>
      <c r="Y2153" s="202">
        <f>_xll.qlInterestRateIndexValueDate(IborIndex,X2153,Trigger)</f>
        <v>53931</v>
      </c>
      <c r="Z2153" s="203">
        <v>3.5037200596970616E-2</v>
      </c>
      <c r="AA2153" s="200">
        <v>3.491453100482822E-2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53933</v>
      </c>
      <c r="Y2154" s="202">
        <f>_xll.qlInterestRateIndexValueDate(IborIndex,X2154,Trigger)</f>
        <v>53938</v>
      </c>
      <c r="Z2154" s="203">
        <v>3.5030724524347155E-2</v>
      </c>
      <c r="AA2154" s="200">
        <v>3.4909481662364072E-2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53940</v>
      </c>
      <c r="Y2155" s="202">
        <f>_xll.qlInterestRateIndexValueDate(IborIndex,X2155,Trigger)</f>
        <v>53944</v>
      </c>
      <c r="Z2155" s="203">
        <v>3.5026308178116021E-2</v>
      </c>
      <c r="AA2155" s="200">
        <v>3.4905147088943878E-2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53947</v>
      </c>
      <c r="Y2156" s="202">
        <f>_xll.qlInterestRateIndexValueDate(IborIndex,X2156,Trigger)</f>
        <v>53951</v>
      </c>
      <c r="Z2156" s="203">
        <v>3.5021148053044175E-2</v>
      </c>
      <c r="AA2156" s="200">
        <v>3.4900082426334578E-2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53954</v>
      </c>
      <c r="Y2157" s="202">
        <f>_xll.qlInterestRateIndexValueDate(IborIndex,X2157,Trigger)</f>
        <v>53958</v>
      </c>
      <c r="Z2157" s="203">
        <v>3.5015979612933117E-2</v>
      </c>
      <c r="AA2157" s="200">
        <v>3.4895009514164244E-2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53961</v>
      </c>
      <c r="Y2158" s="202">
        <f>_xll.qlInterestRateIndexValueDate(IborIndex,X2158,Trigger)</f>
        <v>53965</v>
      </c>
      <c r="Z2158" s="203">
        <v>3.5012128934593115E-2</v>
      </c>
      <c r="AA2158" s="200">
        <v>3.4889928352832555E-2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53968</v>
      </c>
      <c r="Y2159" s="202">
        <f>_xll.qlInterestRateIndexValueDate(IborIndex,X2159,Trigger)</f>
        <v>53972</v>
      </c>
      <c r="Z2159" s="203">
        <v>3.500694276850002E-2</v>
      </c>
      <c r="AA2159" s="200">
        <v>3.4884838941859897E-2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53975</v>
      </c>
      <c r="Y2160" s="202">
        <f>_xll.qlInterestRateIndexValueDate(IborIndex,X2160,Trigger)</f>
        <v>53980</v>
      </c>
      <c r="Z2160" s="203">
        <v>3.5001005539084952E-2</v>
      </c>
      <c r="AA2160" s="200">
        <v>3.4879012370874207E-2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53982</v>
      </c>
      <c r="Y2161" s="202">
        <f>_xll.qlInterestRateIndexValueDate(IborIndex,X2161,Trigger)</f>
        <v>53986</v>
      </c>
      <c r="Z2161" s="203">
        <v>3.4996545489337172E-2</v>
      </c>
      <c r="AA2161" s="200">
        <v>3.4874635371631157E-2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53989</v>
      </c>
      <c r="Y2162" s="202">
        <f>_xll.qlInterestRateIndexValueDate(IborIndex,X2162,Trigger)</f>
        <v>53993</v>
      </c>
      <c r="Z2162" s="203">
        <v>3.4991334376334317E-2</v>
      </c>
      <c r="AA2162" s="200">
        <v>3.4869521212455012E-2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53996</v>
      </c>
      <c r="Y2163" s="202">
        <f>_xll.qlInterestRateIndexValueDate(IborIndex,X2163,Trigger)</f>
        <v>54000</v>
      </c>
      <c r="Z2163" s="203">
        <v>3.4986114947760626E-2</v>
      </c>
      <c r="AA2163" s="200">
        <v>3.4864398803877705E-2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54003</v>
      </c>
      <c r="Y2164" s="202">
        <f>_xll.qlInterestRateIndexValueDate(IborIndex,X2164,Trigger)</f>
        <v>54008</v>
      </c>
      <c r="Z2164" s="203">
        <v>3.4980139704243261E-2</v>
      </c>
      <c r="AA2164" s="200">
        <v>3.4858534521218232E-2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54010</v>
      </c>
      <c r="Y2165" s="202">
        <f>_xll.qlInterestRateIndexValueDate(IborIndex,X2165,Trigger)</f>
        <v>54014</v>
      </c>
      <c r="Z2165" s="203">
        <v>3.4975651144032789E-2</v>
      </c>
      <c r="AA2165" s="200">
        <v>3.4854129238359732E-2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54017</v>
      </c>
      <c r="Y2166" s="202">
        <f>_xll.qlInterestRateIndexValueDate(IborIndex,X2166,Trigger)</f>
        <v>54021</v>
      </c>
      <c r="Z2166" s="203">
        <v>3.4970406768943807E-2</v>
      </c>
      <c r="AA2166" s="200">
        <v>3.4850300793198841E-2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54024</v>
      </c>
      <c r="Y2167" s="202">
        <f>_xll.qlInterestRateIndexValueDate(IborIndex,X2167,Trigger)</f>
        <v>54028</v>
      </c>
      <c r="Z2167" s="203">
        <v>3.4963837891880636E-2</v>
      </c>
      <c r="AA2167" s="200">
        <v>3.4843826675077239E-2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54031</v>
      </c>
      <c r="Y2168" s="202">
        <f>_xll.qlInterestRateIndexValueDate(IborIndex,X2168,Trigger)</f>
        <v>54035</v>
      </c>
      <c r="Z2168" s="203">
        <v>3.4958577988496581E-2</v>
      </c>
      <c r="AA2168" s="200">
        <v>3.4838663019334248E-2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54038</v>
      </c>
      <c r="Y2169" s="202">
        <f>_xll.qlInterestRateIndexValueDate(IborIndex,X2169,Trigger)</f>
        <v>54042</v>
      </c>
      <c r="Z2169" s="203">
        <v>3.4953309770465971E-2</v>
      </c>
      <c r="AA2169" s="200">
        <v>3.483349111411016E-2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54045</v>
      </c>
      <c r="Y2170" s="202">
        <f>_xll.qlInterestRateIndexValueDate(IborIndex,X2170,Trigger)</f>
        <v>54049</v>
      </c>
      <c r="Z2170" s="203">
        <v>3.4948033237823063E-2</v>
      </c>
      <c r="AA2170" s="200">
        <v>3.4827570264059915E-2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54053</v>
      </c>
      <c r="Y2171" s="202">
        <f>_xll.qlInterestRateIndexValueDate(IborIndex,X2171,Trigger)</f>
        <v>54057</v>
      </c>
      <c r="Z2171" s="203">
        <v>3.494199273368398E-2</v>
      </c>
      <c r="AA2171" s="200">
        <v>3.4824264522166359E-2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54060</v>
      </c>
      <c r="Y2172" s="202">
        <f>_xll.qlInterestRateIndexValueDate(IborIndex,X2172,Trigger)</f>
        <v>54064</v>
      </c>
      <c r="Z2172" s="203">
        <v>3.4936698384121272E-2</v>
      </c>
      <c r="AA2172" s="200">
        <v>3.4817182849611328E-2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54067</v>
      </c>
      <c r="Y2173" s="202">
        <f>_xll.qlInterestRateIndexValueDate(IborIndex,X2173,Trigger)</f>
        <v>54071</v>
      </c>
      <c r="Z2173" s="203">
        <v>3.4931395720049913E-2</v>
      </c>
      <c r="AA2173" s="200">
        <v>3.4811976768205355E-2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54074</v>
      </c>
      <c r="Y2174" s="202">
        <f>_xll.qlInterestRateIndexValueDate(IborIndex,X2174,Trigger)</f>
        <v>54078</v>
      </c>
      <c r="Z2174" s="203">
        <v>3.4926084741499788E-2</v>
      </c>
      <c r="AA2174" s="200">
        <v>3.4806762437558092E-2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54081</v>
      </c>
      <c r="Y2175" s="202">
        <f>_xll.qlInterestRateIndexValueDate(IborIndex,X2175,Trigger)</f>
        <v>54085</v>
      </c>
      <c r="Z2175" s="203">
        <v>3.4920765448507772E-2</v>
      </c>
      <c r="AA2175" s="200">
        <v>3.4801539857349795E-2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54088</v>
      </c>
      <c r="Y2176" s="202">
        <f>_xll.qlInterestRateIndexValueDate(IborIndex,X2176,Trigger)</f>
        <v>54092</v>
      </c>
      <c r="Z2176" s="203">
        <v>3.491543784110638E-2</v>
      </c>
      <c r="AA2176" s="200">
        <v>3.4796309027660399E-2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54095</v>
      </c>
      <c r="Y2177" s="202">
        <f>_xll.qlInterestRateIndexValueDate(IborIndex,X2177,Trigger)</f>
        <v>54099</v>
      </c>
      <c r="Z2177" s="203">
        <v>3.4908796927590302E-2</v>
      </c>
      <c r="AA2177" s="200">
        <v>3.4791069948729714E-2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54102</v>
      </c>
      <c r="Y2178" s="202">
        <f>_xll.qlInterestRateIndexValueDate(IborIndex,X2178,Trigger)</f>
        <v>54106</v>
      </c>
      <c r="Z2178" s="203">
        <v>3.4903453801200968E-2</v>
      </c>
      <c r="AA2178" s="200">
        <v>3.4785822620237994E-2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54109</v>
      </c>
      <c r="Y2179" s="202">
        <f>_xll.qlInterestRateIndexValueDate(IborIndex,X2179,Trigger)</f>
        <v>54113</v>
      </c>
      <c r="Z2179" s="203">
        <v>3.4899405132769172E-2</v>
      </c>
      <c r="AA2179" s="200">
        <v>3.4780567042425048E-2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54116</v>
      </c>
      <c r="Y2180" s="202">
        <f>_xll.qlInterestRateIndexValueDate(IborIndex,X2180,Trigger)</f>
        <v>54120</v>
      </c>
      <c r="Z2180" s="203">
        <v>3.4895345906205424E-2</v>
      </c>
      <c r="AA2180" s="200">
        <v>3.4775303215051068E-2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54123</v>
      </c>
      <c r="Y2181" s="202">
        <f>_xll.qlInterestRateIndexValueDate(IborIndex,X2181,Trigger)</f>
        <v>54127</v>
      </c>
      <c r="Z2181" s="203">
        <v>3.4889975615201359E-2</v>
      </c>
      <c r="AA2181" s="200">
        <v>3.4770031138355861E-2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54130</v>
      </c>
      <c r="Y2182" s="202">
        <f>_xll.qlInterestRateIndexValueDate(IborIndex,X2182,Trigger)</f>
        <v>54134</v>
      </c>
      <c r="Z2182" s="203">
        <v>3.4884597009268548E-2</v>
      </c>
      <c r="AA2182" s="200">
        <v>3.4764750812339429E-2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54137</v>
      </c>
      <c r="Y2183" s="202">
        <f>_xll.qlInterestRateIndexValueDate(IborIndex,X2183,Trigger)</f>
        <v>54141</v>
      </c>
      <c r="Z2183" s="203">
        <v>3.4879210088441748E-2</v>
      </c>
      <c r="AA2183" s="200">
        <v>3.4759462236682026E-2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54144</v>
      </c>
      <c r="Y2184" s="202">
        <f>_xll.qlInterestRateIndexValueDate(IborIndex,X2184,Trigger)</f>
        <v>54148</v>
      </c>
      <c r="Z2184" s="203">
        <v>3.4872517667123584E-2</v>
      </c>
      <c r="AA2184" s="200">
        <v>3.4754165411783333E-2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54155</v>
      </c>
      <c r="Y2185" s="202">
        <f>_xll.qlInterestRateIndexValueDate(IborIndex,X2185,Trigger)</f>
        <v>54157</v>
      </c>
      <c r="Z2185" s="203">
        <v>3.486557015143292E-2</v>
      </c>
      <c r="AA2185" s="200">
        <v>3.4745825162492139E-2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54162</v>
      </c>
      <c r="Y2186" s="202">
        <f>_xll.qlInterestRateIndexValueDate(IborIndex,X2186,Trigger)</f>
        <v>54164</v>
      </c>
      <c r="Z2186" s="203">
        <v>3.4860157026324327E-2</v>
      </c>
      <c r="AA2186" s="200">
        <v>3.4740507124801923E-2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54169</v>
      </c>
      <c r="Y2187" s="202">
        <f>_xll.qlInterestRateIndexValueDate(IborIndex,X2187,Trigger)</f>
        <v>54171</v>
      </c>
      <c r="Z2187" s="203">
        <v>3.4854735587183196E-2</v>
      </c>
      <c r="AA2187" s="200">
        <v>3.4735180837710544E-2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54176</v>
      </c>
      <c r="Y2188" s="202">
        <f>_xll.qlInterestRateIndexValueDate(IborIndex,X2188,Trigger)</f>
        <v>54178</v>
      </c>
      <c r="Z2188" s="203">
        <v>3.4850598236348083E-2</v>
      </c>
      <c r="AA2188" s="200">
        <v>3.4729846301218004E-2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54183</v>
      </c>
      <c r="Y2189" s="202">
        <f>_xll.qlInterestRateIndexValueDate(IborIndex,X2189,Trigger)</f>
        <v>54185</v>
      </c>
      <c r="Z2189" s="203">
        <v>3.4845159051240554E-2</v>
      </c>
      <c r="AA2189" s="200">
        <v>3.4724503515084493E-2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54190</v>
      </c>
      <c r="Y2190" s="202">
        <f>_xll.qlInterestRateIndexValueDate(IborIndex,X2190,Trigger)</f>
        <v>54192</v>
      </c>
      <c r="Z2190" s="203">
        <v>3.4839711551486657E-2</v>
      </c>
      <c r="AA2190" s="200">
        <v>3.4719152479709692E-2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54197</v>
      </c>
      <c r="Y2191" s="202">
        <f>_xll.qlInterestRateIndexValueDate(IborIndex,X2191,Trigger)</f>
        <v>54199</v>
      </c>
      <c r="Z2191" s="203">
        <v>3.4834255737122892E-2</v>
      </c>
      <c r="AA2191" s="200">
        <v>3.4713026909418687E-2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54204</v>
      </c>
      <c r="Y2192" s="202">
        <f>_xll.qlInterestRateIndexValueDate(IborIndex,X2192,Trigger)</f>
        <v>54206</v>
      </c>
      <c r="Z2192" s="203">
        <v>3.4828791608178804E-2</v>
      </c>
      <c r="AA2192" s="200">
        <v>3.4708425660676667E-2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54211</v>
      </c>
      <c r="Y2193" s="202">
        <f>_xll.qlInterestRateIndexValueDate(IborIndex,X2193,Trigger)</f>
        <v>54213</v>
      </c>
      <c r="Z2193" s="203">
        <v>3.4823319164692612E-2</v>
      </c>
      <c r="AA2193" s="200">
        <v>3.4703049876938508E-2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54218</v>
      </c>
      <c r="Y2194" s="202">
        <f>_xll.qlInterestRateIndexValueDate(IborIndex,X2194,Trigger)</f>
        <v>54220</v>
      </c>
      <c r="Z2194" s="203">
        <v>3.4817838406697339E-2</v>
      </c>
      <c r="AA2194" s="200">
        <v>3.4697665844038994E-2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54225</v>
      </c>
      <c r="Y2195" s="202">
        <f>_xll.qlInterestRateIndexValueDate(IborIndex,X2195,Trigger)</f>
        <v>54227</v>
      </c>
      <c r="Z2195" s="203">
        <v>3.4812349334227735E-2</v>
      </c>
      <c r="AA2195" s="200">
        <v>3.469227356149851E-2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54232</v>
      </c>
      <c r="Y2196" s="202">
        <f>_xll.qlInterestRateIndexValueDate(IborIndex,X2196,Trigger)</f>
        <v>54234</v>
      </c>
      <c r="Z2196" s="203">
        <v>3.4806851947320305E-2</v>
      </c>
      <c r="AA2196" s="200">
        <v>3.46868730296368E-2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54239</v>
      </c>
      <c r="Y2197" s="202">
        <f>_xll.qlInterestRateIndexValueDate(IborIndex,X2197,Trigger)</f>
        <v>54241</v>
      </c>
      <c r="Z2197" s="203">
        <v>3.4801346246008925E-2</v>
      </c>
      <c r="AA2197" s="200">
        <v>3.4680690891955024E-2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54246</v>
      </c>
      <c r="Y2198" s="202">
        <f>_xll.qlInterestRateIndexValueDate(IborIndex,X2198,Trigger)</f>
        <v>54248</v>
      </c>
      <c r="Z2198" s="203">
        <v>3.4795832230325743E-2</v>
      </c>
      <c r="AA2198" s="200">
        <v>3.4676047217709893E-2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54253</v>
      </c>
      <c r="Y2199" s="202">
        <f>_xll.qlInterestRateIndexValueDate(IborIndex,X2199,Trigger)</f>
        <v>54255</v>
      </c>
      <c r="Z2199" s="203">
        <v>3.479030990030986E-2</v>
      </c>
      <c r="AA2199" s="200">
        <v>3.4670621937724633E-2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54260</v>
      </c>
      <c r="Y2200" s="202">
        <f>_xll.qlInterestRateIndexValueDate(IborIndex,X2200,Trigger)</f>
        <v>54262</v>
      </c>
      <c r="Z2200" s="203">
        <v>3.4784779255992562E-2</v>
      </c>
      <c r="AA2200" s="200">
        <v>3.4665188408098402E-2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54267</v>
      </c>
      <c r="Y2201" s="202">
        <f>_xll.qlInterestRateIndexValueDate(IborIndex,X2201,Trigger)</f>
        <v>54269</v>
      </c>
      <c r="Z2201" s="203">
        <v>3.4779240297411196E-2</v>
      </c>
      <c r="AA2201" s="200">
        <v>3.4659746629150945E-2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54274</v>
      </c>
      <c r="Y2202" s="202">
        <f>_xll.qlInterestRateIndexValueDate(IborIndex,X2202,Trigger)</f>
        <v>54276</v>
      </c>
      <c r="Z2202" s="203">
        <v>3.4773693024600531E-2</v>
      </c>
      <c r="AA2202" s="200">
        <v>3.4654296600802326E-2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54281</v>
      </c>
      <c r="Y2203" s="202">
        <f>_xll.qlInterestRateIndexValueDate(IborIndex,X2203,Trigger)</f>
        <v>54283</v>
      </c>
      <c r="Z2203" s="203">
        <v>3.4768137437594444E-2</v>
      </c>
      <c r="AA2203" s="200">
        <v>3.4648838322972608E-2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54288</v>
      </c>
      <c r="Y2204" s="202">
        <f>_xll.qlInterestRateIndexValueDate(IborIndex,X2204,Trigger)</f>
        <v>54290</v>
      </c>
      <c r="Z2204" s="203">
        <v>3.4762573536429434E-2</v>
      </c>
      <c r="AA2204" s="200">
        <v>3.4643371795821665E-2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54295</v>
      </c>
      <c r="Y2205" s="202">
        <f>_xll.qlInterestRateIndexValueDate(IborIndex,X2205,Trigger)</f>
        <v>54297</v>
      </c>
      <c r="Z2205" s="203">
        <v>3.4757001321138507E-2</v>
      </c>
      <c r="AA2205" s="200">
        <v>3.4637897019429431E-2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54302</v>
      </c>
      <c r="Y2206" s="202">
        <f>_xll.qlInterestRateIndexValueDate(IborIndex,X2206,Trigger)</f>
        <v>54304</v>
      </c>
      <c r="Z2206" s="203">
        <v>3.4750148623000424E-2</v>
      </c>
      <c r="AA2206" s="200">
        <v>3.4631630030581562E-2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54309</v>
      </c>
      <c r="Y2207" s="202">
        <f>_xll.qlInterestRateIndexValueDate(IborIndex,X2207,Trigger)</f>
        <v>54311</v>
      </c>
      <c r="Z2207" s="203">
        <v>3.4744560910424709E-2</v>
      </c>
      <c r="AA2207" s="200">
        <v>3.4626922717881925E-2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54316</v>
      </c>
      <c r="Y2208" s="202">
        <f>_xll.qlInterestRateIndexValueDate(IborIndex,X2208,Trigger)</f>
        <v>54318</v>
      </c>
      <c r="Z2208" s="203">
        <v>3.473896488453939E-2</v>
      </c>
      <c r="AA2208" s="200">
        <v>3.4621423193206269E-2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54323</v>
      </c>
      <c r="Y2209" s="202">
        <f>_xll.qlInterestRateIndexValueDate(IborIndex,X2209,Trigger)</f>
        <v>54325</v>
      </c>
      <c r="Z2209" s="203">
        <v>3.4733360545382244E-2</v>
      </c>
      <c r="AA2209" s="200">
        <v>3.4615915419049514E-2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54330</v>
      </c>
      <c r="Y2210" s="202">
        <f>_xll.qlInterestRateIndexValueDate(IborIndex,X2210,Trigger)</f>
        <v>54332</v>
      </c>
      <c r="Z2210" s="203">
        <v>3.4732818295909615E-2</v>
      </c>
      <c r="AA2210" s="200">
        <v>3.4610399395491598E-2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54337</v>
      </c>
      <c r="Y2211" s="202">
        <f>_xll.qlInterestRateIndexValueDate(IborIndex,X2211,Trigger)</f>
        <v>54339</v>
      </c>
      <c r="Z2211" s="203">
        <v>3.4723393434763786E-2</v>
      </c>
      <c r="AA2211" s="200">
        <v>3.4604085267151419E-2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54344</v>
      </c>
      <c r="Y2212" s="202">
        <f>_xll.qlInterestRateIndexValueDate(IborIndex,X2212,Trigger)</f>
        <v>54346</v>
      </c>
      <c r="Z2212" s="203">
        <v>3.47177630215907E-2</v>
      </c>
      <c r="AA2212" s="200">
        <v>3.459934259993247E-2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54351</v>
      </c>
      <c r="Y2213" s="202">
        <f>_xll.qlInterestRateIndexValueDate(IborIndex,X2213,Trigger)</f>
        <v>54353</v>
      </c>
      <c r="Z2213" s="203">
        <v>3.4712124294575819E-2</v>
      </c>
      <c r="AA2213" s="200">
        <v>3.4593801828091131E-2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54358</v>
      </c>
      <c r="Y2214" s="202">
        <f>_xll.qlInterestRateIndexValueDate(IborIndex,X2214,Trigger)</f>
        <v>54360</v>
      </c>
      <c r="Z2214" s="203">
        <v>3.470647725375739E-2</v>
      </c>
      <c r="AA2214" s="200">
        <v>3.4588252806848629E-2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54365</v>
      </c>
      <c r="Y2215" s="202">
        <f>_xll.qlInterestRateIndexValueDate(IborIndex,X2215,Trigger)</f>
        <v>54367</v>
      </c>
      <c r="Z2215" s="203">
        <v>3.4700821899170148E-2</v>
      </c>
      <c r="AA2215" s="200">
        <v>3.4582695536204966E-2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54372</v>
      </c>
      <c r="Y2216" s="202">
        <f>_xll.qlInterestRateIndexValueDate(IborIndex,X2216,Trigger)</f>
        <v>54374</v>
      </c>
      <c r="Z2216" s="203">
        <v>3.4695158230847123E-2</v>
      </c>
      <c r="AA2216" s="200">
        <v>3.4577130016240076E-2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54379</v>
      </c>
      <c r="Y2217" s="202">
        <f>_xll.qlInterestRateIndexValueDate(IborIndex,X2217,Trigger)</f>
        <v>54381</v>
      </c>
      <c r="Z2217" s="203">
        <v>3.4689486248825667E-2</v>
      </c>
      <c r="AA2217" s="200">
        <v>3.4571556246714152E-2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54386</v>
      </c>
      <c r="Y2218" s="202">
        <f>_xll.qlInterestRateIndexValueDate(IborIndex,X2218,Trigger)</f>
        <v>54389</v>
      </c>
      <c r="Z2218" s="203">
        <v>3.4681735414706392E-2</v>
      </c>
      <c r="AA2218" s="200">
        <v>3.4565176123244612E-2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54393</v>
      </c>
      <c r="Y2219" s="202">
        <f>_xll.qlInterestRateIndexValueDate(IborIndex,X2219,Trigger)</f>
        <v>54395</v>
      </c>
      <c r="Z2219" s="203">
        <v>3.4675602490936264E-2</v>
      </c>
      <c r="AA2219" s="200">
        <v>3.4560383959698626E-2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54400</v>
      </c>
      <c r="Y2220" s="202">
        <f>_xll.qlInterestRateIndexValueDate(IborIndex,X2220,Trigger)</f>
        <v>54402</v>
      </c>
      <c r="Z2220" s="203">
        <v>3.4669907848003056E-2</v>
      </c>
      <c r="AA2220" s="200">
        <v>3.4554785442049152E-2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54407</v>
      </c>
      <c r="Y2221" s="202">
        <f>_xll.qlInterestRateIndexValueDate(IborIndex,X2221,Trigger)</f>
        <v>54409</v>
      </c>
      <c r="Z2221" s="203">
        <v>3.4664204892925099E-2</v>
      </c>
      <c r="AA2221" s="200">
        <v>3.4549178674838643E-2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54414</v>
      </c>
      <c r="Y2222" s="202">
        <f>_xll.qlInterestRateIndexValueDate(IborIndex,X2222,Trigger)</f>
        <v>54416</v>
      </c>
      <c r="Z2222" s="203">
        <v>3.4658493625736142E-2</v>
      </c>
      <c r="AA2222" s="200">
        <v>3.4542760839855191E-2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54421</v>
      </c>
      <c r="Y2223" s="202">
        <f>_xll.qlInterestRateIndexValueDate(IborIndex,X2223,Trigger)</f>
        <v>54423</v>
      </c>
      <c r="Z2223" s="203">
        <v>3.4652774046476154E-2</v>
      </c>
      <c r="AA2223" s="200">
        <v>3.453713639550493E-2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54428</v>
      </c>
      <c r="Y2224" s="202">
        <f>_xll.qlInterestRateIndexValueDate(IborIndex,X2224,Trigger)</f>
        <v>54430</v>
      </c>
      <c r="Z2224" s="203">
        <v>3.464704615517622E-2</v>
      </c>
      <c r="AA2224" s="200">
        <v>3.4532308877359696E-2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54435</v>
      </c>
      <c r="Y2225" s="202">
        <f>_xll.qlInterestRateIndexValueDate(IborIndex,X2225,Trigger)</f>
        <v>54437</v>
      </c>
      <c r="Z2225" s="203">
        <v>3.4641309951873644E-2</v>
      </c>
      <c r="AA2225" s="200">
        <v>3.4525862758680859E-2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54442</v>
      </c>
      <c r="Y2226" s="202">
        <f>_xll.qlInterestRateIndexValueDate(IborIndex,X2226,Trigger)</f>
        <v>54444</v>
      </c>
      <c r="Z2226" s="203">
        <v>3.4635565436604843E-2</v>
      </c>
      <c r="AA2226" s="200">
        <v>3.45210210987279E-2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54449</v>
      </c>
      <c r="Y2227" s="202">
        <f>_xll.qlInterestRateIndexValueDate(IborIndex,X2227,Trigger)</f>
        <v>54451</v>
      </c>
      <c r="Z2227" s="203">
        <v>3.4629812609402677E-2</v>
      </c>
      <c r="AA2227" s="200">
        <v>3.451536483527029E-2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54456</v>
      </c>
      <c r="Y2228" s="202">
        <f>_xll.qlInterestRateIndexValueDate(IborIndex,X2228,Trigger)</f>
        <v>54458</v>
      </c>
      <c r="Z2228" s="203">
        <v>3.4622804284641637E-2</v>
      </c>
      <c r="AA2228" s="200">
        <v>3.4509700322251646E-2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54463</v>
      </c>
      <c r="Y2229" s="202">
        <f>_xll.qlInterestRateIndexValueDate(IborIndex,X2229,Trigger)</f>
        <v>54465</v>
      </c>
      <c r="Z2229" s="203">
        <v>3.4617035979767882E-2</v>
      </c>
      <c r="AA2229" s="200">
        <v>3.4503216492058897E-2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54470</v>
      </c>
      <c r="Y2230" s="202">
        <f>_xll.qlInterestRateIndexValueDate(IborIndex,X2230,Trigger)</f>
        <v>54472</v>
      </c>
      <c r="Z2230" s="203">
        <v>3.4611259363768861E-2</v>
      </c>
      <c r="AA2230" s="200">
        <v>3.4498346548410552E-2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54477</v>
      </c>
      <c r="Y2231" s="202">
        <f>_xll.qlInterestRateIndexValueDate(IborIndex,X2231,Trigger)</f>
        <v>54479</v>
      </c>
      <c r="Z2231" s="203">
        <v>3.4605474436684977E-2</v>
      </c>
      <c r="AA2231" s="200">
        <v>3.4492657287348294E-2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54484</v>
      </c>
      <c r="Y2232" s="202">
        <f>_xll.qlInterestRateIndexValueDate(IborIndex,X2232,Trigger)</f>
        <v>54486</v>
      </c>
      <c r="Z2232" s="203">
        <v>3.4603408899230623E-2</v>
      </c>
      <c r="AA2232" s="200">
        <v>3.4486959776804937E-2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54491</v>
      </c>
      <c r="Y2233" s="202">
        <f>_xll.qlInterestRateIndexValueDate(IborIndex,X2233,Trigger)</f>
        <v>54493</v>
      </c>
      <c r="Z2233" s="203">
        <v>3.459760390294956E-2</v>
      </c>
      <c r="AA2233" s="200">
        <v>3.4481254016860419E-2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54498</v>
      </c>
      <c r="Y2234" s="202">
        <f>_xll.qlInterestRateIndexValueDate(IborIndex,X2234,Trigger)</f>
        <v>54500</v>
      </c>
      <c r="Z2234" s="203">
        <v>3.4591790593586108E-2</v>
      </c>
      <c r="AA2234" s="200">
        <v>3.4475540007754546E-2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54505</v>
      </c>
      <c r="Y2235" s="202">
        <f>_xll.qlInterestRateIndexValueDate(IborIndex,X2235,Trigger)</f>
        <v>54507</v>
      </c>
      <c r="Z2235" s="203">
        <v>3.4585968971179354E-2</v>
      </c>
      <c r="AA2235" s="200">
        <v>3.4469817749087639E-2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54512</v>
      </c>
      <c r="Y2236" s="202">
        <f>_xll.qlInterestRateIndexValueDate(IborIndex,X2236,Trigger)</f>
        <v>54514</v>
      </c>
      <c r="Z2236" s="203">
        <v>3.457890110007527E-2</v>
      </c>
      <c r="AA2236" s="200">
        <v>3.4464087240939634E-2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54519</v>
      </c>
      <c r="Y2237" s="202">
        <f>_xll.qlInterestRateIndexValueDate(IborIndex,X2237,Trigger)</f>
        <v>54521</v>
      </c>
      <c r="Z2237" s="203">
        <v>3.4573064003680466E-2</v>
      </c>
      <c r="AA2237" s="200">
        <v>3.4458348483630274E-2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54526</v>
      </c>
      <c r="Y2238" s="202">
        <f>_xll.qlInterestRateIndexValueDate(IborIndex,X2238,Trigger)</f>
        <v>54528</v>
      </c>
      <c r="Z2238" s="203">
        <v>3.4567218595049486E-2</v>
      </c>
      <c r="AA2238" s="200">
        <v>3.4452601476679945E-2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54533</v>
      </c>
      <c r="Y2239" s="202">
        <f>_xll.qlInterestRateIndexValueDate(IborIndex,X2239,Trigger)</f>
        <v>54535</v>
      </c>
      <c r="Z2239" s="203">
        <v>3.4561364874220984E-2</v>
      </c>
      <c r="AA2239" s="200">
        <v>3.4446846220408389E-2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54540</v>
      </c>
      <c r="Y2240" s="202">
        <f>_xll.qlInterestRateIndexValueDate(IborIndex,X2240,Trigger)</f>
        <v>54542</v>
      </c>
      <c r="Z2240" s="203">
        <v>3.4555502841228339E-2</v>
      </c>
      <c r="AA2240" s="200">
        <v>3.4441082714735671E-2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54547</v>
      </c>
      <c r="Y2241" s="202">
        <f>_xll.qlInterestRateIndexValueDate(IborIndex,X2241,Trigger)</f>
        <v>54549</v>
      </c>
      <c r="Z2241" s="203">
        <v>3.4550864664861021E-2</v>
      </c>
      <c r="AA2241" s="200">
        <v>3.4435310959821663E-2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54554</v>
      </c>
      <c r="Y2242" s="202">
        <f>_xll.qlInterestRateIndexValueDate(IborIndex,X2242,Trigger)</f>
        <v>54556</v>
      </c>
      <c r="Z2242" s="203">
        <v>3.454498485217472E-2</v>
      </c>
      <c r="AA2242" s="200">
        <v>3.4429530955346621E-2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54561</v>
      </c>
      <c r="Y2243" s="202">
        <f>_xll.qlInterestRateIndexValueDate(IborIndex,X2243,Trigger)</f>
        <v>54563</v>
      </c>
      <c r="Z2243" s="203">
        <v>3.4539096726737925E-2</v>
      </c>
      <c r="AA2243" s="200">
        <v>3.4423742701550353E-2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54568</v>
      </c>
      <c r="Y2244" s="202">
        <f>_xll.qlInterestRateIndexValueDate(IborIndex,X2244,Trigger)</f>
        <v>54570</v>
      </c>
      <c r="Z2244" s="203">
        <v>3.4533200288591484E-2</v>
      </c>
      <c r="AA2244" s="200">
        <v>3.4417117452960611E-2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54575</v>
      </c>
      <c r="Y2245" s="202">
        <f>_xll.qlInterestRateIndexValueDate(IborIndex,X2245,Trigger)</f>
        <v>54577</v>
      </c>
      <c r="Z2245" s="203">
        <v>3.4527295537768406E-2</v>
      </c>
      <c r="AA2245" s="200">
        <v>3.441214144575433E-2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54582</v>
      </c>
      <c r="Y2246" s="202">
        <f>_xll.qlInterestRateIndexValueDate(IborIndex,X2246,Trigger)</f>
        <v>54584</v>
      </c>
      <c r="Z2246" s="203">
        <v>3.4521382474308665E-2</v>
      </c>
      <c r="AA2246" s="200">
        <v>3.4406328443754575E-2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54589</v>
      </c>
      <c r="Y2247" s="202">
        <f>_xll.qlInterestRateIndexValueDate(IborIndex,X2247,Trigger)</f>
        <v>54591</v>
      </c>
      <c r="Z2247" s="203">
        <v>3.4515461098251356E-2</v>
      </c>
      <c r="AA2247" s="200">
        <v>3.4400507192273722E-2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54596</v>
      </c>
      <c r="Y2248" s="202">
        <f>_xll.qlInterestRateIndexValueDate(IborIndex,X2248,Trigger)</f>
        <v>54598</v>
      </c>
      <c r="Z2248" s="203">
        <v>3.45095314096295E-2</v>
      </c>
      <c r="AA2248" s="200">
        <v>3.4394677691631514E-2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54603</v>
      </c>
      <c r="Y2249" s="202">
        <f>_xll.qlInterestRateIndexValueDate(IborIndex,X2249,Trigger)</f>
        <v>54605</v>
      </c>
      <c r="Z2249" s="203">
        <v>3.4503593408483926E-2</v>
      </c>
      <c r="AA2249" s="200">
        <v>3.4388005303549463E-2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54610</v>
      </c>
      <c r="Y2250" s="202">
        <f>_xll.qlInterestRateIndexValueDate(IborIndex,X2250,Trigger)</f>
        <v>54612</v>
      </c>
      <c r="Z2250" s="203">
        <v>3.4497647094849399E-2</v>
      </c>
      <c r="AA2250" s="200">
        <v>3.4382993941743933E-2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54617</v>
      </c>
      <c r="Y2251" s="202">
        <f>_xll.qlInterestRateIndexValueDate(IborIndex,X2251,Trigger)</f>
        <v>54619</v>
      </c>
      <c r="Z2251" s="203">
        <v>3.4491692468768487E-2</v>
      </c>
      <c r="AA2251" s="200">
        <v>3.4377139692818304E-2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54624</v>
      </c>
      <c r="Y2252" s="202">
        <f>_xll.qlInterestRateIndexValueDate(IborIndex,X2252,Trigger)</f>
        <v>54626</v>
      </c>
      <c r="Z2252" s="203">
        <v>3.4485729530273339E-2</v>
      </c>
      <c r="AA2252" s="200">
        <v>3.4371277194411576E-2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54631</v>
      </c>
      <c r="Y2253" s="202">
        <f>_xll.qlInterestRateIndexValueDate(IborIndex,X2253,Trigger)</f>
        <v>54633</v>
      </c>
      <c r="Z2253" s="203">
        <v>3.447975827940479E-2</v>
      </c>
      <c r="AA2253" s="200">
        <v>3.4365406446763558E-2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54638</v>
      </c>
      <c r="Y2254" s="202">
        <f>_xll.qlInterestRateIndexValueDate(IborIndex,X2254,Trigger)</f>
        <v>54640</v>
      </c>
      <c r="Z2254" s="203">
        <v>3.4473778716198472E-2</v>
      </c>
      <c r="AA2254" s="200">
        <v>3.4359527449554506E-2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54645</v>
      </c>
      <c r="Y2255" s="202">
        <f>_xll.qlInterestRateIndexValueDate(IborIndex,X2255,Trigger)</f>
        <v>54647</v>
      </c>
      <c r="Z2255" s="203">
        <v>3.446779084069608E-2</v>
      </c>
      <c r="AA2255" s="200">
        <v>3.4353640203104163E-2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54652</v>
      </c>
      <c r="Y2256" s="202">
        <f>_xll.qlInterestRateIndexValueDate(IborIndex,X2256,Trigger)</f>
        <v>54654</v>
      </c>
      <c r="Z2256" s="203">
        <v>3.446179465292977E-2</v>
      </c>
      <c r="AA2256" s="200">
        <v>3.4347744707172723E-2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54659</v>
      </c>
      <c r="Y2257" s="202">
        <f>_xll.qlInterestRateIndexValueDate(IborIndex,X2257,Trigger)</f>
        <v>54661</v>
      </c>
      <c r="Z2257" s="203">
        <v>3.4455790152940376E-2</v>
      </c>
      <c r="AA2257" s="200">
        <v>3.434184096184012E-2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54666</v>
      </c>
      <c r="Y2258" s="202">
        <f>_xll.qlInterestRateIndexValueDate(IborIndex,X2258,Trigger)</f>
        <v>54668</v>
      </c>
      <c r="Z2258" s="203">
        <v>3.444856490955895E-2</v>
      </c>
      <c r="AA2258" s="200">
        <v>3.4335083723151527E-2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54673</v>
      </c>
      <c r="Y2259" s="202">
        <f>_xll.qlInterestRateIndexValueDate(IborIndex,X2259,Trigger)</f>
        <v>54675</v>
      </c>
      <c r="Z2259" s="203">
        <v>3.4442544952495997E-2</v>
      </c>
      <c r="AA2259" s="200">
        <v>3.4330008723211236E-2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54680</v>
      </c>
      <c r="Y2260" s="202">
        <f>_xll.qlInterestRateIndexValueDate(IborIndex,X2260,Trigger)</f>
        <v>54682</v>
      </c>
      <c r="Z2260" s="203">
        <v>3.4436516684012923E-2</v>
      </c>
      <c r="AA2260" s="200">
        <v>3.4324080229595211E-2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54687</v>
      </c>
      <c r="Y2261" s="202">
        <f>_xll.qlInterestRateIndexValueDate(IborIndex,X2261,Trigger)</f>
        <v>54689</v>
      </c>
      <c r="Z2261" s="203">
        <v>3.4430480104149251E-2</v>
      </c>
      <c r="AA2261" s="200">
        <v>3.4318143486737895E-2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54694</v>
      </c>
      <c r="Y2262" s="202">
        <f>_xll.qlInterestRateIndexValueDate(IborIndex,X2262,Trigger)</f>
        <v>54696</v>
      </c>
      <c r="Z2262" s="203">
        <v>3.4424435212940127E-2</v>
      </c>
      <c r="AA2262" s="200">
        <v>3.4312198494559354E-2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54701</v>
      </c>
      <c r="Y2263" s="202">
        <f>_xll.qlInterestRateIndexValueDate(IborIndex,X2263,Trigger)</f>
        <v>54703</v>
      </c>
      <c r="Z2263" s="203">
        <v>3.4419588598457541E-2</v>
      </c>
      <c r="AA2263" s="200">
        <v>3.4305394116298515E-2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54708</v>
      </c>
      <c r="Y2264" s="202">
        <f>_xll.qlInterestRateIndexValueDate(IborIndex,X2264,Trigger)</f>
        <v>54710</v>
      </c>
      <c r="Z2264" s="203">
        <v>3.4413525913975271E-2</v>
      </c>
      <c r="AA2264" s="200">
        <v>3.4300283761998784E-2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54715</v>
      </c>
      <c r="Y2265" s="202">
        <f>_xll.qlInterestRateIndexValueDate(IborIndex,X2265,Trigger)</f>
        <v>54717</v>
      </c>
      <c r="Z2265" s="203">
        <v>3.4407454917573146E-2</v>
      </c>
      <c r="AA2265" s="200">
        <v>3.429431402153682E-2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54722</v>
      </c>
      <c r="Y2266" s="202">
        <f>_xll.qlInterestRateIndexValueDate(IborIndex,X2266,Trigger)</f>
        <v>54724</v>
      </c>
      <c r="Z2266" s="203">
        <v>3.4401375609292018E-2</v>
      </c>
      <c r="AA2266" s="200">
        <v>3.4288336031833566E-2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54729</v>
      </c>
      <c r="Y2267" s="202">
        <f>_xll.qlInterestRateIndexValueDate(IborIndex,X2267,Trigger)</f>
        <v>54731</v>
      </c>
      <c r="Z2267" s="203">
        <v>3.4395287989170978E-2</v>
      </c>
      <c r="AA2267" s="200">
        <v>3.4282349792649214E-2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54736</v>
      </c>
      <c r="Y2268" s="202">
        <f>_xll.qlInterestRateIndexValueDate(IborIndex,X2268,Trigger)</f>
        <v>54739</v>
      </c>
      <c r="Z2268" s="203">
        <v>3.4390721543882542E-2</v>
      </c>
      <c r="AA2268" s="200">
        <v>3.4275498275135874E-2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54743</v>
      </c>
      <c r="Y2269" s="202">
        <f>_xll.qlInterestRateIndexValueDate(IborIndex,X2269,Trigger)</f>
        <v>54745</v>
      </c>
      <c r="Z2269" s="203">
        <v>3.4383087813560344E-2</v>
      </c>
      <c r="AA2269" s="200">
        <v>3.4270352565997086E-2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54750</v>
      </c>
      <c r="Y2270" s="202">
        <f>_xll.qlInterestRateIndexValueDate(IborIndex,X2270,Trigger)</f>
        <v>54753</v>
      </c>
      <c r="Z2270" s="203">
        <v>3.4378497670804531E-2</v>
      </c>
      <c r="AA2270" s="200">
        <v>3.4263482192926631E-2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54757</v>
      </c>
      <c r="Y2271" s="202">
        <f>_xll.qlInterestRateIndexValueDate(IborIndex,X2271,Trigger)</f>
        <v>54759</v>
      </c>
      <c r="Z2271" s="203">
        <v>3.4368459948377783E-2</v>
      </c>
      <c r="AA2271" s="200">
        <v>3.4258322342139991E-2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54764</v>
      </c>
      <c r="Y2272" s="202">
        <f>_xll.qlInterestRateIndexValueDate(IborIndex,X2272,Trigger)</f>
        <v>54766</v>
      </c>
      <c r="Z2272" s="203">
        <v>3.4362333121841893E-2</v>
      </c>
      <c r="AA2272" s="200">
        <v>3.4252294856029764E-2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54771</v>
      </c>
      <c r="Y2273" s="202">
        <f>_xll.qlInterestRateIndexValueDate(IborIndex,X2273,Trigger)</f>
        <v>54773</v>
      </c>
      <c r="Z2273" s="203">
        <v>3.4356197985065506E-2</v>
      </c>
      <c r="AA2273" s="200">
        <v>3.4246259120678246E-2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54778</v>
      </c>
      <c r="Y2274" s="202">
        <f>_xll.qlInterestRateIndexValueDate(IborIndex,X2274,Trigger)</f>
        <v>54780</v>
      </c>
      <c r="Z2274" s="203">
        <v>3.4350054538083263E-2</v>
      </c>
      <c r="AA2274" s="200">
        <v>3.4239351035934007E-2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54786</v>
      </c>
      <c r="Y2275" s="202">
        <f>_xll.qlInterestRateIndexValueDate(IborIndex,X2275,Trigger)</f>
        <v>54792</v>
      </c>
      <c r="Z2275" s="203">
        <v>3.4339503580850916E-2</v>
      </c>
      <c r="AA2275" s="200">
        <v>3.4231566561588878E-2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54793</v>
      </c>
      <c r="Y2276" s="202">
        <f>_xll.qlInterestRateIndexValueDate(IborIndex,X2276,Trigger)</f>
        <v>54795</v>
      </c>
      <c r="Z2276" s="203">
        <v>3.4336862025672765E-2</v>
      </c>
      <c r="AA2276" s="200">
        <v>3.4227235961230562E-2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54800</v>
      </c>
      <c r="Y2277" s="202">
        <f>_xll.qlInterestRateIndexValueDate(IborIndex,X2277,Trigger)</f>
        <v>54802</v>
      </c>
      <c r="Z2277" s="203">
        <v>3.4330692461153944E-2</v>
      </c>
      <c r="AA2277" s="200">
        <v>3.4220298246108172E-2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54807</v>
      </c>
      <c r="Y2278" s="202">
        <f>_xll.qlInterestRateIndexValueDate(IborIndex,X2278,Trigger)</f>
        <v>54809</v>
      </c>
      <c r="Z2278" s="203">
        <v>3.4324514586589139E-2</v>
      </c>
      <c r="AA2278" s="200">
        <v>3.4215087888922469E-2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54814</v>
      </c>
      <c r="Y2279" s="202">
        <f>_xll.qlInterestRateIndexValueDate(IborIndex,X2279,Trigger)</f>
        <v>54816</v>
      </c>
      <c r="Z2279" s="203">
        <v>3.4318328402015652E-2</v>
      </c>
      <c r="AA2279" s="200">
        <v>3.4209001478586742E-2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54821</v>
      </c>
      <c r="Y2280" s="202">
        <f>_xll.qlInterestRateIndexValueDate(IborIndex,X2280,Trigger)</f>
        <v>54823</v>
      </c>
      <c r="Z2280" s="203">
        <v>3.4310947408124001E-2</v>
      </c>
      <c r="AA2280" s="200">
        <v>3.4202906819089662E-2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54828</v>
      </c>
      <c r="Y2281" s="202">
        <f>_xll.qlInterestRateIndexValueDate(IborIndex,X2281,Trigger)</f>
        <v>54830</v>
      </c>
      <c r="Z2281" s="203">
        <v>3.4304745785759594E-2</v>
      </c>
      <c r="AA2281" s="200">
        <v>3.4196803909951612E-2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54835</v>
      </c>
      <c r="Y2282" s="202">
        <f>_xll.qlInterestRateIndexValueDate(IborIndex,X2282,Trigger)</f>
        <v>54837</v>
      </c>
      <c r="Z2282" s="203">
        <v>3.4298535854181196E-2</v>
      </c>
      <c r="AA2282" s="200">
        <v>3.418981905557672E-2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54842</v>
      </c>
      <c r="Y2283" s="202">
        <f>_xll.qlInterestRateIndexValueDate(IborIndex,X2283,Trigger)</f>
        <v>54844</v>
      </c>
      <c r="Z2283" s="203">
        <v>3.429231761342743E-2</v>
      </c>
      <c r="AA2283" s="200">
        <v>3.4184573343871705E-2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54849</v>
      </c>
      <c r="Y2284" s="202">
        <f>_xll.qlInterestRateIndexValueDate(IborIndex,X2284,Trigger)</f>
        <v>54851</v>
      </c>
      <c r="Z2284" s="203">
        <v>3.4291999515441103E-2</v>
      </c>
      <c r="AA2284" s="200">
        <v>3.4178445686769976E-2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54856</v>
      </c>
      <c r="Y2285" s="202">
        <f>_xll.qlInterestRateIndexValueDate(IborIndex,X2285,Trigger)</f>
        <v>54858</v>
      </c>
      <c r="Z2285" s="203">
        <v>3.4285758730783537E-2</v>
      </c>
      <c r="AA2285" s="200">
        <v>3.4172309780347021E-2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54863</v>
      </c>
      <c r="Y2286" s="202">
        <f>_xll.qlInterestRateIndexValueDate(IborIndex,X2286,Trigger)</f>
        <v>54865</v>
      </c>
      <c r="Z2286" s="203">
        <v>3.4279509633674828E-2</v>
      </c>
      <c r="AA2286" s="200">
        <v>3.4166165624442968E-2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54870</v>
      </c>
      <c r="Y2287" s="202">
        <f>_xll.qlInterestRateIndexValueDate(IborIndex,X2287,Trigger)</f>
        <v>54872</v>
      </c>
      <c r="Z2287" s="203">
        <v>3.4273252224155774E-2</v>
      </c>
      <c r="AA2287" s="200">
        <v>3.4160013219297625E-2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54877</v>
      </c>
      <c r="Y2288" s="202">
        <f>_xll.qlInterestRateIndexValueDate(IborIndex,X2288,Trigger)</f>
        <v>54879</v>
      </c>
      <c r="Z2288" s="203">
        <v>3.4263455781447037E-2</v>
      </c>
      <c r="AA2288" s="200">
        <v>3.4153852564511311E-2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54884</v>
      </c>
      <c r="Y2289" s="202">
        <f>_xll.qlInterestRateIndexValueDate(IborIndex,X2289,Trigger)</f>
        <v>54890</v>
      </c>
      <c r="Z2289" s="203">
        <v>3.4253598454227943E-2</v>
      </c>
      <c r="AA2289" s="200">
        <v>3.4145919601424879E-2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54891</v>
      </c>
      <c r="Y2290" s="202">
        <f>_xll.qlInterestRateIndexValueDate(IborIndex,X2290,Trigger)</f>
        <v>54893</v>
      </c>
      <c r="Z2290" s="203">
        <v>3.4250906530720104E-2</v>
      </c>
      <c r="AA2290" s="200">
        <v>3.4141506507134878E-2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54898</v>
      </c>
      <c r="Y2291" s="202">
        <f>_xll.qlInterestRateIndexValueDate(IborIndex,X2291,Trigger)</f>
        <v>54900</v>
      </c>
      <c r="Z2291" s="203">
        <v>3.4244619440004814E-2</v>
      </c>
      <c r="AA2291" s="200">
        <v>3.4135321104384886E-2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54905</v>
      </c>
      <c r="Y2292" s="202">
        <f>_xll.qlInterestRateIndexValueDate(IborIndex,X2292,Trigger)</f>
        <v>54907</v>
      </c>
      <c r="Z2292" s="203">
        <v>3.4238324039107086E-2</v>
      </c>
      <c r="AA2292" s="200">
        <v>3.4129127452313668E-2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54912</v>
      </c>
      <c r="Y2293" s="202">
        <f>_xll.qlInterestRateIndexValueDate(IborIndex,X2293,Trigger)</f>
        <v>54914</v>
      </c>
      <c r="Z2293" s="203">
        <v>3.4235533208687323E-2</v>
      </c>
      <c r="AA2293" s="200">
        <v>3.4122925550921224E-2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54919</v>
      </c>
      <c r="Y2294" s="202">
        <f>_xll.qlInterestRateIndexValueDate(IborIndex,X2294,Trigger)</f>
        <v>54921</v>
      </c>
      <c r="Z2294" s="203">
        <v>3.4229217613430341E-2</v>
      </c>
      <c r="AA2294" s="200">
        <v>3.4116715399967745E-2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54926</v>
      </c>
      <c r="Y2295" s="202">
        <f>_xll.qlInterestRateIndexValueDate(IborIndex,X2295,Trigger)</f>
        <v>54928</v>
      </c>
      <c r="Z2295" s="203">
        <v>3.4222893706086173E-2</v>
      </c>
      <c r="AA2295" s="200">
        <v>3.4110496999693041E-2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54933</v>
      </c>
      <c r="Y2296" s="202">
        <f>_xll.qlInterestRateIndexValueDate(IborIndex,X2296,Trigger)</f>
        <v>54935</v>
      </c>
      <c r="Z2296" s="203">
        <v>3.4217728790556269E-2</v>
      </c>
      <c r="AA2296" s="200">
        <v>3.4103380155219298E-2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54940</v>
      </c>
      <c r="Y2297" s="202">
        <f>_xll.qlInterestRateIndexValueDate(IborIndex,X2297,Trigger)</f>
        <v>54942</v>
      </c>
      <c r="Z2297" s="203">
        <v>3.4211387065465095E-2</v>
      </c>
      <c r="AA2297" s="200">
        <v>3.4098035451179953E-2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54947</v>
      </c>
      <c r="Y2298" s="202">
        <f>_xll.qlInterestRateIndexValueDate(IborIndex,X2298,Trigger)</f>
        <v>54949</v>
      </c>
      <c r="Z2298" s="203">
        <v>3.4203872111945519E-2</v>
      </c>
      <c r="AA2298" s="200">
        <v>3.4091792302781698E-2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54954</v>
      </c>
      <c r="Y2299" s="202">
        <f>_xll.qlInterestRateIndexValueDate(IborIndex,X2299,Trigger)</f>
        <v>54956</v>
      </c>
      <c r="Z2299" s="203">
        <v>3.4197514956667584E-2</v>
      </c>
      <c r="AA2299" s="200">
        <v>3.4085540905062217E-2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54961</v>
      </c>
      <c r="Y2300" s="202">
        <f>_xll.qlInterestRateIndexValueDate(IborIndex,X2300,Trigger)</f>
        <v>54963</v>
      </c>
      <c r="Z2300" s="203">
        <v>3.4191149489507404E-2</v>
      </c>
      <c r="AA2300" s="200">
        <v>3.407928125802151E-2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54968</v>
      </c>
      <c r="Y2301" s="202">
        <f>_xll.qlInterestRateIndexValueDate(IborIndex,X2301,Trigger)</f>
        <v>54970</v>
      </c>
      <c r="Z2301" s="203">
        <v>3.418477571050834E-2</v>
      </c>
      <c r="AA2301" s="200">
        <v>3.407211727421533E-2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54975</v>
      </c>
      <c r="Y2302" s="202">
        <f>_xll.qlInterestRateIndexValueDate(IborIndex,X2302,Trigger)</f>
        <v>54977</v>
      </c>
      <c r="Z2302" s="203">
        <v>3.4179553751301051E-2</v>
      </c>
      <c r="AA2302" s="200">
        <v>3.4066737215576737E-2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54982</v>
      </c>
      <c r="Y2303" s="202">
        <f>_xll.qlInterestRateIndexValueDate(IborIndex,X2303,Trigger)</f>
        <v>54984</v>
      </c>
      <c r="Z2303" s="203">
        <v>3.4172003217153468E-2</v>
      </c>
      <c r="AA2303" s="200">
        <v>3.4060452820332543E-2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54989</v>
      </c>
      <c r="Y2304" s="202">
        <f>_xll.qlInterestRateIndexValueDate(IborIndex,X2304,Trigger)</f>
        <v>54991</v>
      </c>
      <c r="Z2304" s="203">
        <v>3.4165604502880982E-2</v>
      </c>
      <c r="AA2304" s="200">
        <v>3.4054160175847059E-2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54996</v>
      </c>
      <c r="Y2305" s="202">
        <f>_xll.qlInterestRateIndexValueDate(IborIndex,X2305,Trigger)</f>
        <v>54998</v>
      </c>
      <c r="Z2305" s="203">
        <v>3.4159197476932905E-2</v>
      </c>
      <c r="AA2305" s="200">
        <v>3.4047859281960413E-2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55003</v>
      </c>
      <c r="Y2306" s="202">
        <f>_xll.qlInterestRateIndexValueDate(IborIndex,X2306,Trigger)</f>
        <v>55005</v>
      </c>
      <c r="Z2306" s="203">
        <v>3.4152782139352585E-2</v>
      </c>
      <c r="AA2306" s="200">
        <v>3.4041550138592669E-2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55010</v>
      </c>
      <c r="Y2307" s="202">
        <f>_xll.qlInterestRateIndexValueDate(IborIndex,X2307,Trigger)</f>
        <v>55012</v>
      </c>
      <c r="Z2307" s="203">
        <v>3.4146358490180002E-2</v>
      </c>
      <c r="AA2307" s="200">
        <v>3.4035232745983635E-2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55017</v>
      </c>
      <c r="Y2308" s="202">
        <f>_xll.qlInterestRateIndexValueDate(IborIndex,X2308,Trigger)</f>
        <v>55019</v>
      </c>
      <c r="Z2308" s="203">
        <v>3.4139926529455127E-2</v>
      </c>
      <c r="AA2308" s="200">
        <v>3.4028907103973438E-2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55024</v>
      </c>
      <c r="Y2309" s="202">
        <f>_xll.qlInterestRateIndexValueDate(IborIndex,X2309,Trigger)</f>
        <v>55026</v>
      </c>
      <c r="Z2309" s="203">
        <v>3.4133486257223018E-2</v>
      </c>
      <c r="AA2309" s="200">
        <v>3.4022573212562079E-2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55031</v>
      </c>
      <c r="Y2310" s="202">
        <f>_xll.qlInterestRateIndexValueDate(IborIndex,X2310,Trigger)</f>
        <v>55033</v>
      </c>
      <c r="Z2310" s="203">
        <v>3.4123585826916859E-2</v>
      </c>
      <c r="AA2310" s="200">
        <v>3.4015324378149359E-2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55038</v>
      </c>
      <c r="Y2311" s="202">
        <f>_xll.qlInterestRateIndexValueDate(IborIndex,X2311,Trigger)</f>
        <v>55040</v>
      </c>
      <c r="Z2311" s="203">
        <v>3.4117132540093263E-2</v>
      </c>
      <c r="AA2311" s="200">
        <v>3.4009880681535876E-2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55045</v>
      </c>
      <c r="Y2312" s="202">
        <f>_xll.qlInterestRateIndexValueDate(IborIndex,X2312,Trigger)</f>
        <v>55047</v>
      </c>
      <c r="Z2312" s="203">
        <v>3.4110670943887478E-2</v>
      </c>
      <c r="AA2312" s="200">
        <v>3.4003522042080903E-2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55052</v>
      </c>
      <c r="Y2313" s="202">
        <f>_xll.qlInterestRateIndexValueDate(IborIndex,X2313,Trigger)</f>
        <v>55054</v>
      </c>
      <c r="Z2313" s="203">
        <v>3.4104201038336383E-2</v>
      </c>
      <c r="AA2313" s="200">
        <v>3.3997155153144831E-2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55059</v>
      </c>
      <c r="Y2314" s="202">
        <f>_xll.qlInterestRateIndexValueDate(IborIndex,X2314,Trigger)</f>
        <v>55061</v>
      </c>
      <c r="Z2314" s="203">
        <v>3.4097722823480406E-2</v>
      </c>
      <c r="AA2314" s="200">
        <v>3.3990780014887534E-2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55066</v>
      </c>
      <c r="Y2315" s="202">
        <f>_xll.qlInterestRateIndexValueDate(IborIndex,X2315,Trigger)</f>
        <v>55068</v>
      </c>
      <c r="Z2315" s="203">
        <v>3.4094670084466136E-2</v>
      </c>
      <c r="AA2315" s="200">
        <v>3.3983484041382184E-2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55073</v>
      </c>
      <c r="Y2316" s="202">
        <f>_xll.qlInterestRateIndexValueDate(IborIndex,X2316,Trigger)</f>
        <v>55075</v>
      </c>
      <c r="Z2316" s="203">
        <v>3.4089314935450629E-2</v>
      </c>
      <c r="AA2316" s="200">
        <v>3.3978004990489197E-2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55080</v>
      </c>
      <c r="Y2317" s="202">
        <f>_xll.qlInterestRateIndexValueDate(IborIndex,X2317,Trigger)</f>
        <v>55082</v>
      </c>
      <c r="Z2317" s="203">
        <v>3.4081664870033959E-2</v>
      </c>
      <c r="AA2317" s="200">
        <v>3.3971605104028413E-2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55087</v>
      </c>
      <c r="Y2318" s="202">
        <f>_xll.qlInterestRateIndexValueDate(IborIndex,X2318,Trigger)</f>
        <v>55089</v>
      </c>
      <c r="Z2318" s="203">
        <v>3.4075149796096597E-2</v>
      </c>
      <c r="AA2318" s="200">
        <v>3.3965196968326339E-2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55094</v>
      </c>
      <c r="Y2319" s="202">
        <f>_xll.qlInterestRateIndexValueDate(IborIndex,X2319,Trigger)</f>
        <v>55096</v>
      </c>
      <c r="Z2319" s="203">
        <v>3.4068626411068691E-2</v>
      </c>
      <c r="AA2319" s="200">
        <v>3.3958780583303039E-2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55101</v>
      </c>
      <c r="Y2320" s="202">
        <f>_xll.qlInterestRateIndexValueDate(IborIndex,X2320,Trigger)</f>
        <v>55106</v>
      </c>
      <c r="Z2320" s="203">
        <v>3.4057016836939957E-2</v>
      </c>
      <c r="AA2320" s="200">
        <v>3.3951437470625123E-2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55108</v>
      </c>
      <c r="Y2321" s="202">
        <f>_xll.qlInterestRateIndexValueDate(IborIndex,X2321,Trigger)</f>
        <v>55110</v>
      </c>
      <c r="Z2321" s="203">
        <v>3.4056691968566109E-2</v>
      </c>
      <c r="AA2321" s="200">
        <v>3.3945923065132888E-2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55115</v>
      </c>
      <c r="Y2322" s="202">
        <f>_xll.qlInterestRateIndexValueDate(IborIndex,X2322,Trigger)</f>
        <v>55117</v>
      </c>
      <c r="Z2322" s="203">
        <v>3.4049006389863544E-2</v>
      </c>
      <c r="AA2322" s="200">
        <v>3.3939481931986037E-2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55122</v>
      </c>
      <c r="Y2323" s="202">
        <f>_xll.qlInterestRateIndexValueDate(IborIndex,X2323,Trigger)</f>
        <v>55124</v>
      </c>
      <c r="Z2323" s="203">
        <v>3.4037909961686097E-2</v>
      </c>
      <c r="AA2323" s="200">
        <v>3.3933032549597897E-2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55129</v>
      </c>
      <c r="Y2324" s="202">
        <f>_xll.qlInterestRateIndexValueDate(IborIndex,X2324,Trigger)</f>
        <v>55131</v>
      </c>
      <c r="Z2324" s="203">
        <v>3.4031349867114535E-2</v>
      </c>
      <c r="AA2324" s="200">
        <v>3.392657491748885E-2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55136</v>
      </c>
      <c r="Y2325" s="202">
        <f>_xll.qlInterestRateIndexValueDate(IborIndex,X2325,Trigger)</f>
        <v>55138</v>
      </c>
      <c r="Z2325" s="203">
        <v>3.4024781464346177E-2</v>
      </c>
      <c r="AA2325" s="200">
        <v>3.3920109036378321E-2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55143</v>
      </c>
      <c r="Y2326" s="202">
        <f>_xll.qlInterestRateIndexValueDate(IborIndex,X2326,Trigger)</f>
        <v>55145</v>
      </c>
      <c r="Z2326" s="203">
        <v>3.4018204753425429E-2</v>
      </c>
      <c r="AA2326" s="200">
        <v>3.3912709356549442E-2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55150</v>
      </c>
      <c r="Y2327" s="202">
        <f>_xll.qlInterestRateIndexValueDate(IborIndex,X2327,Trigger)</f>
        <v>55152</v>
      </c>
      <c r="Z2327" s="203">
        <v>3.4011619734389598E-2</v>
      </c>
      <c r="AA2327" s="200">
        <v>3.3906225798219225E-2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55157</v>
      </c>
      <c r="Y2328" s="202">
        <f>_xll.qlInterestRateIndexValueDate(IborIndex,X2328,Trigger)</f>
        <v>55159</v>
      </c>
      <c r="Z2328" s="203">
        <v>3.4005026407280425E-2</v>
      </c>
      <c r="AA2328" s="200">
        <v>3.3900661896479889E-2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55164</v>
      </c>
      <c r="Y2329" s="202">
        <f>_xll.qlInterestRateIndexValueDate(IborIndex,X2329,Trigger)</f>
        <v>55166</v>
      </c>
      <c r="Z2329" s="203">
        <v>3.3998424772137881E-2</v>
      </c>
      <c r="AA2329" s="200">
        <v>3.3893233933275368E-2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55171</v>
      </c>
      <c r="Y2330" s="202">
        <f>_xll.qlInterestRateIndexValueDate(IborIndex,X2330,Trigger)</f>
        <v>55173</v>
      </c>
      <c r="Z2330" s="203">
        <v>3.3991814829005484E-2</v>
      </c>
      <c r="AA2330" s="200">
        <v>3.3887655889968116E-2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55178</v>
      </c>
      <c r="Y2331" s="202">
        <f>_xll.qlInterestRateIndexValueDate(IborIndex,X2331,Trigger)</f>
        <v>55180</v>
      </c>
      <c r="Z2331" s="203">
        <v>3.3985196577919652E-2</v>
      </c>
      <c r="AA2331" s="200">
        <v>3.3881140512450614E-2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55185</v>
      </c>
      <c r="Y2332" s="202">
        <f>_xll.qlInterestRateIndexValueDate(IborIndex,X2332,Trigger)</f>
        <v>55187</v>
      </c>
      <c r="Z2332" s="203">
        <v>3.3977445880832645E-2</v>
      </c>
      <c r="AA2332" s="200">
        <v>3.3874616885771758E-2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55192</v>
      </c>
      <c r="Y2333" s="202">
        <f>_xll.qlInterestRateIndexValueDate(IborIndex,X2333,Trigger)</f>
        <v>55194</v>
      </c>
      <c r="Z2333" s="203">
        <v>3.3970812230833897E-2</v>
      </c>
      <c r="AA2333" s="200">
        <v>3.3868085009771676E-2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55199</v>
      </c>
      <c r="Y2334" s="202">
        <f>_xll.qlInterestRateIndexValueDate(IborIndex,X2334,Trigger)</f>
        <v>55201</v>
      </c>
      <c r="Z2334" s="203">
        <v>3.3964170273665363E-2</v>
      </c>
      <c r="AA2334" s="200">
        <v>3.3860609907314654E-2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55206</v>
      </c>
      <c r="Y2335" s="202">
        <f>_xll.qlInterestRateIndexValueDate(IborIndex,X2335,Trigger)</f>
        <v>55208</v>
      </c>
      <c r="Z2335" s="203">
        <v>3.3957520009364771E-2</v>
      </c>
      <c r="AA2335" s="200">
        <v>3.3854996509328217E-2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55213</v>
      </c>
      <c r="Y2336" s="202">
        <f>_xll.qlInterestRateIndexValueDate(IborIndex,X2336,Trigger)</f>
        <v>55215</v>
      </c>
      <c r="Z2336" s="203">
        <v>3.3956457309749923E-2</v>
      </c>
      <c r="AA2336" s="200">
        <v>3.3848439885444392E-2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55220</v>
      </c>
      <c r="Y2337" s="202">
        <f>_xll.qlInterestRateIndexValueDate(IborIndex,X2337,Trigger)</f>
        <v>55222</v>
      </c>
      <c r="Z2337" s="203">
        <v>3.3949784332346938E-2</v>
      </c>
      <c r="AA2337" s="200">
        <v>3.3841875011839662E-2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55227</v>
      </c>
      <c r="Y2338" s="202">
        <f>_xll.qlInterestRateIndexValueDate(IborIndex,X2338,Trigger)</f>
        <v>55229</v>
      </c>
      <c r="Z2338" s="203">
        <v>3.3943103044661277E-2</v>
      </c>
      <c r="AA2338" s="200">
        <v>3.3835301888913705E-2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55234</v>
      </c>
      <c r="Y2339" s="202">
        <f>_xll.qlInterestRateIndexValueDate(IborIndex,X2339,Trigger)</f>
        <v>55236</v>
      </c>
      <c r="Z2339" s="203">
        <v>3.3936413446737167E-2</v>
      </c>
      <c r="AA2339" s="200">
        <v>3.3828720516826394E-2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55241</v>
      </c>
      <c r="Y2340" s="202">
        <f>_xll.qlInterestRateIndexValueDate(IborIndex,X2340,Trigger)</f>
        <v>55247</v>
      </c>
      <c r="Z2340" s="203">
        <v>3.392365738646165E-2</v>
      </c>
      <c r="AA2340" s="200">
        <v>3.3820246630993367E-2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55248</v>
      </c>
      <c r="Y2341" s="202">
        <f>_xll.qlInterestRateIndexValueDate(IborIndex,X2341,Trigger)</f>
        <v>55250</v>
      </c>
      <c r="Z2341" s="203">
        <v>3.3919670254613114E-2</v>
      </c>
      <c r="AA2341" s="200">
        <v>3.3815533024368349E-2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55255</v>
      </c>
      <c r="Y2342" s="202">
        <f>_xll.qlInterestRateIndexValueDate(IborIndex,X2342,Trigger)</f>
        <v>55257</v>
      </c>
      <c r="Z2342" s="203">
        <v>3.3912959395873195E-2</v>
      </c>
      <c r="AA2342" s="200">
        <v>3.380892690391768E-2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55262</v>
      </c>
      <c r="Y2343" s="202">
        <f>_xll.qlInterestRateIndexValueDate(IborIndex,X2343,Trigger)</f>
        <v>55264</v>
      </c>
      <c r="Z2343" s="203">
        <v>3.3906240229025664E-2</v>
      </c>
      <c r="AA2343" s="200">
        <v>3.3802312534465528E-2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55269</v>
      </c>
      <c r="Y2344" s="202">
        <f>_xll.qlInterestRateIndexValueDate(IborIndex,X2344,Trigger)</f>
        <v>55271</v>
      </c>
      <c r="Z2344" s="203">
        <v>3.3902840805064512E-2</v>
      </c>
      <c r="AA2344" s="200">
        <v>3.3795689915452343E-2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55276</v>
      </c>
      <c r="Y2345" s="202">
        <f>_xll.qlInterestRateIndexValueDate(IborIndex,X2345,Trigger)</f>
        <v>55278</v>
      </c>
      <c r="Z2345" s="203">
        <v>3.3896101346622132E-2</v>
      </c>
      <c r="AA2345" s="200">
        <v>3.3789059047277803E-2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55283</v>
      </c>
      <c r="Y2346" s="202">
        <f>_xll.qlInterestRateIndexValueDate(IborIndex,X2346,Trigger)</f>
        <v>55285</v>
      </c>
      <c r="Z2346" s="203">
        <v>3.388935357824828E-2</v>
      </c>
      <c r="AA2346" s="200">
        <v>3.3782419929462293E-2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55290</v>
      </c>
      <c r="Y2347" s="202">
        <f>_xll.qlInterestRateIndexValueDate(IborIndex,X2347,Trigger)</f>
        <v>55292</v>
      </c>
      <c r="Z2347" s="203">
        <v>3.3882597499978684E-2</v>
      </c>
      <c r="AA2347" s="200">
        <v>3.3775772562485429E-2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55297</v>
      </c>
      <c r="Y2348" s="202">
        <f>_xll.qlInterestRateIndexValueDate(IborIndex,X2348,Trigger)</f>
        <v>55299</v>
      </c>
      <c r="Z2348" s="203">
        <v>3.3876937461520998E-2</v>
      </c>
      <c r="AA2348" s="200">
        <v>3.3768165470329237E-2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55304</v>
      </c>
      <c r="Y2349" s="202">
        <f>_xll.qlInterestRateIndexValueDate(IborIndex,X2349,Trigger)</f>
        <v>55306</v>
      </c>
      <c r="Z2349" s="203">
        <v>3.387016353553076E-2</v>
      </c>
      <c r="AA2349" s="200">
        <v>3.3762453080328214E-2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55311</v>
      </c>
      <c r="Y2350" s="202">
        <f>_xll.qlInterestRateIndexValueDate(IborIndex,X2350,Trigger)</f>
        <v>55313</v>
      </c>
      <c r="Z2350" s="203">
        <v>3.3862279406271602E-2</v>
      </c>
      <c r="AA2350" s="200">
        <v>3.37557809652278E-2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55318</v>
      </c>
      <c r="Y2351" s="202">
        <f>_xll.qlInterestRateIndexValueDate(IborIndex,X2351,Trigger)</f>
        <v>55320</v>
      </c>
      <c r="Z2351" s="203">
        <v>3.3855490088876512E-2</v>
      </c>
      <c r="AA2351" s="200">
        <v>3.3749100601045967E-2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55325</v>
      </c>
      <c r="Y2352" s="202">
        <f>_xll.qlInterestRateIndexValueDate(IborIndex,X2352,Trigger)</f>
        <v>55327</v>
      </c>
      <c r="Z2352" s="203">
        <v>3.3848692461811873E-2</v>
      </c>
      <c r="AA2352" s="200">
        <v>3.3742411987223164E-2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55332</v>
      </c>
      <c r="Y2353" s="202">
        <f>_xll.qlInterestRateIndexValueDate(IborIndex,X2353,Trigger)</f>
        <v>55334</v>
      </c>
      <c r="Z2353" s="203">
        <v>3.3838591623847399E-2</v>
      </c>
      <c r="AA2353" s="200">
        <v>3.3734757755894407E-2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55339</v>
      </c>
      <c r="Y2354" s="202">
        <f>_xll.qlInterestRateIndexValueDate(IborIndex,X2354,Trigger)</f>
        <v>55341</v>
      </c>
      <c r="Z2354" s="203">
        <v>3.3836169250341858E-2</v>
      </c>
      <c r="AA2354" s="200">
        <v>3.372901001161388E-2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55346</v>
      </c>
      <c r="Y2355" s="202">
        <f>_xll.qlInterestRateIndexValueDate(IborIndex,X2355,Trigger)</f>
        <v>55348</v>
      </c>
      <c r="Z2355" s="203">
        <v>3.3828249723024152E-2</v>
      </c>
      <c r="AA2355" s="200">
        <v>3.3722296649827399E-2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55353</v>
      </c>
      <c r="Y2356" s="202">
        <f>_xll.qlInterestRateIndexValueDate(IborIndex,X2356,Trigger)</f>
        <v>55355</v>
      </c>
      <c r="Z2356" s="203">
        <v>3.3821418857710762E-2</v>
      </c>
      <c r="AA2356" s="200">
        <v>3.3715575038719692E-2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55360</v>
      </c>
      <c r="Y2357" s="202">
        <f>_xll.qlInterestRateIndexValueDate(IborIndex,X2357,Trigger)</f>
        <v>55362</v>
      </c>
      <c r="Z2357" s="203">
        <v>3.3814579682943824E-2</v>
      </c>
      <c r="AA2357" s="200">
        <v>3.3708845178130886E-2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55367</v>
      </c>
      <c r="Y2358" s="202">
        <f>_xll.qlInterestRateIndexValueDate(IborIndex,X2358,Trigger)</f>
        <v>55369</v>
      </c>
      <c r="Z2358" s="203">
        <v>3.3807732198769251E-2</v>
      </c>
      <c r="AA2358" s="200">
        <v>3.3702107068300791E-2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55374</v>
      </c>
      <c r="Y2359" s="202">
        <f>_xll.qlInterestRateIndexValueDate(IborIndex,X2359,Trigger)</f>
        <v>55376</v>
      </c>
      <c r="Z2359" s="203">
        <v>3.3800876405232119E-2</v>
      </c>
      <c r="AA2359" s="200">
        <v>3.3695360709149469E-2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55381</v>
      </c>
      <c r="Y2360" s="202">
        <f>_xll.qlInterestRateIndexValueDate(IborIndex,X2360,Trigger)</f>
        <v>55383</v>
      </c>
      <c r="Z2360" s="203">
        <v>3.3794012302375796E-2</v>
      </c>
      <c r="AA2360" s="200">
        <v>3.3688606100517049E-2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55388</v>
      </c>
      <c r="Y2361" s="202">
        <f>_xll.qlInterestRateIndexValueDate(IborIndex,X2361,Trigger)</f>
        <v>55390</v>
      </c>
      <c r="Z2361" s="203">
        <v>3.3787139890244511E-2</v>
      </c>
      <c r="AA2361" s="200">
        <v>3.3681843242643339E-2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55395</v>
      </c>
      <c r="Y2362" s="202">
        <f>_xll.qlInterestRateIndexValueDate(IborIndex,X2362,Trigger)</f>
        <v>55397</v>
      </c>
      <c r="Z2362" s="203">
        <v>3.3776997574484081E-2</v>
      </c>
      <c r="AA2362" s="200">
        <v>3.3674104161107721E-2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55402</v>
      </c>
      <c r="Y2363" s="202">
        <f>_xll.qlInterestRateIndexValueDate(IborIndex,X2363,Trigger)</f>
        <v>55404</v>
      </c>
      <c r="Z2363" s="203">
        <v>3.3770112254359046E-2</v>
      </c>
      <c r="AA2363" s="200">
        <v>3.3668292779012177E-2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55409</v>
      </c>
      <c r="Y2364" s="202">
        <f>_xll.qlInterestRateIndexValueDate(IborIndex,X2364,Trigger)</f>
        <v>55411</v>
      </c>
      <c r="Z2364" s="203">
        <v>3.3763218627017116E-2</v>
      </c>
      <c r="AA2364" s="200">
        <v>3.3661505173094852E-2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55416</v>
      </c>
      <c r="Y2365" s="202">
        <f>_xll.qlInterestRateIndexValueDate(IborIndex,X2365,Trigger)</f>
        <v>55418</v>
      </c>
      <c r="Z2365" s="203">
        <v>3.3756316692501336E-2</v>
      </c>
      <c r="AA2365" s="200">
        <v>3.3654709317936238E-2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55423</v>
      </c>
      <c r="Y2366" s="202">
        <f>_xll.qlInterestRateIndexValueDate(IborIndex,X2366,Trigger)</f>
        <v>55425</v>
      </c>
      <c r="Z2366" s="203">
        <v>3.3749406450859137E-2</v>
      </c>
      <c r="AA2366" s="200">
        <v>3.3647905213376461E-2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55430</v>
      </c>
      <c r="Y2367" s="202">
        <f>_xll.qlInterestRateIndexValueDate(IborIndex,X2367,Trigger)</f>
        <v>55432</v>
      </c>
      <c r="Z2367" s="203">
        <v>3.3745730925166362E-2</v>
      </c>
      <c r="AA2367" s="200">
        <v>3.3640118992668278E-2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55437</v>
      </c>
      <c r="Y2368" s="202">
        <f>_xll.qlInterestRateIndexValueDate(IborIndex,X2368,Trigger)</f>
        <v>55439</v>
      </c>
      <c r="Z2368" s="203">
        <v>3.3739880014844875E-2</v>
      </c>
      <c r="AA2368" s="200">
        <v>3.3634272256053421E-2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55444</v>
      </c>
      <c r="Y2369" s="202">
        <f>_xll.qlInterestRateIndexValueDate(IborIndex,X2369,Trigger)</f>
        <v>55446</v>
      </c>
      <c r="Z2369" s="203">
        <v>3.3731861464622911E-2</v>
      </c>
      <c r="AA2369" s="200">
        <v>3.3627443403529966E-2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55451</v>
      </c>
      <c r="Y2370" s="202">
        <f>_xll.qlInterestRateIndexValueDate(IborIndex,X2370,Trigger)</f>
        <v>55453</v>
      </c>
      <c r="Z2370" s="203">
        <v>3.3724914271019542E-2</v>
      </c>
      <c r="AA2370" s="200">
        <v>3.3620606301605349E-2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55458</v>
      </c>
      <c r="Y2371" s="202">
        <f>_xll.qlInterestRateIndexValueDate(IborIndex,X2371,Trigger)</f>
        <v>55460</v>
      </c>
      <c r="Z2371" s="203">
        <v>3.3717958768588505E-2</v>
      </c>
      <c r="AA2371" s="200">
        <v>3.3613760950359506E-2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55465</v>
      </c>
      <c r="Y2372" s="202">
        <f>_xll.qlInterestRateIndexValueDate(IborIndex,X2372,Trigger)</f>
        <v>55470</v>
      </c>
      <c r="Z2372" s="203">
        <v>3.3705859438106972E-2</v>
      </c>
      <c r="AA2372" s="200">
        <v>3.3605927590558693E-2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55472</v>
      </c>
      <c r="Y2373" s="202">
        <f>_xll.qlInterestRateIndexValueDate(IborIndex,X2373,Trigger)</f>
        <v>55474</v>
      </c>
      <c r="Z2373" s="203">
        <v>3.3705096291737145E-2</v>
      </c>
      <c r="AA2373" s="200">
        <v>3.3600045499824205E-2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55479</v>
      </c>
      <c r="Y2374" s="202">
        <f>_xll.qlInterestRateIndexValueDate(IborIndex,X2374,Trigger)</f>
        <v>55481</v>
      </c>
      <c r="Z2374" s="203">
        <v>3.3697042408768176E-2</v>
      </c>
      <c r="AA2374" s="200">
        <v>3.3593175400454811E-2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55486</v>
      </c>
      <c r="Y2375" s="202">
        <f>_xll.qlInterestRateIndexValueDate(IborIndex,X2375,Trigger)</f>
        <v>55488</v>
      </c>
      <c r="Z2375" s="203">
        <v>3.3686840462406609E-2</v>
      </c>
      <c r="AA2375" s="200">
        <v>3.3586297051844127E-2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55493</v>
      </c>
      <c r="Y2376" s="202">
        <f>_xll.qlInterestRateIndexValueDate(IborIndex,X2376,Trigger)</f>
        <v>55495</v>
      </c>
      <c r="Z2376" s="203">
        <v>3.3679847151856172E-2</v>
      </c>
      <c r="AA2376" s="200">
        <v>3.3579410453912217E-2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55500</v>
      </c>
      <c r="Y2377" s="202">
        <f>_xll.qlInterestRateIndexValueDate(IborIndex,X2377,Trigger)</f>
        <v>55502</v>
      </c>
      <c r="Z2377" s="203">
        <v>3.3672845534655431E-2</v>
      </c>
      <c r="AA2377" s="200">
        <v>3.3572515606659081E-2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55507</v>
      </c>
      <c r="Y2378" s="202">
        <f>_xll.qlInterestRateIndexValueDate(IborIndex,X2378,Trigger)</f>
        <v>55509</v>
      </c>
      <c r="Z2378" s="203">
        <v>3.3665835610849175E-2</v>
      </c>
      <c r="AA2378" s="200">
        <v>3.3564625679947113E-2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55514</v>
      </c>
      <c r="Y2379" s="202">
        <f>_xll.qlInterestRateIndexValueDate(IborIndex,X2379,Trigger)</f>
        <v>55516</v>
      </c>
      <c r="Z2379" s="203">
        <v>3.3658817380476928E-2</v>
      </c>
      <c r="AA2379" s="200">
        <v>3.3557713155474289E-2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55521</v>
      </c>
      <c r="Y2380" s="202">
        <f>_xll.qlInterestRateIndexValueDate(IborIndex,X2380,Trigger)</f>
        <v>55523</v>
      </c>
      <c r="Z2380" s="203">
        <v>3.3651790843586139E-2</v>
      </c>
      <c r="AA2380" s="200">
        <v>3.3551781568732508E-2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55528</v>
      </c>
      <c r="Y2381" s="202">
        <f>_xll.qlInterestRateIndexValueDate(IborIndex,X2381,Trigger)</f>
        <v>55530</v>
      </c>
      <c r="Z2381" s="203">
        <v>3.3644756000219836E-2</v>
      </c>
      <c r="AA2381" s="200">
        <v>3.3543863358644899E-2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55535</v>
      </c>
      <c r="Y2382" s="202">
        <f>_xll.qlInterestRateIndexValueDate(IborIndex,X2382,Trigger)</f>
        <v>55537</v>
      </c>
      <c r="Z2382" s="203">
        <v>3.3641962106128027E-2</v>
      </c>
      <c r="AA2382" s="200">
        <v>3.3537917630015457E-2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55542</v>
      </c>
      <c r="Y2383" s="202">
        <f>_xll.qlInterestRateIndexValueDate(IborIndex,X2383,Trigger)</f>
        <v>55544</v>
      </c>
      <c r="Z2383" s="203">
        <v>3.36306613942364E-2</v>
      </c>
      <c r="AA2383" s="200">
        <v>3.35309732869149E-2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55549</v>
      </c>
      <c r="Y2384" s="202">
        <f>_xll.qlInterestRateIndexValueDate(IborIndex,X2384,Trigger)</f>
        <v>55551</v>
      </c>
      <c r="Z2384" s="203">
        <v>3.3622541683957508E-2</v>
      </c>
      <c r="AA2384" s="200">
        <v>3.3524020694173373E-2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55556</v>
      </c>
      <c r="Y2385" s="202">
        <f>_xll.qlInterestRateIndexValueDate(IborIndex,X2385,Trigger)</f>
        <v>55558</v>
      </c>
      <c r="Z2385" s="203">
        <v>3.3615474865649198E-2</v>
      </c>
      <c r="AA2385" s="200">
        <v>3.3517059852190556E-2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55563</v>
      </c>
      <c r="Y2386" s="202">
        <f>_xll.qlInterestRateIndexValueDate(IborIndex,X2386,Trigger)</f>
        <v>55565</v>
      </c>
      <c r="Z2386" s="203">
        <v>3.3608399741715367E-2</v>
      </c>
      <c r="AA2386" s="200">
        <v>3.3509094503090253E-2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55570</v>
      </c>
      <c r="Y2387" s="202">
        <f>_xll.qlInterestRateIndexValueDate(IborIndex,X2387,Trigger)</f>
        <v>55572</v>
      </c>
      <c r="Z2387" s="203">
        <v>3.3601316312203089E-2</v>
      </c>
      <c r="AA2387" s="200">
        <v>3.350311342034118E-2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55577</v>
      </c>
      <c r="Y2388" s="202">
        <f>_xll.qlInterestRateIndexValueDate(IborIndex,X2388,Trigger)</f>
        <v>55579</v>
      </c>
      <c r="Z2388" s="203">
        <v>3.3598444020172334E-2</v>
      </c>
      <c r="AA2388" s="200">
        <v>3.349612783047462E-2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55584</v>
      </c>
      <c r="Y2389" s="202">
        <f>_xll.qlInterestRateIndexValueDate(IborIndex,X2389,Trigger)</f>
        <v>55586</v>
      </c>
      <c r="Z2389" s="203">
        <v>3.3591338966556243E-2</v>
      </c>
      <c r="AA2389" s="200">
        <v>3.3489133991047026E-2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55591</v>
      </c>
      <c r="Y2390" s="202">
        <f>_xll.qlInterestRateIndexValueDate(IborIndex,X2390,Trigger)</f>
        <v>55593</v>
      </c>
      <c r="Z2390" s="203">
        <v>3.3584225604973074E-2</v>
      </c>
      <c r="AA2390" s="200">
        <v>3.3482131902617951E-2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55598</v>
      </c>
      <c r="Y2391" s="202">
        <f>_xll.qlInterestRateIndexValueDate(IborIndex,X2391,Trigger)</f>
        <v>55600</v>
      </c>
      <c r="Z2391" s="203">
        <v>3.3577103935468741E-2</v>
      </c>
      <c r="AA2391" s="200">
        <v>3.3475121564467969E-2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55605</v>
      </c>
      <c r="Y2392" s="202">
        <f>_xll.qlInterestRateIndexValueDate(IborIndex,X2392,Trigger)</f>
        <v>55607</v>
      </c>
      <c r="Z2392" s="203">
        <v>3.3566824508417623E-2</v>
      </c>
      <c r="AA2392" s="200">
        <v>3.3468102977236569E-2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55612</v>
      </c>
      <c r="Y2393" s="202">
        <f>_xll.qlInterestRateIndexValueDate(IborIndex,X2393,Trigger)</f>
        <v>55614</v>
      </c>
      <c r="Z2393" s="203">
        <v>3.3559689990788635E-2</v>
      </c>
      <c r="AA2393" s="200">
        <v>3.3461076140683943E-2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55619</v>
      </c>
      <c r="Y2394" s="202">
        <f>_xll.qlInterestRateIndexValueDate(IborIndex,X2394,Trigger)</f>
        <v>55621</v>
      </c>
      <c r="Z2394" s="203">
        <v>3.3552547167260381E-2</v>
      </c>
      <c r="AA2394" s="200">
        <v>3.3454041054730155E-2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55626</v>
      </c>
      <c r="Y2395" s="202">
        <f>_xll.qlInterestRateIndexValueDate(IborIndex,X2395,Trigger)</f>
        <v>55632</v>
      </c>
      <c r="Z2395" s="203">
        <v>3.3541305949089564E-2</v>
      </c>
      <c r="AA2395" s="200">
        <v>3.3444983822885632E-2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55633</v>
      </c>
      <c r="Y2396" s="202">
        <f>_xll.qlInterestRateIndexValueDate(IborIndex,X2396,Trigger)</f>
        <v>55635</v>
      </c>
      <c r="Z2396" s="203">
        <v>3.3538236602684394E-2</v>
      </c>
      <c r="AA2396" s="200">
        <v>3.34399461348589E-2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55640</v>
      </c>
      <c r="Y2397" s="202">
        <f>_xll.qlInterestRateIndexValueDate(IborIndex,X2397,Trigger)</f>
        <v>55642</v>
      </c>
      <c r="Z2397" s="203">
        <v>3.3534199454706537E-2</v>
      </c>
      <c r="AA2397" s="200">
        <v>3.3432886301021369E-2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55647</v>
      </c>
      <c r="Y2398" s="202">
        <f>_xll.qlInterestRateIndexValueDate(IborIndex,X2398,Trigger)</f>
        <v>55649</v>
      </c>
      <c r="Z2398" s="203">
        <v>3.3527019631050925E-2</v>
      </c>
      <c r="AA2398" s="200">
        <v>3.3425818217862613E-2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55654</v>
      </c>
      <c r="Y2399" s="202">
        <f>_xll.qlInterestRateIndexValueDate(IborIndex,X2399,Trigger)</f>
        <v>55656</v>
      </c>
      <c r="Z2399" s="203">
        <v>3.3519831499846622E-2</v>
      </c>
      <c r="AA2399" s="200">
        <v>3.3418741885222758E-2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55661</v>
      </c>
      <c r="Y2400" s="202">
        <f>_xll.qlInterestRateIndexValueDate(IborIndex,X2400,Trigger)</f>
        <v>55663</v>
      </c>
      <c r="Z2400" s="203">
        <v>3.3513674701410236E-2</v>
      </c>
      <c r="AA2400" s="200">
        <v>3.3410644546743029E-2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55668</v>
      </c>
      <c r="Y2401" s="202">
        <f>_xll.qlInterestRateIndexValueDate(IborIndex,X2401,Trigger)</f>
        <v>55670</v>
      </c>
      <c r="Z2401" s="203">
        <v>3.3502314841130511E-2</v>
      </c>
      <c r="AA2401" s="200">
        <v>3.3404564472059306E-2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55675</v>
      </c>
      <c r="Y2402" s="202">
        <f>_xll.qlInterestRateIndexValueDate(IborIndex,X2402,Trigger)</f>
        <v>55677</v>
      </c>
      <c r="Z2402" s="203">
        <v>3.3498217261393112E-2</v>
      </c>
      <c r="AA2402" s="200">
        <v>3.3397463391615645E-2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55682</v>
      </c>
      <c r="Y2403" s="202">
        <f>_xll.qlInterestRateIndexValueDate(IborIndex,X2403,Trigger)</f>
        <v>55684</v>
      </c>
      <c r="Z2403" s="203">
        <v>3.3490995900449849E-2</v>
      </c>
      <c r="AA2403" s="200">
        <v>3.3390354061690886E-2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55689</v>
      </c>
      <c r="Y2404" s="202">
        <f>_xll.qlInterestRateIndexValueDate(IborIndex,X2404,Trigger)</f>
        <v>55691</v>
      </c>
      <c r="Z2404" s="203">
        <v>3.3483766232189197E-2</v>
      </c>
      <c r="AA2404" s="200">
        <v>3.3383236482524836E-2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55696</v>
      </c>
      <c r="Y2405" s="202">
        <f>_xll.qlInterestRateIndexValueDate(IborIndex,X2405,Trigger)</f>
        <v>55698</v>
      </c>
      <c r="Z2405" s="203">
        <v>3.3476528256657083E-2</v>
      </c>
      <c r="AA2405" s="200">
        <v>3.3376110654037561E-2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55703</v>
      </c>
      <c r="Y2406" s="202">
        <f>_xll.qlInterestRateIndexValueDate(IborIndex,X2406,Trigger)</f>
        <v>55705</v>
      </c>
      <c r="Z2406" s="203">
        <v>3.3469281973899416E-2</v>
      </c>
      <c r="AA2406" s="200">
        <v>3.3368976576308995E-2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55710</v>
      </c>
      <c r="Y2407" s="202">
        <f>_xll.qlInterestRateIndexValueDate(IborIndex,X2407,Trigger)</f>
        <v>55712</v>
      </c>
      <c r="Z2407" s="203">
        <v>3.3463058182996115E-2</v>
      </c>
      <c r="AA2407" s="200">
        <v>3.3361834249019395E-2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55717</v>
      </c>
      <c r="Y2408" s="202">
        <f>_xll.qlInterestRateIndexValueDate(IborIndex,X2408,Trigger)</f>
        <v>55719</v>
      </c>
      <c r="Z2408" s="203">
        <v>3.3454764486899644E-2</v>
      </c>
      <c r="AA2408" s="200">
        <v>3.3354683672488505E-2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55724</v>
      </c>
      <c r="Y2409" s="202">
        <f>_xll.qlInterestRateIndexValueDate(IborIndex,X2409,Trigger)</f>
        <v>55726</v>
      </c>
      <c r="Z2409" s="203">
        <v>3.3447493282750221E-2</v>
      </c>
      <c r="AA2409" s="200">
        <v>3.3347524846876198E-2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55731</v>
      </c>
      <c r="Y2410" s="202">
        <f>_xll.qlInterestRateIndexValueDate(IborIndex,X2410,Trigger)</f>
        <v>55733</v>
      </c>
      <c r="Z2410" s="203">
        <v>3.3440213771562338E-2</v>
      </c>
      <c r="AA2410" s="200">
        <v>3.3340357771862728E-2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55738</v>
      </c>
      <c r="Y2411" s="202">
        <f>_xll.qlInterestRateIndexValueDate(IborIndex,X2411,Trigger)</f>
        <v>55740</v>
      </c>
      <c r="Z2411" s="203">
        <v>3.3433951686619216E-2</v>
      </c>
      <c r="AA2411" s="200">
        <v>3.3333182447288223E-2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55745</v>
      </c>
      <c r="Y2412" s="202">
        <f>_xll.qlInterestRateIndexValueDate(IborIndex,X2412,Trigger)</f>
        <v>55747</v>
      </c>
      <c r="Z2412" s="203">
        <v>3.3425629828264219E-2</v>
      </c>
      <c r="AA2412" s="200">
        <v>3.3325998873632301E-2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55752</v>
      </c>
      <c r="Y2413" s="202">
        <f>_xll.qlInterestRateIndexValueDate(IborIndex,X2413,Trigger)</f>
        <v>55754</v>
      </c>
      <c r="Z2413" s="203">
        <v>3.3418325396248387E-2</v>
      </c>
      <c r="AA2413" s="200">
        <v>3.3318807050415344E-2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55759</v>
      </c>
      <c r="Y2414" s="202">
        <f>_xll.qlInterestRateIndexValueDate(IborIndex,X2414,Trigger)</f>
        <v>55761</v>
      </c>
      <c r="Z2414" s="203">
        <v>3.3407946526905596E-2</v>
      </c>
      <c r="AA2414" s="200">
        <v>3.331057772295587E-2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55766</v>
      </c>
      <c r="Y2415" s="202">
        <f>_xll.qlInterestRateIndexValueDate(IborIndex,X2415,Trigger)</f>
        <v>55768</v>
      </c>
      <c r="Z2415" s="203">
        <v>3.3400629289878317E-2</v>
      </c>
      <c r="AA2415" s="200">
        <v>3.3304398656337497E-2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55773</v>
      </c>
      <c r="Y2416" s="202">
        <f>_xll.qlInterestRateIndexValueDate(IborIndex,X2416,Trigger)</f>
        <v>55775</v>
      </c>
      <c r="Z2416" s="203">
        <v>3.339330374794526E-2</v>
      </c>
      <c r="AA2416" s="200">
        <v>3.3297182085476607E-2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55780</v>
      </c>
      <c r="Y2417" s="202">
        <f>_xll.qlInterestRateIndexValueDate(IborIndex,X2417,Trigger)</f>
        <v>55782</v>
      </c>
      <c r="Z2417" s="203">
        <v>3.3385969901154743E-2</v>
      </c>
      <c r="AA2417" s="200">
        <v>3.3289957265134618E-2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55787</v>
      </c>
      <c r="Y2418" s="202">
        <f>_xll.qlInterestRateIndexValueDate(IborIndex,X2418,Trigger)</f>
        <v>55789</v>
      </c>
      <c r="Z2418" s="203">
        <v>3.3378627749548924E-2</v>
      </c>
      <c r="AA2418" s="200">
        <v>3.328272419531153E-2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55794</v>
      </c>
      <c r="Y2419" s="202">
        <f>_xll.qlInterestRateIndexValueDate(IborIndex,X2419,Trigger)</f>
        <v>55796</v>
      </c>
      <c r="Z2419" s="203">
        <v>3.3374324361980311E-2</v>
      </c>
      <c r="AA2419" s="200">
        <v>3.3275482876486961E-2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55801</v>
      </c>
      <c r="Y2420" s="202">
        <f>_xll.qlInterestRateIndexValueDate(IborIndex,X2420,Trigger)</f>
        <v>55803</v>
      </c>
      <c r="Z2420" s="203">
        <v>3.3366961783015091E-2</v>
      </c>
      <c r="AA2420" s="200">
        <v>3.3267196982196268E-2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55808</v>
      </c>
      <c r="Y2421" s="202">
        <f>_xll.qlInterestRateIndexValueDate(IborIndex,X2421,Trigger)</f>
        <v>55810</v>
      </c>
      <c r="Z2421" s="203">
        <v>3.3360603923067118E-2</v>
      </c>
      <c r="AA2421" s="200">
        <v>3.3260975490554401E-2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55815</v>
      </c>
      <c r="Y2422" s="202">
        <f>_xll.qlInterestRateIndexValueDate(IborIndex,X2422,Trigger)</f>
        <v>55817</v>
      </c>
      <c r="Z2422" s="203">
        <v>3.3352211705583293E-2</v>
      </c>
      <c r="AA2422" s="200">
        <v>3.3253709423686217E-2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55822</v>
      </c>
      <c r="Y2423" s="202">
        <f>_xll.qlInterestRateIndexValueDate(IborIndex,X2423,Trigger)</f>
        <v>55824</v>
      </c>
      <c r="Z2423" s="203">
        <v>3.3344824207209404E-2</v>
      </c>
      <c r="AA2423" s="200">
        <v>3.3246435107416872E-2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55829</v>
      </c>
      <c r="Y2424" s="202">
        <f>_xll.qlInterestRateIndexValueDate(IborIndex,X2424,Trigger)</f>
        <v>55831</v>
      </c>
      <c r="Z2424" s="203">
        <v>3.3337428402463759E-2</v>
      </c>
      <c r="AA2424" s="200">
        <v>3.3238111502091883E-2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55836</v>
      </c>
      <c r="Y2425" s="202">
        <f>_xll.qlInterestRateIndexValueDate(IborIndex,X2425,Trigger)</f>
        <v>55838</v>
      </c>
      <c r="Z2425" s="203">
        <v>3.3331032216644581E-2</v>
      </c>
      <c r="AA2425" s="200">
        <v>3.3231861727074374E-2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55843</v>
      </c>
      <c r="Y2426" s="202">
        <f>_xll.qlInterestRateIndexValueDate(IborIndex,X2426,Trigger)</f>
        <v>55845</v>
      </c>
      <c r="Z2426" s="203">
        <v>3.3322611874038316E-2</v>
      </c>
      <c r="AA2426" s="200">
        <v>3.3224562662921286E-2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55850</v>
      </c>
      <c r="Y2427" s="202">
        <f>_xll.qlInterestRateIndexValueDate(IborIndex,X2427,Trigger)</f>
        <v>55852</v>
      </c>
      <c r="Z2427" s="203">
        <v>3.3312174676072427E-2</v>
      </c>
      <c r="AA2427" s="200">
        <v>3.3217255349526909E-2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55857</v>
      </c>
      <c r="Y2428" s="202">
        <f>_xll.qlInterestRateIndexValueDate(IborIndex,X2428,Trigger)</f>
        <v>55859</v>
      </c>
      <c r="Z2428" s="203">
        <v>3.3303745144674934E-2</v>
      </c>
      <c r="AA2428" s="200">
        <v>3.3209939786651432E-2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55864</v>
      </c>
      <c r="Y2429" s="202">
        <f>_xll.qlInterestRateIndexValueDate(IborIndex,X2429,Trigger)</f>
        <v>55866</v>
      </c>
      <c r="Z2429" s="203">
        <v>3.3296312920987781E-2</v>
      </c>
      <c r="AA2429" s="200">
        <v>3.3202615974614602E-2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55871</v>
      </c>
      <c r="Y2430" s="202">
        <f>_xll.qlInterestRateIndexValueDate(IborIndex,X2430,Trigger)</f>
        <v>55873</v>
      </c>
      <c r="Z2430" s="203">
        <v>3.3288872393649527E-2</v>
      </c>
      <c r="AA2430" s="200">
        <v>3.3196290263459716E-2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55880</v>
      </c>
      <c r="Y2431" s="202">
        <f>_xll.qlInterestRateIndexValueDate(IborIndex,X2431,Trigger)</f>
        <v>55884</v>
      </c>
      <c r="Z2431" s="203">
        <v>3.3277163359751505E-2</v>
      </c>
      <c r="AA2431" s="200">
        <v>3.3186804253801938E-2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55887</v>
      </c>
      <c r="Y2432" s="202">
        <f>_xll.qlInterestRateIndexValueDate(IborIndex,X2432,Trigger)</f>
        <v>55891</v>
      </c>
      <c r="Z2432" s="203">
        <v>3.3270699968103765E-2</v>
      </c>
      <c r="AA2432" s="200">
        <v>3.317849393872585E-2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55894</v>
      </c>
      <c r="Y2433" s="202">
        <f>_xll.qlInterestRateIndexValueDate(IborIndex,X2433,Trigger)</f>
        <v>55898</v>
      </c>
      <c r="Z2433" s="203">
        <v>3.3262231297525702E-2</v>
      </c>
      <c r="AA2433" s="200">
        <v>3.3171134772569388E-2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55901</v>
      </c>
      <c r="Y2434" s="202">
        <f>_xll.qlInterestRateIndexValueDate(IborIndex,X2434,Trigger)</f>
        <v>55905</v>
      </c>
      <c r="Z2434" s="203">
        <v>3.3254752811231469E-2</v>
      </c>
      <c r="AA2434" s="200">
        <v>3.3163767356931828E-2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55908</v>
      </c>
      <c r="Y2435" s="202">
        <f>_xll.qlInterestRateIndexValueDate(IborIndex,X2435,Trigger)</f>
        <v>55912</v>
      </c>
      <c r="Z2435" s="203">
        <v>3.3247266021542821E-2</v>
      </c>
      <c r="AA2435" s="200">
        <v>3.3156391692132914E-2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55915</v>
      </c>
      <c r="Y2436" s="202">
        <f>_xll.qlInterestRateIndexValueDate(IborIndex,X2436,Trigger)</f>
        <v>55919</v>
      </c>
      <c r="Z2436" s="203">
        <v>3.3240764290157584E-2</v>
      </c>
      <c r="AA2436" s="200">
        <v>3.3149007777693029E-2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55922</v>
      </c>
      <c r="Y2437" s="202">
        <f>_xll.qlInterestRateIndexValueDate(IborIndex,X2437,Trigger)</f>
        <v>55926</v>
      </c>
      <c r="Z2437" s="203">
        <v>3.3232267532171456E-2</v>
      </c>
      <c r="AA2437" s="200">
        <v>3.3141615614331599E-2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55929</v>
      </c>
      <c r="Y2438" s="202">
        <f>_xll.qlInterestRateIndexValueDate(IborIndex,X2438,Trigger)</f>
        <v>55933</v>
      </c>
      <c r="Z2438" s="203">
        <v>3.3224755832581998E-2</v>
      </c>
      <c r="AA2438" s="200">
        <v>3.3134215201569006E-2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55936</v>
      </c>
      <c r="Y2439" s="202">
        <f>_xll.qlInterestRateIndexValueDate(IborIndex,X2439,Trigger)</f>
        <v>55940</v>
      </c>
      <c r="Z2439" s="203">
        <v>3.3218225340524321E-2</v>
      </c>
      <c r="AA2439" s="200">
        <v>3.3126806539325315E-2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55943</v>
      </c>
      <c r="Y2440" s="202">
        <f>_xll.qlInterestRateIndexValueDate(IborIndex,X2440,Trigger)</f>
        <v>55947</v>
      </c>
      <c r="Z2440" s="203">
        <v>3.3211683913614287E-2</v>
      </c>
      <c r="AA2440" s="200">
        <v>3.3119389628000206E-2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55950</v>
      </c>
      <c r="Y2441" s="202">
        <f>_xll.qlInterestRateIndexValueDate(IborIndex,X2441,Trigger)</f>
        <v>55954</v>
      </c>
      <c r="Z2441" s="203">
        <v>3.3204144733494964E-2</v>
      </c>
      <c r="AA2441" s="200">
        <v>3.3111964467353872E-2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55957</v>
      </c>
      <c r="Y2442" s="202">
        <f>_xll.qlInterestRateIndexValueDate(IborIndex,X2442,Trigger)</f>
        <v>55961</v>
      </c>
      <c r="Z2442" s="203">
        <v>3.3196597249101845E-2</v>
      </c>
      <c r="AA2442" s="200">
        <v>3.3104531057226438E-2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55964</v>
      </c>
      <c r="Y2443" s="202">
        <f>_xll.qlInterestRateIndexValueDate(IborIndex,X2443,Trigger)</f>
        <v>55968</v>
      </c>
      <c r="Z2443" s="203">
        <v>3.318904146048185E-2</v>
      </c>
      <c r="AA2443" s="200">
        <v>3.3097089398017587E-2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55971</v>
      </c>
      <c r="Y2444" s="202">
        <f>_xll.qlInterestRateIndexValueDate(IborIndex,X2444,Trigger)</f>
        <v>55975</v>
      </c>
      <c r="Z2444" s="203">
        <v>3.3180494349794296E-2</v>
      </c>
      <c r="AA2444" s="200">
        <v>3.308963948948751E-2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55982</v>
      </c>
      <c r="Y2445" s="202">
        <f>_xll.qlInterestRateIndexValueDate(IborIndex,X2445,Trigger)</f>
        <v>55984</v>
      </c>
      <c r="Z2445" s="203">
        <v>3.3170758541762879E-2</v>
      </c>
      <c r="AA2445" s="200">
        <v>3.30779158231298E-2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55989</v>
      </c>
      <c r="Y2446" s="202">
        <f>_xll.qlInterestRateIndexValueDate(IborIndex,X2446,Trigger)</f>
        <v>55991</v>
      </c>
      <c r="Z2446" s="203">
        <v>3.3163176756942699E-2</v>
      </c>
      <c r="AA2446" s="200">
        <v>3.3070444701968071E-2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55996</v>
      </c>
      <c r="Y2447" s="202">
        <f>_xll.qlInterestRateIndexValueDate(IborIndex,X2447,Trigger)</f>
        <v>55998</v>
      </c>
      <c r="Z2447" s="203">
        <v>3.315558666870478E-2</v>
      </c>
      <c r="AA2447" s="200">
        <v>3.3062965331644989E-2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56003</v>
      </c>
      <c r="Y2448" s="202">
        <f>_xll.qlInterestRateIndexValueDate(IborIndex,X2448,Trigger)</f>
        <v>56005</v>
      </c>
      <c r="Z2448" s="203">
        <v>3.3148965770736859E-2</v>
      </c>
      <c r="AA2448" s="200">
        <v>3.3055477711840808E-2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56010</v>
      </c>
      <c r="Y2449" s="202">
        <f>_xll.qlInterestRateIndexValueDate(IborIndex,X2449,Trigger)</f>
        <v>56012</v>
      </c>
      <c r="Z2449" s="203">
        <v>3.3141357785223972E-2</v>
      </c>
      <c r="AA2449" s="200">
        <v>3.3047981842875274E-2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56017</v>
      </c>
      <c r="Y2450" s="202">
        <f>_xll.qlInterestRateIndexValueDate(IborIndex,X2450,Trigger)</f>
        <v>56019</v>
      </c>
      <c r="Z2450" s="203">
        <v>3.3133741495832633E-2</v>
      </c>
      <c r="AA2450" s="200">
        <v>3.3040477724588513E-2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56024</v>
      </c>
      <c r="Y2451" s="202">
        <f>_xll.qlInterestRateIndexValueDate(IborIndex,X2451,Trigger)</f>
        <v>56026</v>
      </c>
      <c r="Z2451" s="203">
        <v>3.3126116902614973E-2</v>
      </c>
      <c r="AA2451" s="200">
        <v>3.3031891488066734E-2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56031</v>
      </c>
      <c r="Y2452" s="202">
        <f>_xll.qlInterestRateIndexValueDate(IborIndex,X2452,Trigger)</f>
        <v>56033</v>
      </c>
      <c r="Z2452" s="203">
        <v>3.3118484005617038E-2</v>
      </c>
      <c r="AA2452" s="200">
        <v>3.3025444739891441E-2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56038</v>
      </c>
      <c r="Y2453" s="202">
        <f>_xll.qlInterestRateIndexValueDate(IborIndex,X2453,Trigger)</f>
        <v>56040</v>
      </c>
      <c r="Z2453" s="203">
        <v>3.3110842804884882E-2</v>
      </c>
      <c r="AA2453" s="200">
        <v>3.3017915873800874E-2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56045</v>
      </c>
      <c r="Y2454" s="202">
        <f>_xll.qlInterestRateIndexValueDate(IborIndex,X2454,Trigger)</f>
        <v>56047</v>
      </c>
      <c r="Z2454" s="203">
        <v>3.3103193300471505E-2</v>
      </c>
      <c r="AA2454" s="200">
        <v>3.3010378758229209E-2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56052</v>
      </c>
      <c r="Y2455" s="202">
        <f>_xll.qlInterestRateIndexValueDate(IborIndex,X2455,Trigger)</f>
        <v>56054</v>
      </c>
      <c r="Z2455" s="203">
        <v>3.3095535492422092E-2</v>
      </c>
      <c r="AA2455" s="200">
        <v>3.3002833393416253E-2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56059</v>
      </c>
      <c r="Y2456" s="202">
        <f>_xll.qlInterestRateIndexValueDate(IborIndex,X2456,Trigger)</f>
        <v>56061</v>
      </c>
      <c r="Z2456" s="203">
        <v>3.3087869380787026E-2</v>
      </c>
      <c r="AA2456" s="200">
        <v>3.2995279779362008E-2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56066</v>
      </c>
      <c r="Y2457" s="202">
        <f>_xll.qlInterestRateIndexValueDate(IborIndex,X2457,Trigger)</f>
        <v>56068</v>
      </c>
      <c r="Z2457" s="203">
        <v>3.3080194965612368E-2</v>
      </c>
      <c r="AA2457" s="200">
        <v>3.2986636976328754E-2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56073</v>
      </c>
      <c r="Y2458" s="202">
        <f>_xll.qlInterestRateIndexValueDate(IborIndex,X2458,Trigger)</f>
        <v>56075</v>
      </c>
      <c r="Z2458" s="203">
        <v>3.3072512246946774E-2</v>
      </c>
      <c r="AA2458" s="200">
        <v>3.2980147803369775E-2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56080</v>
      </c>
      <c r="Y2459" s="202">
        <f>_xll.qlInterestRateIndexValueDate(IborIndex,X2459,Trigger)</f>
        <v>56082</v>
      </c>
      <c r="Z2459" s="203">
        <v>3.3064821224840633E-2</v>
      </c>
      <c r="AA2459" s="200">
        <v>3.2972569441271915E-2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56087</v>
      </c>
      <c r="Y2460" s="202">
        <f>_xll.qlInterestRateIndexValueDate(IborIndex,X2460,Trigger)</f>
        <v>56089</v>
      </c>
      <c r="Z2460" s="203">
        <v>3.3057121899341742E-2</v>
      </c>
      <c r="AA2460" s="200">
        <v>3.2964982830012701E-2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56094</v>
      </c>
      <c r="Y2461" s="202">
        <f>_xll.qlInterestRateIndexValueDate(IborIndex,X2461,Trigger)</f>
        <v>56096</v>
      </c>
      <c r="Z2461" s="203">
        <v>3.304941427049788E-2</v>
      </c>
      <c r="AA2461" s="200">
        <v>3.2957387969512197E-2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56101</v>
      </c>
      <c r="Y2462" s="202">
        <f>_xll.qlInterestRateIndexValueDate(IborIndex,X2462,Trigger)</f>
        <v>56103</v>
      </c>
      <c r="Z2462" s="203">
        <v>3.3041698338359446E-2</v>
      </c>
      <c r="AA2462" s="200">
        <v>3.2949784859610531E-2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56108</v>
      </c>
      <c r="Y2463" s="202">
        <f>_xll.qlInterestRateIndexValueDate(IborIndex,X2463,Trigger)</f>
        <v>56110</v>
      </c>
      <c r="Z2463" s="203">
        <v>3.3033974102975087E-2</v>
      </c>
      <c r="AA2463" s="200">
        <v>3.2942173500387639E-2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56115</v>
      </c>
      <c r="Y2464" s="202">
        <f>_xll.qlInterestRateIndexValueDate(IborIndex,X2464,Trigger)</f>
        <v>56117</v>
      </c>
      <c r="Z2464" s="203">
        <v>3.3026241564392607E-2</v>
      </c>
      <c r="AA2464" s="200">
        <v>3.2934553892083329E-2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56122</v>
      </c>
      <c r="Y2465" s="202">
        <f>_xll.qlInterestRateIndexValueDate(IborIndex,X2465,Trigger)</f>
        <v>56124</v>
      </c>
      <c r="Z2465" s="203">
        <v>3.3018500722659785E-2</v>
      </c>
      <c r="AA2465" s="200">
        <v>3.2925835666821612E-2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56129</v>
      </c>
      <c r="Y2466" s="202">
        <f>_xll.qlInterestRateIndexValueDate(IborIndex,X2466,Trigger)</f>
        <v>56131</v>
      </c>
      <c r="Z2466" s="203">
        <v>3.3009797405621835E-2</v>
      </c>
      <c r="AA2466" s="200">
        <v>3.2919289927191286E-2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56136</v>
      </c>
      <c r="Y2467" s="202">
        <f>_xll.qlInterestRateIndexValueDate(IborIndex,X2467,Trigger)</f>
        <v>56138</v>
      </c>
      <c r="Z2467" s="203">
        <v>3.3002041259000171E-2</v>
      </c>
      <c r="AA2467" s="200">
        <v>3.2911645570843362E-2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56143</v>
      </c>
      <c r="Y2468" s="202">
        <f>_xll.qlInterestRateIndexValueDate(IborIndex,X2468,Trigger)</f>
        <v>56145</v>
      </c>
      <c r="Z2468" s="203">
        <v>3.2994276809963044E-2</v>
      </c>
      <c r="AA2468" s="200">
        <v>3.2903992965334083E-2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56150</v>
      </c>
      <c r="Y2469" s="202">
        <f>_xll.qlInterestRateIndexValueDate(IborIndex,X2469,Trigger)</f>
        <v>56152</v>
      </c>
      <c r="Z2469" s="203">
        <v>3.2990304726760546E-2</v>
      </c>
      <c r="AA2469" s="200">
        <v>3.2896332110263771E-2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56157</v>
      </c>
      <c r="Y2470" s="202">
        <f>_xll.qlInterestRateIndexValueDate(IborIndex,X2470,Trigger)</f>
        <v>56159</v>
      </c>
      <c r="Z2470" s="203">
        <v>3.297967196847916E-2</v>
      </c>
      <c r="AA2470" s="200">
        <v>3.288866300611204E-2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56164</v>
      </c>
      <c r="Y2471" s="202">
        <f>_xll.qlInterestRateIndexValueDate(IborIndex,X2471,Trigger)</f>
        <v>56166</v>
      </c>
      <c r="Z2471" s="203">
        <v>3.2971881308883455E-2</v>
      </c>
      <c r="AA2471" s="200">
        <v>3.2879888214578656E-2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56171</v>
      </c>
      <c r="Y2472" s="202">
        <f>_xll.qlInterestRateIndexValueDate(IborIndex,X2472,Trigger)</f>
        <v>56173</v>
      </c>
      <c r="Z2472" s="203">
        <v>3.2964082346481481E-2</v>
      </c>
      <c r="AA2472" s="200">
        <v>3.2873300050084708E-2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56178</v>
      </c>
      <c r="Y2473" s="202">
        <f>_xll.qlInterestRateIndexValueDate(IborIndex,X2473,Trigger)</f>
        <v>56180</v>
      </c>
      <c r="Z2473" s="203">
        <v>3.2956275081322768E-2</v>
      </c>
      <c r="AA2473" s="200">
        <v>3.2865606197889363E-2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56185</v>
      </c>
      <c r="Y2474" s="202">
        <f>_xll.qlInterestRateIndexValueDate(IborIndex,X2474,Trigger)</f>
        <v>56187</v>
      </c>
      <c r="Z2474" s="203">
        <v>3.2948459513459448E-2</v>
      </c>
      <c r="AA2474" s="200">
        <v>3.2857904096452728E-2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56192</v>
      </c>
      <c r="Y2475" s="202">
        <f>_xll.qlInterestRateIndexValueDate(IborIndex,X2475,Trigger)</f>
        <v>56194</v>
      </c>
      <c r="Z2475" s="203">
        <v>3.2940635642936693E-2</v>
      </c>
      <c r="AA2475" s="200">
        <v>3.2851141418515084E-2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56199</v>
      </c>
      <c r="Y2476" s="202">
        <f>_xll.qlInterestRateIndexValueDate(IborIndex,X2476,Trigger)</f>
        <v>56201</v>
      </c>
      <c r="Z2476" s="203">
        <v>3.2932803469806642E-2</v>
      </c>
      <c r="AA2476" s="200">
        <v>3.2842475145935524E-2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56206</v>
      </c>
      <c r="Y2477" s="202">
        <f>_xll.qlInterestRateIndexValueDate(IborIndex,X2477,Trigger)</f>
        <v>56208</v>
      </c>
      <c r="Z2477" s="203">
        <v>3.292496299411795E-2</v>
      </c>
      <c r="AA2477" s="200">
        <v>3.2834748296775018E-2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56213</v>
      </c>
      <c r="Y2478" s="202">
        <f>_xll.qlInterestRateIndexValueDate(IborIndex,X2478,Trigger)</f>
        <v>56216</v>
      </c>
      <c r="Z2478" s="203">
        <v>3.2915053952650486E-2</v>
      </c>
      <c r="AA2478" s="200">
        <v>3.2825907510911634E-2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56220</v>
      </c>
      <c r="Y2479" s="202">
        <f>_xll.qlInterestRateIndexValueDate(IborIndex,X2479,Trigger)</f>
        <v>56222</v>
      </c>
      <c r="Z2479" s="203">
        <v>3.2907382647278105E-2</v>
      </c>
      <c r="AA2479" s="200">
        <v>3.2819269850570265E-2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56227</v>
      </c>
      <c r="Y2480" s="202">
        <f>_xll.qlInterestRateIndexValueDate(IborIndex,X2480,Trigger)</f>
        <v>56229</v>
      </c>
      <c r="Z2480" s="203">
        <v>3.2899519881802952E-2</v>
      </c>
      <c r="AA2480" s="200">
        <v>3.2811518253605954E-2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56234</v>
      </c>
      <c r="Y2481" s="202">
        <f>_xll.qlInterestRateIndexValueDate(IborIndex,X2481,Trigger)</f>
        <v>56236</v>
      </c>
      <c r="Z2481" s="203">
        <v>3.2891648815129848E-2</v>
      </c>
      <c r="AA2481" s="200">
        <v>3.2803758407160544E-2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56241</v>
      </c>
      <c r="Y2482" s="202">
        <f>_xll.qlInterestRateIndexValueDate(IborIndex,X2482,Trigger)</f>
        <v>56247</v>
      </c>
      <c r="Z2482" s="203">
        <v>3.2881128358494043E-2</v>
      </c>
      <c r="AA2482" s="200">
        <v>3.2794707575436455E-2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56248</v>
      </c>
      <c r="Y2483" s="202">
        <f>_xll.qlInterestRateIndexValueDate(IborIndex,X2483,Trigger)</f>
        <v>56251</v>
      </c>
      <c r="Z2483" s="203">
        <v>3.2874754290907582E-2</v>
      </c>
      <c r="AA2483" s="200">
        <v>3.278710238691751E-2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56255</v>
      </c>
      <c r="Y2484" s="202">
        <f>_xll.qlInterestRateIndexValueDate(IborIndex,X2484,Trigger)</f>
        <v>56257</v>
      </c>
      <c r="Z2484" s="203">
        <v>3.286798580841932E-2</v>
      </c>
      <c r="AA2484" s="200">
        <v>3.2780429372376574E-2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56262</v>
      </c>
      <c r="Y2485" s="202">
        <f>_xll.qlInterestRateIndexValueDate(IborIndex,X2485,Trigger)</f>
        <v>56264</v>
      </c>
      <c r="Z2485" s="203">
        <v>3.2860081537446462E-2</v>
      </c>
      <c r="AA2485" s="200">
        <v>3.2771522592422997E-2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56269</v>
      </c>
      <c r="Y2486" s="202">
        <f>_xll.qlInterestRateIndexValueDate(IborIndex,X2486,Trigger)</f>
        <v>56271</v>
      </c>
      <c r="Z2486" s="203">
        <v>3.2852168965520789E-2</v>
      </c>
      <c r="AA2486" s="200">
        <v>3.2764835436234208E-2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56276</v>
      </c>
      <c r="Y2487" s="202">
        <f>_xll.qlInterestRateIndexValueDate(IborIndex,X2487,Trigger)</f>
        <v>56278</v>
      </c>
      <c r="Z2487" s="203">
        <v>3.2844248092691153E-2</v>
      </c>
      <c r="AA2487" s="200">
        <v>3.2757026094341057E-2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56283</v>
      </c>
      <c r="Y2488" s="202">
        <f>_xll.qlInterestRateIndexValueDate(IborIndex,X2488,Trigger)</f>
        <v>56285</v>
      </c>
      <c r="Z2488" s="203">
        <v>3.2835393371291967E-2</v>
      </c>
      <c r="AA2488" s="200">
        <v>3.2749208502886873E-2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56290</v>
      </c>
      <c r="Y2489" s="202">
        <f>_xll.qlInterestRateIndexValueDate(IborIndex,X2489,Trigger)</f>
        <v>56292</v>
      </c>
      <c r="Z2489" s="203">
        <v>3.2827457210586289E-2</v>
      </c>
      <c r="AA2489" s="200">
        <v>3.2740264011659193E-2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56297</v>
      </c>
      <c r="Y2490" s="202">
        <f>_xll.qlInterestRateIndexValueDate(IborIndex,X2490,Trigger)</f>
        <v>56299</v>
      </c>
      <c r="Z2490" s="203">
        <v>3.281951274970208E-2</v>
      </c>
      <c r="AA2490" s="200">
        <v>3.2733548572654314E-2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56304</v>
      </c>
      <c r="Y2491" s="202">
        <f>_xll.qlInterestRateIndexValueDate(IborIndex,X2491,Trigger)</f>
        <v>56306</v>
      </c>
      <c r="Z2491" s="203">
        <v>3.2811559988686061E-2</v>
      </c>
      <c r="AA2491" s="200">
        <v>3.2725706233316387E-2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56311</v>
      </c>
      <c r="Y2492" s="202">
        <f>_xll.qlInterestRateIndexValueDate(IborIndex,X2492,Trigger)</f>
        <v>56313</v>
      </c>
      <c r="Z2492" s="203">
        <v>3.2806359585600145E-2</v>
      </c>
      <c r="AA2492" s="200">
        <v>3.2717855644976979E-2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56318</v>
      </c>
      <c r="Y2493" s="202">
        <f>_xll.qlInterestRateIndexValueDate(IborIndex,X2493,Trigger)</f>
        <v>56320</v>
      </c>
      <c r="Z2493" s="203">
        <v>3.2798386275751261E-2</v>
      </c>
      <c r="AA2493" s="200">
        <v>3.2709996807316344E-2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56325</v>
      </c>
      <c r="Y2494" s="202">
        <f>_xll.qlInterestRateIndexValueDate(IborIndex,X2494,Trigger)</f>
        <v>56327</v>
      </c>
      <c r="Z2494" s="203">
        <v>3.2790404664193487E-2</v>
      </c>
      <c r="AA2494" s="200">
        <v>3.2702129720414419E-2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56332</v>
      </c>
      <c r="Y2495" s="202">
        <f>_xll.qlInterestRateIndexValueDate(IborIndex,X2495,Trigger)</f>
        <v>56334</v>
      </c>
      <c r="Z2495" s="203">
        <v>3.2782414750977228E-2</v>
      </c>
      <c r="AA2495" s="200">
        <v>3.2694254384031396E-2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56339</v>
      </c>
      <c r="Y2496" s="202">
        <f>_xll.qlInterestRateIndexValueDate(IborIndex,X2496,Trigger)</f>
        <v>56341</v>
      </c>
      <c r="Z2496" s="203">
        <v>3.2773501655580746E-2</v>
      </c>
      <c r="AA2496" s="200">
        <v>3.2686370798646891E-2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56346</v>
      </c>
      <c r="Y2497" s="202">
        <f>_xll.qlInterestRateIndexValueDate(IborIndex,X2497,Trigger)</f>
        <v>56348</v>
      </c>
      <c r="Z2497" s="203">
        <v>3.2765496464985069E-2</v>
      </c>
      <c r="AA2497" s="200">
        <v>3.2678478963861224E-2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56353</v>
      </c>
      <c r="Y2498" s="202">
        <f>_xll.qlInterestRateIndexValueDate(IborIndex,X2498,Trigger)</f>
        <v>56355</v>
      </c>
      <c r="Z2498" s="203">
        <v>3.2757483606765489E-2</v>
      </c>
      <c r="AA2498" s="200">
        <v>3.2670578879754331E-2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56360</v>
      </c>
      <c r="Y2499" s="202">
        <f>_xll.qlInterestRateIndexValueDate(IborIndex,X2499,Trigger)</f>
        <v>56362</v>
      </c>
      <c r="Z2499" s="203">
        <v>3.2749464797918668E-2</v>
      </c>
      <c r="AA2499" s="200">
        <v>3.2662670546406147E-2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56367</v>
      </c>
      <c r="Y2500" s="202">
        <f>_xll.qlInterestRateIndexValueDate(IborIndex,X2500,Trigger)</f>
        <v>56369</v>
      </c>
      <c r="Z2500" s="203">
        <v>3.2742352808306147E-2</v>
      </c>
      <c r="AA2500" s="200">
        <v>3.2654753963816674E-2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56374</v>
      </c>
      <c r="Y2501" s="202">
        <f>_xll.qlInterestRateIndexValueDate(IborIndex,X2501,Trigger)</f>
        <v>56376</v>
      </c>
      <c r="Z2501" s="203">
        <v>3.273432711562093E-2</v>
      </c>
      <c r="AA2501" s="200">
        <v>3.2646829131985911E-2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56381</v>
      </c>
      <c r="Y2502" s="202">
        <f>_xll.qlInterestRateIndexValueDate(IborIndex,X2502,Trigger)</f>
        <v>56383</v>
      </c>
      <c r="Z2502" s="203">
        <v>3.2726301129598193E-2</v>
      </c>
      <c r="AA2502" s="200">
        <v>3.2638896050674049E-2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56388</v>
      </c>
      <c r="Y2503" s="202">
        <f>_xll.qlInterestRateIndexValueDate(IborIndex,X2503,Trigger)</f>
        <v>56390</v>
      </c>
      <c r="Z2503" s="203">
        <v>3.2718276658499287E-2</v>
      </c>
      <c r="AA2503" s="200">
        <v>3.2629819571186047E-2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56395</v>
      </c>
      <c r="Y2504" s="202">
        <f>_xll.qlInterestRateIndexValueDate(IborIndex,X2504,Trigger)</f>
        <v>56397</v>
      </c>
      <c r="Z2504" s="203">
        <v>3.2710255510566472E-2</v>
      </c>
      <c r="AA2504" s="200">
        <v>3.2623005140726136E-2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56402</v>
      </c>
      <c r="Y2505" s="202">
        <f>_xll.qlInterestRateIndexValueDate(IborIndex,X2505,Trigger)</f>
        <v>56404</v>
      </c>
      <c r="Z2505" s="203">
        <v>3.2702239494036785E-2</v>
      </c>
      <c r="AA2505" s="200">
        <v>3.2615047311690404E-2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56409</v>
      </c>
      <c r="Y2506" s="202">
        <f>_xll.qlInterestRateIndexValueDate(IborIndex,X2506,Trigger)</f>
        <v>56411</v>
      </c>
      <c r="Z2506" s="203">
        <v>3.2694230417127282E-2</v>
      </c>
      <c r="AA2506" s="200">
        <v>3.2607081233413382E-2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56416</v>
      </c>
      <c r="Y2507" s="202">
        <f>_xll.qlInterestRateIndexValueDate(IborIndex,X2507,Trigger)</f>
        <v>56418</v>
      </c>
      <c r="Z2507" s="203">
        <v>3.2686230088038511E-2</v>
      </c>
      <c r="AA2507" s="200">
        <v>3.2599106905975006E-2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56423</v>
      </c>
      <c r="Y2508" s="202">
        <f>_xll.qlInterestRateIndexValueDate(IborIndex,X2508,Trigger)</f>
        <v>56425</v>
      </c>
      <c r="Z2508" s="203">
        <v>3.2678240314957981E-2</v>
      </c>
      <c r="AA2508" s="200">
        <v>3.2591124329215404E-2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56430</v>
      </c>
      <c r="Y2509" s="202">
        <f>_xll.qlInterestRateIndexValueDate(IborIndex,X2509,Trigger)</f>
        <v>56432</v>
      </c>
      <c r="Z2509" s="203">
        <v>3.267026290606017E-2</v>
      </c>
      <c r="AA2509" s="200">
        <v>3.258199136347173E-2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56437</v>
      </c>
      <c r="Y2510" s="202">
        <f>_xll.qlInterestRateIndexValueDate(IborIndex,X2510,Trigger)</f>
        <v>56439</v>
      </c>
      <c r="Z2510" s="203">
        <v>3.2662299662475629E-2</v>
      </c>
      <c r="AA2510" s="200">
        <v>3.2575144609827689E-2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56444</v>
      </c>
      <c r="Y2511" s="202">
        <f>_xll.qlInterestRateIndexValueDate(IborIndex,X2511,Trigger)</f>
        <v>56446</v>
      </c>
      <c r="Z2511" s="203">
        <v>3.2654351772910879E-2</v>
      </c>
      <c r="AA2511" s="200">
        <v>3.2567170957849001E-2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56451</v>
      </c>
      <c r="Y2512" s="202">
        <f>_xll.qlInterestRateIndexValueDate(IborIndex,X2512,Trigger)</f>
        <v>56453</v>
      </c>
      <c r="Z2512" s="203">
        <v>3.2646419347100761E-2</v>
      </c>
      <c r="AA2512" s="200">
        <v>3.2559212627214507E-2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56458</v>
      </c>
      <c r="Y2513" s="202">
        <f>_xll.qlInterestRateIndexValueDate(IborIndex,X2513,Trigger)</f>
        <v>56460</v>
      </c>
      <c r="Z2513" s="203">
        <v>3.2638502384954027E-2</v>
      </c>
      <c r="AA2513" s="200">
        <v>3.2551269618004142E-2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56465</v>
      </c>
      <c r="Y2514" s="202">
        <f>_xll.qlInterestRateIndexValueDate(IborIndex,X2514,Trigger)</f>
        <v>56467</v>
      </c>
      <c r="Z2514" s="203">
        <v>3.2630600886380333E-2</v>
      </c>
      <c r="AA2514" s="200">
        <v>3.2543341930457714E-2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56472</v>
      </c>
      <c r="Y2515" s="202">
        <f>_xll.qlInterestRateIndexValueDate(IborIndex,X2515,Trigger)</f>
        <v>56474</v>
      </c>
      <c r="Z2515" s="203">
        <v>3.2622714851279745E-2</v>
      </c>
      <c r="AA2515" s="200">
        <v>3.2535429564495288E-2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56479</v>
      </c>
      <c r="Y2516" s="202">
        <f>_xll.qlInterestRateIndexValueDate(IborIndex,X2516,Trigger)</f>
        <v>56481</v>
      </c>
      <c r="Z2516" s="203">
        <v>3.261484427956364E-2</v>
      </c>
      <c r="AA2516" s="200">
        <v>3.2527532519877056E-2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56486</v>
      </c>
      <c r="Y2517" s="202">
        <f>_xll.qlInterestRateIndexValueDate(IborIndex,X2517,Trigger)</f>
        <v>56488</v>
      </c>
      <c r="Z2517" s="203">
        <v>3.2606989171140799E-2</v>
      </c>
      <c r="AA2517" s="200">
        <v>3.2519650796682953E-2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56493</v>
      </c>
      <c r="Y2518" s="202">
        <f>_xll.qlInterestRateIndexValueDate(IborIndex,X2518,Trigger)</f>
        <v>56495</v>
      </c>
      <c r="Z2518" s="203">
        <v>3.2598234681189421E-2</v>
      </c>
      <c r="AA2518" s="200">
        <v>3.25106618741966E-2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56500</v>
      </c>
      <c r="Y2519" s="202">
        <f>_xll.qlInterestRateIndexValueDate(IborIndex,X2519,Trigger)</f>
        <v>56502</v>
      </c>
      <c r="Z2519" s="203">
        <v>3.2590410100138648E-2</v>
      </c>
      <c r="AA2519" s="200">
        <v>3.2503933315126687E-2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56507</v>
      </c>
      <c r="Y2520" s="202">
        <f>_xll.qlInterestRateIndexValueDate(IborIndex,X2520,Trigger)</f>
        <v>56509</v>
      </c>
      <c r="Z2520" s="203">
        <v>3.2582600980546793E-2</v>
      </c>
      <c r="AA2520" s="200">
        <v>3.2496097556364845E-2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56514</v>
      </c>
      <c r="Y2521" s="202">
        <f>_xll.qlInterestRateIndexValueDate(IborIndex,X2521,Trigger)</f>
        <v>56516</v>
      </c>
      <c r="Z2521" s="203">
        <v>3.2574807322326024E-2</v>
      </c>
      <c r="AA2521" s="200">
        <v>3.2488277119187003E-2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56521</v>
      </c>
      <c r="Y2522" s="202">
        <f>_xll.qlInterestRateIndexValueDate(IborIndex,X2522,Trigger)</f>
        <v>56523</v>
      </c>
      <c r="Z2522" s="203">
        <v>3.2570695488008936E-2</v>
      </c>
      <c r="AA2522" s="200">
        <v>3.2480472003593164E-2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56528</v>
      </c>
      <c r="Y2523" s="202">
        <f>_xll.qlInterestRateIndexValueDate(IborIndex,X2523,Trigger)</f>
        <v>56530</v>
      </c>
      <c r="Z2523" s="203">
        <v>3.2560183244574041E-2</v>
      </c>
      <c r="AA2523" s="200">
        <v>3.2471570632433E-2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56535</v>
      </c>
      <c r="Y2524" s="202">
        <f>_xll.qlInterestRateIndexValueDate(IborIndex,X2524,Trigger)</f>
        <v>56537</v>
      </c>
      <c r="Z2524" s="203">
        <v>3.2552436376620822E-2</v>
      </c>
      <c r="AA2524" s="200">
        <v>3.2464907736597937E-2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56542</v>
      </c>
      <c r="Y2525" s="202">
        <f>_xll.qlInterestRateIndexValueDate(IborIndex,X2525,Trigger)</f>
        <v>56544</v>
      </c>
      <c r="Z2525" s="203">
        <v>3.2544704971225795E-2</v>
      </c>
      <c r="AA2525" s="200">
        <v>3.2457148585596229E-2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56549</v>
      </c>
      <c r="Y2526" s="202">
        <f>_xll.qlInterestRateIndexValueDate(IborIndex,X2526,Trigger)</f>
        <v>56551</v>
      </c>
      <c r="Z2526" s="203">
        <v>3.2536989028295993E-2</v>
      </c>
      <c r="AA2526" s="200">
        <v>3.2449404755858779E-2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56556</v>
      </c>
      <c r="Y2527" s="202">
        <f>_xll.qlInterestRateIndexValueDate(IborIndex,X2527,Trigger)</f>
        <v>56558</v>
      </c>
      <c r="Z2527" s="203">
        <v>3.2529288547745394E-2</v>
      </c>
      <c r="AA2527" s="200">
        <v>3.2441676247465523E-2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56563</v>
      </c>
      <c r="Y2528" s="202">
        <f>_xll.qlInterestRateIndexValueDate(IborIndex,X2528,Trigger)</f>
        <v>56565</v>
      </c>
      <c r="Z2528" s="203">
        <v>3.2521603529482759E-2</v>
      </c>
      <c r="AA2528" s="200">
        <v>3.2433963060736204E-2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56570</v>
      </c>
      <c r="Y2529" s="202">
        <f>_xll.qlInterestRateIndexValueDate(IborIndex,X2529,Trigger)</f>
        <v>56572</v>
      </c>
      <c r="Z2529" s="203">
        <v>3.25139339734134E-2</v>
      </c>
      <c r="AA2529" s="200">
        <v>3.2426265195431014E-2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56577</v>
      </c>
      <c r="Y2530" s="202">
        <f>_xll.qlInterestRateIndexValueDate(IborIndex,X2530,Trigger)</f>
        <v>56580</v>
      </c>
      <c r="Z2530" s="203">
        <v>3.2504267905699082E-2</v>
      </c>
      <c r="AA2530" s="200">
        <v>3.2417486396223438E-2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56584</v>
      </c>
      <c r="Y2531" s="202">
        <f>_xll.qlInterestRateIndexValueDate(IborIndex,X2531,Trigger)</f>
        <v>56586</v>
      </c>
      <c r="Z2531" s="203">
        <v>3.2496801038901957E-2</v>
      </c>
      <c r="AA2531" s="200">
        <v>3.241091542917296E-2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56591</v>
      </c>
      <c r="Y2532" s="202">
        <f>_xll.qlInterestRateIndexValueDate(IborIndex,X2532,Trigger)</f>
        <v>56593</v>
      </c>
      <c r="Z2532" s="203">
        <v>3.2489177030875283E-2</v>
      </c>
      <c r="AA2532" s="200">
        <v>3.240326352830003E-2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56598</v>
      </c>
      <c r="Y2533" s="202">
        <f>_xll.qlInterestRateIndexValueDate(IborIndex,X2533,Trigger)</f>
        <v>56600</v>
      </c>
      <c r="Z2533" s="203">
        <v>3.2481568481599332E-2</v>
      </c>
      <c r="AA2533" s="200">
        <v>3.2395626949011103E-2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56605</v>
      </c>
      <c r="Y2534" s="202">
        <f>_xll.qlInterestRateIndexValueDate(IborIndex,X2534,Trigger)</f>
        <v>56607</v>
      </c>
      <c r="Z2534" s="203">
        <v>3.2473975390986176E-2</v>
      </c>
      <c r="AA2534" s="200">
        <v>3.238691819073658E-2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56612</v>
      </c>
      <c r="Y2535" s="202">
        <f>_xll.qlInterestRateIndexValueDate(IborIndex,X2535,Trigger)</f>
        <v>56614</v>
      </c>
      <c r="Z2535" s="203">
        <v>3.2466397758948773E-2</v>
      </c>
      <c r="AA2535" s="200">
        <v>3.2379314443025109E-2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56619</v>
      </c>
      <c r="Y2536" s="202">
        <f>_xll.qlInterestRateIndexValueDate(IborIndex,X2536,Trigger)</f>
        <v>56621</v>
      </c>
      <c r="Z2536" s="203">
        <v>3.2458835585400969E-2</v>
      </c>
      <c r="AA2536" s="200">
        <v>3.237280913960916E-2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56626</v>
      </c>
      <c r="Y2537" s="202">
        <f>_xll.qlInterestRateIndexValueDate(IborIndex,X2537,Trigger)</f>
        <v>56628</v>
      </c>
      <c r="Z2537" s="203">
        <v>3.2451288870255723E-2</v>
      </c>
      <c r="AA2537" s="200">
        <v>3.2364152912034427E-2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56633</v>
      </c>
      <c r="Y2538" s="202">
        <f>_xll.qlInterestRateIndexValueDate(IborIndex,X2538,Trigger)</f>
        <v>56635</v>
      </c>
      <c r="Z2538" s="203">
        <v>3.2443757613424218E-2</v>
      </c>
      <c r="AA2538" s="200">
        <v>3.2357673874008341E-2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56640</v>
      </c>
      <c r="Y2539" s="202">
        <f>_xll.qlInterestRateIndexValueDate(IborIndex,X2539,Trigger)</f>
        <v>56642</v>
      </c>
      <c r="Z2539" s="203">
        <v>3.2436241814822964E-2</v>
      </c>
      <c r="AA2539" s="200">
        <v>3.2350129223424062E-2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56647</v>
      </c>
      <c r="Y2540" s="202">
        <f>_xll.qlInterestRateIndexValueDate(IborIndex,X2540,Trigger)</f>
        <v>56649</v>
      </c>
      <c r="Z2540" s="203">
        <v>3.2427817688628381E-2</v>
      </c>
      <c r="AA2540" s="200">
        <v>3.2342599894423785E-2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56654</v>
      </c>
      <c r="Y2541" s="202">
        <f>_xll.qlInterestRateIndexValueDate(IborIndex,X2541,Trigger)</f>
        <v>56656</v>
      </c>
      <c r="Z2541" s="203">
        <v>3.2420332373607086E-2</v>
      </c>
      <c r="AA2541" s="200">
        <v>3.2334013707862042E-2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56661</v>
      </c>
      <c r="Y2542" s="202">
        <f>_xll.qlInterestRateIndexValueDate(IborIndex,X2542,Trigger)</f>
        <v>56663</v>
      </c>
      <c r="Z2542" s="203">
        <v>3.241286251502281E-2</v>
      </c>
      <c r="AA2542" s="200">
        <v>3.2327587200615682E-2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56668</v>
      </c>
      <c r="Y2543" s="202">
        <f>_xll.qlInterestRateIndexValueDate(IborIndex,X2543,Trigger)</f>
        <v>56670</v>
      </c>
      <c r="Z2543" s="203">
        <v>3.2405408112787554E-2</v>
      </c>
      <c r="AA2543" s="200">
        <v>3.2320103835887792E-2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56675</v>
      </c>
      <c r="Y2544" s="202">
        <f>_xll.qlInterestRateIndexValueDate(IborIndex,X2544,Trigger)</f>
        <v>56677</v>
      </c>
      <c r="Z2544" s="203">
        <v>3.2400746035113941E-2</v>
      </c>
      <c r="AA2544" s="200">
        <v>3.2312635792663968E-2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56682</v>
      </c>
      <c r="Y2545" s="202">
        <f>_xll.qlInterestRateIndexValueDate(IborIndex,X2545,Trigger)</f>
        <v>56684</v>
      </c>
      <c r="Z2545" s="203">
        <v>3.2393323862056914E-2</v>
      </c>
      <c r="AA2545" s="200">
        <v>3.2305183070784338E-2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56689</v>
      </c>
      <c r="Y2546" s="202">
        <f>_xll.qlInterestRateIndexValueDate(IborIndex,X2546,Trigger)</f>
        <v>56691</v>
      </c>
      <c r="Z2546" s="203">
        <v>3.2385917149688269E-2</v>
      </c>
      <c r="AA2546" s="200">
        <v>3.2297745670488709E-2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56696</v>
      </c>
      <c r="Y2547" s="202">
        <f>_xll.qlInterestRateIndexValueDate(IborIndex,X2547,Trigger)</f>
        <v>56698</v>
      </c>
      <c r="Z2547" s="203">
        <v>3.2378525897921118E-2</v>
      </c>
      <c r="AA2547" s="200">
        <v>3.2290323591617209E-2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56703</v>
      </c>
      <c r="Y2548" s="202">
        <f>_xll.qlInterestRateIndexValueDate(IborIndex,X2548,Trigger)</f>
        <v>56705</v>
      </c>
      <c r="Z2548" s="203">
        <v>3.2370222621084528E-2</v>
      </c>
      <c r="AA2548" s="200">
        <v>3.2282916834329711E-2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56710</v>
      </c>
      <c r="Y2549" s="202">
        <f>_xll.qlInterestRateIndexValueDate(IborIndex,X2549,Trigger)</f>
        <v>56712</v>
      </c>
      <c r="Z2549" s="203">
        <v>3.2362861845078229E-2</v>
      </c>
      <c r="AA2549" s="200">
        <v>3.227552539830647E-2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56717</v>
      </c>
      <c r="Y2550" s="202">
        <f>_xll.qlInterestRateIndexValueDate(IborIndex,X2550,Trigger)</f>
        <v>56719</v>
      </c>
      <c r="Z2550" s="203">
        <v>3.2355516527884182E-2</v>
      </c>
      <c r="AA2550" s="200">
        <v>3.2268149283787295E-2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56724</v>
      </c>
      <c r="Y2551" s="202">
        <f>_xll.qlInterestRateIndexValueDate(IborIndex,X2551,Trigger)</f>
        <v>56726</v>
      </c>
      <c r="Z2551" s="203">
        <v>3.2348186669418938E-2</v>
      </c>
      <c r="AA2551" s="200">
        <v>3.2260788490852121E-2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56731</v>
      </c>
      <c r="Y2552" s="202">
        <f>_xll.qlInterestRateIndexValueDate(IborIndex,X2552,Trigger)</f>
        <v>56733</v>
      </c>
      <c r="Z2552" s="203">
        <v>3.2340872269601681E-2</v>
      </c>
      <c r="AA2552" s="200">
        <v>3.2253443019181205E-2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56738</v>
      </c>
      <c r="Y2553" s="202">
        <f>_xll.qlInterestRateIndexValueDate(IborIndex,X2553,Trigger)</f>
        <v>56740</v>
      </c>
      <c r="Z2553" s="203">
        <v>3.2334503055117807E-2</v>
      </c>
      <c r="AA2553" s="200">
        <v>3.224611286909429E-2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56745</v>
      </c>
      <c r="Y2554" s="202">
        <f>_xll.qlInterestRateIndexValueDate(IborIndex,X2554,Trigger)</f>
        <v>56747</v>
      </c>
      <c r="Z2554" s="203">
        <v>3.2327220025145653E-2</v>
      </c>
      <c r="AA2554" s="200">
        <v>3.223879804051144E-2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56752</v>
      </c>
      <c r="Y2555" s="202">
        <f>_xll.qlInterestRateIndexValueDate(IborIndex,X2555,Trigger)</f>
        <v>56754</v>
      </c>
      <c r="Z2555" s="203">
        <v>3.2319952455085121E-2</v>
      </c>
      <c r="AA2555" s="200">
        <v>3.2231498533272784E-2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56759</v>
      </c>
      <c r="Y2556" s="202">
        <f>_xll.qlInterestRateIndexValueDate(IborIndex,X2556,Trigger)</f>
        <v>56761</v>
      </c>
      <c r="Z2556" s="203">
        <v>3.2312700344853652E-2</v>
      </c>
      <c r="AA2556" s="200">
        <v>3.2223175000289928E-2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56766</v>
      </c>
      <c r="Y2557" s="202">
        <f>_xll.qlInterestRateIndexValueDate(IborIndex,X2557,Trigger)</f>
        <v>56768</v>
      </c>
      <c r="Z2557" s="203">
        <v>3.2305463694363497E-2</v>
      </c>
      <c r="AA2557" s="200">
        <v>3.221694548306786E-2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56773</v>
      </c>
      <c r="Y2558" s="202">
        <f>_xll.qlInterestRateIndexValueDate(IborIndex,X2558,Trigger)</f>
        <v>56775</v>
      </c>
      <c r="Z2558" s="203">
        <v>3.229824250352864E-2</v>
      </c>
      <c r="AA2558" s="200">
        <v>3.2209691940341401E-2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56780</v>
      </c>
      <c r="Y2559" s="202">
        <f>_xll.qlInterestRateIndexValueDate(IborIndex,X2559,Trigger)</f>
        <v>56782</v>
      </c>
      <c r="Z2559" s="203">
        <v>3.2291036772267398E-2</v>
      </c>
      <c r="AA2559" s="200">
        <v>3.2202453718959134E-2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56787</v>
      </c>
      <c r="Y2560" s="202">
        <f>_xll.qlInterestRateIndexValueDate(IborIndex,X2560,Trigger)</f>
        <v>56789</v>
      </c>
      <c r="Z2560" s="203">
        <v>3.2283846500492895E-2</v>
      </c>
      <c r="AA2560" s="200">
        <v>3.2195230818841125E-2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56794</v>
      </c>
      <c r="Y2561" s="202">
        <f>_xll.qlInterestRateIndexValueDate(IborIndex,X2561,Trigger)</f>
        <v>56796</v>
      </c>
      <c r="Z2561" s="203">
        <v>3.2276671688121712E-2</v>
      </c>
      <c r="AA2561" s="200">
        <v>3.2186994837184457E-2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56801</v>
      </c>
      <c r="Y2562" s="202">
        <f>_xll.qlInterestRateIndexValueDate(IborIndex,X2562,Trigger)</f>
        <v>56803</v>
      </c>
      <c r="Z2562" s="203">
        <v>3.2269512335067842E-2</v>
      </c>
      <c r="AA2562" s="200">
        <v>3.2180830983437048E-2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56808</v>
      </c>
      <c r="Y2563" s="202">
        <f>_xll.qlInterestRateIndexValueDate(IborIndex,X2563,Trigger)</f>
        <v>56810</v>
      </c>
      <c r="Z2563" s="203">
        <v>3.2262368441249592E-2</v>
      </c>
      <c r="AA2563" s="200">
        <v>3.2173654047751299E-2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56815</v>
      </c>
      <c r="Y2564" s="202">
        <f>_xll.qlInterestRateIndexValueDate(IborIndex,X2564,Trigger)</f>
        <v>56817</v>
      </c>
      <c r="Z2564" s="203">
        <v>3.2255240006583565E-2</v>
      </c>
      <c r="AA2564" s="200">
        <v>3.216649243348968E-2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56822</v>
      </c>
      <c r="Y2565" s="202">
        <f>_xll.qlInterestRateIndexValueDate(IborIndex,X2565,Trigger)</f>
        <v>56824</v>
      </c>
      <c r="Z2565" s="203">
        <v>3.224812703098287E-2</v>
      </c>
      <c r="AA2565" s="200">
        <v>3.2159346140812062E-2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56829</v>
      </c>
      <c r="Y2566" s="202">
        <f>_xll.qlInterestRateIndexValueDate(IborIndex,X2566,Trigger)</f>
        <v>56831</v>
      </c>
      <c r="Z2566" s="203">
        <v>3.2241029514364965E-2</v>
      </c>
      <c r="AA2566" s="200">
        <v>3.2152215169478637E-2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56836</v>
      </c>
      <c r="Y2567" s="202">
        <f>_xll.qlInterestRateIndexValueDate(IborIndex,X2567,Trigger)</f>
        <v>56838</v>
      </c>
      <c r="Z2567" s="203">
        <v>3.2233947456648177E-2</v>
      </c>
      <c r="AA2567" s="200">
        <v>3.2145099519649278E-2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56843</v>
      </c>
      <c r="Y2568" s="202">
        <f>_xll.qlInterestRateIndexValueDate(IborIndex,X2568,Trigger)</f>
        <v>56845</v>
      </c>
      <c r="Z2568" s="203">
        <v>3.2226880857747352E-2</v>
      </c>
      <c r="AA2568" s="200">
        <v>3.2137999191244049E-2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56850</v>
      </c>
      <c r="Y2569" s="202">
        <f>_xll.qlInterestRateIndexValueDate(IborIndex,X2569,Trigger)</f>
        <v>56852</v>
      </c>
      <c r="Z2569" s="203">
        <v>3.2219829717580827E-2</v>
      </c>
      <c r="AA2569" s="200">
        <v>3.2130914184262949E-2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56857</v>
      </c>
      <c r="Y2570" s="202">
        <f>_xll.qlInterestRateIndexValueDate(IborIndex,X2570,Trigger)</f>
        <v>56859</v>
      </c>
      <c r="Z2570" s="203">
        <v>3.2211856405084227E-2</v>
      </c>
      <c r="AA2570" s="200">
        <v>3.2122835794385907E-2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56864</v>
      </c>
      <c r="Y2571" s="202">
        <f>_xll.qlInterestRateIndexValueDate(IborIndex,X2571,Trigger)</f>
        <v>56866</v>
      </c>
      <c r="Z2571" s="203">
        <v>3.2204835703571327E-2</v>
      </c>
      <c r="AA2571" s="200">
        <v>3.2116790134653073E-2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56871</v>
      </c>
      <c r="Y2572" s="202">
        <f>_xll.qlInterestRateIndexValueDate(IborIndex,X2572,Trigger)</f>
        <v>56873</v>
      </c>
      <c r="Z2572" s="203">
        <v>3.2197830459035667E-2</v>
      </c>
      <c r="AA2572" s="200">
        <v>3.2109751092024297E-2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56878</v>
      </c>
      <c r="Y2573" s="202">
        <f>_xll.qlInterestRateIndexValueDate(IborIndex,X2573,Trigger)</f>
        <v>56880</v>
      </c>
      <c r="Z2573" s="203">
        <v>3.2190840671397304E-2</v>
      </c>
      <c r="AA2573" s="200">
        <v>3.2102727370739714E-2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56885</v>
      </c>
      <c r="Y2574" s="202">
        <f>_xll.qlInterestRateIndexValueDate(IborIndex,X2574,Trigger)</f>
        <v>56887</v>
      </c>
      <c r="Z2574" s="203">
        <v>3.218386634057719E-2</v>
      </c>
      <c r="AA2574" s="200">
        <v>3.2095718971039133E-2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56892</v>
      </c>
      <c r="Y2575" s="202">
        <f>_xll.qlInterestRateIndexValueDate(IborIndex,X2575,Trigger)</f>
        <v>56894</v>
      </c>
      <c r="Z2575" s="203">
        <v>3.2177847505362026E-2</v>
      </c>
      <c r="AA2575" s="200">
        <v>3.2087728132248472E-2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56899</v>
      </c>
      <c r="Y2576" s="202">
        <f>_xll.qlInterestRateIndexValueDate(IborIndex,X2576,Trigger)</f>
        <v>56901</v>
      </c>
      <c r="Z2576" s="203">
        <v>3.2170904574020873E-2</v>
      </c>
      <c r="AA2576" s="200">
        <v>3.2081748135750487E-2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56906</v>
      </c>
      <c r="Y2577" s="202">
        <f>_xll.qlInterestRateIndexValueDate(IborIndex,X2577,Trigger)</f>
        <v>56908</v>
      </c>
      <c r="Z2577" s="203">
        <v>3.2163977100756282E-2</v>
      </c>
      <c r="AA2577" s="200">
        <v>3.2074785700242359E-2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56913</v>
      </c>
      <c r="Y2578" s="202">
        <f>_xll.qlInterestRateIndexValueDate(IborIndex,X2578,Trigger)</f>
        <v>56915</v>
      </c>
      <c r="Z2578" s="203">
        <v>3.2157065085487435E-2</v>
      </c>
      <c r="AA2578" s="200">
        <v>3.2067838586158359E-2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56920</v>
      </c>
      <c r="Y2579" s="202">
        <f>_xll.qlInterestRateIndexValueDate(IborIndex,X2579,Trigger)</f>
        <v>56922</v>
      </c>
      <c r="Z2579" s="203">
        <v>3.2150168528132676E-2</v>
      </c>
      <c r="AA2579" s="200">
        <v>3.2060906793498489E-2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56927</v>
      </c>
      <c r="Y2580" s="202">
        <f>_xll.qlInterestRateIndexValueDate(IborIndex,X2580,Trigger)</f>
        <v>56930</v>
      </c>
      <c r="Z2580" s="203">
        <v>3.2144191095308416E-2</v>
      </c>
      <c r="AA2580" s="200">
        <v>3.2053003505794209E-2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56934</v>
      </c>
      <c r="Y2581" s="202">
        <f>_xll.qlInterestRateIndexValueDate(IborIndex,X2581,Trigger)</f>
        <v>56936</v>
      </c>
      <c r="Z2581" s="203">
        <v>3.2136421786836088E-2</v>
      </c>
      <c r="AA2581" s="200">
        <v>3.2047089172690946E-2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56941</v>
      </c>
      <c r="Y2582" s="202">
        <f>_xll.qlInterestRateIndexValueDate(IborIndex,X2582,Trigger)</f>
        <v>56944</v>
      </c>
      <c r="Z2582" s="203">
        <v>3.2130481665103738E-2</v>
      </c>
      <c r="AA2582" s="200">
        <v>3.203922090529332E-2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56948</v>
      </c>
      <c r="Y2583" s="202">
        <f>_xll.qlInterestRateIndexValueDate(IborIndex,X2583,Trigger)</f>
        <v>56950</v>
      </c>
      <c r="Z2583" s="203">
        <v>3.2121792906600985E-2</v>
      </c>
      <c r="AA2583" s="200">
        <v>3.2033332837420048E-2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56955</v>
      </c>
      <c r="Y2584" s="202">
        <f>_xll.qlInterestRateIndexValueDate(IborIndex,X2584,Trigger)</f>
        <v>56957</v>
      </c>
      <c r="Z2584" s="203">
        <v>3.2114973139513232E-2</v>
      </c>
      <c r="AA2584" s="200">
        <v>3.2026477652040697E-2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56962</v>
      </c>
      <c r="Y2585" s="202">
        <f>_xll.qlInterestRateIndexValueDate(IborIndex,X2585,Trigger)</f>
        <v>56964</v>
      </c>
      <c r="Z2585" s="203">
        <v>3.210816882836267E-2</v>
      </c>
      <c r="AA2585" s="200">
        <v>3.2019637787845667E-2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56969</v>
      </c>
      <c r="Y2586" s="202">
        <f>_xll.qlInterestRateIndexValueDate(IborIndex,X2586,Trigger)</f>
        <v>56971</v>
      </c>
      <c r="Z2586" s="203">
        <v>3.2101379973066717E-2</v>
      </c>
      <c r="AA2586" s="200">
        <v>3.2011839561301159E-2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56977</v>
      </c>
      <c r="Y2587" s="202">
        <f>_xll.qlInterestRateIndexValueDate(IborIndex,X2587,Trigger)</f>
        <v>56983</v>
      </c>
      <c r="Z2587" s="203">
        <v>3.208977789370706E-2</v>
      </c>
      <c r="AA2587" s="200">
        <v>3.2003090476724338E-2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56984</v>
      </c>
      <c r="Y2588" s="202">
        <f>_xll.qlInterestRateIndexValueDate(IborIndex,X2588,Trigger)</f>
        <v>56986</v>
      </c>
      <c r="Z2588" s="203">
        <v>3.2086884470862449E-2</v>
      </c>
      <c r="AA2588" s="200">
        <v>3.1998240817969759E-2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56991</v>
      </c>
      <c r="Y2589" s="202">
        <f>_xll.qlInterestRateIndexValueDate(IborIndex,X2589,Trigger)</f>
        <v>56993</v>
      </c>
      <c r="Z2589" s="203">
        <v>3.2080144190597966E-2</v>
      </c>
      <c r="AA2589" s="200">
        <v>3.1990497623324288E-2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56998</v>
      </c>
      <c r="Y2590" s="202">
        <f>_xll.qlInterestRateIndexValueDate(IborIndex,X2590,Trigger)</f>
        <v>57000</v>
      </c>
      <c r="Z2590" s="203">
        <v>3.2073419365866607E-2</v>
      </c>
      <c r="AA2590" s="200">
        <v>3.1984703360095068E-2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57005</v>
      </c>
      <c r="Y2591" s="202">
        <f>_xll.qlInterestRateIndexValueDate(IborIndex,X2591,Trigger)</f>
        <v>57007</v>
      </c>
      <c r="Z2591" s="203">
        <v>3.2066709996584036E-2</v>
      </c>
      <c r="AA2591" s="200">
        <v>3.1977957613413821E-2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57012</v>
      </c>
      <c r="Y2592" s="202">
        <f>_xll.qlInterestRateIndexValueDate(IborIndex,X2592,Trigger)</f>
        <v>57014</v>
      </c>
      <c r="Z2592" s="203">
        <v>3.2059067608591008E-2</v>
      </c>
      <c r="AA2592" s="200">
        <v>3.1971227188156703E-2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57019</v>
      </c>
      <c r="Y2593" s="202">
        <f>_xll.qlInterestRateIndexValueDate(IborIndex,X2593,Trigger)</f>
        <v>57021</v>
      </c>
      <c r="Z2593" s="203">
        <v>3.2052388638411422E-2</v>
      </c>
      <c r="AA2593" s="200">
        <v>3.1964512084243779E-2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57026</v>
      </c>
      <c r="Y2594" s="202">
        <f>_xll.qlInterestRateIndexValueDate(IborIndex,X2594,Trigger)</f>
        <v>57028</v>
      </c>
      <c r="Z2594" s="203">
        <v>3.2045725121963464E-2</v>
      </c>
      <c r="AA2594" s="200">
        <v>3.1956856440684689E-2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57033</v>
      </c>
      <c r="Y2595" s="202">
        <f>_xll.qlInterestRateIndexValueDate(IborIndex,X2595,Trigger)</f>
        <v>57035</v>
      </c>
      <c r="Z2595" s="203">
        <v>3.2039077059169863E-2</v>
      </c>
      <c r="AA2595" s="200">
        <v>3.1951127840770255E-2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57040</v>
      </c>
      <c r="Y2596" s="202">
        <f>_xll.qlInterestRateIndexValueDate(IborIndex,X2596,Trigger)</f>
        <v>57042</v>
      </c>
      <c r="Z2596" s="203">
        <v>3.2036247201388923E-2</v>
      </c>
      <c r="AA2596" s="200">
        <v>3.1944458700969847E-2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57047</v>
      </c>
      <c r="Y2597" s="202">
        <f>_xll.qlInterestRateIndexValueDate(IborIndex,X2597,Trigger)</f>
        <v>57049</v>
      </c>
      <c r="Z2597" s="203">
        <v>3.2029632116687634E-2</v>
      </c>
      <c r="AA2597" s="200">
        <v>3.1937804882833376E-2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57054</v>
      </c>
      <c r="Y2598" s="202">
        <f>_xll.qlInterestRateIndexValueDate(IborIndex,X2598,Trigger)</f>
        <v>57056</v>
      </c>
      <c r="Z2598" s="203">
        <v>3.2023032491349496E-2</v>
      </c>
      <c r="AA2598" s="200">
        <v>3.1931166385881227E-2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57061</v>
      </c>
      <c r="Y2599" s="202">
        <f>_xll.qlInterestRateIndexValueDate(IborIndex,X2599,Trigger)</f>
        <v>57063</v>
      </c>
      <c r="Z2599" s="203">
        <v>3.2016448325291172E-2</v>
      </c>
      <c r="AA2599" s="200">
        <v>3.1924543210672951E-2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57068</v>
      </c>
      <c r="Y2600" s="202">
        <f>_xll.qlInterestRateIndexValueDate(IborIndex,X2600,Trigger)</f>
        <v>57074</v>
      </c>
      <c r="Z2600" s="203">
        <v>3.200422666589231E-2</v>
      </c>
      <c r="AA2600" s="200">
        <v>3.1916050212448255E-2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57075</v>
      </c>
      <c r="Y2601" s="202">
        <f>_xll.qlInterestRateIndexValueDate(IborIndex,X2601,Trigger)</f>
        <v>57077</v>
      </c>
      <c r="Z2601" s="203">
        <v>3.2000466336547975E-2</v>
      </c>
      <c r="AA2601" s="200">
        <v>3.1911342823889299E-2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57082</v>
      </c>
      <c r="Y2602" s="202">
        <f>_xll.qlInterestRateIndexValueDate(IborIndex,X2602,Trigger)</f>
        <v>57084</v>
      </c>
      <c r="Z2602" s="203">
        <v>3.1993926972129216E-2</v>
      </c>
      <c r="AA2602" s="200">
        <v>3.190476561279354E-2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57089</v>
      </c>
      <c r="Y2603" s="202">
        <f>_xll.qlInterestRateIndexValueDate(IborIndex,X2603,Trigger)</f>
        <v>57091</v>
      </c>
      <c r="Z2603" s="203">
        <v>3.1987403062237789E-2</v>
      </c>
      <c r="AA2603" s="200">
        <v>3.189820372312191E-2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57096</v>
      </c>
      <c r="Y2604" s="202">
        <f>_xll.qlInterestRateIndexValueDate(IborIndex,X2604,Trigger)</f>
        <v>57098</v>
      </c>
      <c r="Z2604" s="203">
        <v>3.1983759381501053E-2</v>
      </c>
      <c r="AA2604" s="200">
        <v>3.1891657154714537E-2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57103</v>
      </c>
      <c r="Y2605" s="202">
        <f>_xll.qlInterestRateIndexValueDate(IborIndex,X2605,Trigger)</f>
        <v>57105</v>
      </c>
      <c r="Z2605" s="203">
        <v>3.1977267969493128E-2</v>
      </c>
      <c r="AA2605" s="200">
        <v>3.1885125907731293E-2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57110</v>
      </c>
      <c r="Y2606" s="202">
        <f>_xll.qlInterestRateIndexValueDate(IborIndex,X2606,Trigger)</f>
        <v>57112</v>
      </c>
      <c r="Z2606" s="203">
        <v>3.1970792016217366E-2</v>
      </c>
      <c r="AA2606" s="200">
        <v>3.1878609982332051E-2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57117</v>
      </c>
      <c r="Y2607" s="202">
        <f>_xll.qlInterestRateIndexValueDate(IborIndex,X2607,Trigger)</f>
        <v>57119</v>
      </c>
      <c r="Z2607" s="203">
        <v>3.196433152159979E-2</v>
      </c>
      <c r="AA2607" s="200">
        <v>3.1872109378117131E-2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57124</v>
      </c>
      <c r="Y2608" s="202">
        <f>_xll.qlInterestRateIndexValueDate(IborIndex,X2608,Trigger)</f>
        <v>57126</v>
      </c>
      <c r="Z2608" s="203">
        <v>3.1958843753439471E-2</v>
      </c>
      <c r="AA2608" s="200">
        <v>3.1864698877184239E-2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57131</v>
      </c>
      <c r="Y2609" s="202">
        <f>_xll.qlInterestRateIndexValueDate(IborIndex,X2609,Trigger)</f>
        <v>57133</v>
      </c>
      <c r="Z2609" s="203">
        <v>3.1952414711812822E-2</v>
      </c>
      <c r="AA2609" s="200">
        <v>3.1859154134039613E-2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57138</v>
      </c>
      <c r="Y2610" s="202">
        <f>_xll.qlInterestRateIndexValueDate(IborIndex,X2610,Trigger)</f>
        <v>57140</v>
      </c>
      <c r="Z2610" s="203">
        <v>3.1945042788907009E-2</v>
      </c>
      <c r="AA2610" s="200">
        <v>3.1852699494256953E-2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57145</v>
      </c>
      <c r="Y2611" s="202">
        <f>_xll.qlInterestRateIndexValueDate(IborIndex,X2611,Trigger)</f>
        <v>57147</v>
      </c>
      <c r="Z2611" s="203">
        <v>3.1938644128140667E-2</v>
      </c>
      <c r="AA2611" s="200">
        <v>3.184626017573855E-2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57152</v>
      </c>
      <c r="Y2612" s="202">
        <f>_xll.qlInterestRateIndexValueDate(IborIndex,X2612,Trigger)</f>
        <v>57154</v>
      </c>
      <c r="Z2612" s="203">
        <v>3.1932260925644732E-2</v>
      </c>
      <c r="AA2612" s="200">
        <v>3.1839836178484404E-2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57159</v>
      </c>
      <c r="Y2613" s="202">
        <f>_xll.qlInterestRateIndexValueDate(IborIndex,X2613,Trigger)</f>
        <v>57161</v>
      </c>
      <c r="Z2613" s="203">
        <v>3.192301394578153E-2</v>
      </c>
      <c r="AA2613" s="200">
        <v>3.1832513228557957E-2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57166</v>
      </c>
      <c r="Y2614" s="202">
        <f>_xll.qlInterestRateIndexValueDate(IborIndex,X2614,Trigger)</f>
        <v>57168</v>
      </c>
      <c r="Z2614" s="203">
        <v>3.1920501400605684E-2</v>
      </c>
      <c r="AA2614" s="200">
        <v>3.1827034148568245E-2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57173</v>
      </c>
      <c r="Y2615" s="202">
        <f>_xll.qlInterestRateIndexValueDate(IborIndex,X2615,Trigger)</f>
        <v>57175</v>
      </c>
      <c r="Z2615" s="203">
        <v>3.1913204067013173E-2</v>
      </c>
      <c r="AA2615" s="200">
        <v>3.182065611574636E-2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57180</v>
      </c>
      <c r="Y2616" s="202">
        <f>_xll.qlInterestRateIndexValueDate(IborIndex,X2616,Trigger)</f>
        <v>57182</v>
      </c>
      <c r="Z2616" s="203">
        <v>3.1906882696834379E-2</v>
      </c>
      <c r="AA2616" s="200">
        <v>3.1814293404108795E-2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57187</v>
      </c>
      <c r="Y2617" s="202">
        <f>_xll.qlInterestRateIndexValueDate(IborIndex,X2617,Trigger)</f>
        <v>57189</v>
      </c>
      <c r="Z2617" s="203">
        <v>3.1900576784544166E-2</v>
      </c>
      <c r="AA2617" s="200">
        <v>3.1807946014055233E-2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57194</v>
      </c>
      <c r="Y2618" s="202">
        <f>_xll.qlInterestRateIndexValueDate(IborIndex,X2618,Trigger)</f>
        <v>57196</v>
      </c>
      <c r="Z2618" s="203">
        <v>3.1894286330068564E-2</v>
      </c>
      <c r="AA2618" s="200">
        <v>3.1801613945345863E-2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57201</v>
      </c>
      <c r="Y2619" s="202">
        <f>_xll.qlInterestRateIndexValueDate(IborIndex,X2619,Trigger)</f>
        <v>57203</v>
      </c>
      <c r="Z2619" s="203">
        <v>3.1888011333331023E-2</v>
      </c>
      <c r="AA2619" s="200">
        <v>3.1795297197980688E-2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57208</v>
      </c>
      <c r="Y2620" s="202">
        <f>_xll.qlInterestRateIndexValueDate(IborIndex,X2620,Trigger)</f>
        <v>57210</v>
      </c>
      <c r="Z2620" s="203">
        <v>3.1881751794255862E-2</v>
      </c>
      <c r="AA2620" s="200">
        <v>3.1788995772119577E-2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57215</v>
      </c>
      <c r="Y2621" s="202">
        <f>_xll.qlInterestRateIndexValueDate(IborIndex,X2621,Trigger)</f>
        <v>57217</v>
      </c>
      <c r="Z2621" s="203">
        <v>3.1875507712767412E-2</v>
      </c>
      <c r="AA2621" s="200">
        <v>3.178270966760266E-2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57222</v>
      </c>
      <c r="Y2622" s="202">
        <f>_xll.qlInterestRateIndexValueDate(IborIndex,X2622,Trigger)</f>
        <v>57224</v>
      </c>
      <c r="Z2622" s="203">
        <v>3.1866385034882982E-2</v>
      </c>
      <c r="AA2622" s="200">
        <v>3.1775544309136095E-2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57229</v>
      </c>
      <c r="Y2623" s="202">
        <f>_xll.qlInterestRateIndexValueDate(IborIndex,X2623,Trigger)</f>
        <v>57231</v>
      </c>
      <c r="Z2623" s="203">
        <v>3.1860170199870648E-2</v>
      </c>
      <c r="AA2623" s="200">
        <v>3.1770183422681342E-2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57236</v>
      </c>
      <c r="Y2624" s="202">
        <f>_xll.qlInterestRateIndexValueDate(IborIndex,X2624,Trigger)</f>
        <v>57238</v>
      </c>
      <c r="Z2624" s="203">
        <v>3.1853970817832596E-2</v>
      </c>
      <c r="AA2624" s="200">
        <v>3.1763943282436813E-2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57243</v>
      </c>
      <c r="Y2625" s="202">
        <f>_xll.qlInterestRateIndexValueDate(IborIndex,X2625,Trigger)</f>
        <v>57245</v>
      </c>
      <c r="Z2625" s="203">
        <v>3.1847786888695044E-2</v>
      </c>
      <c r="AA2625" s="200">
        <v>3.1757718463536477E-2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57250</v>
      </c>
      <c r="Y2626" s="202">
        <f>_xll.qlInterestRateIndexValueDate(IborIndex,X2626,Trigger)</f>
        <v>57252</v>
      </c>
      <c r="Z2626" s="203">
        <v>3.1841618412390353E-2</v>
      </c>
      <c r="AA2626" s="200">
        <v>3.1751508965980335E-2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57257</v>
      </c>
      <c r="Y2627" s="202">
        <f>_xll.qlInterestRateIndexValueDate(IborIndex,X2627,Trigger)</f>
        <v>57259</v>
      </c>
      <c r="Z2627" s="203">
        <v>3.1838367828996447E-2</v>
      </c>
      <c r="AA2627" s="200">
        <v>3.1744431158280406E-2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57264</v>
      </c>
      <c r="Y2628" s="202">
        <f>_xll.qlInterestRateIndexValueDate(IborIndex,X2628,Trigger)</f>
        <v>57266</v>
      </c>
      <c r="Z2628" s="203">
        <v>3.183320021386702E-2</v>
      </c>
      <c r="AA2628" s="200">
        <v>3.1739135935060503E-2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57271</v>
      </c>
      <c r="Y2629" s="202">
        <f>_xll.qlInterestRateIndexValueDate(IborIndex,X2629,Trigger)</f>
        <v>57273</v>
      </c>
      <c r="Z2629" s="203">
        <v>3.182611152506299E-2</v>
      </c>
      <c r="AA2629" s="200">
        <v>3.1732972401696813E-2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57278</v>
      </c>
      <c r="Y2630" s="202">
        <f>_xll.qlInterestRateIndexValueDate(IborIndex,X2630,Trigger)</f>
        <v>57280</v>
      </c>
      <c r="Z2630" s="203">
        <v>3.1820006558513678E-2</v>
      </c>
      <c r="AA2630" s="200">
        <v>3.172682418959738E-2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57285</v>
      </c>
      <c r="Y2631" s="202">
        <f>_xll.qlInterestRateIndexValueDate(IborIndex,X2631,Trigger)</f>
        <v>57287</v>
      </c>
      <c r="Z2631" s="203">
        <v>3.1813917048810376E-2</v>
      </c>
      <c r="AA2631" s="200">
        <v>3.1720691299081949E-2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57292</v>
      </c>
      <c r="Y2632" s="202">
        <f>_xll.qlInterestRateIndexValueDate(IborIndex,X2632,Trigger)</f>
        <v>57297</v>
      </c>
      <c r="Z2632" s="203">
        <v>3.1803303337590225E-2</v>
      </c>
      <c r="AA2632" s="200">
        <v>3.171370104206872E-2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57299</v>
      </c>
      <c r="Y2633" s="202">
        <f>_xll.qlInterestRateIndexValueDate(IborIndex,X2633,Trigger)</f>
        <v>57301</v>
      </c>
      <c r="Z2633" s="203">
        <v>3.1802755505801292E-2</v>
      </c>
      <c r="AA2633" s="200">
        <v>3.1708471482083667E-2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57306</v>
      </c>
      <c r="Y2634" s="202">
        <f>_xll.qlInterestRateIndexValueDate(IborIndex,X2634,Trigger)</f>
        <v>57308</v>
      </c>
      <c r="Z2634" s="203">
        <v>3.1795741260047805E-2</v>
      </c>
      <c r="AA2634" s="200">
        <v>3.1702384555520879E-2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57313</v>
      </c>
      <c r="Y2635" s="202">
        <f>_xll.qlInterestRateIndexValueDate(IborIndex,X2635,Trigger)</f>
        <v>57315</v>
      </c>
      <c r="Z2635" s="203">
        <v>3.1785825686601044E-2</v>
      </c>
      <c r="AA2635" s="200">
        <v>3.1696312950462158E-2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57320</v>
      </c>
      <c r="Y2636" s="202">
        <f>_xll.qlInterestRateIndexValueDate(IborIndex,X2636,Trigger)</f>
        <v>57322</v>
      </c>
      <c r="Z2636" s="203">
        <v>3.1779811159884375E-2</v>
      </c>
      <c r="AA2636" s="200">
        <v>3.1690256666907501E-2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57327</v>
      </c>
      <c r="Y2637" s="202">
        <f>_xll.qlInterestRateIndexValueDate(IborIndex,X2637,Trigger)</f>
        <v>57329</v>
      </c>
      <c r="Z2637" s="203">
        <v>3.1773812083764952E-2</v>
      </c>
      <c r="AA2637" s="200">
        <v>3.1684215704537166E-2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57334</v>
      </c>
      <c r="Y2638" s="202">
        <f>_xll.qlInterestRateIndexValueDate(IborIndex,X2638,Trigger)</f>
        <v>57336</v>
      </c>
      <c r="Z2638" s="203">
        <v>3.1767828458176162E-2</v>
      </c>
      <c r="AA2638" s="200">
        <v>3.1677330508523838E-2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57341</v>
      </c>
      <c r="Y2639" s="202">
        <f>_xll.qlInterestRateIndexValueDate(IborIndex,X2639,Trigger)</f>
        <v>57343</v>
      </c>
      <c r="Z2639" s="203">
        <v>3.17628343955512E-2</v>
      </c>
      <c r="AA2639" s="200">
        <v>3.1671322377651023E-2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57348</v>
      </c>
      <c r="Y2640" s="202">
        <f>_xll.qlInterestRateIndexValueDate(IborIndex,X2640,Trigger)</f>
        <v>57350</v>
      </c>
      <c r="Z2640" s="203">
        <v>3.1755907558310703E-2</v>
      </c>
      <c r="AA2640" s="200">
        <v>3.1666184745970938E-2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57355</v>
      </c>
      <c r="Y2641" s="202">
        <f>_xll.qlInterestRateIndexValueDate(IborIndex,X2641,Trigger)</f>
        <v>57357</v>
      </c>
      <c r="Z2641" s="203">
        <v>3.1749970283897255E-2</v>
      </c>
      <c r="AA2641" s="200">
        <v>3.1659352080417591E-2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57362</v>
      </c>
      <c r="Y2642" s="202">
        <f>_xll.qlInterestRateIndexValueDate(IborIndex,X2642,Trigger)</f>
        <v>57364</v>
      </c>
      <c r="Z2642" s="203">
        <v>3.1744048459738217E-2</v>
      </c>
      <c r="AA2642" s="200">
        <v>3.1654240713807624E-2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57369</v>
      </c>
      <c r="Y2643" s="202">
        <f>_xll.qlInterestRateIndexValueDate(IborIndex,X2643,Trigger)</f>
        <v>57371</v>
      </c>
      <c r="Z2643" s="203">
        <v>3.1738142085766974E-2</v>
      </c>
      <c r="AA2643" s="200">
        <v>3.1648291679822194E-2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57376</v>
      </c>
      <c r="Y2644" s="202">
        <f>_xll.qlInterestRateIndexValueDate(IborIndex,X2644,Trigger)</f>
        <v>57378</v>
      </c>
      <c r="Z2644" s="203">
        <v>3.1731274245306473E-2</v>
      </c>
      <c r="AA2644" s="200">
        <v>3.1642357967260892E-2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57383</v>
      </c>
      <c r="Y2645" s="202">
        <f>_xll.qlInterestRateIndexValueDate(IborIndex,X2645,Trigger)</f>
        <v>57385</v>
      </c>
      <c r="Z2645" s="203">
        <v>3.1725398183820995E-2</v>
      </c>
      <c r="AA2645" s="200">
        <v>3.1636439575803976E-2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57390</v>
      </c>
      <c r="Y2646" s="202">
        <f>_xll.qlInterestRateIndexValueDate(IborIndex,X2646,Trigger)</f>
        <v>57392</v>
      </c>
      <c r="Z2646" s="203">
        <v>3.171953757087325E-2</v>
      </c>
      <c r="AA2646" s="200">
        <v>3.162969446093733E-2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57397</v>
      </c>
      <c r="Y2647" s="202">
        <f>_xll.qlInterestRateIndexValueDate(IborIndex,X2647,Trigger)</f>
        <v>57399</v>
      </c>
      <c r="Z2647" s="203">
        <v>3.1713692406396765E-2</v>
      </c>
      <c r="AA2647" s="200">
        <v>3.1624648757482277E-2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57404</v>
      </c>
      <c r="Y2648" s="202">
        <f>_xll.qlInterestRateIndexValueDate(IborIndex,X2648,Trigger)</f>
        <v>57406</v>
      </c>
      <c r="Z2648" s="203">
        <v>3.171276021124441E-2</v>
      </c>
      <c r="AA2648" s="200">
        <v>3.1618776330377685E-2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57411</v>
      </c>
      <c r="Y2649" s="202">
        <f>_xll.qlInterestRateIndexValueDate(IborIndex,X2649,Trigger)</f>
        <v>57413</v>
      </c>
      <c r="Z2649" s="203">
        <v>3.1706948912458392E-2</v>
      </c>
      <c r="AA2649" s="200">
        <v>3.1612919224617286E-2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57418</v>
      </c>
      <c r="Y2650" s="202">
        <f>_xll.qlInterestRateIndexValueDate(IborIndex,X2650,Trigger)</f>
        <v>57420</v>
      </c>
      <c r="Z2650" s="203">
        <v>3.170115306915948E-2</v>
      </c>
      <c r="AA2650" s="200">
        <v>3.1607077440201081E-2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57425</v>
      </c>
      <c r="Y2651" s="202">
        <f>_xll.qlInterestRateIndexValueDate(IborIndex,X2651,Trigger)</f>
        <v>57427</v>
      </c>
      <c r="Z2651" s="203">
        <v>3.1695372681281343E-2</v>
      </c>
      <c r="AA2651" s="200">
        <v>3.1601250977288942E-2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57432</v>
      </c>
      <c r="Y2652" s="202">
        <f>_xll.qlInterestRateIndexValueDate(IborIndex,X2652,Trigger)</f>
        <v>57434</v>
      </c>
      <c r="Z2652" s="203">
        <v>3.1686661740557051E-2</v>
      </c>
      <c r="AA2652" s="200">
        <v>3.1595439835561123E-2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57439</v>
      </c>
      <c r="Y2653" s="202">
        <f>_xll.qlInterestRateIndexValueDate(IborIndex,X2653,Trigger)</f>
        <v>57441</v>
      </c>
      <c r="Z2653" s="203">
        <v>3.168091046414985E-2</v>
      </c>
      <c r="AA2653" s="200">
        <v>3.158964401533737E-2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57446</v>
      </c>
      <c r="Y2654" s="202">
        <f>_xll.qlInterestRateIndexValueDate(IborIndex,X2654,Trigger)</f>
        <v>57448</v>
      </c>
      <c r="Z2654" s="203">
        <v>3.1675174638634195E-2</v>
      </c>
      <c r="AA2654" s="200">
        <v>3.1583863516457811E-2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57453</v>
      </c>
      <c r="Y2655" s="202">
        <f>_xll.qlInterestRateIndexValueDate(IborIndex,X2655,Trigger)</f>
        <v>57459</v>
      </c>
      <c r="Z2655" s="203">
        <v>3.166619241548168E-2</v>
      </c>
      <c r="AA2655" s="200">
        <v>3.1576453959409889E-2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57460</v>
      </c>
      <c r="Y2656" s="202">
        <f>_xll.qlInterestRateIndexValueDate(IborIndex,X2656,Trigger)</f>
        <v>57462</v>
      </c>
      <c r="Z2656" s="203">
        <v>3.1663749340008769E-2</v>
      </c>
      <c r="AA2656" s="200">
        <v>3.1572348482731272E-2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57467</v>
      </c>
      <c r="Y2657" s="202">
        <f>_xll.qlInterestRateIndexValueDate(IborIndex,X2657,Trigger)</f>
        <v>57469</v>
      </c>
      <c r="Z2657" s="203">
        <v>3.1661014913959937E-2</v>
      </c>
      <c r="AA2657" s="200">
        <v>3.1566613947964228E-2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57474</v>
      </c>
      <c r="Y2658" s="202">
        <f>_xll.qlInterestRateIndexValueDate(IborIndex,X2658,Trigger)</f>
        <v>57476</v>
      </c>
      <c r="Z2658" s="203">
        <v>3.1655342712089189E-2</v>
      </c>
      <c r="AA2658" s="200">
        <v>3.1560894734541378E-2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57481</v>
      </c>
      <c r="Y2659" s="202">
        <f>_xll.qlInterestRateIndexValueDate(IborIndex,X2659,Trigger)</f>
        <v>57483</v>
      </c>
      <c r="Z2659" s="203">
        <v>3.1649685965088159E-2</v>
      </c>
      <c r="AA2659" s="200">
        <v>3.1555190842382785E-2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57488</v>
      </c>
      <c r="Y2660" s="202">
        <f>_xll.qlInterestRateIndexValueDate(IborIndex,X2660,Trigger)</f>
        <v>57490</v>
      </c>
      <c r="Z2660" s="203">
        <v>3.1645031745838804E-2</v>
      </c>
      <c r="AA2660" s="200">
        <v>3.1548690869502849E-2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57495</v>
      </c>
      <c r="Y2661" s="202">
        <f>_xll.qlInterestRateIndexValueDate(IborIndex,X2661,Trigger)</f>
        <v>57497</v>
      </c>
      <c r="Z2661" s="203">
        <v>3.1639406519922572E-2</v>
      </c>
      <c r="AA2661" s="200">
        <v>3.1543829022417924E-2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57502</v>
      </c>
      <c r="Y2662" s="202">
        <f>_xll.qlInterestRateIndexValueDate(IborIndex,X2662,Trigger)</f>
        <v>57504</v>
      </c>
      <c r="Z2662" s="203">
        <v>3.1632808452625664E-2</v>
      </c>
      <c r="AA2662" s="200">
        <v>3.1538171094451783E-2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57509</v>
      </c>
      <c r="Y2663" s="202">
        <f>_xll.qlInterestRateIndexValueDate(IborIndex,X2663,Trigger)</f>
        <v>57511</v>
      </c>
      <c r="Z2663" s="203">
        <v>3.1627213524429182E-2</v>
      </c>
      <c r="AA2663" s="200">
        <v>3.15325284877499E-2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57516</v>
      </c>
      <c r="Y2664" s="202">
        <f>_xll.qlInterestRateIndexValueDate(IborIndex,X2664,Trigger)</f>
        <v>57518</v>
      </c>
      <c r="Z2664" s="203">
        <v>3.1621634050762265E-2</v>
      </c>
      <c r="AA2664" s="200">
        <v>3.1526901202711954E-2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57523</v>
      </c>
      <c r="Y2665" s="202">
        <f>_xll.qlInterestRateIndexValueDate(IborIndex,X2665,Trigger)</f>
        <v>57525</v>
      </c>
      <c r="Z2665" s="203">
        <v>3.1613100297816797E-2</v>
      </c>
      <c r="AA2665" s="200">
        <v>3.1522268962920208E-2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57530</v>
      </c>
      <c r="Y2666" s="202">
        <f>_xll.qlInterestRateIndexValueDate(IborIndex,X2666,Trigger)</f>
        <v>57532</v>
      </c>
      <c r="Z2666" s="203">
        <v>3.1611512230506171E-2</v>
      </c>
      <c r="AA2666" s="200">
        <v>3.1515692596109091E-2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57537</v>
      </c>
      <c r="Y2667" s="202">
        <f>_xll.qlInterestRateIndexValueDate(IborIndex,X2667,Trigger)</f>
        <v>57539</v>
      </c>
      <c r="Z2667" s="203">
        <v>3.1604988356289263E-2</v>
      </c>
      <c r="AA2667" s="200">
        <v>3.1510111275023789E-2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57544</v>
      </c>
      <c r="Y2668" s="202">
        <f>_xll.qlInterestRateIndexValueDate(IborIndex,X2668,Trigger)</f>
        <v>57546</v>
      </c>
      <c r="Z2668" s="203">
        <v>3.1599470700084988E-2</v>
      </c>
      <c r="AA2668" s="200">
        <v>3.150454527528268E-2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57551</v>
      </c>
      <c r="Y2669" s="202">
        <f>_xll.qlInterestRateIndexValueDate(IborIndex,X2669,Trigger)</f>
        <v>57553</v>
      </c>
      <c r="Z2669" s="203">
        <v>3.159396849807948E-2</v>
      </c>
      <c r="AA2669" s="200">
        <v>3.1498994596885765E-2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57558</v>
      </c>
      <c r="Y2670" s="202">
        <f>_xll.qlInterestRateIndexValueDate(IborIndex,X2670,Trigger)</f>
        <v>57560</v>
      </c>
      <c r="Z2670" s="203">
        <v>3.1588481750208973E-2</v>
      </c>
      <c r="AA2670" s="200">
        <v>3.1493459239673172E-2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57565</v>
      </c>
      <c r="Y2671" s="202">
        <f>_xll.qlInterestRateIndexValueDate(IborIndex,X2671,Trigger)</f>
        <v>57567</v>
      </c>
      <c r="Z2671" s="203">
        <v>3.1584004335184594E-2</v>
      </c>
      <c r="AA2671" s="200">
        <v>3.1487939204044579E-2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57572</v>
      </c>
      <c r="Y2672" s="202">
        <f>_xll.qlInterestRateIndexValueDate(IborIndex,X2672,Trigger)</f>
        <v>57574</v>
      </c>
      <c r="Z2672" s="203">
        <v>3.1577554616601659E-2</v>
      </c>
      <c r="AA2672" s="200">
        <v>3.1482434489680244E-2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57579</v>
      </c>
      <c r="Y2673" s="202">
        <f>_xll.qlInterestRateIndexValueDate(IborIndex,X2673,Trigger)</f>
        <v>57581</v>
      </c>
      <c r="Z2673" s="203">
        <v>3.1572114230735596E-2</v>
      </c>
      <c r="AA2673" s="200">
        <v>3.1476945096580167E-2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57586</v>
      </c>
      <c r="Y2674" s="202">
        <f>_xll.qlInterestRateIndexValueDate(IborIndex,X2674,Trigger)</f>
        <v>57588</v>
      </c>
      <c r="Z2674" s="203">
        <v>3.1563702714052705E-2</v>
      </c>
      <c r="AA2674" s="200">
        <v>3.1470690265527068E-2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57593</v>
      </c>
      <c r="Y2675" s="202">
        <f>_xll.qlInterestRateIndexValueDate(IborIndex,X2675,Trigger)</f>
        <v>57595</v>
      </c>
      <c r="Z2675" s="203">
        <v>3.1558291342122811E-2</v>
      </c>
      <c r="AA2675" s="200">
        <v>3.1466012274732336E-2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57600</v>
      </c>
      <c r="Y2676" s="202">
        <f>_xll.qlInterestRateIndexValueDate(IborIndex,X2676,Trigger)</f>
        <v>57602</v>
      </c>
      <c r="Z2676" s="203">
        <v>3.1552895419659679E-2</v>
      </c>
      <c r="AA2676" s="200">
        <v>3.1460568845744774E-2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57607</v>
      </c>
      <c r="Y2677" s="202">
        <f>_xll.qlInterestRateIndexValueDate(IborIndex,X2677,Trigger)</f>
        <v>57609</v>
      </c>
      <c r="Z2677" s="203">
        <v>3.1547514946600942E-2</v>
      </c>
      <c r="AA2677" s="200">
        <v>3.1455140738101406E-2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57614</v>
      </c>
      <c r="Y2678" s="202">
        <f>_xll.qlInterestRateIndexValueDate(IborIndex,X2678,Trigger)</f>
        <v>57616</v>
      </c>
      <c r="Z2678" s="203">
        <v>3.154514410817056E-2</v>
      </c>
      <c r="AA2678" s="200">
        <v>3.1449727951802231E-2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57621</v>
      </c>
      <c r="Y2679" s="202">
        <f>_xll.qlInterestRateIndexValueDate(IborIndex,X2679,Trigger)</f>
        <v>57623</v>
      </c>
      <c r="Z2679" s="203">
        <v>3.1539796444558198E-2</v>
      </c>
      <c r="AA2679" s="200">
        <v>3.1443560671355897E-2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57628</v>
      </c>
      <c r="Y2680" s="202">
        <f>_xll.qlInterestRateIndexValueDate(IborIndex,X2680,Trigger)</f>
        <v>57630</v>
      </c>
      <c r="Z2680" s="203">
        <v>3.1534464234427739E-2</v>
      </c>
      <c r="AA2680" s="200">
        <v>3.1438948343636142E-2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57635</v>
      </c>
      <c r="Y2681" s="202">
        <f>_xll.qlInterestRateIndexValueDate(IborIndex,X2681,Trigger)</f>
        <v>57637</v>
      </c>
      <c r="Z2681" s="203">
        <v>3.1530147693559052E-2</v>
      </c>
      <c r="AA2681" s="200">
        <v>3.1433581521289611E-2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57642</v>
      </c>
      <c r="Y2682" s="202">
        <f>_xll.qlInterestRateIndexValueDate(IborIndex,X2682,Trigger)</f>
        <v>57644</v>
      </c>
      <c r="Z2682" s="203">
        <v>3.1523846174362505E-2</v>
      </c>
      <c r="AA2682" s="200">
        <v>3.1428230020607018E-2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57649</v>
      </c>
      <c r="Y2683" s="202">
        <f>_xll.qlInterestRateIndexValueDate(IborIndex,X2683,Trigger)</f>
        <v>57651</v>
      </c>
      <c r="Z2683" s="203">
        <v>3.1518560324297624E-2</v>
      </c>
      <c r="AA2683" s="200">
        <v>3.1422893841108746E-2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57656</v>
      </c>
      <c r="Y2684" s="202">
        <f>_xll.qlInterestRateIndexValueDate(IborIndex,X2684,Trigger)</f>
        <v>57658</v>
      </c>
      <c r="Z2684" s="203">
        <v>3.1513289927462919E-2</v>
      </c>
      <c r="AA2684" s="200">
        <v>3.1416814111029367E-2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57663</v>
      </c>
      <c r="Y2685" s="202">
        <f>_xll.qlInterestRateIndexValueDate(IborIndex,X2685,Trigger)</f>
        <v>57665</v>
      </c>
      <c r="Z2685" s="203">
        <v>3.1509037774286222E-2</v>
      </c>
      <c r="AA2685" s="200">
        <v>3.1412267446064845E-2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57670</v>
      </c>
      <c r="Y2686" s="202">
        <f>_xll.qlInterestRateIndexValueDate(IborIndex,X2686,Trigger)</f>
        <v>57672</v>
      </c>
      <c r="Z2686" s="203">
        <v>3.1502795493223004E-2</v>
      </c>
      <c r="AA2686" s="200">
        <v>3.140697723067909E-2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57677</v>
      </c>
      <c r="Y2687" s="202">
        <f>_xll.qlInterestRateIndexValueDate(IborIndex,X2687,Trigger)</f>
        <v>57679</v>
      </c>
      <c r="Z2687" s="203">
        <v>3.1493556314980964E-2</v>
      </c>
      <c r="AA2687" s="200">
        <v>3.1401702336717463E-2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57684</v>
      </c>
      <c r="Y2688" s="202">
        <f>_xll.qlInterestRateIndexValueDate(IborIndex,X2688,Trigger)</f>
        <v>57686</v>
      </c>
      <c r="Z2688" s="203">
        <v>3.1488345131879036E-2</v>
      </c>
      <c r="AA2688" s="200">
        <v>3.1396442763860222E-2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57691</v>
      </c>
      <c r="Y2689" s="202">
        <f>_xll.qlInterestRateIndexValueDate(IborIndex,X2689,Trigger)</f>
        <v>57693</v>
      </c>
      <c r="Z2689" s="203">
        <v>3.1483149396023258E-2</v>
      </c>
      <c r="AA2689" s="200">
        <v>3.1391198512507046E-2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57698</v>
      </c>
      <c r="Y2690" s="202">
        <f>_xll.qlInterestRateIndexValueDate(IborIndex,X2690,Trigger)</f>
        <v>57700</v>
      </c>
      <c r="Z2690" s="203">
        <v>3.1477969107358561E-2</v>
      </c>
      <c r="AA2690" s="200">
        <v>3.1385223843107823E-2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57706</v>
      </c>
      <c r="Y2691" s="202">
        <f>_xll.qlInterestRateIndexValueDate(IborIndex,X2691,Trigger)</f>
        <v>57710</v>
      </c>
      <c r="Z2691" s="203">
        <v>3.1468582871969228E-2</v>
      </c>
      <c r="AA2691" s="200">
        <v>3.1379269185300984E-2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57713</v>
      </c>
      <c r="Y2692" s="202">
        <f>_xll.qlInterestRateIndexValueDate(IborIndex,X2692,Trigger)</f>
        <v>57717</v>
      </c>
      <c r="Z2692" s="203">
        <v>3.1466459863520348E-2</v>
      </c>
      <c r="AA2692" s="200">
        <v>3.1374816324580834E-2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57720</v>
      </c>
      <c r="Y2693" s="202">
        <f>_xll.qlInterestRateIndexValueDate(IborIndex,X2693,Trigger)</f>
        <v>57724</v>
      </c>
      <c r="Z2693" s="203">
        <v>3.1462341118628008E-2</v>
      </c>
      <c r="AA2693" s="200">
        <v>3.1369635547253694E-2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57727</v>
      </c>
      <c r="Y2694" s="202">
        <f>_xll.qlInterestRateIndexValueDate(IborIndex,X2694,Trigger)</f>
        <v>57732</v>
      </c>
      <c r="Z2694" s="203">
        <v>3.1454484501310276E-2</v>
      </c>
      <c r="AA2694" s="200">
        <v>3.1363733419746964E-2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57734</v>
      </c>
      <c r="Y2695" s="202">
        <f>_xll.qlInterestRateIndexValueDate(IborIndex,X2695,Trigger)</f>
        <v>57738</v>
      </c>
      <c r="Z2695" s="203">
        <v>3.145112619772128E-2</v>
      </c>
      <c r="AA2695" s="200">
        <v>3.1359319956791865E-2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57741</v>
      </c>
      <c r="Y2696" s="202">
        <f>_xll.qlInterestRateIndexValueDate(IborIndex,X2696,Trigger)</f>
        <v>57745</v>
      </c>
      <c r="Z2696" s="203">
        <v>3.1447055777851424E-2</v>
      </c>
      <c r="AA2696" s="200">
        <v>3.135418514357724E-2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57748</v>
      </c>
      <c r="Y2697" s="202">
        <f>_xll.qlInterestRateIndexValueDate(IborIndex,X2697,Trigger)</f>
        <v>57752</v>
      </c>
      <c r="Z2697" s="203">
        <v>3.144098099505651E-2</v>
      </c>
      <c r="AA2697" s="200">
        <v>3.1349065651706809E-2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57755</v>
      </c>
      <c r="Y2698" s="202">
        <f>_xll.qlInterestRateIndexValueDate(IborIndex,X2698,Trigger)</f>
        <v>57760</v>
      </c>
      <c r="Z2698" s="203">
        <v>3.1434200274520485E-2</v>
      </c>
      <c r="AA2698" s="200">
        <v>3.134323356457358E-2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57762</v>
      </c>
      <c r="Y2699" s="202">
        <f>_xll.qlInterestRateIndexValueDate(IborIndex,X2699,Trigger)</f>
        <v>57766</v>
      </c>
      <c r="Z2699" s="203">
        <v>3.143190948322943E-2</v>
      </c>
      <c r="AA2699" s="200">
        <v>3.1338872631918591E-2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57769</v>
      </c>
      <c r="Y2700" s="202">
        <f>_xll.qlInterestRateIndexValueDate(IborIndex,X2700,Trigger)</f>
        <v>57773</v>
      </c>
      <c r="Z2700" s="203">
        <v>3.1426891617224118E-2</v>
      </c>
      <c r="AA2700" s="200">
        <v>3.1333799104000803E-2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57776</v>
      </c>
      <c r="Y2701" s="202">
        <f>_xll.qlInterestRateIndexValueDate(IborIndex,X2701,Trigger)</f>
        <v>57780</v>
      </c>
      <c r="Z2701" s="203">
        <v>3.1421889200553652E-2</v>
      </c>
      <c r="AA2701" s="200">
        <v>3.1328740897507146E-2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57783</v>
      </c>
      <c r="Y2702" s="202">
        <f>_xll.qlInterestRateIndexValueDate(IborIndex,X2702,Trigger)</f>
        <v>57787</v>
      </c>
      <c r="Z2702" s="203">
        <v>3.1416902233160703E-2</v>
      </c>
      <c r="AA2702" s="200">
        <v>3.1323698012277745E-2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57790</v>
      </c>
      <c r="Y2703" s="202">
        <f>_xll.qlInterestRateIndexValueDate(IborIndex,X2703,Trigger)</f>
        <v>57794</v>
      </c>
      <c r="Z2703" s="203">
        <v>3.1411930714985305E-2</v>
      </c>
      <c r="AA2703" s="200">
        <v>3.131867044855241E-2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57797</v>
      </c>
      <c r="Y2704" s="202">
        <f>_xll.qlInterestRateIndexValueDate(IborIndex,X2704,Trigger)</f>
        <v>57801</v>
      </c>
      <c r="Z2704" s="203">
        <v>3.140595939791245E-2</v>
      </c>
      <c r="AA2704" s="200">
        <v>3.1313658205851524E-2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57804</v>
      </c>
      <c r="Y2705" s="202">
        <f>_xll.qlInterestRateIndexValueDate(IborIndex,X2705,Trigger)</f>
        <v>57808</v>
      </c>
      <c r="Z2705" s="203">
        <v>3.1401018103851056E-2</v>
      </c>
      <c r="AA2705" s="200">
        <v>3.130866128473464E-2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57811</v>
      </c>
      <c r="Y2706" s="202">
        <f>_xll.qlInterestRateIndexValueDate(IborIndex,X2706,Trigger)</f>
        <v>57817</v>
      </c>
      <c r="Z2706" s="203">
        <v>3.1394687710052445E-2</v>
      </c>
      <c r="AA2706" s="200">
        <v>3.1304271217305057E-2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57818</v>
      </c>
      <c r="Y2707" s="202">
        <f>_xll.qlInterestRateIndexValueDate(IborIndex,X2707,Trigger)</f>
        <v>57822</v>
      </c>
      <c r="Z2707" s="203">
        <v>3.1391181858591001E-2</v>
      </c>
      <c r="AA2707" s="200">
        <v>3.1298713406293643E-2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57825</v>
      </c>
      <c r="Y2708" s="202">
        <f>_xll.qlInterestRateIndexValueDate(IborIndex,X2708,Trigger)</f>
        <v>57829</v>
      </c>
      <c r="Z2708" s="203">
        <v>3.1386286907273749E-2</v>
      </c>
      <c r="AA2708" s="200">
        <v>3.1293762449049467E-2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57832</v>
      </c>
      <c r="Y2709" s="202">
        <f>_xll.qlInterestRateIndexValueDate(IborIndex,X2709,Trigger)</f>
        <v>57837</v>
      </c>
      <c r="Z2709" s="203">
        <v>3.1381730322524573E-2</v>
      </c>
      <c r="AA2709" s="200">
        <v>3.1288122973043286E-2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57839</v>
      </c>
      <c r="Y2710" s="202">
        <f>_xll.qlInterestRateIndexValueDate(IborIndex,X2710,Trigger)</f>
        <v>57843</v>
      </c>
      <c r="Z2710" s="203">
        <v>3.1377562660993903E-2</v>
      </c>
      <c r="AA2710" s="200">
        <v>3.128390649867363E-2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57846</v>
      </c>
      <c r="Y2711" s="202">
        <f>_xll.qlInterestRateIndexValueDate(IborIndex,X2711,Trigger)</f>
        <v>57850</v>
      </c>
      <c r="Z2711" s="203">
        <v>3.1372714734479765E-2</v>
      </c>
      <c r="AA2711" s="200">
        <v>3.1279001505382098E-2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57853</v>
      </c>
      <c r="Y2712" s="202">
        <f>_xll.qlInterestRateIndexValueDate(IborIndex,X2712,Trigger)</f>
        <v>57858</v>
      </c>
      <c r="Z2712" s="203">
        <v>3.1367193163803431E-2</v>
      </c>
      <c r="AA2712" s="200">
        <v>3.1273414559676027E-2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57860</v>
      </c>
      <c r="Y2713" s="202">
        <f>_xll.qlInterestRateIndexValueDate(IborIndex,X2713,Trigger)</f>
        <v>57864</v>
      </c>
      <c r="Z2713" s="203">
        <v>3.1363065227488052E-2</v>
      </c>
      <c r="AA2713" s="200">
        <v>3.1269237483151358E-2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57867</v>
      </c>
      <c r="Y2714" s="202">
        <f>_xll.qlInterestRateIndexValueDate(IborIndex,X2714,Trigger)</f>
        <v>57871</v>
      </c>
      <c r="Z2714" s="203">
        <v>3.1358263646901009E-2</v>
      </c>
      <c r="AA2714" s="200">
        <v>3.1264378453892405E-2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57874</v>
      </c>
      <c r="Y2715" s="202">
        <f>_xll.qlInterestRateIndexValueDate(IborIndex,X2715,Trigger)</f>
        <v>57878</v>
      </c>
      <c r="Z2715" s="203">
        <v>3.1353477514843374E-2</v>
      </c>
      <c r="AA2715" s="200">
        <v>3.1259534745817774E-2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57881</v>
      </c>
      <c r="Y2716" s="202">
        <f>_xll.qlInterestRateIndexValueDate(IborIndex,X2716,Trigger)</f>
        <v>57885</v>
      </c>
      <c r="Z2716" s="203">
        <v>3.1348706831258677E-2</v>
      </c>
      <c r="AA2716" s="200">
        <v>3.1254706359407081E-2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57888</v>
      </c>
      <c r="Y2717" s="202">
        <f>_xll.qlInterestRateIndexValueDate(IborIndex,X2717,Trigger)</f>
        <v>57892</v>
      </c>
      <c r="Z2717" s="203">
        <v>3.1343951596091303E-2</v>
      </c>
      <c r="AA2717" s="200">
        <v>3.1250906426918412E-2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57895</v>
      </c>
      <c r="Y2718" s="202">
        <f>_xll.qlInterestRateIndexValueDate(IborIndex,X2718,Trigger)</f>
        <v>57899</v>
      </c>
      <c r="Z2718" s="203">
        <v>3.1339211809285658E-2</v>
      </c>
      <c r="AA2718" s="200">
        <v>3.1245095550218593E-2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57902</v>
      </c>
      <c r="Y2719" s="202">
        <f>_xll.qlInterestRateIndexValueDate(IborIndex,X2719,Trigger)</f>
        <v>57906</v>
      </c>
      <c r="Z2719" s="203">
        <v>3.1334487470785252E-2</v>
      </c>
      <c r="AA2719" s="200">
        <v>3.1240313127600672E-2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57909</v>
      </c>
      <c r="Y2720" s="202">
        <f>_xll.qlInterestRateIndexValueDate(IborIndex,X2720,Trigger)</f>
        <v>57913</v>
      </c>
      <c r="Z2720" s="203">
        <v>3.1329778580534477E-2</v>
      </c>
      <c r="AA2720" s="200">
        <v>3.1235546026486816E-2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57916</v>
      </c>
      <c r="Y2721" s="202">
        <f>_xll.qlInterestRateIndexValueDate(IborIndex,X2721,Trigger)</f>
        <v>57920</v>
      </c>
      <c r="Z2721" s="203">
        <v>3.1325085138480348E-2</v>
      </c>
      <c r="AA2721" s="200">
        <v>3.1230794246557281E-2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57923</v>
      </c>
      <c r="Y2722" s="202">
        <f>_xll.qlInterestRateIndexValueDate(IborIndex,X2722,Trigger)</f>
        <v>57927</v>
      </c>
      <c r="Z2722" s="203">
        <v>3.13204071445655E-2</v>
      </c>
      <c r="AA2722" s="200">
        <v>3.1226057787892003E-2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57930</v>
      </c>
      <c r="Y2723" s="202">
        <f>_xll.qlInterestRateIndexValueDate(IborIndex,X2723,Trigger)</f>
        <v>57934</v>
      </c>
      <c r="Z2723" s="203">
        <v>3.1315744598734332E-2</v>
      </c>
      <c r="AA2723" s="200">
        <v>3.1221336650730791E-2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57937</v>
      </c>
      <c r="Y2724" s="202">
        <f>_xll.qlInterestRateIndexValueDate(IborIndex,X2724,Trigger)</f>
        <v>57941</v>
      </c>
      <c r="Z2724" s="203">
        <v>3.131109750093472E-2</v>
      </c>
      <c r="AA2724" s="200">
        <v>3.1216630834673964E-2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57944</v>
      </c>
      <c r="Y2725" s="202">
        <f>_xll.qlInterestRateIndexValueDate(IborIndex,X2725,Trigger)</f>
        <v>57949</v>
      </c>
      <c r="Z2725" s="203">
        <v>3.1305805447903276E-2</v>
      </c>
      <c r="AA2725" s="200">
        <v>3.1211271520081851E-2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57951</v>
      </c>
      <c r="Y2726" s="202">
        <f>_xll.qlInterestRateIndexValueDate(IborIndex,X2726,Trigger)</f>
        <v>57956</v>
      </c>
      <c r="Z2726" s="203">
        <v>3.1300160949293394E-2</v>
      </c>
      <c r="AA2726" s="200">
        <v>3.1206598535602481E-2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57958</v>
      </c>
      <c r="Y2727" s="202">
        <f>_xll.qlInterestRateIndexValueDate(IborIndex,X2727,Trigger)</f>
        <v>57962</v>
      </c>
      <c r="Z2727" s="203">
        <v>3.1296217787316241E-2</v>
      </c>
      <c r="AA2727" s="200">
        <v>3.1202605314728515E-2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57965</v>
      </c>
      <c r="Y2728" s="202">
        <f>_xll.qlInterestRateIndexValueDate(IborIndex,X2728,Trigger)</f>
        <v>57969</v>
      </c>
      <c r="Z2728" s="203">
        <v>3.1291631774782995E-2</v>
      </c>
      <c r="AA2728" s="200">
        <v>3.1197960784128398E-2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57972</v>
      </c>
      <c r="Y2729" s="202">
        <f>_xll.qlInterestRateIndexValueDate(IborIndex,X2729,Trigger)</f>
        <v>57976</v>
      </c>
      <c r="Z2729" s="203">
        <v>3.1287061208614825E-2</v>
      </c>
      <c r="AA2729" s="200">
        <v>3.1193331574712602E-2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57979</v>
      </c>
      <c r="Y2730" s="202">
        <f>_xll.qlInterestRateIndexValueDate(IborIndex,X2730,Trigger)</f>
        <v>57983</v>
      </c>
      <c r="Z2730" s="203">
        <v>3.1283539319718563E-2</v>
      </c>
      <c r="AA2730" s="200">
        <v>3.1188717686640999E-2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57986</v>
      </c>
      <c r="Y2731" s="202">
        <f>_xll.qlInterestRateIndexValueDate(IborIndex,X2731,Trigger)</f>
        <v>57990</v>
      </c>
      <c r="Z2731" s="203">
        <v>3.127900035661059E-2</v>
      </c>
      <c r="AA2731" s="200">
        <v>3.1184119120073461E-2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57993</v>
      </c>
      <c r="Y2732" s="202">
        <f>_xll.qlInterestRateIndexValueDate(IborIndex,X2732,Trigger)</f>
        <v>57998</v>
      </c>
      <c r="Z2732" s="203">
        <v>3.127383188562461E-2</v>
      </c>
      <c r="AA2732" s="200">
        <v>3.1178882375915151E-2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58000</v>
      </c>
      <c r="Y2733" s="202">
        <f>_xll.qlInterestRateIndexValueDate(IborIndex,X2733,Trigger)</f>
        <v>58004</v>
      </c>
      <c r="Z2733" s="203">
        <v>3.1269968773136446E-2</v>
      </c>
      <c r="AA2733" s="200">
        <v>3.117496795049135E-2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58007</v>
      </c>
      <c r="Y2734" s="202">
        <f>_xll.qlInterestRateIndexValueDate(IborIndex,X2734,Trigger)</f>
        <v>58011</v>
      </c>
      <c r="Z2734" s="203">
        <v>3.1265476152664284E-2</v>
      </c>
      <c r="AA2734" s="200">
        <v>3.1170415347876457E-2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58014</v>
      </c>
      <c r="Y2735" s="202">
        <f>_xll.qlInterestRateIndexValueDate(IborIndex,X2735,Trigger)</f>
        <v>58018</v>
      </c>
      <c r="Z2735" s="203">
        <v>3.1260998979631971E-2</v>
      </c>
      <c r="AA2735" s="200">
        <v>3.1165878066365948E-2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58021</v>
      </c>
      <c r="Y2736" s="202">
        <f>_xll.qlInterestRateIndexValueDate(IborIndex,X2736,Trigger)</f>
        <v>58026</v>
      </c>
      <c r="Z2736" s="203">
        <v>3.1255901125615659E-2</v>
      </c>
      <c r="AA2736" s="200">
        <v>3.1160711362581139E-2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58028</v>
      </c>
      <c r="Y2737" s="202">
        <f>_xll.qlInterestRateIndexValueDate(IborIndex,X2737,Trigger)</f>
        <v>58032</v>
      </c>
      <c r="Z2737" s="203">
        <v>3.1252090975674017E-2</v>
      </c>
      <c r="AA2737" s="200">
        <v>3.1156849467297576E-2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58035</v>
      </c>
      <c r="Y2738" s="202">
        <f>_xll.qlInterestRateIndexValueDate(IborIndex,X2738,Trigger)</f>
        <v>58039</v>
      </c>
      <c r="Z2738" s="203">
        <v>3.1247660144645854E-2</v>
      </c>
      <c r="AA2738" s="200">
        <v>3.1153385813293966E-2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58042</v>
      </c>
      <c r="Y2739" s="202">
        <f>_xll.qlInterestRateIndexValueDate(IborIndex,X2739,Trigger)</f>
        <v>58046</v>
      </c>
      <c r="Z2739" s="203">
        <v>3.1242205085563277E-2</v>
      </c>
      <c r="AA2739" s="200">
        <v>3.1147882153685913E-2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58049</v>
      </c>
      <c r="Y2740" s="202">
        <f>_xll.qlInterestRateIndexValueDate(IborIndex,X2740,Trigger)</f>
        <v>58053</v>
      </c>
      <c r="Z2740" s="203">
        <v>3.1237804425974458E-2</v>
      </c>
      <c r="AA2740" s="200">
        <v>3.1143421478736499E-2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58056</v>
      </c>
      <c r="Y2741" s="202">
        <f>_xll.qlInterestRateIndexValueDate(IborIndex,X2741,Trigger)</f>
        <v>58060</v>
      </c>
      <c r="Z2741" s="203">
        <v>3.1233419212126148E-2</v>
      </c>
      <c r="AA2741" s="200">
        <v>3.1138976125291151E-2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58063</v>
      </c>
      <c r="Y2742" s="202">
        <f>_xll.qlInterestRateIndexValueDate(IborIndex,X2742,Trigger)</f>
        <v>58067</v>
      </c>
      <c r="Z2742" s="203">
        <v>3.1229049443971792E-2</v>
      </c>
      <c r="AA2742" s="200">
        <v>3.113391448194669E-2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58071</v>
      </c>
      <c r="Y2743" s="202">
        <f>_xll.qlInterestRateIndexValueDate(IborIndex,X2743,Trigger)</f>
        <v>58075</v>
      </c>
      <c r="Z2743" s="203">
        <v>3.121886288386223E-2</v>
      </c>
      <c r="AA2743" s="200">
        <v>3.1130935811756189E-2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58078</v>
      </c>
      <c r="Y2744" s="202">
        <f>_xll.qlInterestRateIndexValueDate(IborIndex,X2744,Trigger)</f>
        <v>58082</v>
      </c>
      <c r="Z2744" s="203">
        <v>3.1218694387533219E-2</v>
      </c>
      <c r="AA2744" s="200">
        <v>3.1125104759075484E-2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58085</v>
      </c>
      <c r="Y2745" s="202">
        <f>_xll.qlInterestRateIndexValueDate(IborIndex,X2745,Trigger)</f>
        <v>58089</v>
      </c>
      <c r="Z2745" s="203">
        <v>3.1214372432730286E-2</v>
      </c>
      <c r="AA2745" s="200">
        <v>3.1120722879336427E-2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58092</v>
      </c>
      <c r="Y2746" s="202">
        <f>_xll.qlInterestRateIndexValueDate(IborIndex,X2746,Trigger)</f>
        <v>58096</v>
      </c>
      <c r="Z2746" s="203">
        <v>3.1210065922027574E-2</v>
      </c>
      <c r="AA2746" s="200">
        <v>3.1116356321181371E-2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58099</v>
      </c>
      <c r="Y2747" s="202">
        <f>_xll.qlInterestRateIndexValueDate(IborIndex,X2747,Trigger)</f>
        <v>58103</v>
      </c>
      <c r="Z2747" s="203">
        <v>3.1205774855374457E-2</v>
      </c>
      <c r="AA2747" s="200">
        <v>3.1112005084290573E-2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58106</v>
      </c>
      <c r="Y2748" s="202">
        <f>_xll.qlInterestRateIndexValueDate(IborIndex,X2748,Trigger)</f>
        <v>58110</v>
      </c>
      <c r="Z2748" s="203">
        <v>3.1202545438985471E-2</v>
      </c>
      <c r="AA2748" s="200">
        <v>3.1107669168664032E-2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58113</v>
      </c>
      <c r="Y2749" s="202">
        <f>_xll.qlInterestRateIndexValueDate(IborIndex,X2749,Trigger)</f>
        <v>58117</v>
      </c>
      <c r="Z2749" s="203">
        <v>3.1197239054026937E-2</v>
      </c>
      <c r="AA2749" s="200">
        <v>3.1103348574221812E-2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58120</v>
      </c>
      <c r="Y2750" s="202">
        <f>_xll.qlInterestRateIndexValueDate(IborIndex,X2750,Trigger)</f>
        <v>58124</v>
      </c>
      <c r="Z2750" s="203">
        <v>3.119299431923217E-2</v>
      </c>
      <c r="AA2750" s="200">
        <v>3.1099043301363594E-2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58127</v>
      </c>
      <c r="Y2751" s="202">
        <f>_xll.qlInterestRateIndexValueDate(IborIndex,X2751,Trigger)</f>
        <v>58131</v>
      </c>
      <c r="Z2751" s="203">
        <v>3.118981344501822E-2</v>
      </c>
      <c r="AA2751" s="200">
        <v>3.1094753349609761E-2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58134</v>
      </c>
      <c r="Y2752" s="202">
        <f>_xll.qlInterestRateIndexValueDate(IborIndex,X2752,Trigger)</f>
        <v>58138</v>
      </c>
      <c r="Z2752" s="203">
        <v>3.1186649624953017E-2</v>
      </c>
      <c r="AA2752" s="200">
        <v>3.1090478719200121E-2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58141</v>
      </c>
      <c r="Y2753" s="202">
        <f>_xll.qlInterestRateIndexValueDate(IborIndex,X2753,Trigger)</f>
        <v>58145</v>
      </c>
      <c r="Z2753" s="203">
        <v>3.1182452703658169E-2</v>
      </c>
      <c r="AA2753" s="200">
        <v>3.1086219410134674E-2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58148</v>
      </c>
      <c r="Y2754" s="202">
        <f>_xll.qlInterestRateIndexValueDate(IborIndex,X2754,Trigger)</f>
        <v>58152</v>
      </c>
      <c r="Z2754" s="203">
        <v>3.1178271228826566E-2</v>
      </c>
      <c r="AA2754" s="200">
        <v>3.1081975422413421E-2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58155</v>
      </c>
      <c r="Y2755" s="202">
        <f>_xll.qlInterestRateIndexValueDate(IborIndex,X2755,Trigger)</f>
        <v>58159</v>
      </c>
      <c r="Z2755" s="203">
        <v>3.1174105200410411E-2</v>
      </c>
      <c r="AA2755" s="200">
        <v>3.1077746755956426E-2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58166</v>
      </c>
      <c r="Y2756" s="202">
        <f>_xll.qlInterestRateIndexValueDate(IborIndex,X2756,Trigger)</f>
        <v>58168</v>
      </c>
      <c r="Z2756" s="203">
        <v>3.1167719101428373E-2</v>
      </c>
      <c r="AA2756" s="200">
        <v>3.1071132663962331E-2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58173</v>
      </c>
      <c r="Y2757" s="202">
        <f>_xll.qlInterestRateIndexValueDate(IborIndex,X2757,Trigger)</f>
        <v>58175</v>
      </c>
      <c r="Z2757" s="203">
        <v>3.1163587631898807E-2</v>
      </c>
      <c r="AA2757" s="200">
        <v>3.1066943395030577E-2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58180</v>
      </c>
      <c r="Y2758" s="202">
        <f>_xll.qlInterestRateIndexValueDate(IborIndex,X2758,Trigger)</f>
        <v>58182</v>
      </c>
      <c r="Z2758" s="203">
        <v>3.1159471607248902E-2</v>
      </c>
      <c r="AA2758" s="200">
        <v>3.1062769447443017E-2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58187</v>
      </c>
      <c r="Y2759" s="202">
        <f>_xll.qlInterestRateIndexValueDate(IborIndex,X2759,Trigger)</f>
        <v>58189</v>
      </c>
      <c r="Z2759" s="203">
        <v>3.1155371027429466E-2</v>
      </c>
      <c r="AA2759" s="200">
        <v>3.1058610821359522E-2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58194</v>
      </c>
      <c r="Y2760" s="202">
        <f>_xll.qlInterestRateIndexValueDate(IborIndex,X2760,Trigger)</f>
        <v>58196</v>
      </c>
      <c r="Z2760" s="203">
        <v>3.1152341362163168E-2</v>
      </c>
      <c r="AA2760" s="200">
        <v>3.1054467516380413E-2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58201</v>
      </c>
      <c r="Y2761" s="202">
        <f>_xll.qlInterestRateIndexValueDate(IborIndex,X2761,Trigger)</f>
        <v>58203</v>
      </c>
      <c r="Z2761" s="203">
        <v>3.1148272424387759E-2</v>
      </c>
      <c r="AA2761" s="200">
        <v>3.1050339532665561E-2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58208</v>
      </c>
      <c r="Y2762" s="202">
        <f>_xll.qlInterestRateIndexValueDate(IborIndex,X2762,Trigger)</f>
        <v>58210</v>
      </c>
      <c r="Z2762" s="203">
        <v>3.1144218932675039E-2</v>
      </c>
      <c r="AA2762" s="200">
        <v>3.1046226870374838E-2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58215</v>
      </c>
      <c r="Y2763" s="202">
        <f>_xll.qlInterestRateIndexValueDate(IborIndex,X2763,Trigger)</f>
        <v>58217</v>
      </c>
      <c r="Z2763" s="203">
        <v>3.114018088697635E-2</v>
      </c>
      <c r="AA2763" s="200">
        <v>3.1041545445686936E-2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58222</v>
      </c>
      <c r="Y2764" s="202">
        <f>_xll.qlInterestRateIndexValueDate(IborIndex,X2764,Trigger)</f>
        <v>58224</v>
      </c>
      <c r="Z2764" s="203">
        <v>3.1136158287245645E-2</v>
      </c>
      <c r="AA2764" s="200">
        <v>3.1038047509746036E-2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58229</v>
      </c>
      <c r="Y2765" s="202">
        <f>_xll.qlInterestRateIndexValueDate(IborIndex,X2765,Trigger)</f>
        <v>58231</v>
      </c>
      <c r="Z2765" s="203">
        <v>3.1132151133436006E-2</v>
      </c>
      <c r="AA2765" s="200">
        <v>3.1033980811168149E-2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58236</v>
      </c>
      <c r="Y2766" s="202">
        <f>_xll.qlInterestRateIndexValueDate(IborIndex,X2766,Trigger)</f>
        <v>58238</v>
      </c>
      <c r="Z2766" s="203">
        <v>3.1128159425499641E-2</v>
      </c>
      <c r="AA2766" s="200">
        <v>3.1029929434174264E-2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58243</v>
      </c>
      <c r="Y2767" s="202">
        <f>_xll.qlInterestRateIndexValueDate(IborIndex,X2767,Trigger)</f>
        <v>58245</v>
      </c>
      <c r="Z2767" s="203">
        <v>3.1124183163389635E-2</v>
      </c>
      <c r="AA2767" s="200">
        <v>3.10258933783647E-2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58250</v>
      </c>
      <c r="Y2768" s="202">
        <f>_xll.qlInterestRateIndexValueDate(IborIndex,X2768,Trigger)</f>
        <v>58252</v>
      </c>
      <c r="Z2768" s="203">
        <v>3.1120222347059065E-2</v>
      </c>
      <c r="AA2768" s="200">
        <v>3.1021872643899329E-2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58257</v>
      </c>
      <c r="Y2769" s="202">
        <f>_xll.qlInterestRateIndexValueDate(IborIndex,X2769,Trigger)</f>
        <v>58259</v>
      </c>
      <c r="Z2769" s="203">
        <v>3.111627697646362E-2</v>
      </c>
      <c r="AA2769" s="200">
        <v>3.1017296279491902E-2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58264</v>
      </c>
      <c r="Y2770" s="202">
        <f>_xll.qlInterestRateIndexValueDate(IborIndex,X2770,Trigger)</f>
        <v>58266</v>
      </c>
      <c r="Z2770" s="203">
        <v>3.1112347051553777E-2</v>
      </c>
      <c r="AA2770" s="200">
        <v>3.1013877138681423E-2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58271</v>
      </c>
      <c r="Y2771" s="202">
        <f>_xll.qlInterestRateIndexValueDate(IborIndex,X2771,Trigger)</f>
        <v>58273</v>
      </c>
      <c r="Z2771" s="203">
        <v>3.1108432572285221E-2</v>
      </c>
      <c r="AA2771" s="200">
        <v>3.100990236808876E-2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58278</v>
      </c>
      <c r="Y2772" s="202">
        <f>_xll.qlInterestRateIndexValueDate(IborIndex,X2772,Trigger)</f>
        <v>58280</v>
      </c>
      <c r="Z2772" s="203">
        <v>3.1104533538612773E-2</v>
      </c>
      <c r="AA2772" s="200">
        <v>3.1005942918600482E-2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58285</v>
      </c>
      <c r="Y2773" s="202">
        <f>_xll.qlInterestRateIndexValueDate(IborIndex,X2773,Trigger)</f>
        <v>58287</v>
      </c>
      <c r="Z2773" s="203">
        <v>3.1100649950487773E-2</v>
      </c>
      <c r="AA2773" s="200">
        <v>3.100199879061627E-2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58292</v>
      </c>
      <c r="Y2774" s="202">
        <f>_xll.qlInterestRateIndexValueDate(IborIndex,X2774,Trigger)</f>
        <v>58294</v>
      </c>
      <c r="Z2774" s="203">
        <v>3.109678180786591E-2</v>
      </c>
      <c r="AA2774" s="200">
        <v>3.0998069983896315E-2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58299</v>
      </c>
      <c r="Y2775" s="202">
        <f>_xll.qlInterestRateIndexValueDate(IborIndex,X2775,Trigger)</f>
        <v>58301</v>
      </c>
      <c r="Z2775" s="203">
        <v>3.1092929110702872E-2</v>
      </c>
      <c r="AA2775" s="200">
        <v>3.0994156498440617E-2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58306</v>
      </c>
      <c r="Y2776" s="202">
        <f>_xll.qlInterestRateIndexValueDate(IborIndex,X2776,Trigger)</f>
        <v>58308</v>
      </c>
      <c r="Z2776" s="203">
        <v>3.108909185895261E-2</v>
      </c>
      <c r="AA2776" s="200">
        <v>3.0990258334169241E-2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58313</v>
      </c>
      <c r="Y2777" s="202">
        <f>_xll.qlInterestRateIndexValueDate(IborIndex,X2777,Trigger)</f>
        <v>58315</v>
      </c>
      <c r="Z2777" s="203">
        <v>3.1085270052571678E-2</v>
      </c>
      <c r="AA2777" s="200">
        <v>3.0985822050269007E-2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58320</v>
      </c>
      <c r="Y2778" s="202">
        <f>_xll.qlInterestRateIndexValueDate(IborIndex,X2778,Trigger)</f>
        <v>58322</v>
      </c>
      <c r="Z2778" s="203">
        <v>3.1080394466680501E-2</v>
      </c>
      <c r="AA2778" s="200">
        <v>3.0982507969898876E-2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58327</v>
      </c>
      <c r="Y2779" s="202">
        <f>_xll.qlInterestRateIndexValueDate(IborIndex,X2779,Trigger)</f>
        <v>58329</v>
      </c>
      <c r="Z2779" s="203">
        <v>3.1076602773739338E-2</v>
      </c>
      <c r="AA2779" s="200">
        <v>3.0978655769660079E-2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58334</v>
      </c>
      <c r="Y2780" s="202">
        <f>_xll.qlInterestRateIndexValueDate(IborIndex,X2780,Trigger)</f>
        <v>58336</v>
      </c>
      <c r="Z2780" s="203">
        <v>3.1072826524664143E-2</v>
      </c>
      <c r="AA2780" s="200">
        <v>3.0974818890525668E-2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58341</v>
      </c>
      <c r="Y2781" s="202">
        <f>_xll.qlInterestRateIndexValueDate(IborIndex,X2781,Trigger)</f>
        <v>58343</v>
      </c>
      <c r="Z2781" s="203">
        <v>3.1073352777653534E-2</v>
      </c>
      <c r="AA2781" s="200">
        <v>3.0970997332895323E-2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58348</v>
      </c>
      <c r="Y2782" s="202">
        <f>_xll.qlInterestRateIndexValueDate(IborIndex,X2782,Trigger)</f>
        <v>58350</v>
      </c>
      <c r="Z2782" s="203">
        <v>3.1066392699607405E-2</v>
      </c>
      <c r="AA2782" s="200">
        <v>3.0967191096529234E-2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58355</v>
      </c>
      <c r="Y2783" s="202">
        <f>_xll.qlInterestRateIndexValueDate(IborIndex,X2783,Trigger)</f>
        <v>58357</v>
      </c>
      <c r="Z2783" s="203">
        <v>3.1062663564494525E-2</v>
      </c>
      <c r="AA2783" s="200">
        <v>3.096285987282954E-2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58362</v>
      </c>
      <c r="Y2784" s="202">
        <f>_xll.qlInterestRateIndexValueDate(IborIndex,X2784,Trigger)</f>
        <v>58364</v>
      </c>
      <c r="Z2784" s="203">
        <v>3.1058949874439919E-2</v>
      </c>
      <c r="AA2784" s="200">
        <v>3.0959624587429957E-2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58369</v>
      </c>
      <c r="Y2785" s="202">
        <f>_xll.qlInterestRateIndexValueDate(IborIndex,X2785,Trigger)</f>
        <v>58371</v>
      </c>
      <c r="Z2785" s="203">
        <v>3.1055251629396673E-2</v>
      </c>
      <c r="AA2785" s="200">
        <v>3.0955864315016512E-2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58376</v>
      </c>
      <c r="Y2786" s="202">
        <f>_xll.qlInterestRateIndexValueDate(IborIndex,X2786,Trigger)</f>
        <v>58378</v>
      </c>
      <c r="Z2786" s="203">
        <v>3.1051568829325683E-2</v>
      </c>
      <c r="AA2786" s="200">
        <v>3.0952119363787389E-2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58383</v>
      </c>
      <c r="Y2787" s="202">
        <f>_xll.qlInterestRateIndexValueDate(IborIndex,X2787,Trigger)</f>
        <v>58385</v>
      </c>
      <c r="Z2787" s="203">
        <v>3.1047901474180028E-2</v>
      </c>
      <c r="AA2787" s="200">
        <v>3.0949454215885019E-2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58390</v>
      </c>
      <c r="Y2788" s="202">
        <f>_xll.qlInterestRateIndexValueDate(IborIndex,X2788,Trigger)</f>
        <v>58392</v>
      </c>
      <c r="Z2788" s="203">
        <v>3.1044249563920618E-2</v>
      </c>
      <c r="AA2788" s="200">
        <v>3.0944675425201851E-2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58397</v>
      </c>
      <c r="Y2789" s="202">
        <f>_xll.qlInterestRateIndexValueDate(IborIndex,X2789,Trigger)</f>
        <v>58399</v>
      </c>
      <c r="Z2789" s="203">
        <v>3.1040613098499658E-2</v>
      </c>
      <c r="AA2789" s="200">
        <v>3.0940976437845435E-2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58404</v>
      </c>
      <c r="Y2790" s="202">
        <f>_xll.qlInterestRateIndexValueDate(IborIndex,X2790,Trigger)</f>
        <v>58407</v>
      </c>
      <c r="Z2790" s="203">
        <v>3.1035397296028985E-2</v>
      </c>
      <c r="AA2790" s="200">
        <v>3.0936767784419672E-2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58411</v>
      </c>
      <c r="Y2791" s="202">
        <f>_xll.qlInterestRateIndexValueDate(IborIndex,X2791,Trigger)</f>
        <v>58413</v>
      </c>
      <c r="Z2791" s="203">
        <v>3.1032307067800073E-2</v>
      </c>
      <c r="AA2791" s="200">
        <v>3.0933624426845441E-2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58418</v>
      </c>
      <c r="Y2792" s="202">
        <f>_xll.qlInterestRateIndexValueDate(IborIndex,X2792,Trigger)</f>
        <v>58420</v>
      </c>
      <c r="Z2792" s="203">
        <v>3.1028716141783753E-2</v>
      </c>
      <c r="AA2792" s="200">
        <v>3.092997140344167E-2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58425</v>
      </c>
      <c r="Y2793" s="202">
        <f>_xll.qlInterestRateIndexValueDate(IborIndex,X2793,Trigger)</f>
        <v>58427</v>
      </c>
      <c r="Z2793" s="203">
        <v>3.102514065908351E-2</v>
      </c>
      <c r="AA2793" s="200">
        <v>3.0926333701142283E-2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58432</v>
      </c>
      <c r="Y2794" s="202">
        <f>_xll.qlInterestRateIndexValueDate(IborIndex,X2794,Trigger)</f>
        <v>58438</v>
      </c>
      <c r="Z2794" s="203">
        <v>3.1019553245104105E-2</v>
      </c>
      <c r="AA2794" s="200">
        <v>3.0922749329143073E-2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58439</v>
      </c>
      <c r="Y2795" s="202">
        <f>_xll.qlInterestRateIndexValueDate(IborIndex,X2795,Trigger)</f>
        <v>58442</v>
      </c>
      <c r="Z2795" s="203">
        <v>3.1017530913237303E-2</v>
      </c>
      <c r="AA2795" s="200">
        <v>3.0918590216888475E-2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58446</v>
      </c>
      <c r="Y2796" s="202">
        <f>_xll.qlInterestRateIndexValueDate(IborIndex,X2796,Trigger)</f>
        <v>58448</v>
      </c>
      <c r="Z2796" s="203">
        <v>3.1014506870440911E-2</v>
      </c>
      <c r="AA2796" s="200">
        <v>3.0915512522229349E-2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58453</v>
      </c>
      <c r="Y2797" s="202">
        <f>_xll.qlInterestRateIndexValueDate(IborIndex,X2797,Trigger)</f>
        <v>58455</v>
      </c>
      <c r="Z2797" s="203">
        <v>3.101099316057894E-2</v>
      </c>
      <c r="AA2797" s="200">
        <v>3.0911426439077516E-2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58460</v>
      </c>
      <c r="Y2798" s="202">
        <f>_xll.qlInterestRateIndexValueDate(IborIndex,X2798,Trigger)</f>
        <v>58462</v>
      </c>
      <c r="Z2798" s="203">
        <v>3.1007494893822225E-2</v>
      </c>
      <c r="AA2798" s="200">
        <v>3.0908375009168765E-2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58467</v>
      </c>
      <c r="Y2799" s="202">
        <f>_xll.qlInterestRateIndexValueDate(IborIndex,X2799,Trigger)</f>
        <v>58469</v>
      </c>
      <c r="Z2799" s="203">
        <v>3.100401207013212E-2</v>
      </c>
      <c r="AA2799" s="200">
        <v>3.0904829234694731E-2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58474</v>
      </c>
      <c r="Y2800" s="202">
        <f>_xll.qlInterestRateIndexValueDate(IborIndex,X2800,Trigger)</f>
        <v>58476</v>
      </c>
      <c r="Z2800" s="203">
        <v>3.0999458191881324E-2</v>
      </c>
      <c r="AA2800" s="200">
        <v>3.0901298781405018E-2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58481</v>
      </c>
      <c r="Y2801" s="202">
        <f>_xll.qlInterestRateIndexValueDate(IborIndex,X2801,Trigger)</f>
        <v>58483</v>
      </c>
      <c r="Z2801" s="203">
        <v>3.0996005447298636E-2</v>
      </c>
      <c r="AA2801" s="200">
        <v>3.0897282738386878E-2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58488</v>
      </c>
      <c r="Y2802" s="202">
        <f>_xll.qlInterestRateIndexValueDate(IborIndex,X2802,Trigger)</f>
        <v>58490</v>
      </c>
      <c r="Z2802" s="203">
        <v>3.0992568144309729E-2</v>
      </c>
      <c r="AA2802" s="200">
        <v>3.08942838386983E-2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58495</v>
      </c>
      <c r="Y2803" s="202">
        <f>_xll.qlInterestRateIndexValueDate(IborIndex,X2803,Trigger)</f>
        <v>58497</v>
      </c>
      <c r="Z2803" s="203">
        <v>3.0989146282871083E-2</v>
      </c>
      <c r="AA2803" s="200">
        <v>3.0890799349441167E-2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58502</v>
      </c>
      <c r="Y2804" s="202">
        <f>_xll.qlInterestRateIndexValueDate(IborIndex,X2804,Trigger)</f>
        <v>58504</v>
      </c>
      <c r="Z2804" s="203">
        <v>3.0987919469503824E-2</v>
      </c>
      <c r="AA2804" s="200">
        <v>3.0887330181208483E-2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58509</v>
      </c>
      <c r="Y2805" s="202">
        <f>_xll.qlInterestRateIndexValueDate(IborIndex,X2805,Trigger)</f>
        <v>58511</v>
      </c>
      <c r="Z2805" s="203">
        <v>3.0984530115854777E-2</v>
      </c>
      <c r="AA2805" s="200">
        <v>3.0883876334479865E-2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58516</v>
      </c>
      <c r="Y2806" s="202">
        <f>_xll.qlInterestRateIndexValueDate(IborIndex,X2806,Trigger)</f>
        <v>58518</v>
      </c>
      <c r="Z2806" s="203">
        <v>3.0981156206344743E-2</v>
      </c>
      <c r="AA2806" s="200">
        <v>3.0880437808935568E-2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58523</v>
      </c>
      <c r="Y2807" s="202">
        <f>_xll.qlInterestRateIndexValueDate(IborIndex,X2807,Trigger)</f>
        <v>58525</v>
      </c>
      <c r="Z2807" s="203">
        <v>3.0977797740933753E-2</v>
      </c>
      <c r="AA2807" s="200">
        <v>3.0877014604655528E-2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58530</v>
      </c>
      <c r="Y2808" s="202">
        <f>_xll.qlInterestRateIndexValueDate(IborIndex,X2808,Trigger)</f>
        <v>58532</v>
      </c>
      <c r="Z2808" s="203">
        <v>3.0973361588288981E-2</v>
      </c>
      <c r="AA2808" s="200">
        <v>3.0873606721479874E-2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58537</v>
      </c>
      <c r="Y2809" s="202">
        <f>_xll.qlInterestRateIndexValueDate(IborIndex,X2809,Trigger)</f>
        <v>58539</v>
      </c>
      <c r="Z2809" s="203">
        <v>3.0970033193065374E-2</v>
      </c>
      <c r="AA2809" s="200">
        <v>3.0870214159808285E-2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58544</v>
      </c>
      <c r="Y2810" s="202">
        <f>_xll.qlInterestRateIndexValueDate(IborIndex,X2810,Trigger)</f>
        <v>58546</v>
      </c>
      <c r="Z2810" s="203">
        <v>3.096672024047355E-2</v>
      </c>
      <c r="AA2810" s="200">
        <v>3.0866836919400953E-2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58551</v>
      </c>
      <c r="Y2811" s="202">
        <f>_xll.qlInterestRateIndexValueDate(IborIndex,X2811,Trigger)</f>
        <v>58553</v>
      </c>
      <c r="Z2811" s="203">
        <v>3.0963422730473991E-2</v>
      </c>
      <c r="AA2811" s="200">
        <v>3.0863475000337814E-2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58558</v>
      </c>
      <c r="Y2812" s="202">
        <f>_xll.qlInterestRateIndexValueDate(IborIndex,X2812,Trigger)</f>
        <v>58560</v>
      </c>
      <c r="Z2812" s="203">
        <v>3.0960140663029795E-2</v>
      </c>
      <c r="AA2812" s="200">
        <v>3.0860128402379061E-2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58565</v>
      </c>
      <c r="Y2813" s="202">
        <f>_xll.qlInterestRateIndexValueDate(IborIndex,X2813,Trigger)</f>
        <v>58567</v>
      </c>
      <c r="Z2813" s="203">
        <v>3.0957971272371189E-2</v>
      </c>
      <c r="AA2813" s="200">
        <v>3.0856797125844437E-2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58572</v>
      </c>
      <c r="Y2814" s="202">
        <f>_xll.qlInterestRateIndexValueDate(IborIndex,X2814,Trigger)</f>
        <v>58574</v>
      </c>
      <c r="Z2814" s="203">
        <v>3.0954720914563937E-2</v>
      </c>
      <c r="AA2814" s="200">
        <v>3.0853481170494135E-2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58579</v>
      </c>
      <c r="Y2815" s="202">
        <f>_xll.qlInterestRateIndexValueDate(IborIndex,X2815,Trigger)</f>
        <v>58581</v>
      </c>
      <c r="Z2815" s="203">
        <v>3.0951486000549013E-2</v>
      </c>
      <c r="AA2815" s="200">
        <v>3.0850180536408089E-2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58586</v>
      </c>
      <c r="Y2816" s="202">
        <f>_xll.qlInterestRateIndexValueDate(IborIndex,X2816,Trigger)</f>
        <v>58588</v>
      </c>
      <c r="Z2816" s="203">
        <v>3.0948266530282983E-2</v>
      </c>
      <c r="AA2816" s="200">
        <v>3.0846427144011201E-2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58593</v>
      </c>
      <c r="Y2817" s="202">
        <f>_xll.qlInterestRateIndexValueDate(IborIndex,X2817,Trigger)</f>
        <v>58595</v>
      </c>
      <c r="Z2817" s="203">
        <v>3.0945062503731083E-2</v>
      </c>
      <c r="AA2817" s="200">
        <v>3.0843625232188643E-2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58600</v>
      </c>
      <c r="Y2818" s="202">
        <f>_xll.qlInterestRateIndexValueDate(IborIndex,X2818,Trigger)</f>
        <v>58602</v>
      </c>
      <c r="Z2818" s="203">
        <v>3.0941873920855956E-2</v>
      </c>
      <c r="AA2818" s="200">
        <v>3.0840370561895369E-2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58607</v>
      </c>
      <c r="Y2819" s="202">
        <f>_xll.qlInterestRateIndexValueDate(IborIndex,X2819,Trigger)</f>
        <v>58609</v>
      </c>
      <c r="Z2819" s="203">
        <v>3.0938700781618502E-2</v>
      </c>
      <c r="AA2819" s="200">
        <v>3.0837131212866353E-2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58614</v>
      </c>
      <c r="Y2820" s="202">
        <f>_xll.qlInterestRateIndexValueDate(IborIndex,X2820,Trigger)</f>
        <v>58616</v>
      </c>
      <c r="Z2820" s="203">
        <v>3.0935543085983098E-2</v>
      </c>
      <c r="AA2820" s="200">
        <v>3.0833907185181531E-2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58621</v>
      </c>
      <c r="Y2821" s="202">
        <f>_xll.qlInterestRateIndexValueDate(IborIndex,X2821,Trigger)</f>
        <v>58623</v>
      </c>
      <c r="Z2821" s="203">
        <v>3.0932400833910644E-2</v>
      </c>
      <c r="AA2821" s="200">
        <v>3.0830241342911791E-2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58628</v>
      </c>
      <c r="Y2822" s="202">
        <f>_xll.qlInterestRateIndexValueDate(IborIndex,X2822,Trigger)</f>
        <v>58630</v>
      </c>
      <c r="Z2822" s="203">
        <v>3.0929274025365515E-2</v>
      </c>
      <c r="AA2822" s="200">
        <v>3.0827505093764529E-2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58635</v>
      </c>
      <c r="Y2823" s="202">
        <f>_xll.qlInterestRateIndexValueDate(IborIndex,X2823,Trigger)</f>
        <v>58637</v>
      </c>
      <c r="Z2823" s="203">
        <v>3.0926162660311222E-2</v>
      </c>
      <c r="AA2823" s="200">
        <v>3.0824327029792542E-2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58642</v>
      </c>
      <c r="Y2824" s="202">
        <f>_xll.qlInterestRateIndexValueDate(IborIndex,X2824,Trigger)</f>
        <v>58644</v>
      </c>
      <c r="Z2824" s="203">
        <v>3.0923066738713006E-2</v>
      </c>
      <c r="AA2824" s="200">
        <v>3.0821164287324621E-2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58649</v>
      </c>
      <c r="Y2825" s="202">
        <f>_xll.qlInterestRateIndexValueDate(IborIndex,X2825,Trigger)</f>
        <v>58651</v>
      </c>
      <c r="Z2825" s="203">
        <v>3.0919986260529168E-2</v>
      </c>
      <c r="AA2825" s="200">
        <v>3.0818016865961084E-2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58656</v>
      </c>
      <c r="Y2826" s="202">
        <f>_xll.qlInterestRateIndexValueDate(IborIndex,X2826,Trigger)</f>
        <v>58658</v>
      </c>
      <c r="Z2826" s="203">
        <v>3.091692122572668E-2</v>
      </c>
      <c r="AA2826" s="200">
        <v>3.0814884765861805E-2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58663</v>
      </c>
      <c r="Y2827" s="202">
        <f>_xll.qlInterestRateIndexValueDate(IborIndex,X2827,Trigger)</f>
        <v>58665</v>
      </c>
      <c r="Z2827" s="203">
        <v>3.0913871634272536E-2</v>
      </c>
      <c r="AA2827" s="200">
        <v>3.0811767987026784E-2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58670</v>
      </c>
      <c r="Y2828" s="202">
        <f>_xll.qlInterestRateIndexValueDate(IborIndex,X2828,Trigger)</f>
        <v>58672</v>
      </c>
      <c r="Z2828" s="203">
        <v>3.0910837486125026E-2</v>
      </c>
      <c r="AA2828" s="200">
        <v>3.0808666529615891E-2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58677</v>
      </c>
      <c r="Y2829" s="202">
        <f>_xll.qlInterestRateIndexValueDate(IborIndex,X2829,Trigger)</f>
        <v>58679</v>
      </c>
      <c r="Z2829" s="203">
        <v>3.0907818781252868E-2</v>
      </c>
      <c r="AA2829" s="200">
        <v>3.080558039338932E-2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58684</v>
      </c>
      <c r="Y2830" s="202">
        <f>_xll.qlInterestRateIndexValueDate(IborIndex,X2830,Trigger)</f>
        <v>58686</v>
      </c>
      <c r="Z2830" s="203">
        <v>3.0903704083201877E-2</v>
      </c>
      <c r="AA2830" s="200">
        <v>3.0802072141220549E-2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58691</v>
      </c>
      <c r="Y2831" s="202">
        <f>_xll.qlInterestRateIndexValueDate(IborIndex,X2831,Trigger)</f>
        <v>58693</v>
      </c>
      <c r="Z2831" s="203">
        <v>3.0900715417247159E-2</v>
      </c>
      <c r="AA2831" s="200">
        <v>3.0799454084649014E-2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58698</v>
      </c>
      <c r="Y2832" s="202">
        <f>_xll.qlInterestRateIndexValueDate(IborIndex,X2832,Trigger)</f>
        <v>58700</v>
      </c>
      <c r="Z2832" s="203">
        <v>3.0897742193118721E-2</v>
      </c>
      <c r="AA2832" s="200">
        <v>3.0796413912295151E-2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58705</v>
      </c>
      <c r="Y2833" s="202">
        <f>_xll.qlInterestRateIndexValueDate(IborIndex,X2833,Trigger)</f>
        <v>58707</v>
      </c>
      <c r="Z2833" s="203">
        <v>3.0894784410781424E-2</v>
      </c>
      <c r="AA2833" s="200">
        <v>3.0793389061125609E-2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58712</v>
      </c>
      <c r="Y2834" s="202">
        <f>_xll.qlInterestRateIndexValueDate(IborIndex,X2834,Trigger)</f>
        <v>58714</v>
      </c>
      <c r="Z2834" s="203">
        <v>3.0891842070200137E-2</v>
      </c>
      <c r="AA2834" s="200">
        <v>3.0790379531140388E-2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58719</v>
      </c>
      <c r="Y2835" s="202">
        <f>_xll.qlInterestRateIndexValueDate(IborIndex,X2835,Trigger)</f>
        <v>58721</v>
      </c>
      <c r="Z2835" s="203">
        <v>3.0890030858795266E-2</v>
      </c>
      <c r="AA2835" s="200">
        <v>3.0786958829178701E-2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58726</v>
      </c>
      <c r="Y2836" s="202">
        <f>_xll.qlInterestRateIndexValueDate(IborIndex,X2836,Trigger)</f>
        <v>58728</v>
      </c>
      <c r="Z2836" s="203">
        <v>3.0887120255858339E-2</v>
      </c>
      <c r="AA2836" s="200">
        <v>3.0784406435202527E-2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58733</v>
      </c>
      <c r="Y2837" s="202">
        <f>_xll.qlInterestRateIndexValueDate(IborIndex,X2837,Trigger)</f>
        <v>58735</v>
      </c>
      <c r="Z2837" s="203">
        <v>3.088422509591612E-2</v>
      </c>
      <c r="AA2837" s="200">
        <v>3.0781442869090014E-2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58740</v>
      </c>
      <c r="Y2838" s="202">
        <f>_xll.qlInterestRateIndexValueDate(IborIndex,X2838,Trigger)</f>
        <v>58742</v>
      </c>
      <c r="Z2838" s="203">
        <v>3.0881345378936463E-2</v>
      </c>
      <c r="AA2838" s="200">
        <v>3.0778494624161823E-2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58747</v>
      </c>
      <c r="Y2839" s="202">
        <f>_xll.qlInterestRateIndexValueDate(IborIndex,X2839,Trigger)</f>
        <v>58749</v>
      </c>
      <c r="Z2839" s="203">
        <v>3.0878481104882002E-2</v>
      </c>
      <c r="AA2839" s="200">
        <v>3.0775561700817633E-2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58754</v>
      </c>
      <c r="Y2840" s="202">
        <f>_xll.qlInterestRateIndexValueDate(IborIndex,X2840,Trigger)</f>
        <v>58757</v>
      </c>
      <c r="Z2840" s="203">
        <v>3.0877467186571299E-2</v>
      </c>
      <c r="AA2840" s="200">
        <v>3.0772228548903158E-2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58761</v>
      </c>
      <c r="Y2841" s="202">
        <f>_xll.qlInterestRateIndexValueDate(IborIndex,X2841,Trigger)</f>
        <v>58763</v>
      </c>
      <c r="Z2841" s="203">
        <v>3.0872798885422697E-2</v>
      </c>
      <c r="AA2841" s="200">
        <v>3.0769741817362473E-2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58768</v>
      </c>
      <c r="Y2842" s="202">
        <f>_xll.qlInterestRateIndexValueDate(IborIndex,X2842,Trigger)</f>
        <v>58771</v>
      </c>
      <c r="Z2842" s="203">
        <v>3.0871823713225638E-2</v>
      </c>
      <c r="AA2842" s="200">
        <v>3.0766443685514844E-2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58775</v>
      </c>
      <c r="Y2843" s="202">
        <f>_xll.qlInterestRateIndexValueDate(IborIndex,X2843,Trigger)</f>
        <v>58777</v>
      </c>
      <c r="Z2843" s="203">
        <v>3.0864933466163258E-2</v>
      </c>
      <c r="AA2843" s="200">
        <v>3.0763983219284086E-2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58782</v>
      </c>
      <c r="Y2844" s="202">
        <f>_xll.qlInterestRateIndexValueDate(IborIndex,X2844,Trigger)</f>
        <v>58784</v>
      </c>
      <c r="Z2844" s="203">
        <v>3.0862144676526704E-2</v>
      </c>
      <c r="AA2844" s="200">
        <v>3.076112690210131E-2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58789</v>
      </c>
      <c r="Y2845" s="202">
        <f>_xll.qlInterestRateIndexValueDate(IborIndex,X2845,Trigger)</f>
        <v>58791</v>
      </c>
      <c r="Z2845" s="203">
        <v>3.0859371326941165E-2</v>
      </c>
      <c r="AA2845" s="200">
        <v>3.0758285905942984E-2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58796</v>
      </c>
      <c r="Y2846" s="202">
        <f>_xll.qlInterestRateIndexValueDate(IborIndex,X2846,Trigger)</f>
        <v>58798</v>
      </c>
      <c r="Z2846" s="203">
        <v>3.0856613417377332E-2</v>
      </c>
      <c r="AA2846" s="200">
        <v>3.0755057814229048E-2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58804</v>
      </c>
      <c r="Y2847" s="202">
        <f>_xll.qlInterestRateIndexValueDate(IborIndex,X2847,Trigger)</f>
        <v>58810</v>
      </c>
      <c r="Z2847" s="203">
        <v>3.0851921494003065E-2</v>
      </c>
      <c r="AA2847" s="200">
        <v>3.0751450130876989E-2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58811</v>
      </c>
      <c r="Y2848" s="202">
        <f>_xll.qlInterestRateIndexValueDate(IborIndex,X2848,Trigger)</f>
        <v>58813</v>
      </c>
      <c r="Z2848" s="203">
        <v>3.0850755602932267E-2</v>
      </c>
      <c r="AA2848" s="200">
        <v>3.0749456806171693E-2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58818</v>
      </c>
      <c r="Y2849" s="202">
        <f>_xll.qlInterestRateIndexValueDate(IborIndex,X2849,Trigger)</f>
        <v>58820</v>
      </c>
      <c r="Z2849" s="203">
        <v>3.0848046218943104E-2</v>
      </c>
      <c r="AA2849" s="200">
        <v>3.0746283745877179E-2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58825</v>
      </c>
      <c r="Y2850" s="202">
        <f>_xll.qlInterestRateIndexValueDate(IborIndex,X2850,Trigger)</f>
        <v>58827</v>
      </c>
      <c r="Z2850" s="203">
        <v>3.0845352274845972E-2</v>
      </c>
      <c r="AA2850" s="200">
        <v>3.0743917083011496E-2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58832</v>
      </c>
      <c r="Y2851" s="202">
        <f>_xll.qlInterestRateIndexValueDate(IborIndex,X2851,Trigger)</f>
        <v>58834</v>
      </c>
      <c r="Z2851" s="203">
        <v>3.0842673770608009E-2</v>
      </c>
      <c r="AA2851" s="200">
        <v>3.0741170203487655E-2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58839</v>
      </c>
      <c r="Y2852" s="202">
        <f>_xll.qlInterestRateIndexValueDate(IborIndex,X2852,Trigger)</f>
        <v>58841</v>
      </c>
      <c r="Z2852" s="203">
        <v>3.083888048570619E-2</v>
      </c>
      <c r="AA2852" s="200">
        <v>3.0738438645148136E-2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58846</v>
      </c>
      <c r="Y2853" s="202">
        <f>_xll.qlInterestRateIndexValueDate(IborIndex,X2853,Trigger)</f>
        <v>58848</v>
      </c>
      <c r="Z2853" s="203">
        <v>3.0836231984275438E-2</v>
      </c>
      <c r="AA2853" s="200">
        <v>3.0735722407913002E-2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58853</v>
      </c>
      <c r="Y2854" s="202">
        <f>_xll.qlInterestRateIndexValueDate(IborIndex,X2854,Trigger)</f>
        <v>58855</v>
      </c>
      <c r="Z2854" s="203">
        <v>3.0833598921279935E-2</v>
      </c>
      <c r="AA2854" s="200">
        <v>3.0732636897745635E-2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58860</v>
      </c>
      <c r="Y2855" s="202">
        <f>_xll.qlInterestRateIndexValueDate(IborIndex,X2855,Trigger)</f>
        <v>58862</v>
      </c>
      <c r="Z2855" s="203">
        <v>3.0830981296687345E-2</v>
      </c>
      <c r="AA2855" s="200">
        <v>3.0730335897475314E-2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58867</v>
      </c>
      <c r="Y2856" s="202">
        <f>_xll.qlInterestRateIndexValueDate(IborIndex,X2856,Trigger)</f>
        <v>58869</v>
      </c>
      <c r="Z2856" s="203">
        <v>3.0834049277224343E-2</v>
      </c>
      <c r="AA2856" s="200">
        <v>3.072766562427276E-2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58874</v>
      </c>
      <c r="Y2857" s="202">
        <f>_xll.qlInterestRateIndexValueDate(IborIndex,X2857,Trigger)</f>
        <v>58876</v>
      </c>
      <c r="Z2857" s="203">
        <v>3.0831466941854121E-2</v>
      </c>
      <c r="AA2857" s="200">
        <v>3.0725010672014719E-2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58881</v>
      </c>
      <c r="Y2858" s="202">
        <f>_xll.qlInterestRateIndexValueDate(IborIndex,X2858,Trigger)</f>
        <v>58883</v>
      </c>
      <c r="Z2858" s="203">
        <v>3.0828900051462816E-2</v>
      </c>
      <c r="AA2858" s="200">
        <v>3.0722371041260743E-2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58888</v>
      </c>
      <c r="Y2859" s="202">
        <f>_xll.qlInterestRateIndexValueDate(IborIndex,X2859,Trigger)</f>
        <v>58890</v>
      </c>
      <c r="Z2859" s="203">
        <v>3.0826348606023211E-2</v>
      </c>
      <c r="AA2859" s="200">
        <v>3.0719746731691089E-2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58895</v>
      </c>
      <c r="Y2860" s="202">
        <f>_xll.qlInterestRateIndexValueDate(IborIndex,X2860,Trigger)</f>
        <v>58897</v>
      </c>
      <c r="Z2860" s="203">
        <v>3.0820399443007511E-2</v>
      </c>
      <c r="AA2860" s="200">
        <v>3.0717137743465628E-2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58902</v>
      </c>
      <c r="Y2861" s="202">
        <f>_xll.qlInterestRateIndexValueDate(IborIndex,X2861,Trigger)</f>
        <v>58908</v>
      </c>
      <c r="Z2861" s="203">
        <v>3.0816441316206249E-2</v>
      </c>
      <c r="AA2861" s="200">
        <v>3.0713805842870201E-2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58909</v>
      </c>
      <c r="Y2862" s="202">
        <f>_xll.qlInterestRateIndexValueDate(IborIndex,X2862,Trigger)</f>
        <v>58911</v>
      </c>
      <c r="Z2862" s="203">
        <v>3.0815368444589646E-2</v>
      </c>
      <c r="AA2862" s="200">
        <v>3.0711965730727542E-2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58916</v>
      </c>
      <c r="Y2863" s="202">
        <f>_xll.qlInterestRateIndexValueDate(IborIndex,X2863,Trigger)</f>
        <v>58918</v>
      </c>
      <c r="Z2863" s="203">
        <v>3.0812876106646583E-2</v>
      </c>
      <c r="AA2863" s="200">
        <v>3.0709402706134981E-2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58923</v>
      </c>
      <c r="Y2864" s="202">
        <f>_xll.qlInterestRateIndexValueDate(IborIndex,X2864,Trigger)</f>
        <v>58925</v>
      </c>
      <c r="Z2864" s="203">
        <v>3.081039920950996E-2</v>
      </c>
      <c r="AA2864" s="200">
        <v>3.0706855002806677E-2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58930</v>
      </c>
      <c r="Y2865" s="202">
        <f>_xll.qlInterestRateIndexValueDate(IborIndex,X2865,Trigger)</f>
        <v>58932</v>
      </c>
      <c r="Z2865" s="203">
        <v>3.0811364275660318E-2</v>
      </c>
      <c r="AA2865" s="200">
        <v>3.0704322620902502E-2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58937</v>
      </c>
      <c r="Y2866" s="202">
        <f>_xll.qlInterestRateIndexValueDate(IborIndex,X2866,Trigger)</f>
        <v>58939</v>
      </c>
      <c r="Z2866" s="203">
        <v>3.0808920944030531E-2</v>
      </c>
      <c r="AA2866" s="200">
        <v>3.0701805560262585E-2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58944</v>
      </c>
      <c r="Y2867" s="202">
        <f>_xll.qlInterestRateIndexValueDate(IborIndex,X2867,Trigger)</f>
        <v>58946</v>
      </c>
      <c r="Z2867" s="203">
        <v>3.0806493057114338E-2</v>
      </c>
      <c r="AA2867" s="200">
        <v>3.0699303820727053E-2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58951</v>
      </c>
      <c r="Y2868" s="202">
        <f>_xll.qlInterestRateIndexValueDate(IborIndex,X2868,Trigger)</f>
        <v>58953</v>
      </c>
      <c r="Z2868" s="203">
        <v>3.0805225778857897E-2</v>
      </c>
      <c r="AA2868" s="200">
        <v>3.0696463450547995E-2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58958</v>
      </c>
      <c r="Y2869" s="202">
        <f>_xll.qlInterestRateIndexValueDate(IborIndex,X2869,Trigger)</f>
        <v>58960</v>
      </c>
      <c r="Z2869" s="203">
        <v>3.0802829680275191E-2</v>
      </c>
      <c r="AA2869" s="200">
        <v>3.0694346305448761E-2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58965</v>
      </c>
      <c r="Y2870" s="202">
        <f>_xll.qlInterestRateIndexValueDate(IborIndex,X2870,Trigger)</f>
        <v>58967</v>
      </c>
      <c r="Z2870" s="203">
        <v>3.0799302064340329E-2</v>
      </c>
      <c r="AA2870" s="200">
        <v>3.0691890529785937E-2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58972</v>
      </c>
      <c r="Y2871" s="202">
        <f>_xll.qlInterestRateIndexValueDate(IborIndex,X2871,Trigger)</f>
        <v>58974</v>
      </c>
      <c r="Z2871" s="203">
        <v>3.0796935955980025E-2</v>
      </c>
      <c r="AA2871" s="200">
        <v>3.0689450075227498E-2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58979</v>
      </c>
      <c r="Y2872" s="202">
        <f>_xll.qlInterestRateIndexValueDate(IborIndex,X2872,Trigger)</f>
        <v>58981</v>
      </c>
      <c r="Z2872" s="203">
        <v>3.0794585292186198E-2</v>
      </c>
      <c r="AA2872" s="200">
        <v>3.0687024942013252E-2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58986</v>
      </c>
      <c r="Y2873" s="202">
        <f>_xll.qlInterestRateIndexValueDate(IborIndex,X2873,Trigger)</f>
        <v>58988</v>
      </c>
      <c r="Z2873" s="203">
        <v>3.0792250072930783E-2</v>
      </c>
      <c r="AA2873" s="200">
        <v>3.0684272121961342E-2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58993</v>
      </c>
      <c r="Y2874" s="202">
        <f>_xll.qlInterestRateIndexValueDate(IborIndex,X2874,Trigger)</f>
        <v>58995</v>
      </c>
      <c r="Z2874" s="203">
        <v>3.0791080876097235E-2</v>
      </c>
      <c r="AA2874" s="200">
        <v>3.0682220639457469E-2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59000</v>
      </c>
      <c r="Y2875" s="202">
        <f>_xll.qlInterestRateIndexValueDate(IborIndex,X2875,Trigger)</f>
        <v>59002</v>
      </c>
      <c r="Z2875" s="203">
        <v>3.0787625967928049E-2</v>
      </c>
      <c r="AA2875" s="200">
        <v>3.067984146995606E-2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59007</v>
      </c>
      <c r="Y2876" s="202">
        <f>_xll.qlInterestRateIndexValueDate(IborIndex,X2876,Trigger)</f>
        <v>59009</v>
      </c>
      <c r="Z2876" s="203">
        <v>3.0785337082123755E-2</v>
      </c>
      <c r="AA2876" s="200">
        <v>3.0677477621878779E-2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59014</v>
      </c>
      <c r="Y2877" s="202">
        <f>_xll.qlInterestRateIndexValueDate(IborIndex,X2877,Trigger)</f>
        <v>59016</v>
      </c>
      <c r="Z2877" s="203">
        <v>3.0783063640747323E-2</v>
      </c>
      <c r="AA2877" s="200">
        <v>3.067512909498582E-2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59021</v>
      </c>
      <c r="Y2878" s="202">
        <f>_xll.qlInterestRateIndexValueDate(IborIndex,X2878,Trigger)</f>
        <v>59023</v>
      </c>
      <c r="Z2878" s="203">
        <v>3.0780805643772394E-2</v>
      </c>
      <c r="AA2878" s="200">
        <v>3.0672795889277182E-2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59028</v>
      </c>
      <c r="Y2879" s="202">
        <f>_xll.qlInterestRateIndexValueDate(IborIndex,X2879,Trigger)</f>
        <v>59030</v>
      </c>
      <c r="Z2879" s="203">
        <v>3.0778563091171756E-2</v>
      </c>
      <c r="AA2879" s="200">
        <v>3.0670478004752866E-2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59035</v>
      </c>
      <c r="Y2880" s="202">
        <f>_xll.qlInterestRateIndexValueDate(IborIndex,X2880,Trigger)</f>
        <v>59037</v>
      </c>
      <c r="Z2880" s="203">
        <v>3.0776335982917343E-2</v>
      </c>
      <c r="AA2880" s="200">
        <v>3.0668175441652679E-2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59042</v>
      </c>
      <c r="Y2881" s="202">
        <f>_xll.qlInterestRateIndexValueDate(IborIndex,X2881,Trigger)</f>
        <v>59044</v>
      </c>
      <c r="Z2881" s="203">
        <v>3.0774124318983648E-2</v>
      </c>
      <c r="AA2881" s="200">
        <v>3.0665888199816749E-2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59049</v>
      </c>
      <c r="Y2882" s="202">
        <f>_xll.qlInterestRateIndexValueDate(IborIndex,X2882,Trigger)</f>
        <v>59051</v>
      </c>
      <c r="Z2882" s="203">
        <v>3.0768455406783534E-2</v>
      </c>
      <c r="AA2882" s="200">
        <v>3.0663292969625999E-2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59056</v>
      </c>
      <c r="Y2883" s="202">
        <f>_xll.qlInterestRateIndexValueDate(IborIndex,X2883,Trigger)</f>
        <v>59058</v>
      </c>
      <c r="Z2883" s="203">
        <v>3.0766271879682866E-2</v>
      </c>
      <c r="AA2883" s="200">
        <v>3.0661359679458045E-2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59063</v>
      </c>
      <c r="Y2884" s="202">
        <f>_xll.qlInterestRateIndexValueDate(IborIndex,X2884,Trigger)</f>
        <v>59065</v>
      </c>
      <c r="Z2884" s="203">
        <v>3.0764103792843136E-2</v>
      </c>
      <c r="AA2884" s="200">
        <v>3.0659118401414887E-2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59070</v>
      </c>
      <c r="Y2885" s="202">
        <f>_xll.qlInterestRateIndexValueDate(IborIndex,X2885,Trigger)</f>
        <v>59072</v>
      </c>
      <c r="Z2885" s="203">
        <v>3.0761951146244141E-2</v>
      </c>
      <c r="AA2885" s="200">
        <v>3.0656892444476114E-2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59077</v>
      </c>
      <c r="Y2886" s="202">
        <f>_xll.qlInterestRateIndexValueDate(IborIndex,X2886,Trigger)</f>
        <v>59079</v>
      </c>
      <c r="Z2886" s="203">
        <v>3.0759813939857768E-2</v>
      </c>
      <c r="AA2886" s="200">
        <v>3.0654681808801598E-2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59084</v>
      </c>
      <c r="Y2887" s="202">
        <f>_xll.qlInterestRateIndexValueDate(IborIndex,X2887,Trigger)</f>
        <v>59086</v>
      </c>
      <c r="Z2887" s="203">
        <v>3.0761178664633442E-2</v>
      </c>
      <c r="AA2887" s="200">
        <v>3.0652174128737997E-2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59091</v>
      </c>
      <c r="Y2888" s="202">
        <f>_xll.qlInterestRateIndexValueDate(IborIndex,X2888,Trigger)</f>
        <v>59093</v>
      </c>
      <c r="Z2888" s="203">
        <v>3.0760238506504223E-2</v>
      </c>
      <c r="AA2888" s="200">
        <v>3.0650306501245339E-2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59098</v>
      </c>
      <c r="Y2889" s="202">
        <f>_xll.qlInterestRateIndexValueDate(IborIndex,X2889,Trigger)</f>
        <v>59100</v>
      </c>
      <c r="Z2889" s="203">
        <v>3.0756986999898983E-2</v>
      </c>
      <c r="AA2889" s="200">
        <v>3.0648141829283659E-2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59105</v>
      </c>
      <c r="Y2890" s="202">
        <f>_xll.qlInterestRateIndexValueDate(IborIndex,X2890,Trigger)</f>
        <v>59107</v>
      </c>
      <c r="Z2890" s="203">
        <v>3.0754914333675651E-2</v>
      </c>
      <c r="AA2890" s="200">
        <v>3.0645992478586237E-2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59112</v>
      </c>
      <c r="Y2891" s="202">
        <f>_xll.qlInterestRateIndexValueDate(IborIndex,X2891,Trigger)</f>
        <v>59114</v>
      </c>
      <c r="Z2891" s="203">
        <v>3.0752857111514518E-2</v>
      </c>
      <c r="AA2891" s="200">
        <v>3.0643858449312944E-2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59119</v>
      </c>
      <c r="Y2892" s="202">
        <f>_xll.qlInterestRateIndexValueDate(IborIndex,X2892,Trigger)</f>
        <v>59124</v>
      </c>
      <c r="Z2892" s="203">
        <v>3.0747610468525446E-2</v>
      </c>
      <c r="AA2892" s="200">
        <v>3.0641438319216618E-2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59126</v>
      </c>
      <c r="Y2893" s="202">
        <f>_xll.qlInterestRateIndexValueDate(IborIndex,X2893,Trigger)</f>
        <v>59128</v>
      </c>
      <c r="Z2893" s="203">
        <v>3.074995703653409E-2</v>
      </c>
      <c r="AA2893" s="200">
        <v>3.063963635415945E-2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59133</v>
      </c>
      <c r="Y2894" s="202">
        <f>_xll.qlInterestRateIndexValueDate(IborIndex,X2894,Trigger)</f>
        <v>59135</v>
      </c>
      <c r="Z2894" s="203">
        <v>3.0746778109167056E-2</v>
      </c>
      <c r="AA2894" s="200">
        <v>3.0637548288519056E-2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59140</v>
      </c>
      <c r="Y2895" s="202">
        <f>_xll.qlInterestRateIndexValueDate(IborIndex,X2895,Trigger)</f>
        <v>59142</v>
      </c>
      <c r="Z2895" s="203">
        <v>3.0740104607382079E-2</v>
      </c>
      <c r="AA2895" s="200">
        <v>3.0635475544142921E-2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59147</v>
      </c>
      <c r="Y2896" s="202">
        <f>_xll.qlInterestRateIndexValueDate(IborIndex,X2896,Trigger)</f>
        <v>59149</v>
      </c>
      <c r="Z2896" s="203">
        <v>3.0738120867686014E-2</v>
      </c>
      <c r="AA2896" s="200">
        <v>3.063341812087117E-2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59154</v>
      </c>
      <c r="Y2897" s="202">
        <f>_xll.qlInterestRateIndexValueDate(IborIndex,X2897,Trigger)</f>
        <v>59156</v>
      </c>
      <c r="Z2897" s="203">
        <v>3.0736152566618102E-2</v>
      </c>
      <c r="AA2897" s="200">
        <v>3.0631376018863676E-2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59161</v>
      </c>
      <c r="Y2898" s="202">
        <f>_xll.qlInterestRateIndexValueDate(IborIndex,X2898,Trigger)</f>
        <v>59163</v>
      </c>
      <c r="Z2898" s="203">
        <v>3.0734199704157028E-2</v>
      </c>
      <c r="AA2898" s="200">
        <v>3.0629060948887954E-2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59168</v>
      </c>
      <c r="Y2899" s="202">
        <f>_xll.qlInterestRateIndexValueDate(IborIndex,X2899,Trigger)</f>
        <v>59170</v>
      </c>
      <c r="Z2899" s="203">
        <v>3.0733435305220276E-2</v>
      </c>
      <c r="AA2899" s="200">
        <v>3.0627051678377981E-2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59175</v>
      </c>
      <c r="Y2900" s="202">
        <f>_xll.qlInterestRateIndexValueDate(IborIndex,X2900,Trigger)</f>
        <v>59177</v>
      </c>
      <c r="Z2900" s="203">
        <v>3.0730340294957692E-2</v>
      </c>
      <c r="AA2900" s="200">
        <v>3.0625341640586612E-2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59182</v>
      </c>
      <c r="Y2901" s="202">
        <f>_xll.qlInterestRateIndexValueDate(IborIndex,X2901,Trigger)</f>
        <v>59184</v>
      </c>
      <c r="Z2901" s="203">
        <v>3.0728433748177686E-2</v>
      </c>
      <c r="AA2901" s="200">
        <v>3.0623079100671191E-2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59189</v>
      </c>
      <c r="Y2902" s="202">
        <f>_xll.qlInterestRateIndexValueDate(IborIndex,X2902,Trigger)</f>
        <v>59191</v>
      </c>
      <c r="Z2902" s="203">
        <v>3.0726542639913035E-2</v>
      </c>
      <c r="AA2902" s="200">
        <v>3.0621395328109813E-2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59196</v>
      </c>
      <c r="Y2903" s="202">
        <f>_xll.qlInterestRateIndexValueDate(IborIndex,X2903,Trigger)</f>
        <v>59198</v>
      </c>
      <c r="Z2903" s="203">
        <v>3.0724666970144199E-2</v>
      </c>
      <c r="AA2903" s="200">
        <v>3.0619445153687863E-2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59203</v>
      </c>
      <c r="Y2904" s="202">
        <f>_xll.qlInterestRateIndexValueDate(IborIndex,X2904,Trigger)</f>
        <v>59205</v>
      </c>
      <c r="Z2904" s="203">
        <v>3.0721629160791776E-2</v>
      </c>
      <c r="AA2904" s="200">
        <v>3.0617510300370299E-2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59210</v>
      </c>
      <c r="Y2905" s="202">
        <f>_xll.qlInterestRateIndexValueDate(IborIndex,X2905,Trigger)</f>
        <v>59212</v>
      </c>
      <c r="Z2905" s="203">
        <v>3.0719783422120658E-2</v>
      </c>
      <c r="AA2905" s="200">
        <v>3.0615590768636736E-2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59217</v>
      </c>
      <c r="Y2906" s="202">
        <f>_xll.qlInterestRateIndexValueDate(IborIndex,X2906,Trigger)</f>
        <v>59219</v>
      </c>
      <c r="Z2906" s="203">
        <v>3.0717953120560908E-2</v>
      </c>
      <c r="AA2906" s="200">
        <v>3.0613415778448783E-2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59224</v>
      </c>
      <c r="Y2907" s="202">
        <f>_xll.qlInterestRateIndexValueDate(IborIndex,X2907,Trigger)</f>
        <v>59226</v>
      </c>
      <c r="Z2907" s="203">
        <v>3.0716138256090965E-2</v>
      </c>
      <c r="AA2907" s="200">
        <v>3.0611797668322893E-2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59231</v>
      </c>
      <c r="Y2908" s="202">
        <f>_xll.qlInterestRateIndexValueDate(IborIndex,X2908,Trigger)</f>
        <v>59233</v>
      </c>
      <c r="Z2908" s="203">
        <v>3.0720247253254857E-2</v>
      </c>
      <c r="AA2908" s="200">
        <v>3.0609924100142294E-2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59238</v>
      </c>
      <c r="Y2909" s="202">
        <f>_xll.qlInterestRateIndexValueDate(IborIndex,X2909,Trigger)</f>
        <v>59240</v>
      </c>
      <c r="Z2909" s="203">
        <v>3.0718468020188447E-2</v>
      </c>
      <c r="AA2909" s="200">
        <v>3.0608065853225952E-2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59245</v>
      </c>
      <c r="Y2910" s="202">
        <f>_xll.qlInterestRateIndexValueDate(IborIndex,X2910,Trigger)</f>
        <v>59247</v>
      </c>
      <c r="Z2910" s="203">
        <v>3.0716704230750538E-2</v>
      </c>
      <c r="AA2910" s="200">
        <v>3.0606222927493931E-2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59252</v>
      </c>
      <c r="Y2911" s="202">
        <f>_xll.qlInterestRateIndexValueDate(IborIndex,X2911,Trigger)</f>
        <v>59258</v>
      </c>
      <c r="Z2911" s="203">
        <v>3.0711593110557173E-2</v>
      </c>
      <c r="AA2911" s="200">
        <v>3.060387596439007E-2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59259</v>
      </c>
      <c r="Y2912" s="202">
        <f>_xll.qlInterestRateIndexValueDate(IborIndex,X2912,Trigger)</f>
        <v>59261</v>
      </c>
      <c r="Z2912" s="203">
        <v>3.0709666011109291E-2</v>
      </c>
      <c r="AA2912" s="200">
        <v>3.0602583039742726E-2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59266</v>
      </c>
      <c r="Y2913" s="202">
        <f>_xll.qlInterestRateIndexValueDate(IborIndex,X2913,Trigger)</f>
        <v>59268</v>
      </c>
      <c r="Z2913" s="203">
        <v>3.0707945681690149E-2</v>
      </c>
      <c r="AA2913" s="200">
        <v>3.0600786077803477E-2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59273</v>
      </c>
      <c r="Y2914" s="202">
        <f>_xll.qlInterestRateIndexValueDate(IborIndex,X2914,Trigger)</f>
        <v>59275</v>
      </c>
      <c r="Z2914" s="203">
        <v>3.0706240791859081E-2</v>
      </c>
      <c r="AA2914" s="200">
        <v>3.0599004437128485E-2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59280</v>
      </c>
      <c r="Y2915" s="202">
        <f>_xll.qlInterestRateIndexValueDate(IborIndex,X2915,Trigger)</f>
        <v>59282</v>
      </c>
      <c r="Z2915" s="203">
        <v>3.0704551341594121E-2</v>
      </c>
      <c r="AA2915" s="200">
        <v>3.0597238117477943E-2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59287</v>
      </c>
      <c r="Y2916" s="202">
        <f>_xll.qlInterestRateIndexValueDate(IborIndex,X2916,Trigger)</f>
        <v>59289</v>
      </c>
      <c r="Z2916" s="203">
        <v>3.0706445809085214E-2</v>
      </c>
      <c r="AA2916" s="200">
        <v>3.059548711925153E-2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59294</v>
      </c>
      <c r="Y2917" s="202">
        <f>_xll.qlInterestRateIndexValueDate(IborIndex,X2917,Trigger)</f>
        <v>59296</v>
      </c>
      <c r="Z2917" s="203">
        <v>3.0704790124444763E-2</v>
      </c>
      <c r="AA2917" s="200">
        <v>3.0593751442289374E-2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59301</v>
      </c>
      <c r="Y2918" s="202">
        <f>_xll.qlInterestRateIndexValueDate(IborIndex,X2918,Trigger)</f>
        <v>59303</v>
      </c>
      <c r="Z2918" s="203">
        <v>3.0703149883266986E-2</v>
      </c>
      <c r="AA2918" s="200">
        <v>3.0592031086431604E-2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59308</v>
      </c>
      <c r="Y2919" s="202">
        <f>_xll.qlInterestRateIndexValueDate(IborIndex,X2919,Trigger)</f>
        <v>59310</v>
      </c>
      <c r="Z2919" s="203">
        <v>3.0701525085529782E-2</v>
      </c>
      <c r="AA2919" s="200">
        <v>3.059032605183809E-2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59315</v>
      </c>
      <c r="Y2920" s="202">
        <f>_xll.qlInterestRateIndexValueDate(IborIndex,X2920,Trigger)</f>
        <v>59317</v>
      </c>
      <c r="Z2920" s="203">
        <v>3.0701109400583629E-2</v>
      </c>
      <c r="AA2920" s="200">
        <v>3.0588396201638446E-2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59322</v>
      </c>
      <c r="Y2921" s="202">
        <f>_xll.qlInterestRateIndexValueDate(IborIndex,X2921,Trigger)</f>
        <v>59324</v>
      </c>
      <c r="Z2921" s="203">
        <v>3.069951645748073E-2</v>
      </c>
      <c r="AA2921" s="200">
        <v>3.0586961946683644E-2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59329</v>
      </c>
      <c r="Y2922" s="202">
        <f>_xll.qlInterestRateIndexValueDate(IborIndex,X2922,Trigger)</f>
        <v>59331</v>
      </c>
      <c r="Z2922" s="203">
        <v>3.0696743352775346E-2</v>
      </c>
      <c r="AA2922" s="200">
        <v>3.0585302875802967E-2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59336</v>
      </c>
      <c r="Y2923" s="202">
        <f>_xll.qlInterestRateIndexValueDate(IborIndex,X2923,Trigger)</f>
        <v>59338</v>
      </c>
      <c r="Z2923" s="203">
        <v>3.0695180328612483E-2</v>
      </c>
      <c r="AA2923" s="200">
        <v>3.0583659126266483E-2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59343</v>
      </c>
      <c r="Y2924" s="202">
        <f>_xll.qlInterestRateIndexValueDate(IborIndex,X2924,Trigger)</f>
        <v>59345</v>
      </c>
      <c r="Z2924" s="203">
        <v>3.0693632747796646E-2</v>
      </c>
      <c r="AA2924" s="200">
        <v>3.058203069791432E-2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59350</v>
      </c>
      <c r="Y2925" s="202">
        <f>_xll.qlInterestRateIndexValueDate(IborIndex,X2925,Trigger)</f>
        <v>59352</v>
      </c>
      <c r="Z2925" s="203">
        <v>3.0688506010857083E-2</v>
      </c>
      <c r="AA2925" s="200">
        <v>3.0580188397761887E-2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59357</v>
      </c>
      <c r="Y2926" s="202">
        <f>_xll.qlInterestRateIndexValueDate(IborIndex,X2926,Trigger)</f>
        <v>59359</v>
      </c>
      <c r="Z2926" s="203">
        <v>3.0691783412100267E-2</v>
      </c>
      <c r="AA2926" s="200">
        <v>3.057881980492283E-2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59364</v>
      </c>
      <c r="Y2927" s="202">
        <f>_xll.qlInterestRateIndexValueDate(IborIndex,X2927,Trigger)</f>
        <v>59366</v>
      </c>
      <c r="Z2927" s="203">
        <v>3.0689082665240806E-2</v>
      </c>
      <c r="AA2927" s="200">
        <v>3.0577237340443375E-2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59371</v>
      </c>
      <c r="Y2928" s="202">
        <f>_xll.qlInterestRateIndexValueDate(IborIndex,X2928,Trigger)</f>
        <v>59373</v>
      </c>
      <c r="Z2928" s="203">
        <v>3.0687596857626842E-2</v>
      </c>
      <c r="AA2928" s="200">
        <v>3.0575670197068305E-2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59378</v>
      </c>
      <c r="Y2929" s="202">
        <f>_xll.qlInterestRateIndexValueDate(IborIndex,X2929,Trigger)</f>
        <v>59380</v>
      </c>
      <c r="Z2929" s="203">
        <v>3.0686126493268063E-2</v>
      </c>
      <c r="AA2929" s="200">
        <v>3.0574118374877557E-2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59385</v>
      </c>
      <c r="Y2930" s="202">
        <f>_xll.qlInterestRateIndexValueDate(IborIndex,X2930,Trigger)</f>
        <v>59387</v>
      </c>
      <c r="Z2930" s="203">
        <v>3.0684671572144908E-2</v>
      </c>
      <c r="AA2930" s="200">
        <v>3.0572581873951066E-2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59392</v>
      </c>
      <c r="Y2931" s="202">
        <f>_xll.qlInterestRateIndexValueDate(IborIndex,X2931,Trigger)</f>
        <v>59394</v>
      </c>
      <c r="Z2931" s="203">
        <v>3.0683232094244627E-2</v>
      </c>
      <c r="AA2931" s="200">
        <v>3.0571060694448704E-2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59399</v>
      </c>
      <c r="Y2932" s="202">
        <f>_xll.qlInterestRateIndexValueDate(IborIndex,X2932,Trigger)</f>
        <v>59401</v>
      </c>
      <c r="Z2932" s="203">
        <v>3.0681808059545106E-2</v>
      </c>
      <c r="AA2932" s="200">
        <v>3.0569554836050727E-2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59406</v>
      </c>
      <c r="Y2933" s="202">
        <f>_xll.qlInterestRateIndexValueDate(IborIndex,X2933,Trigger)</f>
        <v>59408</v>
      </c>
      <c r="Z2933" s="203">
        <v>3.0680399468033588E-2</v>
      </c>
      <c r="AA2933" s="200">
        <v>3.0568064298917008E-2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59413</v>
      </c>
      <c r="Y2934" s="202">
        <f>_xll.qlInterestRateIndexValueDate(IborIndex,X2934,Trigger)</f>
        <v>59415</v>
      </c>
      <c r="Z2934" s="203">
        <v>3.067538527911819E-2</v>
      </c>
      <c r="AA2934" s="200">
        <v>3.0566379588465864E-2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59420</v>
      </c>
      <c r="Y2935" s="202">
        <f>_xll.qlInterestRateIndexValueDate(IborIndex,X2935,Trigger)</f>
        <v>59422</v>
      </c>
      <c r="Z2935" s="203">
        <v>3.067400461629544E-2</v>
      </c>
      <c r="AA2935" s="200">
        <v>3.0565129188282469E-2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59427</v>
      </c>
      <c r="Y2936" s="202">
        <f>_xll.qlInterestRateIndexValueDate(IborIndex,X2936,Trigger)</f>
        <v>59429</v>
      </c>
      <c r="Z2936" s="203">
        <v>3.0672639392665471E-2</v>
      </c>
      <c r="AA2936" s="200">
        <v>3.0563684614861586E-2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59434</v>
      </c>
      <c r="Y2937" s="202">
        <f>_xll.qlInterestRateIndexValueDate(IborIndex,X2937,Trigger)</f>
        <v>59436</v>
      </c>
      <c r="Z2937" s="203">
        <v>3.0671289608211593E-2</v>
      </c>
      <c r="AA2937" s="200">
        <v>3.0562255362625024E-2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59441</v>
      </c>
      <c r="Y2938" s="202">
        <f>_xll.qlInterestRateIndexValueDate(IborIndex,X2938,Trigger)</f>
        <v>59443</v>
      </c>
      <c r="Z2938" s="203">
        <v>3.0669955262915358E-2</v>
      </c>
      <c r="AA2938" s="200">
        <v>3.0560841431732655E-2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59448</v>
      </c>
      <c r="Y2939" s="202">
        <f>_xll.qlInterestRateIndexValueDate(IborIndex,X2939,Trigger)</f>
        <v>59450</v>
      </c>
      <c r="Z2939" s="203">
        <v>3.0672272224927001E-2</v>
      </c>
      <c r="AA2939" s="200">
        <v>3.0559244271408659E-2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59455</v>
      </c>
      <c r="Y2940" s="202">
        <f>_xll.qlInterestRateIndexValueDate(IborIndex,X2940,Trigger)</f>
        <v>59457</v>
      </c>
      <c r="Z2940" s="203">
        <v>3.067218501084976E-2</v>
      </c>
      <c r="AA2940" s="200">
        <v>3.0558059533500881E-2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59462</v>
      </c>
      <c r="Y2941" s="202">
        <f>_xll.qlInterestRateIndexValueDate(IborIndex,X2941,Trigger)</f>
        <v>59464</v>
      </c>
      <c r="Z2941" s="203">
        <v>3.0669686688635549E-2</v>
      </c>
      <c r="AA2941" s="200">
        <v>3.0556691566241412E-2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59469</v>
      </c>
      <c r="Y2942" s="202">
        <f>_xll.qlInterestRateIndexValueDate(IborIndex,X2942,Trigger)</f>
        <v>59471</v>
      </c>
      <c r="Z2942" s="203">
        <v>3.0668417085055837E-2</v>
      </c>
      <c r="AA2942" s="200">
        <v>3.0555338920326136E-2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59476</v>
      </c>
      <c r="Y2943" s="202">
        <f>_xll.qlInterestRateIndexValueDate(IborIndex,X2943,Trigger)</f>
        <v>59478</v>
      </c>
      <c r="Z2943" s="203">
        <v>3.0667162924502552E-2</v>
      </c>
      <c r="AA2943" s="200">
        <v>3.0554001595675118E-2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59483</v>
      </c>
      <c r="Y2944" s="202">
        <f>_xll.qlInterestRateIndexValueDate(IborIndex,X2944,Trigger)</f>
        <v>59488</v>
      </c>
      <c r="Z2944" s="203">
        <v>3.066296317230785E-2</v>
      </c>
      <c r="AA2944" s="200">
        <v>3.0552491984998653E-2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59490</v>
      </c>
      <c r="Y2945" s="202">
        <f>_xll.qlInterestRateIndexValueDate(IborIndex,X2945,Trigger)</f>
        <v>59492</v>
      </c>
      <c r="Z2945" s="203">
        <v>3.0665919191742406E-2</v>
      </c>
      <c r="AA2945" s="200">
        <v>3.0551372909686236E-2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59497</v>
      </c>
      <c r="Y2946" s="202">
        <f>_xll.qlInterestRateIndexValueDate(IborIndex,X2946,Trigger)</f>
        <v>59499</v>
      </c>
      <c r="Z2946" s="203">
        <v>3.0663493100844829E-2</v>
      </c>
      <c r="AA2946" s="200">
        <v>3.0550081548668118E-2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59504</v>
      </c>
      <c r="Y2947" s="202">
        <f>_xll.qlInterestRateIndexValueDate(IborIndex,X2947,Trigger)</f>
        <v>59506</v>
      </c>
      <c r="Z2947" s="203">
        <v>3.0657421312057842E-2</v>
      </c>
      <c r="AA2947" s="200">
        <v>3.0548805508754384E-2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59511</v>
      </c>
      <c r="Y2948" s="202">
        <f>_xll.qlInterestRateIndexValueDate(IborIndex,X2948,Trigger)</f>
        <v>59513</v>
      </c>
      <c r="Z2948" s="203">
        <v>3.0656240354946185E-2</v>
      </c>
      <c r="AA2948" s="200">
        <v>3.054754479026478E-2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59518</v>
      </c>
      <c r="Y2949" s="202">
        <f>_xll.qlInterestRateIndexValueDate(IborIndex,X2949,Trigger)</f>
        <v>59520</v>
      </c>
      <c r="Z2949" s="203">
        <v>3.0655074835522989E-2</v>
      </c>
      <c r="AA2949" s="200">
        <v>3.0546299392959497E-2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59525</v>
      </c>
      <c r="Y2950" s="202">
        <f>_xll.qlInterestRateIndexValueDate(IborIndex,X2950,Trigger)</f>
        <v>59527</v>
      </c>
      <c r="Z2950" s="203">
        <v>3.0653924753772266E-2</v>
      </c>
      <c r="AA2950" s="200">
        <v>3.0544894842403636E-2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59532</v>
      </c>
      <c r="Y2951" s="202">
        <f>_xll.qlInterestRateIndexValueDate(IborIndex,X2951,Trigger)</f>
        <v>59534</v>
      </c>
      <c r="Z2951" s="203">
        <v>3.0654013730865768E-2</v>
      </c>
      <c r="AA2951" s="200">
        <v>3.0543682276356066E-2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59539</v>
      </c>
      <c r="Y2952" s="202">
        <f>_xll.qlInterestRateIndexValueDate(IborIndex,X2952,Trigger)</f>
        <v>59541</v>
      </c>
      <c r="Z2952" s="203">
        <v>3.0651670903239392E-2</v>
      </c>
      <c r="AA2952" s="200">
        <v>3.0542655128389384E-2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59546</v>
      </c>
      <c r="Y2953" s="202">
        <f>_xll.qlInterestRateIndexValueDate(IborIndex,X2953,Trigger)</f>
        <v>59548</v>
      </c>
      <c r="Z2953" s="203">
        <v>3.0650567134430595E-2</v>
      </c>
      <c r="AA2953" s="200">
        <v>3.054130310757408E-2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59553</v>
      </c>
      <c r="Y2954" s="202">
        <f>_xll.qlInterestRateIndexValueDate(IborIndex,X2954,Trigger)</f>
        <v>59555</v>
      </c>
      <c r="Z2954" s="203">
        <v>3.0649478803245422E-2</v>
      </c>
      <c r="AA2954" s="200">
        <v>3.0540302224757454E-2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59560</v>
      </c>
      <c r="Y2955" s="202">
        <f>_xll.qlInterestRateIndexValueDate(IborIndex,X2955,Trigger)</f>
        <v>59562</v>
      </c>
      <c r="Z2955" s="203">
        <v>3.0648405909667886E-2</v>
      </c>
      <c r="AA2955" s="200">
        <v>3.0539148754877843E-2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59567</v>
      </c>
      <c r="Y2956" s="202">
        <f>_xll.qlInterestRateIndexValueDate(IborIndex,X2956,Trigger)</f>
        <v>59569</v>
      </c>
      <c r="Z2956" s="203">
        <v>3.0646119946470575E-2</v>
      </c>
      <c r="AA2956" s="200">
        <v>3.0538010606262489E-2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59574</v>
      </c>
      <c r="Y2957" s="202">
        <f>_xll.qlInterestRateIndexValueDate(IborIndex,X2957,Trigger)</f>
        <v>59576</v>
      </c>
      <c r="Z2957" s="203">
        <v>3.0645076913851196E-2</v>
      </c>
      <c r="AA2957" s="200">
        <v>3.0536887778671584E-2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59581</v>
      </c>
      <c r="Y2958" s="202">
        <f>_xll.qlInterestRateIndexValueDate(IborIndex,X2958,Trigger)</f>
        <v>59583</v>
      </c>
      <c r="Z2958" s="203">
        <v>3.0644049317494426E-2</v>
      </c>
      <c r="AA2958" s="200">
        <v>3.0535623308063364E-2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59588</v>
      </c>
      <c r="Y2959" s="202">
        <f>_xll.qlInterestRateIndexValueDate(IborIndex,X2959,Trigger)</f>
        <v>59590</v>
      </c>
      <c r="Z2959" s="203">
        <v>3.0643037157386789E-2</v>
      </c>
      <c r="AA2959" s="200">
        <v>3.0534688087522355E-2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59595</v>
      </c>
      <c r="Y2960" s="202">
        <f>_xll.qlInterestRateIndexValueDate(IborIndex,X2960,Trigger)</f>
        <v>59597</v>
      </c>
      <c r="Z2960" s="203">
        <v>3.0648204964081473E-2</v>
      </c>
      <c r="AA2960" s="200">
        <v>3.0533611223884094E-2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59602</v>
      </c>
      <c r="Y2961" s="202">
        <f>_xll.qlInterestRateIndexValueDate(IborIndex,X2961,Trigger)</f>
        <v>59604</v>
      </c>
      <c r="Z2961" s="203">
        <v>3.0647228775586326E-2</v>
      </c>
      <c r="AA2961" s="200">
        <v>3.0532549681350218E-2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59609</v>
      </c>
      <c r="Y2962" s="202">
        <f>_xll.qlInterestRateIndexValueDate(IborIndex,X2962,Trigger)</f>
        <v>59611</v>
      </c>
      <c r="Z2962" s="203">
        <v>3.0646268029865052E-2</v>
      </c>
      <c r="AA2962" s="200">
        <v>3.0531503459920728E-2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59616</v>
      </c>
      <c r="Y2963" s="202">
        <f>_xll.qlInterestRateIndexValueDate(IborIndex,X2963,Trigger)</f>
        <v>59618</v>
      </c>
      <c r="Z2963" s="203">
        <v>3.0645322726898933E-2</v>
      </c>
      <c r="AA2963" s="200">
        <v>3.0530472559995303E-2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59623</v>
      </c>
      <c r="Y2964" s="202">
        <f>_xll.qlInterestRateIndexValueDate(IborIndex,X2964,Trigger)</f>
        <v>59625</v>
      </c>
      <c r="Z2964" s="203">
        <v>3.0640681383405886E-2</v>
      </c>
      <c r="AA2964" s="200">
        <v>3.0529456981174263E-2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59630</v>
      </c>
      <c r="Y2965" s="202">
        <f>_xll.qlInterestRateIndexValueDate(IborIndex,X2965,Trigger)</f>
        <v>59632</v>
      </c>
      <c r="Z2965" s="203">
        <v>3.0639763890167579E-2</v>
      </c>
      <c r="AA2965" s="200">
        <v>3.0528456723537545E-2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59637</v>
      </c>
      <c r="Y2966" s="202">
        <f>_xll.qlInterestRateIndexValueDate(IborIndex,X2966,Trigger)</f>
        <v>59643</v>
      </c>
      <c r="Z2966" s="203">
        <v>3.0638353307737815E-2</v>
      </c>
      <c r="AA2966" s="200">
        <v>3.0527193191058899E-2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59644</v>
      </c>
      <c r="Y2967" s="202">
        <f>_xll.qlInterestRateIndexValueDate(IborIndex,X2967,Trigger)</f>
        <v>59646</v>
      </c>
      <c r="Z2967" s="203">
        <v>3.0637975220059729E-2</v>
      </c>
      <c r="AA2967" s="200">
        <v>3.0526502172216752E-2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59651</v>
      </c>
      <c r="Y2968" s="202">
        <f>_xll.qlInterestRateIndexValueDate(IborIndex,X2968,Trigger)</f>
        <v>59653</v>
      </c>
      <c r="Z2968" s="203">
        <v>3.0637104043171735E-2</v>
      </c>
      <c r="AA2968" s="200">
        <v>3.0525547878372805E-2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59658</v>
      </c>
      <c r="Y2969" s="202">
        <f>_xll.qlInterestRateIndexValueDate(IborIndex,X2969,Trigger)</f>
        <v>59660</v>
      </c>
      <c r="Z2969" s="203">
        <v>3.06399752064376E-2</v>
      </c>
      <c r="AA2969" s="200">
        <v>3.0524608905633244E-2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59665</v>
      </c>
      <c r="Y2970" s="202">
        <f>_xll.qlInterestRateIndexValueDate(IborIndex,X2970,Trigger)</f>
        <v>59667</v>
      </c>
      <c r="Z2970" s="203">
        <v>3.0639138002482077E-2</v>
      </c>
      <c r="AA2970" s="200">
        <v>3.0523685254397748E-2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59672</v>
      </c>
      <c r="Y2971" s="202">
        <f>_xll.qlInterestRateIndexValueDate(IborIndex,X2971,Trigger)</f>
        <v>59674</v>
      </c>
      <c r="Z2971" s="203">
        <v>3.0638316241198376E-2</v>
      </c>
      <c r="AA2971" s="200">
        <v>3.0522776924186701E-2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59679</v>
      </c>
      <c r="Y2972" s="202">
        <f>_xll.qlInterestRateIndexValueDate(IborIndex,X2972,Trigger)</f>
        <v>59681</v>
      </c>
      <c r="Z2972" s="203">
        <v>3.0638755660999786E-2</v>
      </c>
      <c r="AA2972" s="200">
        <v>3.0521757593167109E-2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59686</v>
      </c>
      <c r="Y2973" s="202">
        <f>_xll.qlInterestRateIndexValueDate(IborIndex,X2973,Trigger)</f>
        <v>59688</v>
      </c>
      <c r="Z2973" s="203">
        <v>3.0637965821134695E-2</v>
      </c>
      <c r="AA2973" s="200">
        <v>3.0521006227397507E-2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59693</v>
      </c>
      <c r="Y2974" s="202">
        <f>_xll.qlInterestRateIndexValueDate(IborIndex,X2974,Trigger)</f>
        <v>59695</v>
      </c>
      <c r="Z2974" s="203">
        <v>3.0635943613297419E-2</v>
      </c>
      <c r="AA2974" s="200">
        <v>3.0520143861139104E-2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59700</v>
      </c>
      <c r="Y2975" s="202">
        <f>_xll.qlInterestRateIndexValueDate(IborIndex,X2975,Trigger)</f>
        <v>59702</v>
      </c>
      <c r="Z2975" s="203">
        <v>3.0635183622612566E-2</v>
      </c>
      <c r="AA2975" s="200">
        <v>3.051929681590515E-2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59707</v>
      </c>
      <c r="Y2976" s="202">
        <f>_xll.qlInterestRateIndexValueDate(IborIndex,X2976,Trigger)</f>
        <v>59709</v>
      </c>
      <c r="Z2976" s="203">
        <v>3.0634439074556166E-2</v>
      </c>
      <c r="AA2976" s="200">
        <v>3.0518465091775582E-2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59714</v>
      </c>
      <c r="Y2977" s="202">
        <f>_xll.qlInterestRateIndexValueDate(IborIndex,X2977,Trigger)</f>
        <v>59716</v>
      </c>
      <c r="Z2977" s="203">
        <v>3.0629958194360599E-2</v>
      </c>
      <c r="AA2977" s="200">
        <v>3.0518884504600052E-2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59721</v>
      </c>
      <c r="Y2978" s="202">
        <f>_xll.qlInterestRateIndexValueDate(IborIndex,X2978,Trigger)</f>
        <v>59723</v>
      </c>
      <c r="Z2978" s="203">
        <v>3.0634248280943223E-2</v>
      </c>
      <c r="AA2978" s="200">
        <v>3.0516847607469089E-2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59728</v>
      </c>
      <c r="Y2979" s="202">
        <f>_xll.qlInterestRateIndexValueDate(IborIndex,X2979,Trigger)</f>
        <v>59730</v>
      </c>
      <c r="Z2979" s="203">
        <v>3.0632298086052234E-2</v>
      </c>
      <c r="AA2979" s="200">
        <v>3.0516061847212228E-2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59735</v>
      </c>
      <c r="Y2980" s="202">
        <f>_xll.qlInterestRateIndexValueDate(IborIndex,X2980,Trigger)</f>
        <v>59737</v>
      </c>
      <c r="Z2980" s="203">
        <v>3.0631615308411849E-2</v>
      </c>
      <c r="AA2980" s="200">
        <v>3.0515291408059753E-2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59742</v>
      </c>
      <c r="Y2981" s="202">
        <f>_xll.qlInterestRateIndexValueDate(IborIndex,X2981,Trigger)</f>
        <v>59744</v>
      </c>
      <c r="Z2981" s="203">
        <v>3.063094797335655E-2</v>
      </c>
      <c r="AA2981" s="200">
        <v>3.0514536290411343E-2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59749</v>
      </c>
      <c r="Y2982" s="202">
        <f>_xll.qlInterestRateIndexValueDate(IborIndex,X2982,Trigger)</f>
        <v>59751</v>
      </c>
      <c r="Z2982" s="203">
        <v>3.0630296080874427E-2</v>
      </c>
      <c r="AA2982" s="200">
        <v>3.0513796493707446E-2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59756</v>
      </c>
      <c r="Y2983" s="202">
        <f>_xll.qlInterestRateIndexValueDate(IborIndex,X2983,Trigger)</f>
        <v>59758</v>
      </c>
      <c r="Z2983" s="203">
        <v>3.0630916838503414E-2</v>
      </c>
      <c r="AA2983" s="200">
        <v>3.0513072018267806E-2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59763</v>
      </c>
      <c r="Y2984" s="202">
        <f>_xll.qlInterestRateIndexValueDate(IborIndex,X2984,Trigger)</f>
        <v>59765</v>
      </c>
      <c r="Z2984" s="203">
        <v>3.0629038623610154E-2</v>
      </c>
      <c r="AA2984" s="200">
        <v>3.051236286417236E-2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59770</v>
      </c>
      <c r="Y2985" s="202">
        <f>_xll.qlInterestRateIndexValueDate(IborIndex,X2985,Trigger)</f>
        <v>59772</v>
      </c>
      <c r="Z2985" s="203">
        <v>3.0628433058808448E-2</v>
      </c>
      <c r="AA2985" s="200">
        <v>3.0511669031421107E-2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59777</v>
      </c>
      <c r="Y2986" s="202">
        <f>_xll.qlInterestRateIndexValueDate(IborIndex,X2986,Trigger)</f>
        <v>59779</v>
      </c>
      <c r="Z2986" s="203">
        <v>3.0624062878732403E-2</v>
      </c>
      <c r="AA2986" s="200">
        <v>3.0510894840150016E-2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59784</v>
      </c>
      <c r="Y2987" s="202">
        <f>_xll.qlInterestRateIndexValueDate(IborIndex,X2987,Trigger)</f>
        <v>59786</v>
      </c>
      <c r="Z2987" s="203">
        <v>3.0623485036817426E-2</v>
      </c>
      <c r="AA2987" s="200">
        <v>3.0510327329231757E-2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59791</v>
      </c>
      <c r="Y2988" s="202">
        <f>_xll.qlInterestRateIndexValueDate(IborIndex,X2988,Trigger)</f>
        <v>59793</v>
      </c>
      <c r="Z2988" s="203">
        <v>3.062292263350757E-2</v>
      </c>
      <c r="AA2988" s="200">
        <v>3.0509679460113404E-2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59798</v>
      </c>
      <c r="Y2989" s="202">
        <f>_xll.qlInterestRateIndexValueDate(IborIndex,X2989,Trigger)</f>
        <v>59800</v>
      </c>
      <c r="Z2989" s="203">
        <v>3.062237566879317E-2</v>
      </c>
      <c r="AA2989" s="200">
        <v>3.0509046912099436E-2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59805</v>
      </c>
      <c r="Y2990" s="202">
        <f>_xll.qlInterestRateIndexValueDate(IborIndex,X2990,Trigger)</f>
        <v>59807</v>
      </c>
      <c r="Z2990" s="203">
        <v>3.0625636872846525E-2</v>
      </c>
      <c r="AA2990" s="200">
        <v>3.0508429685509597E-2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59812</v>
      </c>
      <c r="Y2991" s="202">
        <f>_xll.qlInterestRateIndexValueDate(IborIndex,X2991,Trigger)</f>
        <v>59814</v>
      </c>
      <c r="Z2991" s="203">
        <v>3.0625123963216865E-2</v>
      </c>
      <c r="AA2991" s="200">
        <v>3.0507743044125846E-2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59819</v>
      </c>
      <c r="Y2992" s="202">
        <f>_xll.qlInterestRateIndexValueDate(IborIndex,X2992,Trigger)</f>
        <v>59821</v>
      </c>
      <c r="Z2992" s="203">
        <v>3.0624626496089796E-2</v>
      </c>
      <c r="AA2992" s="200">
        <v>3.0507241195643076E-2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59826</v>
      </c>
      <c r="Y2993" s="202">
        <f>_xll.qlInterestRateIndexValueDate(IborIndex,X2993,Trigger)</f>
        <v>59828</v>
      </c>
      <c r="Z2993" s="203">
        <v>3.0625412242958561E-2</v>
      </c>
      <c r="AA2993" s="200">
        <v>3.0506669932606201E-2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59833</v>
      </c>
      <c r="Y2994" s="202">
        <f>_xll.qlInterestRateIndexValueDate(IborIndex,X2994,Trigger)</f>
        <v>59835</v>
      </c>
      <c r="Z2994" s="203">
        <v>3.0623677889333248E-2</v>
      </c>
      <c r="AA2994" s="200">
        <v>3.0506113990753647E-2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59840</v>
      </c>
      <c r="Y2995" s="202">
        <f>_xll.qlInterestRateIndexValueDate(IborIndex,X2995,Trigger)</f>
        <v>59842</v>
      </c>
      <c r="Z2995" s="203">
        <v>3.0623226749690157E-2</v>
      </c>
      <c r="AA2995" s="200">
        <v>3.0505573370005479E-2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59847</v>
      </c>
      <c r="Y2996" s="202">
        <f>_xll.qlInterestRateIndexValueDate(IborIndex,X2996,Trigger)</f>
        <v>59849</v>
      </c>
      <c r="Z2996" s="203">
        <v>3.0622791052527555E-2</v>
      </c>
      <c r="AA2996" s="200">
        <v>3.0504974278748875E-2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59854</v>
      </c>
      <c r="Y2997" s="202">
        <f>_xll.qlInterestRateIndexValueDate(IborIndex,X2997,Trigger)</f>
        <v>59856</v>
      </c>
      <c r="Z2997" s="203">
        <v>3.0623642831566419E-2</v>
      </c>
      <c r="AA2997" s="200">
        <v>3.0504538092701594E-2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59861</v>
      </c>
      <c r="Y2998" s="202">
        <f>_xll.qlInterestRateIndexValueDate(IborIndex,X2998,Trigger)</f>
        <v>59863</v>
      </c>
      <c r="Z2998" s="203">
        <v>3.062196598563445E-2</v>
      </c>
      <c r="AA2998" s="200">
        <v>3.0504043435746198E-2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59868</v>
      </c>
      <c r="Y2999" s="202">
        <f>_xll.qlInterestRateIndexValueDate(IborIndex,X2999,Trigger)</f>
        <v>59870</v>
      </c>
      <c r="Z2999" s="203">
        <v>3.0617755143270541E-2</v>
      </c>
      <c r="AA2999" s="200">
        <v>3.0503564100134994E-2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59875</v>
      </c>
      <c r="Y3000" s="202">
        <f>_xll.qlInterestRateIndexValueDate(IborIndex,X3000,Trigger)</f>
        <v>59877</v>
      </c>
      <c r="Z3000" s="203">
        <v>3.0617378002760071E-2</v>
      </c>
      <c r="AA3000" s="200">
        <v>3.0503100085788049E-2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59882</v>
      </c>
      <c r="Y3001" s="202">
        <f>_xll.qlInterestRateIndexValueDate(IborIndex,X3001,Trigger)</f>
        <v>59884</v>
      </c>
      <c r="Z3001" s="203">
        <v>3.0617016300785324E-2</v>
      </c>
      <c r="AA3001" s="200">
        <v>3.0502651392545488E-2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59889</v>
      </c>
      <c r="Y3002" s="202">
        <f>_xll.qlInterestRateIndexValueDate(IborIndex,X3002,Trigger)</f>
        <v>59891</v>
      </c>
      <c r="Z3002" s="203">
        <v>3.0616670037339276E-2</v>
      </c>
      <c r="AA3002" s="200">
        <v>3.0502157361009807E-2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59897</v>
      </c>
      <c r="Y3003" s="202">
        <f>_xll.qlInterestRateIndexValueDate(IborIndex,X3003,Trigger)</f>
        <v>59901</v>
      </c>
      <c r="Z3003" s="203">
        <v>3.0616202156386833E-2</v>
      </c>
      <c r="AA3003" s="200">
        <v>3.0501683340906638E-2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59904</v>
      </c>
      <c r="Y3004" s="202">
        <f>_xll.qlInterestRateIndexValueDate(IborIndex,X3004,Trigger)</f>
        <v>59908</v>
      </c>
      <c r="Z3004" s="203">
        <v>3.0617172865633625E-2</v>
      </c>
      <c r="AA3004" s="200">
        <v>3.0501340958384304E-2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59911</v>
      </c>
      <c r="Y3005" s="202">
        <f>_xll.qlInterestRateIndexValueDate(IborIndex,X3005,Trigger)</f>
        <v>59915</v>
      </c>
      <c r="Z3005" s="203">
        <v>3.0615600055122164E-2</v>
      </c>
      <c r="AA3005" s="200">
        <v>3.0500955738848035E-2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59918</v>
      </c>
      <c r="Y3006" s="202">
        <f>_xll.qlInterestRateIndexValueDate(IborIndex,X3006,Trigger)</f>
        <v>59923</v>
      </c>
      <c r="Z3006" s="203">
        <v>3.0615283723567806E-2</v>
      </c>
      <c r="AA3006" s="200">
        <v>3.0500534248645295E-2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59925</v>
      </c>
      <c r="Y3007" s="202">
        <f>_xll.qlInterestRateIndexValueDate(IborIndex,X3007,Trigger)</f>
        <v>59929</v>
      </c>
      <c r="Z3007" s="203">
        <v>3.0615059707908159E-2</v>
      </c>
      <c r="AA3007" s="200">
        <v>3.0500231263328459E-2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59932</v>
      </c>
      <c r="Y3008" s="202">
        <f>_xll.qlInterestRateIndexValueDate(IborIndex,X3008,Trigger)</f>
        <v>59936</v>
      </c>
      <c r="Z3008" s="203">
        <v>3.0616096491024182E-2</v>
      </c>
      <c r="AA3008" s="200">
        <v>3.0499892007664897E-2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59939</v>
      </c>
      <c r="Y3009" s="202">
        <f>_xll.qlInterestRateIndexValueDate(IborIndex,X3009,Trigger)</f>
        <v>59943</v>
      </c>
      <c r="Z3009" s="203">
        <v>3.0614581114727247E-2</v>
      </c>
      <c r="AA3009" s="200">
        <v>3.0499568073105721E-2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59946</v>
      </c>
      <c r="Y3010" s="202">
        <f>_xll.qlInterestRateIndexValueDate(IborIndex,X3010,Trigger)</f>
        <v>59951</v>
      </c>
      <c r="Z3010" s="203">
        <v>3.0613049413746651E-2</v>
      </c>
      <c r="AA3010" s="200">
        <v>3.0499216622956737E-2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59953</v>
      </c>
      <c r="Y3011" s="202">
        <f>_xll.qlInterestRateIndexValueDate(IborIndex,X3011,Trigger)</f>
        <v>59957</v>
      </c>
      <c r="Z3011" s="203">
        <v>3.0615451328105444E-2</v>
      </c>
      <c r="AA3011" s="200">
        <v>3.0498966167620267E-2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59960</v>
      </c>
      <c r="Y3012" s="202">
        <f>_xll.qlInterestRateIndexValueDate(IborIndex,X3012,Trigger)</f>
        <v>59964</v>
      </c>
      <c r="Z3012" s="203">
        <v>3.0615267153410817E-2</v>
      </c>
      <c r="AA3012" s="200">
        <v>3.0498688196614054E-2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59967</v>
      </c>
      <c r="Y3013" s="202">
        <f>_xll.qlInterestRateIndexValueDate(IborIndex,X3013,Trigger)</f>
        <v>59971</v>
      </c>
      <c r="Z3013" s="203">
        <v>3.0615098418519539E-2</v>
      </c>
      <c r="AA3013" s="200">
        <v>3.0498425547031971E-2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59974</v>
      </c>
      <c r="Y3014" s="202">
        <f>_xll.qlInterestRateIndexValueDate(IborIndex,X3014,Trigger)</f>
        <v>59978</v>
      </c>
      <c r="Z3014" s="203">
        <v>3.0614945123426399E-2</v>
      </c>
      <c r="AA3014" s="200">
        <v>3.0498178218554273E-2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59981</v>
      </c>
      <c r="Y3015" s="202">
        <f>_xll.qlInterestRateIndexValueDate(IborIndex,X3015,Trigger)</f>
        <v>59985</v>
      </c>
      <c r="Z3015" s="203">
        <v>3.0614807268134002E-2</v>
      </c>
      <c r="AA3015" s="200">
        <v>3.0497946211420768E-2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59988</v>
      </c>
      <c r="Y3016" s="202">
        <f>_xll.qlInterestRateIndexValueDate(IborIndex,X3016,Trigger)</f>
        <v>59992</v>
      </c>
      <c r="Z3016" s="203">
        <v>3.0613392351261561E-2</v>
      </c>
      <c r="AA3016" s="200">
        <v>3.0497729525391648E-2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59995</v>
      </c>
      <c r="Y3017" s="202">
        <f>_xll.qlInterestRateIndexValueDate(IborIndex,X3017,Trigger)</f>
        <v>60001</v>
      </c>
      <c r="Z3017" s="203" t="e">
        <v>#N/A</v>
      </c>
      <c r="AA3017" s="200">
        <v>3.0500030323956651E-2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60002</v>
      </c>
      <c r="Y3018" s="202">
        <f>_xll.qlInterestRateIndexValueDate(IborIndex,X3018,Trigger)</f>
        <v>60006</v>
      </c>
      <c r="Z3018" s="203" t="e">
        <v>#N/A</v>
      </c>
      <c r="AA3018" s="200">
        <v>3.049734211712618E-2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60009</v>
      </c>
      <c r="Y3019" s="202">
        <f>_xll.qlInterestRateIndexValueDate(IborIndex,X3019,Trigger)</f>
        <v>60013</v>
      </c>
      <c r="Z3019" s="203" t="e">
        <v>#N/A</v>
      </c>
      <c r="AA3019" s="200">
        <v>3.0497171394889833E-2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60016</v>
      </c>
      <c r="Y3020" s="202">
        <f>_xll.qlInterestRateIndexValueDate(IborIndex,X3020,Trigger)</f>
        <v>60020</v>
      </c>
      <c r="Z3020" s="203" t="e">
        <v>#N/A</v>
      </c>
      <c r="AA3020" s="200">
        <v>3.0497015993837806E-2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60023</v>
      </c>
      <c r="Y3021" s="202">
        <f>_xll.qlInterestRateIndexValueDate(IborIndex,X3021,Trigger)</f>
        <v>60028</v>
      </c>
      <c r="Z3021" s="203" t="e">
        <v>#N/A</v>
      </c>
      <c r="AA3021" s="200">
        <v>3.0496857153377022E-2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60030</v>
      </c>
      <c r="Y3022" s="202">
        <f>_xll.qlInterestRateIndexValueDate(IborIndex,X3022,Trigger)</f>
        <v>60034</v>
      </c>
      <c r="Z3022" s="203" t="e">
        <v>#N/A</v>
      </c>
      <c r="AA3022" s="200">
        <v>3.0496751155446589E-2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60037</v>
      </c>
      <c r="Y3023" s="202">
        <f>_xll.qlInterestRateIndexValueDate(IborIndex,X3023,Trigger)</f>
        <v>60041</v>
      </c>
      <c r="Z3023" s="203" t="e">
        <v>#N/A</v>
      </c>
      <c r="AA3023" s="200">
        <v>3.0496641718107398E-2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60044</v>
      </c>
      <c r="Y3024" s="202">
        <f>_xll.qlInterestRateIndexValueDate(IborIndex,X3024,Trigger)</f>
        <v>60049</v>
      </c>
      <c r="Z3024" s="203" t="e">
        <v>#N/A</v>
      </c>
      <c r="AA3024" s="200">
        <v>3.0496535407467107E-2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60051</v>
      </c>
      <c r="Y3025" s="202">
        <f>_xll.qlInterestRateIndexValueDate(IborIndex,X3025,Trigger)</f>
        <v>60055</v>
      </c>
      <c r="Z3025" s="203" t="e">
        <v>#N/A</v>
      </c>
      <c r="AA3025" s="200">
        <v>3.0496468807061916E-2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60058</v>
      </c>
      <c r="Y3026" s="202">
        <f>_xll.qlInterestRateIndexValueDate(IborIndex,X3026,Trigger)</f>
        <v>60062</v>
      </c>
      <c r="Z3026" s="203" t="e">
        <v>#N/A</v>
      </c>
      <c r="AA3026" s="200">
        <v>3.0496405333435561E-2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60065</v>
      </c>
      <c r="Y3027" s="202">
        <f>_xll.qlInterestRateIndexValueDate(IborIndex,X3027,Trigger)</f>
        <v>60069</v>
      </c>
      <c r="Z3027" s="203" t="e">
        <v>#N/A</v>
      </c>
      <c r="AA3027" s="200">
        <v>3.0496357180913591E-2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60072</v>
      </c>
      <c r="Y3028" s="202">
        <f>_xll.qlInterestRateIndexValueDate(IborIndex,X3028,Trigger)</f>
        <v>60076</v>
      </c>
      <c r="Z3028" s="203" t="e">
        <v>#N/A</v>
      </c>
      <c r="AA3028" s="200">
        <v>3.0496324349575943E-2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60079</v>
      </c>
      <c r="Y3029" s="202">
        <f>_xll.qlInterestRateIndexValueDate(IborIndex,X3029,Trigger)</f>
        <v>60083</v>
      </c>
      <c r="Z3029" s="203" t="e">
        <v>#N/A</v>
      </c>
      <c r="AA3029" s="200">
        <v>3.0496306839582488E-2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60086</v>
      </c>
      <c r="Y3030" s="202">
        <f>_xll.qlInterestRateIndexValueDate(IborIndex,X3030,Trigger)</f>
        <v>60090</v>
      </c>
      <c r="Z3030" s="203" t="e">
        <v>#N/A</v>
      </c>
      <c r="AA3030" s="200">
        <v>3.0496303660845214E-2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60093</v>
      </c>
      <c r="Y3031" s="202">
        <f>_xll.qlInterestRateIndexValueDate(IborIndex,X3031,Trigger)</f>
        <v>60097</v>
      </c>
      <c r="Z3031" s="203" t="e">
        <v>#N/A</v>
      </c>
      <c r="AA3031" s="200">
        <v>3.0496303660845214E-2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60100</v>
      </c>
      <c r="Y3032" s="202">
        <f>_xll.qlInterestRateIndexValueDate(IborIndex,X3032,Trigger)</f>
        <v>60104</v>
      </c>
      <c r="Z3032" s="203" t="e">
        <v>#N/A</v>
      </c>
      <c r="AA3032" s="200">
        <v>3.0496303660765278E-2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60107</v>
      </c>
      <c r="Y3033" s="202">
        <f>_xll.qlInterestRateIndexValueDate(IborIndex,X3033,Trigger)</f>
        <v>60111</v>
      </c>
      <c r="Z3033" s="203" t="e">
        <v>#N/A</v>
      </c>
      <c r="AA3033" s="200">
        <v>3.0496303660845214E-2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60114</v>
      </c>
      <c r="Y3034" s="202">
        <f>_xll.qlInterestRateIndexValueDate(IborIndex,X3034,Trigger)</f>
        <v>60118</v>
      </c>
      <c r="Z3034" s="203" t="e">
        <v>#N/A</v>
      </c>
      <c r="AA3034" s="200">
        <v>3.0496303660765278E-2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60121</v>
      </c>
      <c r="Y3035" s="202">
        <f>_xll.qlInterestRateIndexValueDate(IborIndex,X3035,Trigger)</f>
        <v>60125</v>
      </c>
      <c r="Z3035" s="203" t="e">
        <v>#N/A</v>
      </c>
      <c r="AA3035" s="200">
        <v>3.0496303660765278E-2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60128</v>
      </c>
      <c r="Y3036" s="202">
        <f>_xll.qlInterestRateIndexValueDate(IborIndex,X3036,Trigger)</f>
        <v>60132</v>
      </c>
      <c r="Z3036" s="203" t="e">
        <v>#N/A</v>
      </c>
      <c r="AA3036" s="200">
        <v>3.0496303660765278E-2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60135</v>
      </c>
      <c r="Y3037" s="202">
        <f>_xll.qlInterestRateIndexValueDate(IborIndex,X3037,Trigger)</f>
        <v>60140</v>
      </c>
      <c r="Z3037" s="203" t="e">
        <v>#N/A</v>
      </c>
      <c r="AA3037" s="200">
        <v>3.0496303660765278E-2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60142</v>
      </c>
      <c r="Y3038" s="202">
        <f>_xll.qlInterestRateIndexValueDate(IborIndex,X3038,Trigger)</f>
        <v>60147</v>
      </c>
      <c r="Z3038" s="203" t="e">
        <v>#N/A</v>
      </c>
      <c r="AA3038" s="200">
        <v>3.0496303660845214E-2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60149</v>
      </c>
      <c r="Y3039" s="202">
        <f>_xll.qlInterestRateIndexValueDate(IborIndex,X3039,Trigger)</f>
        <v>60153</v>
      </c>
      <c r="Z3039" s="203" t="e">
        <v>#N/A</v>
      </c>
      <c r="AA3039" s="200">
        <v>3.0496303660765278E-2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60156</v>
      </c>
      <c r="Y3040" s="202">
        <f>_xll.qlInterestRateIndexValueDate(IborIndex,X3040,Trigger)</f>
        <v>60160</v>
      </c>
      <c r="Z3040" s="203" t="e">
        <v>#N/A</v>
      </c>
      <c r="AA3040" s="200">
        <v>3.0496303660765278E-2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60163</v>
      </c>
      <c r="Y3041" s="202">
        <f>_xll.qlInterestRateIndexValueDate(IborIndex,X3041,Trigger)</f>
        <v>60167</v>
      </c>
      <c r="Z3041" s="203" t="e">
        <v>#N/A</v>
      </c>
      <c r="AA3041" s="200">
        <v>3.0496303660845214E-2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60170</v>
      </c>
      <c r="Y3042" s="202">
        <f>_xll.qlInterestRateIndexValueDate(IborIndex,X3042,Trigger)</f>
        <v>60174</v>
      </c>
      <c r="Z3042" s="203" t="e">
        <v>#N/A</v>
      </c>
      <c r="AA3042" s="200">
        <v>3.0496303660845214E-2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60177</v>
      </c>
      <c r="Y3043" s="202">
        <f>_xll.qlInterestRateIndexValueDate(IborIndex,X3043,Trigger)</f>
        <v>60181</v>
      </c>
      <c r="Z3043" s="203" t="e">
        <v>#N/A</v>
      </c>
      <c r="AA3043" s="200">
        <v>3.0496303660765278E-2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60184</v>
      </c>
      <c r="Y3044" s="202">
        <f>_xll.qlInterestRateIndexValueDate(IborIndex,X3044,Trigger)</f>
        <v>60189</v>
      </c>
      <c r="Z3044" s="203" t="e">
        <v>#N/A</v>
      </c>
      <c r="AA3044" s="200">
        <v>3.0496303660765278E-2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60191</v>
      </c>
      <c r="Y3045" s="202">
        <f>_xll.qlInterestRateIndexValueDate(IborIndex,X3045,Trigger)</f>
        <v>60195</v>
      </c>
      <c r="Z3045" s="203" t="e">
        <v>#N/A</v>
      </c>
      <c r="AA3045" s="200">
        <v>3.0496303660845214E-2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60198</v>
      </c>
      <c r="Y3046" s="202">
        <f>_xll.qlInterestRateIndexValueDate(IborIndex,X3046,Trigger)</f>
        <v>60202</v>
      </c>
      <c r="Z3046" s="203" t="e">
        <v>#N/A</v>
      </c>
      <c r="AA3046" s="200">
        <v>3.0496303660765278E-2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60205</v>
      </c>
      <c r="Y3047" s="202">
        <f>_xll.qlInterestRateIndexValueDate(IborIndex,X3047,Trigger)</f>
        <v>60209</v>
      </c>
      <c r="Z3047" s="203" t="e">
        <v>#N/A</v>
      </c>
      <c r="AA3047" s="200">
        <v>3.0496303660765278E-2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60212</v>
      </c>
      <c r="Y3048" s="202">
        <f>_xll.qlInterestRateIndexValueDate(IborIndex,X3048,Trigger)</f>
        <v>60216</v>
      </c>
      <c r="Z3048" s="203" t="e">
        <v>#N/A</v>
      </c>
      <c r="AA3048" s="200">
        <v>3.0496303660765278E-2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60219</v>
      </c>
      <c r="Y3049" s="202">
        <f>_xll.qlInterestRateIndexValueDate(IborIndex,X3049,Trigger)</f>
        <v>60223</v>
      </c>
      <c r="Z3049" s="203" t="e">
        <v>#N/A</v>
      </c>
      <c r="AA3049" s="200">
        <v>3.0496303660845214E-2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60226</v>
      </c>
      <c r="Y3050" s="202">
        <f>_xll.qlInterestRateIndexValueDate(IborIndex,X3050,Trigger)</f>
        <v>60230</v>
      </c>
      <c r="Z3050" s="203" t="e">
        <v>#N/A</v>
      </c>
      <c r="AA3050" s="200">
        <v>3.0497595361511642E-2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60233</v>
      </c>
      <c r="Y3051" s="202">
        <f>_xll.qlInterestRateIndexValueDate(IborIndex,X3051,Trigger)</f>
        <v>60237</v>
      </c>
      <c r="Z3051" s="203" t="e">
        <v>#N/A</v>
      </c>
      <c r="AA3051" s="200">
        <v>3.0496303660845214E-2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60240</v>
      </c>
      <c r="Y3052" s="202">
        <f>_xll.qlInterestRateIndexValueDate(IborIndex,X3052,Trigger)</f>
        <v>60244</v>
      </c>
      <c r="Z3052" s="203" t="e">
        <v>#N/A</v>
      </c>
      <c r="AA3052" s="200">
        <v>3.0496303660845214E-2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60247</v>
      </c>
      <c r="Y3053" s="202">
        <f>_xll.qlInterestRateIndexValueDate(IborIndex,X3053,Trigger)</f>
        <v>60251</v>
      </c>
      <c r="Z3053" s="203" t="e">
        <v>#N/A</v>
      </c>
      <c r="AA3053" s="200">
        <v>3.0496303660765278E-2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60254</v>
      </c>
      <c r="Y3054" s="202">
        <f>_xll.qlInterestRateIndexValueDate(IborIndex,X3054,Trigger)</f>
        <v>60258</v>
      </c>
      <c r="Z3054" s="203" t="e">
        <v>#N/A</v>
      </c>
      <c r="AA3054" s="200">
        <v>3.0497595361511642E-2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60265</v>
      </c>
      <c r="Y3055" s="202">
        <f>_xll.qlInterestRateIndexValueDate(IborIndex,X3055,Trigger)</f>
        <v>60267</v>
      </c>
      <c r="Z3055" s="203" t="e">
        <v>#N/A</v>
      </c>
      <c r="AA3055" s="200">
        <v>3.0496303660845214E-2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60272</v>
      </c>
      <c r="Y3056" s="202">
        <f>_xll.qlInterestRateIndexValueDate(IborIndex,X3056,Trigger)</f>
        <v>60274</v>
      </c>
      <c r="Z3056" s="203" t="e">
        <v>#N/A</v>
      </c>
      <c r="AA3056" s="200">
        <v>3.0498887135212982E-2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60279</v>
      </c>
      <c r="Y3057" s="202">
        <f>_xll.qlInterestRateIndexValueDate(IborIndex,X3057,Trigger)</f>
        <v>60281</v>
      </c>
      <c r="Z3057" s="203" t="e">
        <v>#N/A</v>
      </c>
      <c r="AA3057" s="200">
        <v>3.0500178981869297E-2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60286</v>
      </c>
      <c r="Y3058" s="202">
        <f>_xll.qlInterestRateIndexValueDate(IborIndex,X3058,Trigger)</f>
        <v>60288</v>
      </c>
      <c r="Z3058" s="203" t="e">
        <v>#N/A</v>
      </c>
      <c r="AA3058" s="200">
        <v>3.0498887135239627E-2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60293</v>
      </c>
      <c r="Y3059" s="202">
        <f>_xll.qlInterestRateIndexValueDate(IborIndex,X3059,Trigger)</f>
        <v>60295</v>
      </c>
      <c r="Z3059" s="203" t="e">
        <v>#N/A</v>
      </c>
      <c r="AA3059" s="200">
        <v>3.0498887135239627E-2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60300</v>
      </c>
      <c r="Y3060" s="202">
        <f>_xll.qlInterestRateIndexValueDate(IborIndex,X3060,Trigger)</f>
        <v>60302</v>
      </c>
      <c r="Z3060" s="203" t="e">
        <v>#N/A</v>
      </c>
      <c r="AA3060" s="200">
        <v>3.0498887135239627E-2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60307</v>
      </c>
      <c r="Y3061" s="202">
        <f>_xll.qlInterestRateIndexValueDate(IborIndex,X3061,Trigger)</f>
        <v>60309</v>
      </c>
      <c r="Z3061" s="203" t="e">
        <v>#N/A</v>
      </c>
      <c r="AA3061" s="200">
        <v>3.0500178981869297E-2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60314</v>
      </c>
      <c r="Y3062" s="202">
        <f>_xll.qlInterestRateIndexValueDate(IborIndex,X3062,Trigger)</f>
        <v>60316</v>
      </c>
      <c r="Z3062" s="203" t="e">
        <v>#N/A</v>
      </c>
      <c r="AA3062" s="200">
        <v>3.0498887135239627E-2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60321</v>
      </c>
      <c r="Y3063" s="202">
        <f>_xll.qlInterestRateIndexValueDate(IborIndex,X3063,Trigger)</f>
        <v>60323</v>
      </c>
      <c r="Z3063" s="203" t="e">
        <v>#N/A</v>
      </c>
      <c r="AA3063" s="200">
        <v>3.0498887135212982E-2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60328</v>
      </c>
      <c r="Y3064" s="202">
        <f>_xll.qlInterestRateIndexValueDate(IborIndex,X3064,Trigger)</f>
        <v>60330</v>
      </c>
      <c r="Z3064" s="203" t="e">
        <v>#N/A</v>
      </c>
      <c r="AA3064" s="200">
        <v>3.0498887135239627E-2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60335</v>
      </c>
      <c r="Y3065" s="202">
        <f>_xll.qlInterestRateIndexValueDate(IborIndex,X3065,Trigger)</f>
        <v>60337</v>
      </c>
      <c r="Z3065" s="203" t="e">
        <v>#N/A</v>
      </c>
      <c r="AA3065" s="200">
        <v>3.0498887135239627E-2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60342</v>
      </c>
      <c r="Y3066" s="202">
        <f>_xll.qlInterestRateIndexValueDate(IborIndex,X3066,Trigger)</f>
        <v>60344</v>
      </c>
      <c r="Z3066" s="203" t="e">
        <v>#N/A</v>
      </c>
      <c r="AA3066" s="200">
        <v>3.0498887135266273E-2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60349</v>
      </c>
      <c r="Y3067" s="202">
        <f>_xll.qlInterestRateIndexValueDate(IborIndex,X3067,Trigger)</f>
        <v>60351</v>
      </c>
      <c r="Z3067" s="203" t="e">
        <v>#N/A</v>
      </c>
      <c r="AA3067" s="200">
        <v>3.0498887135239627E-2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60357</v>
      </c>
      <c r="Y3068" s="202">
        <f>_xll.qlInterestRateIndexValueDate(IborIndex,X3068,Trigger)</f>
        <v>60359</v>
      </c>
      <c r="Z3068" s="203" t="e">
        <v>#N/A</v>
      </c>
      <c r="AA3068" s="200">
        <v>3.0496303660765278E-2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60364</v>
      </c>
      <c r="Y3069" s="202">
        <f>_xll.qlInterestRateIndexValueDate(IborIndex,X3069,Trigger)</f>
        <v>60366</v>
      </c>
      <c r="Z3069" s="203" t="e">
        <v>#N/A</v>
      </c>
      <c r="AA3069" s="200">
        <v>3.0496303660845214E-2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60371</v>
      </c>
      <c r="Y3070" s="202">
        <f>_xll.qlInterestRateIndexValueDate(IborIndex,X3070,Trigger)</f>
        <v>60373</v>
      </c>
      <c r="Z3070" s="203" t="e">
        <v>#N/A</v>
      </c>
      <c r="AA3070" s="200">
        <v>3.0496303660845214E-2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60378</v>
      </c>
      <c r="Y3071" s="202">
        <f>_xll.qlInterestRateIndexValueDate(IborIndex,X3071,Trigger)</f>
        <v>60380</v>
      </c>
      <c r="Z3071" s="203" t="e">
        <v>#N/A</v>
      </c>
      <c r="AA3071" s="200">
        <v>3.0496303660765278E-2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60385</v>
      </c>
      <c r="Y3072" s="202">
        <f>_xll.qlInterestRateIndexValueDate(IborIndex,X3072,Trigger)</f>
        <v>60387</v>
      </c>
      <c r="Z3072" s="203" t="e">
        <v>#N/A</v>
      </c>
      <c r="AA3072" s="200">
        <v>3.0496303660765278E-2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60392</v>
      </c>
      <c r="Y3073" s="202">
        <f>_xll.qlInterestRateIndexValueDate(IborIndex,X3073,Trigger)</f>
        <v>60394</v>
      </c>
      <c r="Z3073" s="203" t="e">
        <v>#N/A</v>
      </c>
      <c r="AA3073" s="200">
        <v>3.0496303660845214E-2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60399</v>
      </c>
      <c r="Y3074" s="202">
        <f>_xll.qlInterestRateIndexValueDate(IborIndex,X3074,Trigger)</f>
        <v>60401</v>
      </c>
      <c r="Z3074" s="203" t="e">
        <v>#N/A</v>
      </c>
      <c r="AA3074" s="200">
        <v>3.0496303660765278E-2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60406</v>
      </c>
      <c r="Y3075" s="202">
        <f>_xll.qlInterestRateIndexValueDate(IborIndex,X3075,Trigger)</f>
        <v>60408</v>
      </c>
      <c r="Z3075" s="203" t="e">
        <v>#N/A</v>
      </c>
      <c r="AA3075" s="200">
        <v>3.0496303660845214E-2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60413</v>
      </c>
      <c r="Y3076" s="202">
        <f>_xll.qlInterestRateIndexValueDate(IborIndex,X3076,Trigger)</f>
        <v>60415</v>
      </c>
      <c r="Z3076" s="203" t="e">
        <v>#N/A</v>
      </c>
      <c r="AA3076" s="200">
        <v>3.0496303660845214E-2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60420</v>
      </c>
      <c r="Y3077" s="202">
        <f>_xll.qlInterestRateIndexValueDate(IborIndex,X3077,Trigger)</f>
        <v>60422</v>
      </c>
      <c r="Z3077" s="203" t="e">
        <v>#N/A</v>
      </c>
      <c r="AA3077" s="200">
        <v>3.0496303660845214E-2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60427</v>
      </c>
      <c r="Y3078" s="202">
        <f>_xll.qlInterestRateIndexValueDate(IborIndex,X3078,Trigger)</f>
        <v>60429</v>
      </c>
      <c r="Z3078" s="203" t="e">
        <v>#N/A</v>
      </c>
      <c r="AA3078" s="200">
        <v>3.0496303660765278E-2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60434</v>
      </c>
      <c r="Y3079" s="202">
        <f>_xll.qlInterestRateIndexValueDate(IborIndex,X3079,Trigger)</f>
        <v>60436</v>
      </c>
      <c r="Z3079" s="203" t="e">
        <v>#N/A</v>
      </c>
      <c r="AA3079" s="200">
        <v>3.0496303660765278E-2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60441</v>
      </c>
      <c r="Y3080" s="202">
        <f>_xll.qlInterestRateIndexValueDate(IborIndex,X3080,Trigger)</f>
        <v>60443</v>
      </c>
      <c r="Z3080" s="203" t="e">
        <v>#N/A</v>
      </c>
      <c r="AA3080" s="200">
        <v>3.0496303660765278E-2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60448</v>
      </c>
      <c r="Y3081" s="202">
        <f>_xll.qlInterestRateIndexValueDate(IborIndex,X3081,Trigger)</f>
        <v>60450</v>
      </c>
      <c r="Z3081" s="203" t="e">
        <v>#N/A</v>
      </c>
      <c r="AA3081" s="200">
        <v>3.0496303660845214E-2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60455</v>
      </c>
      <c r="Y3082" s="202">
        <f>_xll.qlInterestRateIndexValueDate(IborIndex,X3082,Trigger)</f>
        <v>60457</v>
      </c>
      <c r="Z3082" s="203" t="e">
        <v>#N/A</v>
      </c>
      <c r="AA3082" s="200">
        <v>3.0496303660765278E-2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60462</v>
      </c>
      <c r="Y3083" s="202">
        <f>_xll.qlInterestRateIndexValueDate(IborIndex,X3083,Trigger)</f>
        <v>60464</v>
      </c>
      <c r="Z3083" s="203" t="e">
        <v>#N/A</v>
      </c>
      <c r="AA3083" s="200">
        <v>3.0496303660765278E-2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60469</v>
      </c>
      <c r="Y3084" s="202">
        <f>_xll.qlInterestRateIndexValueDate(IborIndex,X3084,Trigger)</f>
        <v>60471</v>
      </c>
      <c r="Z3084" s="203" t="e">
        <v>#N/A</v>
      </c>
      <c r="AA3084" s="200">
        <v>3.0496303660845214E-2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60476</v>
      </c>
      <c r="Y3085" s="202">
        <f>_xll.qlInterestRateIndexValueDate(IborIndex,X3085,Trigger)</f>
        <v>60478</v>
      </c>
      <c r="Z3085" s="203" t="e">
        <v>#N/A</v>
      </c>
      <c r="AA3085" s="200">
        <v>3.0496303660845214E-2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60483</v>
      </c>
      <c r="Y3086" s="202">
        <f>_xll.qlInterestRateIndexValueDate(IborIndex,X3086,Trigger)</f>
        <v>60485</v>
      </c>
      <c r="Z3086" s="203" t="e">
        <v>#N/A</v>
      </c>
      <c r="AA3086" s="200">
        <v>3.0496303660765278E-2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60490</v>
      </c>
      <c r="Y3087" s="202">
        <f>_xll.qlInterestRateIndexValueDate(IborIndex,X3087,Trigger)</f>
        <v>60492</v>
      </c>
      <c r="Z3087" s="203" t="e">
        <v>#N/A</v>
      </c>
      <c r="AA3087" s="200">
        <v>3.0496303660845214E-2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60497</v>
      </c>
      <c r="Y3088" s="202">
        <f>_xll.qlInterestRateIndexValueDate(IborIndex,X3088,Trigger)</f>
        <v>60499</v>
      </c>
      <c r="Z3088" s="203" t="e">
        <v>#N/A</v>
      </c>
      <c r="AA3088" s="200">
        <v>3.0496303660765278E-2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60504</v>
      </c>
      <c r="Y3089" s="202">
        <f>_xll.qlInterestRateIndexValueDate(IborIndex,X3089,Trigger)</f>
        <v>60506</v>
      </c>
      <c r="Z3089" s="203" t="e">
        <v>#N/A</v>
      </c>
      <c r="AA3089" s="200">
        <v>3.0496303660765278E-2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60511</v>
      </c>
      <c r="Y3090" s="202">
        <f>_xll.qlInterestRateIndexValueDate(IborIndex,X3090,Trigger)</f>
        <v>60513</v>
      </c>
      <c r="Z3090" s="203" t="e">
        <v>#N/A</v>
      </c>
      <c r="AA3090" s="200">
        <v>3.0496303660845214E-2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60518</v>
      </c>
      <c r="Y3091" s="202">
        <f>_xll.qlInterestRateIndexValueDate(IborIndex,X3091,Trigger)</f>
        <v>60520</v>
      </c>
      <c r="Z3091" s="203" t="e">
        <v>#N/A</v>
      </c>
      <c r="AA3091" s="200">
        <v>3.0496303660845214E-2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60525</v>
      </c>
      <c r="Y3092" s="202">
        <f>_xll.qlInterestRateIndexValueDate(IborIndex,X3092,Trigger)</f>
        <v>60527</v>
      </c>
      <c r="Z3092" s="203" t="e">
        <v>#N/A</v>
      </c>
      <c r="AA3092" s="200">
        <v>3.0496303660845214E-2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60532</v>
      </c>
      <c r="Y3093" s="202">
        <f>_xll.qlInterestRateIndexValueDate(IborIndex,X3093,Trigger)</f>
        <v>60534</v>
      </c>
      <c r="Z3093" s="203" t="e">
        <v>#N/A</v>
      </c>
      <c r="AA3093" s="200">
        <v>3.0496303660765278E-2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60539</v>
      </c>
      <c r="Y3094" s="202">
        <f>_xll.qlInterestRateIndexValueDate(IborIndex,X3094,Trigger)</f>
        <v>60541</v>
      </c>
      <c r="Z3094" s="203" t="e">
        <v>#N/A</v>
      </c>
      <c r="AA3094" s="200">
        <v>3.0496303660845214E-2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60546</v>
      </c>
      <c r="Y3095" s="202">
        <f>_xll.qlInterestRateIndexValueDate(IborIndex,X3095,Trigger)</f>
        <v>60548</v>
      </c>
      <c r="Z3095" s="203" t="e">
        <v>#N/A</v>
      </c>
      <c r="AA3095" s="200">
        <v>3.0496303660765278E-2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60553</v>
      </c>
      <c r="Y3096" s="202">
        <f>_xll.qlInterestRateIndexValueDate(IborIndex,X3096,Trigger)</f>
        <v>60555</v>
      </c>
      <c r="Z3096" s="203" t="e">
        <v>#N/A</v>
      </c>
      <c r="AA3096" s="200">
        <v>3.0496303660845214E-2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60560</v>
      </c>
      <c r="Y3097" s="202">
        <f>_xll.qlInterestRateIndexValueDate(IborIndex,X3097,Trigger)</f>
        <v>60562</v>
      </c>
      <c r="Z3097" s="203" t="e">
        <v>#N/A</v>
      </c>
      <c r="AA3097" s="200">
        <v>3.0496303660765278E-2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60567</v>
      </c>
      <c r="Y3098" s="202">
        <f>_xll.qlInterestRateIndexValueDate(IborIndex,X3098,Trigger)</f>
        <v>60569</v>
      </c>
      <c r="Z3098" s="203" t="e">
        <v>#N/A</v>
      </c>
      <c r="AA3098" s="200">
        <v>3.0496303660765278E-2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60574</v>
      </c>
      <c r="Y3099" s="202">
        <f>_xll.qlInterestRateIndexValueDate(IborIndex,X3099,Trigger)</f>
        <v>60576</v>
      </c>
      <c r="Z3099" s="203" t="e">
        <v>#N/A</v>
      </c>
      <c r="AA3099" s="200">
        <v>3.0496303660845214E-2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60581</v>
      </c>
      <c r="Y3100" s="202">
        <f>_xll.qlInterestRateIndexValueDate(IborIndex,X3100,Trigger)</f>
        <v>60583</v>
      </c>
      <c r="Z3100" s="203" t="e">
        <v>#N/A</v>
      </c>
      <c r="AA3100" s="200">
        <v>3.0496303660765278E-2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60588</v>
      </c>
      <c r="Y3101" s="202">
        <f>_xll.qlInterestRateIndexValueDate(IborIndex,X3101,Trigger)</f>
        <v>60590</v>
      </c>
      <c r="Z3101" s="203" t="e">
        <v>#N/A</v>
      </c>
      <c r="AA3101" s="200">
        <v>3.0496303660765278E-2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60595</v>
      </c>
      <c r="Y3102" s="202">
        <f>_xll.qlInterestRateIndexValueDate(IborIndex,X3102,Trigger)</f>
        <v>60598</v>
      </c>
      <c r="Z3102" s="203" t="e">
        <v>#N/A</v>
      </c>
      <c r="AA3102" s="200">
        <v>3.0496303660685342E-2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60602</v>
      </c>
      <c r="Y3103" s="202">
        <f>_xll.qlInterestRateIndexValueDate(IborIndex,X3103,Trigger)</f>
        <v>60604</v>
      </c>
      <c r="Z3103" s="203" t="e">
        <v>#N/A</v>
      </c>
      <c r="AA3103" s="200">
        <v>3.0496303660845214E-2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60609</v>
      </c>
      <c r="Y3104" s="202">
        <f>_xll.qlInterestRateIndexValueDate(IborIndex,X3104,Trigger)</f>
        <v>60611</v>
      </c>
      <c r="Z3104" s="203" t="e">
        <v>#N/A</v>
      </c>
      <c r="AA3104" s="200">
        <v>3.0496303660685342E-2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60616</v>
      </c>
      <c r="Y3105" s="202">
        <f>_xll.qlInterestRateIndexValueDate(IborIndex,X3105,Trigger)</f>
        <v>60618</v>
      </c>
      <c r="Z3105" s="203" t="e">
        <v>#N/A</v>
      </c>
      <c r="AA3105" s="200">
        <v>3.0496303660845214E-2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60623</v>
      </c>
      <c r="Y3106" s="202">
        <f>_xll.qlInterestRateIndexValueDate(IborIndex,X3106,Trigger)</f>
        <v>60625</v>
      </c>
      <c r="Z3106" s="203" t="e">
        <v>#N/A</v>
      </c>
      <c r="AA3106" s="200">
        <v>3.0496303660765278E-2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60630</v>
      </c>
      <c r="Y3107" s="202">
        <f>_xll.qlInterestRateIndexValueDate(IborIndex,X3107,Trigger)</f>
        <v>60632</v>
      </c>
      <c r="Z3107" s="203" t="e">
        <v>#N/A</v>
      </c>
      <c r="AA3107" s="200">
        <v>3.0496303660845214E-2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60637</v>
      </c>
      <c r="Y3108" s="202">
        <f>_xll.qlInterestRateIndexValueDate(IborIndex,X3108,Trigger)</f>
        <v>60639</v>
      </c>
      <c r="Z3108" s="203" t="e">
        <v>#N/A</v>
      </c>
      <c r="AA3108" s="200">
        <v>3.0496303660765278E-2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60644</v>
      </c>
      <c r="Y3109" s="202">
        <f>_xll.qlInterestRateIndexValueDate(IborIndex,X3109,Trigger)</f>
        <v>60646</v>
      </c>
      <c r="Z3109" s="203" t="e">
        <v>#N/A</v>
      </c>
      <c r="AA3109" s="200">
        <v>3.0496303660765278E-2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60651</v>
      </c>
      <c r="Y3110" s="202">
        <f>_xll.qlInterestRateIndexValueDate(IborIndex,X3110,Trigger)</f>
        <v>60653</v>
      </c>
      <c r="Z3110" s="203" t="e">
        <v>#N/A</v>
      </c>
      <c r="AA3110" s="200">
        <v>3.0496303660845214E-2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60658</v>
      </c>
      <c r="Y3111" s="202">
        <f>_xll.qlInterestRateIndexValueDate(IborIndex,X3111,Trigger)</f>
        <v>60660</v>
      </c>
      <c r="Z3111" s="203" t="e">
        <v>#N/A</v>
      </c>
      <c r="AA3111" s="200">
        <v>3.0496303660845214E-2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60665</v>
      </c>
      <c r="Y3112" s="202">
        <f>_xll.qlInterestRateIndexValueDate(IborIndex,X3112,Trigger)</f>
        <v>60667</v>
      </c>
      <c r="Z3112" s="203" t="e">
        <v>#N/A</v>
      </c>
      <c r="AA3112" s="200">
        <v>3.0496303660845214E-2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60672</v>
      </c>
      <c r="Y3113" s="202">
        <f>_xll.qlInterestRateIndexValueDate(IborIndex,X3113,Trigger)</f>
        <v>60674</v>
      </c>
      <c r="Z3113" s="203" t="e">
        <v>#N/A</v>
      </c>
      <c r="AA3113" s="200">
        <v>3.0496303660765278E-2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60679</v>
      </c>
      <c r="Y3114" s="202">
        <f>_xll.qlInterestRateIndexValueDate(IborIndex,X3114,Trigger)</f>
        <v>60681</v>
      </c>
      <c r="Z3114" s="203" t="e">
        <v>#N/A</v>
      </c>
      <c r="AA3114" s="200">
        <v>3.0496303660845214E-2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60686</v>
      </c>
      <c r="Y3115" s="202">
        <f>_xll.qlInterestRateIndexValueDate(IborIndex,X3115,Trigger)</f>
        <v>60688</v>
      </c>
      <c r="Z3115" s="203" t="e">
        <v>#N/A</v>
      </c>
      <c r="AA3115" s="200">
        <v>3.0496303660765278E-2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60693</v>
      </c>
      <c r="Y3116" s="202">
        <f>_xll.qlInterestRateIndexValueDate(IborIndex,X3116,Trigger)</f>
        <v>60695</v>
      </c>
      <c r="Z3116" s="203" t="e">
        <v>#N/A</v>
      </c>
      <c r="AA3116" s="200">
        <v>3.0496303660845214E-2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60700</v>
      </c>
      <c r="Y3117" s="202">
        <f>_xll.qlInterestRateIndexValueDate(IborIndex,X3117,Trigger)</f>
        <v>60702</v>
      </c>
      <c r="Z3117" s="203" t="e">
        <v>#N/A</v>
      </c>
      <c r="AA3117" s="200">
        <v>3.0496303660845214E-2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60707</v>
      </c>
      <c r="Y3118" s="202">
        <f>_xll.qlInterestRateIndexValueDate(IborIndex,X3118,Trigger)</f>
        <v>60709</v>
      </c>
      <c r="Z3118" s="203" t="e">
        <v>#N/A</v>
      </c>
      <c r="AA3118" s="200">
        <v>3.0496303660765278E-2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60714</v>
      </c>
      <c r="Y3119" s="202">
        <f>_xll.qlInterestRateIndexValueDate(IborIndex,X3119,Trigger)</f>
        <v>60716</v>
      </c>
      <c r="Z3119" s="203" t="e">
        <v>#N/A</v>
      </c>
      <c r="AA3119" s="200">
        <v>3.0496303660845214E-2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60721</v>
      </c>
      <c r="Y3120" s="202">
        <f>_xll.qlInterestRateIndexValueDate(IborIndex,X3120,Trigger)</f>
        <v>60723</v>
      </c>
      <c r="Z3120" s="203" t="e">
        <v>#N/A</v>
      </c>
      <c r="AA3120" s="200">
        <v>3.0496303660845214E-2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60728</v>
      </c>
      <c r="Y3121" s="202">
        <f>_xll.qlInterestRateIndexValueDate(IborIndex,X3121,Trigger)</f>
        <v>60730</v>
      </c>
      <c r="Z3121" s="203" t="e">
        <v>#N/A</v>
      </c>
      <c r="AA3121" s="200">
        <v>3.0496303660765278E-2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60735</v>
      </c>
      <c r="Y3122" s="202">
        <f>_xll.qlInterestRateIndexValueDate(IborIndex,X3122,Trigger)</f>
        <v>60737</v>
      </c>
      <c r="Z3122" s="203" t="e">
        <v>#N/A</v>
      </c>
      <c r="AA3122" s="200">
        <v>3.0496303660845214E-2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60742</v>
      </c>
      <c r="Y3123" s="202">
        <f>_xll.qlInterestRateIndexValueDate(IborIndex,X3123,Trigger)</f>
        <v>60744</v>
      </c>
      <c r="Z3123" s="203" t="e">
        <v>#N/A</v>
      </c>
      <c r="AA3123" s="200">
        <v>3.049630366092515E-2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60749</v>
      </c>
      <c r="Y3124" s="202">
        <f>_xll.qlInterestRateIndexValueDate(IborIndex,X3124,Trigger)</f>
        <v>60751</v>
      </c>
      <c r="Z3124" s="203" t="e">
        <v>#N/A</v>
      </c>
      <c r="AA3124" s="200">
        <v>3.0496303660845214E-2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60756</v>
      </c>
      <c r="Y3125" s="202">
        <f>_xll.qlInterestRateIndexValueDate(IborIndex,X3125,Trigger)</f>
        <v>60758</v>
      </c>
      <c r="Z3125" s="203" t="e">
        <v>#N/A</v>
      </c>
      <c r="AA3125" s="200">
        <v>3.0496303660685342E-2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60763</v>
      </c>
      <c r="Y3126" s="202">
        <f>_xll.qlInterestRateIndexValueDate(IborIndex,X3126,Trigger)</f>
        <v>60765</v>
      </c>
      <c r="Z3126" s="203" t="e">
        <v>#N/A</v>
      </c>
      <c r="AA3126" s="200">
        <v>3.0496303660765278E-2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60770</v>
      </c>
      <c r="Y3127" s="202">
        <f>_xll.qlInterestRateIndexValueDate(IborIndex,X3127,Trigger)</f>
        <v>60772</v>
      </c>
      <c r="Z3127" s="203" t="e">
        <v>#N/A</v>
      </c>
      <c r="AA3127" s="200">
        <v>3.0496303660845214E-2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60777</v>
      </c>
      <c r="Y3128" s="202">
        <f>_xll.qlInterestRateIndexValueDate(IborIndex,X3128,Trigger)</f>
        <v>60779</v>
      </c>
      <c r="Z3128" s="203" t="e">
        <v>#N/A</v>
      </c>
      <c r="AA3128" s="200">
        <v>3.0496303660845214E-2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60784</v>
      </c>
      <c r="Y3129" s="202">
        <f>_xll.qlInterestRateIndexValueDate(IborIndex,X3129,Trigger)</f>
        <v>60786</v>
      </c>
      <c r="Z3129" s="203" t="e">
        <v>#N/A</v>
      </c>
      <c r="AA3129" s="200">
        <v>3.0496303660685342E-2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60791</v>
      </c>
      <c r="Y3130" s="202">
        <f>_xll.qlInterestRateIndexValueDate(IborIndex,X3130,Trigger)</f>
        <v>60793</v>
      </c>
      <c r="Z3130" s="203" t="e">
        <v>#N/A</v>
      </c>
      <c r="AA3130" s="200">
        <v>3.0496303660845214E-2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60798</v>
      </c>
      <c r="Y3131" s="202">
        <f>_xll.qlInterestRateIndexValueDate(IborIndex,X3131,Trigger)</f>
        <v>60800</v>
      </c>
      <c r="Z3131" s="203" t="e">
        <v>#N/A</v>
      </c>
      <c r="AA3131" s="200">
        <v>3.049630366092515E-2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60805</v>
      </c>
      <c r="Y3132" s="202">
        <f>_xll.qlInterestRateIndexValueDate(IborIndex,X3132,Trigger)</f>
        <v>60807</v>
      </c>
      <c r="Z3132" s="203" t="e">
        <v>#N/A</v>
      </c>
      <c r="AA3132" s="200">
        <v>3.0496303660845214E-2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60812</v>
      </c>
      <c r="Y3133" s="202">
        <f>_xll.qlInterestRateIndexValueDate(IborIndex,X3133,Trigger)</f>
        <v>60814</v>
      </c>
      <c r="Z3133" s="203" t="e">
        <v>#N/A</v>
      </c>
      <c r="AA3133" s="200">
        <v>3.0496303660845214E-2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60819</v>
      </c>
      <c r="Y3134" s="202">
        <f>_xll.qlInterestRateIndexValueDate(IborIndex,X3134,Trigger)</f>
        <v>60821</v>
      </c>
      <c r="Z3134" s="203" t="e">
        <v>#N/A</v>
      </c>
      <c r="AA3134" s="200">
        <v>3.0496303660845214E-2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60826</v>
      </c>
      <c r="Y3135" s="202">
        <f>_xll.qlInterestRateIndexValueDate(IborIndex,X3135,Trigger)</f>
        <v>60828</v>
      </c>
      <c r="Z3135" s="203" t="e">
        <v>#N/A</v>
      </c>
      <c r="AA3135" s="200">
        <v>3.0496303660845214E-2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60833</v>
      </c>
      <c r="Y3136" s="202">
        <f>_xll.qlInterestRateIndexValueDate(IborIndex,X3136,Trigger)</f>
        <v>60835</v>
      </c>
      <c r="Z3136" s="203" t="e">
        <v>#N/A</v>
      </c>
      <c r="AA3136" s="200">
        <v>3.0496303660685342E-2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60840</v>
      </c>
      <c r="Y3137" s="202">
        <f>_xll.qlInterestRateIndexValueDate(IborIndex,X3137,Trigger)</f>
        <v>60842</v>
      </c>
      <c r="Z3137" s="203" t="e">
        <v>#N/A</v>
      </c>
      <c r="AA3137" s="200">
        <v>3.0496303660765278E-2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60847</v>
      </c>
      <c r="Y3138" s="202">
        <f>_xll.qlInterestRateIndexValueDate(IborIndex,X3138,Trigger)</f>
        <v>60849</v>
      </c>
      <c r="Z3138" s="203" t="e">
        <v>#N/A</v>
      </c>
      <c r="AA3138" s="200">
        <v>3.0496303660845214E-2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60854</v>
      </c>
      <c r="Y3139" s="202">
        <f>_xll.qlInterestRateIndexValueDate(IborIndex,X3139,Trigger)</f>
        <v>60856</v>
      </c>
      <c r="Z3139" s="203" t="e">
        <v>#N/A</v>
      </c>
      <c r="AA3139" s="200">
        <v>3.0496303660845214E-2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60861</v>
      </c>
      <c r="Y3140" s="202">
        <f>_xll.qlInterestRateIndexValueDate(IborIndex,X3140,Trigger)</f>
        <v>60863</v>
      </c>
      <c r="Z3140" s="203" t="e">
        <v>#N/A</v>
      </c>
      <c r="AA3140" s="200">
        <v>3.0496303660765278E-2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60868</v>
      </c>
      <c r="Y3141" s="202">
        <f>_xll.qlInterestRateIndexValueDate(IborIndex,X3141,Trigger)</f>
        <v>60870</v>
      </c>
      <c r="Z3141" s="203" t="e">
        <v>#N/A</v>
      </c>
      <c r="AA3141" s="200">
        <v>3.0496303660845214E-2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60875</v>
      </c>
      <c r="Y3142" s="202">
        <f>_xll.qlInterestRateIndexValueDate(IborIndex,X3142,Trigger)</f>
        <v>60877</v>
      </c>
      <c r="Z3142" s="203" t="e">
        <v>#N/A</v>
      </c>
      <c r="AA3142" s="200">
        <v>3.0496303660765278E-2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60882</v>
      </c>
      <c r="Y3143" s="202">
        <f>_xll.qlInterestRateIndexValueDate(IborIndex,X3143,Trigger)</f>
        <v>60884</v>
      </c>
      <c r="Z3143" s="203" t="e">
        <v>#N/A</v>
      </c>
      <c r="AA3143" s="200">
        <v>3.0496303660845214E-2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60889</v>
      </c>
      <c r="Y3144" s="202">
        <f>_xll.qlInterestRateIndexValueDate(IborIndex,X3144,Trigger)</f>
        <v>60891</v>
      </c>
      <c r="Z3144" s="203" t="e">
        <v>#N/A</v>
      </c>
      <c r="AA3144" s="200">
        <v>3.0496303660765278E-2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60896</v>
      </c>
      <c r="Y3145" s="202">
        <f>_xll.qlInterestRateIndexValueDate(IborIndex,X3145,Trigger)</f>
        <v>60898</v>
      </c>
      <c r="Z3145" s="203" t="e">
        <v>#N/A</v>
      </c>
      <c r="AA3145" s="200">
        <v>3.0496303660845214E-2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60903</v>
      </c>
      <c r="Y3146" s="202">
        <f>_xll.qlInterestRateIndexValueDate(IborIndex,X3146,Trigger)</f>
        <v>60905</v>
      </c>
      <c r="Z3146" s="203" t="e">
        <v>#N/A</v>
      </c>
      <c r="AA3146" s="200">
        <v>3.0496303660765278E-2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60910</v>
      </c>
      <c r="Y3147" s="202">
        <f>_xll.qlInterestRateIndexValueDate(IborIndex,X3147,Trigger)</f>
        <v>60912</v>
      </c>
      <c r="Z3147" s="203" t="e">
        <v>#N/A</v>
      </c>
      <c r="AA3147" s="200">
        <v>3.0496303660765278E-2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60917</v>
      </c>
      <c r="Y3148" s="202">
        <f>_xll.qlInterestRateIndexValueDate(IborIndex,X3148,Trigger)</f>
        <v>60919</v>
      </c>
      <c r="Z3148" s="203" t="e">
        <v>#N/A</v>
      </c>
      <c r="AA3148" s="200">
        <v>3.0496303660765278E-2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60924</v>
      </c>
      <c r="Y3149" s="202">
        <f>_xll.qlInterestRateIndexValueDate(IborIndex,X3149,Trigger)</f>
        <v>60926</v>
      </c>
      <c r="Z3149" s="203" t="e">
        <v>#N/A</v>
      </c>
      <c r="AA3149" s="200">
        <v>3.0496303660845214E-2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60931</v>
      </c>
      <c r="Y3150" s="202">
        <f>_xll.qlInterestRateIndexValueDate(IborIndex,X3150,Trigger)</f>
        <v>60933</v>
      </c>
      <c r="Z3150" s="203" t="e">
        <v>#N/A</v>
      </c>
      <c r="AA3150" s="200">
        <v>3.0496303660845214E-2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60938</v>
      </c>
      <c r="Y3151" s="202">
        <f>_xll.qlInterestRateIndexValueDate(IborIndex,X3151,Trigger)</f>
        <v>60940</v>
      </c>
      <c r="Z3151" s="203" t="e">
        <v>#N/A</v>
      </c>
      <c r="AA3151" s="200">
        <v>3.0496303660765278E-2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60945</v>
      </c>
      <c r="Y3152" s="202">
        <f>_xll.qlInterestRateIndexValueDate(IborIndex,X3152,Trigger)</f>
        <v>60948</v>
      </c>
      <c r="Z3152" s="203" t="e">
        <v>#N/A</v>
      </c>
      <c r="AA3152" s="200">
        <v>3.0496303660765278E-2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60952</v>
      </c>
      <c r="Y3153" s="202">
        <f>_xll.qlInterestRateIndexValueDate(IborIndex,X3153,Trigger)</f>
        <v>60954</v>
      </c>
      <c r="Z3153" s="203" t="e">
        <v>#N/A</v>
      </c>
      <c r="AA3153" s="200">
        <v>3.0496303660845214E-2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60959</v>
      </c>
      <c r="Y3154" s="202">
        <f>_xll.qlInterestRateIndexValueDate(IborIndex,X3154,Trigger)</f>
        <v>60962</v>
      </c>
      <c r="Z3154" s="203" t="e">
        <v>#N/A</v>
      </c>
      <c r="AA3154" s="200">
        <v>3.0496303660845214E-2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60966</v>
      </c>
      <c r="Y3155" s="202">
        <f>_xll.qlInterestRateIndexValueDate(IborIndex,X3155,Trigger)</f>
        <v>60968</v>
      </c>
      <c r="Z3155" s="203" t="e">
        <v>#N/A</v>
      </c>
      <c r="AA3155" s="200">
        <v>3.0496303660765278E-2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60973</v>
      </c>
      <c r="Y3156" s="202">
        <f>_xll.qlInterestRateIndexValueDate(IborIndex,X3156,Trigger)</f>
        <v>60975</v>
      </c>
      <c r="Z3156" s="203" t="e">
        <v>#N/A</v>
      </c>
      <c r="AA3156" s="200">
        <v>3.0496303660845214E-2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60980</v>
      </c>
      <c r="Y3157" s="202">
        <f>_xll.qlInterestRateIndexValueDate(IborIndex,X3157,Trigger)</f>
        <v>60982</v>
      </c>
      <c r="Z3157" s="203" t="e">
        <v>#N/A</v>
      </c>
      <c r="AA3157" s="200">
        <v>3.0496303660845214E-2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60987</v>
      </c>
      <c r="Y3158" s="202">
        <f>_xll.qlInterestRateIndexValueDate(IborIndex,X3158,Trigger)</f>
        <v>60989</v>
      </c>
      <c r="Z3158" s="203" t="e">
        <v>#N/A</v>
      </c>
      <c r="AA3158" s="200">
        <v>3.0496303660845214E-2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60995</v>
      </c>
      <c r="Y3159" s="202">
        <f>_xll.qlInterestRateIndexValueDate(IborIndex,X3159,Trigger)</f>
        <v>61001</v>
      </c>
      <c r="Z3159" s="203" t="e">
        <v>#N/A</v>
      </c>
      <c r="AA3159" s="200">
        <v>3.0496303660765278E-2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61002</v>
      </c>
      <c r="Y3160" s="202">
        <f>_xll.qlInterestRateIndexValueDate(IborIndex,X3160,Trigger)</f>
        <v>61004</v>
      </c>
      <c r="Z3160" s="203" t="e">
        <v>#N/A</v>
      </c>
      <c r="AA3160" s="200">
        <v>3.0496303660765278E-2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61009</v>
      </c>
      <c r="Y3161" s="202">
        <f>_xll.qlInterestRateIndexValueDate(IborIndex,X3161,Trigger)</f>
        <v>61011</v>
      </c>
      <c r="Z3161" s="203" t="e">
        <v>#N/A</v>
      </c>
      <c r="AA3161" s="200">
        <v>3.0496303660765278E-2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61016</v>
      </c>
      <c r="Y3162" s="202">
        <f>_xll.qlInterestRateIndexValueDate(IborIndex,X3162,Trigger)</f>
        <v>61018</v>
      </c>
      <c r="Z3162" s="203" t="e">
        <v>#N/A</v>
      </c>
      <c r="AA3162" s="200">
        <v>3.0496303660845214E-2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61023</v>
      </c>
      <c r="Y3163" s="202">
        <f>_xll.qlInterestRateIndexValueDate(IborIndex,X3163,Trigger)</f>
        <v>61025</v>
      </c>
      <c r="Z3163" s="203" t="e">
        <v>#N/A</v>
      </c>
      <c r="AA3163" s="200">
        <v>3.0496303660765278E-2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61030</v>
      </c>
      <c r="Y3164" s="202">
        <f>_xll.qlInterestRateIndexValueDate(IborIndex,X3164,Trigger)</f>
        <v>61032</v>
      </c>
      <c r="Z3164" s="203" t="e">
        <v>#N/A</v>
      </c>
      <c r="AA3164" s="200">
        <v>3.0496303660845214E-2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61037</v>
      </c>
      <c r="Y3165" s="202">
        <f>_xll.qlInterestRateIndexValueDate(IborIndex,X3165,Trigger)</f>
        <v>61039</v>
      </c>
      <c r="Z3165" s="203" t="e">
        <v>#N/A</v>
      </c>
      <c r="AA3165" s="200">
        <v>3.0496303660845214E-2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61044</v>
      </c>
      <c r="Y3166" s="202">
        <f>_xll.qlInterestRateIndexValueDate(IborIndex,X3166,Trigger)</f>
        <v>61046</v>
      </c>
      <c r="Z3166" s="203" t="e">
        <v>#N/A</v>
      </c>
      <c r="AA3166" s="200">
        <v>3.0496303660845214E-2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61051</v>
      </c>
      <c r="Y3167" s="202">
        <f>_xll.qlInterestRateIndexValueDate(IborIndex,X3167,Trigger)</f>
        <v>61053</v>
      </c>
      <c r="Z3167" s="203" t="e">
        <v>#N/A</v>
      </c>
      <c r="AA3167" s="200">
        <v>3.0496303660765278E-2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61058</v>
      </c>
      <c r="Y3168" s="202">
        <f>_xll.qlInterestRateIndexValueDate(IborIndex,X3168,Trigger)</f>
        <v>61060</v>
      </c>
      <c r="Z3168" s="203" t="e">
        <v>#N/A</v>
      </c>
      <c r="AA3168" s="200">
        <v>3.0496303660845214E-2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61065</v>
      </c>
      <c r="Y3169" s="202">
        <f>_xll.qlInterestRateIndexValueDate(IborIndex,X3169,Trigger)</f>
        <v>61067</v>
      </c>
      <c r="Z3169" s="203" t="e">
        <v>#N/A</v>
      </c>
      <c r="AA3169" s="200">
        <v>3.0496303660845214E-2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61072</v>
      </c>
      <c r="Y3170" s="202">
        <f>_xll.qlInterestRateIndexValueDate(IborIndex,X3170,Trigger)</f>
        <v>61074</v>
      </c>
      <c r="Z3170" s="203" t="e">
        <v>#N/A</v>
      </c>
      <c r="AA3170" s="200">
        <v>3.0496303660765278E-2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61079</v>
      </c>
      <c r="Y3171" s="202">
        <f>_xll.qlInterestRateIndexValueDate(IborIndex,X3171,Trigger)</f>
        <v>61081</v>
      </c>
      <c r="Z3171" s="203" t="e">
        <v>#N/A</v>
      </c>
      <c r="AA3171" s="200">
        <v>3.0496303660765278E-2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61086</v>
      </c>
      <c r="Y3172" s="202">
        <f>_xll.qlInterestRateIndexValueDate(IborIndex,X3172,Trigger)</f>
        <v>61092</v>
      </c>
      <c r="Z3172" s="203" t="e">
        <v>#N/A</v>
      </c>
      <c r="AA3172" s="200">
        <v>3.0496303660765278E-2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61093</v>
      </c>
      <c r="Y3173" s="202">
        <f>_xll.qlInterestRateIndexValueDate(IborIndex,X3173,Trigger)</f>
        <v>61095</v>
      </c>
      <c r="Z3173" s="203" t="e">
        <v>#N/A</v>
      </c>
      <c r="AA3173" s="200">
        <v>3.0496303660845214E-2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61100</v>
      </c>
      <c r="Y3174" s="202">
        <f>_xll.qlInterestRateIndexValueDate(IborIndex,X3174,Trigger)</f>
        <v>61102</v>
      </c>
      <c r="Z3174" s="203" t="e">
        <v>#N/A</v>
      </c>
      <c r="AA3174" s="200">
        <v>3.0496303660685342E-2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61107</v>
      </c>
      <c r="Y3175" s="202">
        <f>_xll.qlInterestRateIndexValueDate(IborIndex,X3175,Trigger)</f>
        <v>61109</v>
      </c>
      <c r="Z3175" s="203" t="e">
        <v>#N/A</v>
      </c>
      <c r="AA3175" s="200">
        <v>3.0496303660845214E-2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61114</v>
      </c>
      <c r="Y3176" s="202">
        <f>_xll.qlInterestRateIndexValueDate(IborIndex,X3176,Trigger)</f>
        <v>61116</v>
      </c>
      <c r="Z3176" s="203" t="e">
        <v>#N/A</v>
      </c>
      <c r="AA3176" s="200">
        <v>3.0496303660845214E-2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61121</v>
      </c>
      <c r="Y3177" s="202">
        <f>_xll.qlInterestRateIndexValueDate(IborIndex,X3177,Trigger)</f>
        <v>61123</v>
      </c>
      <c r="Z3177" s="203" t="e">
        <v>#N/A</v>
      </c>
      <c r="AA3177" s="200">
        <v>3.0496303660765278E-2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61128</v>
      </c>
      <c r="Y3178" s="202">
        <f>_xll.qlInterestRateIndexValueDate(IborIndex,X3178,Trigger)</f>
        <v>61130</v>
      </c>
      <c r="Z3178" s="203" t="e">
        <v>#N/A</v>
      </c>
      <c r="AA3178" s="200">
        <v>3.0496303660685342E-2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61135</v>
      </c>
      <c r="Y3179" s="202">
        <f>_xll.qlInterestRateIndexValueDate(IborIndex,X3179,Trigger)</f>
        <v>61137</v>
      </c>
      <c r="Z3179" s="203" t="e">
        <v>#N/A</v>
      </c>
      <c r="AA3179" s="200">
        <v>3.0496303660845214E-2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61142</v>
      </c>
      <c r="Y3180" s="202">
        <f>_xll.qlInterestRateIndexValueDate(IborIndex,X3180,Trigger)</f>
        <v>61144</v>
      </c>
      <c r="Z3180" s="203" t="e">
        <v>#N/A</v>
      </c>
      <c r="AA3180" s="200">
        <v>3.0496303660845214E-2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61149</v>
      </c>
      <c r="Y3181" s="202">
        <f>_xll.qlInterestRateIndexValueDate(IborIndex,X3181,Trigger)</f>
        <v>61151</v>
      </c>
      <c r="Z3181" s="203" t="e">
        <v>#N/A</v>
      </c>
      <c r="AA3181" s="200">
        <v>3.0496303660765278E-2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61156</v>
      </c>
      <c r="Y3182" s="202">
        <f>_xll.qlInterestRateIndexValueDate(IborIndex,X3182,Trigger)</f>
        <v>61158</v>
      </c>
      <c r="Z3182" s="203" t="e">
        <v>#N/A</v>
      </c>
      <c r="AA3182" s="200">
        <v>3.0496303660845214E-2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61163</v>
      </c>
      <c r="Y3183" s="202">
        <f>_xll.qlInterestRateIndexValueDate(IborIndex,X3183,Trigger)</f>
        <v>61165</v>
      </c>
      <c r="Z3183" s="203" t="e">
        <v>#N/A</v>
      </c>
      <c r="AA3183" s="200">
        <v>3.0496303660845214E-2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61170</v>
      </c>
      <c r="Y3184" s="202">
        <f>_xll.qlInterestRateIndexValueDate(IborIndex,X3184,Trigger)</f>
        <v>61172</v>
      </c>
      <c r="Z3184" s="203" t="e">
        <v>#N/A</v>
      </c>
      <c r="AA3184" s="200">
        <v>3.0496303660845214E-2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61177</v>
      </c>
      <c r="Y3185" s="202">
        <f>_xll.qlInterestRateIndexValueDate(IborIndex,X3185,Trigger)</f>
        <v>61179</v>
      </c>
      <c r="Z3185" s="203" t="e">
        <v>#N/A</v>
      </c>
      <c r="AA3185" s="200">
        <v>3.0496303660765278E-2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61184</v>
      </c>
      <c r="Y3186" s="202">
        <f>_xll.qlInterestRateIndexValueDate(IborIndex,X3186,Trigger)</f>
        <v>61186</v>
      </c>
      <c r="Z3186" s="203" t="e">
        <v>#N/A</v>
      </c>
      <c r="AA3186" s="200">
        <v>3.0496303660845214E-2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61191</v>
      </c>
      <c r="Y3187" s="202">
        <f>_xll.qlInterestRateIndexValueDate(IborIndex,X3187,Trigger)</f>
        <v>61193</v>
      </c>
      <c r="Z3187" s="203" t="e">
        <v>#N/A</v>
      </c>
      <c r="AA3187" s="200">
        <v>3.049630366092515E-2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61198</v>
      </c>
      <c r="Y3188" s="202">
        <f>_xll.qlInterestRateIndexValueDate(IborIndex,X3188,Trigger)</f>
        <v>61200</v>
      </c>
      <c r="Z3188" s="203" t="e">
        <v>#N/A</v>
      </c>
      <c r="AA3188" s="200">
        <v>3.0496303660765278E-2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61205</v>
      </c>
      <c r="Y3189" s="202">
        <f>_xll.qlInterestRateIndexValueDate(IborIndex,X3189,Trigger)</f>
        <v>61207</v>
      </c>
      <c r="Z3189" s="203" t="e">
        <v>#N/A</v>
      </c>
      <c r="AA3189" s="200">
        <v>3.0496303660765278E-2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61212</v>
      </c>
      <c r="Y3190" s="202">
        <f>_xll.qlInterestRateIndexValueDate(IborIndex,X3190,Trigger)</f>
        <v>61214</v>
      </c>
      <c r="Z3190" s="203" t="e">
        <v>#N/A</v>
      </c>
      <c r="AA3190" s="200">
        <v>3.0496303660845214E-2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61219</v>
      </c>
      <c r="Y3191" s="202">
        <f>_xll.qlInterestRateIndexValueDate(IborIndex,X3191,Trigger)</f>
        <v>61221</v>
      </c>
      <c r="Z3191" s="203" t="e">
        <v>#N/A</v>
      </c>
      <c r="AA3191" s="200">
        <v>3.0496303660845214E-2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61226</v>
      </c>
      <c r="Y3192" s="202">
        <f>_xll.qlInterestRateIndexValueDate(IborIndex,X3192,Trigger)</f>
        <v>61228</v>
      </c>
      <c r="Z3192" s="203" t="e">
        <v>#N/A</v>
      </c>
      <c r="AA3192" s="200">
        <v>3.0496303660765278E-2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61233</v>
      </c>
      <c r="Y3193" s="202">
        <f>_xll.qlInterestRateIndexValueDate(IborIndex,X3193,Trigger)</f>
        <v>61235</v>
      </c>
      <c r="Z3193" s="203" t="e">
        <v>#N/A</v>
      </c>
      <c r="AA3193" s="200">
        <v>3.0496303660845214E-2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61240</v>
      </c>
      <c r="Y3194" s="202">
        <f>_xll.qlInterestRateIndexValueDate(IborIndex,X3194,Trigger)</f>
        <v>61242</v>
      </c>
      <c r="Z3194" s="203" t="e">
        <v>#N/A</v>
      </c>
      <c r="AA3194" s="200">
        <v>3.0496303660685342E-2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61247</v>
      </c>
      <c r="Y3195" s="202">
        <f>_xll.qlInterestRateIndexValueDate(IborIndex,X3195,Trigger)</f>
        <v>61249</v>
      </c>
      <c r="Z3195" s="203" t="e">
        <v>#N/A</v>
      </c>
      <c r="AA3195" s="200">
        <v>3.0496303660845214E-2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61254</v>
      </c>
      <c r="Y3196" s="202">
        <f>_xll.qlInterestRateIndexValueDate(IborIndex,X3196,Trigger)</f>
        <v>61256</v>
      </c>
      <c r="Z3196" s="203" t="e">
        <v>#N/A</v>
      </c>
      <c r="AA3196" s="200">
        <v>3.0496303660765278E-2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61261</v>
      </c>
      <c r="Y3197" s="202">
        <f>_xll.qlInterestRateIndexValueDate(IborIndex,X3197,Trigger)</f>
        <v>61263</v>
      </c>
      <c r="Z3197" s="203" t="e">
        <v>#N/A</v>
      </c>
      <c r="AA3197" s="200">
        <v>3.0496303660845214E-2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61268</v>
      </c>
      <c r="Y3198" s="202">
        <f>_xll.qlInterestRateIndexValueDate(IborIndex,X3198,Trigger)</f>
        <v>61270</v>
      </c>
      <c r="Z3198" s="203" t="e">
        <v>#N/A</v>
      </c>
      <c r="AA3198" s="200">
        <v>3.049630366092515E-2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61275</v>
      </c>
      <c r="Y3199" s="202">
        <f>_xll.qlInterestRateIndexValueDate(IborIndex,X3199,Trigger)</f>
        <v>61277</v>
      </c>
      <c r="Z3199" s="203" t="e">
        <v>#N/A</v>
      </c>
      <c r="AA3199" s="200">
        <v>3.0496303660845214E-2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61282</v>
      </c>
      <c r="Y3200" s="202">
        <f>_xll.qlInterestRateIndexValueDate(IborIndex,X3200,Trigger)</f>
        <v>61284</v>
      </c>
      <c r="Z3200" s="203" t="e">
        <v>#N/A</v>
      </c>
      <c r="AA3200" s="200">
        <v>3.0496303660765278E-2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61289</v>
      </c>
      <c r="Y3201" s="202">
        <f>_xll.qlInterestRateIndexValueDate(IborIndex,X3201,Trigger)</f>
        <v>61291</v>
      </c>
      <c r="Z3201" s="203" t="e">
        <v>#N/A</v>
      </c>
      <c r="AA3201" s="200">
        <v>3.0496303660845214E-2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61296</v>
      </c>
      <c r="Y3202" s="202">
        <f>_xll.qlInterestRateIndexValueDate(IborIndex,X3202,Trigger)</f>
        <v>61298</v>
      </c>
      <c r="Z3202" s="203" t="e">
        <v>#N/A</v>
      </c>
      <c r="AA3202" s="200">
        <v>3.0496303660845214E-2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61303</v>
      </c>
      <c r="Y3203" s="202">
        <f>_xll.qlInterestRateIndexValueDate(IborIndex,X3203,Trigger)</f>
        <v>61305</v>
      </c>
      <c r="Z3203" s="203" t="e">
        <v>#N/A</v>
      </c>
      <c r="AA3203" s="200">
        <v>3.0496303660765278E-2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61310</v>
      </c>
      <c r="Y3204" s="202">
        <f>_xll.qlInterestRateIndexValueDate(IborIndex,X3204,Trigger)</f>
        <v>61315</v>
      </c>
      <c r="Z3204" s="203" t="e">
        <v>#N/A</v>
      </c>
      <c r="AA3204" s="200">
        <v>3.0496303660765278E-2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61317</v>
      </c>
      <c r="Y3205" s="202">
        <f>_xll.qlInterestRateIndexValueDate(IborIndex,X3205,Trigger)</f>
        <v>61319</v>
      </c>
      <c r="Z3205" s="203" t="e">
        <v>#N/A</v>
      </c>
      <c r="AA3205" s="200">
        <v>3.0496303660845214E-2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61324</v>
      </c>
      <c r="Y3206" s="202">
        <f>_xll.qlInterestRateIndexValueDate(IborIndex,X3206,Trigger)</f>
        <v>61326</v>
      </c>
      <c r="Z3206" s="203" t="e">
        <v>#N/A</v>
      </c>
      <c r="AA3206" s="200">
        <v>3.0496303660765278E-2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61331</v>
      </c>
      <c r="Y3207" s="202">
        <f>_xll.qlInterestRateIndexValueDate(IborIndex,X3207,Trigger)</f>
        <v>61333</v>
      </c>
      <c r="Z3207" s="203" t="e">
        <v>#N/A</v>
      </c>
      <c r="AA3207" s="200">
        <v>3.0496303660685342E-2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61338</v>
      </c>
      <c r="Y3208" s="202">
        <f>_xll.qlInterestRateIndexValueDate(IborIndex,X3208,Trigger)</f>
        <v>61340</v>
      </c>
      <c r="Z3208" s="203" t="e">
        <v>#N/A</v>
      </c>
      <c r="AA3208" s="200">
        <v>3.0496303660765278E-2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61345</v>
      </c>
      <c r="Y3209" s="202">
        <f>_xll.qlInterestRateIndexValueDate(IborIndex,X3209,Trigger)</f>
        <v>61347</v>
      </c>
      <c r="Z3209" s="203" t="e">
        <v>#N/A</v>
      </c>
      <c r="AA3209" s="200">
        <v>3.0496303660765278E-2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61352</v>
      </c>
      <c r="Y3210" s="202">
        <f>_xll.qlInterestRateIndexValueDate(IborIndex,X3210,Trigger)</f>
        <v>61354</v>
      </c>
      <c r="Z3210" s="203" t="e">
        <v>#N/A</v>
      </c>
      <c r="AA3210" s="200">
        <v>3.0496303660845214E-2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61359</v>
      </c>
      <c r="Y3211" s="202">
        <f>_xll.qlInterestRateIndexValueDate(IborIndex,X3211,Trigger)</f>
        <v>61361</v>
      </c>
      <c r="Z3211" s="203" t="e">
        <v>#N/A</v>
      </c>
      <c r="AA3211" s="200">
        <v>3.0496303660765278E-2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61366</v>
      </c>
      <c r="Y3212" s="202">
        <f>_xll.qlInterestRateIndexValueDate(IborIndex,X3212,Trigger)</f>
        <v>61368</v>
      </c>
      <c r="Z3212" s="203" t="e">
        <v>#N/A</v>
      </c>
      <c r="AA3212" s="200">
        <v>3.0496303660845214E-2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61373</v>
      </c>
      <c r="Y3213" s="202">
        <f>_xll.qlInterestRateIndexValueDate(IborIndex,X3213,Trigger)</f>
        <v>61375</v>
      </c>
      <c r="Z3213" s="203" t="e">
        <v>#N/A</v>
      </c>
      <c r="AA3213" s="200">
        <v>3.0496303660845214E-2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61380</v>
      </c>
      <c r="Y3214" s="202">
        <f>_xll.qlInterestRateIndexValueDate(IborIndex,X3214,Trigger)</f>
        <v>61382</v>
      </c>
      <c r="Z3214" s="203" t="e">
        <v>#N/A</v>
      </c>
      <c r="AA3214" s="200">
        <v>3.0496303660685342E-2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61387</v>
      </c>
      <c r="Y3215" s="202">
        <f>_xll.qlInterestRateIndexValueDate(IborIndex,X3215,Trigger)</f>
        <v>61389</v>
      </c>
      <c r="Z3215" s="203" t="e">
        <v>#N/A</v>
      </c>
      <c r="AA3215" s="200">
        <v>3.0496303660845214E-2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61394</v>
      </c>
      <c r="Y3216" s="202">
        <f>_xll.qlInterestRateIndexValueDate(IborIndex,X3216,Trigger)</f>
        <v>61396</v>
      </c>
      <c r="Z3216" s="203" t="e">
        <v>#N/A</v>
      </c>
      <c r="AA3216" s="200">
        <v>3.0496303660765278E-2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61401</v>
      </c>
      <c r="Y3217" s="202">
        <f>_xll.qlInterestRateIndexValueDate(IborIndex,X3217,Trigger)</f>
        <v>61403</v>
      </c>
      <c r="Z3217" s="203" t="e">
        <v>#N/A</v>
      </c>
      <c r="AA3217" s="200">
        <v>3.0496303660685342E-2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61408</v>
      </c>
      <c r="Y3218" s="202">
        <f>_xll.qlInterestRateIndexValueDate(IborIndex,X3218,Trigger)</f>
        <v>61410</v>
      </c>
      <c r="Z3218" s="203" t="e">
        <v>#N/A</v>
      </c>
      <c r="AA3218" s="200">
        <v>3.0496303660845214E-2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61415</v>
      </c>
      <c r="Y3219" s="202">
        <f>_xll.qlInterestRateIndexValueDate(IborIndex,X3219,Trigger)</f>
        <v>61417</v>
      </c>
      <c r="Z3219" s="203" t="e">
        <v>#N/A</v>
      </c>
      <c r="AA3219" s="200">
        <v>3.0496303660845214E-2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61422</v>
      </c>
      <c r="Y3220" s="202">
        <f>_xll.qlInterestRateIndexValueDate(IborIndex,X3220,Trigger)</f>
        <v>61424</v>
      </c>
      <c r="Z3220" s="203" t="e">
        <v>#N/A</v>
      </c>
      <c r="AA3220" s="200">
        <v>3.0496303660845214E-2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61429</v>
      </c>
      <c r="Y3221" s="202">
        <f>_xll.qlInterestRateIndexValueDate(IborIndex,X3221,Trigger)</f>
        <v>61431</v>
      </c>
      <c r="Z3221" s="203" t="e">
        <v>#N/A</v>
      </c>
      <c r="AA3221" s="200">
        <v>3.0496303660765278E-2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61436</v>
      </c>
      <c r="Y3222" s="202">
        <f>_xll.qlInterestRateIndexValueDate(IborIndex,X3222,Trigger)</f>
        <v>61438</v>
      </c>
      <c r="Z3222" s="203" t="e">
        <v>#N/A</v>
      </c>
      <c r="AA3222" s="200">
        <v>3.0496303660845214E-2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61443</v>
      </c>
      <c r="Y3223" s="202">
        <f>_xll.qlInterestRateIndexValueDate(IborIndex,X3223,Trigger)</f>
        <v>61445</v>
      </c>
      <c r="Z3223" s="203" t="e">
        <v>#N/A</v>
      </c>
      <c r="AA3223" s="200">
        <v>3.0496303660845214E-2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61450</v>
      </c>
      <c r="Y3224" s="202">
        <f>_xll.qlInterestRateIndexValueDate(IborIndex,X3224,Trigger)</f>
        <v>61452</v>
      </c>
      <c r="Z3224" s="203" t="e">
        <v>#N/A</v>
      </c>
      <c r="AA3224" s="200">
        <v>3.0496303660685342E-2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61457</v>
      </c>
      <c r="Y3225" s="202">
        <f>_xll.qlInterestRateIndexValueDate(IborIndex,X3225,Trigger)</f>
        <v>61459</v>
      </c>
      <c r="Z3225" s="203" t="e">
        <v>#N/A</v>
      </c>
      <c r="AA3225" s="200">
        <v>3.0496303660765278E-2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61464</v>
      </c>
      <c r="Y3226" s="202">
        <f>_xll.qlInterestRateIndexValueDate(IborIndex,X3226,Trigger)</f>
        <v>61466</v>
      </c>
      <c r="Z3226" s="203" t="e">
        <v>#N/A</v>
      </c>
      <c r="AA3226" s="200">
        <v>3.0496303660845214E-2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61471</v>
      </c>
      <c r="Y3227" s="202">
        <f>_xll.qlInterestRateIndexValueDate(IborIndex,X3227,Trigger)</f>
        <v>61477</v>
      </c>
      <c r="Z3227" s="203" t="e">
        <v>#N/A</v>
      </c>
      <c r="AA3227" s="200">
        <v>3.0496303660765278E-2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61478</v>
      </c>
      <c r="Y3228" s="202">
        <f>_xll.qlInterestRateIndexValueDate(IborIndex,X3228,Trigger)</f>
        <v>61480</v>
      </c>
      <c r="Z3228" s="203" t="e">
        <v>#N/A</v>
      </c>
      <c r="AA3228" s="200">
        <v>3.0496303660765278E-2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61485</v>
      </c>
      <c r="Y3229" s="202">
        <f>_xll.qlInterestRateIndexValueDate(IborIndex,X3229,Trigger)</f>
        <v>61487</v>
      </c>
      <c r="Z3229" s="203" t="e">
        <v>#N/A</v>
      </c>
      <c r="AA3229" s="200">
        <v>3.0496303660845214E-2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61492</v>
      </c>
      <c r="Y3230" s="202">
        <f>_xll.qlInterestRateIndexValueDate(IborIndex,X3230,Trigger)</f>
        <v>61494</v>
      </c>
      <c r="Z3230" s="203" t="e">
        <v>#N/A</v>
      </c>
      <c r="AA3230" s="200">
        <v>3.0496303660845214E-2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61499</v>
      </c>
      <c r="Y3231" s="202">
        <f>_xll.qlInterestRateIndexValueDate(IborIndex,X3231,Trigger)</f>
        <v>61501</v>
      </c>
      <c r="Z3231" s="203" t="e">
        <v>#N/A</v>
      </c>
      <c r="AA3231" s="200">
        <v>3.0496303660845214E-2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61506</v>
      </c>
      <c r="Y3232" s="202">
        <f>_xll.qlInterestRateIndexValueDate(IborIndex,X3232,Trigger)</f>
        <v>61508</v>
      </c>
      <c r="Z3232" s="203" t="e">
        <v>#N/A</v>
      </c>
      <c r="AA3232" s="200">
        <v>3.0496303660845214E-2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61513</v>
      </c>
      <c r="Y3233" s="202">
        <f>_xll.qlInterestRateIndexValueDate(IborIndex,X3233,Trigger)</f>
        <v>61515</v>
      </c>
      <c r="Z3233" s="203" t="e">
        <v>#N/A</v>
      </c>
      <c r="AA3233" s="200">
        <v>3.0496303660845214E-2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61520</v>
      </c>
      <c r="Y3234" s="202">
        <f>_xll.qlInterestRateIndexValueDate(IborIndex,X3234,Trigger)</f>
        <v>61522</v>
      </c>
      <c r="Z3234" s="203" t="e">
        <v>#N/A</v>
      </c>
      <c r="AA3234" s="200">
        <v>3.0496303660845214E-2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61527</v>
      </c>
      <c r="Y3235" s="202">
        <f>_xll.qlInterestRateIndexValueDate(IborIndex,X3235,Trigger)</f>
        <v>61529</v>
      </c>
      <c r="Z3235" s="203" t="e">
        <v>#N/A</v>
      </c>
      <c r="AA3235" s="200">
        <v>3.0496303660765278E-2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61534</v>
      </c>
      <c r="Y3236" s="202">
        <f>_xll.qlInterestRateIndexValueDate(IborIndex,X3236,Trigger)</f>
        <v>61536</v>
      </c>
      <c r="Z3236" s="203" t="e">
        <v>#N/A</v>
      </c>
      <c r="AA3236" s="200">
        <v>3.0496303660765278E-2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61541</v>
      </c>
      <c r="Y3237" s="202">
        <f>_xll.qlInterestRateIndexValueDate(IborIndex,X3237,Trigger)</f>
        <v>61543</v>
      </c>
      <c r="Z3237" s="203" t="e">
        <v>#N/A</v>
      </c>
      <c r="AA3237" s="200">
        <v>3.049759536155161E-2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61548</v>
      </c>
      <c r="Y3238" s="202">
        <f>_xll.qlInterestRateIndexValueDate(IborIndex,X3238,Trigger)</f>
        <v>61550</v>
      </c>
      <c r="Z3238" s="203" t="e">
        <v>#N/A</v>
      </c>
      <c r="AA3238" s="200">
        <v>3.0496303660845214E-2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61555</v>
      </c>
      <c r="Y3239" s="202">
        <f>_xll.qlInterestRateIndexValueDate(IborIndex,X3239,Trigger)</f>
        <v>61557</v>
      </c>
      <c r="Z3239" s="203" t="e">
        <v>#N/A</v>
      </c>
      <c r="AA3239" s="200">
        <v>3.0496303660765278E-2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61562</v>
      </c>
      <c r="Y3240" s="202">
        <f>_xll.qlInterestRateIndexValueDate(IborIndex,X3240,Trigger)</f>
        <v>61564</v>
      </c>
      <c r="Z3240" s="203" t="e">
        <v>#N/A</v>
      </c>
      <c r="AA3240" s="200">
        <v>3.0496303660845214E-2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61569</v>
      </c>
      <c r="Y3241" s="202">
        <f>_xll.qlInterestRateIndexValueDate(IborIndex,X3241,Trigger)</f>
        <v>61571</v>
      </c>
      <c r="Z3241" s="203" t="e">
        <v>#N/A</v>
      </c>
      <c r="AA3241" s="200">
        <v>3.0496303660765278E-2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61576</v>
      </c>
      <c r="Y3242" s="202">
        <f>_xll.qlInterestRateIndexValueDate(IborIndex,X3242,Trigger)</f>
        <v>61578</v>
      </c>
      <c r="Z3242" s="203" t="e">
        <v>#N/A</v>
      </c>
      <c r="AA3242" s="200">
        <v>3.0496303660845214E-2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61583</v>
      </c>
      <c r="Y3243" s="202">
        <f>_xll.qlInterestRateIndexValueDate(IborIndex,X3243,Trigger)</f>
        <v>61585</v>
      </c>
      <c r="Z3243" s="203" t="e">
        <v>#N/A</v>
      </c>
      <c r="AA3243" s="200">
        <v>3.0496303660685342E-2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61590</v>
      </c>
      <c r="Y3244" s="202">
        <f>_xll.qlInterestRateIndexValueDate(IborIndex,X3244,Trigger)</f>
        <v>61592</v>
      </c>
      <c r="Z3244" s="203" t="e">
        <v>#N/A</v>
      </c>
      <c r="AA3244" s="200">
        <v>3.0496303660765278E-2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61597</v>
      </c>
      <c r="Y3245" s="202">
        <f>_xll.qlInterestRateIndexValueDate(IborIndex,X3245,Trigger)</f>
        <v>61599</v>
      </c>
      <c r="Z3245" s="203" t="e">
        <v>#N/A</v>
      </c>
      <c r="AA3245" s="200">
        <v>3.0496303660845214E-2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61604</v>
      </c>
      <c r="Y3246" s="202">
        <f>_xll.qlInterestRateIndexValueDate(IborIndex,X3246,Trigger)</f>
        <v>61606</v>
      </c>
      <c r="Z3246" s="203" t="e">
        <v>#N/A</v>
      </c>
      <c r="AA3246" s="200">
        <v>3.0496303660845214E-2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61611</v>
      </c>
      <c r="Y3247" s="202">
        <f>_xll.qlInterestRateIndexValueDate(IborIndex,X3247,Trigger)</f>
        <v>61613</v>
      </c>
      <c r="Z3247" s="203" t="e">
        <v>#N/A</v>
      </c>
      <c r="AA3247" s="200">
        <v>3.0496303660765278E-2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61618</v>
      </c>
      <c r="Y3248" s="202">
        <f>_xll.qlInterestRateIndexValueDate(IborIndex,X3248,Trigger)</f>
        <v>61620</v>
      </c>
      <c r="Z3248" s="203" t="e">
        <v>#N/A</v>
      </c>
      <c r="AA3248" s="200">
        <v>3.0496303660845214E-2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61625</v>
      </c>
      <c r="Y3249" s="202">
        <f>_xll.qlInterestRateIndexValueDate(IborIndex,X3249,Trigger)</f>
        <v>61627</v>
      </c>
      <c r="Z3249" s="203" t="e">
        <v>#N/A</v>
      </c>
      <c r="AA3249" s="200">
        <v>3.0496303660845214E-2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61632</v>
      </c>
      <c r="Y3250" s="202">
        <f>_xll.qlInterestRateIndexValueDate(IborIndex,X3250,Trigger)</f>
        <v>61634</v>
      </c>
      <c r="Z3250" s="203" t="e">
        <v>#N/A</v>
      </c>
      <c r="AA3250" s="200">
        <v>3.0496303660765278E-2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61639</v>
      </c>
      <c r="Y3251" s="202">
        <f>_xll.qlInterestRateIndexValueDate(IborIndex,X3251,Trigger)</f>
        <v>61641</v>
      </c>
      <c r="Z3251" s="203" t="e">
        <v>#N/A</v>
      </c>
      <c r="AA3251" s="200">
        <v>3.0496303660765278E-2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61646</v>
      </c>
      <c r="Y3252" s="202">
        <f>_xll.qlInterestRateIndexValueDate(IborIndex,X3252,Trigger)</f>
        <v>61648</v>
      </c>
      <c r="Z3252" s="203" t="e">
        <v>#N/A</v>
      </c>
      <c r="AA3252" s="200">
        <v>3.0496303660765278E-2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61653</v>
      </c>
      <c r="Y3253" s="202">
        <f>_xll.qlInterestRateIndexValueDate(IborIndex,X3253,Trigger)</f>
        <v>61655</v>
      </c>
      <c r="Z3253" s="203" t="e">
        <v>#N/A</v>
      </c>
      <c r="AA3253" s="200">
        <v>3.0496303660685342E-2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61660</v>
      </c>
      <c r="Y3254" s="202">
        <f>_xll.qlInterestRateIndexValueDate(IborIndex,X3254,Trigger)</f>
        <v>61662</v>
      </c>
      <c r="Z3254" s="203" t="e">
        <v>#N/A</v>
      </c>
      <c r="AA3254" s="200">
        <v>3.0496303660685342E-2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61667</v>
      </c>
      <c r="Y3255" s="202">
        <f>_xll.qlInterestRateIndexValueDate(IborIndex,X3255,Trigger)</f>
        <v>61669</v>
      </c>
      <c r="Z3255" s="203" t="e">
        <v>#N/A</v>
      </c>
      <c r="AA3255" s="200">
        <v>3.0496303660765278E-2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61674</v>
      </c>
      <c r="Y3256" s="202">
        <f>_xll.qlInterestRateIndexValueDate(IborIndex,X3256,Trigger)</f>
        <v>61676</v>
      </c>
      <c r="Z3256" s="203" t="e">
        <v>#N/A</v>
      </c>
      <c r="AA3256" s="200">
        <v>3.0496303660845214E-2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61681</v>
      </c>
      <c r="Y3257" s="202">
        <f>_xll.qlInterestRateIndexValueDate(IborIndex,X3257,Trigger)</f>
        <v>61683</v>
      </c>
      <c r="Z3257" s="203" t="e">
        <v>#N/A</v>
      </c>
      <c r="AA3257" s="200">
        <v>3.0496303660765278E-2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61688</v>
      </c>
      <c r="Y3258" s="202">
        <f>_xll.qlInterestRateIndexValueDate(IborIndex,X3258,Trigger)</f>
        <v>61690</v>
      </c>
      <c r="Z3258" s="203" t="e">
        <v>#N/A</v>
      </c>
      <c r="AA3258" s="200">
        <v>3.0496303660765278E-2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61695</v>
      </c>
      <c r="Y3259" s="202">
        <f>_xll.qlInterestRateIndexValueDate(IborIndex,X3259,Trigger)</f>
        <v>61697</v>
      </c>
      <c r="Z3259" s="203" t="e">
        <v>#N/A</v>
      </c>
      <c r="AA3259" s="200">
        <v>3.0496303660845214E-2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61702</v>
      </c>
      <c r="Y3260" s="202">
        <f>_xll.qlInterestRateIndexValueDate(IborIndex,X3260,Trigger)</f>
        <v>61704</v>
      </c>
      <c r="Z3260" s="203" t="e">
        <v>#N/A</v>
      </c>
      <c r="AA3260" s="200">
        <v>3.0496303660845214E-2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61709</v>
      </c>
      <c r="Y3261" s="202">
        <f>_xll.qlInterestRateIndexValueDate(IborIndex,X3261,Trigger)</f>
        <v>61711</v>
      </c>
      <c r="Z3261" s="203" t="e">
        <v>#N/A</v>
      </c>
      <c r="AA3261" s="200">
        <v>3.0496303660685342E-2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61716</v>
      </c>
      <c r="Y3262" s="202">
        <f>_xll.qlInterestRateIndexValueDate(IborIndex,X3262,Trigger)</f>
        <v>61718</v>
      </c>
      <c r="Z3262" s="203" t="e">
        <v>#N/A</v>
      </c>
      <c r="AA3262" s="200">
        <v>3.0496303660765278E-2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61724</v>
      </c>
      <c r="Y3263" s="202">
        <f>_xll.qlInterestRateIndexValueDate(IborIndex,X3263,Trigger)</f>
        <v>61728</v>
      </c>
      <c r="Z3263" s="203" t="e">
        <v>#N/A</v>
      </c>
      <c r="AA3263" s="200">
        <v>3.0496303660765278E-2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61731</v>
      </c>
      <c r="Y3264" s="202">
        <f>_xll.qlInterestRateIndexValueDate(IborIndex,X3264,Trigger)</f>
        <v>61735</v>
      </c>
      <c r="Z3264" s="203" t="e">
        <v>#N/A</v>
      </c>
      <c r="AA3264" s="200">
        <v>3.0496303660845214E-2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61738</v>
      </c>
      <c r="Y3265" s="202">
        <f>_xll.qlInterestRateIndexValueDate(IborIndex,X3265,Trigger)</f>
        <v>61742</v>
      </c>
      <c r="Z3265" s="203" t="e">
        <v>#N/A</v>
      </c>
      <c r="AA3265" s="200">
        <v>3.0496303660845214E-2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61745</v>
      </c>
      <c r="Y3266" s="202">
        <f>_xll.qlInterestRateIndexValueDate(IborIndex,X3266,Trigger)</f>
        <v>61750</v>
      </c>
      <c r="Z3266" s="203" t="e">
        <v>#N/A</v>
      </c>
      <c r="AA3266" s="200">
        <v>3.0496303660845214E-2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61752</v>
      </c>
      <c r="Y3267" s="202">
        <f>_xll.qlInterestRateIndexValueDate(IborIndex,X3267,Trigger)</f>
        <v>61756</v>
      </c>
      <c r="Z3267" s="203" t="e">
        <v>#N/A</v>
      </c>
      <c r="AA3267" s="200">
        <v>3.0496303660845214E-2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61759</v>
      </c>
      <c r="Y3268" s="202">
        <f>_xll.qlInterestRateIndexValueDate(IborIndex,X3268,Trigger)</f>
        <v>61763</v>
      </c>
      <c r="Z3268" s="203" t="e">
        <v>#N/A</v>
      </c>
      <c r="AA3268" s="200">
        <v>3.0496303660765278E-2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61766</v>
      </c>
      <c r="Y3269" s="202">
        <f>_xll.qlInterestRateIndexValueDate(IborIndex,X3269,Trigger)</f>
        <v>61770</v>
      </c>
      <c r="Z3269" s="203" t="e">
        <v>#N/A</v>
      </c>
      <c r="AA3269" s="200">
        <v>3.0496303660685342E-2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61773</v>
      </c>
      <c r="Y3270" s="202">
        <f>_xll.qlInterestRateIndexValueDate(IborIndex,X3270,Trigger)</f>
        <v>61778</v>
      </c>
      <c r="Z3270" s="203" t="e">
        <v>#N/A</v>
      </c>
      <c r="AA3270" s="200">
        <v>3.0496303660845214E-2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61780</v>
      </c>
      <c r="Y3271" s="202">
        <f>_xll.qlInterestRateIndexValueDate(IborIndex,X3271,Trigger)</f>
        <v>61784</v>
      </c>
      <c r="Z3271" s="203" t="e">
        <v>#N/A</v>
      </c>
      <c r="AA3271" s="200">
        <v>3.0496303660845214E-2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61787</v>
      </c>
      <c r="Y3272" s="202">
        <f>_xll.qlInterestRateIndexValueDate(IborIndex,X3272,Trigger)</f>
        <v>61791</v>
      </c>
      <c r="Z3272" s="203" t="e">
        <v>#N/A</v>
      </c>
      <c r="AA3272" s="200">
        <v>3.0496303660765278E-2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61794</v>
      </c>
      <c r="Y3273" s="202">
        <f>_xll.qlInterestRateIndexValueDate(IborIndex,X3273,Trigger)</f>
        <v>61798</v>
      </c>
      <c r="Z3273" s="203" t="e">
        <v>#N/A</v>
      </c>
      <c r="AA3273" s="200">
        <v>3.0496303660765278E-2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61801</v>
      </c>
      <c r="Y3274" s="202">
        <f>_xll.qlInterestRateIndexValueDate(IborIndex,X3274,Trigger)</f>
        <v>61805</v>
      </c>
      <c r="Z3274" s="203" t="e">
        <v>#N/A</v>
      </c>
      <c r="AA3274" s="200">
        <v>3.0496303660765278E-2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61808</v>
      </c>
      <c r="Y3275" s="202">
        <f>_xll.qlInterestRateIndexValueDate(IborIndex,X3275,Trigger)</f>
        <v>61812</v>
      </c>
      <c r="Z3275" s="203" t="e">
        <v>#N/A</v>
      </c>
      <c r="AA3275" s="200">
        <v>3.0496303660845214E-2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61815</v>
      </c>
      <c r="Y3276" s="202">
        <f>_xll.qlInterestRateIndexValueDate(IborIndex,X3276,Trigger)</f>
        <v>61819</v>
      </c>
      <c r="Z3276" s="203" t="e">
        <v>#N/A</v>
      </c>
      <c r="AA3276" s="200">
        <v>3.0496303660765278E-2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61822</v>
      </c>
      <c r="Y3277" s="202">
        <f>_xll.qlInterestRateIndexValueDate(IborIndex,X3277,Trigger)</f>
        <v>61826</v>
      </c>
      <c r="Z3277" s="203" t="e">
        <v>#N/A</v>
      </c>
      <c r="AA3277" s="200">
        <v>3.0496303660685342E-2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61829</v>
      </c>
      <c r="Y3278" s="202">
        <f>_xll.qlInterestRateIndexValueDate(IborIndex,X3278,Trigger)</f>
        <v>61835</v>
      </c>
      <c r="Z3278" s="203" t="e">
        <v>#N/A</v>
      </c>
      <c r="AA3278" s="200">
        <v>3.0498887135239627E-2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61836</v>
      </c>
      <c r="Y3279" s="202">
        <f>_xll.qlInterestRateIndexValueDate(IborIndex,X3279,Trigger)</f>
        <v>61840</v>
      </c>
      <c r="Z3279" s="203" t="e">
        <v>#N/A</v>
      </c>
      <c r="AA3279" s="200">
        <v>3.0496303660845214E-2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61843</v>
      </c>
      <c r="Y3280" s="202">
        <f>_xll.qlInterestRateIndexValueDate(IborIndex,X3280,Trigger)</f>
        <v>61847</v>
      </c>
      <c r="Z3280" s="203" t="e">
        <v>#N/A</v>
      </c>
      <c r="AA3280" s="200">
        <v>3.0496303660765278E-2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61850</v>
      </c>
      <c r="Y3281" s="202">
        <f>_xll.qlInterestRateIndexValueDate(IborIndex,X3281,Trigger)</f>
        <v>61855</v>
      </c>
      <c r="Z3281" s="203" t="e">
        <v>#N/A</v>
      </c>
      <c r="AA3281" s="200">
        <v>3.0496303660765278E-2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61857</v>
      </c>
      <c r="Y3282" s="202">
        <f>_xll.qlInterestRateIndexValueDate(IborIndex,X3282,Trigger)</f>
        <v>61861</v>
      </c>
      <c r="Z3282" s="203" t="e">
        <v>#N/A</v>
      </c>
      <c r="AA3282" s="200">
        <v>3.0496303660845214E-2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61864</v>
      </c>
      <c r="Y3283" s="202">
        <f>_xll.qlInterestRateIndexValueDate(IborIndex,X3283,Trigger)</f>
        <v>61868</v>
      </c>
      <c r="Z3283" s="203" t="e">
        <v>#N/A</v>
      </c>
      <c r="AA3283" s="200">
        <v>3.0496303660845214E-2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61871</v>
      </c>
      <c r="Y3284" s="202">
        <f>_xll.qlInterestRateIndexValueDate(IborIndex,X3284,Trigger)</f>
        <v>61876</v>
      </c>
      <c r="Z3284" s="203" t="e">
        <v>#N/A</v>
      </c>
      <c r="AA3284" s="200">
        <v>3.0496303660845214E-2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61878</v>
      </c>
      <c r="Y3285" s="202">
        <f>_xll.qlInterestRateIndexValueDate(IborIndex,X3285,Trigger)</f>
        <v>61882</v>
      </c>
      <c r="Z3285" s="203" t="e">
        <v>#N/A</v>
      </c>
      <c r="AA3285" s="200">
        <v>3.0496303660765278E-2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61885</v>
      </c>
      <c r="Y3286" s="202">
        <f>_xll.qlInterestRateIndexValueDate(IborIndex,X3286,Trigger)</f>
        <v>61889</v>
      </c>
      <c r="Z3286" s="203" t="e">
        <v>#N/A</v>
      </c>
      <c r="AA3286" s="200">
        <v>3.0496303660845214E-2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61892</v>
      </c>
      <c r="Y3287" s="202">
        <f>_xll.qlInterestRateIndexValueDate(IborIndex,X3287,Trigger)</f>
        <v>61896</v>
      </c>
      <c r="Z3287" s="203" t="e">
        <v>#N/A</v>
      </c>
      <c r="AA3287" s="200">
        <v>3.0496303660765278E-2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61899</v>
      </c>
      <c r="Y3288" s="202">
        <f>_xll.qlInterestRateIndexValueDate(IborIndex,X3288,Trigger)</f>
        <v>61903</v>
      </c>
      <c r="Z3288" s="203" t="e">
        <v>#N/A</v>
      </c>
      <c r="AA3288" s="200">
        <v>3.0496303660765278E-2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61906</v>
      </c>
      <c r="Y3289" s="202">
        <f>_xll.qlInterestRateIndexValueDate(IborIndex,X3289,Trigger)</f>
        <v>61910</v>
      </c>
      <c r="Z3289" s="203" t="e">
        <v>#N/A</v>
      </c>
      <c r="AA3289" s="200">
        <v>3.0497595361511642E-2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61913</v>
      </c>
      <c r="Y3290" s="202">
        <f>_xll.qlInterestRateIndexValueDate(IborIndex,X3290,Trigger)</f>
        <v>61917</v>
      </c>
      <c r="Z3290" s="203" t="e">
        <v>#N/A</v>
      </c>
      <c r="AA3290" s="200">
        <v>3.0496303660845214E-2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61920</v>
      </c>
      <c r="Y3291" s="202">
        <f>_xll.qlInterestRateIndexValueDate(IborIndex,X3291,Trigger)</f>
        <v>61924</v>
      </c>
      <c r="Z3291" s="203" t="e">
        <v>#N/A</v>
      </c>
      <c r="AA3291" s="200">
        <v>3.0496303660765278E-2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61927</v>
      </c>
      <c r="Y3292" s="202">
        <f>_xll.qlInterestRateIndexValueDate(IborIndex,X3292,Trigger)</f>
        <v>61931</v>
      </c>
      <c r="Z3292" s="203" t="e">
        <v>#N/A</v>
      </c>
      <c r="AA3292" s="200">
        <v>3.0496303660845214E-2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61934</v>
      </c>
      <c r="Y3293" s="202">
        <f>_xll.qlInterestRateIndexValueDate(IborIndex,X3293,Trigger)</f>
        <v>61938</v>
      </c>
      <c r="Z3293" s="203" t="e">
        <v>#N/A</v>
      </c>
      <c r="AA3293" s="200">
        <v>3.0496303660845214E-2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61941</v>
      </c>
      <c r="Y3294" s="202">
        <f>_xll.qlInterestRateIndexValueDate(IborIndex,X3294,Trigger)</f>
        <v>61945</v>
      </c>
      <c r="Z3294" s="203" t="e">
        <v>#N/A</v>
      </c>
      <c r="AA3294" s="200">
        <v>3.0496303660845214E-2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61948</v>
      </c>
      <c r="Y3295" s="202">
        <f>_xll.qlInterestRateIndexValueDate(IborIndex,X3295,Trigger)</f>
        <v>61952</v>
      </c>
      <c r="Z3295" s="203" t="e">
        <v>#N/A</v>
      </c>
      <c r="AA3295" s="200">
        <v>3.0496303660845214E-2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61955</v>
      </c>
      <c r="Y3296" s="202">
        <f>_xll.qlInterestRateIndexValueDate(IborIndex,X3296,Trigger)</f>
        <v>61959</v>
      </c>
      <c r="Z3296" s="203" t="e">
        <v>#N/A</v>
      </c>
      <c r="AA3296" s="200">
        <v>3.0496303660845214E-2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61962</v>
      </c>
      <c r="Y3297" s="202">
        <f>_xll.qlInterestRateIndexValueDate(IborIndex,X3297,Trigger)</f>
        <v>61967</v>
      </c>
      <c r="Z3297" s="203" t="e">
        <v>#N/A</v>
      </c>
      <c r="AA3297" s="200">
        <v>3.0496303660845214E-2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61969</v>
      </c>
      <c r="Y3298" s="202">
        <f>_xll.qlInterestRateIndexValueDate(IborIndex,X3298,Trigger)</f>
        <v>61974</v>
      </c>
      <c r="Z3298" s="203" t="e">
        <v>#N/A</v>
      </c>
      <c r="AA3298" s="200">
        <v>3.0496303660845214E-2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61976</v>
      </c>
      <c r="Y3299" s="202">
        <f>_xll.qlInterestRateIndexValueDate(IborIndex,X3299,Trigger)</f>
        <v>61980</v>
      </c>
      <c r="Z3299" s="203" t="e">
        <v>#N/A</v>
      </c>
      <c r="AA3299" s="200">
        <v>3.0496303660765278E-2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61983</v>
      </c>
      <c r="Y3300" s="202">
        <f>_xll.qlInterestRateIndexValueDate(IborIndex,X3300,Trigger)</f>
        <v>61987</v>
      </c>
      <c r="Z3300" s="203" t="e">
        <v>#N/A</v>
      </c>
      <c r="AA3300" s="200">
        <v>3.0496303660845214E-2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61990</v>
      </c>
      <c r="Y3301" s="202">
        <f>_xll.qlInterestRateIndexValueDate(IborIndex,X3301,Trigger)</f>
        <v>61994</v>
      </c>
      <c r="Z3301" s="203" t="e">
        <v>#N/A</v>
      </c>
      <c r="AA3301" s="200">
        <v>3.0496303660765278E-2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61997</v>
      </c>
      <c r="Y3302" s="202">
        <f>_xll.qlInterestRateIndexValueDate(IborIndex,X3302,Trigger)</f>
        <v>62001</v>
      </c>
      <c r="Z3302" s="203" t="e">
        <v>#N/A</v>
      </c>
      <c r="AA3302" s="200">
        <v>3.0496303660765278E-2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62004</v>
      </c>
      <c r="Y3303" s="202">
        <f>_xll.qlInterestRateIndexValueDate(IborIndex,X3303,Trigger)</f>
        <v>62008</v>
      </c>
      <c r="Z3303" s="203" t="e">
        <v>#N/A</v>
      </c>
      <c r="AA3303" s="200">
        <v>3.0496303660845214E-2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62011</v>
      </c>
      <c r="Y3304" s="202">
        <f>_xll.qlInterestRateIndexValueDate(IborIndex,X3304,Trigger)</f>
        <v>62016</v>
      </c>
      <c r="Z3304" s="203" t="e">
        <v>#N/A</v>
      </c>
      <c r="AA3304" s="200">
        <v>3.0496303660765278E-2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62018</v>
      </c>
      <c r="Y3305" s="202">
        <f>_xll.qlInterestRateIndexValueDate(IborIndex,X3305,Trigger)</f>
        <v>62022</v>
      </c>
      <c r="Z3305" s="203" t="e">
        <v>#N/A</v>
      </c>
      <c r="AA3305" s="200">
        <v>3.0496303660765278E-2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62025</v>
      </c>
      <c r="Y3306" s="202">
        <f>_xll.qlInterestRateIndexValueDate(IborIndex,X3306,Trigger)</f>
        <v>62029</v>
      </c>
      <c r="Z3306" s="203" t="e">
        <v>#N/A</v>
      </c>
      <c r="AA3306" s="200">
        <v>3.0496303660765278E-2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62032</v>
      </c>
      <c r="Y3307" s="202">
        <f>_xll.qlInterestRateIndexValueDate(IborIndex,X3307,Trigger)</f>
        <v>62036</v>
      </c>
      <c r="Z3307" s="203" t="e">
        <v>#N/A</v>
      </c>
      <c r="AA3307" s="200">
        <v>3.0496303660765278E-2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62039</v>
      </c>
      <c r="Y3308" s="202">
        <f>_xll.qlInterestRateIndexValueDate(IborIndex,X3308,Trigger)</f>
        <v>62044</v>
      </c>
      <c r="Z3308" s="203" t="e">
        <v>#N/A</v>
      </c>
      <c r="AA3308" s="200">
        <v>3.0496303660845214E-2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62046</v>
      </c>
      <c r="Y3309" s="202">
        <f>_xll.qlInterestRateIndexValueDate(IborIndex,X3309,Trigger)</f>
        <v>62050</v>
      </c>
      <c r="Z3309" s="203" t="e">
        <v>#N/A</v>
      </c>
      <c r="AA3309" s="200">
        <v>3.0496303660765278E-2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62053</v>
      </c>
      <c r="Y3310" s="202">
        <f>_xll.qlInterestRateIndexValueDate(IborIndex,X3310,Trigger)</f>
        <v>62057</v>
      </c>
      <c r="Z3310" s="203" t="e">
        <v>#N/A</v>
      </c>
      <c r="AA3310" s="200">
        <v>3.049759536155161E-2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62060</v>
      </c>
      <c r="Y3311" s="202">
        <f>_xll.qlInterestRateIndexValueDate(IborIndex,X3311,Trigger)</f>
        <v>62064</v>
      </c>
      <c r="Z3311" s="203" t="e">
        <v>#N/A</v>
      </c>
      <c r="AA3311" s="200">
        <v>3.0496303660765278E-2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62067</v>
      </c>
      <c r="Y3312" s="202">
        <f>_xll.qlInterestRateIndexValueDate(IborIndex,X3312,Trigger)</f>
        <v>62071</v>
      </c>
      <c r="Z3312" s="203" t="e">
        <v>#N/A</v>
      </c>
      <c r="AA3312" s="200">
        <v>3.0496303660845214E-2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62074</v>
      </c>
      <c r="Y3313" s="202">
        <f>_xll.qlInterestRateIndexValueDate(IborIndex,X3313,Trigger)</f>
        <v>62078</v>
      </c>
      <c r="Z3313" s="203" t="e">
        <v>#N/A</v>
      </c>
      <c r="AA3313" s="200">
        <v>3.0496303660765278E-2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62081</v>
      </c>
      <c r="Y3314" s="202">
        <f>_xll.qlInterestRateIndexValueDate(IborIndex,X3314,Trigger)</f>
        <v>62085</v>
      </c>
      <c r="Z3314" s="203" t="e">
        <v>#N/A</v>
      </c>
      <c r="AA3314" s="200">
        <v>3.0496303660765278E-2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62089</v>
      </c>
      <c r="Y3315" s="202">
        <f>_xll.qlInterestRateIndexValueDate(IborIndex,X3315,Trigger)</f>
        <v>62093</v>
      </c>
      <c r="Z3315" s="203" t="e">
        <v>#N/A</v>
      </c>
      <c r="AA3315" s="200">
        <v>3.0498887135212982E-2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62096</v>
      </c>
      <c r="Y3316" s="202">
        <f>_xll.qlInterestRateIndexValueDate(IborIndex,X3316,Trigger)</f>
        <v>62100</v>
      </c>
      <c r="Z3316" s="203" t="e">
        <v>#N/A</v>
      </c>
      <c r="AA3316" s="200">
        <v>3.0496303660765278E-2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62103</v>
      </c>
      <c r="Y3317" s="202">
        <f>_xll.qlInterestRateIndexValueDate(IborIndex,X3317,Trigger)</f>
        <v>62107</v>
      </c>
      <c r="Z3317" s="203" t="e">
        <v>#N/A</v>
      </c>
      <c r="AA3317" s="200">
        <v>3.0496303660845214E-2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62110</v>
      </c>
      <c r="Y3318" s="202">
        <f>_xll.qlInterestRateIndexValueDate(IborIndex,X3318,Trigger)</f>
        <v>62114</v>
      </c>
      <c r="Z3318" s="203" t="e">
        <v>#N/A</v>
      </c>
      <c r="AA3318" s="200">
        <v>3.0496303660765278E-2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62117</v>
      </c>
      <c r="Y3319" s="202">
        <f>_xll.qlInterestRateIndexValueDate(IborIndex,X3319,Trigger)</f>
        <v>62121</v>
      </c>
      <c r="Z3319" s="203" t="e">
        <v>#N/A</v>
      </c>
      <c r="AA3319" s="200">
        <v>3.0496303660845214E-2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62124</v>
      </c>
      <c r="Y3320" s="202">
        <f>_xll.qlInterestRateIndexValueDate(IborIndex,X3320,Trigger)</f>
        <v>62128</v>
      </c>
      <c r="Z3320" s="203" t="e">
        <v>#N/A</v>
      </c>
      <c r="AA3320" s="200">
        <v>3.0496303660845214E-2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62131</v>
      </c>
      <c r="Y3321" s="202">
        <f>_xll.qlInterestRateIndexValueDate(IborIndex,X3321,Trigger)</f>
        <v>62135</v>
      </c>
      <c r="Z3321" s="203" t="e">
        <v>#N/A</v>
      </c>
      <c r="AA3321" s="200">
        <v>3.0496303660765278E-2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62138</v>
      </c>
      <c r="Y3322" s="202">
        <f>_xll.qlInterestRateIndexValueDate(IborIndex,X3322,Trigger)</f>
        <v>62142</v>
      </c>
      <c r="Z3322" s="203" t="e">
        <v>#N/A</v>
      </c>
      <c r="AA3322" s="200">
        <v>3.0496303660765278E-2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62145</v>
      </c>
      <c r="Y3323" s="202">
        <f>_xll.qlInterestRateIndexValueDate(IborIndex,X3323,Trigger)</f>
        <v>62149</v>
      </c>
      <c r="Z3323" s="203" t="e">
        <v>#N/A</v>
      </c>
      <c r="AA3323" s="200">
        <v>3.0496303660765278E-2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62152</v>
      </c>
      <c r="Y3324" s="202">
        <f>_xll.qlInterestRateIndexValueDate(IborIndex,X3324,Trigger)</f>
        <v>62156</v>
      </c>
      <c r="Z3324" s="203" t="e">
        <v>#N/A</v>
      </c>
      <c r="AA3324" s="200">
        <v>3.0496303660845214E-2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62159</v>
      </c>
      <c r="Y3325" s="202">
        <f>_xll.qlInterestRateIndexValueDate(IborIndex,X3325,Trigger)</f>
        <v>62163</v>
      </c>
      <c r="Z3325" s="203" t="e">
        <v>#N/A</v>
      </c>
      <c r="AA3325" s="200">
        <v>3.0496303660685342E-2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62166</v>
      </c>
      <c r="Y3326" s="202">
        <f>_xll.qlInterestRateIndexValueDate(IborIndex,X3326,Trigger)</f>
        <v>62170</v>
      </c>
      <c r="Z3326" s="203" t="e">
        <v>#N/A</v>
      </c>
      <c r="AA3326" s="200">
        <v>3.0496303660765278E-2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62173</v>
      </c>
      <c r="Y3327" s="202">
        <f>_xll.qlInterestRateIndexValueDate(IborIndex,X3327,Trigger)</f>
        <v>62177</v>
      </c>
      <c r="Z3327" s="203" t="e">
        <v>#N/A</v>
      </c>
      <c r="AA3327" s="200">
        <v>3.0496303660765278E-2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62184</v>
      </c>
      <c r="Y3328" s="202">
        <f>_xll.qlInterestRateIndexValueDate(IborIndex,X3328,Trigger)</f>
        <v>62186</v>
      </c>
      <c r="Z3328" s="203" t="e">
        <v>#N/A</v>
      </c>
      <c r="AA3328" s="200">
        <v>3.049630366092515E-2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62191</v>
      </c>
      <c r="Y3329" s="202">
        <f>_xll.qlInterestRateIndexValueDate(IborIndex,X3329,Trigger)</f>
        <v>62193</v>
      </c>
      <c r="Z3329" s="203" t="e">
        <v>#N/A</v>
      </c>
      <c r="AA3329" s="200">
        <v>3.0496303660845214E-2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62198</v>
      </c>
      <c r="Y3330" s="202">
        <f>_xll.qlInterestRateIndexValueDate(IborIndex,X3330,Trigger)</f>
        <v>62200</v>
      </c>
      <c r="Z3330" s="203" t="e">
        <v>#N/A</v>
      </c>
      <c r="AA3330" s="200">
        <v>3.0496303660765278E-2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62205</v>
      </c>
      <c r="Y3331" s="202">
        <f>_xll.qlInterestRateIndexValueDate(IborIndex,X3331,Trigger)</f>
        <v>62207</v>
      </c>
      <c r="Z3331" s="203" t="e">
        <v>#N/A</v>
      </c>
      <c r="AA3331" s="200">
        <v>3.0496303660765278E-2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62212</v>
      </c>
      <c r="Y3332" s="202">
        <f>_xll.qlInterestRateIndexValueDate(IborIndex,X3332,Trigger)</f>
        <v>62214</v>
      </c>
      <c r="Z3332" s="203" t="e">
        <v>#N/A</v>
      </c>
      <c r="AA3332" s="200">
        <v>3.0496303660845214E-2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62219</v>
      </c>
      <c r="Y3333" s="202">
        <f>_xll.qlInterestRateIndexValueDate(IborIndex,X3333,Trigger)</f>
        <v>62221</v>
      </c>
      <c r="Z3333" s="203" t="e">
        <v>#N/A</v>
      </c>
      <c r="AA3333" s="200">
        <v>3.0496303660845214E-2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62226</v>
      </c>
      <c r="Y3334" s="202">
        <f>_xll.qlInterestRateIndexValueDate(IborIndex,X3334,Trigger)</f>
        <v>62228</v>
      </c>
      <c r="Z3334" s="203" t="e">
        <v>#N/A</v>
      </c>
      <c r="AA3334" s="200">
        <v>3.0496303660765278E-2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62233</v>
      </c>
      <c r="Y3335" s="202">
        <f>_xll.qlInterestRateIndexValueDate(IborIndex,X3335,Trigger)</f>
        <v>62235</v>
      </c>
      <c r="Z3335" s="203" t="e">
        <v>#N/A</v>
      </c>
      <c r="AA3335" s="200">
        <v>3.0496303660765278E-2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62240</v>
      </c>
      <c r="Y3336" s="202">
        <f>_xll.qlInterestRateIndexValueDate(IborIndex,X3336,Trigger)</f>
        <v>62242</v>
      </c>
      <c r="Z3336" s="203" t="e">
        <v>#N/A</v>
      </c>
      <c r="AA3336" s="200">
        <v>3.0496303660845214E-2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62247</v>
      </c>
      <c r="Y3337" s="202">
        <f>_xll.qlInterestRateIndexValueDate(IborIndex,X3337,Trigger)</f>
        <v>62249</v>
      </c>
      <c r="Z3337" s="203" t="e">
        <v>#N/A</v>
      </c>
      <c r="AA3337" s="200">
        <v>3.0496303660845214E-2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62254</v>
      </c>
      <c r="Y3338" s="202">
        <f>_xll.qlInterestRateIndexValueDate(IborIndex,X3338,Trigger)</f>
        <v>62256</v>
      </c>
      <c r="Z3338" s="203" t="e">
        <v>#N/A</v>
      </c>
      <c r="AA3338" s="200">
        <v>3.0496303660765278E-2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62261</v>
      </c>
      <c r="Y3339" s="202">
        <f>_xll.qlInterestRateIndexValueDate(IborIndex,X3339,Trigger)</f>
        <v>62263</v>
      </c>
      <c r="Z3339" s="203" t="e">
        <v>#N/A</v>
      </c>
      <c r="AA3339" s="200">
        <v>3.0496303660765278E-2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62268</v>
      </c>
      <c r="Y3340" s="202">
        <f>_xll.qlInterestRateIndexValueDate(IborIndex,X3340,Trigger)</f>
        <v>62270</v>
      </c>
      <c r="Z3340" s="203" t="e">
        <v>#N/A</v>
      </c>
      <c r="AA3340" s="200">
        <v>3.0496303660845214E-2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62275</v>
      </c>
      <c r="Y3341" s="202">
        <f>_xll.qlInterestRateIndexValueDate(IborIndex,X3341,Trigger)</f>
        <v>62277</v>
      </c>
      <c r="Z3341" s="203" t="e">
        <v>#N/A</v>
      </c>
      <c r="AA3341" s="200">
        <v>3.0496303660765278E-2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62282</v>
      </c>
      <c r="Y3342" s="202">
        <f>_xll.qlInterestRateIndexValueDate(IborIndex,X3342,Trigger)</f>
        <v>62284</v>
      </c>
      <c r="Z3342" s="203" t="e">
        <v>#N/A</v>
      </c>
      <c r="AA3342" s="200">
        <v>3.0496303660685342E-2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62289</v>
      </c>
      <c r="Y3343" s="202">
        <f>_xll.qlInterestRateIndexValueDate(IborIndex,X3343,Trigger)</f>
        <v>62291</v>
      </c>
      <c r="Z3343" s="203" t="e">
        <v>#N/A</v>
      </c>
      <c r="AA3343" s="200">
        <v>3.0496303660845214E-2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62296</v>
      </c>
      <c r="Y3344" s="202">
        <f>_xll.qlInterestRateIndexValueDate(IborIndex,X3344,Trigger)</f>
        <v>62298</v>
      </c>
      <c r="Z3344" s="203" t="e">
        <v>#N/A</v>
      </c>
      <c r="AA3344" s="200">
        <v>3.0496303660845214E-2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62303</v>
      </c>
      <c r="Y3345" s="202">
        <f>_xll.qlInterestRateIndexValueDate(IborIndex,X3345,Trigger)</f>
        <v>62305</v>
      </c>
      <c r="Z3345" s="203" t="e">
        <v>#N/A</v>
      </c>
      <c r="AA3345" s="200">
        <v>3.0496303660765278E-2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62310</v>
      </c>
      <c r="Y3346" s="202">
        <f>_xll.qlInterestRateIndexValueDate(IborIndex,X3346,Trigger)</f>
        <v>62312</v>
      </c>
      <c r="Z3346" s="203" t="e">
        <v>#N/A</v>
      </c>
      <c r="AA3346" s="200">
        <v>3.0496303660765278E-2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62317</v>
      </c>
      <c r="Y3347" s="202">
        <f>_xll.qlInterestRateIndexValueDate(IborIndex,X3347,Trigger)</f>
        <v>62319</v>
      </c>
      <c r="Z3347" s="203" t="e">
        <v>#N/A</v>
      </c>
      <c r="AA3347" s="200">
        <v>3.0496303660845214E-2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62324</v>
      </c>
      <c r="Y3348" s="202">
        <f>_xll.qlInterestRateIndexValueDate(IborIndex,X3348,Trigger)</f>
        <v>62326</v>
      </c>
      <c r="Z3348" s="203" t="e">
        <v>#N/A</v>
      </c>
      <c r="AA3348" s="200">
        <v>3.0496303660765278E-2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62331</v>
      </c>
      <c r="Y3349" s="202">
        <f>_xll.qlInterestRateIndexValueDate(IborIndex,X3349,Trigger)</f>
        <v>62333</v>
      </c>
      <c r="Z3349" s="203" t="e">
        <v>#N/A</v>
      </c>
      <c r="AA3349" s="200">
        <v>3.0496303660765278E-2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62338</v>
      </c>
      <c r="Y3350" s="202">
        <f>_xll.qlInterestRateIndexValueDate(IborIndex,X3350,Trigger)</f>
        <v>62340</v>
      </c>
      <c r="Z3350" s="203" t="e">
        <v>#N/A</v>
      </c>
      <c r="AA3350" s="200">
        <v>3.0496303660845214E-2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62345</v>
      </c>
      <c r="Y3351" s="202">
        <f>_xll.qlInterestRateIndexValueDate(IborIndex,X3351,Trigger)</f>
        <v>62347</v>
      </c>
      <c r="Z3351" s="203" t="e">
        <v>#N/A</v>
      </c>
      <c r="AA3351" s="200">
        <v>3.0496303660845214E-2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62352</v>
      </c>
      <c r="Y3352" s="202">
        <f>_xll.qlInterestRateIndexValueDate(IborIndex,X3352,Trigger)</f>
        <v>62354</v>
      </c>
      <c r="Z3352" s="203" t="e">
        <v>#N/A</v>
      </c>
      <c r="AA3352" s="200">
        <v>3.0496303660765278E-2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62359</v>
      </c>
      <c r="Y3353" s="202">
        <f>_xll.qlInterestRateIndexValueDate(IborIndex,X3353,Trigger)</f>
        <v>62361</v>
      </c>
      <c r="Z3353" s="203" t="e">
        <v>#N/A</v>
      </c>
      <c r="AA3353" s="200">
        <v>3.0496303660765278E-2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62366</v>
      </c>
      <c r="Y3354" s="202">
        <f>_xll.qlInterestRateIndexValueDate(IborIndex,X3354,Trigger)</f>
        <v>62368</v>
      </c>
      <c r="Z3354" s="203" t="e">
        <v>#N/A</v>
      </c>
      <c r="AA3354" s="200">
        <v>3.0496303660845214E-2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62373</v>
      </c>
      <c r="Y3355" s="202">
        <f>_xll.qlInterestRateIndexValueDate(IborIndex,X3355,Trigger)</f>
        <v>62375</v>
      </c>
      <c r="Z3355" s="203" t="e">
        <v>#N/A</v>
      </c>
      <c r="AA3355" s="200">
        <v>3.0496303660845214E-2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62380</v>
      </c>
      <c r="Y3356" s="202">
        <f>_xll.qlInterestRateIndexValueDate(IborIndex,X3356,Trigger)</f>
        <v>62382</v>
      </c>
      <c r="Z3356" s="203" t="e">
        <v>#N/A</v>
      </c>
      <c r="AA3356" s="200">
        <v>3.0496303660765278E-2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62387</v>
      </c>
      <c r="Y3357" s="202">
        <f>_xll.qlInterestRateIndexValueDate(IborIndex,X3357,Trigger)</f>
        <v>62389</v>
      </c>
      <c r="Z3357" s="203" t="e">
        <v>#N/A</v>
      </c>
      <c r="AA3357" s="200">
        <v>3.0496303660845214E-2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62394</v>
      </c>
      <c r="Y3358" s="202">
        <f>_xll.qlInterestRateIndexValueDate(IborIndex,X3358,Trigger)</f>
        <v>62396</v>
      </c>
      <c r="Z3358" s="203" t="e">
        <v>#N/A</v>
      </c>
      <c r="AA3358" s="200">
        <v>3.0496303660845214E-2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62401</v>
      </c>
      <c r="Y3359" s="202">
        <f>_xll.qlInterestRateIndexValueDate(IborIndex,X3359,Trigger)</f>
        <v>62403</v>
      </c>
      <c r="Z3359" s="203" t="e">
        <v>#N/A</v>
      </c>
      <c r="AA3359" s="200">
        <v>3.049759536155161E-2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62408</v>
      </c>
      <c r="Y3360" s="202">
        <f>_xll.qlInterestRateIndexValueDate(IborIndex,X3360,Trigger)</f>
        <v>62410</v>
      </c>
      <c r="Z3360" s="203" t="e">
        <v>#N/A</v>
      </c>
      <c r="AA3360" s="200">
        <v>3.0496303660685342E-2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62415</v>
      </c>
      <c r="Y3361" s="202">
        <f>_xll.qlInterestRateIndexValueDate(IborIndex,X3361,Trigger)</f>
        <v>62417</v>
      </c>
      <c r="Z3361" s="203" t="e">
        <v>#N/A</v>
      </c>
      <c r="AA3361" s="200">
        <v>3.0496303660765278E-2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62422</v>
      </c>
      <c r="Y3362" s="202">
        <f>_xll.qlInterestRateIndexValueDate(IborIndex,X3362,Trigger)</f>
        <v>62425</v>
      </c>
      <c r="Z3362" s="203" t="e">
        <v>#N/A</v>
      </c>
      <c r="AA3362" s="200">
        <v>3.0496303660845214E-2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62429</v>
      </c>
      <c r="Y3363" s="202">
        <f>_xll.qlInterestRateIndexValueDate(IborIndex,X3363,Trigger)</f>
        <v>62431</v>
      </c>
      <c r="Z3363" s="203" t="e">
        <v>#N/A</v>
      </c>
      <c r="AA3363" s="200">
        <v>3.0496303660685342E-2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62436</v>
      </c>
      <c r="Y3364" s="202">
        <f>_xll.qlInterestRateIndexValueDate(IborIndex,X3364,Trigger)</f>
        <v>62438</v>
      </c>
      <c r="Z3364" s="203" t="e">
        <v>#N/A</v>
      </c>
      <c r="AA3364" s="200">
        <v>3.0496303660845214E-2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62443</v>
      </c>
      <c r="Y3365" s="202">
        <f>_xll.qlInterestRateIndexValueDate(IborIndex,X3365,Trigger)</f>
        <v>62445</v>
      </c>
      <c r="Z3365" s="203" t="e">
        <v>#N/A</v>
      </c>
      <c r="AA3365" s="200">
        <v>3.0496303660765278E-2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62450</v>
      </c>
      <c r="Y3366" s="202">
        <f>_xll.qlInterestRateIndexValueDate(IborIndex,X3366,Trigger)</f>
        <v>62456</v>
      </c>
      <c r="Z3366" s="203" t="e">
        <v>#N/A</v>
      </c>
      <c r="AA3366" s="200">
        <v>3.0497595361511642E-2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62457</v>
      </c>
      <c r="Y3367" s="202">
        <f>_xll.qlInterestRateIndexValueDate(IborIndex,X3367,Trigger)</f>
        <v>62460</v>
      </c>
      <c r="Z3367" s="203" t="e">
        <v>#N/A</v>
      </c>
      <c r="AA3367" s="200">
        <v>3.0496303660845214E-2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62464</v>
      </c>
      <c r="Y3368" s="202">
        <f>_xll.qlInterestRateIndexValueDate(IborIndex,X3368,Trigger)</f>
        <v>62466</v>
      </c>
      <c r="Z3368" s="203" t="e">
        <v>#N/A</v>
      </c>
      <c r="AA3368" s="200">
        <v>3.0496303660845214E-2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62471</v>
      </c>
      <c r="Y3369" s="202">
        <f>_xll.qlInterestRateIndexValueDate(IborIndex,X3369,Trigger)</f>
        <v>62473</v>
      </c>
      <c r="Z3369" s="203" t="e">
        <v>#N/A</v>
      </c>
      <c r="AA3369" s="200">
        <v>3.0496303660765278E-2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62478</v>
      </c>
      <c r="Y3370" s="202">
        <f>_xll.qlInterestRateIndexValueDate(IborIndex,X3370,Trigger)</f>
        <v>62480</v>
      </c>
      <c r="Z3370" s="203" t="e">
        <v>#N/A</v>
      </c>
      <c r="AA3370" s="200">
        <v>3.0496303660765278E-2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62485</v>
      </c>
      <c r="Y3371" s="202">
        <f>_xll.qlInterestRateIndexValueDate(IborIndex,X3371,Trigger)</f>
        <v>62487</v>
      </c>
      <c r="Z3371" s="203" t="e">
        <v>#N/A</v>
      </c>
      <c r="AA3371" s="200">
        <v>3.0496303660765278E-2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62492</v>
      </c>
      <c r="Y3372" s="202">
        <f>_xll.qlInterestRateIndexValueDate(IborIndex,X3372,Trigger)</f>
        <v>62494</v>
      </c>
      <c r="Z3372" s="203" t="e">
        <v>#N/A</v>
      </c>
      <c r="AA3372" s="200">
        <v>3.0496303660845214E-2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62499</v>
      </c>
      <c r="Y3373" s="202">
        <f>_xll.qlInterestRateIndexValueDate(IborIndex,X3373,Trigger)</f>
        <v>62501</v>
      </c>
      <c r="Z3373" s="203" t="e">
        <v>#N/A</v>
      </c>
      <c r="AA3373" s="200">
        <v>3.0496303660845214E-2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62506</v>
      </c>
      <c r="Y3374" s="202">
        <f>_xll.qlInterestRateIndexValueDate(IborIndex,X3374,Trigger)</f>
        <v>62508</v>
      </c>
      <c r="Z3374" s="203" t="e">
        <v>#N/A</v>
      </c>
      <c r="AA3374" s="200">
        <v>3.0496303660765278E-2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62513</v>
      </c>
      <c r="Y3375" s="202">
        <f>_xll.qlInterestRateIndexValueDate(IborIndex,X3375,Trigger)</f>
        <v>62515</v>
      </c>
      <c r="Z3375" s="203" t="e">
        <v>#N/A</v>
      </c>
      <c r="AA3375" s="200">
        <v>3.0496303660845214E-2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62520</v>
      </c>
      <c r="Y3376" s="202">
        <f>_xll.qlInterestRateIndexValueDate(IborIndex,X3376,Trigger)</f>
        <v>62522</v>
      </c>
      <c r="Z3376" s="203" t="e">
        <v>#N/A</v>
      </c>
      <c r="AA3376" s="200">
        <v>3.0496303660845214E-2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62527</v>
      </c>
      <c r="Y3377" s="202">
        <f>_xll.qlInterestRateIndexValueDate(IborIndex,X3377,Trigger)</f>
        <v>62529</v>
      </c>
      <c r="Z3377" s="203" t="e">
        <v>#N/A</v>
      </c>
      <c r="AA3377" s="200">
        <v>3.0496303660765278E-2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62534</v>
      </c>
      <c r="Y3378" s="202">
        <f>_xll.qlInterestRateIndexValueDate(IborIndex,X3378,Trigger)</f>
        <v>62536</v>
      </c>
      <c r="Z3378" s="203" t="e">
        <v>#N/A</v>
      </c>
      <c r="AA3378" s="200">
        <v>3.0496303660765278E-2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62541</v>
      </c>
      <c r="Y3379" s="202">
        <f>_xll.qlInterestRateIndexValueDate(IborIndex,X3379,Trigger)</f>
        <v>62543</v>
      </c>
      <c r="Z3379" s="203" t="e">
        <v>#N/A</v>
      </c>
      <c r="AA3379" s="200">
        <v>3.0496303660845214E-2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62548</v>
      </c>
      <c r="Y3380" s="202">
        <f>_xll.qlInterestRateIndexValueDate(IborIndex,X3380,Trigger)</f>
        <v>62550</v>
      </c>
      <c r="Z3380" s="203" t="e">
        <v>#N/A</v>
      </c>
      <c r="AA3380" s="200">
        <v>3.0496303660845214E-2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62555</v>
      </c>
      <c r="Y3381" s="202">
        <f>_xll.qlInterestRateIndexValueDate(IborIndex,X3381,Trigger)</f>
        <v>62557</v>
      </c>
      <c r="Z3381" s="203" t="e">
        <v>#N/A</v>
      </c>
      <c r="AA3381" s="200">
        <v>3.0496303660765278E-2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62562</v>
      </c>
      <c r="Y3382" s="202">
        <f>_xll.qlInterestRateIndexValueDate(IborIndex,X3382,Trigger)</f>
        <v>62564</v>
      </c>
      <c r="Z3382" s="203" t="e">
        <v>#N/A</v>
      </c>
      <c r="AA3382" s="200">
        <v>3.0496303660765278E-2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62569</v>
      </c>
      <c r="Y3383" s="202">
        <f>_xll.qlInterestRateIndexValueDate(IborIndex,X3383,Trigger)</f>
        <v>62571</v>
      </c>
      <c r="Z3383" s="203" t="e">
        <v>#N/A</v>
      </c>
      <c r="AA3383" s="200">
        <v>3.0496303660845214E-2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62576</v>
      </c>
      <c r="Y3384" s="202">
        <f>_xll.qlInterestRateIndexValueDate(IborIndex,X3384,Trigger)</f>
        <v>62578</v>
      </c>
      <c r="Z3384" s="203" t="e">
        <v>#N/A</v>
      </c>
      <c r="AA3384" s="200">
        <v>3.0496303660845214E-2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62583</v>
      </c>
      <c r="Y3385" s="202">
        <f>_xll.qlInterestRateIndexValueDate(IborIndex,X3385,Trigger)</f>
        <v>62585</v>
      </c>
      <c r="Z3385" s="203" t="e">
        <v>#N/A</v>
      </c>
      <c r="AA3385" s="200">
        <v>3.0496303660765278E-2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62590</v>
      </c>
      <c r="Y3386" s="202">
        <f>_xll.qlInterestRateIndexValueDate(IborIndex,X3386,Trigger)</f>
        <v>62592</v>
      </c>
      <c r="Z3386" s="203" t="e">
        <v>#N/A</v>
      </c>
      <c r="AA3386" s="200">
        <v>3.0496303660765278E-2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62597</v>
      </c>
      <c r="Y3387" s="202">
        <f>_xll.qlInterestRateIndexValueDate(IborIndex,X3387,Trigger)</f>
        <v>62599</v>
      </c>
      <c r="Z3387" s="203" t="e">
        <v>#N/A</v>
      </c>
      <c r="AA3387" s="200">
        <v>3.0496303660765278E-2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62604</v>
      </c>
      <c r="Y3388" s="202">
        <f>_xll.qlInterestRateIndexValueDate(IborIndex,X3388,Trigger)</f>
        <v>62606</v>
      </c>
      <c r="Z3388" s="203" t="e">
        <v>#N/A</v>
      </c>
      <c r="AA3388" s="200">
        <v>3.0496303660685342E-2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62611</v>
      </c>
      <c r="Y3389" s="202">
        <f>_xll.qlInterestRateIndexValueDate(IborIndex,X3389,Trigger)</f>
        <v>62613</v>
      </c>
      <c r="Z3389" s="203" t="e">
        <v>#N/A</v>
      </c>
      <c r="AA3389" s="200">
        <v>3.0496303660765278E-2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62618</v>
      </c>
      <c r="Y3390" s="202">
        <f>_xll.qlInterestRateIndexValueDate(IborIndex,X3390,Trigger)</f>
        <v>62620</v>
      </c>
      <c r="Z3390" s="203" t="e">
        <v>#N/A</v>
      </c>
      <c r="AA3390" s="200">
        <v>3.0496303660845214E-2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62625</v>
      </c>
      <c r="Y3391" s="202">
        <f>_xll.qlInterestRateIndexValueDate(IborIndex,X3391,Trigger)</f>
        <v>62627</v>
      </c>
      <c r="Z3391" s="203" t="e">
        <v>#N/A</v>
      </c>
      <c r="AA3391" s="200">
        <v>3.0496303660845214E-2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62632</v>
      </c>
      <c r="Y3392" s="202">
        <f>_xll.qlInterestRateIndexValueDate(IborIndex,X3392,Trigger)</f>
        <v>62634</v>
      </c>
      <c r="Z3392" s="203" t="e">
        <v>#N/A</v>
      </c>
      <c r="AA3392" s="200">
        <v>3.0496303660765278E-2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62639</v>
      </c>
      <c r="Y3393" s="202">
        <f>_xll.qlInterestRateIndexValueDate(IborIndex,X3393,Trigger)</f>
        <v>62641</v>
      </c>
      <c r="Z3393" s="203" t="e">
        <v>#N/A</v>
      </c>
      <c r="AA3393" s="200">
        <v>3.0496303660765278E-2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62646</v>
      </c>
      <c r="Y3394" s="202">
        <f>_xll.qlInterestRateIndexValueDate(IborIndex,X3394,Trigger)</f>
        <v>62648</v>
      </c>
      <c r="Z3394" s="203" t="e">
        <v>#N/A</v>
      </c>
      <c r="AA3394" s="200">
        <v>3.0496303660765278E-2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62653</v>
      </c>
      <c r="Y3395" s="202">
        <f>_xll.qlInterestRateIndexValueDate(IborIndex,X3395,Trigger)</f>
        <v>62655</v>
      </c>
      <c r="Z3395" s="203" t="e">
        <v>#N/A</v>
      </c>
      <c r="AA3395" s="200">
        <v>3.0496303660845214E-2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62660</v>
      </c>
      <c r="Y3396" s="202">
        <f>_xll.qlInterestRateIndexValueDate(IborIndex,X3396,Trigger)</f>
        <v>62662</v>
      </c>
      <c r="Z3396" s="203" t="e">
        <v>#N/A</v>
      </c>
      <c r="AA3396" s="200">
        <v>3.0496303660765278E-2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62667</v>
      </c>
      <c r="Y3397" s="202">
        <f>_xll.qlInterestRateIndexValueDate(IborIndex,X3397,Trigger)</f>
        <v>62669</v>
      </c>
      <c r="Z3397" s="203" t="e">
        <v>#N/A</v>
      </c>
      <c r="AA3397" s="200">
        <v>3.0496303660845214E-2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62674</v>
      </c>
      <c r="Y3398" s="202">
        <f>_xll.qlInterestRateIndexValueDate(IborIndex,X3398,Trigger)</f>
        <v>62676</v>
      </c>
      <c r="Z3398" s="203" t="e">
        <v>#N/A</v>
      </c>
      <c r="AA3398" s="200">
        <v>3.0496303660765278E-2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62681</v>
      </c>
      <c r="Y3399" s="202">
        <f>_xll.qlInterestRateIndexValueDate(IborIndex,X3399,Trigger)</f>
        <v>62683</v>
      </c>
      <c r="Z3399" s="203" t="e">
        <v>#N/A</v>
      </c>
      <c r="AA3399" s="200">
        <v>3.0496303660765278E-2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62688</v>
      </c>
      <c r="Y3400" s="202">
        <f>_xll.qlInterestRateIndexValueDate(IborIndex,X3400,Trigger)</f>
        <v>62690</v>
      </c>
      <c r="Z3400" s="203" t="e">
        <v>#N/A</v>
      </c>
      <c r="AA3400" s="200">
        <v>3.0496303660765278E-2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62695</v>
      </c>
      <c r="Y3401" s="202">
        <f>_xll.qlInterestRateIndexValueDate(IborIndex,X3401,Trigger)</f>
        <v>62697</v>
      </c>
      <c r="Z3401" s="203" t="e">
        <v>#N/A</v>
      </c>
      <c r="AA3401" s="200">
        <v>3.0496303660845214E-2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62702</v>
      </c>
      <c r="Y3402" s="202">
        <f>_xll.qlInterestRateIndexValueDate(IborIndex,X3402,Trigger)</f>
        <v>62704</v>
      </c>
      <c r="Z3402" s="203" t="e">
        <v>#N/A</v>
      </c>
      <c r="AA3402" s="200">
        <v>3.0496303660845214E-2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62709</v>
      </c>
      <c r="Y3403" s="202">
        <f>_xll.qlInterestRateIndexValueDate(IborIndex,X3403,Trigger)</f>
        <v>62711</v>
      </c>
      <c r="Z3403" s="203" t="e">
        <v>#N/A</v>
      </c>
      <c r="AA3403" s="200">
        <v>3.0496303660765278E-2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62716</v>
      </c>
      <c r="Y3404" s="202">
        <f>_xll.qlInterestRateIndexValueDate(IborIndex,X3404,Trigger)</f>
        <v>62718</v>
      </c>
      <c r="Z3404" s="203" t="e">
        <v>#N/A</v>
      </c>
      <c r="AA3404" s="200">
        <v>3.0496303660845214E-2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62723</v>
      </c>
      <c r="Y3405" s="202">
        <f>_xll.qlInterestRateIndexValueDate(IborIndex,X3405,Trigger)</f>
        <v>62725</v>
      </c>
      <c r="Z3405" s="203" t="e">
        <v>#N/A</v>
      </c>
      <c r="AA3405" s="200">
        <v>3.0496303660845214E-2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62730</v>
      </c>
      <c r="Y3406" s="202">
        <f>_xll.qlInterestRateIndexValueDate(IborIndex,X3406,Trigger)</f>
        <v>62732</v>
      </c>
      <c r="Z3406" s="203" t="e">
        <v>#N/A</v>
      </c>
      <c r="AA3406" s="200">
        <v>3.0496303660765278E-2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62737</v>
      </c>
      <c r="Y3407" s="202">
        <f>_xll.qlInterestRateIndexValueDate(IborIndex,X3407,Trigger)</f>
        <v>62739</v>
      </c>
      <c r="Z3407" s="203" t="e">
        <v>#N/A</v>
      </c>
      <c r="AA3407" s="200">
        <v>3.0496303660845214E-2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62744</v>
      </c>
      <c r="Y3408" s="202">
        <f>_xll.qlInterestRateIndexValueDate(IborIndex,X3408,Trigger)</f>
        <v>62746</v>
      </c>
      <c r="Z3408" s="203" t="e">
        <v>#N/A</v>
      </c>
      <c r="AA3408" s="200">
        <v>3.0496303660845214E-2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62751</v>
      </c>
      <c r="Y3409" s="202">
        <f>_xll.qlInterestRateIndexValueDate(IborIndex,X3409,Trigger)</f>
        <v>62753</v>
      </c>
      <c r="Z3409" s="203" t="e">
        <v>#N/A</v>
      </c>
      <c r="AA3409" s="200">
        <v>3.0496303660845214E-2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62758</v>
      </c>
      <c r="Y3410" s="202">
        <f>_xll.qlInterestRateIndexValueDate(IborIndex,X3410,Trigger)</f>
        <v>62760</v>
      </c>
      <c r="Z3410" s="203" t="e">
        <v>#N/A</v>
      </c>
      <c r="AA3410" s="200">
        <v>3.0496303660685342E-2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62765</v>
      </c>
      <c r="Y3411" s="202">
        <f>_xll.qlInterestRateIndexValueDate(IborIndex,X3411,Trigger)</f>
        <v>62767</v>
      </c>
      <c r="Z3411" s="203" t="e">
        <v>#N/A</v>
      </c>
      <c r="AA3411" s="200">
        <v>3.0496303660765278E-2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62772</v>
      </c>
      <c r="Y3412" s="202">
        <f>_xll.qlInterestRateIndexValueDate(IborIndex,X3412,Trigger)</f>
        <v>62774</v>
      </c>
      <c r="Z3412" s="203" t="e">
        <v>#N/A</v>
      </c>
      <c r="AA3412" s="200">
        <v>3.0496303660845214E-2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62779</v>
      </c>
      <c r="Y3413" s="202">
        <f>_xll.qlInterestRateIndexValueDate(IborIndex,X3413,Trigger)</f>
        <v>62781</v>
      </c>
      <c r="Z3413" s="203" t="e">
        <v>#N/A</v>
      </c>
      <c r="AA3413" s="200">
        <v>3.0496303660845214E-2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62786</v>
      </c>
      <c r="Y3414" s="202">
        <f>_xll.qlInterestRateIndexValueDate(IborIndex,X3414,Trigger)</f>
        <v>62789</v>
      </c>
      <c r="Z3414" s="203" t="e">
        <v>#N/A</v>
      </c>
      <c r="AA3414" s="200">
        <v>3.0496303660845214E-2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62793</v>
      </c>
      <c r="Y3415" s="202">
        <f>_xll.qlInterestRateIndexValueDate(IborIndex,X3415,Trigger)</f>
        <v>62795</v>
      </c>
      <c r="Z3415" s="203" t="e">
        <v>#N/A</v>
      </c>
      <c r="AA3415" s="200">
        <v>3.049630366092515E-2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62800</v>
      </c>
      <c r="Y3416" s="202">
        <f>_xll.qlInterestRateIndexValueDate(IborIndex,X3416,Trigger)</f>
        <v>62802</v>
      </c>
      <c r="Z3416" s="203" t="e">
        <v>#N/A</v>
      </c>
      <c r="AA3416" s="200">
        <v>3.0496303660845214E-2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62807</v>
      </c>
      <c r="Y3417" s="202">
        <f>_xll.qlInterestRateIndexValueDate(IborIndex,X3417,Trigger)</f>
        <v>62809</v>
      </c>
      <c r="Z3417" s="203" t="e">
        <v>#N/A</v>
      </c>
      <c r="AA3417" s="200">
        <v>3.0496303660765278E-2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62814</v>
      </c>
      <c r="Y3418" s="202">
        <f>_xll.qlInterestRateIndexValueDate(IborIndex,X3418,Trigger)</f>
        <v>62816</v>
      </c>
      <c r="Z3418" s="203" t="e">
        <v>#N/A</v>
      </c>
      <c r="AA3418" s="200">
        <v>3.0496303660765278E-2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62821</v>
      </c>
      <c r="Y3419" s="202">
        <f>_xll.qlInterestRateIndexValueDate(IborIndex,X3419,Trigger)</f>
        <v>62823</v>
      </c>
      <c r="Z3419" s="203" t="e">
        <v>#N/A</v>
      </c>
      <c r="AA3419" s="200">
        <v>3.0496303660765278E-2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62828</v>
      </c>
      <c r="Y3420" s="202">
        <f>_xll.qlInterestRateIndexValueDate(IborIndex,X3420,Trigger)</f>
        <v>62830</v>
      </c>
      <c r="Z3420" s="203" t="e">
        <v>#N/A</v>
      </c>
      <c r="AA3420" s="200">
        <v>3.0496303660845214E-2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62835</v>
      </c>
      <c r="Y3421" s="202">
        <f>_xll.qlInterestRateIndexValueDate(IborIndex,X3421,Trigger)</f>
        <v>62837</v>
      </c>
      <c r="Z3421" s="203" t="e">
        <v>#N/A</v>
      </c>
      <c r="AA3421" s="200">
        <v>3.0496303660845214E-2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62842</v>
      </c>
      <c r="Y3422" s="202">
        <f>_xll.qlInterestRateIndexValueDate(IborIndex,X3422,Trigger)</f>
        <v>62844</v>
      </c>
      <c r="Z3422" s="203" t="e">
        <v>#N/A</v>
      </c>
      <c r="AA3422" s="200">
        <v>3.049630366092515E-2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62849</v>
      </c>
      <c r="Y3423" s="202">
        <f>_xll.qlInterestRateIndexValueDate(IborIndex,X3423,Trigger)</f>
        <v>62851</v>
      </c>
      <c r="Z3423" s="203" t="e">
        <v>#N/A</v>
      </c>
      <c r="AA3423" s="200">
        <v>3.0496303660845214E-2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62856</v>
      </c>
      <c r="Y3424" s="202">
        <f>_xll.qlInterestRateIndexValueDate(IborIndex,X3424,Trigger)</f>
        <v>62858</v>
      </c>
      <c r="Z3424" s="203" t="e">
        <v>#N/A</v>
      </c>
      <c r="AA3424" s="200">
        <v>3.0496303660765278E-2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62863</v>
      </c>
      <c r="Y3425" s="202">
        <f>_xll.qlInterestRateIndexValueDate(IborIndex,X3425,Trigger)</f>
        <v>62865</v>
      </c>
      <c r="Z3425" s="203" t="e">
        <v>#N/A</v>
      </c>
      <c r="AA3425" s="200">
        <v>3.0496303660845214E-2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62870</v>
      </c>
      <c r="Y3426" s="202">
        <f>_xll.qlInterestRateIndexValueDate(IborIndex,X3426,Trigger)</f>
        <v>62872</v>
      </c>
      <c r="Z3426" s="203" t="e">
        <v>#N/A</v>
      </c>
      <c r="AA3426" s="200">
        <v>3.0496303660845214E-2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62877</v>
      </c>
      <c r="Y3427" s="202">
        <f>_xll.qlInterestRateIndexValueDate(IborIndex,X3427,Trigger)</f>
        <v>62879</v>
      </c>
      <c r="Z3427" s="203" t="e">
        <v>#N/A</v>
      </c>
      <c r="AA3427" s="200">
        <v>3.0496303660765278E-2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62884</v>
      </c>
      <c r="Y3428" s="202">
        <f>_xll.qlInterestRateIndexValueDate(IborIndex,X3428,Trigger)</f>
        <v>62886</v>
      </c>
      <c r="Z3428" s="203" t="e">
        <v>#N/A</v>
      </c>
      <c r="AA3428" s="200">
        <v>3.0496303660685342E-2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62891</v>
      </c>
      <c r="Y3429" s="202">
        <f>_xll.qlInterestRateIndexValueDate(IborIndex,X3429,Trigger)</f>
        <v>62893</v>
      </c>
      <c r="Z3429" s="203" t="e">
        <v>#N/A</v>
      </c>
      <c r="AA3429" s="200">
        <v>3.0496303660845214E-2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62898</v>
      </c>
      <c r="Y3430" s="202">
        <f>_xll.qlInterestRateIndexValueDate(IborIndex,X3430,Trigger)</f>
        <v>62900</v>
      </c>
      <c r="Z3430" s="203" t="e">
        <v>#N/A</v>
      </c>
      <c r="AA3430" s="200">
        <v>3.0496303660845214E-2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62905</v>
      </c>
      <c r="Y3431" s="202">
        <f>_xll.qlInterestRateIndexValueDate(IborIndex,X3431,Trigger)</f>
        <v>62907</v>
      </c>
      <c r="Z3431" s="203" t="e">
        <v>#N/A</v>
      </c>
      <c r="AA3431" s="200">
        <v>3.0496303660845214E-2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62912</v>
      </c>
      <c r="Y3432" s="202">
        <f>_xll.qlInterestRateIndexValueDate(IborIndex,X3432,Trigger)</f>
        <v>62914</v>
      </c>
      <c r="Z3432" s="203" t="e">
        <v>#N/A</v>
      </c>
      <c r="AA3432" s="200">
        <v>3.0496303660845214E-2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62919</v>
      </c>
      <c r="Y3433" s="202">
        <f>_xll.qlInterestRateIndexValueDate(IborIndex,X3433,Trigger)</f>
        <v>62921</v>
      </c>
      <c r="Z3433" s="203" t="e">
        <v>#N/A</v>
      </c>
      <c r="AA3433" s="200">
        <v>3.0496303660845214E-2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62926</v>
      </c>
      <c r="Y3434" s="202">
        <f>_xll.qlInterestRateIndexValueDate(IborIndex,X3434,Trigger)</f>
        <v>62928</v>
      </c>
      <c r="Z3434" s="203" t="e">
        <v>#N/A</v>
      </c>
      <c r="AA3434" s="200">
        <v>3.0496303660845214E-2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62933</v>
      </c>
      <c r="Y3435" s="202">
        <f>_xll.qlInterestRateIndexValueDate(IborIndex,X3435,Trigger)</f>
        <v>62935</v>
      </c>
      <c r="Z3435" s="203" t="e">
        <v>#N/A</v>
      </c>
      <c r="AA3435" s="200">
        <v>3.0496303660845214E-2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62940</v>
      </c>
      <c r="Y3436" s="202">
        <f>_xll.qlInterestRateIndexValueDate(IborIndex,X3436,Trigger)</f>
        <v>62942</v>
      </c>
      <c r="Z3436" s="203" t="e">
        <v>#N/A</v>
      </c>
      <c r="AA3436" s="200">
        <v>3.0496303660765278E-2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62947</v>
      </c>
      <c r="Y3437" s="202">
        <f>_xll.qlInterestRateIndexValueDate(IborIndex,X3437,Trigger)</f>
        <v>62949</v>
      </c>
      <c r="Z3437" s="203" t="e">
        <v>#N/A</v>
      </c>
      <c r="AA3437" s="200">
        <v>3.0496303660765278E-2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62954</v>
      </c>
      <c r="Y3438" s="202">
        <f>_xll.qlInterestRateIndexValueDate(IborIndex,X3438,Trigger)</f>
        <v>62956</v>
      </c>
      <c r="Z3438" s="203" t="e">
        <v>#N/A</v>
      </c>
      <c r="AA3438" s="200">
        <v>3.0496303660845214E-2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62961</v>
      </c>
      <c r="Y3439" s="202">
        <f>_xll.qlInterestRateIndexValueDate(IborIndex,X3439,Trigger)</f>
        <v>62963</v>
      </c>
      <c r="Z3439" s="203" t="e">
        <v>#N/A</v>
      </c>
      <c r="AA3439" s="200">
        <v>3.0496303660765278E-2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62968</v>
      </c>
      <c r="Y3440" s="202">
        <f>_xll.qlInterestRateIndexValueDate(IborIndex,X3440,Trigger)</f>
        <v>62970</v>
      </c>
      <c r="Z3440" s="203" t="e">
        <v>#N/A</v>
      </c>
      <c r="AA3440" s="200">
        <v>3.0496303660765278E-2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62975</v>
      </c>
      <c r="Y3441" s="202">
        <f>_xll.qlInterestRateIndexValueDate(IborIndex,X3441,Trigger)</f>
        <v>62977</v>
      </c>
      <c r="Z3441" s="203" t="e">
        <v>#N/A</v>
      </c>
      <c r="AA3441" s="200">
        <v>3.0496303660845214E-2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62982</v>
      </c>
      <c r="Y3442" s="202">
        <f>_xll.qlInterestRateIndexValueDate(IborIndex,X3442,Trigger)</f>
        <v>62984</v>
      </c>
      <c r="Z3442" s="203" t="e">
        <v>#N/A</v>
      </c>
      <c r="AA3442" s="200">
        <v>3.0496303660765278E-2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62989</v>
      </c>
      <c r="Y3443" s="202">
        <f>_xll.qlInterestRateIndexValueDate(IborIndex,X3443,Trigger)</f>
        <v>62991</v>
      </c>
      <c r="Z3443" s="203" t="e">
        <v>#N/A</v>
      </c>
      <c r="AA3443" s="200">
        <v>3.0496303660765278E-2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62996</v>
      </c>
      <c r="Y3444" s="202">
        <f>_xll.qlInterestRateIndexValueDate(IborIndex,X3444,Trigger)</f>
        <v>62998</v>
      </c>
      <c r="Z3444" s="203" t="e">
        <v>#N/A</v>
      </c>
      <c r="AA3444" s="200">
        <v>3.0496303660765278E-2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63003</v>
      </c>
      <c r="Y3445" s="202">
        <f>_xll.qlInterestRateIndexValueDate(IborIndex,X3445,Trigger)</f>
        <v>63005</v>
      </c>
      <c r="Z3445" s="203" t="e">
        <v>#N/A</v>
      </c>
      <c r="AA3445" s="200">
        <v>3.0496303660845214E-2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63010</v>
      </c>
      <c r="Y3446" s="202">
        <f>_xll.qlInterestRateIndexValueDate(IborIndex,X3446,Trigger)</f>
        <v>63012</v>
      </c>
      <c r="Z3446" s="203" t="e">
        <v>#N/A</v>
      </c>
      <c r="AA3446" s="200">
        <v>3.0496303660765278E-2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63017</v>
      </c>
      <c r="Y3447" s="202">
        <f>_xll.qlInterestRateIndexValueDate(IborIndex,X3447,Trigger)</f>
        <v>63019</v>
      </c>
      <c r="Z3447" s="203" t="e">
        <v>#N/A</v>
      </c>
      <c r="AA3447" s="200">
        <v>3.0496303660685342E-2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63024</v>
      </c>
      <c r="Y3448" s="202">
        <f>_xll.qlInterestRateIndexValueDate(IborIndex,X3448,Trigger)</f>
        <v>63026</v>
      </c>
      <c r="Z3448" s="203" t="e">
        <v>#N/A</v>
      </c>
      <c r="AA3448" s="200">
        <v>3.0496303660765278E-2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63031</v>
      </c>
      <c r="Y3449" s="202">
        <f>_xll.qlInterestRateIndexValueDate(IborIndex,X3449,Trigger)</f>
        <v>63033</v>
      </c>
      <c r="Z3449" s="203" t="e">
        <v>#N/A</v>
      </c>
      <c r="AA3449" s="200">
        <v>3.0496303660765278E-2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63038</v>
      </c>
      <c r="Y3450" s="202">
        <f>_xll.qlInterestRateIndexValueDate(IborIndex,X3450,Trigger)</f>
        <v>63040</v>
      </c>
      <c r="Z3450" s="203" t="e">
        <v>#N/A</v>
      </c>
      <c r="AA3450" s="200">
        <v>3.0496303660685342E-2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63045</v>
      </c>
      <c r="Y3451" s="202">
        <f>_xll.qlInterestRateIndexValueDate(IborIndex,X3451,Trigger)</f>
        <v>63047</v>
      </c>
      <c r="Z3451" s="203" t="e">
        <v>#N/A</v>
      </c>
      <c r="AA3451" s="200">
        <v>3.0496303660765278E-2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63052</v>
      </c>
      <c r="Y3452" s="202">
        <f>_xll.qlInterestRateIndexValueDate(IborIndex,X3452,Trigger)</f>
        <v>63054</v>
      </c>
      <c r="Z3452" s="203" t="e">
        <v>#N/A</v>
      </c>
      <c r="AA3452" s="200">
        <v>3.049630366092515E-2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63059</v>
      </c>
      <c r="Y3453" s="202">
        <f>_xll.qlInterestRateIndexValueDate(IborIndex,X3453,Trigger)</f>
        <v>63061</v>
      </c>
      <c r="Z3453" s="203" t="e">
        <v>#N/A</v>
      </c>
      <c r="AA3453" s="200">
        <v>3.0496303660765278E-2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63066</v>
      </c>
      <c r="Y3454" s="202">
        <f>_xll.qlInterestRateIndexValueDate(IborIndex,X3454,Trigger)</f>
        <v>63068</v>
      </c>
      <c r="Z3454" s="203" t="e">
        <v>#N/A</v>
      </c>
      <c r="AA3454" s="200">
        <v>3.0496303660845214E-2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63073</v>
      </c>
      <c r="Y3455" s="202">
        <f>_xll.qlInterestRateIndexValueDate(IborIndex,X3455,Trigger)</f>
        <v>63075</v>
      </c>
      <c r="Z3455" s="203" t="e">
        <v>#N/A</v>
      </c>
      <c r="AA3455" s="200">
        <v>3.0496303660845214E-2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63080</v>
      </c>
      <c r="Y3456" s="202">
        <f>_xll.qlInterestRateIndexValueDate(IborIndex,X3456,Trigger)</f>
        <v>63082</v>
      </c>
      <c r="Z3456" s="203" t="e">
        <v>#N/A</v>
      </c>
      <c r="AA3456" s="200">
        <v>3.049630366092515E-2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63087</v>
      </c>
      <c r="Y3457" s="202">
        <f>_xll.qlInterestRateIndexValueDate(IborIndex,X3457,Trigger)</f>
        <v>63089</v>
      </c>
      <c r="Z3457" s="203" t="e">
        <v>#N/A</v>
      </c>
      <c r="AA3457" s="200">
        <v>3.0496303660845214E-2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63094</v>
      </c>
      <c r="Y3458" s="202">
        <f>_xll.qlInterestRateIndexValueDate(IborIndex,X3458,Trigger)</f>
        <v>63096</v>
      </c>
      <c r="Z3458" s="203" t="e">
        <v>#N/A</v>
      </c>
      <c r="AA3458" s="200">
        <v>3.0496303660845214E-2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63101</v>
      </c>
      <c r="Y3459" s="202">
        <f>_xll.qlInterestRateIndexValueDate(IborIndex,X3459,Trigger)</f>
        <v>63103</v>
      </c>
      <c r="Z3459" s="203" t="e">
        <v>#N/A</v>
      </c>
      <c r="AA3459" s="200">
        <v>3.0496303660765278E-2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63108</v>
      </c>
      <c r="Y3460" s="202">
        <f>_xll.qlInterestRateIndexValueDate(IborIndex,X3460,Trigger)</f>
        <v>63110</v>
      </c>
      <c r="Z3460" s="203" t="e">
        <v>#N/A</v>
      </c>
      <c r="AA3460" s="200">
        <v>3.0496303660845214E-2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63115</v>
      </c>
      <c r="Y3461" s="202">
        <f>_xll.qlInterestRateIndexValueDate(IborIndex,X3461,Trigger)</f>
        <v>63117</v>
      </c>
      <c r="Z3461" s="203" t="e">
        <v>#N/A</v>
      </c>
      <c r="AA3461" s="200">
        <v>3.0496303660685342E-2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63122</v>
      </c>
      <c r="Y3462" s="202">
        <f>_xll.qlInterestRateIndexValueDate(IborIndex,X3462,Trigger)</f>
        <v>63124</v>
      </c>
      <c r="Z3462" s="203" t="e">
        <v>#N/A</v>
      </c>
      <c r="AA3462" s="200">
        <v>3.049630366092515E-2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63129</v>
      </c>
      <c r="Y3463" s="202">
        <f>_xll.qlInterestRateIndexValueDate(IborIndex,X3463,Trigger)</f>
        <v>63131</v>
      </c>
      <c r="Z3463" s="203" t="e">
        <v>#N/A</v>
      </c>
      <c r="AA3463" s="200">
        <v>3.0496303660845214E-2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63136</v>
      </c>
      <c r="Y3464" s="202">
        <f>_xll.qlInterestRateIndexValueDate(IborIndex,X3464,Trigger)</f>
        <v>63138</v>
      </c>
      <c r="Z3464" s="203" t="e">
        <v>#N/A</v>
      </c>
      <c r="AA3464" s="200">
        <v>3.0496303660845214E-2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63143</v>
      </c>
      <c r="Y3465" s="202">
        <f>_xll.qlInterestRateIndexValueDate(IborIndex,X3465,Trigger)</f>
        <v>63145</v>
      </c>
      <c r="Z3465" s="203" t="e">
        <v>#N/A</v>
      </c>
      <c r="AA3465" s="200">
        <v>3.0496303660765278E-2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63150</v>
      </c>
      <c r="Y3466" s="202">
        <f>_xll.qlInterestRateIndexValueDate(IborIndex,X3466,Trigger)</f>
        <v>63153</v>
      </c>
      <c r="Z3466" s="203" t="e">
        <v>#N/A</v>
      </c>
      <c r="AA3466" s="200">
        <v>3.0496303660685342E-2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63157</v>
      </c>
      <c r="Y3467" s="202">
        <f>_xll.qlInterestRateIndexValueDate(IborIndex,X3467,Trigger)</f>
        <v>63159</v>
      </c>
      <c r="Z3467" s="203" t="e">
        <v>#N/A</v>
      </c>
      <c r="AA3467" s="200">
        <v>3.049630366092515E-2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63164</v>
      </c>
      <c r="Y3468" s="202">
        <f>_xll.qlInterestRateIndexValueDate(IborIndex,X3468,Trigger)</f>
        <v>63166</v>
      </c>
      <c r="Z3468" s="203" t="e">
        <v>#N/A</v>
      </c>
      <c r="AA3468" s="200">
        <v>3.0496303660765278E-2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63171</v>
      </c>
      <c r="Y3469" s="202">
        <f>_xll.qlInterestRateIndexValueDate(IborIndex,X3469,Trigger)</f>
        <v>63173</v>
      </c>
      <c r="Z3469" s="203" t="e">
        <v>#N/A</v>
      </c>
      <c r="AA3469" s="200">
        <v>3.0496303660845214E-2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63178</v>
      </c>
      <c r="Y3470" s="202">
        <f>_xll.qlInterestRateIndexValueDate(IborIndex,X3470,Trigger)</f>
        <v>63180</v>
      </c>
      <c r="Z3470" s="203" t="e">
        <v>#N/A</v>
      </c>
      <c r="AA3470" s="200">
        <v>3.0496303660685342E-2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63186</v>
      </c>
      <c r="Y3471" s="202">
        <f>_xll.qlInterestRateIndexValueDate(IborIndex,X3471,Trigger)</f>
        <v>63188</v>
      </c>
      <c r="Z3471" s="203" t="e">
        <v>#N/A</v>
      </c>
      <c r="AA3471" s="200">
        <v>3.0496303660765278E-2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63193</v>
      </c>
      <c r="Y3472" s="202">
        <f>_xll.qlInterestRateIndexValueDate(IborIndex,X3472,Trigger)</f>
        <v>63195</v>
      </c>
      <c r="Z3472" s="203" t="e">
        <v>#N/A</v>
      </c>
      <c r="AA3472" s="200">
        <v>3.0496303660845214E-2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63200</v>
      </c>
      <c r="Y3473" s="202">
        <f>_xll.qlInterestRateIndexValueDate(IborIndex,X3473,Trigger)</f>
        <v>63202</v>
      </c>
      <c r="Z3473" s="203" t="e">
        <v>#N/A</v>
      </c>
      <c r="AA3473" s="200">
        <v>3.0496303660845214E-2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63207</v>
      </c>
      <c r="Y3474" s="202">
        <f>_xll.qlInterestRateIndexValueDate(IborIndex,X3474,Trigger)</f>
        <v>63209</v>
      </c>
      <c r="Z3474" s="203" t="e">
        <v>#N/A</v>
      </c>
      <c r="AA3474" s="200">
        <v>3.0496303660845214E-2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63214</v>
      </c>
      <c r="Y3475" s="202">
        <f>_xll.qlInterestRateIndexValueDate(IborIndex,X3475,Trigger)</f>
        <v>63216</v>
      </c>
      <c r="Z3475" s="203" t="e">
        <v>#N/A</v>
      </c>
      <c r="AA3475" s="200">
        <v>3.0496303660845214E-2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63221</v>
      </c>
      <c r="Y3476" s="202">
        <f>_xll.qlInterestRateIndexValueDate(IborIndex,X3476,Trigger)</f>
        <v>63223</v>
      </c>
      <c r="Z3476" s="203" t="e">
        <v>#N/A</v>
      </c>
      <c r="AA3476" s="200">
        <v>3.0496303660765278E-2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63228</v>
      </c>
      <c r="Y3477" s="202">
        <f>_xll.qlInterestRateIndexValueDate(IborIndex,X3477,Trigger)</f>
        <v>63230</v>
      </c>
      <c r="Z3477" s="203" t="e">
        <v>#N/A</v>
      </c>
      <c r="AA3477" s="200">
        <v>3.0496303660765278E-2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63235</v>
      </c>
      <c r="Y3478" s="202">
        <f>_xll.qlInterestRateIndexValueDate(IborIndex,X3478,Trigger)</f>
        <v>63237</v>
      </c>
      <c r="Z3478" s="203" t="e">
        <v>#N/A</v>
      </c>
      <c r="AA3478" s="200">
        <v>3.0496303660765278E-2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63242</v>
      </c>
      <c r="Y3479" s="202">
        <f>_xll.qlInterestRateIndexValueDate(IborIndex,X3479,Trigger)</f>
        <v>63244</v>
      </c>
      <c r="Z3479" s="203" t="e">
        <v>#N/A</v>
      </c>
      <c r="AA3479" s="200">
        <v>3.0496303660845214E-2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63249</v>
      </c>
      <c r="Y3480" s="202">
        <f>_xll.qlInterestRateIndexValueDate(IborIndex,X3480,Trigger)</f>
        <v>63251</v>
      </c>
      <c r="Z3480" s="203" t="e">
        <v>#N/A</v>
      </c>
      <c r="AA3480" s="200">
        <v>3.0496303660845214E-2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63256</v>
      </c>
      <c r="Y3481" s="202">
        <f>_xll.qlInterestRateIndexValueDate(IborIndex,X3481,Trigger)</f>
        <v>63258</v>
      </c>
      <c r="Z3481" s="203" t="e">
        <v>#N/A</v>
      </c>
      <c r="AA3481" s="200">
        <v>3.0496303660845214E-2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63263</v>
      </c>
      <c r="Y3482" s="202">
        <f>_xll.qlInterestRateIndexValueDate(IborIndex,X3482,Trigger)</f>
        <v>63265</v>
      </c>
      <c r="Z3482" s="203" t="e">
        <v>#N/A</v>
      </c>
      <c r="AA3482" s="200">
        <v>3.0496303660765278E-2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63270</v>
      </c>
      <c r="Y3483" s="202">
        <f>_xll.qlInterestRateIndexValueDate(IborIndex,X3483,Trigger)</f>
        <v>63276</v>
      </c>
      <c r="Z3483" s="203" t="e">
        <v>#N/A</v>
      </c>
      <c r="AA3483" s="200">
        <v>3.0496303660765278E-2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63277</v>
      </c>
      <c r="Y3484" s="202">
        <f>_xll.qlInterestRateIndexValueDate(IborIndex,X3484,Trigger)</f>
        <v>63279</v>
      </c>
      <c r="Z3484" s="203" t="e">
        <v>#N/A</v>
      </c>
      <c r="AA3484" s="200">
        <v>3.0496303660765278E-2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63284</v>
      </c>
      <c r="Y3485" s="202">
        <f>_xll.qlInterestRateIndexValueDate(IborIndex,X3485,Trigger)</f>
        <v>63286</v>
      </c>
      <c r="Z3485" s="203" t="e">
        <v>#N/A</v>
      </c>
      <c r="AA3485" s="200">
        <v>3.0496303660845214E-2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63291</v>
      </c>
      <c r="Y3486" s="202">
        <f>_xll.qlInterestRateIndexValueDate(IborIndex,X3486,Trigger)</f>
        <v>63293</v>
      </c>
      <c r="Z3486" s="203" t="e">
        <v>#N/A</v>
      </c>
      <c r="AA3486" s="200">
        <v>3.0496303660765278E-2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63298</v>
      </c>
      <c r="Y3487" s="202">
        <f>_xll.qlInterestRateIndexValueDate(IborIndex,X3487,Trigger)</f>
        <v>63300</v>
      </c>
      <c r="Z3487" s="203" t="e">
        <v>#N/A</v>
      </c>
      <c r="AA3487" s="200">
        <v>3.0496303660765278E-2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63305</v>
      </c>
      <c r="Y3488" s="202">
        <f>_xll.qlInterestRateIndexValueDate(IborIndex,X3488,Trigger)</f>
        <v>63307</v>
      </c>
      <c r="Z3488" s="203" t="e">
        <v>#N/A</v>
      </c>
      <c r="AA3488" s="200">
        <v>3.0496303660685342E-2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63312</v>
      </c>
      <c r="Y3489" s="202">
        <f>_xll.qlInterestRateIndexValueDate(IborIndex,X3489,Trigger)</f>
        <v>63314</v>
      </c>
      <c r="Z3489" s="203" t="e">
        <v>#N/A</v>
      </c>
      <c r="AA3489" s="200">
        <v>3.0496303660765278E-2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63319</v>
      </c>
      <c r="Y3490" s="202">
        <f>_xll.qlInterestRateIndexValueDate(IborIndex,X3490,Trigger)</f>
        <v>63321</v>
      </c>
      <c r="Z3490" s="203" t="e">
        <v>#N/A</v>
      </c>
      <c r="AA3490" s="200">
        <v>3.0496303660845214E-2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63326</v>
      </c>
      <c r="Y3491" s="202">
        <f>_xll.qlInterestRateIndexValueDate(IborIndex,X3491,Trigger)</f>
        <v>63328</v>
      </c>
      <c r="Z3491" s="203" t="e">
        <v>#N/A</v>
      </c>
      <c r="AA3491" s="200">
        <v>3.0496303660765278E-2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63333</v>
      </c>
      <c r="Y3492" s="202">
        <f>_xll.qlInterestRateIndexValueDate(IborIndex,X3492,Trigger)</f>
        <v>63335</v>
      </c>
      <c r="Z3492" s="203" t="e">
        <v>#N/A</v>
      </c>
      <c r="AA3492" s="200">
        <v>3.0496303660765278E-2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63340</v>
      </c>
      <c r="Y3493" s="202">
        <f>_xll.qlInterestRateIndexValueDate(IborIndex,X3493,Trigger)</f>
        <v>63342</v>
      </c>
      <c r="Z3493" s="203" t="e">
        <v>#N/A</v>
      </c>
      <c r="AA3493" s="200">
        <v>3.0496303660845214E-2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63347</v>
      </c>
      <c r="Y3494" s="202">
        <f>_xll.qlInterestRateIndexValueDate(IborIndex,X3494,Trigger)</f>
        <v>63349</v>
      </c>
      <c r="Z3494" s="203" t="e">
        <v>#N/A</v>
      </c>
      <c r="AA3494" s="200">
        <v>3.0496303660765278E-2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63354</v>
      </c>
      <c r="Y3495" s="202">
        <f>_xll.qlInterestRateIndexValueDate(IborIndex,X3495,Trigger)</f>
        <v>63356</v>
      </c>
      <c r="Z3495" s="203" t="e">
        <v>#N/A</v>
      </c>
      <c r="AA3495" s="200">
        <v>3.0496303660765278E-2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63361</v>
      </c>
      <c r="Y3496" s="202">
        <f>_xll.qlInterestRateIndexValueDate(IborIndex,X3496,Trigger)</f>
        <v>63363</v>
      </c>
      <c r="Z3496" s="203" t="e">
        <v>#N/A</v>
      </c>
      <c r="AA3496" s="200">
        <v>3.0496303660845214E-2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63368</v>
      </c>
      <c r="Y3497" s="202">
        <f>_xll.qlInterestRateIndexValueDate(IborIndex,X3497,Trigger)</f>
        <v>63370</v>
      </c>
      <c r="Z3497" s="203" t="e">
        <v>#N/A</v>
      </c>
      <c r="AA3497" s="200">
        <v>3.0496303660765278E-2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63375</v>
      </c>
      <c r="Y3498" s="202">
        <f>_xll.qlInterestRateIndexValueDate(IborIndex,X3498,Trigger)</f>
        <v>63377</v>
      </c>
      <c r="Z3498" s="203" t="e">
        <v>#N/A</v>
      </c>
      <c r="AA3498" s="200">
        <v>3.0496303660765278E-2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63382</v>
      </c>
      <c r="Y3499" s="202">
        <f>_xll.qlInterestRateIndexValueDate(IborIndex,X3499,Trigger)</f>
        <v>63384</v>
      </c>
      <c r="Z3499" s="203" t="e">
        <v>#N/A</v>
      </c>
      <c r="AA3499" s="200">
        <v>3.0496303660765278E-2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63389</v>
      </c>
      <c r="Y3500" s="202">
        <f>_xll.qlInterestRateIndexValueDate(IborIndex,X3500,Trigger)</f>
        <v>63391</v>
      </c>
      <c r="Z3500" s="203" t="e">
        <v>#N/A</v>
      </c>
      <c r="AA3500" s="200">
        <v>3.0496303660845214E-2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63396</v>
      </c>
      <c r="Y3501" s="202">
        <f>_xll.qlInterestRateIndexValueDate(IborIndex,X3501,Trigger)</f>
        <v>63398</v>
      </c>
      <c r="Z3501" s="203" t="e">
        <v>#N/A</v>
      </c>
      <c r="AA3501" s="200">
        <v>3.0496303660765278E-2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63403</v>
      </c>
      <c r="Y3502" s="202">
        <f>_xll.qlInterestRateIndexValueDate(IborIndex,X3502,Trigger)</f>
        <v>63405</v>
      </c>
      <c r="Z3502" s="203" t="e">
        <v>#N/A</v>
      </c>
      <c r="AA3502" s="200">
        <v>3.0496303660765278E-2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63410</v>
      </c>
      <c r="Y3503" s="202">
        <f>_xll.qlInterestRateIndexValueDate(IborIndex,X3503,Trigger)</f>
        <v>63412</v>
      </c>
      <c r="Z3503" s="203" t="e">
        <v>#N/A</v>
      </c>
      <c r="AA3503" s="200">
        <v>3.0496303660845214E-2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63417</v>
      </c>
      <c r="Y3504" s="202">
        <f>_xll.qlInterestRateIndexValueDate(IborIndex,X3504,Trigger)</f>
        <v>63419</v>
      </c>
      <c r="Z3504" s="203" t="e">
        <v>#N/A</v>
      </c>
      <c r="AA3504" s="200">
        <v>3.0496303660765278E-2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63424</v>
      </c>
      <c r="Y3505" s="202">
        <f>_xll.qlInterestRateIndexValueDate(IborIndex,X3505,Trigger)</f>
        <v>63426</v>
      </c>
      <c r="Z3505" s="203" t="e">
        <v>#N/A</v>
      </c>
      <c r="AA3505" s="200">
        <v>3.0496303660685342E-2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63431</v>
      </c>
      <c r="Y3506" s="202">
        <f>_xll.qlInterestRateIndexValueDate(IborIndex,X3506,Trigger)</f>
        <v>63433</v>
      </c>
      <c r="Z3506" s="203" t="e">
        <v>#N/A</v>
      </c>
      <c r="AA3506" s="200">
        <v>3.0496303660845214E-2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63438</v>
      </c>
      <c r="Y3507" s="202">
        <f>_xll.qlInterestRateIndexValueDate(IborIndex,X3507,Trigger)</f>
        <v>63440</v>
      </c>
      <c r="Z3507" s="203" t="e">
        <v>#N/A</v>
      </c>
      <c r="AA3507" s="200">
        <v>3.0496303660765278E-2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63445</v>
      </c>
      <c r="Y3508" s="202">
        <f>_xll.qlInterestRateIndexValueDate(IborIndex,X3508,Trigger)</f>
        <v>63447</v>
      </c>
      <c r="Z3508" s="203" t="e">
        <v>#N/A</v>
      </c>
      <c r="AA3508" s="200">
        <v>3.0496303660845214E-2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63452</v>
      </c>
      <c r="Y3509" s="202">
        <f>_xll.qlInterestRateIndexValueDate(IborIndex,X3509,Trigger)</f>
        <v>63454</v>
      </c>
      <c r="Z3509" s="203" t="e">
        <v>#N/A</v>
      </c>
      <c r="AA3509" s="200">
        <v>3.0496303660685342E-2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63459</v>
      </c>
      <c r="Y3510" s="202">
        <f>_xll.qlInterestRateIndexValueDate(IborIndex,X3510,Trigger)</f>
        <v>63461</v>
      </c>
      <c r="Z3510" s="203" t="e">
        <v>#N/A</v>
      </c>
      <c r="AA3510" s="200">
        <v>3.0496303660765278E-2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63466</v>
      </c>
      <c r="Y3511" s="202">
        <f>_xll.qlInterestRateIndexValueDate(IborIndex,X3511,Trigger)</f>
        <v>63468</v>
      </c>
      <c r="Z3511" s="203" t="e">
        <v>#N/A</v>
      </c>
      <c r="AA3511" s="200">
        <v>3.0496303660765278E-2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63473</v>
      </c>
      <c r="Y3512" s="202">
        <f>_xll.qlInterestRateIndexValueDate(IborIndex,X3512,Trigger)</f>
        <v>63475</v>
      </c>
      <c r="Z3512" s="203" t="e">
        <v>#N/A</v>
      </c>
      <c r="AA3512" s="200">
        <v>3.0496303660765278E-2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63480</v>
      </c>
      <c r="Y3513" s="202">
        <f>_xll.qlInterestRateIndexValueDate(IborIndex,X3513,Trigger)</f>
        <v>63482</v>
      </c>
      <c r="Z3513" s="203" t="e">
        <v>#N/A</v>
      </c>
      <c r="AA3513" s="200">
        <v>3.0496303660765278E-2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63487</v>
      </c>
      <c r="Y3514" s="202">
        <f>_xll.qlInterestRateIndexValueDate(IborIndex,X3514,Trigger)</f>
        <v>63489</v>
      </c>
      <c r="Z3514" s="203" t="e">
        <v>#N/A</v>
      </c>
      <c r="AA3514" s="200">
        <v>3.0496303660845214E-2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63494</v>
      </c>
      <c r="Y3515" s="202">
        <f>_xll.qlInterestRateIndexValueDate(IborIndex,X3515,Trigger)</f>
        <v>63496</v>
      </c>
      <c r="Z3515" s="203" t="e">
        <v>#N/A</v>
      </c>
      <c r="AA3515" s="200">
        <v>3.0496303660845214E-2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63501</v>
      </c>
      <c r="Y3516" s="202">
        <f>_xll.qlInterestRateIndexValueDate(IborIndex,X3516,Trigger)</f>
        <v>63506</v>
      </c>
      <c r="Z3516" s="203" t="e">
        <v>#N/A</v>
      </c>
      <c r="AA3516" s="200">
        <v>3.0496303660845214E-2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63508</v>
      </c>
      <c r="Y3517" s="202">
        <f>_xll.qlInterestRateIndexValueDate(IborIndex,X3517,Trigger)</f>
        <v>63510</v>
      </c>
      <c r="Z3517" s="203" t="e">
        <v>#N/A</v>
      </c>
      <c r="AA3517" s="200">
        <v>3.0496303660765278E-2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63515</v>
      </c>
      <c r="Y3518" s="202">
        <f>_xll.qlInterestRateIndexValueDate(IborIndex,X3518,Trigger)</f>
        <v>63517</v>
      </c>
      <c r="Z3518" s="203" t="e">
        <v>#N/A</v>
      </c>
      <c r="AA3518" s="200">
        <v>3.0496303660765278E-2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63522</v>
      </c>
      <c r="Y3519" s="202">
        <f>_xll.qlInterestRateIndexValueDate(IborIndex,X3519,Trigger)</f>
        <v>63524</v>
      </c>
      <c r="Z3519" s="203" t="e">
        <v>#N/A</v>
      </c>
      <c r="AA3519" s="200">
        <v>3.0496303660845214E-2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63529</v>
      </c>
      <c r="Y3520" s="202">
        <f>_xll.qlInterestRateIndexValueDate(IborIndex,X3520,Trigger)</f>
        <v>63531</v>
      </c>
      <c r="Z3520" s="203" t="e">
        <v>#N/A</v>
      </c>
      <c r="AA3520" s="200">
        <v>3.0496303660765278E-2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63536</v>
      </c>
      <c r="Y3521" s="202">
        <f>_xll.qlInterestRateIndexValueDate(IborIndex,X3521,Trigger)</f>
        <v>63538</v>
      </c>
      <c r="Z3521" s="203" t="e">
        <v>#N/A</v>
      </c>
      <c r="AA3521" s="200">
        <v>3.0496303660845214E-2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63543</v>
      </c>
      <c r="Y3522" s="202">
        <f>_xll.qlInterestRateIndexValueDate(IborIndex,X3522,Trigger)</f>
        <v>63545</v>
      </c>
      <c r="Z3522" s="203" t="e">
        <v>#N/A</v>
      </c>
      <c r="AA3522" s="200">
        <v>3.0496303660765278E-2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63550</v>
      </c>
      <c r="Y3523" s="202">
        <f>_xll.qlInterestRateIndexValueDate(IborIndex,X3523,Trigger)</f>
        <v>63552</v>
      </c>
      <c r="Z3523" s="203" t="e">
        <v>#N/A</v>
      </c>
      <c r="AA3523" s="200">
        <v>3.0496303660845214E-2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63557</v>
      </c>
      <c r="Y3524" s="202">
        <f>_xll.qlInterestRateIndexValueDate(IborIndex,X3524,Trigger)</f>
        <v>63559</v>
      </c>
      <c r="Z3524" s="203" t="e">
        <v>#N/A</v>
      </c>
      <c r="AA3524" s="200">
        <v>3.0496303660685342E-2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63564</v>
      </c>
      <c r="Y3525" s="202">
        <f>_xll.qlInterestRateIndexValueDate(IborIndex,X3525,Trigger)</f>
        <v>63566</v>
      </c>
      <c r="Z3525" s="203" t="e">
        <v>#N/A</v>
      </c>
      <c r="AA3525" s="200">
        <v>3.0496303660685342E-2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63571</v>
      </c>
      <c r="Y3526" s="202">
        <f>_xll.qlInterestRateIndexValueDate(IborIndex,X3526,Trigger)</f>
        <v>63573</v>
      </c>
      <c r="Z3526" s="203" t="e">
        <v>#N/A</v>
      </c>
      <c r="AA3526" s="200">
        <v>3.0496303660845214E-2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63578</v>
      </c>
      <c r="Y3527" s="202">
        <f>_xll.qlInterestRateIndexValueDate(IborIndex,X3527,Trigger)</f>
        <v>63580</v>
      </c>
      <c r="Z3527" s="203" t="e">
        <v>#N/A</v>
      </c>
      <c r="AA3527" s="200">
        <v>3.0496303660685342E-2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63585</v>
      </c>
      <c r="Y3528" s="202">
        <f>_xll.qlInterestRateIndexValueDate(IborIndex,X3528,Trigger)</f>
        <v>63587</v>
      </c>
      <c r="Z3528" s="203" t="e">
        <v>#N/A</v>
      </c>
      <c r="AA3528" s="200">
        <v>3.0496303660845214E-2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63592</v>
      </c>
      <c r="Y3529" s="202">
        <f>_xll.qlInterestRateIndexValueDate(IborIndex,X3529,Trigger)</f>
        <v>63594</v>
      </c>
      <c r="Z3529" s="203" t="e">
        <v>#N/A</v>
      </c>
      <c r="AA3529" s="200">
        <v>3.0496303660845214E-2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63599</v>
      </c>
      <c r="Y3530" s="202">
        <f>_xll.qlInterestRateIndexValueDate(IborIndex,X3530,Trigger)</f>
        <v>63601</v>
      </c>
      <c r="Z3530" s="203" t="e">
        <v>#N/A</v>
      </c>
      <c r="AA3530" s="200">
        <v>3.0496303660765278E-2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63606</v>
      </c>
      <c r="Y3531" s="202">
        <f>_xll.qlInterestRateIndexValueDate(IborIndex,X3531,Trigger)</f>
        <v>63608</v>
      </c>
      <c r="Z3531" s="203" t="e">
        <v>#N/A</v>
      </c>
      <c r="AA3531" s="200">
        <v>3.0496303660765278E-2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63613</v>
      </c>
      <c r="Y3532" s="202">
        <f>_xll.qlInterestRateIndexValueDate(IborIndex,X3532,Trigger)</f>
        <v>63615</v>
      </c>
      <c r="Z3532" s="203" t="e">
        <v>#N/A</v>
      </c>
      <c r="AA3532" s="200">
        <v>3.0496303660845214E-2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63620</v>
      </c>
      <c r="Y3533" s="202">
        <f>_xll.qlInterestRateIndexValueDate(IborIndex,X3533,Trigger)</f>
        <v>63622</v>
      </c>
      <c r="Z3533" s="203" t="e">
        <v>#N/A</v>
      </c>
      <c r="AA3533" s="200">
        <v>3.0496303660765278E-2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63627</v>
      </c>
      <c r="Y3534" s="202">
        <f>_xll.qlInterestRateIndexValueDate(IborIndex,X3534,Trigger)</f>
        <v>63629</v>
      </c>
      <c r="Z3534" s="203" t="e">
        <v>#N/A</v>
      </c>
      <c r="AA3534" s="200">
        <v>3.0496303660685342E-2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63634</v>
      </c>
      <c r="Y3535" s="202">
        <f>_xll.qlInterestRateIndexValueDate(IborIndex,X3535,Trigger)</f>
        <v>63636</v>
      </c>
      <c r="Z3535" s="203" t="e">
        <v>#N/A</v>
      </c>
      <c r="AA3535" s="200">
        <v>3.0496303660845214E-2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63641</v>
      </c>
      <c r="Y3536" s="202">
        <f>_xll.qlInterestRateIndexValueDate(IborIndex,X3536,Trigger)</f>
        <v>63643</v>
      </c>
      <c r="Z3536" s="203" t="e">
        <v>#N/A</v>
      </c>
      <c r="AA3536" s="200">
        <v>3.0496303660845214E-2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63648</v>
      </c>
      <c r="Y3537" s="202">
        <f>_xll.qlInterestRateIndexValueDate(IborIndex,X3537,Trigger)</f>
        <v>63650</v>
      </c>
      <c r="Z3537" s="203" t="e">
        <v>#N/A</v>
      </c>
      <c r="AA3537" s="200">
        <v>3.0496303660845214E-2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63655</v>
      </c>
      <c r="Y3538" s="202">
        <f>_xll.qlInterestRateIndexValueDate(IborIndex,X3538,Trigger)</f>
        <v>63661</v>
      </c>
      <c r="Z3538" s="203" t="e">
        <v>#N/A</v>
      </c>
      <c r="AA3538" s="200">
        <v>3.0496303660765278E-2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63662</v>
      </c>
      <c r="Y3539" s="202">
        <f>_xll.qlInterestRateIndexValueDate(IborIndex,X3539,Trigger)</f>
        <v>63664</v>
      </c>
      <c r="Z3539" s="203" t="e">
        <v>#N/A</v>
      </c>
      <c r="AA3539" s="200">
        <v>3.0496303660845214E-2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63669</v>
      </c>
      <c r="Y3540" s="202">
        <f>_xll.qlInterestRateIndexValueDate(IborIndex,X3540,Trigger)</f>
        <v>63671</v>
      </c>
      <c r="Z3540" s="203" t="e">
        <v>#N/A</v>
      </c>
      <c r="AA3540" s="200">
        <v>3.0496303660765278E-2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63676</v>
      </c>
      <c r="Y3541" s="202">
        <f>_xll.qlInterestRateIndexValueDate(IborIndex,X3541,Trigger)</f>
        <v>63678</v>
      </c>
      <c r="Z3541" s="203" t="e">
        <v>#N/A</v>
      </c>
      <c r="AA3541" s="200">
        <v>3.0496303660765278E-2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63683</v>
      </c>
      <c r="Y3542" s="202">
        <f>_xll.qlInterestRateIndexValueDate(IborIndex,X3542,Trigger)</f>
        <v>63685</v>
      </c>
      <c r="Z3542" s="203" t="e">
        <v>#N/A</v>
      </c>
      <c r="AA3542" s="200">
        <v>3.0496303660765278E-2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63690</v>
      </c>
      <c r="Y3543" s="202">
        <f>_xll.qlInterestRateIndexValueDate(IborIndex,X3543,Trigger)</f>
        <v>63692</v>
      </c>
      <c r="Z3543" s="203" t="e">
        <v>#N/A</v>
      </c>
      <c r="AA3543" s="200">
        <v>3.0496303660845214E-2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63697</v>
      </c>
      <c r="Y3544" s="202">
        <f>_xll.qlInterestRateIndexValueDate(IborIndex,X3544,Trigger)</f>
        <v>63699</v>
      </c>
      <c r="Z3544" s="203" t="e">
        <v>#N/A</v>
      </c>
      <c r="AA3544" s="200">
        <v>3.0496303660765278E-2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63704</v>
      </c>
      <c r="Y3545" s="202">
        <f>_xll.qlInterestRateIndexValueDate(IborIndex,X3545,Trigger)</f>
        <v>63706</v>
      </c>
      <c r="Z3545" s="203" t="e">
        <v>#N/A</v>
      </c>
      <c r="AA3545" s="200">
        <v>3.0496303660765278E-2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63711</v>
      </c>
      <c r="Y3546" s="202">
        <f>_xll.qlInterestRateIndexValueDate(IborIndex,X3546,Trigger)</f>
        <v>63713</v>
      </c>
      <c r="Z3546" s="203" t="e">
        <v>#N/A</v>
      </c>
      <c r="AA3546" s="200">
        <v>3.0496303660845214E-2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63718</v>
      </c>
      <c r="Y3547" s="202">
        <f>_xll.qlInterestRateIndexValueDate(IborIndex,X3547,Trigger)</f>
        <v>63720</v>
      </c>
      <c r="Z3547" s="203" t="e">
        <v>#N/A</v>
      </c>
      <c r="AA3547" s="200">
        <v>3.0496303660765278E-2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63725</v>
      </c>
      <c r="Y3548" s="202">
        <f>_xll.qlInterestRateIndexValueDate(IborIndex,X3548,Trigger)</f>
        <v>63727</v>
      </c>
      <c r="Z3548" s="203" t="e">
        <v>#N/A</v>
      </c>
      <c r="AA3548" s="200">
        <v>3.0496303660845214E-2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63732</v>
      </c>
      <c r="Y3549" s="202">
        <f>_xll.qlInterestRateIndexValueDate(IborIndex,X3549,Trigger)</f>
        <v>63734</v>
      </c>
      <c r="Z3549" s="203" t="e">
        <v>#N/A</v>
      </c>
      <c r="AA3549" s="200">
        <v>3.049759536155161E-2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63739</v>
      </c>
      <c r="Y3550" s="202">
        <f>_xll.qlInterestRateIndexValueDate(IborIndex,X3550,Trigger)</f>
        <v>63741</v>
      </c>
      <c r="Z3550" s="203" t="e">
        <v>#N/A</v>
      </c>
      <c r="AA3550" s="200">
        <v>3.0496303660765278E-2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63746</v>
      </c>
      <c r="Y3551" s="202">
        <f>_xll.qlInterestRateIndexValueDate(IborIndex,X3551,Trigger)</f>
        <v>63748</v>
      </c>
      <c r="Z3551" s="203" t="e">
        <v>#N/A</v>
      </c>
      <c r="AA3551" s="200">
        <v>3.0496303660845214E-2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63753</v>
      </c>
      <c r="Y3552" s="202">
        <f>_xll.qlInterestRateIndexValueDate(IborIndex,X3552,Trigger)</f>
        <v>63755</v>
      </c>
      <c r="Z3552" s="204" t="e">
        <v>#N/A</v>
      </c>
      <c r="AA3552" s="205">
        <v>3.0496303660765278E-2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2014-07-09T13:08:48Z</dcterms:modified>
</cp:coreProperties>
</file>